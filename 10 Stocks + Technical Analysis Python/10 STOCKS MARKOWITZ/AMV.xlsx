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72A3814C-2202-4423-A222-C2AF392345D2}" xr6:coauthVersionLast="47" xr6:coauthVersionMax="47" xr10:uidLastSave="{00000000-0000-0000-0000-000000000000}"/>
  <workbookProtection workbookAlgorithmName="SHA-512" workbookHashValue="C6UfrpqGBFp5uFqrfQ03hhumjnTRqBB+eNt4xVkpy1qOBxmfxIhOMA3WSNuHO8pr3+vLhpJKVkrK9BDwQ0DnZQ==" workbookSaltValue="8R1v5yICJLJ6fvp2dsITQA==" workbookSpinCount="100000" lockStructure="1"/>
  <bookViews>
    <workbookView xWindow="-110" yWindow="-110" windowWidth="19420" windowHeight="10300" activeTab="6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K10" i="1" l="1"/>
  <c r="K11" i="1" s="1"/>
  <c r="K8" i="1"/>
  <c r="K9" i="1" s="1"/>
  <c r="B3" i="5" l="1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2" i="5"/>
  <c r="C2" i="5"/>
  <c r="D2" i="5"/>
  <c r="E2" i="5" s="1"/>
  <c r="B1" i="5"/>
  <c r="C1" i="5"/>
  <c r="D1" i="5"/>
  <c r="A1" i="5"/>
  <c r="A1" i="4"/>
  <c r="A1" i="3"/>
  <c r="A1" i="2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G10" i="5"/>
  <c r="B691" i="7" l="1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N25" i="7" s="1"/>
  <c r="D25" i="7"/>
  <c r="B25" i="7"/>
  <c r="A25" i="7"/>
  <c r="I24" i="7"/>
  <c r="H24" i="7"/>
  <c r="E24" i="7"/>
  <c r="D24" i="7"/>
  <c r="B24" i="7"/>
  <c r="A24" i="7"/>
  <c r="I23" i="7"/>
  <c r="H23" i="7"/>
  <c r="E23" i="7"/>
  <c r="N23" i="7" s="1"/>
  <c r="D23" i="7"/>
  <c r="B23" i="7"/>
  <c r="A23" i="7"/>
  <c r="I22" i="7"/>
  <c r="H22" i="7"/>
  <c r="E22" i="7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N17" i="7" s="1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M15" i="7" s="1"/>
  <c r="B15" i="7"/>
  <c r="A15" i="7"/>
  <c r="I14" i="7"/>
  <c r="H14" i="7"/>
  <c r="G14" i="7"/>
  <c r="E14" i="7"/>
  <c r="D14" i="7"/>
  <c r="C14" i="7"/>
  <c r="M14" i="7" s="1"/>
  <c r="B14" i="7"/>
  <c r="A14" i="7"/>
  <c r="I13" i="7"/>
  <c r="H13" i="7"/>
  <c r="G13" i="7"/>
  <c r="E13" i="7"/>
  <c r="D13" i="7"/>
  <c r="C13" i="7"/>
  <c r="M13" i="7" s="1"/>
  <c r="B13" i="7"/>
  <c r="A13" i="7"/>
  <c r="I12" i="7"/>
  <c r="H12" i="7"/>
  <c r="G12" i="7"/>
  <c r="E12" i="7"/>
  <c r="D12" i="7"/>
  <c r="C12" i="7"/>
  <c r="M12" i="7" s="1"/>
  <c r="B12" i="7"/>
  <c r="A12" i="7"/>
  <c r="I11" i="7"/>
  <c r="H11" i="7"/>
  <c r="G11" i="7"/>
  <c r="E11" i="7"/>
  <c r="D11" i="7"/>
  <c r="C11" i="7"/>
  <c r="M11" i="7" s="1"/>
  <c r="B11" i="7"/>
  <c r="A11" i="7"/>
  <c r="I10" i="7"/>
  <c r="H10" i="7"/>
  <c r="G10" i="7"/>
  <c r="E10" i="7"/>
  <c r="D10" i="7"/>
  <c r="C10" i="7"/>
  <c r="M10" i="7" s="1"/>
  <c r="B10" i="7"/>
  <c r="A10" i="7"/>
  <c r="I9" i="7"/>
  <c r="H9" i="7"/>
  <c r="G9" i="7"/>
  <c r="E9" i="7"/>
  <c r="D9" i="7"/>
  <c r="C9" i="7"/>
  <c r="M9" i="7" s="1"/>
  <c r="B9" i="7"/>
  <c r="A9" i="7"/>
  <c r="I8" i="7"/>
  <c r="H8" i="7"/>
  <c r="G8" i="7"/>
  <c r="E8" i="7"/>
  <c r="D8" i="7"/>
  <c r="C8" i="7"/>
  <c r="M8" i="7" s="1"/>
  <c r="B8" i="7"/>
  <c r="A8" i="7"/>
  <c r="I7" i="7"/>
  <c r="H7" i="7"/>
  <c r="G7" i="7"/>
  <c r="E7" i="7"/>
  <c r="D7" i="7"/>
  <c r="C7" i="7"/>
  <c r="M7" i="7" s="1"/>
  <c r="B7" i="7"/>
  <c r="A7" i="7"/>
  <c r="K6" i="7"/>
  <c r="J6" i="7"/>
  <c r="I6" i="7"/>
  <c r="H6" i="7"/>
  <c r="G6" i="7"/>
  <c r="E6" i="7"/>
  <c r="N6" i="7" s="1"/>
  <c r="D6" i="7"/>
  <c r="C6" i="7"/>
  <c r="M6" i="7" s="1"/>
  <c r="B6" i="7"/>
  <c r="A6" i="7"/>
  <c r="L5" i="7"/>
  <c r="K5" i="7"/>
  <c r="J5" i="7"/>
  <c r="I5" i="7"/>
  <c r="H5" i="7"/>
  <c r="G5" i="7"/>
  <c r="E5" i="7"/>
  <c r="D5" i="7"/>
  <c r="C5" i="7"/>
  <c r="M5" i="7" s="1"/>
  <c r="B5" i="7"/>
  <c r="A5" i="7"/>
  <c r="L4" i="7"/>
  <c r="K4" i="7"/>
  <c r="J4" i="7"/>
  <c r="I4" i="7"/>
  <c r="H4" i="7"/>
  <c r="G4" i="7"/>
  <c r="F4" i="7"/>
  <c r="E4" i="7"/>
  <c r="D4" i="7"/>
  <c r="C4" i="7"/>
  <c r="M4" i="7" s="1"/>
  <c r="B4" i="7"/>
  <c r="A4" i="7"/>
  <c r="L3" i="7"/>
  <c r="K3" i="7"/>
  <c r="J3" i="7"/>
  <c r="I3" i="7"/>
  <c r="H3" i="7"/>
  <c r="G3" i="7"/>
  <c r="F3" i="7"/>
  <c r="O3" i="7" s="1"/>
  <c r="E3" i="7"/>
  <c r="D3" i="7"/>
  <c r="C3" i="7"/>
  <c r="M3" i="7" s="1"/>
  <c r="B3" i="7"/>
  <c r="A3" i="7"/>
  <c r="L2" i="7"/>
  <c r="K2" i="7"/>
  <c r="J2" i="7"/>
  <c r="I2" i="7"/>
  <c r="H2" i="7"/>
  <c r="G2" i="7"/>
  <c r="F2" i="7"/>
  <c r="E2" i="7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7" i="6"/>
  <c r="A6" i="6"/>
  <c r="A3" i="6"/>
  <c r="A4" i="6"/>
  <c r="A5" i="6"/>
  <c r="A2" i="6"/>
  <c r="A1" i="6"/>
  <c r="D27" i="4"/>
  <c r="C13" i="4"/>
  <c r="C14" i="4" s="1"/>
  <c r="D4" i="4"/>
  <c r="C4" i="4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O2" i="7" l="1"/>
  <c r="O4" i="7"/>
  <c r="P5" i="7"/>
  <c r="D28" i="4"/>
  <c r="N10" i="7"/>
  <c r="N13" i="7"/>
  <c r="N2" i="7"/>
  <c r="T2" i="7" s="1"/>
  <c r="N3" i="7"/>
  <c r="N20" i="7"/>
  <c r="N22" i="7"/>
  <c r="N24" i="7"/>
  <c r="N26" i="7"/>
  <c r="P2" i="7"/>
  <c r="P3" i="7"/>
  <c r="P4" i="7"/>
  <c r="S4" i="7" s="1"/>
  <c r="N8" i="7"/>
  <c r="N11" i="7"/>
  <c r="N14" i="7"/>
  <c r="N19" i="7"/>
  <c r="N16" i="7"/>
  <c r="N7" i="7"/>
  <c r="N18" i="7"/>
  <c r="N4" i="7"/>
  <c r="N5" i="7"/>
  <c r="N9" i="7"/>
  <c r="N12" i="7"/>
  <c r="N15" i="7"/>
  <c r="D252" i="3"/>
  <c r="E550" i="3"/>
  <c r="D494" i="3"/>
  <c r="E505" i="3"/>
  <c r="E104" i="3"/>
  <c r="E602" i="3"/>
  <c r="D177" i="3"/>
  <c r="E159" i="3"/>
  <c r="D355" i="3"/>
  <c r="D401" i="3"/>
  <c r="E472" i="3"/>
  <c r="D541" i="3"/>
  <c r="D21" i="3"/>
  <c r="E682" i="3"/>
  <c r="E232" i="3"/>
  <c r="D580" i="3"/>
  <c r="D164" i="3"/>
  <c r="E398" i="3"/>
  <c r="E617" i="3"/>
  <c r="E235" i="3"/>
  <c r="D665" i="3"/>
  <c r="D87" i="3"/>
  <c r="D167" i="3"/>
  <c r="D247" i="3"/>
  <c r="D224" i="3"/>
  <c r="D397" i="3"/>
  <c r="E484" i="3"/>
  <c r="D610" i="3"/>
  <c r="E691" i="3"/>
  <c r="E96" i="3"/>
  <c r="D277" i="3"/>
  <c r="E377" i="3"/>
  <c r="E388" i="3"/>
  <c r="E591" i="3"/>
  <c r="D140" i="3"/>
  <c r="E257" i="3"/>
  <c r="E445" i="3"/>
  <c r="E674" i="3"/>
  <c r="E593" i="3"/>
  <c r="E31" i="3"/>
  <c r="D292" i="3"/>
  <c r="E533" i="3"/>
  <c r="E574" i="3"/>
  <c r="D646" i="3"/>
  <c r="E686" i="3"/>
  <c r="E111" i="3"/>
  <c r="E154" i="3"/>
  <c r="D469" i="3"/>
  <c r="D637" i="3"/>
  <c r="D11" i="3"/>
  <c r="D123" i="3"/>
  <c r="E185" i="3"/>
  <c r="D304" i="3"/>
  <c r="E327" i="3"/>
  <c r="E338" i="3"/>
  <c r="E349" i="3"/>
  <c r="D448" i="3"/>
  <c r="D566" i="3"/>
  <c r="D658" i="3"/>
  <c r="D135" i="3"/>
  <c r="E176" i="3"/>
  <c r="E242" i="3"/>
  <c r="D502" i="3"/>
  <c r="D628" i="3"/>
  <c r="D262" i="3"/>
  <c r="E461" i="3"/>
  <c r="E567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O604" i="7" s="1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O599" i="7" s="1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O628" i="7" s="1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G141" i="7"/>
  <c r="I592" i="6"/>
  <c r="I592" i="7"/>
  <c r="I626" i="6"/>
  <c r="I626" i="7"/>
  <c r="I662" i="6"/>
  <c r="I662" i="7"/>
  <c r="O662" i="7" s="1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O362" i="7" s="1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O434" i="7" s="1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O541" i="7" s="1"/>
  <c r="G543" i="6"/>
  <c r="G543" i="7"/>
  <c r="H548" i="6"/>
  <c r="H548" i="7"/>
  <c r="I553" i="6"/>
  <c r="I553" i="7"/>
  <c r="O553" i="7" s="1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O681" i="7" s="1"/>
  <c r="G683" i="6"/>
  <c r="G683" i="7"/>
  <c r="H688" i="6"/>
  <c r="H688" i="7"/>
  <c r="H363" i="7"/>
  <c r="G505" i="6"/>
  <c r="G505" i="7"/>
  <c r="I539" i="6"/>
  <c r="I539" i="7"/>
  <c r="I609" i="6"/>
  <c r="I609" i="7"/>
  <c r="G640" i="6"/>
  <c r="G640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G603" i="6"/>
  <c r="G603" i="7"/>
  <c r="I606" i="6"/>
  <c r="I606" i="7"/>
  <c r="G608" i="6"/>
  <c r="G608" i="7"/>
  <c r="I611" i="6"/>
  <c r="I611" i="7"/>
  <c r="O611" i="7" s="1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I469" i="6"/>
  <c r="I469" i="7"/>
  <c r="G616" i="6"/>
  <c r="G616" i="7"/>
  <c r="G628" i="6"/>
  <c r="G628" i="7"/>
  <c r="I650" i="6"/>
  <c r="I650" i="7"/>
  <c r="I679" i="6"/>
  <c r="I679" i="7"/>
  <c r="H686" i="6"/>
  <c r="H686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G533" i="6"/>
  <c r="G533" i="7"/>
  <c r="H538" i="6"/>
  <c r="H538" i="7"/>
  <c r="I543" i="6"/>
  <c r="I543" i="7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G234" i="6"/>
  <c r="G234" i="7"/>
  <c r="F236" i="6"/>
  <c r="F236" i="7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H275" i="6"/>
  <c r="H275" i="7"/>
  <c r="I280" i="6"/>
  <c r="I280" i="7"/>
  <c r="G282" i="6"/>
  <c r="G282" i="7"/>
  <c r="F284" i="6"/>
  <c r="F284" i="7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O568" i="7" s="1"/>
  <c r="H571" i="6"/>
  <c r="H571" i="7"/>
  <c r="H576" i="6"/>
  <c r="H576" i="7"/>
  <c r="I581" i="6"/>
  <c r="I581" i="7"/>
  <c r="G583" i="6"/>
  <c r="G583" i="7"/>
  <c r="F585" i="6"/>
  <c r="F585" i="7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O643" i="7" s="1"/>
  <c r="H646" i="6"/>
  <c r="H646" i="7"/>
  <c r="I651" i="6"/>
  <c r="I651" i="7"/>
  <c r="G653" i="6"/>
  <c r="G653" i="7"/>
  <c r="F655" i="6"/>
  <c r="F655" i="7"/>
  <c r="O655" i="7" s="1"/>
  <c r="H658" i="6"/>
  <c r="H658" i="7"/>
  <c r="I663" i="6"/>
  <c r="I663" i="7"/>
  <c r="G665" i="6"/>
  <c r="G665" i="7"/>
  <c r="F667" i="6"/>
  <c r="F667" i="7"/>
  <c r="O667" i="7" s="1"/>
  <c r="H670" i="6"/>
  <c r="H670" i="7"/>
  <c r="I675" i="6"/>
  <c r="I675" i="7"/>
  <c r="I680" i="6"/>
  <c r="I680" i="7"/>
  <c r="G682" i="6"/>
  <c r="G682" i="7"/>
  <c r="F684" i="6"/>
  <c r="F684" i="7"/>
  <c r="O684" i="7" s="1"/>
  <c r="H687" i="6"/>
  <c r="H687" i="7"/>
  <c r="G49" i="7"/>
  <c r="F234" i="7"/>
  <c r="G437" i="7"/>
  <c r="H51" i="7"/>
  <c r="F6" i="7"/>
  <c r="O6" i="7" s="1"/>
  <c r="G21" i="7"/>
  <c r="I201" i="7"/>
  <c r="F5" i="7"/>
  <c r="O5" i="7" s="1"/>
  <c r="D399" i="3"/>
  <c r="E399" i="3"/>
  <c r="D236" i="3"/>
  <c r="D382" i="3"/>
  <c r="D23" i="3"/>
  <c r="E23" i="3"/>
  <c r="E57" i="3"/>
  <c r="E207" i="3"/>
  <c r="D207" i="3"/>
  <c r="D310" i="3"/>
  <c r="E329" i="3"/>
  <c r="D526" i="3"/>
  <c r="E632" i="3"/>
  <c r="D632" i="3"/>
  <c r="E68" i="3"/>
  <c r="E362" i="3"/>
  <c r="D362" i="3"/>
  <c r="D622" i="3"/>
  <c r="E197" i="3"/>
  <c r="D197" i="3"/>
  <c r="E322" i="3"/>
  <c r="E594" i="3"/>
  <c r="E447" i="3"/>
  <c r="E475" i="3"/>
  <c r="D475" i="3"/>
  <c r="E506" i="3"/>
  <c r="D506" i="3"/>
  <c r="E457" i="3"/>
  <c r="D560" i="3"/>
  <c r="D568" i="3"/>
  <c r="D147" i="3"/>
  <c r="E147" i="3"/>
  <c r="E498" i="3"/>
  <c r="D498" i="3"/>
  <c r="E43" i="3"/>
  <c r="D43" i="3"/>
  <c r="D108" i="3"/>
  <c r="E108" i="3"/>
  <c r="E390" i="3"/>
  <c r="D255" i="3"/>
  <c r="E255" i="3"/>
  <c r="E545" i="3"/>
  <c r="D545" i="3"/>
  <c r="E639" i="3"/>
  <c r="D679" i="3"/>
  <c r="D99" i="3"/>
  <c r="E99" i="3"/>
  <c r="E536" i="3"/>
  <c r="D536" i="3"/>
  <c r="D650" i="3"/>
  <c r="E650" i="3"/>
  <c r="D80" i="3"/>
  <c r="E80" i="3"/>
  <c r="E612" i="3"/>
  <c r="D352" i="3"/>
  <c r="E474" i="3"/>
  <c r="E604" i="3"/>
  <c r="D466" i="3"/>
  <c r="D273" i="3"/>
  <c r="E273" i="3"/>
  <c r="D406" i="3"/>
  <c r="D428" i="3"/>
  <c r="D449" i="3"/>
  <c r="E449" i="3"/>
  <c r="E589" i="3"/>
  <c r="D589" i="3"/>
  <c r="D676" i="3"/>
  <c r="E676" i="3"/>
  <c r="D243" i="3"/>
  <c r="E418" i="3"/>
  <c r="D562" i="3"/>
  <c r="D569" i="3"/>
  <c r="D354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D188" i="3"/>
  <c r="E314" i="3"/>
  <c r="E517" i="3"/>
  <c r="E256" i="3"/>
  <c r="D615" i="3"/>
  <c r="E615" i="3"/>
  <c r="D680" i="3"/>
  <c r="E20" i="3"/>
  <c r="D63" i="3"/>
  <c r="E63" i="3"/>
  <c r="E122" i="3"/>
  <c r="D386" i="3"/>
  <c r="D530" i="3"/>
  <c r="E530" i="3"/>
  <c r="D373" i="3"/>
  <c r="E373" i="3"/>
  <c r="D27" i="3"/>
  <c r="D160" i="3"/>
  <c r="E263" i="3"/>
  <c r="E688" i="3"/>
  <c r="E606" i="3"/>
  <c r="E521" i="3"/>
  <c r="D521" i="3"/>
  <c r="E554" i="3"/>
  <c r="D170" i="3"/>
  <c r="E305" i="3"/>
  <c r="D538" i="3"/>
  <c r="E538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94" i="3"/>
  <c r="D102" i="3"/>
  <c r="E238" i="3"/>
  <c r="D271" i="3"/>
  <c r="E365" i="3"/>
  <c r="D488" i="3"/>
  <c r="E532" i="3"/>
  <c r="E652" i="3"/>
  <c r="E661" i="3"/>
  <c r="D670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G559" i="6"/>
  <c r="G559" i="7"/>
  <c r="I586" i="6"/>
  <c r="I586" i="7"/>
  <c r="G68" i="7"/>
  <c r="G92" i="7"/>
  <c r="G116" i="7"/>
  <c r="G140" i="7"/>
  <c r="G164" i="7"/>
  <c r="F178" i="7"/>
  <c r="O178" i="7" s="1"/>
  <c r="F190" i="7"/>
  <c r="O190" i="7" s="1"/>
  <c r="F202" i="7"/>
  <c r="I217" i="7"/>
  <c r="F255" i="7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F404" i="7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F561" i="6"/>
  <c r="F561" i="7"/>
  <c r="F607" i="6"/>
  <c r="F607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H535" i="6"/>
  <c r="H535" i="7"/>
  <c r="H547" i="6"/>
  <c r="H547" i="7"/>
  <c r="G90" i="7"/>
  <c r="G114" i="7"/>
  <c r="F214" i="7"/>
  <c r="I229" i="7"/>
  <c r="I410" i="7"/>
  <c r="I456" i="7"/>
  <c r="G552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F243" i="7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H477" i="6"/>
  <c r="H477" i="7"/>
  <c r="G484" i="6"/>
  <c r="G484" i="7"/>
  <c r="F486" i="6"/>
  <c r="F486" i="7"/>
  <c r="G489" i="6"/>
  <c r="G489" i="7"/>
  <c r="G494" i="6"/>
  <c r="G494" i="7"/>
  <c r="G542" i="6"/>
  <c r="G542" i="7"/>
  <c r="G162" i="7"/>
  <c r="G112" i="7"/>
  <c r="F176" i="7"/>
  <c r="O176" i="7" s="1"/>
  <c r="I282" i="7"/>
  <c r="F448" i="7"/>
  <c r="G564" i="7"/>
  <c r="H202" i="6"/>
  <c r="H202" i="7"/>
  <c r="H257" i="6"/>
  <c r="H257" i="7"/>
  <c r="G84" i="7"/>
  <c r="G132" i="7"/>
  <c r="F186" i="7"/>
  <c r="O186" i="7" s="1"/>
  <c r="G470" i="7"/>
  <c r="I550" i="7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I335" i="7"/>
  <c r="F351" i="7"/>
  <c r="I357" i="7"/>
  <c r="F373" i="7"/>
  <c r="O373" i="7" s="1"/>
  <c r="I376" i="7"/>
  <c r="I400" i="7"/>
  <c r="I424" i="7"/>
  <c r="F443" i="7"/>
  <c r="I446" i="7"/>
  <c r="G610" i="7"/>
  <c r="I613" i="7"/>
  <c r="G680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I210" i="7"/>
  <c r="F247" i="7"/>
  <c r="I250" i="7"/>
  <c r="I251" i="7"/>
  <c r="F274" i="7"/>
  <c r="I277" i="7"/>
  <c r="O277" i="7" s="1"/>
  <c r="F291" i="7"/>
  <c r="F392" i="7"/>
  <c r="O392" i="7" s="1"/>
  <c r="I598" i="7"/>
  <c r="G88" i="7"/>
  <c r="G160" i="7"/>
  <c r="F188" i="7"/>
  <c r="O188" i="7" s="1"/>
  <c r="F200" i="7"/>
  <c r="O200" i="7" s="1"/>
  <c r="F296" i="7"/>
  <c r="I340" i="7"/>
  <c r="F426" i="7"/>
  <c r="H552" i="7"/>
  <c r="H656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110" i="7"/>
  <c r="G158" i="7"/>
  <c r="I215" i="7"/>
  <c r="I318" i="7"/>
  <c r="H509" i="7"/>
  <c r="H221" i="6"/>
  <c r="H221" i="7"/>
  <c r="G264" i="6"/>
  <c r="G264" i="7"/>
  <c r="H269" i="6"/>
  <c r="H269" i="7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F349" i="7"/>
  <c r="O349" i="7" s="1"/>
  <c r="I352" i="7"/>
  <c r="F368" i="7"/>
  <c r="I395" i="7"/>
  <c r="F416" i="7"/>
  <c r="I422" i="7"/>
  <c r="I444" i="7"/>
  <c r="O444" i="7" s="1"/>
  <c r="F462" i="7"/>
  <c r="I468" i="7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O624" i="7" s="1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G66" i="7"/>
  <c r="G138" i="7"/>
  <c r="F267" i="7"/>
  <c r="O267" i="7" s="1"/>
  <c r="F281" i="7"/>
  <c r="I383" i="7"/>
  <c r="F428" i="7"/>
  <c r="O428" i="7" s="1"/>
  <c r="I434" i="7"/>
  <c r="F450" i="7"/>
  <c r="G472" i="7"/>
  <c r="H511" i="7"/>
  <c r="H627" i="7"/>
  <c r="G136" i="7"/>
  <c r="I203" i="7"/>
  <c r="F356" i="7"/>
  <c r="H226" i="6"/>
  <c r="H226" i="7"/>
  <c r="G233" i="6"/>
  <c r="G233" i="7"/>
  <c r="G257" i="6"/>
  <c r="G257" i="7"/>
  <c r="H286" i="6"/>
  <c r="H286" i="7"/>
  <c r="G86" i="7"/>
  <c r="I296" i="7"/>
  <c r="F334" i="7"/>
  <c r="F375" i="7"/>
  <c r="I381" i="7"/>
  <c r="F399" i="7"/>
  <c r="I429" i="7"/>
  <c r="I540" i="7"/>
  <c r="H233" i="6"/>
  <c r="H233" i="7"/>
  <c r="G240" i="6"/>
  <c r="G240" i="7"/>
  <c r="H245" i="6"/>
  <c r="H24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I234" i="7"/>
  <c r="F271" i="7"/>
  <c r="I275" i="7"/>
  <c r="I330" i="7"/>
  <c r="I371" i="7"/>
  <c r="F414" i="7"/>
  <c r="F438" i="7"/>
  <c r="I441" i="7"/>
  <c r="F460" i="7"/>
  <c r="H487" i="7"/>
  <c r="G593" i="7"/>
  <c r="G228" i="6"/>
  <c r="G228" i="7"/>
  <c r="G108" i="7"/>
  <c r="F129" i="7"/>
  <c r="O129" i="7" s="1"/>
  <c r="F198" i="7"/>
  <c r="O198" i="7" s="1"/>
  <c r="I227" i="7"/>
  <c r="F250" i="7"/>
  <c r="I265" i="7"/>
  <c r="I279" i="7"/>
  <c r="F397" i="7"/>
  <c r="F421" i="7"/>
  <c r="O421" i="7" s="1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I246" i="7"/>
  <c r="F286" i="7"/>
  <c r="I289" i="7"/>
  <c r="F303" i="7"/>
  <c r="F344" i="7"/>
  <c r="F387" i="7"/>
  <c r="I393" i="7"/>
  <c r="I417" i="7"/>
  <c r="I463" i="7"/>
  <c r="H593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H540" i="6"/>
  <c r="H540" i="7"/>
  <c r="G571" i="6"/>
  <c r="G571" i="7"/>
  <c r="F578" i="6"/>
  <c r="F578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F315" i="7"/>
  <c r="O315" i="7" s="1"/>
  <c r="H250" i="6"/>
  <c r="H250" i="7"/>
  <c r="H262" i="6"/>
  <c r="H262" i="7"/>
  <c r="G269" i="6"/>
  <c r="G269" i="7"/>
  <c r="G281" i="6"/>
  <c r="G281" i="7"/>
  <c r="G134" i="7"/>
  <c r="F211" i="7"/>
  <c r="F238" i="7"/>
  <c r="I253" i="7"/>
  <c r="O253" i="7" s="1"/>
  <c r="F279" i="7"/>
  <c r="I359" i="7"/>
  <c r="I405" i="7"/>
  <c r="I451" i="7"/>
  <c r="O451" i="7" s="1"/>
  <c r="G204" i="6"/>
  <c r="G204" i="7"/>
  <c r="H209" i="6"/>
  <c r="H209" i="7"/>
  <c r="G216" i="6"/>
  <c r="G216" i="7"/>
  <c r="G252" i="6"/>
  <c r="G252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F322" i="7"/>
  <c r="I328" i="7"/>
  <c r="I347" i="7"/>
  <c r="F363" i="7"/>
  <c r="I369" i="7"/>
  <c r="F385" i="7"/>
  <c r="F409" i="7"/>
  <c r="O409" i="7" s="1"/>
  <c r="F433" i="7"/>
  <c r="I439" i="7"/>
  <c r="F455" i="7"/>
  <c r="I526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F470" i="7"/>
  <c r="F475" i="7"/>
  <c r="F477" i="7"/>
  <c r="F480" i="7"/>
  <c r="F482" i="7"/>
  <c r="O483" i="7"/>
  <c r="F487" i="7"/>
  <c r="F490" i="7"/>
  <c r="O490" i="7" s="1"/>
  <c r="F492" i="7"/>
  <c r="F497" i="7"/>
  <c r="F499" i="7"/>
  <c r="F502" i="7"/>
  <c r="F504" i="7"/>
  <c r="F509" i="7"/>
  <c r="F511" i="7"/>
  <c r="F514" i="7"/>
  <c r="F516" i="7"/>
  <c r="F521" i="7"/>
  <c r="F523" i="7"/>
  <c r="F526" i="7"/>
  <c r="F528" i="7"/>
  <c r="O529" i="7"/>
  <c r="F533" i="7"/>
  <c r="F535" i="7"/>
  <c r="F538" i="7"/>
  <c r="F540" i="7"/>
  <c r="F545" i="7"/>
  <c r="F547" i="7"/>
  <c r="F550" i="7"/>
  <c r="F552" i="7"/>
  <c r="O552" i="7" s="1"/>
  <c r="F555" i="7"/>
  <c r="F557" i="7"/>
  <c r="F559" i="7"/>
  <c r="F562" i="7"/>
  <c r="F564" i="7"/>
  <c r="F567" i="7"/>
  <c r="F569" i="7"/>
  <c r="F571" i="7"/>
  <c r="F574" i="7"/>
  <c r="F576" i="7"/>
  <c r="F579" i="7"/>
  <c r="F581" i="7"/>
  <c r="F584" i="7"/>
  <c r="F586" i="7"/>
  <c r="F588" i="7"/>
  <c r="F591" i="7"/>
  <c r="F593" i="7"/>
  <c r="F596" i="7"/>
  <c r="F598" i="7"/>
  <c r="F600" i="7"/>
  <c r="F603" i="7"/>
  <c r="F605" i="7"/>
  <c r="F608" i="7"/>
  <c r="F610" i="7"/>
  <c r="O610" i="7" s="1"/>
  <c r="F613" i="7"/>
  <c r="F615" i="7"/>
  <c r="O615" i="7" s="1"/>
  <c r="F618" i="7"/>
  <c r="O618" i="7" s="1"/>
  <c r="F620" i="7"/>
  <c r="O621" i="7"/>
  <c r="F622" i="7"/>
  <c r="F625" i="7"/>
  <c r="F627" i="7"/>
  <c r="O627" i="7" s="1"/>
  <c r="F630" i="7"/>
  <c r="F632" i="7"/>
  <c r="F634" i="7"/>
  <c r="F635" i="7"/>
  <c r="O635" i="7" s="1"/>
  <c r="F637" i="7"/>
  <c r="F639" i="7"/>
  <c r="O639" i="7" s="1"/>
  <c r="F642" i="7"/>
  <c r="F644" i="7"/>
  <c r="F646" i="7"/>
  <c r="F647" i="7"/>
  <c r="F649" i="7"/>
  <c r="F651" i="7"/>
  <c r="O651" i="7" s="1"/>
  <c r="F654" i="7"/>
  <c r="F656" i="7"/>
  <c r="F658" i="7"/>
  <c r="O658" i="7" s="1"/>
  <c r="F659" i="7"/>
  <c r="F661" i="7"/>
  <c r="F663" i="7"/>
  <c r="F666" i="7"/>
  <c r="F668" i="7"/>
  <c r="F670" i="7"/>
  <c r="F671" i="7"/>
  <c r="F673" i="7"/>
  <c r="F675" i="7"/>
  <c r="O675" i="7" s="1"/>
  <c r="F676" i="7"/>
  <c r="F678" i="7"/>
  <c r="F680" i="7"/>
  <c r="F683" i="7"/>
  <c r="F685" i="7"/>
  <c r="F687" i="7"/>
  <c r="F688" i="7"/>
  <c r="F690" i="7"/>
  <c r="D89" i="3"/>
  <c r="E89" i="3"/>
  <c r="E410" i="3"/>
  <c r="D410" i="3"/>
  <c r="E478" i="3"/>
  <c r="D478" i="3"/>
  <c r="D690" i="3"/>
  <c r="E690" i="3"/>
  <c r="E10" i="3"/>
  <c r="E250" i="3"/>
  <c r="D250" i="3"/>
  <c r="E444" i="3"/>
  <c r="D444" i="3"/>
  <c r="D464" i="3"/>
  <c r="E471" i="3"/>
  <c r="E547" i="3"/>
  <c r="E653" i="3"/>
  <c r="E669" i="3"/>
  <c r="D130" i="3"/>
  <c r="E130" i="3"/>
  <c r="E340" i="3"/>
  <c r="D340" i="3"/>
  <c r="E609" i="3"/>
  <c r="D609" i="3"/>
  <c r="D677" i="3"/>
  <c r="E677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E436" i="3"/>
  <c r="D436" i="3"/>
  <c r="D106" i="3"/>
  <c r="D212" i="3"/>
  <c r="D534" i="3"/>
  <c r="D575" i="3"/>
  <c r="E302" i="3"/>
  <c r="D302" i="3"/>
  <c r="E392" i="3"/>
  <c r="D392" i="3"/>
  <c r="D420" i="3"/>
  <c r="D496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231" i="3"/>
  <c r="E489" i="3"/>
  <c r="E640" i="3"/>
  <c r="D663" i="3"/>
  <c r="E663" i="3"/>
  <c r="E519" i="3"/>
  <c r="D173" i="3"/>
  <c r="E173" i="3"/>
  <c r="E259" i="3"/>
  <c r="D259" i="3"/>
  <c r="E317" i="3"/>
  <c r="D317" i="3"/>
  <c r="E585" i="3"/>
  <c r="D585" i="3"/>
  <c r="E244" i="3"/>
  <c r="D244" i="3"/>
  <c r="E503" i="3"/>
  <c r="D503" i="3"/>
  <c r="E195" i="3"/>
  <c r="D195" i="3"/>
  <c r="D301" i="3"/>
  <c r="D542" i="3"/>
  <c r="E542" i="3"/>
  <c r="E47" i="3"/>
  <c r="E324" i="3"/>
  <c r="D324" i="3"/>
  <c r="E364" i="3"/>
  <c r="D364" i="3"/>
  <c r="E685" i="3"/>
  <c r="D685" i="3"/>
  <c r="D350" i="3"/>
  <c r="D595" i="3"/>
  <c r="E595" i="3"/>
  <c r="E187" i="3"/>
  <c r="D458" i="3"/>
  <c r="D543" i="3"/>
  <c r="E543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69" i="3"/>
  <c r="E88" i="3"/>
  <c r="D279" i="3"/>
  <c r="E279" i="3"/>
  <c r="D370" i="3"/>
  <c r="E470" i="3"/>
  <c r="D477" i="3"/>
  <c r="E546" i="3"/>
  <c r="D689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303" i="3"/>
  <c r="D359" i="3"/>
  <c r="E411" i="3"/>
  <c r="E423" i="3"/>
  <c r="J20" i="2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H50" i="6"/>
  <c r="H6" i="5"/>
  <c r="C15" i="4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9" i="4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E61" i="3"/>
  <c r="D61" i="3"/>
  <c r="D103" i="3"/>
  <c r="D213" i="3"/>
  <c r="D261" i="3"/>
  <c r="E265" i="3"/>
  <c r="D265" i="3"/>
  <c r="E269" i="3"/>
  <c r="E384" i="3"/>
  <c r="D384" i="3"/>
  <c r="E7" i="3"/>
  <c r="D7" i="3"/>
  <c r="D15" i="3"/>
  <c r="D33" i="3"/>
  <c r="E65" i="3"/>
  <c r="D112" i="3"/>
  <c r="D409" i="3"/>
  <c r="D438" i="3"/>
  <c r="D462" i="3"/>
  <c r="E597" i="3"/>
  <c r="D633" i="3"/>
  <c r="E115" i="3"/>
  <c r="D115" i="3"/>
  <c r="E419" i="3"/>
  <c r="D419" i="3"/>
  <c r="D18" i="3"/>
  <c r="E37" i="3"/>
  <c r="D37" i="3"/>
  <c r="D53" i="3"/>
  <c r="D146" i="3"/>
  <c r="E332" i="3"/>
  <c r="D332" i="3"/>
  <c r="D415" i="3"/>
  <c r="E480" i="3"/>
  <c r="D480" i="3"/>
  <c r="D625" i="3"/>
  <c r="D630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38" i="3"/>
  <c r="D38" i="3"/>
  <c r="D132" i="3"/>
  <c r="D136" i="3"/>
  <c r="D227" i="3"/>
  <c r="E278" i="3"/>
  <c r="D278" i="3"/>
  <c r="D311" i="3"/>
  <c r="D22" i="3"/>
  <c r="E55" i="3"/>
  <c r="D55" i="3"/>
  <c r="D83" i="3"/>
  <c r="E326" i="3"/>
  <c r="D326" i="3"/>
  <c r="E485" i="3"/>
  <c r="D510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D138" i="3"/>
  <c r="E323" i="3"/>
  <c r="D323" i="3"/>
  <c r="E426" i="3"/>
  <c r="D426" i="3"/>
  <c r="D511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D35" i="3"/>
  <c r="D168" i="3"/>
  <c r="E330" i="3"/>
  <c r="D330" i="3"/>
  <c r="D459" i="3"/>
  <c r="E459" i="3"/>
  <c r="E573" i="3"/>
  <c r="E618" i="3"/>
  <c r="D618" i="3"/>
  <c r="E288" i="3"/>
  <c r="D288" i="3"/>
  <c r="E376" i="3"/>
  <c r="D376" i="3"/>
  <c r="E492" i="3"/>
  <c r="D492" i="3"/>
  <c r="E553" i="3"/>
  <c r="D553" i="3"/>
  <c r="E621" i="3"/>
  <c r="D621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D16" i="3"/>
  <c r="E81" i="3"/>
  <c r="D81" i="3"/>
  <c r="E179" i="3"/>
  <c r="D179" i="3"/>
  <c r="D455" i="3"/>
  <c r="E531" i="3"/>
  <c r="E548" i="3"/>
  <c r="D548" i="3"/>
  <c r="E576" i="3"/>
  <c r="D576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36" i="3"/>
  <c r="E36" i="3"/>
  <c r="E114" i="3"/>
  <c r="D114" i="3"/>
  <c r="E181" i="3"/>
  <c r="D181" i="3"/>
  <c r="E241" i="3"/>
  <c r="D241" i="3"/>
  <c r="E245" i="3"/>
  <c r="D245" i="3"/>
  <c r="E172" i="3"/>
  <c r="D172" i="3"/>
  <c r="E205" i="3"/>
  <c r="D205" i="3"/>
  <c r="E282" i="3"/>
  <c r="D282" i="3"/>
  <c r="E558" i="3"/>
  <c r="D558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E605" i="3"/>
  <c r="D605" i="3"/>
  <c r="E336" i="3"/>
  <c r="D336" i="3"/>
  <c r="E378" i="3"/>
  <c r="D378" i="3"/>
  <c r="E499" i="3"/>
  <c r="D499" i="3"/>
  <c r="D620" i="3"/>
  <c r="E645" i="3"/>
  <c r="D645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E253" i="3"/>
  <c r="D253" i="3"/>
  <c r="E299" i="3"/>
  <c r="D299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E456" i="3"/>
  <c r="D456" i="3"/>
  <c r="D476" i="3"/>
  <c r="E579" i="3"/>
  <c r="D608" i="3"/>
  <c r="E636" i="3"/>
  <c r="D636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467" i="3"/>
  <c r="D467" i="3"/>
  <c r="E515" i="3"/>
  <c r="D515" i="3"/>
  <c r="E563" i="3"/>
  <c r="D563" i="3"/>
  <c r="E611" i="3"/>
  <c r="D611" i="3"/>
  <c r="E659" i="3"/>
  <c r="D659" i="3"/>
  <c r="O364" i="7" l="1"/>
  <c r="O674" i="7"/>
  <c r="Q2" i="7"/>
  <c r="U2" i="7" s="1"/>
  <c r="O640" i="7"/>
  <c r="O600" i="7"/>
  <c r="O545" i="7"/>
  <c r="O274" i="7"/>
  <c r="O400" i="7"/>
  <c r="O657" i="7"/>
  <c r="O528" i="7"/>
  <c r="O489" i="7"/>
  <c r="O679" i="7"/>
  <c r="O646" i="7"/>
  <c r="O613" i="7"/>
  <c r="O477" i="7"/>
  <c r="O573" i="7"/>
  <c r="O468" i="7"/>
  <c r="O626" i="7"/>
  <c r="T3" i="7"/>
  <c r="O659" i="7"/>
  <c r="O540" i="7"/>
  <c r="O282" i="7"/>
  <c r="O410" i="7"/>
  <c r="T5" i="7"/>
  <c r="O580" i="7"/>
  <c r="Q4" i="7"/>
  <c r="S2" i="7"/>
  <c r="R2" i="7"/>
  <c r="V2" i="7" s="1"/>
  <c r="O550" i="7"/>
  <c r="O661" i="7"/>
  <c r="O557" i="7"/>
  <c r="O597" i="7"/>
  <c r="O548" i="7"/>
  <c r="O524" i="7"/>
  <c r="O488" i="7"/>
  <c r="O505" i="7"/>
  <c r="O493" i="7"/>
  <c r="O607" i="7"/>
  <c r="O677" i="7"/>
  <c r="O212" i="7"/>
  <c r="O631" i="7"/>
  <c r="O201" i="7"/>
  <c r="O408" i="7"/>
  <c r="O385" i="7"/>
  <c r="O450" i="7"/>
  <c r="O537" i="7"/>
  <c r="R5" i="7"/>
  <c r="V5" i="7" s="1"/>
  <c r="O486" i="7"/>
  <c r="O531" i="7"/>
  <c r="O560" i="7"/>
  <c r="O664" i="7"/>
  <c r="O517" i="7"/>
  <c r="O433" i="7"/>
  <c r="O619" i="7"/>
  <c r="O593" i="7"/>
  <c r="O574" i="7"/>
  <c r="O459" i="7"/>
  <c r="O591" i="7"/>
  <c r="Q5" i="7"/>
  <c r="S5" i="7"/>
  <c r="O393" i="7"/>
  <c r="O397" i="7"/>
  <c r="O232" i="7"/>
  <c r="O429" i="7"/>
  <c r="O386" i="7"/>
  <c r="O581" i="7"/>
  <c r="O344" i="7"/>
  <c r="O413" i="7"/>
  <c r="O389" i="7"/>
  <c r="O328" i="7"/>
  <c r="O289" i="7"/>
  <c r="O569" i="7"/>
  <c r="O492" i="7"/>
  <c r="O356" i="7"/>
  <c r="O439" i="7"/>
  <c r="O243" i="7"/>
  <c r="O543" i="7"/>
  <c r="O463" i="7"/>
  <c r="O422" i="7"/>
  <c r="O332" i="7"/>
  <c r="O405" i="7"/>
  <c r="O501" i="7"/>
  <c r="O456" i="7"/>
  <c r="O217" i="7"/>
  <c r="O303" i="7"/>
  <c r="O380" i="7"/>
  <c r="O272" i="7"/>
  <c r="O236" i="7"/>
  <c r="O598" i="7"/>
  <c r="O455" i="7"/>
  <c r="O578" i="7"/>
  <c r="O474" i="7"/>
  <c r="O454" i="7"/>
  <c r="O281" i="7"/>
  <c r="O245" i="7"/>
  <c r="O284" i="7"/>
  <c r="O467" i="7"/>
  <c r="O585" i="7"/>
  <c r="O437" i="7"/>
  <c r="O561" i="7"/>
  <c r="O432" i="7"/>
  <c r="O594" i="7"/>
  <c r="O480" i="7"/>
  <c r="O209" i="7"/>
  <c r="O532" i="7"/>
  <c r="O648" i="7"/>
  <c r="O512" i="7"/>
  <c r="O365" i="7"/>
  <c r="O366" i="7"/>
  <c r="O416" i="7"/>
  <c r="O255" i="7"/>
  <c r="O601" i="7"/>
  <c r="O321" i="7"/>
  <c r="O589" i="7"/>
  <c r="O572" i="7"/>
  <c r="O556" i="7"/>
  <c r="O500" i="7"/>
  <c r="O288" i="7"/>
  <c r="O652" i="7"/>
  <c r="O616" i="7"/>
  <c r="O582" i="7"/>
  <c r="O565" i="7"/>
  <c r="O471" i="7"/>
  <c r="O685" i="7"/>
  <c r="R4" i="7"/>
  <c r="U4" i="7" s="1"/>
  <c r="T4" i="7"/>
  <c r="Q3" i="7"/>
  <c r="R3" i="7"/>
  <c r="S3" i="7"/>
  <c r="O680" i="7"/>
  <c r="O233" i="7"/>
  <c r="O549" i="7"/>
  <c r="O623" i="7"/>
  <c r="O536" i="7"/>
  <c r="O586" i="7"/>
  <c r="O368" i="7"/>
  <c r="O404" i="7"/>
  <c r="O478" i="7"/>
  <c r="O564" i="7"/>
  <c r="O327" i="7"/>
  <c r="O384" i="7"/>
  <c r="O602" i="7"/>
  <c r="O689" i="7"/>
  <c r="O672" i="7"/>
  <c r="O636" i="7"/>
  <c r="O248" i="7"/>
  <c r="O520" i="7"/>
  <c r="O285" i="7"/>
  <c r="O462" i="7"/>
  <c r="O606" i="7"/>
  <c r="O210" i="7"/>
  <c r="O558" i="7"/>
  <c r="O522" i="7"/>
  <c r="O346" i="7"/>
  <c r="O325" i="7"/>
  <c r="O473" i="7"/>
  <c r="O563" i="7"/>
  <c r="O527" i="7"/>
  <c r="O491" i="7"/>
  <c r="O324" i="7"/>
  <c r="O596" i="7"/>
  <c r="O359" i="7"/>
  <c r="O229" i="7"/>
  <c r="O538" i="7"/>
  <c r="O663" i="7"/>
  <c r="O381" i="7"/>
  <c r="O542" i="7"/>
  <c r="O513" i="7"/>
  <c r="O270" i="7"/>
  <c r="O676" i="7"/>
  <c r="O511" i="7"/>
  <c r="O375" i="7"/>
  <c r="O345" i="7"/>
  <c r="O234" i="7"/>
  <c r="O301" i="7"/>
  <c r="O519" i="7"/>
  <c r="O495" i="7"/>
  <c r="O412" i="7"/>
  <c r="O251" i="7"/>
  <c r="O304" i="7"/>
  <c r="O669" i="7"/>
  <c r="O633" i="7"/>
  <c r="O691" i="7"/>
  <c r="O638" i="7"/>
  <c r="O419" i="7"/>
  <c r="O656" i="7"/>
  <c r="O265" i="7"/>
  <c r="O250" i="7"/>
  <c r="O479" i="7"/>
  <c r="O506" i="7"/>
  <c r="O260" i="7"/>
  <c r="O547" i="7"/>
  <c r="O369" i="7"/>
  <c r="O230" i="7"/>
  <c r="O395" i="7"/>
  <c r="O417" i="7"/>
  <c r="O609" i="7"/>
  <c r="O625" i="7"/>
  <c r="O686" i="7"/>
  <c r="O570" i="7"/>
  <c r="O534" i="7"/>
  <c r="O498" i="7"/>
  <c r="O503" i="7"/>
  <c r="O246" i="7"/>
  <c r="O279" i="7"/>
  <c r="O608" i="7"/>
  <c r="O302" i="7"/>
  <c r="O318" i="7"/>
  <c r="O340" i="7"/>
  <c r="O632" i="7"/>
  <c r="O387" i="7"/>
  <c r="O286" i="7"/>
  <c r="O351" i="7"/>
  <c r="O518" i="7"/>
  <c r="O206" i="7"/>
  <c r="O222" i="7"/>
  <c r="O215" i="7"/>
  <c r="O671" i="7"/>
  <c r="O642" i="7"/>
  <c r="O526" i="7"/>
  <c r="O322" i="7"/>
  <c r="O576" i="7"/>
  <c r="O371" i="7"/>
  <c r="O653" i="7"/>
  <c r="O592" i="7"/>
  <c r="O481" i="7"/>
  <c r="O559" i="7"/>
  <c r="O523" i="7"/>
  <c r="O446" i="7"/>
  <c r="O668" i="7"/>
  <c r="O443" i="7"/>
  <c r="O256" i="7"/>
  <c r="O575" i="7"/>
  <c r="O539" i="7"/>
  <c r="O214" i="7"/>
  <c r="O342" i="7"/>
  <c r="O666" i="7"/>
  <c r="O622" i="7"/>
  <c r="O605" i="7"/>
  <c r="O617" i="7"/>
  <c r="O271" i="7"/>
  <c r="O436" i="7"/>
  <c r="O239" i="7"/>
  <c r="O457" i="7"/>
  <c r="O423" i="7"/>
  <c r="O376" i="7"/>
  <c r="O235" i="7"/>
  <c r="O595" i="7"/>
  <c r="O554" i="7"/>
  <c r="O484" i="7"/>
  <c r="O453" i="7"/>
  <c r="O647" i="7"/>
  <c r="O567" i="7"/>
  <c r="O514" i="7"/>
  <c r="O426" i="7"/>
  <c r="O448" i="7"/>
  <c r="O323" i="7"/>
  <c r="O287" i="7"/>
  <c r="O390" i="7"/>
  <c r="O203" i="7"/>
  <c r="O583" i="7"/>
  <c r="O354" i="7"/>
  <c r="O259" i="7"/>
  <c r="O238" i="7"/>
  <c r="O414" i="7"/>
  <c r="O472" i="7"/>
  <c r="O407" i="7"/>
  <c r="O306" i="7"/>
  <c r="O310" i="7"/>
  <c r="O641" i="7"/>
  <c r="O485" i="7"/>
  <c r="O223" i="7"/>
  <c r="O275" i="7"/>
  <c r="O311" i="7"/>
  <c r="O378" i="7"/>
  <c r="O294" i="7"/>
  <c r="O458" i="7"/>
  <c r="O388" i="7"/>
  <c r="O263" i="7"/>
  <c r="O645" i="7"/>
  <c r="O587" i="7"/>
  <c r="O476" i="7"/>
  <c r="O205" i="7"/>
  <c r="O650" i="7"/>
  <c r="O614" i="7"/>
  <c r="O465" i="7"/>
  <c r="O411" i="7"/>
  <c r="O588" i="7"/>
  <c r="O502" i="7"/>
  <c r="O202" i="7"/>
  <c r="O460" i="7"/>
  <c r="O334" i="7"/>
  <c r="O424" i="7"/>
  <c r="O507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441" i="7"/>
  <c r="O629" i="7"/>
  <c r="O584" i="7"/>
  <c r="O258" i="7"/>
  <c r="O438" i="7"/>
  <c r="O211" i="7"/>
  <c r="O357" i="7"/>
  <c r="O299" i="7"/>
  <c r="O431" i="7"/>
  <c r="O227" i="7"/>
  <c r="O247" i="7"/>
  <c r="O337" i="7"/>
  <c r="O475" i="7"/>
  <c r="O335" i="7"/>
  <c r="O688" i="7"/>
  <c r="O352" i="7"/>
  <c r="O316" i="7"/>
  <c r="O298" i="7"/>
  <c r="O687" i="7"/>
  <c r="O634" i="7"/>
  <c r="O620" i="7"/>
  <c r="O504" i="7"/>
  <c r="O330" i="7"/>
  <c r="O665" i="7"/>
  <c r="O402" i="7"/>
  <c r="O313" i="7"/>
  <c r="O535" i="7"/>
  <c r="O219" i="7"/>
  <c r="O494" i="7"/>
  <c r="O350" i="7"/>
  <c r="O447" i="7"/>
  <c r="O264" i="7"/>
  <c r="O228" i="7"/>
  <c r="O649" i="7"/>
  <c r="O218" i="7"/>
  <c r="O280" i="7"/>
  <c r="O452" i="7"/>
  <c r="O430" i="7"/>
  <c r="O394" i="7"/>
  <c r="O440" i="7"/>
  <c r="O326" i="7"/>
  <c r="O309" i="7"/>
  <c r="O273" i="7"/>
  <c r="O237" i="7"/>
  <c r="O466" i="7"/>
  <c r="O372" i="7"/>
  <c r="O331" i="7"/>
  <c r="O295" i="7"/>
  <c r="O252" i="7"/>
  <c r="O499" i="7"/>
  <c r="O482" i="7"/>
  <c r="O399" i="7"/>
  <c r="O262" i="7"/>
  <c r="O370" i="7"/>
  <c r="O266" i="7"/>
  <c r="O427" i="7"/>
  <c r="O391" i="7"/>
  <c r="O355" i="7"/>
  <c r="O363" i="7"/>
  <c r="O398" i="7"/>
  <c r="O348" i="7"/>
  <c r="O425" i="7"/>
  <c r="O401" i="7"/>
  <c r="O377" i="7"/>
  <c r="O353" i="7"/>
  <c r="O300" i="7"/>
  <c r="O216" i="7"/>
  <c r="O383" i="7"/>
  <c r="O682" i="7"/>
  <c r="O464" i="7"/>
  <c r="O406" i="7"/>
  <c r="O317" i="7"/>
  <c r="O293" i="7"/>
  <c r="O469" i="7"/>
  <c r="O290" i="7"/>
  <c r="O242" i="7"/>
  <c r="O338" i="7"/>
  <c r="O254" i="7"/>
  <c r="O644" i="7"/>
  <c r="O347" i="7"/>
  <c r="O249" i="7"/>
  <c r="O213" i="7"/>
  <c r="O420" i="7"/>
  <c r="O307" i="7"/>
  <c r="O283" i="7"/>
  <c r="O442" i="7"/>
  <c r="O240" i="7"/>
  <c r="O630" i="7"/>
  <c r="O571" i="7"/>
  <c r="O296" i="7"/>
  <c r="O566" i="7"/>
  <c r="O269" i="7"/>
  <c r="O449" i="7"/>
  <c r="O403" i="7"/>
  <c r="O367" i="7"/>
  <c r="O509" i="7"/>
  <c r="O292" i="7"/>
  <c r="O374" i="7"/>
  <c r="O461" i="7"/>
  <c r="O360" i="7"/>
  <c r="O336" i="7"/>
  <c r="O276" i="7"/>
  <c r="O654" i="7"/>
  <c r="O555" i="7"/>
  <c r="O530" i="7"/>
  <c r="O208" i="7"/>
  <c r="O268" i="7"/>
  <c r="O418" i="7"/>
  <c r="O382" i="7"/>
  <c r="O358" i="7"/>
  <c r="O445" i="7"/>
  <c r="O278" i="7"/>
  <c r="O314" i="7"/>
  <c r="O220" i="7"/>
  <c r="O207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579" i="7"/>
  <c r="O673" i="7"/>
  <c r="O562" i="7"/>
  <c r="O603" i="7"/>
  <c r="O497" i="7"/>
  <c r="O533" i="7"/>
  <c r="O516" i="7"/>
  <c r="O291" i="7"/>
  <c r="O226" i="7"/>
  <c r="O678" i="7"/>
  <c r="O690" i="7"/>
  <c r="O521" i="7"/>
  <c r="O637" i="7"/>
  <c r="O487" i="7"/>
  <c r="O470" i="7"/>
  <c r="F16" i="3"/>
  <c r="G16" i="3"/>
  <c r="G17" i="3" s="1"/>
  <c r="H7" i="5"/>
  <c r="G7" i="5"/>
  <c r="F7" i="5"/>
  <c r="E27" i="4"/>
  <c r="C28" i="4"/>
  <c r="V3" i="7" l="1"/>
  <c r="U5" i="7"/>
  <c r="U3" i="7"/>
  <c r="V4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F19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H18" i="3" l="1"/>
  <c r="I18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U9" i="7" l="1"/>
  <c r="V9" i="7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T12" i="7" l="1"/>
  <c r="Q12" i="7"/>
  <c r="R12" i="7"/>
  <c r="P13" i="7"/>
  <c r="R13" i="7" s="1"/>
  <c r="J14" i="6"/>
  <c r="J14" i="7"/>
  <c r="L14" i="6"/>
  <c r="L14" i="7"/>
  <c r="K14" i="6"/>
  <c r="K14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F35" i="4" s="1"/>
  <c r="C36" i="4"/>
  <c r="H24" i="3"/>
  <c r="I24" i="3" s="1"/>
  <c r="F25" i="3"/>
  <c r="G25" i="3"/>
  <c r="T13" i="7" l="1"/>
  <c r="U12" i="7"/>
  <c r="Q13" i="7"/>
  <c r="S13" i="7"/>
  <c r="V12" i="7"/>
  <c r="P14" i="7"/>
  <c r="R14" i="7" s="1"/>
  <c r="L15" i="6"/>
  <c r="L15" i="7"/>
  <c r="J15" i="6"/>
  <c r="J15" i="7"/>
  <c r="K15" i="6"/>
  <c r="K15" i="7"/>
  <c r="D35" i="6"/>
  <c r="D35" i="7"/>
  <c r="C24" i="6"/>
  <c r="C24" i="7"/>
  <c r="M24" i="7" s="1"/>
  <c r="F16" i="5"/>
  <c r="G16" i="5"/>
  <c r="H16" i="5"/>
  <c r="E36" i="4"/>
  <c r="F36" i="4" s="1"/>
  <c r="C37" i="4"/>
  <c r="E35" i="7"/>
  <c r="G26" i="3"/>
  <c r="F26" i="3"/>
  <c r="H25" i="3"/>
  <c r="I25" i="3" s="1"/>
  <c r="V13" i="7" l="1"/>
  <c r="U13" i="7"/>
  <c r="N35" i="7"/>
  <c r="Q14" i="7"/>
  <c r="T14" i="7"/>
  <c r="S14" i="7"/>
  <c r="J16" i="6"/>
  <c r="J16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F37" i="4" s="1"/>
  <c r="C38" i="4"/>
  <c r="H26" i="3"/>
  <c r="I26" i="3" s="1"/>
  <c r="F27" i="3"/>
  <c r="G27" i="3"/>
  <c r="U14" i="7" l="1"/>
  <c r="V14" i="7"/>
  <c r="K17" i="6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F38" i="4" s="1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F39" i="4" s="1"/>
  <c r="C40" i="4"/>
  <c r="H28" i="3"/>
  <c r="I28" i="3" s="1"/>
  <c r="F29" i="3"/>
  <c r="G29" i="3"/>
  <c r="R17" i="7" l="1"/>
  <c r="S17" i="7"/>
  <c r="T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F40" i="4" s="1"/>
  <c r="C41" i="4"/>
  <c r="F30" i="3"/>
  <c r="H29" i="3"/>
  <c r="I29" i="3" s="1"/>
  <c r="G30" i="3"/>
  <c r="V17" i="7" l="1"/>
  <c r="K20" i="6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F41" i="4" s="1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F42" i="4" s="1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F43" i="4" s="1"/>
  <c r="C44" i="4"/>
  <c r="G33" i="3"/>
  <c r="H32" i="3"/>
  <c r="I32" i="3" s="1"/>
  <c r="F33" i="3"/>
  <c r="P22" i="7" l="1"/>
  <c r="Q22" i="7" s="1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F44" i="4" s="1"/>
  <c r="C45" i="4"/>
  <c r="H33" i="3"/>
  <c r="I33" i="3" s="1"/>
  <c r="F34" i="3"/>
  <c r="G34" i="3"/>
  <c r="S22" i="7" l="1"/>
  <c r="R22" i="7"/>
  <c r="T22" i="7"/>
  <c r="P23" i="7"/>
  <c r="T23" i="7" s="1"/>
  <c r="L24" i="6"/>
  <c r="L24" i="7"/>
  <c r="K24" i="6"/>
  <c r="K24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F45" i="4" s="1"/>
  <c r="C46" i="4"/>
  <c r="G35" i="3"/>
  <c r="F35" i="3"/>
  <c r="H34" i="3"/>
  <c r="I34" i="3" s="1"/>
  <c r="Q23" i="7" l="1"/>
  <c r="S23" i="7"/>
  <c r="R23" i="7"/>
  <c r="U23" i="7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F46" i="4" s="1"/>
  <c r="C47" i="4"/>
  <c r="F36" i="3"/>
  <c r="H35" i="3"/>
  <c r="I35" i="3" s="1"/>
  <c r="G36" i="3"/>
  <c r="P25" i="7" l="1"/>
  <c r="S25" i="7" s="1"/>
  <c r="J26" i="6"/>
  <c r="J26" i="7"/>
  <c r="K26" i="6"/>
  <c r="K26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F47" i="4" s="1"/>
  <c r="C48" i="4"/>
  <c r="G37" i="3"/>
  <c r="H36" i="3"/>
  <c r="I36" i="3" s="1"/>
  <c r="F37" i="3"/>
  <c r="P26" i="7" l="1"/>
  <c r="Q26" i="7" s="1"/>
  <c r="R25" i="7"/>
  <c r="T25" i="7"/>
  <c r="Q25" i="7"/>
  <c r="V25" i="7" s="1"/>
  <c r="V24" i="7"/>
  <c r="U24" i="7"/>
  <c r="L27" i="6"/>
  <c r="L27" i="7"/>
  <c r="T26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F48" i="4" s="1"/>
  <c r="C49" i="4"/>
  <c r="F38" i="3"/>
  <c r="H37" i="3"/>
  <c r="I37" i="3" s="1"/>
  <c r="G38" i="3"/>
  <c r="U25" i="7" l="1"/>
  <c r="S26" i="7"/>
  <c r="R26" i="7"/>
  <c r="K28" i="6"/>
  <c r="K28" i="7"/>
  <c r="P27" i="7"/>
  <c r="L28" i="6"/>
  <c r="L28" i="7"/>
  <c r="J28" i="6"/>
  <c r="J28" i="7"/>
  <c r="D48" i="6"/>
  <c r="D48" i="7"/>
  <c r="C37" i="6"/>
  <c r="C37" i="7"/>
  <c r="M37" i="7" s="1"/>
  <c r="G29" i="5"/>
  <c r="F29" i="5"/>
  <c r="H29" i="5"/>
  <c r="E49" i="4"/>
  <c r="F49" i="4" s="1"/>
  <c r="C50" i="4"/>
  <c r="G39" i="3"/>
  <c r="H38" i="3"/>
  <c r="I38" i="3" s="1"/>
  <c r="F39" i="3"/>
  <c r="U26" i="7" l="1"/>
  <c r="V26" i="7"/>
  <c r="K29" i="6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F50" i="4" s="1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F51" i="4" s="1"/>
  <c r="C52" i="4"/>
  <c r="G41" i="3"/>
  <c r="H40" i="3"/>
  <c r="I40" i="3" s="1"/>
  <c r="F41" i="3"/>
  <c r="Q29" i="7" l="1"/>
  <c r="R29" i="7"/>
  <c r="S29" i="7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F52" i="4" s="1"/>
  <c r="C53" i="4"/>
  <c r="F42" i="3"/>
  <c r="H41" i="3"/>
  <c r="I41" i="3" s="1"/>
  <c r="G42" i="3"/>
  <c r="V29" i="7" l="1"/>
  <c r="U29" i="7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F53" i="4" s="1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F54" i="4" s="1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F55" i="4" s="1"/>
  <c r="C56" i="4"/>
  <c r="G45" i="3"/>
  <c r="H44" i="3"/>
  <c r="I44" i="3" s="1"/>
  <c r="F45" i="3"/>
  <c r="P34" i="7" l="1"/>
  <c r="T34" i="7" s="1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F56" i="4" s="1"/>
  <c r="C57" i="4"/>
  <c r="H45" i="3"/>
  <c r="I45" i="3" s="1"/>
  <c r="F46" i="3"/>
  <c r="G46" i="3"/>
  <c r="R34" i="7" l="1"/>
  <c r="S34" i="7"/>
  <c r="Q34" i="7"/>
  <c r="U34" i="7" s="1"/>
  <c r="P35" i="7"/>
  <c r="Q35" i="7" s="1"/>
  <c r="U33" i="7"/>
  <c r="V33" i="7"/>
  <c r="L36" i="6"/>
  <c r="L36" i="7"/>
  <c r="J36" i="6"/>
  <c r="J36" i="7"/>
  <c r="K36" i="6"/>
  <c r="K36" i="7"/>
  <c r="D56" i="6"/>
  <c r="D56" i="7"/>
  <c r="C45" i="6"/>
  <c r="C45" i="7"/>
  <c r="M45" i="7" s="1"/>
  <c r="H37" i="5"/>
  <c r="G37" i="5"/>
  <c r="F37" i="5"/>
  <c r="E57" i="4"/>
  <c r="F57" i="4" s="1"/>
  <c r="C58" i="4"/>
  <c r="G47" i="3"/>
  <c r="F47" i="3"/>
  <c r="H46" i="3"/>
  <c r="I46" i="3" s="1"/>
  <c r="V34" i="7" l="1"/>
  <c r="R35" i="7"/>
  <c r="S35" i="7"/>
  <c r="T35" i="7"/>
  <c r="L37" i="6"/>
  <c r="L37" i="7"/>
  <c r="K37" i="6"/>
  <c r="K37" i="7"/>
  <c r="P36" i="7"/>
  <c r="J37" i="6"/>
  <c r="J37" i="7"/>
  <c r="D57" i="6"/>
  <c r="D57" i="7"/>
  <c r="C46" i="6"/>
  <c r="C46" i="7"/>
  <c r="M46" i="7" s="1"/>
  <c r="H38" i="5"/>
  <c r="G38" i="5"/>
  <c r="F38" i="5"/>
  <c r="E58" i="4"/>
  <c r="F58" i="4" s="1"/>
  <c r="C59" i="4"/>
  <c r="F48" i="3"/>
  <c r="H47" i="3"/>
  <c r="I47" i="3" s="1"/>
  <c r="G48" i="3"/>
  <c r="U35" i="7" l="1"/>
  <c r="V35" i="7"/>
  <c r="J38" i="6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F59" i="4" s="1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F60" i="4" s="1"/>
  <c r="C61" i="4"/>
  <c r="F50" i="3"/>
  <c r="H49" i="3"/>
  <c r="G50" i="3"/>
  <c r="I49" i="3"/>
  <c r="P39" i="7" l="1"/>
  <c r="J40" i="6"/>
  <c r="J40" i="7"/>
  <c r="K40" i="6"/>
  <c r="K40" i="7"/>
  <c r="L40" i="6"/>
  <c r="L40" i="7"/>
  <c r="D60" i="6"/>
  <c r="D60" i="7"/>
  <c r="C49" i="6"/>
  <c r="C49" i="7"/>
  <c r="M49" i="7" s="1"/>
  <c r="G41" i="5"/>
  <c r="F41" i="5"/>
  <c r="H41" i="5"/>
  <c r="E61" i="4"/>
  <c r="F61" i="4" s="1"/>
  <c r="C62" i="4"/>
  <c r="G51" i="3"/>
  <c r="H50" i="3"/>
  <c r="I50" i="3" s="1"/>
  <c r="F51" i="3"/>
  <c r="P40" i="7" l="1"/>
  <c r="L41" i="6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F62" i="4" s="1"/>
  <c r="C63" i="4"/>
  <c r="F52" i="3"/>
  <c r="H51" i="3"/>
  <c r="I51" i="3" s="1"/>
  <c r="G52" i="3"/>
  <c r="J42" i="6" l="1"/>
  <c r="J42" i="7"/>
  <c r="K42" i="6"/>
  <c r="K42" i="7"/>
  <c r="P41" i="7"/>
  <c r="L42" i="6"/>
  <c r="L42" i="7"/>
  <c r="D62" i="6"/>
  <c r="D62" i="7"/>
  <c r="C51" i="6"/>
  <c r="C51" i="7"/>
  <c r="M51" i="7" s="1"/>
  <c r="G43" i="5"/>
  <c r="F43" i="5"/>
  <c r="H43" i="5"/>
  <c r="E63" i="4"/>
  <c r="F63" i="4" s="1"/>
  <c r="C64" i="4"/>
  <c r="G53" i="3"/>
  <c r="H52" i="3"/>
  <c r="I52" i="3" s="1"/>
  <c r="F53" i="3"/>
  <c r="P42" i="7" l="1"/>
  <c r="K43" i="6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F64" i="4" s="1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F65" i="4" s="1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66" i="4" s="1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F67" i="4" s="1"/>
  <c r="C68" i="4"/>
  <c r="G57" i="3"/>
  <c r="H56" i="3"/>
  <c r="I56" i="3" s="1"/>
  <c r="F57" i="3"/>
  <c r="P46" i="7" l="1"/>
  <c r="J47" i="6"/>
  <c r="J47" i="7"/>
  <c r="K47" i="6"/>
  <c r="K47" i="7"/>
  <c r="L47" i="6"/>
  <c r="L47" i="7"/>
  <c r="D67" i="6"/>
  <c r="D67" i="7"/>
  <c r="C56" i="6"/>
  <c r="C56" i="7"/>
  <c r="M56" i="7" s="1"/>
  <c r="G48" i="5"/>
  <c r="F48" i="5"/>
  <c r="H48" i="5"/>
  <c r="E68" i="4"/>
  <c r="F68" i="4" s="1"/>
  <c r="C69" i="4"/>
  <c r="H57" i="3"/>
  <c r="I57" i="3" s="1"/>
  <c r="F58" i="3"/>
  <c r="G58" i="3"/>
  <c r="P47" i="7" l="1"/>
  <c r="J48" i="6"/>
  <c r="J48" i="7"/>
  <c r="K48" i="6"/>
  <c r="K48" i="7"/>
  <c r="L48" i="6"/>
  <c r="L48" i="7"/>
  <c r="D68" i="6"/>
  <c r="D68" i="7"/>
  <c r="C57" i="6"/>
  <c r="C57" i="7"/>
  <c r="M57" i="7" s="1"/>
  <c r="H49" i="5"/>
  <c r="G49" i="5"/>
  <c r="F49" i="5"/>
  <c r="E69" i="4"/>
  <c r="F69" i="4" s="1"/>
  <c r="C70" i="4"/>
  <c r="G59" i="3"/>
  <c r="F59" i="3"/>
  <c r="H58" i="3"/>
  <c r="I58" i="3" s="1"/>
  <c r="P48" i="7" l="1"/>
  <c r="L49" i="6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F70" i="4" s="1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F71" i="4" s="1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F72" i="4" s="1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F73" i="4" s="1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F74" i="4" s="1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F75" i="4" s="1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F76" i="4" s="1"/>
  <c r="C77" i="4"/>
  <c r="G66" i="3"/>
  <c r="F66" i="3"/>
  <c r="H65" i="3"/>
  <c r="I65" i="3" s="1"/>
  <c r="J56" i="6" l="1"/>
  <c r="J56" i="7"/>
  <c r="P55" i="7"/>
  <c r="K56" i="6"/>
  <c r="K56" i="7"/>
  <c r="L56" i="6"/>
  <c r="L56" i="7"/>
  <c r="D76" i="6"/>
  <c r="D76" i="7"/>
  <c r="C65" i="6"/>
  <c r="C65" i="7"/>
  <c r="M65" i="7" s="1"/>
  <c r="G57" i="5"/>
  <c r="F57" i="5"/>
  <c r="H57" i="5"/>
  <c r="E77" i="4"/>
  <c r="F77" i="4" s="1"/>
  <c r="C78" i="4"/>
  <c r="H66" i="3"/>
  <c r="I66" i="3" s="1"/>
  <c r="F67" i="3"/>
  <c r="G67" i="3"/>
  <c r="P56" i="7" l="1"/>
  <c r="K57" i="6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F78" i="4" s="1"/>
  <c r="C79" i="4"/>
  <c r="G68" i="3"/>
  <c r="F68" i="3"/>
  <c r="H67" i="3"/>
  <c r="I67" i="3" s="1"/>
  <c r="K58" i="6" l="1"/>
  <c r="K58" i="7"/>
  <c r="J58" i="6"/>
  <c r="J58" i="7"/>
  <c r="P57" i="7"/>
  <c r="L58" i="6"/>
  <c r="L58" i="7"/>
  <c r="D78" i="6"/>
  <c r="D78" i="7"/>
  <c r="C67" i="6"/>
  <c r="C67" i="7"/>
  <c r="M67" i="7" s="1"/>
  <c r="F59" i="5"/>
  <c r="G59" i="5"/>
  <c r="H59" i="5"/>
  <c r="E79" i="4"/>
  <c r="F79" i="4" s="1"/>
  <c r="C80" i="4"/>
  <c r="F69" i="3"/>
  <c r="H68" i="3"/>
  <c r="I68" i="3" s="1"/>
  <c r="G69" i="3"/>
  <c r="P58" i="7" l="1"/>
  <c r="L59" i="6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F80" i="4" s="1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F81" i="4" s="1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F82" i="4" s="1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F83" i="4" s="1"/>
  <c r="C84" i="4"/>
  <c r="H72" i="3"/>
  <c r="I72" i="3" s="1"/>
  <c r="F73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F84" i="4" s="1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F85" i="4" s="1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F86" i="4" s="1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F87" i="4" s="1"/>
  <c r="C88" i="4"/>
  <c r="H76" i="3"/>
  <c r="I76" i="3" s="1"/>
  <c r="F77" i="3"/>
  <c r="G77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F88" i="4" s="1"/>
  <c r="C89" i="4"/>
  <c r="G78" i="3"/>
  <c r="F78" i="3"/>
  <c r="H77" i="3"/>
  <c r="I77" i="3" s="1"/>
  <c r="P67" i="7" l="1"/>
  <c r="J68" i="6"/>
  <c r="J68" i="7"/>
  <c r="K68" i="6"/>
  <c r="K68" i="7"/>
  <c r="L68" i="6"/>
  <c r="L68" i="7"/>
  <c r="D88" i="6"/>
  <c r="D88" i="7"/>
  <c r="C77" i="6"/>
  <c r="C77" i="7"/>
  <c r="M77" i="7" s="1"/>
  <c r="G69" i="5"/>
  <c r="F69" i="5"/>
  <c r="H69" i="5"/>
  <c r="E89" i="4"/>
  <c r="F89" i="4" s="1"/>
  <c r="C90" i="4"/>
  <c r="F79" i="3"/>
  <c r="H78" i="3"/>
  <c r="I78" i="3" s="1"/>
  <c r="G79" i="3"/>
  <c r="P68" i="7" l="1"/>
  <c r="J69" i="6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F90" i="4" s="1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F91" i="4" s="1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F92" i="4" s="1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F93" i="4" s="1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F94" i="4" s="1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F95" i="4" s="1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F96" i="4" s="1"/>
  <c r="C97" i="4"/>
  <c r="H85" i="3"/>
  <c r="I85" i="3" s="1"/>
  <c r="F86" i="3"/>
  <c r="G86" i="3"/>
  <c r="J76" i="6" l="1"/>
  <c r="J76" i="7"/>
  <c r="P75" i="7"/>
  <c r="K76" i="6"/>
  <c r="K76" i="7"/>
  <c r="L76" i="6"/>
  <c r="L76" i="7"/>
  <c r="D96" i="6"/>
  <c r="D96" i="7"/>
  <c r="C85" i="6"/>
  <c r="C85" i="7"/>
  <c r="M85" i="7" s="1"/>
  <c r="G77" i="5"/>
  <c r="F77" i="5"/>
  <c r="H77" i="5"/>
  <c r="E97" i="4"/>
  <c r="F97" i="4" s="1"/>
  <c r="C98" i="4"/>
  <c r="G87" i="3"/>
  <c r="F87" i="3"/>
  <c r="H86" i="3"/>
  <c r="I86" i="3" s="1"/>
  <c r="P76" i="7" l="1"/>
  <c r="L77" i="6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F98" i="4" s="1"/>
  <c r="C99" i="4"/>
  <c r="H87" i="3"/>
  <c r="I87" i="3" s="1"/>
  <c r="F88" i="3"/>
  <c r="G88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F99" i="4" s="1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F100" i="4" s="1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F101" i="4" s="1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F102" i="4" s="1"/>
  <c r="C103" i="4"/>
  <c r="H91" i="3"/>
  <c r="I91" i="3" s="1"/>
  <c r="F92" i="3"/>
  <c r="G92" i="3"/>
  <c r="J82" i="6" l="1"/>
  <c r="J82" i="7"/>
  <c r="K82" i="6"/>
  <c r="K82" i="7"/>
  <c r="L82" i="6"/>
  <c r="L82" i="7"/>
  <c r="D102" i="6"/>
  <c r="D102" i="7"/>
  <c r="C91" i="6"/>
  <c r="C91" i="7"/>
  <c r="M91" i="7" s="1"/>
  <c r="H83" i="5"/>
  <c r="G83" i="5"/>
  <c r="F83" i="5"/>
  <c r="E103" i="4"/>
  <c r="F103" i="4" s="1"/>
  <c r="C104" i="4"/>
  <c r="G93" i="3"/>
  <c r="F93" i="3"/>
  <c r="H92" i="3"/>
  <c r="I92" i="3" s="1"/>
  <c r="P82" i="7" l="1"/>
  <c r="L83" i="6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F104" i="4" s="1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F105" i="4" s="1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F106" i="4" s="1"/>
  <c r="C107" i="4"/>
  <c r="H95" i="3"/>
  <c r="I95" i="3" s="1"/>
  <c r="F96" i="3"/>
  <c r="G96" i="3"/>
  <c r="P85" i="7" l="1"/>
  <c r="J86" i="6"/>
  <c r="J86" i="7"/>
  <c r="K86" i="6"/>
  <c r="K86" i="7"/>
  <c r="L86" i="6"/>
  <c r="L86" i="7"/>
  <c r="D106" i="6"/>
  <c r="D106" i="7"/>
  <c r="C95" i="6"/>
  <c r="C95" i="7"/>
  <c r="M95" i="7" s="1"/>
  <c r="G87" i="5"/>
  <c r="F87" i="5"/>
  <c r="H87" i="5"/>
  <c r="E107" i="4"/>
  <c r="F107" i="4" s="1"/>
  <c r="C108" i="4"/>
  <c r="F97" i="3"/>
  <c r="H96" i="3"/>
  <c r="I96" i="3" s="1"/>
  <c r="G97" i="3"/>
  <c r="P86" i="7" l="1"/>
  <c r="J87" i="6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F108" i="4" s="1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F109" i="4" s="1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F110" i="4" s="1"/>
  <c r="C111" i="4"/>
  <c r="H99" i="3"/>
  <c r="I99" i="3" s="1"/>
  <c r="F100" i="3"/>
  <c r="G100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F111" i="4" s="1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F112" i="4" s="1"/>
  <c r="C113" i="4"/>
  <c r="F102" i="3"/>
  <c r="H101" i="3"/>
  <c r="I101" i="3" s="1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F113" i="4" s="1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F114" i="4" s="1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F115" i="4" s="1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F116" i="4" s="1"/>
  <c r="C117" i="4"/>
  <c r="H105" i="3"/>
  <c r="I105" i="3" s="1"/>
  <c r="F106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F117" i="4" s="1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F118" i="4" s="1"/>
  <c r="C119" i="4"/>
  <c r="H107" i="3"/>
  <c r="I107" i="3" s="1"/>
  <c r="F108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F119" i="4" s="1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F120" i="4" s="1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F121" i="4" s="1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F122" i="4" s="1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F123" i="4" s="1"/>
  <c r="C124" i="4"/>
  <c r="H112" i="3"/>
  <c r="I112" i="3" s="1"/>
  <c r="F113" i="3"/>
  <c r="G113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F124" i="4" s="1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F125" i="4" s="1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F126" i="4" s="1"/>
  <c r="H115" i="3"/>
  <c r="I115" i="3" s="1"/>
  <c r="F116" i="3"/>
  <c r="G116" i="3"/>
  <c r="P105" i="7" l="1"/>
  <c r="J106" i="6"/>
  <c r="J106" i="7"/>
  <c r="K106" i="6"/>
  <c r="K106" i="7"/>
  <c r="L106" i="6"/>
  <c r="L106" i="7"/>
  <c r="D126" i="6"/>
  <c r="D126" i="7"/>
  <c r="C115" i="6"/>
  <c r="C115" i="7"/>
  <c r="M115" i="7" s="1"/>
  <c r="F107" i="5"/>
  <c r="G107" i="5"/>
  <c r="H107" i="5"/>
  <c r="E127" i="4"/>
  <c r="F127" i="4" s="1"/>
  <c r="C128" i="4"/>
  <c r="G117" i="3"/>
  <c r="F117" i="3"/>
  <c r="H116" i="3"/>
  <c r="I116" i="3" s="1"/>
  <c r="P106" i="7" l="1"/>
  <c r="J107" i="6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F128" i="4" s="1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F129" i="4" s="1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F130" i="4" s="1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F131" i="4" s="1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F132" i="4" s="1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D132" i="6"/>
  <c r="D132" i="7"/>
  <c r="C121" i="6"/>
  <c r="C121" i="7"/>
  <c r="M121" i="7" s="1"/>
  <c r="G113" i="5"/>
  <c r="F113" i="5"/>
  <c r="H113" i="5"/>
  <c r="E133" i="4"/>
  <c r="F133" i="4" s="1"/>
  <c r="C134" i="4"/>
  <c r="G123" i="3"/>
  <c r="F123" i="3"/>
  <c r="H122" i="3"/>
  <c r="I122" i="3" s="1"/>
  <c r="P112" i="7" l="1"/>
  <c r="K113" i="6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F134" i="4" s="1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F135" i="4" s="1"/>
  <c r="C136" i="4"/>
  <c r="G125" i="3"/>
  <c r="H124" i="3"/>
  <c r="I124" i="3" s="1"/>
  <c r="F125" i="3"/>
  <c r="J115" i="6" l="1"/>
  <c r="J115" i="7"/>
  <c r="K115" i="6"/>
  <c r="K115" i="7"/>
  <c r="L115" i="6"/>
  <c r="L115" i="7"/>
  <c r="D135" i="6"/>
  <c r="D135" i="7"/>
  <c r="C124" i="6"/>
  <c r="C124" i="7"/>
  <c r="M124" i="7" s="1"/>
  <c r="H116" i="5"/>
  <c r="F116" i="5"/>
  <c r="G116" i="5"/>
  <c r="E136" i="4"/>
  <c r="F136" i="4" s="1"/>
  <c r="C137" i="4"/>
  <c r="F126" i="3"/>
  <c r="H125" i="3"/>
  <c r="I125" i="3" s="1"/>
  <c r="G126" i="3"/>
  <c r="P115" i="7" l="1"/>
  <c r="L116" i="6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F137" i="4" s="1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F138" i="4" s="1"/>
  <c r="C139" i="4"/>
  <c r="H127" i="3"/>
  <c r="I127" i="3" s="1"/>
  <c r="F128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F139" i="4" s="1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F140" i="4" s="1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F141" i="4" s="1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F142" i="4" s="1"/>
  <c r="C143" i="4"/>
  <c r="H131" i="3"/>
  <c r="I131" i="3" s="1"/>
  <c r="F132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F143" i="4" s="1"/>
  <c r="C144" i="4"/>
  <c r="H132" i="3"/>
  <c r="I132" i="3" s="1"/>
  <c r="F133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F144" i="4" s="1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F145" i="4" s="1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F146" i="4" s="1"/>
  <c r="C147" i="4"/>
  <c r="G136" i="3"/>
  <c r="F136" i="3"/>
  <c r="H135" i="3"/>
  <c r="I135" i="3" s="1"/>
  <c r="K126" i="6" l="1"/>
  <c r="K126" i="7"/>
  <c r="J126" i="6"/>
  <c r="J126" i="7"/>
  <c r="L126" i="6"/>
  <c r="L126" i="7"/>
  <c r="P125" i="7"/>
  <c r="D146" i="6"/>
  <c r="D146" i="7"/>
  <c r="C135" i="6"/>
  <c r="C135" i="7"/>
  <c r="M135" i="7" s="1"/>
  <c r="F127" i="5"/>
  <c r="H127" i="5"/>
  <c r="G127" i="5"/>
  <c r="E147" i="4"/>
  <c r="F147" i="4" s="1"/>
  <c r="C148" i="4"/>
  <c r="H136" i="3"/>
  <c r="I136" i="3" s="1"/>
  <c r="F137" i="3"/>
  <c r="G137" i="3"/>
  <c r="P126" i="7" l="1"/>
  <c r="J127" i="6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F148" i="4" s="1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F149" i="4" s="1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F150" i="4" s="1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F151" i="4" s="1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F152" i="4" s="1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F153" i="4" s="1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D153" i="6"/>
  <c r="D153" i="7"/>
  <c r="C142" i="6"/>
  <c r="C142" i="7"/>
  <c r="M142" i="7" s="1"/>
  <c r="G134" i="5"/>
  <c r="F134" i="5"/>
  <c r="H134" i="5"/>
  <c r="E154" i="4"/>
  <c r="F154" i="4" s="1"/>
  <c r="C155" i="4"/>
  <c r="G144" i="3"/>
  <c r="H143" i="3"/>
  <c r="I143" i="3" s="1"/>
  <c r="F144" i="3"/>
  <c r="P133" i="7" l="1"/>
  <c r="L134" i="6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F155" i="4" s="1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D155" i="6"/>
  <c r="D155" i="7"/>
  <c r="C144" i="6"/>
  <c r="C144" i="7"/>
  <c r="M144" i="7" s="1"/>
  <c r="H136" i="5"/>
  <c r="G136" i="5"/>
  <c r="F136" i="5"/>
  <c r="E156" i="4"/>
  <c r="F156" i="4" s="1"/>
  <c r="C157" i="4"/>
  <c r="G146" i="3"/>
  <c r="F146" i="3"/>
  <c r="H145" i="3"/>
  <c r="I145" i="3" s="1"/>
  <c r="P135" i="7" l="1"/>
  <c r="L136" i="6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F157" i="4" s="1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F158" i="4" s="1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F159" i="4" s="1"/>
  <c r="C160" i="4"/>
  <c r="H148" i="3"/>
  <c r="I148" i="3" s="1"/>
  <c r="F149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F160" i="4" s="1"/>
  <c r="C161" i="4"/>
  <c r="G150" i="3"/>
  <c r="F150" i="3"/>
  <c r="H149" i="3"/>
  <c r="I149" i="3" s="1"/>
  <c r="J140" i="6" l="1"/>
  <c r="J140" i="7"/>
  <c r="K140" i="6"/>
  <c r="K140" i="7"/>
  <c r="L140" i="6"/>
  <c r="L140" i="7"/>
  <c r="D160" i="6"/>
  <c r="D160" i="7"/>
  <c r="C149" i="6"/>
  <c r="C149" i="7"/>
  <c r="M149" i="7" s="1"/>
  <c r="G141" i="5"/>
  <c r="F141" i="5"/>
  <c r="H141" i="5"/>
  <c r="E161" i="4"/>
  <c r="F161" i="4" s="1"/>
  <c r="C162" i="4"/>
  <c r="F151" i="3"/>
  <c r="H150" i="3"/>
  <c r="I150" i="3" s="1"/>
  <c r="G151" i="3"/>
  <c r="P140" i="7" l="1"/>
  <c r="K141" i="6"/>
  <c r="K141" i="7"/>
  <c r="J141" i="6"/>
  <c r="J141" i="7"/>
  <c r="L141" i="6"/>
  <c r="L141" i="7"/>
  <c r="D161" i="6"/>
  <c r="D161" i="7"/>
  <c r="C150" i="6"/>
  <c r="C150" i="7"/>
  <c r="M150" i="7" s="1"/>
  <c r="H142" i="5"/>
  <c r="G142" i="5"/>
  <c r="F142" i="5"/>
  <c r="E162" i="4"/>
  <c r="F162" i="4" s="1"/>
  <c r="C163" i="4"/>
  <c r="G152" i="3"/>
  <c r="F152" i="3"/>
  <c r="H151" i="3"/>
  <c r="I151" i="3" s="1"/>
  <c r="P141" i="7" l="1"/>
  <c r="L142" i="6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F163" i="4" s="1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F164" i="4" s="1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F165" i="4" s="1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F166" i="4" s="1"/>
  <c r="C167" i="4"/>
  <c r="F156" i="3"/>
  <c r="H155" i="3"/>
  <c r="I155" i="3" s="1"/>
  <c r="G156" i="3"/>
  <c r="J146" i="6" l="1"/>
  <c r="J146" i="7"/>
  <c r="P145" i="7"/>
  <c r="K146" i="6"/>
  <c r="K146" i="7"/>
  <c r="L146" i="6"/>
  <c r="L146" i="7"/>
  <c r="D166" i="6"/>
  <c r="D166" i="7"/>
  <c r="C155" i="6"/>
  <c r="C155" i="7"/>
  <c r="M155" i="7" s="1"/>
  <c r="G147" i="5"/>
  <c r="F147" i="5"/>
  <c r="H147" i="5"/>
  <c r="E167" i="4"/>
  <c r="F167" i="4" s="1"/>
  <c r="C168" i="4"/>
  <c r="G157" i="3"/>
  <c r="F157" i="3"/>
  <c r="H156" i="3"/>
  <c r="I156" i="3" s="1"/>
  <c r="P146" i="7" l="1"/>
  <c r="K147" i="6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F168" i="4" s="1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F169" i="4" s="1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F170" i="4" s="1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F171" i="4" s="1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F172" i="4" s="1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F173" i="4" s="1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F174" i="4" s="1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F175" i="4" s="1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D175" i="6"/>
  <c r="D175" i="7"/>
  <c r="C164" i="6"/>
  <c r="C164" i="7"/>
  <c r="M164" i="7" s="1"/>
  <c r="G156" i="5"/>
  <c r="F156" i="5"/>
  <c r="H156" i="5"/>
  <c r="E176" i="4"/>
  <c r="F176" i="4" s="1"/>
  <c r="C177" i="4"/>
  <c r="G166" i="3"/>
  <c r="H165" i="3"/>
  <c r="I165" i="3" s="1"/>
  <c r="F166" i="3"/>
  <c r="P155" i="7" l="1"/>
  <c r="K156" i="6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F177" i="4" s="1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F178" i="4" s="1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F179" i="4" s="1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D179" i="6"/>
  <c r="D179" i="7"/>
  <c r="C168" i="6"/>
  <c r="C168" i="7"/>
  <c r="M168" i="7" s="1"/>
  <c r="G160" i="5"/>
  <c r="F160" i="5"/>
  <c r="H160" i="5"/>
  <c r="E180" i="4"/>
  <c r="F180" i="4" s="1"/>
  <c r="C181" i="4"/>
  <c r="G170" i="3"/>
  <c r="F170" i="3"/>
  <c r="H169" i="3"/>
  <c r="I169" i="3" s="1"/>
  <c r="P159" i="7" l="1"/>
  <c r="J160" i="6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F181" i="4" s="1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F182" i="4" s="1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D182" i="6"/>
  <c r="D182" i="7"/>
  <c r="C171" i="6"/>
  <c r="C171" i="7"/>
  <c r="M171" i="7" s="1"/>
  <c r="G163" i="5"/>
  <c r="F163" i="5"/>
  <c r="H163" i="5"/>
  <c r="E183" i="4"/>
  <c r="F183" i="4" s="1"/>
  <c r="C184" i="4"/>
  <c r="G173" i="3"/>
  <c r="H172" i="3"/>
  <c r="I172" i="3" s="1"/>
  <c r="F173" i="3"/>
  <c r="P162" i="7" l="1"/>
  <c r="K163" i="6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F184" i="4" s="1"/>
  <c r="C185" i="4"/>
  <c r="F174" i="3"/>
  <c r="H173" i="3"/>
  <c r="I173" i="3" s="1"/>
  <c r="G174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F185" i="4" s="1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F186" i="4" s="1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F187" i="4" s="1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F188" i="4" s="1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F189" i="4" s="1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F190" i="4" s="1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F191" i="4" s="1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F192" i="4" s="1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F193" i="4" s="1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F194" i="4" s="1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F195" i="4" s="1"/>
  <c r="C196" i="4"/>
  <c r="H184" i="3"/>
  <c r="I184" i="3" s="1"/>
  <c r="F185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F196" i="4" s="1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F197" i="4" s="1"/>
  <c r="C198" i="4"/>
  <c r="H186" i="3"/>
  <c r="I186" i="3" s="1"/>
  <c r="F187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F198" i="4" s="1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F199" i="4" s="1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F200" i="4" s="1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D200" i="6"/>
  <c r="D200" i="7"/>
  <c r="C189" i="6"/>
  <c r="C189" i="7"/>
  <c r="M189" i="7" s="1"/>
  <c r="H181" i="5"/>
  <c r="G181" i="5"/>
  <c r="F181" i="5"/>
  <c r="E201" i="4"/>
  <c r="F201" i="4" s="1"/>
  <c r="C202" i="4"/>
  <c r="F191" i="3"/>
  <c r="H190" i="3"/>
  <c r="I190" i="3" s="1"/>
  <c r="G191" i="3"/>
  <c r="P180" i="7" l="1"/>
  <c r="J181" i="6"/>
  <c r="J181" i="7"/>
  <c r="K181" i="6"/>
  <c r="K181" i="7"/>
  <c r="L181" i="6"/>
  <c r="L181" i="7"/>
  <c r="D201" i="6"/>
  <c r="D201" i="7"/>
  <c r="C190" i="6"/>
  <c r="C190" i="7"/>
  <c r="M190" i="7" s="1"/>
  <c r="H182" i="5"/>
  <c r="F182" i="5"/>
  <c r="G182" i="5"/>
  <c r="C203" i="4"/>
  <c r="E202" i="4"/>
  <c r="F202" i="4" s="1"/>
  <c r="G192" i="3"/>
  <c r="F192" i="3"/>
  <c r="H191" i="3"/>
  <c r="I191" i="3" s="1"/>
  <c r="P181" i="7" l="1"/>
  <c r="L182" i="6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F203" i="4" s="1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F204" i="4" s="1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F205" i="4" s="1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F206" i="4" s="1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F207" i="4" s="1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F208" i="4" s="1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F209" i="4" s="1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F210" i="4" s="1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F211" i="4" s="1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F212" i="4" s="1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F213" i="4" s="1"/>
  <c r="C214" i="4"/>
  <c r="F203" i="3"/>
  <c r="H202" i="3"/>
  <c r="I202" i="3" s="1"/>
  <c r="G203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F214" i="4" s="1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F215" i="4" s="1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F216" i="4" s="1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F217" i="4" s="1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F218" i="4" s="1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F219" i="4" s="1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F220" i="4" s="1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F221" i="4" s="1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F222" i="4" s="1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F223" i="4" s="1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F224" i="4" s="1"/>
  <c r="C225" i="4"/>
  <c r="G214" i="3"/>
  <c r="H213" i="3"/>
  <c r="I213" i="3" s="1"/>
  <c r="F214" i="3"/>
  <c r="K204" i="6" l="1"/>
  <c r="K204" i="7"/>
  <c r="J204" i="6"/>
  <c r="J204" i="7"/>
  <c r="L204" i="6"/>
  <c r="L204" i="7"/>
  <c r="D224" i="6"/>
  <c r="D224" i="7"/>
  <c r="C213" i="6"/>
  <c r="C213" i="7"/>
  <c r="M213" i="7" s="1"/>
  <c r="F205" i="5"/>
  <c r="G205" i="5"/>
  <c r="H205" i="5"/>
  <c r="E225" i="4"/>
  <c r="F225" i="4" s="1"/>
  <c r="C226" i="4"/>
  <c r="F215" i="3"/>
  <c r="H214" i="3"/>
  <c r="I214" i="3" s="1"/>
  <c r="G215" i="3"/>
  <c r="P204" i="7" l="1"/>
  <c r="J205" i="6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F226" i="4" s="1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F227" i="4" s="1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F228" i="4" s="1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F229" i="4" s="1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F230" i="4" s="1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F231" i="4" s="1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F232" i="4" s="1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F233" i="4" s="1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F234" i="4" s="1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F235" i="4" s="1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F236" i="4" s="1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F237" i="4" s="1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F238" i="4" s="1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D238" i="6"/>
  <c r="D238" i="7"/>
  <c r="C227" i="6"/>
  <c r="C227" i="7"/>
  <c r="M227" i="7" s="1"/>
  <c r="G219" i="5"/>
  <c r="F219" i="5"/>
  <c r="H219" i="5"/>
  <c r="E239" i="4"/>
  <c r="F239" i="4" s="1"/>
  <c r="C240" i="4"/>
  <c r="G229" i="3"/>
  <c r="F229" i="3"/>
  <c r="H228" i="3"/>
  <c r="I228" i="3" s="1"/>
  <c r="P218" i="7" l="1"/>
  <c r="J219" i="6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F240" i="4" s="1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F241" i="4" s="1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F242" i="4" s="1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F243" i="4" s="1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F244" i="4" s="1"/>
  <c r="C245" i="4"/>
  <c r="F234" i="3"/>
  <c r="H233" i="3"/>
  <c r="I233" i="3" s="1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F245" i="4" s="1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F246" i="4" s="1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F247" i="4" s="1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F248" i="4" s="1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F249" i="4" s="1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F250" i="4" s="1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F251" i="4" s="1"/>
  <c r="C252" i="4"/>
  <c r="F241" i="3"/>
  <c r="H240" i="3"/>
  <c r="I240" i="3" s="1"/>
  <c r="G241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F252" i="4" s="1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F253" i="4" s="1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F254" i="4" s="1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F255" i="4" s="1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F256" i="4" s="1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D256" i="6"/>
  <c r="D256" i="7"/>
  <c r="C245" i="6"/>
  <c r="C245" i="7"/>
  <c r="M245" i="7" s="1"/>
  <c r="G237" i="5"/>
  <c r="F237" i="5"/>
  <c r="H237" i="5"/>
  <c r="E257" i="4"/>
  <c r="F257" i="4" s="1"/>
  <c r="C258" i="4"/>
  <c r="F247" i="3"/>
  <c r="H246" i="3"/>
  <c r="I246" i="3" s="1"/>
  <c r="G247" i="3"/>
  <c r="P236" i="7" l="1"/>
  <c r="K237" i="6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F258" i="4" s="1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F259" i="4" s="1"/>
  <c r="C260" i="4"/>
  <c r="F249" i="3"/>
  <c r="H248" i="3"/>
  <c r="I248" i="3" s="1"/>
  <c r="G249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F260" i="4" s="1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F261" i="4" s="1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F262" i="4" s="1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F263" i="4" s="1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F264" i="4" s="1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F265" i="4" s="1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F266" i="4" s="1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F267" i="4" s="1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F268" i="4" s="1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F269" i="4" s="1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F270" i="4" s="1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F271" i="4" s="1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F272" i="4" s="1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F273" i="4" s="1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F274" i="4" s="1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F275" i="4" s="1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F276" i="4" s="1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F277" i="4" s="1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F278" i="4" s="1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F279" i="4" s="1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F280" i="4" s="1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F281" i="4" s="1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F282" i="4" s="1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F283" i="4" s="1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F284" i="4" s="1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F285" i="4" s="1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F286" i="4" s="1"/>
  <c r="C287" i="4"/>
  <c r="H275" i="3"/>
  <c r="I275" i="3" s="1"/>
  <c r="F276" i="3"/>
  <c r="G276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F287" i="4" s="1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F288" i="4" s="1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F289" i="4" s="1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F290" i="4" s="1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F291" i="4" s="1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F292" i="4" s="1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D292" i="6"/>
  <c r="D292" i="7"/>
  <c r="C281" i="6"/>
  <c r="C281" i="7"/>
  <c r="M281" i="7" s="1"/>
  <c r="G273" i="5"/>
  <c r="F273" i="5"/>
  <c r="H273" i="5"/>
  <c r="E293" i="4"/>
  <c r="F293" i="4" s="1"/>
  <c r="C294" i="4"/>
  <c r="H282" i="3"/>
  <c r="F283" i="3"/>
  <c r="I282" i="3"/>
  <c r="G283" i="3"/>
  <c r="P272" i="7" l="1"/>
  <c r="J273" i="6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F294" i="4" s="1"/>
  <c r="C295" i="4"/>
  <c r="F284" i="3"/>
  <c r="H283" i="3"/>
  <c r="I283" i="3" s="1"/>
  <c r="G284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F295" i="4" s="1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F296" i="4" s="1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F297" i="4" s="1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D297" i="6"/>
  <c r="D297" i="7"/>
  <c r="C286" i="6"/>
  <c r="C286" i="7"/>
  <c r="M286" i="7" s="1"/>
  <c r="G278" i="5"/>
  <c r="F278" i="5"/>
  <c r="H278" i="5"/>
  <c r="E298" i="4"/>
  <c r="F298" i="4" s="1"/>
  <c r="C299" i="4"/>
  <c r="G288" i="3"/>
  <c r="H287" i="3"/>
  <c r="I287" i="3" s="1"/>
  <c r="F288" i="3"/>
  <c r="P277" i="7" l="1"/>
  <c r="K278" i="6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F299" i="4" s="1"/>
  <c r="C300" i="4"/>
  <c r="F289" i="3"/>
  <c r="H288" i="3"/>
  <c r="I288" i="3" s="1"/>
  <c r="G289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F300" i="4" s="1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F301" i="4" s="1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F302" i="4" s="1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F303" i="4" s="1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F304" i="4" s="1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F305" i="4" s="1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F306" i="4" s="1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F307" i="4" s="1"/>
  <c r="C308" i="4"/>
  <c r="F297" i="3"/>
  <c r="H296" i="3"/>
  <c r="I296" i="3" s="1"/>
  <c r="G297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F308" i="4" s="1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F309" i="4" s="1"/>
  <c r="C310" i="4"/>
  <c r="F299" i="3"/>
  <c r="H298" i="3"/>
  <c r="I298" i="3" s="1"/>
  <c r="G299" i="3"/>
  <c r="K289" i="6" l="1"/>
  <c r="K289" i="7"/>
  <c r="J289" i="6"/>
  <c r="J289" i="7"/>
  <c r="L289" i="6"/>
  <c r="L289" i="7"/>
  <c r="D309" i="6"/>
  <c r="D309" i="7"/>
  <c r="C298" i="6"/>
  <c r="C298" i="7"/>
  <c r="M298" i="7" s="1"/>
  <c r="H290" i="5"/>
  <c r="G290" i="5"/>
  <c r="F290" i="5"/>
  <c r="E310" i="4"/>
  <c r="F310" i="4" s="1"/>
  <c r="C311" i="4"/>
  <c r="G300" i="3"/>
  <c r="H299" i="3"/>
  <c r="I299" i="3" s="1"/>
  <c r="F300" i="3"/>
  <c r="P289" i="7" l="1"/>
  <c r="L290" i="6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F311" i="4" s="1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F312" i="4" s="1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F313" i="4" s="1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F314" i="4" s="1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F315" i="4" s="1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F316" i="4" s="1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F317" i="4" s="1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F318" i="4" s="1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F319" i="4" s="1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F320" i="4" s="1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F321" i="4" s="1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F322" i="4" s="1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F323" i="4" s="1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F324" i="4" s="1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F325" i="4" s="1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F326" i="4" s="1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F327" i="4" s="1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F328" i="4" s="1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F329" i="4" s="1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F330" i="4" s="1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F331" i="4" s="1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F332" i="4" s="1"/>
  <c r="C333" i="4"/>
  <c r="F322" i="3"/>
  <c r="H321" i="3"/>
  <c r="I321" i="3" s="1"/>
  <c r="G322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F333" i="4" s="1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F334" i="4" s="1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F335" i="4" s="1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F336" i="4" s="1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F337" i="4" s="1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F338" i="4" s="1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F339" i="4" s="1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F340" i="4" s="1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F341" i="4" s="1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F342" i="4" s="1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F343" i="4" s="1"/>
  <c r="C344" i="4"/>
  <c r="H332" i="3"/>
  <c r="I332" i="3" s="1"/>
  <c r="F333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F344" i="4" s="1"/>
  <c r="G334" i="3"/>
  <c r="F334" i="3"/>
  <c r="H333" i="3"/>
  <c r="I333" i="3" s="1"/>
  <c r="P323" i="7" l="1"/>
  <c r="J324" i="6"/>
  <c r="J324" i="7"/>
  <c r="K324" i="6"/>
  <c r="K324" i="7"/>
  <c r="L324" i="6"/>
  <c r="L324" i="7"/>
  <c r="D344" i="6"/>
  <c r="D344" i="7"/>
  <c r="C333" i="6"/>
  <c r="C333" i="7"/>
  <c r="M333" i="7" s="1"/>
  <c r="H325" i="5"/>
  <c r="G325" i="5"/>
  <c r="F325" i="5"/>
  <c r="E345" i="4"/>
  <c r="F345" i="4" s="1"/>
  <c r="C346" i="4"/>
  <c r="H334" i="3"/>
  <c r="I334" i="3" s="1"/>
  <c r="F335" i="3"/>
  <c r="G335" i="3"/>
  <c r="P324" i="7" l="1"/>
  <c r="L325" i="6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F346" i="4" s="1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F347" i="4" s="1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F348" i="4" s="1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F349" i="4" s="1"/>
  <c r="C350" i="4"/>
  <c r="F339" i="3"/>
  <c r="H338" i="3"/>
  <c r="I338" i="3" s="1"/>
  <c r="G339" i="3"/>
  <c r="J329" i="6" l="1"/>
  <c r="J329" i="7"/>
  <c r="K329" i="6"/>
  <c r="K329" i="7"/>
  <c r="L329" i="6"/>
  <c r="L329" i="7"/>
  <c r="D349" i="6"/>
  <c r="D349" i="7"/>
  <c r="C338" i="6"/>
  <c r="C338" i="7"/>
  <c r="M338" i="7" s="1"/>
  <c r="G330" i="5"/>
  <c r="F330" i="5"/>
  <c r="H330" i="5"/>
  <c r="E350" i="4"/>
  <c r="F350" i="4" s="1"/>
  <c r="C351" i="4"/>
  <c r="G340" i="3"/>
  <c r="H339" i="3"/>
  <c r="I339" i="3" s="1"/>
  <c r="F340" i="3"/>
  <c r="P329" i="7" l="1"/>
  <c r="J330" i="6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F351" i="4" s="1"/>
  <c r="C352" i="4"/>
  <c r="F341" i="3"/>
  <c r="H340" i="3"/>
  <c r="I340" i="3" s="1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F352" i="4" s="1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F353" i="4" s="1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F354" i="4" s="1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F355" i="4" s="1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F356" i="4" s="1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F357" i="4" s="1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F358" i="4" s="1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F359" i="4" s="1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F360" i="4" s="1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F361" i="4" s="1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F362" i="4" s="1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F363" i="4" s="1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F364" i="4" s="1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F365" i="4" s="1"/>
  <c r="C366" i="4"/>
  <c r="H354" i="3"/>
  <c r="I354" i="3" s="1"/>
  <c r="F355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F366" i="4" s="1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F367" i="4" s="1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F368" i="4" s="1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F369" i="4" s="1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F370" i="4" s="1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F371" i="4" s="1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F372" i="4" s="1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F373" i="4" s="1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F374" i="4" s="1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F375" i="4" s="1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F376" i="4" s="1"/>
  <c r="C377" i="4"/>
  <c r="E45" i="7"/>
  <c r="N45" i="7" s="1"/>
  <c r="H365" i="3"/>
  <c r="I365" i="3" s="1"/>
  <c r="F366" i="3"/>
  <c r="G366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F377" i="4" s="1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F378" i="4" s="1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F379" i="4" s="1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F380" i="4" s="1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F381" i="4" s="1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F382" i="4" s="1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F383" i="4" s="1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F384" i="4" s="1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F385" i="4" s="1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F386" i="4" s="1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F387" i="4" s="1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F388" i="4" s="1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F389" i="4" s="1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F390" i="4" s="1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F391" i="4" s="1"/>
  <c r="C392" i="4"/>
  <c r="E60" i="7"/>
  <c r="N60" i="7" s="1"/>
  <c r="H380" i="3"/>
  <c r="I380" i="3" s="1"/>
  <c r="F381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F392" i="4" s="1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F393" i="4" s="1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F394" i="4" s="1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F395" i="4" s="1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F396" i="4" s="1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F397" i="4" s="1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F398" i="4" s="1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F399" i="4" s="1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F400" i="4" s="1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F401" i="4" s="1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F402" i="4" s="1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F403" i="4" s="1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F404" i="4" s="1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F405" i="4" s="1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F406" i="4" s="1"/>
  <c r="C407" i="4"/>
  <c r="E75" i="7"/>
  <c r="N75" i="7" s="1"/>
  <c r="H395" i="3"/>
  <c r="I395" i="3" s="1"/>
  <c r="F396" i="3"/>
  <c r="G396" i="3"/>
  <c r="K386" i="6" l="1"/>
  <c r="K386" i="7"/>
  <c r="P385" i="7"/>
  <c r="J386" i="6"/>
  <c r="J386" i="7"/>
  <c r="L386" i="6"/>
  <c r="L386" i="7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F407" i="4" s="1"/>
  <c r="C408" i="4"/>
  <c r="E76" i="7"/>
  <c r="N76" i="7" s="1"/>
  <c r="G397" i="3"/>
  <c r="F397" i="3"/>
  <c r="H396" i="3"/>
  <c r="I396" i="3" s="1"/>
  <c r="P386" i="7" l="1"/>
  <c r="J387" i="6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F408" i="4" s="1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F409" i="4" s="1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F410" i="4" s="1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F411" i="4" s="1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F412" i="4" s="1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F413" i="4" s="1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F414" i="4" s="1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F415" i="4" s="1"/>
  <c r="C416" i="4"/>
  <c r="E84" i="7"/>
  <c r="N84" i="7" s="1"/>
  <c r="H404" i="3"/>
  <c r="I404" i="3" s="1"/>
  <c r="F405" i="3"/>
  <c r="G405" i="3"/>
  <c r="P394" i="7" l="1"/>
  <c r="K395" i="6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F416" i="4" s="1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F417" i="4" s="1"/>
  <c r="C418" i="4"/>
  <c r="E86" i="7"/>
  <c r="N86" i="7" s="1"/>
  <c r="F407" i="3"/>
  <c r="H406" i="3"/>
  <c r="I406" i="3" s="1"/>
  <c r="G407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F418" i="4" s="1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F419" i="4" s="1"/>
  <c r="C420" i="4"/>
  <c r="E88" i="7"/>
  <c r="N88" i="7" s="1"/>
  <c r="F409" i="3"/>
  <c r="H408" i="3"/>
  <c r="I408" i="3" s="1"/>
  <c r="G409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F420" i="4" s="1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F421" i="4" s="1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F422" i="4" s="1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F423" i="4" s="1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F424" i="4" s="1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F425" i="4" s="1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F426" i="4" s="1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F427" i="4" s="1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F428" i="4" s="1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F429" i="4" s="1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F430" i="4" s="1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F431" i="4" s="1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F432" i="4" s="1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F433" i="4" s="1"/>
  <c r="C434" i="4"/>
  <c r="E102" i="7"/>
  <c r="N102" i="7" s="1"/>
  <c r="H422" i="3"/>
  <c r="I422" i="3" s="1"/>
  <c r="F423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F434" i="4" s="1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F435" i="4" s="1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F436" i="4" s="1"/>
  <c r="C437" i="4"/>
  <c r="E105" i="7"/>
  <c r="N105" i="7" s="1"/>
  <c r="F426" i="3"/>
  <c r="H425" i="3"/>
  <c r="I425" i="3" s="1"/>
  <c r="G426" i="3"/>
  <c r="P415" i="7" l="1"/>
  <c r="K416" i="6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F437" i="4" s="1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F438" i="4" s="1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F439" i="4" s="1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F440" i="4" s="1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F441" i="4" s="1"/>
  <c r="C442" i="4"/>
  <c r="E110" i="7"/>
  <c r="N110" i="7" s="1"/>
  <c r="H430" i="3"/>
  <c r="I430" i="3" s="1"/>
  <c r="F431" i="3"/>
  <c r="G431" i="3"/>
  <c r="K421" i="6" l="1"/>
  <c r="K421" i="7"/>
  <c r="J421" i="6"/>
  <c r="J421" i="7"/>
  <c r="P420" i="7"/>
  <c r="L421" i="6"/>
  <c r="L421" i="7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F442" i="4" s="1"/>
  <c r="C443" i="4"/>
  <c r="E111" i="7"/>
  <c r="N111" i="7" s="1"/>
  <c r="H431" i="3"/>
  <c r="F432" i="3"/>
  <c r="I431" i="3"/>
  <c r="G432" i="3"/>
  <c r="P421" i="7" l="1"/>
  <c r="K422" i="6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F443" i="4" s="1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F444" i="4" s="1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F445" i="4" s="1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F446" i="4" s="1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F447" i="4" s="1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F448" i="4" s="1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F449" i="4" s="1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F450" i="4" s="1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F451" i="4" s="1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F452" i="4" s="1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F453" i="4" s="1"/>
  <c r="C454" i="4"/>
  <c r="E122" i="7"/>
  <c r="N122" i="7" s="1"/>
  <c r="F443" i="3"/>
  <c r="H442" i="3"/>
  <c r="I442" i="3" s="1"/>
  <c r="G443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F454" i="4" s="1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F455" i="4" s="1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F456" i="4" s="1"/>
  <c r="C457" i="4"/>
  <c r="E125" i="7"/>
  <c r="N125" i="7" s="1"/>
  <c r="H445" i="3"/>
  <c r="I445" i="3" s="1"/>
  <c r="F446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F457" i="4" s="1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F458" i="4" s="1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F459" i="4" s="1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F460" i="4" s="1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F461" i="4" s="1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F462" i="4" s="1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F463" i="4" s="1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F464" i="4" s="1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F465" i="4" s="1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F466" i="4" s="1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F467" i="4" s="1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F468" i="4" s="1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F469" i="4" s="1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F470" i="4" s="1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F471" i="4" s="1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F472" i="4" s="1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F473" i="4" s="1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F474" i="4" s="1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F475" i="4" s="1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F476" i="4" s="1"/>
  <c r="C477" i="4"/>
  <c r="E145" i="7"/>
  <c r="N145" i="7" s="1"/>
  <c r="H465" i="3"/>
  <c r="F466" i="3"/>
  <c r="I465" i="3"/>
  <c r="G466" i="3"/>
  <c r="P455" i="7" l="1"/>
  <c r="L456" i="6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F477" i="4" s="1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F478" i="4" s="1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F479" i="4" s="1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F480" i="4" s="1"/>
  <c r="C481" i="4"/>
  <c r="E149" i="7"/>
  <c r="N149" i="7" s="1"/>
  <c r="H469" i="3"/>
  <c r="I469" i="3" s="1"/>
  <c r="F470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F481" i="4" s="1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F482" i="4" s="1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F483" i="4" s="1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F484" i="4" s="1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F485" i="4" s="1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F486" i="4" s="1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F487" i="4" s="1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F488" i="4" s="1"/>
  <c r="C489" i="4"/>
  <c r="E157" i="7"/>
  <c r="N157" i="7" s="1"/>
  <c r="F478" i="3"/>
  <c r="H477" i="3"/>
  <c r="G478" i="3"/>
  <c r="I477" i="3"/>
  <c r="P467" i="7" l="1"/>
  <c r="K468" i="6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F489" i="4" s="1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F490" i="4" s="1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F491" i="4" s="1"/>
  <c r="C492" i="4"/>
  <c r="E160" i="7"/>
  <c r="N160" i="7" s="1"/>
  <c r="F481" i="3"/>
  <c r="H480" i="3"/>
  <c r="I480" i="3" s="1"/>
  <c r="G481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F492" i="4" s="1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F493" i="4" s="1"/>
  <c r="C494" i="4"/>
  <c r="E162" i="7"/>
  <c r="N162" i="7" s="1"/>
  <c r="F483" i="3"/>
  <c r="H482" i="3"/>
  <c r="I482" i="3" s="1"/>
  <c r="G483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F494" i="4" s="1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F495" i="4" s="1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F496" i="4" s="1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F497" i="4" s="1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F498" i="4" s="1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F499" i="4" s="1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F500" i="4" s="1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F501" i="4" s="1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F502" i="4" s="1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F503" i="4" s="1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F504" i="4" s="1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F505" i="4" s="1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F506" i="4" s="1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F507" i="4" s="1"/>
  <c r="C508" i="4"/>
  <c r="E176" i="7"/>
  <c r="N176" i="7" s="1"/>
  <c r="H496" i="3"/>
  <c r="I496" i="3" s="1"/>
  <c r="F497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F508" i="4" s="1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F509" i="4" s="1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F510" i="4" s="1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F511" i="4" s="1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F512" i="4" s="1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F513" i="4" s="1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F514" i="4" s="1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F515" i="4" s="1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F516" i="4" s="1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F517" i="4" s="1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F518" i="4" s="1"/>
  <c r="C519" i="4"/>
  <c r="E187" i="7"/>
  <c r="N187" i="7" s="1"/>
  <c r="F508" i="3"/>
  <c r="H507" i="3"/>
  <c r="I507" i="3" s="1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F519" i="4" s="1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F520" i="4" s="1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F521" i="4" s="1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F522" i="4" s="1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F523" i="4" s="1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F524" i="4" s="1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F525" i="4" s="1"/>
  <c r="C526" i="4"/>
  <c r="E194" i="7"/>
  <c r="N194" i="7" s="1"/>
  <c r="F515" i="3"/>
  <c r="H514" i="3"/>
  <c r="I514" i="3" s="1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F526" i="4" s="1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F527" i="4" s="1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F528" i="4" s="1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F529" i="4" s="1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F530" i="4" s="1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F531" i="4" s="1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F532" i="4" s="1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F533" i="4" s="1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F534" i="4" s="1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F535" i="4" s="1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F536" i="4" s="1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F537" i="4" s="1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F538" i="4" s="1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F539" i="4" s="1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F540" i="4" s="1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F541" i="4" s="1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F542" i="4" s="1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F543" i="4" s="1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F544" i="4" s="1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F545" i="4" s="1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F546" i="4" s="1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F547" i="4" s="1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F548" i="4" s="1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F549" i="4" s="1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F550" i="4" s="1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F551" i="4" s="1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F552" i="4" s="1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F553" i="4" s="1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F554" i="4" s="1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F555" i="4" s="1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F556" i="4" s="1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F557" i="4" s="1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F558" i="4" s="1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F559" i="4" s="1"/>
  <c r="C560" i="4"/>
  <c r="E228" i="7"/>
  <c r="N228" i="7" s="1"/>
  <c r="H548" i="3"/>
  <c r="I548" i="3" s="1"/>
  <c r="F549" i="3"/>
  <c r="G549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F560" i="4" s="1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F561" i="4" s="1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F562" i="4" s="1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F563" i="4" s="1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F564" i="4" s="1"/>
  <c r="C565" i="4"/>
  <c r="E233" i="7"/>
  <c r="N233" i="7" s="1"/>
  <c r="F554" i="3"/>
  <c r="H553" i="3"/>
  <c r="I553" i="3" s="1"/>
  <c r="G554" i="3"/>
  <c r="P543" i="7" l="1"/>
  <c r="J544" i="6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F565" i="4" s="1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F566" i="4" s="1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F567" i="4" s="1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F568" i="4" s="1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F569" i="4" s="1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F570" i="4" s="1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F571" i="4" s="1"/>
  <c r="C572" i="4"/>
  <c r="E240" i="7"/>
  <c r="N240" i="7" s="1"/>
  <c r="F561" i="3"/>
  <c r="H560" i="3"/>
  <c r="G561" i="3"/>
  <c r="I560" i="3"/>
  <c r="P550" i="7" l="1"/>
  <c r="L551" i="6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F572" i="4" s="1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F573" i="4" s="1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F574" i="4" s="1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F575" i="4" s="1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F576" i="4" s="1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F577" i="4" s="1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F578" i="4" s="1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F579" i="4" s="1"/>
  <c r="C580" i="4"/>
  <c r="E248" i="7"/>
  <c r="N248" i="7" s="1"/>
  <c r="H568" i="3"/>
  <c r="I568" i="3" s="1"/>
  <c r="F569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F580" i="4" s="1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F581" i="4" s="1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F582" i="4" s="1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F583" i="4" s="1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F584" i="4" s="1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F585" i="4" s="1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F586" i="4" s="1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F587" i="4" s="1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F588" i="4" s="1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F589" i="4" s="1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F590" i="4" s="1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F591" i="4" s="1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F592" i="4" s="1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F593" i="4" s="1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F594" i="4" s="1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F595" i="4" s="1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F596" i="4" s="1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F597" i="4" s="1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F598" i="4" s="1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F599" i="4" s="1"/>
  <c r="C600" i="4"/>
  <c r="E268" i="7"/>
  <c r="N268" i="7" s="1"/>
  <c r="F589" i="3"/>
  <c r="H588" i="3"/>
  <c r="I588" i="3" s="1"/>
  <c r="G589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F600" i="4" s="1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F601" i="4" s="1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F602" i="4" s="1"/>
  <c r="C603" i="4"/>
  <c r="E271" i="7"/>
  <c r="N271" i="7" s="1"/>
  <c r="H591" i="3"/>
  <c r="I591" i="3" s="1"/>
  <c r="F592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F603" i="4" s="1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F604" i="4" s="1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F605" i="4" s="1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F606" i="4" s="1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F607" i="4" s="1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F608" i="4" s="1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F609" i="4" s="1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F610" i="4" s="1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F611" i="4" s="1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F612" i="4" s="1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F613" i="4" s="1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F614" i="4" s="1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F615" i="4" s="1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F616" i="4" s="1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F617" i="4" s="1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F618" i="4" s="1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F619" i="4" s="1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F620" i="4" s="1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F621" i="4" s="1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F622" i="4" s="1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F623" i="4" s="1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F624" i="4" s="1"/>
  <c r="C625" i="4"/>
  <c r="E293" i="7"/>
  <c r="N293" i="7" s="1"/>
  <c r="F614" i="3"/>
  <c r="H613" i="3"/>
  <c r="I613" i="3" s="1"/>
  <c r="G614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F625" i="4" s="1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F626" i="4" s="1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F627" i="4" s="1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F628" i="4" s="1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F629" i="4" s="1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F630" i="4" s="1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F631" i="4" s="1"/>
  <c r="C632" i="4"/>
  <c r="E300" i="7"/>
  <c r="N300" i="7" s="1"/>
  <c r="H620" i="3"/>
  <c r="I620" i="3" s="1"/>
  <c r="F621" i="3"/>
  <c r="G621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F632" i="4" s="1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F633" i="4" s="1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F634" i="4" s="1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F635" i="4" s="1"/>
  <c r="C636" i="4"/>
  <c r="E304" i="7"/>
  <c r="N304" i="7" s="1"/>
  <c r="F625" i="3"/>
  <c r="H624" i="3"/>
  <c r="I624" i="3" s="1"/>
  <c r="G625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F636" i="4" s="1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F637" i="4" s="1"/>
  <c r="C638" i="4"/>
  <c r="E306" i="7"/>
  <c r="N306" i="7" s="1"/>
  <c r="F627" i="3"/>
  <c r="H626" i="3"/>
  <c r="I626" i="3" s="1"/>
  <c r="G627" i="3"/>
  <c r="P616" i="7" l="1"/>
  <c r="L617" i="6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F638" i="4" s="1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F639" i="4" s="1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F640" i="4" s="1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F641" i="4" s="1"/>
  <c r="C642" i="4"/>
  <c r="E310" i="7"/>
  <c r="N310" i="7" s="1"/>
  <c r="F631" i="3"/>
  <c r="H630" i="3"/>
  <c r="I630" i="3" s="1"/>
  <c r="G631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F642" i="4" s="1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F643" i="4" s="1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F644" i="4" s="1"/>
  <c r="C645" i="4"/>
  <c r="E313" i="7"/>
  <c r="N313" i="7" s="1"/>
  <c r="G634" i="3"/>
  <c r="H633" i="3"/>
  <c r="I633" i="3" s="1"/>
  <c r="F634" i="3"/>
  <c r="P623" i="7" l="1"/>
  <c r="L624" i="6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F645" i="4" s="1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F646" i="4" s="1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F647" i="4" s="1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F648" i="4" s="1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F649" i="4" s="1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F650" i="4" s="1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F651" i="4" s="1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F652" i="4" s="1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F653" i="4" s="1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F654" i="4" s="1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F655" i="4" s="1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F656" i="4" s="1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F657" i="4" s="1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F658" i="4" s="1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F659" i="4" s="1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F660" i="4" s="1"/>
  <c r="C661" i="4"/>
  <c r="E329" i="7"/>
  <c r="N329" i="7" s="1"/>
  <c r="F650" i="3"/>
  <c r="H649" i="3"/>
  <c r="I649" i="3" s="1"/>
  <c r="G650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F661" i="4" s="1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F662" i="4" s="1"/>
  <c r="C663" i="4"/>
  <c r="E331" i="7"/>
  <c r="N331" i="7" s="1"/>
  <c r="F652" i="3"/>
  <c r="H651" i="3"/>
  <c r="I651" i="3" s="1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F663" i="4" s="1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F664" i="4" s="1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F665" i="4" s="1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F666" i="4" s="1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F667" i="4" s="1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F668" i="4" s="1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F669" i="4" s="1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F670" i="4" s="1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F671" i="4" s="1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F672" i="4" s="1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F673" i="4" s="1"/>
  <c r="C674" i="4"/>
  <c r="E342" i="7"/>
  <c r="N342" i="7" s="1"/>
  <c r="H662" i="3"/>
  <c r="F663" i="3"/>
  <c r="I662" i="3"/>
  <c r="G663" i="3"/>
  <c r="P652" i="7" l="1"/>
  <c r="J653" i="6"/>
  <c r="J653" i="7"/>
  <c r="K653" i="6"/>
  <c r="K653" i="7"/>
  <c r="L653" i="6"/>
  <c r="L653" i="7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F674" i="4" s="1"/>
  <c r="C675" i="4"/>
  <c r="E343" i="7"/>
  <c r="N343" i="7" s="1"/>
  <c r="G664" i="3"/>
  <c r="H663" i="3"/>
  <c r="I663" i="3" s="1"/>
  <c r="F664" i="3"/>
  <c r="P653" i="7" l="1"/>
  <c r="J654" i="6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F675" i="4" s="1"/>
  <c r="C676" i="4"/>
  <c r="E344" i="7"/>
  <c r="N344" i="7" s="1"/>
  <c r="H664" i="3"/>
  <c r="I664" i="3" s="1"/>
  <c r="F665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F676" i="4" s="1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F677" i="4" s="1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F678" i="4" s="1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F679" i="4" s="1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F680" i="4" s="1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F681" i="4" s="1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F682" i="4" s="1"/>
  <c r="C683" i="4"/>
  <c r="E351" i="7"/>
  <c r="N351" i="7" s="1"/>
  <c r="H671" i="3"/>
  <c r="F672" i="3"/>
  <c r="I671" i="3"/>
  <c r="G672" i="3"/>
  <c r="P661" i="7" l="1"/>
  <c r="L662" i="6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F683" i="4" s="1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F684" i="4" s="1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F685" i="4" s="1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F686" i="4" s="1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F687" i="4" s="1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F688" i="4" s="1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F689" i="4" s="1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F690" i="4" s="1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F691" i="4" s="1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363" i="7"/>
  <c r="N363" i="7" s="1"/>
  <c r="H683" i="3"/>
  <c r="I683" i="3" s="1"/>
  <c r="F684" i="3"/>
  <c r="G684" i="3"/>
  <c r="P673" i="7" l="1"/>
  <c r="K674" i="6"/>
  <c r="K674" i="7"/>
  <c r="J674" i="6"/>
  <c r="J674" i="7"/>
  <c r="L674" i="6"/>
  <c r="L67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367" i="7"/>
  <c r="N367" i="7" s="1"/>
  <c r="H687" i="3"/>
  <c r="I687" i="3" s="1"/>
  <c r="F688" i="3"/>
  <c r="G688" i="3"/>
  <c r="K678" i="6" l="1"/>
  <c r="K678" i="7"/>
  <c r="P677" i="7"/>
  <c r="L678" i="6"/>
  <c r="L678" i="7"/>
  <c r="J678" i="6"/>
  <c r="J678" i="7"/>
  <c r="V366" i="7"/>
  <c r="U366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H689" i="3"/>
  <c r="I689" i="3" s="1"/>
  <c r="F690" i="3"/>
  <c r="G690" i="3"/>
  <c r="K680" i="6" l="1"/>
  <c r="K680" i="7"/>
  <c r="J680" i="6"/>
  <c r="J680" i="7"/>
  <c r="L680" i="6"/>
  <c r="L680" i="7"/>
  <c r="P679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370" i="7"/>
  <c r="N370" i="7" s="1"/>
  <c r="H690" i="3"/>
  <c r="I690" i="3" s="1"/>
  <c r="F691" i="3"/>
  <c r="G691" i="3"/>
  <c r="P680" i="7" l="1"/>
  <c r="K681" i="6"/>
  <c r="K681" i="7"/>
  <c r="L681" i="6"/>
  <c r="L681" i="7"/>
  <c r="J681" i="6"/>
  <c r="J68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371" i="7"/>
  <c r="N371" i="7" s="1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372" i="7"/>
  <c r="N372" i="7" s="1"/>
  <c r="K683" i="6" l="1"/>
  <c r="K683" i="7"/>
  <c r="L683" i="6"/>
  <c r="L683" i="7"/>
  <c r="J683" i="6"/>
  <c r="J683" i="7"/>
  <c r="U371" i="7"/>
  <c r="V371" i="7"/>
  <c r="Q372" i="7"/>
  <c r="R372" i="7"/>
  <c r="T372" i="7"/>
  <c r="S372" i="7"/>
  <c r="G372" i="4"/>
  <c r="H372" i="4" s="1"/>
  <c r="E372" i="6"/>
  <c r="G684" i="5"/>
  <c r="F684" i="5"/>
  <c r="H684" i="5"/>
  <c r="E373" i="7"/>
  <c r="N373" i="7" s="1"/>
  <c r="J684" i="6" l="1"/>
  <c r="J684" i="7"/>
  <c r="L684" i="6"/>
  <c r="L684" i="7"/>
  <c r="P683" i="7"/>
  <c r="K684" i="6"/>
  <c r="K684" i="7"/>
  <c r="V372" i="7"/>
  <c r="U372" i="7"/>
  <c r="S373" i="7"/>
  <c r="R373" i="7"/>
  <c r="Q373" i="7"/>
  <c r="T373" i="7"/>
  <c r="G373" i="4"/>
  <c r="H373" i="4" s="1"/>
  <c r="E373" i="6"/>
  <c r="H685" i="5"/>
  <c r="F685" i="5"/>
  <c r="G685" i="5"/>
  <c r="E374" i="7"/>
  <c r="N374" i="7" s="1"/>
  <c r="J685" i="6" l="1"/>
  <c r="J685" i="7"/>
  <c r="L685" i="6"/>
  <c r="L685" i="7"/>
  <c r="P684" i="7"/>
  <c r="K685" i="6"/>
  <c r="K685" i="7"/>
  <c r="U373" i="7"/>
  <c r="V373" i="7"/>
  <c r="R374" i="7"/>
  <c r="Q374" i="7"/>
  <c r="T374" i="7"/>
  <c r="S374" i="7"/>
  <c r="G374" i="4"/>
  <c r="H374" i="4" s="1"/>
  <c r="E374" i="6"/>
  <c r="H686" i="5"/>
  <c r="F686" i="5"/>
  <c r="G686" i="5"/>
  <c r="E375" i="7"/>
  <c r="N375" i="7" s="1"/>
  <c r="K686" i="6" l="1"/>
  <c r="K686" i="7"/>
  <c r="J686" i="6"/>
  <c r="J686" i="7"/>
  <c r="P685" i="7"/>
  <c r="L686" i="6"/>
  <c r="L686" i="7"/>
  <c r="P686" i="7" s="1"/>
  <c r="V374" i="7"/>
  <c r="U374" i="7"/>
  <c r="T375" i="7"/>
  <c r="R375" i="7"/>
  <c r="Q375" i="7"/>
  <c r="S375" i="7"/>
  <c r="G375" i="4"/>
  <c r="H375" i="4" s="1"/>
  <c r="E375" i="6"/>
  <c r="G687" i="5"/>
  <c r="F687" i="5"/>
  <c r="H687" i="5"/>
  <c r="E376" i="7"/>
  <c r="N376" i="7" s="1"/>
  <c r="J687" i="6" l="1"/>
  <c r="J687" i="7"/>
  <c r="L687" i="6"/>
  <c r="L687" i="7"/>
  <c r="K687" i="6"/>
  <c r="K687" i="7"/>
  <c r="V375" i="7"/>
  <c r="U375" i="7"/>
  <c r="Q376" i="7"/>
  <c r="R376" i="7"/>
  <c r="S376" i="7"/>
  <c r="T376" i="7"/>
  <c r="G376" i="4"/>
  <c r="H376" i="4" s="1"/>
  <c r="E376" i="6"/>
  <c r="H688" i="5"/>
  <c r="G688" i="5"/>
  <c r="F688" i="5"/>
  <c r="E377" i="7"/>
  <c r="N377" i="7" s="1"/>
  <c r="K688" i="6" l="1"/>
  <c r="K688" i="7"/>
  <c r="L688" i="6"/>
  <c r="L688" i="7"/>
  <c r="J688" i="6"/>
  <c r="J688" i="7"/>
  <c r="P687" i="7"/>
  <c r="V376" i="7"/>
  <c r="U376" i="7"/>
  <c r="R377" i="7"/>
  <c r="T377" i="7"/>
  <c r="S377" i="7"/>
  <c r="Q377" i="7"/>
  <c r="G377" i="4"/>
  <c r="H377" i="4" s="1"/>
  <c r="E377" i="6"/>
  <c r="F689" i="5"/>
  <c r="H689" i="5"/>
  <c r="G689" i="5"/>
  <c r="E378" i="7"/>
  <c r="N378" i="7" s="1"/>
  <c r="L689" i="6" l="1"/>
  <c r="L689" i="7"/>
  <c r="K689" i="6"/>
  <c r="K689" i="7"/>
  <c r="J689" i="6"/>
  <c r="J689" i="7"/>
  <c r="P688" i="7"/>
  <c r="V377" i="7"/>
  <c r="U377" i="7"/>
  <c r="R378" i="7"/>
  <c r="T378" i="7"/>
  <c r="S378" i="7"/>
  <c r="Q378" i="7"/>
  <c r="G378" i="4"/>
  <c r="H378" i="4" s="1"/>
  <c r="E378" i="6"/>
  <c r="G690" i="5"/>
  <c r="F690" i="5"/>
  <c r="H690" i="5"/>
  <c r="E379" i="7"/>
  <c r="N379" i="7" s="1"/>
  <c r="L690" i="6" l="1"/>
  <c r="L690" i="7"/>
  <c r="J690" i="6"/>
  <c r="J690" i="7"/>
  <c r="P689" i="7"/>
  <c r="K690" i="6"/>
  <c r="K690" i="7"/>
  <c r="U378" i="7"/>
  <c r="V378" i="7"/>
  <c r="T379" i="7"/>
  <c r="S379" i="7"/>
  <c r="Q379" i="7"/>
  <c r="R379" i="7"/>
  <c r="G379" i="4"/>
  <c r="H379" i="4" s="1"/>
  <c r="E379" i="6"/>
  <c r="F691" i="5"/>
  <c r="H691" i="5"/>
  <c r="G691" i="5"/>
  <c r="E380" i="7"/>
  <c r="N380" i="7" s="1"/>
  <c r="K691" i="6" l="1"/>
  <c r="K691" i="7"/>
  <c r="L691" i="6"/>
  <c r="L691" i="7"/>
  <c r="P690" i="7"/>
  <c r="J691" i="6"/>
  <c r="J691" i="7"/>
  <c r="U379" i="7"/>
  <c r="V379" i="7"/>
  <c r="S380" i="7"/>
  <c r="R380" i="7"/>
  <c r="T380" i="7"/>
  <c r="Q380" i="7"/>
  <c r="G380" i="4"/>
  <c r="H380" i="4" s="1"/>
  <c r="E380" i="6"/>
  <c r="E381" i="7"/>
  <c r="N381" i="7" s="1"/>
  <c r="P691" i="7" l="1"/>
  <c r="U380" i="7"/>
  <c r="V380" i="7"/>
  <c r="T381" i="7"/>
  <c r="R381" i="7"/>
  <c r="Q381" i="7"/>
  <c r="S381" i="7"/>
  <c r="G381" i="4"/>
  <c r="H381" i="4" s="1"/>
  <c r="E381" i="6"/>
  <c r="E382" i="7"/>
  <c r="N382" i="7" s="1"/>
  <c r="Q382" i="7" l="1"/>
  <c r="R382" i="7"/>
  <c r="S382" i="7"/>
  <c r="T382" i="7"/>
  <c r="U381" i="7"/>
  <c r="V381" i="7"/>
  <c r="G382" i="4"/>
  <c r="H382" i="4" s="1"/>
  <c r="E382" i="6"/>
  <c r="E383" i="7"/>
  <c r="N383" i="7" s="1"/>
  <c r="Q383" i="7" l="1"/>
  <c r="R383" i="7"/>
  <c r="S383" i="7"/>
  <c r="T383" i="7"/>
  <c r="U382" i="7"/>
  <c r="V382" i="7"/>
  <c r="G383" i="4"/>
  <c r="H383" i="4" s="1"/>
  <c r="E383" i="6"/>
  <c r="E384" i="7"/>
  <c r="N384" i="7" s="1"/>
  <c r="V383" i="7" l="1"/>
  <c r="U383" i="7"/>
  <c r="S384" i="7"/>
  <c r="R384" i="7"/>
  <c r="T384" i="7"/>
  <c r="Q384" i="7"/>
  <c r="G384" i="4"/>
  <c r="H384" i="4" s="1"/>
  <c r="E384" i="6"/>
  <c r="E385" i="7"/>
  <c r="N385" i="7" s="1"/>
  <c r="R385" i="7" l="1"/>
  <c r="T385" i="7"/>
  <c r="Q385" i="7"/>
  <c r="S385" i="7"/>
  <c r="U384" i="7"/>
  <c r="V384" i="7"/>
  <c r="G385" i="4"/>
  <c r="H385" i="4" s="1"/>
  <c r="E385" i="6"/>
  <c r="E386" i="7"/>
  <c r="N386" i="7" s="1"/>
  <c r="U385" i="7" l="1"/>
  <c r="V385" i="7"/>
  <c r="S386" i="7"/>
  <c r="Q386" i="7"/>
  <c r="R386" i="7"/>
  <c r="T386" i="7"/>
  <c r="G386" i="4"/>
  <c r="H386" i="4" s="1"/>
  <c r="E386" i="6"/>
  <c r="E387" i="7"/>
  <c r="N387" i="7" s="1"/>
  <c r="V386" i="7" l="1"/>
  <c r="U386" i="7"/>
  <c r="Q387" i="7"/>
  <c r="S387" i="7"/>
  <c r="T387" i="7"/>
  <c r="R387" i="7"/>
  <c r="G387" i="4"/>
  <c r="H387" i="4" s="1"/>
  <c r="E387" i="6"/>
  <c r="E388" i="7"/>
  <c r="N388" i="7" s="1"/>
  <c r="V387" i="7" l="1"/>
  <c r="U387" i="7"/>
  <c r="S388" i="7"/>
  <c r="T388" i="7"/>
  <c r="Q388" i="7"/>
  <c r="R388" i="7"/>
  <c r="G388" i="4"/>
  <c r="H388" i="4" s="1"/>
  <c r="E388" i="6"/>
  <c r="E389" i="7"/>
  <c r="N389" i="7" s="1"/>
  <c r="U388" i="7" l="1"/>
  <c r="V388" i="7"/>
  <c r="Q389" i="7"/>
  <c r="T389" i="7"/>
  <c r="R389" i="7"/>
  <c r="S389" i="7"/>
  <c r="G389" i="4"/>
  <c r="H389" i="4" s="1"/>
  <c r="E389" i="6"/>
  <c r="E390" i="7"/>
  <c r="N390" i="7" s="1"/>
  <c r="U389" i="7" l="1"/>
  <c r="V389" i="7"/>
  <c r="R390" i="7"/>
  <c r="Q390" i="7"/>
  <c r="S390" i="7"/>
  <c r="T390" i="7"/>
  <c r="G390" i="4"/>
  <c r="H390" i="4" s="1"/>
  <c r="E390" i="6"/>
  <c r="E391" i="7"/>
  <c r="N391" i="7" s="1"/>
  <c r="U390" i="7" l="1"/>
  <c r="V390" i="7"/>
  <c r="R391" i="7"/>
  <c r="T391" i="7"/>
  <c r="Q391" i="7"/>
  <c r="S391" i="7"/>
  <c r="G391" i="4"/>
  <c r="H391" i="4" s="1"/>
  <c r="E391" i="6"/>
  <c r="E392" i="7"/>
  <c r="N392" i="7" s="1"/>
  <c r="V391" i="7" l="1"/>
  <c r="U391" i="7"/>
  <c r="R392" i="7"/>
  <c r="T392" i="7"/>
  <c r="S392" i="7"/>
  <c r="Q392" i="7"/>
  <c r="G392" i="4"/>
  <c r="H392" i="4" s="1"/>
  <c r="E392" i="6"/>
  <c r="E393" i="7"/>
  <c r="N393" i="7" s="1"/>
  <c r="U392" i="7" l="1"/>
  <c r="V392" i="7"/>
  <c r="S393" i="7"/>
  <c r="R393" i="7"/>
  <c r="Q393" i="7"/>
  <c r="T393" i="7"/>
  <c r="G393" i="4"/>
  <c r="H393" i="4" s="1"/>
  <c r="E393" i="6"/>
  <c r="E394" i="7"/>
  <c r="N394" i="7" s="1"/>
  <c r="V393" i="7" l="1"/>
  <c r="U393" i="7"/>
  <c r="Q394" i="7"/>
  <c r="T394" i="7"/>
  <c r="R394" i="7"/>
  <c r="S394" i="7"/>
  <c r="G394" i="4"/>
  <c r="H394" i="4" s="1"/>
  <c r="E394" i="6"/>
  <c r="E395" i="7"/>
  <c r="N395" i="7" s="1"/>
  <c r="V394" i="7" l="1"/>
  <c r="U394" i="7"/>
  <c r="R395" i="7"/>
  <c r="S395" i="7"/>
  <c r="T395" i="7"/>
  <c r="Q395" i="7"/>
  <c r="G395" i="4"/>
  <c r="H395" i="4" s="1"/>
  <c r="E395" i="6"/>
  <c r="E396" i="7"/>
  <c r="N396" i="7" s="1"/>
  <c r="V395" i="7" l="1"/>
  <c r="U395" i="7"/>
  <c r="T396" i="7"/>
  <c r="S396" i="7"/>
  <c r="R396" i="7"/>
  <c r="Q396" i="7"/>
  <c r="G396" i="4"/>
  <c r="H396" i="4" s="1"/>
  <c r="E396" i="6"/>
  <c r="E397" i="7"/>
  <c r="N397" i="7" s="1"/>
  <c r="V396" i="7" l="1"/>
  <c r="U396" i="7"/>
  <c r="R397" i="7"/>
  <c r="S397" i="7"/>
  <c r="Q397" i="7"/>
  <c r="T397" i="7"/>
  <c r="G397" i="4"/>
  <c r="H397" i="4" s="1"/>
  <c r="E397" i="6"/>
  <c r="E398" i="7"/>
  <c r="N398" i="7" s="1"/>
  <c r="U397" i="7" l="1"/>
  <c r="V397" i="7"/>
  <c r="S398" i="7"/>
  <c r="T398" i="7"/>
  <c r="R398" i="7"/>
  <c r="Q398" i="7"/>
  <c r="G398" i="4"/>
  <c r="H398" i="4" s="1"/>
  <c r="E398" i="6"/>
  <c r="E399" i="7"/>
  <c r="N399" i="7" s="1"/>
  <c r="U398" i="7" l="1"/>
  <c r="V398" i="7"/>
  <c r="T399" i="7"/>
  <c r="Q399" i="7"/>
  <c r="S399" i="7"/>
  <c r="R399" i="7"/>
  <c r="G399" i="4"/>
  <c r="H399" i="4" s="1"/>
  <c r="E399" i="6"/>
  <c r="E400" i="7"/>
  <c r="N400" i="7" s="1"/>
  <c r="U399" i="7" l="1"/>
  <c r="V399" i="7"/>
  <c r="S400" i="7"/>
  <c r="Q400" i="7"/>
  <c r="T400" i="7"/>
  <c r="R400" i="7"/>
  <c r="G400" i="4"/>
  <c r="H400" i="4" s="1"/>
  <c r="E400" i="6"/>
  <c r="E401" i="7"/>
  <c r="N401" i="7" s="1"/>
  <c r="V400" i="7" l="1"/>
  <c r="U400" i="7"/>
  <c r="T401" i="7"/>
  <c r="Q401" i="7"/>
  <c r="R401" i="7"/>
  <c r="S401" i="7"/>
  <c r="G401" i="4"/>
  <c r="H401" i="4" s="1"/>
  <c r="E401" i="6"/>
  <c r="E402" i="7"/>
  <c r="N402" i="7" s="1"/>
  <c r="V401" i="7" l="1"/>
  <c r="U401" i="7"/>
  <c r="T402" i="7"/>
  <c r="S402" i="7"/>
  <c r="R402" i="7"/>
  <c r="Q402" i="7"/>
  <c r="G402" i="4"/>
  <c r="H402" i="4" s="1"/>
  <c r="E402" i="6"/>
  <c r="E403" i="7"/>
  <c r="N403" i="7" s="1"/>
  <c r="U402" i="7" l="1"/>
  <c r="V402" i="7"/>
  <c r="T403" i="7"/>
  <c r="Q403" i="7"/>
  <c r="R403" i="7"/>
  <c r="S403" i="7"/>
  <c r="G403" i="4"/>
  <c r="H403" i="4" s="1"/>
  <c r="E403" i="6"/>
  <c r="E404" i="7"/>
  <c r="N404" i="7" s="1"/>
  <c r="U403" i="7" l="1"/>
  <c r="V403" i="7"/>
  <c r="R404" i="7"/>
  <c r="Q404" i="7"/>
  <c r="S404" i="7"/>
  <c r="T404" i="7"/>
  <c r="G404" i="4"/>
  <c r="H404" i="4" s="1"/>
  <c r="E404" i="6"/>
  <c r="E405" i="7"/>
  <c r="N405" i="7" s="1"/>
  <c r="U404" i="7" l="1"/>
  <c r="V404" i="7"/>
  <c r="R405" i="7"/>
  <c r="T405" i="7"/>
  <c r="S405" i="7"/>
  <c r="Q405" i="7"/>
  <c r="G405" i="4"/>
  <c r="H405" i="4" s="1"/>
  <c r="E405" i="6"/>
  <c r="E406" i="7"/>
  <c r="N406" i="7" s="1"/>
  <c r="U405" i="7" l="1"/>
  <c r="V405" i="7"/>
  <c r="T406" i="7"/>
  <c r="R406" i="7"/>
  <c r="Q406" i="7"/>
  <c r="S406" i="7"/>
  <c r="G406" i="4"/>
  <c r="H406" i="4" s="1"/>
  <c r="E406" i="6"/>
  <c r="E407" i="7"/>
  <c r="N407" i="7" s="1"/>
  <c r="V406" i="7" l="1"/>
  <c r="U406" i="7"/>
  <c r="T407" i="7"/>
  <c r="Q407" i="7"/>
  <c r="R407" i="7"/>
  <c r="S407" i="7"/>
  <c r="G407" i="4"/>
  <c r="H407" i="4" s="1"/>
  <c r="E407" i="6"/>
  <c r="E408" i="7"/>
  <c r="N408" i="7" s="1"/>
  <c r="U407" i="7" l="1"/>
  <c r="V407" i="7"/>
  <c r="T408" i="7"/>
  <c r="S408" i="7"/>
  <c r="R408" i="7"/>
  <c r="Q408" i="7"/>
  <c r="G408" i="4"/>
  <c r="H408" i="4" s="1"/>
  <c r="E408" i="6"/>
  <c r="E409" i="7"/>
  <c r="N409" i="7" s="1"/>
  <c r="R409" i="7" l="1"/>
  <c r="S409" i="7"/>
  <c r="T409" i="7"/>
  <c r="Q409" i="7"/>
  <c r="U408" i="7"/>
  <c r="V408" i="7"/>
  <c r="G409" i="4"/>
  <c r="H409" i="4" s="1"/>
  <c r="E409" i="6"/>
  <c r="E410" i="7"/>
  <c r="N410" i="7" s="1"/>
  <c r="U409" i="7" l="1"/>
  <c r="V409" i="7"/>
  <c r="Q410" i="7"/>
  <c r="S410" i="7"/>
  <c r="T410" i="7"/>
  <c r="R410" i="7"/>
  <c r="G410" i="4"/>
  <c r="H410" i="4" s="1"/>
  <c r="E410" i="6"/>
  <c r="E411" i="7"/>
  <c r="N411" i="7" s="1"/>
  <c r="U410" i="7" l="1"/>
  <c r="V410" i="7"/>
  <c r="Q411" i="7"/>
  <c r="T411" i="7"/>
  <c r="R411" i="7"/>
  <c r="S411" i="7"/>
  <c r="G411" i="4"/>
  <c r="H411" i="4" s="1"/>
  <c r="E411" i="6"/>
  <c r="E412" i="7"/>
  <c r="N412" i="7" s="1"/>
  <c r="V411" i="7" l="1"/>
  <c r="U411" i="7"/>
  <c r="S412" i="7"/>
  <c r="R412" i="7"/>
  <c r="T412" i="7"/>
  <c r="Q412" i="7"/>
  <c r="G412" i="4"/>
  <c r="H412" i="4" s="1"/>
  <c r="E412" i="6"/>
  <c r="E413" i="7"/>
  <c r="N413" i="7" s="1"/>
  <c r="V412" i="7" l="1"/>
  <c r="U412" i="7"/>
  <c r="Q413" i="7"/>
  <c r="S413" i="7"/>
  <c r="R413" i="7"/>
  <c r="T413" i="7"/>
  <c r="G413" i="4"/>
  <c r="H413" i="4" s="1"/>
  <c r="E413" i="6"/>
  <c r="E414" i="7"/>
  <c r="N414" i="7" s="1"/>
  <c r="V413" i="7" l="1"/>
  <c r="U413" i="7"/>
  <c r="T414" i="7"/>
  <c r="Q414" i="7"/>
  <c r="S414" i="7"/>
  <c r="R414" i="7"/>
  <c r="G414" i="4"/>
  <c r="H414" i="4" s="1"/>
  <c r="E414" i="6"/>
  <c r="E415" i="7"/>
  <c r="N415" i="7" s="1"/>
  <c r="U414" i="7" l="1"/>
  <c r="V414" i="7"/>
  <c r="T415" i="7"/>
  <c r="R415" i="7"/>
  <c r="Q415" i="7"/>
  <c r="S415" i="7"/>
  <c r="G415" i="4"/>
  <c r="H415" i="4" s="1"/>
  <c r="E415" i="6"/>
  <c r="E416" i="7"/>
  <c r="N416" i="7" s="1"/>
  <c r="U415" i="7" l="1"/>
  <c r="V415" i="7"/>
  <c r="S416" i="7"/>
  <c r="T416" i="7"/>
  <c r="R416" i="7"/>
  <c r="Q416" i="7"/>
  <c r="G416" i="4"/>
  <c r="H416" i="4" s="1"/>
  <c r="E416" i="6"/>
  <c r="E417" i="7"/>
  <c r="N417" i="7" s="1"/>
  <c r="U416" i="7" l="1"/>
  <c r="V416" i="7"/>
  <c r="R417" i="7"/>
  <c r="S417" i="7"/>
  <c r="Q417" i="7"/>
  <c r="T417" i="7"/>
  <c r="G417" i="4"/>
  <c r="H417" i="4" s="1"/>
  <c r="E417" i="6"/>
  <c r="E418" i="7"/>
  <c r="N418" i="7" s="1"/>
  <c r="U417" i="7" l="1"/>
  <c r="V417" i="7"/>
  <c r="S418" i="7"/>
  <c r="R418" i="7"/>
  <c r="T418" i="7"/>
  <c r="Q418" i="7"/>
  <c r="G418" i="4"/>
  <c r="H418" i="4" s="1"/>
  <c r="E418" i="6"/>
  <c r="E419" i="7"/>
  <c r="N419" i="7" s="1"/>
  <c r="V418" i="7" l="1"/>
  <c r="U418" i="7"/>
  <c r="Q419" i="7"/>
  <c r="S419" i="7"/>
  <c r="T419" i="7"/>
  <c r="R419" i="7"/>
  <c r="G419" i="4"/>
  <c r="H419" i="4" s="1"/>
  <c r="E419" i="6"/>
  <c r="E420" i="7"/>
  <c r="N420" i="7" s="1"/>
  <c r="U419" i="7" l="1"/>
  <c r="V419" i="7"/>
  <c r="Q420" i="7"/>
  <c r="S420" i="7"/>
  <c r="R420" i="7"/>
  <c r="T420" i="7"/>
  <c r="G420" i="4"/>
  <c r="H420" i="4" s="1"/>
  <c r="E420" i="6"/>
  <c r="E421" i="7"/>
  <c r="N421" i="7" s="1"/>
  <c r="V420" i="7" l="1"/>
  <c r="U420" i="7"/>
  <c r="S421" i="7"/>
  <c r="R421" i="7"/>
  <c r="T421" i="7"/>
  <c r="Q421" i="7"/>
  <c r="G421" i="4"/>
  <c r="H421" i="4" s="1"/>
  <c r="E421" i="6"/>
  <c r="E422" i="7"/>
  <c r="N422" i="7" s="1"/>
  <c r="V421" i="7" l="1"/>
  <c r="U421" i="7"/>
  <c r="T422" i="7"/>
  <c r="S422" i="7"/>
  <c r="R422" i="7"/>
  <c r="Q422" i="7"/>
  <c r="G422" i="4"/>
  <c r="H422" i="4" s="1"/>
  <c r="E422" i="6"/>
  <c r="E423" i="7"/>
  <c r="N423" i="7" s="1"/>
  <c r="U422" i="7" l="1"/>
  <c r="V422" i="7"/>
  <c r="R423" i="7"/>
  <c r="T423" i="7"/>
  <c r="S423" i="7"/>
  <c r="Q423" i="7"/>
  <c r="G423" i="4"/>
  <c r="H423" i="4" s="1"/>
  <c r="E423" i="6"/>
  <c r="E424" i="7"/>
  <c r="N424" i="7" s="1"/>
  <c r="U423" i="7" l="1"/>
  <c r="V423" i="7"/>
  <c r="T424" i="7"/>
  <c r="S424" i="7"/>
  <c r="R424" i="7"/>
  <c r="Q424" i="7"/>
  <c r="G424" i="4"/>
  <c r="H424" i="4" s="1"/>
  <c r="E424" i="6"/>
  <c r="E425" i="7"/>
  <c r="N425" i="7" s="1"/>
  <c r="U424" i="7" l="1"/>
  <c r="V424" i="7"/>
  <c r="R425" i="7"/>
  <c r="T425" i="7"/>
  <c r="Q425" i="7"/>
  <c r="S425" i="7"/>
  <c r="G425" i="4"/>
  <c r="H425" i="4" s="1"/>
  <c r="E425" i="6"/>
  <c r="E426" i="7"/>
  <c r="N426" i="7" s="1"/>
  <c r="U425" i="7" l="1"/>
  <c r="V425" i="7"/>
  <c r="T426" i="7"/>
  <c r="Q426" i="7"/>
  <c r="S426" i="7"/>
  <c r="R426" i="7"/>
  <c r="G426" i="4"/>
  <c r="H426" i="4" s="1"/>
  <c r="E426" i="6"/>
  <c r="E427" i="7"/>
  <c r="N427" i="7" s="1"/>
  <c r="U426" i="7" l="1"/>
  <c r="V426" i="7"/>
  <c r="Q427" i="7"/>
  <c r="T427" i="7"/>
  <c r="R427" i="7"/>
  <c r="S427" i="7"/>
  <c r="G427" i="4"/>
  <c r="H427" i="4" s="1"/>
  <c r="E427" i="6"/>
  <c r="E428" i="7"/>
  <c r="N428" i="7" s="1"/>
  <c r="U427" i="7" l="1"/>
  <c r="V427" i="7"/>
  <c r="T428" i="7"/>
  <c r="R428" i="7"/>
  <c r="S428" i="7"/>
  <c r="Q428" i="7"/>
  <c r="G428" i="4"/>
  <c r="H428" i="4" s="1"/>
  <c r="E428" i="6"/>
  <c r="E429" i="7"/>
  <c r="N429" i="7" s="1"/>
  <c r="V428" i="7" l="1"/>
  <c r="U428" i="7"/>
  <c r="Q429" i="7"/>
  <c r="T429" i="7"/>
  <c r="S429" i="7"/>
  <c r="R429" i="7"/>
  <c r="G429" i="4"/>
  <c r="H429" i="4" s="1"/>
  <c r="E429" i="6"/>
  <c r="E430" i="7"/>
  <c r="N430" i="7" s="1"/>
  <c r="U429" i="7" l="1"/>
  <c r="V429" i="7"/>
  <c r="Q430" i="7"/>
  <c r="R430" i="7"/>
  <c r="T430" i="7"/>
  <c r="S430" i="7"/>
  <c r="G430" i="4"/>
  <c r="H430" i="4" s="1"/>
  <c r="E430" i="6"/>
  <c r="E431" i="7"/>
  <c r="N431" i="7" s="1"/>
  <c r="V430" i="7" l="1"/>
  <c r="U430" i="7"/>
  <c r="R431" i="7"/>
  <c r="Q431" i="7"/>
  <c r="T431" i="7"/>
  <c r="S431" i="7"/>
  <c r="G431" i="4"/>
  <c r="H431" i="4" s="1"/>
  <c r="E431" i="6"/>
  <c r="E432" i="7"/>
  <c r="N432" i="7" s="1"/>
  <c r="U431" i="7" l="1"/>
  <c r="V431" i="7"/>
  <c r="R432" i="7"/>
  <c r="T432" i="7"/>
  <c r="Q432" i="7"/>
  <c r="S432" i="7"/>
  <c r="G432" i="4"/>
  <c r="H432" i="4" s="1"/>
  <c r="E432" i="6"/>
  <c r="E433" i="7"/>
  <c r="N433" i="7" s="1"/>
  <c r="V432" i="7" l="1"/>
  <c r="U432" i="7"/>
  <c r="T433" i="7"/>
  <c r="R433" i="7"/>
  <c r="S433" i="7"/>
  <c r="Q433" i="7"/>
  <c r="G433" i="4"/>
  <c r="H433" i="4" s="1"/>
  <c r="E433" i="6"/>
  <c r="E434" i="7"/>
  <c r="N434" i="7" s="1"/>
  <c r="U433" i="7" l="1"/>
  <c r="V433" i="7"/>
  <c r="R434" i="7"/>
  <c r="Q434" i="7"/>
  <c r="S434" i="7"/>
  <c r="T434" i="7"/>
  <c r="G434" i="4"/>
  <c r="H434" i="4" s="1"/>
  <c r="E434" i="6"/>
  <c r="E435" i="7"/>
  <c r="N435" i="7" s="1"/>
  <c r="U434" i="7" l="1"/>
  <c r="V434" i="7"/>
  <c r="R435" i="7"/>
  <c r="T435" i="7"/>
  <c r="Q435" i="7"/>
  <c r="S435" i="7"/>
  <c r="G435" i="4"/>
  <c r="H435" i="4" s="1"/>
  <c r="E435" i="6"/>
  <c r="E436" i="7"/>
  <c r="N436" i="7" s="1"/>
  <c r="U435" i="7" l="1"/>
  <c r="V435" i="7"/>
  <c r="Q436" i="7"/>
  <c r="R436" i="7"/>
  <c r="S436" i="7"/>
  <c r="T436" i="7"/>
  <c r="G436" i="4"/>
  <c r="H436" i="4" s="1"/>
  <c r="E436" i="6"/>
  <c r="E437" i="7"/>
  <c r="N437" i="7" s="1"/>
  <c r="V436" i="7" l="1"/>
  <c r="U436" i="7"/>
  <c r="S437" i="7"/>
  <c r="R437" i="7"/>
  <c r="Q437" i="7"/>
  <c r="T437" i="7"/>
  <c r="G437" i="4"/>
  <c r="H437" i="4" s="1"/>
  <c r="E437" i="6"/>
  <c r="E438" i="7"/>
  <c r="N438" i="7" s="1"/>
  <c r="U437" i="7" l="1"/>
  <c r="V437" i="7"/>
  <c r="Q438" i="7"/>
  <c r="R438" i="7"/>
  <c r="S438" i="7"/>
  <c r="T438" i="7"/>
  <c r="G438" i="4"/>
  <c r="H438" i="4" s="1"/>
  <c r="E438" i="6"/>
  <c r="E439" i="7"/>
  <c r="N439" i="7" s="1"/>
  <c r="V438" i="7" l="1"/>
  <c r="U438" i="7"/>
  <c r="S439" i="7"/>
  <c r="Q439" i="7"/>
  <c r="T439" i="7"/>
  <c r="R439" i="7"/>
  <c r="G439" i="4"/>
  <c r="H439" i="4" s="1"/>
  <c r="E439" i="6"/>
  <c r="E440" i="7"/>
  <c r="N440" i="7" s="1"/>
  <c r="U439" i="7" l="1"/>
  <c r="V439" i="7"/>
  <c r="S440" i="7"/>
  <c r="T440" i="7"/>
  <c r="R440" i="7"/>
  <c r="Q440" i="7"/>
  <c r="G440" i="4"/>
  <c r="H440" i="4" s="1"/>
  <c r="E440" i="6"/>
  <c r="E441" i="7"/>
  <c r="N441" i="7" s="1"/>
  <c r="U440" i="7" l="1"/>
  <c r="V440" i="7"/>
  <c r="R441" i="7"/>
  <c r="T441" i="7"/>
  <c r="Q441" i="7"/>
  <c r="S441" i="7"/>
  <c r="G441" i="4"/>
  <c r="H441" i="4" s="1"/>
  <c r="E441" i="6"/>
  <c r="E442" i="7"/>
  <c r="N442" i="7" s="1"/>
  <c r="U441" i="7" l="1"/>
  <c r="V441" i="7"/>
  <c r="T442" i="7"/>
  <c r="R442" i="7"/>
  <c r="Q442" i="7"/>
  <c r="S442" i="7"/>
  <c r="G442" i="4"/>
  <c r="H442" i="4" s="1"/>
  <c r="E442" i="6"/>
  <c r="E443" i="7"/>
  <c r="N443" i="7" s="1"/>
  <c r="U442" i="7" l="1"/>
  <c r="V442" i="7"/>
  <c r="Q443" i="7"/>
  <c r="T443" i="7"/>
  <c r="S443" i="7"/>
  <c r="R443" i="7"/>
  <c r="G443" i="4"/>
  <c r="H443" i="4" s="1"/>
  <c r="E443" i="6"/>
  <c r="E444" i="7"/>
  <c r="N444" i="7" s="1"/>
  <c r="V443" i="7" l="1"/>
  <c r="U443" i="7"/>
  <c r="R444" i="7"/>
  <c r="T444" i="7"/>
  <c r="S444" i="7"/>
  <c r="Q444" i="7"/>
  <c r="G444" i="4"/>
  <c r="H444" i="4" s="1"/>
  <c r="E444" i="6"/>
  <c r="E445" i="7"/>
  <c r="N445" i="7" s="1"/>
  <c r="V444" i="7" l="1"/>
  <c r="U444" i="7"/>
  <c r="S445" i="7"/>
  <c r="Q445" i="7"/>
  <c r="T445" i="7"/>
  <c r="R445" i="7"/>
  <c r="G445" i="4"/>
  <c r="H445" i="4" s="1"/>
  <c r="E445" i="6"/>
  <c r="E446" i="7"/>
  <c r="N446" i="7" s="1"/>
  <c r="U445" i="7" l="1"/>
  <c r="V445" i="7"/>
  <c r="T446" i="7"/>
  <c r="Q446" i="7"/>
  <c r="R446" i="7"/>
  <c r="S446" i="7"/>
  <c r="G446" i="4"/>
  <c r="H446" i="4" s="1"/>
  <c r="E446" i="6"/>
  <c r="E447" i="7"/>
  <c r="N447" i="7" s="1"/>
  <c r="U446" i="7" l="1"/>
  <c r="V446" i="7"/>
  <c r="T447" i="7"/>
  <c r="Q447" i="7"/>
  <c r="S447" i="7"/>
  <c r="R447" i="7"/>
  <c r="G447" i="4"/>
  <c r="H447" i="4" s="1"/>
  <c r="E447" i="6"/>
  <c r="E448" i="7"/>
  <c r="N448" i="7" s="1"/>
  <c r="V447" i="7" l="1"/>
  <c r="U447" i="7"/>
  <c r="S448" i="7"/>
  <c r="Q448" i="7"/>
  <c r="T448" i="7"/>
  <c r="R448" i="7"/>
  <c r="G448" i="4"/>
  <c r="H448" i="4" s="1"/>
  <c r="E448" i="6"/>
  <c r="E449" i="7"/>
  <c r="N449" i="7" s="1"/>
  <c r="U448" i="7" l="1"/>
  <c r="V448" i="7"/>
  <c r="Q449" i="7"/>
  <c r="R449" i="7"/>
  <c r="T449" i="7"/>
  <c r="S449" i="7"/>
  <c r="G449" i="4"/>
  <c r="H449" i="4" s="1"/>
  <c r="E449" i="6"/>
  <c r="E450" i="7"/>
  <c r="N450" i="7" s="1"/>
  <c r="V449" i="7" l="1"/>
  <c r="U449" i="7"/>
  <c r="S450" i="7"/>
  <c r="R450" i="7"/>
  <c r="Q450" i="7"/>
  <c r="T450" i="7"/>
  <c r="G450" i="4"/>
  <c r="H450" i="4" s="1"/>
  <c r="E450" i="6"/>
  <c r="E451" i="7"/>
  <c r="N451" i="7" s="1"/>
  <c r="V450" i="7" l="1"/>
  <c r="U450" i="7"/>
  <c r="Q451" i="7"/>
  <c r="R451" i="7"/>
  <c r="T451" i="7"/>
  <c r="S451" i="7"/>
  <c r="G451" i="4"/>
  <c r="H451" i="4" s="1"/>
  <c r="E451" i="6"/>
  <c r="E452" i="7"/>
  <c r="N452" i="7" s="1"/>
  <c r="U451" i="7" l="1"/>
  <c r="V451" i="7"/>
  <c r="S452" i="7"/>
  <c r="Q452" i="7"/>
  <c r="R452" i="7"/>
  <c r="T452" i="7"/>
  <c r="G452" i="4"/>
  <c r="H452" i="4" s="1"/>
  <c r="E452" i="6"/>
  <c r="E453" i="7"/>
  <c r="N453" i="7" s="1"/>
  <c r="U452" i="7" l="1"/>
  <c r="V452" i="7"/>
  <c r="T453" i="7"/>
  <c r="R453" i="7"/>
  <c r="Q453" i="7"/>
  <c r="S453" i="7"/>
  <c r="G453" i="4"/>
  <c r="H453" i="4" s="1"/>
  <c r="E453" i="6"/>
  <c r="E454" i="7"/>
  <c r="N454" i="7" s="1"/>
  <c r="U453" i="7" l="1"/>
  <c r="V453" i="7"/>
  <c r="S454" i="7"/>
  <c r="T454" i="7"/>
  <c r="R454" i="7"/>
  <c r="Q454" i="7"/>
  <c r="G454" i="4"/>
  <c r="H454" i="4" s="1"/>
  <c r="E454" i="6"/>
  <c r="E455" i="7"/>
  <c r="N455" i="7" s="1"/>
  <c r="V454" i="7" l="1"/>
  <c r="U454" i="7"/>
  <c r="Q455" i="7"/>
  <c r="S455" i="7"/>
  <c r="T455" i="7"/>
  <c r="R455" i="7"/>
  <c r="G455" i="4"/>
  <c r="H455" i="4" s="1"/>
  <c r="E455" i="6"/>
  <c r="E456" i="7"/>
  <c r="N456" i="7" s="1"/>
  <c r="U455" i="7" l="1"/>
  <c r="V455" i="7"/>
  <c r="Q456" i="7"/>
  <c r="S456" i="7"/>
  <c r="R456" i="7"/>
  <c r="T456" i="7"/>
  <c r="G456" i="4"/>
  <c r="H456" i="4" s="1"/>
  <c r="E456" i="6"/>
  <c r="E457" i="7"/>
  <c r="N457" i="7" s="1"/>
  <c r="U456" i="7" l="1"/>
  <c r="V456" i="7"/>
  <c r="S457" i="7"/>
  <c r="T457" i="7"/>
  <c r="R457" i="7"/>
  <c r="Q457" i="7"/>
  <c r="G457" i="4"/>
  <c r="H457" i="4" s="1"/>
  <c r="E457" i="6"/>
  <c r="E458" i="7"/>
  <c r="N458" i="7" s="1"/>
  <c r="U457" i="7" l="1"/>
  <c r="V457" i="7"/>
  <c r="S458" i="7"/>
  <c r="R458" i="7"/>
  <c r="T458" i="7"/>
  <c r="Q458" i="7"/>
  <c r="G458" i="4"/>
  <c r="H458" i="4" s="1"/>
  <c r="E458" i="6"/>
  <c r="E459" i="7"/>
  <c r="N459" i="7" s="1"/>
  <c r="V458" i="7" l="1"/>
  <c r="U458" i="7"/>
  <c r="R459" i="7"/>
  <c r="T459" i="7"/>
  <c r="S459" i="7"/>
  <c r="Q459" i="7"/>
  <c r="G459" i="4"/>
  <c r="H459" i="4" s="1"/>
  <c r="E459" i="6"/>
  <c r="E460" i="7"/>
  <c r="N460" i="7" s="1"/>
  <c r="U459" i="7" l="1"/>
  <c r="V459" i="7"/>
  <c r="R460" i="7"/>
  <c r="S460" i="7"/>
  <c r="T460" i="7"/>
  <c r="Q460" i="7"/>
  <c r="G460" i="4"/>
  <c r="H460" i="4" s="1"/>
  <c r="E460" i="6"/>
  <c r="E461" i="7"/>
  <c r="N461" i="7" s="1"/>
  <c r="V460" i="7" l="1"/>
  <c r="U460" i="7"/>
  <c r="S461" i="7"/>
  <c r="Q461" i="7"/>
  <c r="T461" i="7"/>
  <c r="R461" i="7"/>
  <c r="G461" i="4"/>
  <c r="H461" i="4" s="1"/>
  <c r="E461" i="6"/>
  <c r="E462" i="7"/>
  <c r="N462" i="7" s="1"/>
  <c r="U461" i="7" l="1"/>
  <c r="V461" i="7"/>
  <c r="S462" i="7"/>
  <c r="R462" i="7"/>
  <c r="T462" i="7"/>
  <c r="Q462" i="7"/>
  <c r="G462" i="4"/>
  <c r="H462" i="4" s="1"/>
  <c r="E462" i="6"/>
  <c r="E463" i="7"/>
  <c r="N463" i="7" s="1"/>
  <c r="V462" i="7" l="1"/>
  <c r="U462" i="7"/>
  <c r="T463" i="7"/>
  <c r="R463" i="7"/>
  <c r="S463" i="7"/>
  <c r="Q463" i="7"/>
  <c r="G463" i="4"/>
  <c r="H463" i="4" s="1"/>
  <c r="E463" i="6"/>
  <c r="E464" i="7"/>
  <c r="N464" i="7" s="1"/>
  <c r="T464" i="7" l="1"/>
  <c r="R464" i="7"/>
  <c r="S464" i="7"/>
  <c r="Q464" i="7"/>
  <c r="U463" i="7"/>
  <c r="V463" i="7"/>
  <c r="G464" i="4"/>
  <c r="H464" i="4" s="1"/>
  <c r="E464" i="6"/>
  <c r="E465" i="7"/>
  <c r="N465" i="7" s="1"/>
  <c r="S465" i="7" l="1"/>
  <c r="Q465" i="7"/>
  <c r="T465" i="7"/>
  <c r="R465" i="7"/>
  <c r="V464" i="7"/>
  <c r="U464" i="7"/>
  <c r="G465" i="4"/>
  <c r="H465" i="4" s="1"/>
  <c r="E465" i="6"/>
  <c r="E466" i="7"/>
  <c r="N466" i="7" s="1"/>
  <c r="V465" i="7" l="1"/>
  <c r="U465" i="7"/>
  <c r="Q466" i="7"/>
  <c r="S466" i="7"/>
  <c r="R466" i="7"/>
  <c r="T466" i="7"/>
  <c r="G466" i="4"/>
  <c r="H466" i="4" s="1"/>
  <c r="E466" i="6"/>
  <c r="E467" i="7"/>
  <c r="N467" i="7" s="1"/>
  <c r="U466" i="7" l="1"/>
  <c r="S467" i="7"/>
  <c r="T467" i="7"/>
  <c r="Q467" i="7"/>
  <c r="R467" i="7"/>
  <c r="V466" i="7"/>
  <c r="G467" i="4"/>
  <c r="H467" i="4" s="1"/>
  <c r="E467" i="6"/>
  <c r="E468" i="7"/>
  <c r="N468" i="7" s="1"/>
  <c r="U467" i="7" l="1"/>
  <c r="V467" i="7"/>
  <c r="R468" i="7"/>
  <c r="T468" i="7"/>
  <c r="S468" i="7"/>
  <c r="Q468" i="7"/>
  <c r="G468" i="4"/>
  <c r="H468" i="4" s="1"/>
  <c r="E468" i="6"/>
  <c r="E469" i="7"/>
  <c r="N469" i="7" s="1"/>
  <c r="V468" i="7" l="1"/>
  <c r="U468" i="7"/>
  <c r="Q469" i="7"/>
  <c r="S469" i="7"/>
  <c r="T469" i="7"/>
  <c r="R469" i="7"/>
  <c r="G469" i="4"/>
  <c r="H469" i="4" s="1"/>
  <c r="E469" i="6"/>
  <c r="E470" i="7"/>
  <c r="N470" i="7" s="1"/>
  <c r="U469" i="7" l="1"/>
  <c r="V469" i="7"/>
  <c r="R470" i="7"/>
  <c r="S470" i="7"/>
  <c r="T470" i="7"/>
  <c r="Q470" i="7"/>
  <c r="G470" i="4"/>
  <c r="H470" i="4" s="1"/>
  <c r="E470" i="6"/>
  <c r="E471" i="7"/>
  <c r="N471" i="7" s="1"/>
  <c r="V470" i="7" l="1"/>
  <c r="U470" i="7"/>
  <c r="S471" i="7"/>
  <c r="R471" i="7"/>
  <c r="T471" i="7"/>
  <c r="Q471" i="7"/>
  <c r="G471" i="4"/>
  <c r="H471" i="4" s="1"/>
  <c r="E471" i="6"/>
  <c r="E472" i="7"/>
  <c r="N472" i="7" s="1"/>
  <c r="V471" i="7" l="1"/>
  <c r="U471" i="7"/>
  <c r="S472" i="7"/>
  <c r="Q472" i="7"/>
  <c r="R472" i="7"/>
  <c r="T472" i="7"/>
  <c r="G472" i="4"/>
  <c r="H472" i="4" s="1"/>
  <c r="E472" i="6"/>
  <c r="E473" i="7"/>
  <c r="N473" i="7" s="1"/>
  <c r="U472" i="7" l="1"/>
  <c r="V472" i="7"/>
  <c r="S473" i="7"/>
  <c r="T473" i="7"/>
  <c r="Q473" i="7"/>
  <c r="R473" i="7"/>
  <c r="G473" i="4"/>
  <c r="H473" i="4" s="1"/>
  <c r="E473" i="6"/>
  <c r="E474" i="7"/>
  <c r="N474" i="7" s="1"/>
  <c r="V473" i="7" l="1"/>
  <c r="U473" i="7"/>
  <c r="S474" i="7"/>
  <c r="Q474" i="7"/>
  <c r="R474" i="7"/>
  <c r="T474" i="7"/>
  <c r="G474" i="4"/>
  <c r="H474" i="4" s="1"/>
  <c r="E474" i="6"/>
  <c r="E475" i="7"/>
  <c r="N475" i="7" s="1"/>
  <c r="V474" i="7" l="1"/>
  <c r="U474" i="7"/>
  <c r="S475" i="7"/>
  <c r="R475" i="7"/>
  <c r="T475" i="7"/>
  <c r="Q475" i="7"/>
  <c r="G475" i="4"/>
  <c r="H475" i="4" s="1"/>
  <c r="E475" i="6"/>
  <c r="E476" i="7"/>
  <c r="N476" i="7" s="1"/>
  <c r="V475" i="7" l="1"/>
  <c r="U475" i="7"/>
  <c r="R476" i="7"/>
  <c r="T476" i="7"/>
  <c r="Q476" i="7"/>
  <c r="S476" i="7"/>
  <c r="G476" i="4"/>
  <c r="H476" i="4" s="1"/>
  <c r="E476" i="6"/>
  <c r="E477" i="7"/>
  <c r="N477" i="7" s="1"/>
  <c r="U476" i="7" l="1"/>
  <c r="V476" i="7"/>
  <c r="Q477" i="7"/>
  <c r="T477" i="7"/>
  <c r="S477" i="7"/>
  <c r="R477" i="7"/>
  <c r="G477" i="4"/>
  <c r="H477" i="4" s="1"/>
  <c r="E477" i="6"/>
  <c r="E478" i="7"/>
  <c r="N478" i="7" s="1"/>
  <c r="V477" i="7" l="1"/>
  <c r="U477" i="7"/>
  <c r="R478" i="7"/>
  <c r="T478" i="7"/>
  <c r="Q478" i="7"/>
  <c r="S478" i="7"/>
  <c r="G478" i="4"/>
  <c r="H478" i="4" s="1"/>
  <c r="E478" i="6"/>
  <c r="E479" i="7"/>
  <c r="N479" i="7" s="1"/>
  <c r="U478" i="7" l="1"/>
  <c r="V478" i="7"/>
  <c r="R479" i="7"/>
  <c r="S479" i="7"/>
  <c r="T479" i="7"/>
  <c r="Q479" i="7"/>
  <c r="G479" i="4"/>
  <c r="H479" i="4" s="1"/>
  <c r="E479" i="6"/>
  <c r="E480" i="7"/>
  <c r="N480" i="7" s="1"/>
  <c r="U479" i="7" l="1"/>
  <c r="V479" i="7"/>
  <c r="Q480" i="7"/>
  <c r="T480" i="7"/>
  <c r="S480" i="7"/>
  <c r="R480" i="7"/>
  <c r="G480" i="4"/>
  <c r="H480" i="4" s="1"/>
  <c r="E480" i="6"/>
  <c r="E481" i="7"/>
  <c r="N481" i="7" s="1"/>
  <c r="T481" i="7" l="1"/>
  <c r="R481" i="7"/>
  <c r="S481" i="7"/>
  <c r="Q481" i="7"/>
  <c r="U480" i="7"/>
  <c r="V480" i="7"/>
  <c r="G481" i="4"/>
  <c r="H481" i="4" s="1"/>
  <c r="E481" i="6"/>
  <c r="E482" i="7"/>
  <c r="N482" i="7" s="1"/>
  <c r="V481" i="7" l="1"/>
  <c r="U481" i="7"/>
  <c r="T482" i="7"/>
  <c r="R482" i="7"/>
  <c r="Q482" i="7"/>
  <c r="S482" i="7"/>
  <c r="G482" i="4"/>
  <c r="H482" i="4" s="1"/>
  <c r="E482" i="6"/>
  <c r="E483" i="7"/>
  <c r="N483" i="7" s="1"/>
  <c r="V482" i="7" l="1"/>
  <c r="U482" i="7"/>
  <c r="T483" i="7"/>
  <c r="S483" i="7"/>
  <c r="R483" i="7"/>
  <c r="Q483" i="7"/>
  <c r="G483" i="4"/>
  <c r="H483" i="4" s="1"/>
  <c r="E483" i="6"/>
  <c r="E484" i="7"/>
  <c r="N484" i="7" s="1"/>
  <c r="V483" i="7" l="1"/>
  <c r="U483" i="7"/>
  <c r="R484" i="7"/>
  <c r="Q484" i="7"/>
  <c r="S484" i="7"/>
  <c r="T484" i="7"/>
  <c r="G484" i="4"/>
  <c r="H484" i="4" s="1"/>
  <c r="E484" i="6"/>
  <c r="E485" i="7"/>
  <c r="N485" i="7" s="1"/>
  <c r="U484" i="7" l="1"/>
  <c r="V484" i="7"/>
  <c r="Q485" i="7"/>
  <c r="R485" i="7"/>
  <c r="S485" i="7"/>
  <c r="T485" i="7"/>
  <c r="G485" i="4"/>
  <c r="H485" i="4" s="1"/>
  <c r="E485" i="6"/>
  <c r="E486" i="7"/>
  <c r="N486" i="7" s="1"/>
  <c r="V485" i="7" l="1"/>
  <c r="U485" i="7"/>
  <c r="T486" i="7"/>
  <c r="S486" i="7"/>
  <c r="Q486" i="7"/>
  <c r="R486" i="7"/>
  <c r="G486" i="4"/>
  <c r="H486" i="4" s="1"/>
  <c r="E486" i="6"/>
  <c r="E487" i="7"/>
  <c r="N487" i="7" s="1"/>
  <c r="V486" i="7" l="1"/>
  <c r="U486" i="7"/>
  <c r="Q487" i="7"/>
  <c r="S487" i="7"/>
  <c r="T487" i="7"/>
  <c r="R487" i="7"/>
  <c r="G487" i="4"/>
  <c r="H487" i="4" s="1"/>
  <c r="E487" i="6"/>
  <c r="E488" i="7"/>
  <c r="N488" i="7" s="1"/>
  <c r="V487" i="7" l="1"/>
  <c r="U487" i="7"/>
  <c r="T488" i="7"/>
  <c r="R488" i="7"/>
  <c r="S488" i="7"/>
  <c r="Q488" i="7"/>
  <c r="G488" i="4"/>
  <c r="H488" i="4" s="1"/>
  <c r="E488" i="6"/>
  <c r="E489" i="7"/>
  <c r="N489" i="7" s="1"/>
  <c r="T489" i="7" l="1"/>
  <c r="R489" i="7"/>
  <c r="S489" i="7"/>
  <c r="Q489" i="7"/>
  <c r="V488" i="7"/>
  <c r="U488" i="7"/>
  <c r="G489" i="4"/>
  <c r="H489" i="4" s="1"/>
  <c r="E489" i="6"/>
  <c r="E490" i="7"/>
  <c r="N490" i="7" s="1"/>
  <c r="U489" i="7" l="1"/>
  <c r="V489" i="7"/>
  <c r="Q490" i="7"/>
  <c r="T490" i="7"/>
  <c r="S490" i="7"/>
  <c r="R490" i="7"/>
  <c r="G490" i="4"/>
  <c r="H490" i="4" s="1"/>
  <c r="E490" i="6"/>
  <c r="E491" i="7"/>
  <c r="N491" i="7" s="1"/>
  <c r="U490" i="7" l="1"/>
  <c r="V490" i="7"/>
  <c r="T491" i="7"/>
  <c r="S491" i="7"/>
  <c r="R491" i="7"/>
  <c r="Q491" i="7"/>
  <c r="G491" i="4"/>
  <c r="H491" i="4" s="1"/>
  <c r="E491" i="6"/>
  <c r="E492" i="7"/>
  <c r="N492" i="7" s="1"/>
  <c r="U491" i="7" l="1"/>
  <c r="V491" i="7"/>
  <c r="S492" i="7"/>
  <c r="T492" i="7"/>
  <c r="Q492" i="7"/>
  <c r="R492" i="7"/>
  <c r="G492" i="4"/>
  <c r="H492" i="4" s="1"/>
  <c r="E492" i="6"/>
  <c r="E493" i="7"/>
  <c r="N493" i="7" s="1"/>
  <c r="V492" i="7" l="1"/>
  <c r="U492" i="7"/>
  <c r="S493" i="7"/>
  <c r="R493" i="7"/>
  <c r="Q493" i="7"/>
  <c r="T493" i="7"/>
  <c r="G493" i="4"/>
  <c r="H493" i="4" s="1"/>
  <c r="E493" i="6"/>
  <c r="E494" i="7"/>
  <c r="N494" i="7" s="1"/>
  <c r="U493" i="7" l="1"/>
  <c r="V493" i="7"/>
  <c r="Q494" i="7"/>
  <c r="S494" i="7"/>
  <c r="T494" i="7"/>
  <c r="R494" i="7"/>
  <c r="G494" i="4"/>
  <c r="H494" i="4" s="1"/>
  <c r="E494" i="6"/>
  <c r="E495" i="7"/>
  <c r="N495" i="7" s="1"/>
  <c r="U494" i="7" l="1"/>
  <c r="V494" i="7"/>
  <c r="R495" i="7"/>
  <c r="T495" i="7"/>
  <c r="Q495" i="7"/>
  <c r="S495" i="7"/>
  <c r="G495" i="4"/>
  <c r="H495" i="4" s="1"/>
  <c r="E495" i="6"/>
  <c r="E496" i="7"/>
  <c r="N496" i="7" s="1"/>
  <c r="V495" i="7" l="1"/>
  <c r="U495" i="7"/>
  <c r="T496" i="7"/>
  <c r="Q496" i="7"/>
  <c r="S496" i="7"/>
  <c r="R496" i="7"/>
  <c r="G496" i="4"/>
  <c r="H496" i="4" s="1"/>
  <c r="E496" i="6"/>
  <c r="E497" i="7"/>
  <c r="N497" i="7" s="1"/>
  <c r="V496" i="7" l="1"/>
  <c r="U496" i="7"/>
  <c r="Q497" i="7"/>
  <c r="R497" i="7"/>
  <c r="S497" i="7"/>
  <c r="T497" i="7"/>
  <c r="G497" i="4"/>
  <c r="H497" i="4" s="1"/>
  <c r="E497" i="6"/>
  <c r="E498" i="7"/>
  <c r="N498" i="7" s="1"/>
  <c r="U497" i="7" l="1"/>
  <c r="V497" i="7"/>
  <c r="T498" i="7"/>
  <c r="R498" i="7"/>
  <c r="S498" i="7"/>
  <c r="Q498" i="7"/>
  <c r="G498" i="4"/>
  <c r="H498" i="4" s="1"/>
  <c r="E498" i="6"/>
  <c r="E499" i="7"/>
  <c r="N499" i="7" s="1"/>
  <c r="V498" i="7" l="1"/>
  <c r="U498" i="7"/>
  <c r="S499" i="7"/>
  <c r="T499" i="7"/>
  <c r="Q499" i="7"/>
  <c r="R499" i="7"/>
  <c r="G499" i="4"/>
  <c r="H499" i="4" s="1"/>
  <c r="E499" i="6"/>
  <c r="E500" i="7"/>
  <c r="N500" i="7" s="1"/>
  <c r="U499" i="7" l="1"/>
  <c r="V499" i="7"/>
  <c r="R500" i="7"/>
  <c r="Q500" i="7"/>
  <c r="T500" i="7"/>
  <c r="S500" i="7"/>
  <c r="G500" i="4"/>
  <c r="H500" i="4" s="1"/>
  <c r="E500" i="6"/>
  <c r="E501" i="7"/>
  <c r="N501" i="7" s="1"/>
  <c r="V500" i="7" l="1"/>
  <c r="U500" i="7"/>
  <c r="R501" i="7"/>
  <c r="Q501" i="7"/>
  <c r="S501" i="7"/>
  <c r="T501" i="7"/>
  <c r="G501" i="4"/>
  <c r="H501" i="4" s="1"/>
  <c r="E501" i="6"/>
  <c r="E502" i="7"/>
  <c r="N502" i="7" s="1"/>
  <c r="V501" i="7" l="1"/>
  <c r="U501" i="7"/>
  <c r="R502" i="7"/>
  <c r="Q502" i="7"/>
  <c r="S502" i="7"/>
  <c r="T502" i="7"/>
  <c r="G502" i="4"/>
  <c r="H502" i="4" s="1"/>
  <c r="E502" i="6"/>
  <c r="E503" i="7"/>
  <c r="N503" i="7" s="1"/>
  <c r="V502" i="7" l="1"/>
  <c r="U502" i="7"/>
  <c r="T503" i="7"/>
  <c r="Q503" i="7"/>
  <c r="S503" i="7"/>
  <c r="R503" i="7"/>
  <c r="G503" i="4"/>
  <c r="H503" i="4" s="1"/>
  <c r="E503" i="6"/>
  <c r="E504" i="7"/>
  <c r="N504" i="7" s="1"/>
  <c r="U503" i="7" l="1"/>
  <c r="V503" i="7"/>
  <c r="Q504" i="7"/>
  <c r="R504" i="7"/>
  <c r="T504" i="7"/>
  <c r="S504" i="7"/>
  <c r="G504" i="4"/>
  <c r="H504" i="4" s="1"/>
  <c r="E504" i="6"/>
  <c r="E505" i="7"/>
  <c r="N505" i="7" s="1"/>
  <c r="U504" i="7" l="1"/>
  <c r="V504" i="7"/>
  <c r="T505" i="7"/>
  <c r="R505" i="7"/>
  <c r="S505" i="7"/>
  <c r="Q505" i="7"/>
  <c r="G505" i="4"/>
  <c r="H505" i="4" s="1"/>
  <c r="E505" i="6"/>
  <c r="E506" i="7"/>
  <c r="N506" i="7" s="1"/>
  <c r="U505" i="7" l="1"/>
  <c r="V505" i="7"/>
  <c r="S506" i="7"/>
  <c r="Q506" i="7"/>
  <c r="R506" i="7"/>
  <c r="T506" i="7"/>
  <c r="G506" i="4"/>
  <c r="H506" i="4" s="1"/>
  <c r="E506" i="6"/>
  <c r="E507" i="7"/>
  <c r="N507" i="7" s="1"/>
  <c r="U506" i="7" l="1"/>
  <c r="V506" i="7"/>
  <c r="R507" i="7"/>
  <c r="Q507" i="7"/>
  <c r="S507" i="7"/>
  <c r="T507" i="7"/>
  <c r="G507" i="4"/>
  <c r="H507" i="4" s="1"/>
  <c r="E507" i="6"/>
  <c r="E508" i="7"/>
  <c r="N508" i="7" s="1"/>
  <c r="U507" i="7" l="1"/>
  <c r="V507" i="7"/>
  <c r="T508" i="7"/>
  <c r="Q508" i="7"/>
  <c r="R508" i="7"/>
  <c r="S508" i="7"/>
  <c r="G508" i="4"/>
  <c r="H508" i="4" s="1"/>
  <c r="E508" i="6"/>
  <c r="E509" i="7"/>
  <c r="N509" i="7" s="1"/>
  <c r="V508" i="7" l="1"/>
  <c r="U508" i="7"/>
  <c r="S509" i="7"/>
  <c r="R509" i="7"/>
  <c r="Q509" i="7"/>
  <c r="T509" i="7"/>
  <c r="G509" i="4"/>
  <c r="H509" i="4" s="1"/>
  <c r="E509" i="6"/>
  <c r="E510" i="7"/>
  <c r="N510" i="7" s="1"/>
  <c r="U509" i="7" l="1"/>
  <c r="V509" i="7"/>
  <c r="Q510" i="7"/>
  <c r="S510" i="7"/>
  <c r="R510" i="7"/>
  <c r="T510" i="7"/>
  <c r="G510" i="4"/>
  <c r="H510" i="4" s="1"/>
  <c r="E510" i="6"/>
  <c r="E511" i="7"/>
  <c r="N511" i="7" s="1"/>
  <c r="V510" i="7" l="1"/>
  <c r="U510" i="7"/>
  <c r="S511" i="7"/>
  <c r="T511" i="7"/>
  <c r="Q511" i="7"/>
  <c r="R511" i="7"/>
  <c r="G511" i="4"/>
  <c r="H511" i="4" s="1"/>
  <c r="E511" i="6"/>
  <c r="E512" i="7"/>
  <c r="N512" i="7" s="1"/>
  <c r="V511" i="7" l="1"/>
  <c r="U511" i="7"/>
  <c r="R512" i="7"/>
  <c r="Q512" i="7"/>
  <c r="S512" i="7"/>
  <c r="T512" i="7"/>
  <c r="G512" i="4"/>
  <c r="H512" i="4" s="1"/>
  <c r="E512" i="6"/>
  <c r="E513" i="7"/>
  <c r="N513" i="7" s="1"/>
  <c r="V512" i="7" l="1"/>
  <c r="U512" i="7"/>
  <c r="Q513" i="7"/>
  <c r="T513" i="7"/>
  <c r="S513" i="7"/>
  <c r="R513" i="7"/>
  <c r="G513" i="4"/>
  <c r="H513" i="4" s="1"/>
  <c r="E513" i="6"/>
  <c r="E514" i="7"/>
  <c r="N514" i="7" s="1"/>
  <c r="V513" i="7" l="1"/>
  <c r="U513" i="7"/>
  <c r="T514" i="7"/>
  <c r="R514" i="7"/>
  <c r="Q514" i="7"/>
  <c r="S514" i="7"/>
  <c r="G514" i="4"/>
  <c r="H514" i="4" s="1"/>
  <c r="E514" i="6"/>
  <c r="E515" i="7"/>
  <c r="N515" i="7" s="1"/>
  <c r="U514" i="7" l="1"/>
  <c r="V514" i="7"/>
  <c r="S515" i="7"/>
  <c r="T515" i="7"/>
  <c r="R515" i="7"/>
  <c r="Q515" i="7"/>
  <c r="G515" i="4"/>
  <c r="H515" i="4" s="1"/>
  <c r="E515" i="6"/>
  <c r="E516" i="7"/>
  <c r="N516" i="7" s="1"/>
  <c r="U515" i="7" l="1"/>
  <c r="V515" i="7"/>
  <c r="Q516" i="7"/>
  <c r="R516" i="7"/>
  <c r="T516" i="7"/>
  <c r="S516" i="7"/>
  <c r="G516" i="4"/>
  <c r="H516" i="4" s="1"/>
  <c r="E516" i="6"/>
  <c r="E517" i="7"/>
  <c r="N517" i="7" s="1"/>
  <c r="U516" i="7" l="1"/>
  <c r="V516" i="7"/>
  <c r="Q517" i="7"/>
  <c r="R517" i="7"/>
  <c r="S517" i="7"/>
  <c r="T517" i="7"/>
  <c r="G517" i="4"/>
  <c r="H517" i="4" s="1"/>
  <c r="E517" i="6"/>
  <c r="E518" i="7"/>
  <c r="N518" i="7" s="1"/>
  <c r="V517" i="7" l="1"/>
  <c r="U517" i="7"/>
  <c r="S518" i="7"/>
  <c r="T518" i="7"/>
  <c r="R518" i="7"/>
  <c r="Q518" i="7"/>
  <c r="G518" i="4"/>
  <c r="H518" i="4" s="1"/>
  <c r="E518" i="6"/>
  <c r="E519" i="7"/>
  <c r="N519" i="7" s="1"/>
  <c r="U518" i="7" l="1"/>
  <c r="V518" i="7"/>
  <c r="T519" i="7"/>
  <c r="R519" i="7"/>
  <c r="S519" i="7"/>
  <c r="Q519" i="7"/>
  <c r="G519" i="4"/>
  <c r="H519" i="4" s="1"/>
  <c r="E519" i="6"/>
  <c r="E520" i="7"/>
  <c r="N520" i="7" s="1"/>
  <c r="U519" i="7" l="1"/>
  <c r="V519" i="7"/>
  <c r="R520" i="7"/>
  <c r="Q520" i="7"/>
  <c r="S520" i="7"/>
  <c r="T520" i="7"/>
  <c r="G520" i="4"/>
  <c r="H520" i="4" s="1"/>
  <c r="E520" i="6"/>
  <c r="E521" i="7"/>
  <c r="N521" i="7" s="1"/>
  <c r="U520" i="7" l="1"/>
  <c r="V520" i="7"/>
  <c r="Q521" i="7"/>
  <c r="R521" i="7"/>
  <c r="S521" i="7"/>
  <c r="T521" i="7"/>
  <c r="G521" i="4"/>
  <c r="H521" i="4" s="1"/>
  <c r="E521" i="6"/>
  <c r="E522" i="7"/>
  <c r="N522" i="7" s="1"/>
  <c r="V521" i="7" l="1"/>
  <c r="U521" i="7"/>
  <c r="Q522" i="7"/>
  <c r="R522" i="7"/>
  <c r="T522" i="7"/>
  <c r="S522" i="7"/>
  <c r="G522" i="4"/>
  <c r="H522" i="4" s="1"/>
  <c r="E522" i="6"/>
  <c r="E523" i="7"/>
  <c r="N523" i="7" s="1"/>
  <c r="U522" i="7" l="1"/>
  <c r="V522" i="7"/>
  <c r="S523" i="7"/>
  <c r="T523" i="7"/>
  <c r="R523" i="7"/>
  <c r="Q523" i="7"/>
  <c r="G523" i="4"/>
  <c r="H523" i="4" s="1"/>
  <c r="E523" i="6"/>
  <c r="E524" i="7"/>
  <c r="N524" i="7" s="1"/>
  <c r="U523" i="7" l="1"/>
  <c r="V523" i="7"/>
  <c r="S524" i="7"/>
  <c r="R524" i="7"/>
  <c r="Q524" i="7"/>
  <c r="T524" i="7"/>
  <c r="G524" i="4"/>
  <c r="H524" i="4" s="1"/>
  <c r="E524" i="6"/>
  <c r="E525" i="7"/>
  <c r="N525" i="7" s="1"/>
  <c r="V524" i="7" l="1"/>
  <c r="U524" i="7"/>
  <c r="R525" i="7"/>
  <c r="S525" i="7"/>
  <c r="Q525" i="7"/>
  <c r="T525" i="7"/>
  <c r="G525" i="4"/>
  <c r="H525" i="4" s="1"/>
  <c r="E525" i="6"/>
  <c r="E526" i="7"/>
  <c r="N526" i="7" s="1"/>
  <c r="V525" i="7" l="1"/>
  <c r="U525" i="7"/>
  <c r="R526" i="7"/>
  <c r="S526" i="7"/>
  <c r="Q526" i="7"/>
  <c r="T526" i="7"/>
  <c r="G526" i="4"/>
  <c r="H526" i="4" s="1"/>
  <c r="E526" i="6"/>
  <c r="E527" i="7"/>
  <c r="N527" i="7" s="1"/>
  <c r="V526" i="7" l="1"/>
  <c r="U526" i="7"/>
  <c r="T527" i="7"/>
  <c r="S527" i="7"/>
  <c r="Q527" i="7"/>
  <c r="R527" i="7"/>
  <c r="G527" i="4"/>
  <c r="H527" i="4" s="1"/>
  <c r="E527" i="6"/>
  <c r="E528" i="7"/>
  <c r="N528" i="7" s="1"/>
  <c r="V527" i="7" l="1"/>
  <c r="U527" i="7"/>
  <c r="Q528" i="7"/>
  <c r="R528" i="7"/>
  <c r="T528" i="7"/>
  <c r="S528" i="7"/>
  <c r="G528" i="4"/>
  <c r="H528" i="4" s="1"/>
  <c r="E528" i="6"/>
  <c r="E529" i="7"/>
  <c r="N529" i="7" s="1"/>
  <c r="V528" i="7" l="1"/>
  <c r="U528" i="7"/>
  <c r="T529" i="7"/>
  <c r="Q529" i="7"/>
  <c r="R529" i="7"/>
  <c r="S529" i="7"/>
  <c r="G529" i="4"/>
  <c r="H529" i="4" s="1"/>
  <c r="E529" i="6"/>
  <c r="E530" i="7"/>
  <c r="N530" i="7" s="1"/>
  <c r="U529" i="7" l="1"/>
  <c r="V529" i="7"/>
  <c r="R530" i="7"/>
  <c r="T530" i="7"/>
  <c r="S530" i="7"/>
  <c r="Q530" i="7"/>
  <c r="G530" i="4"/>
  <c r="H530" i="4" s="1"/>
  <c r="E530" i="6"/>
  <c r="E531" i="7"/>
  <c r="N531" i="7" s="1"/>
  <c r="V530" i="7" l="1"/>
  <c r="U530" i="7"/>
  <c r="T531" i="7"/>
  <c r="S531" i="7"/>
  <c r="R531" i="7"/>
  <c r="Q531" i="7"/>
  <c r="G531" i="4"/>
  <c r="H531" i="4" s="1"/>
  <c r="E531" i="6"/>
  <c r="E532" i="7"/>
  <c r="N532" i="7" s="1"/>
  <c r="U531" i="7" l="1"/>
  <c r="V531" i="7"/>
  <c r="T532" i="7"/>
  <c r="S532" i="7"/>
  <c r="Q532" i="7"/>
  <c r="R532" i="7"/>
  <c r="G532" i="4"/>
  <c r="H532" i="4" s="1"/>
  <c r="E532" i="6"/>
  <c r="E533" i="7"/>
  <c r="N533" i="7" s="1"/>
  <c r="V532" i="7" l="1"/>
  <c r="U532" i="7"/>
  <c r="R533" i="7"/>
  <c r="S533" i="7"/>
  <c r="Q533" i="7"/>
  <c r="T533" i="7"/>
  <c r="G533" i="4"/>
  <c r="H533" i="4" s="1"/>
  <c r="E533" i="6"/>
  <c r="E534" i="7"/>
  <c r="N534" i="7" s="1"/>
  <c r="V533" i="7" l="1"/>
  <c r="U533" i="7"/>
  <c r="R534" i="7"/>
  <c r="T534" i="7"/>
  <c r="Q534" i="7"/>
  <c r="S534" i="7"/>
  <c r="G534" i="4"/>
  <c r="H534" i="4" s="1"/>
  <c r="E534" i="6"/>
  <c r="E535" i="7"/>
  <c r="N535" i="7" s="1"/>
  <c r="U534" i="7" l="1"/>
  <c r="V534" i="7"/>
  <c r="R535" i="7"/>
  <c r="S535" i="7"/>
  <c r="Q535" i="7"/>
  <c r="T535" i="7"/>
  <c r="G535" i="4"/>
  <c r="H535" i="4" s="1"/>
  <c r="E535" i="6"/>
  <c r="E536" i="7"/>
  <c r="N536" i="7" s="1"/>
  <c r="U535" i="7" l="1"/>
  <c r="V535" i="7"/>
  <c r="S536" i="7"/>
  <c r="Q536" i="7"/>
  <c r="R536" i="7"/>
  <c r="T536" i="7"/>
  <c r="G536" i="4"/>
  <c r="H536" i="4" s="1"/>
  <c r="E536" i="6"/>
  <c r="E537" i="7"/>
  <c r="N537" i="7" s="1"/>
  <c r="U536" i="7" l="1"/>
  <c r="V536" i="7"/>
  <c r="S537" i="7"/>
  <c r="Q537" i="7"/>
  <c r="R537" i="7"/>
  <c r="T537" i="7"/>
  <c r="G537" i="4"/>
  <c r="H537" i="4" s="1"/>
  <c r="E537" i="6"/>
  <c r="E538" i="7"/>
  <c r="N538" i="7" s="1"/>
  <c r="U537" i="7" l="1"/>
  <c r="V537" i="7"/>
  <c r="Q538" i="7"/>
  <c r="S538" i="7"/>
  <c r="R538" i="7"/>
  <c r="T538" i="7"/>
  <c r="G538" i="4"/>
  <c r="H538" i="4" s="1"/>
  <c r="E538" i="6"/>
  <c r="E539" i="7"/>
  <c r="N539" i="7" s="1"/>
  <c r="Q539" i="7" l="1"/>
  <c r="T539" i="7"/>
  <c r="S539" i="7"/>
  <c r="R539" i="7"/>
  <c r="V538" i="7"/>
  <c r="U538" i="7"/>
  <c r="G539" i="4"/>
  <c r="H539" i="4" s="1"/>
  <c r="E539" i="6"/>
  <c r="E540" i="7"/>
  <c r="N540" i="7" s="1"/>
  <c r="R540" i="7" l="1"/>
  <c r="T540" i="7"/>
  <c r="S540" i="7"/>
  <c r="Q540" i="7"/>
  <c r="U539" i="7"/>
  <c r="V539" i="7"/>
  <c r="G540" i="4"/>
  <c r="H540" i="4" s="1"/>
  <c r="E540" i="6"/>
  <c r="E541" i="7"/>
  <c r="N541" i="7" s="1"/>
  <c r="U540" i="7" l="1"/>
  <c r="V540" i="7"/>
  <c r="T541" i="7"/>
  <c r="Q541" i="7"/>
  <c r="S541" i="7"/>
  <c r="R541" i="7"/>
  <c r="G541" i="4"/>
  <c r="H541" i="4" s="1"/>
  <c r="E541" i="6"/>
  <c r="E542" i="7"/>
  <c r="N542" i="7" s="1"/>
  <c r="V541" i="7" l="1"/>
  <c r="U541" i="7"/>
  <c r="Q542" i="7"/>
  <c r="T542" i="7"/>
  <c r="R542" i="7"/>
  <c r="S542" i="7"/>
  <c r="G542" i="4"/>
  <c r="H542" i="4" s="1"/>
  <c r="E542" i="6"/>
  <c r="E543" i="7"/>
  <c r="N543" i="7" s="1"/>
  <c r="V542" i="7" l="1"/>
  <c r="U542" i="7"/>
  <c r="S543" i="7"/>
  <c r="T543" i="7"/>
  <c r="Q543" i="7"/>
  <c r="R543" i="7"/>
  <c r="G543" i="4"/>
  <c r="H543" i="4" s="1"/>
  <c r="E543" i="6"/>
  <c r="E544" i="7"/>
  <c r="N544" i="7" s="1"/>
  <c r="V543" i="7" l="1"/>
  <c r="U543" i="7"/>
  <c r="S544" i="7"/>
  <c r="T544" i="7"/>
  <c r="Q544" i="7"/>
  <c r="R544" i="7"/>
  <c r="G544" i="4"/>
  <c r="H544" i="4" s="1"/>
  <c r="E544" i="6"/>
  <c r="E545" i="7"/>
  <c r="N545" i="7" s="1"/>
  <c r="U544" i="7" l="1"/>
  <c r="V544" i="7"/>
  <c r="R545" i="7"/>
  <c r="T545" i="7"/>
  <c r="Q545" i="7"/>
  <c r="S545" i="7"/>
  <c r="G545" i="4"/>
  <c r="H545" i="4" s="1"/>
  <c r="E545" i="6"/>
  <c r="E546" i="7"/>
  <c r="N546" i="7" s="1"/>
  <c r="U545" i="7" l="1"/>
  <c r="V545" i="7"/>
  <c r="S546" i="7"/>
  <c r="R546" i="7"/>
  <c r="Q546" i="7"/>
  <c r="T546" i="7"/>
  <c r="G546" i="4"/>
  <c r="H546" i="4" s="1"/>
  <c r="E546" i="6"/>
  <c r="E547" i="7"/>
  <c r="N547" i="7" s="1"/>
  <c r="U546" i="7" l="1"/>
  <c r="V546" i="7"/>
  <c r="T547" i="7"/>
  <c r="S547" i="7"/>
  <c r="Q547" i="7"/>
  <c r="R547" i="7"/>
  <c r="G547" i="4"/>
  <c r="H547" i="4" s="1"/>
  <c r="E547" i="6"/>
  <c r="E548" i="7"/>
  <c r="N548" i="7" s="1"/>
  <c r="U547" i="7" l="1"/>
  <c r="V547" i="7"/>
  <c r="R548" i="7"/>
  <c r="Q548" i="7"/>
  <c r="S548" i="7"/>
  <c r="T548" i="7"/>
  <c r="G548" i="4"/>
  <c r="H548" i="4" s="1"/>
  <c r="E548" i="6"/>
  <c r="E549" i="7"/>
  <c r="N549" i="7" s="1"/>
  <c r="U548" i="7" l="1"/>
  <c r="V548" i="7"/>
  <c r="Q549" i="7"/>
  <c r="T549" i="7"/>
  <c r="S549" i="7"/>
  <c r="R549" i="7"/>
  <c r="G549" i="4"/>
  <c r="H549" i="4" s="1"/>
  <c r="E549" i="6"/>
  <c r="E550" i="7"/>
  <c r="N550" i="7" s="1"/>
  <c r="U549" i="7" l="1"/>
  <c r="V549" i="7"/>
  <c r="S550" i="7"/>
  <c r="R550" i="7"/>
  <c r="Q550" i="7"/>
  <c r="T550" i="7"/>
  <c r="G550" i="4"/>
  <c r="H550" i="4" s="1"/>
  <c r="E550" i="6"/>
  <c r="E551" i="7"/>
  <c r="N551" i="7" s="1"/>
  <c r="V550" i="7" l="1"/>
  <c r="U550" i="7"/>
  <c r="T551" i="7"/>
  <c r="S551" i="7"/>
  <c r="Q551" i="7"/>
  <c r="R551" i="7"/>
  <c r="G551" i="4"/>
  <c r="H551" i="4" s="1"/>
  <c r="E551" i="6"/>
  <c r="E552" i="7"/>
  <c r="N552" i="7" s="1"/>
  <c r="V551" i="7" l="1"/>
  <c r="U551" i="7"/>
  <c r="R552" i="7"/>
  <c r="Q552" i="7"/>
  <c r="T552" i="7"/>
  <c r="S552" i="7"/>
  <c r="G552" i="4"/>
  <c r="H552" i="4" s="1"/>
  <c r="E552" i="6"/>
  <c r="E553" i="7"/>
  <c r="N553" i="7" s="1"/>
  <c r="Q553" i="7" l="1"/>
  <c r="S553" i="7"/>
  <c r="R553" i="7"/>
  <c r="T553" i="7"/>
  <c r="U552" i="7"/>
  <c r="V552" i="7"/>
  <c r="G553" i="4"/>
  <c r="H553" i="4" s="1"/>
  <c r="E553" i="6"/>
  <c r="E554" i="7"/>
  <c r="N554" i="7" s="1"/>
  <c r="U553" i="7" l="1"/>
  <c r="T554" i="7"/>
  <c r="R554" i="7"/>
  <c r="S554" i="7"/>
  <c r="Q554" i="7"/>
  <c r="V553" i="7"/>
  <c r="G554" i="4"/>
  <c r="H554" i="4" s="1"/>
  <c r="E554" i="6"/>
  <c r="E555" i="7"/>
  <c r="N555" i="7" s="1"/>
  <c r="R555" i="7" l="1"/>
  <c r="Q555" i="7"/>
  <c r="T555" i="7"/>
  <c r="S555" i="7"/>
  <c r="V554" i="7"/>
  <c r="U554" i="7"/>
  <c r="G555" i="4"/>
  <c r="H555" i="4" s="1"/>
  <c r="E555" i="6"/>
  <c r="E556" i="7"/>
  <c r="N556" i="7" s="1"/>
  <c r="V555" i="7" l="1"/>
  <c r="U555" i="7"/>
  <c r="Q556" i="7"/>
  <c r="R556" i="7"/>
  <c r="S556" i="7"/>
  <c r="T556" i="7"/>
  <c r="G556" i="4"/>
  <c r="H556" i="4" s="1"/>
  <c r="E556" i="6"/>
  <c r="E557" i="7"/>
  <c r="N557" i="7" s="1"/>
  <c r="V556" i="7" l="1"/>
  <c r="U556" i="7"/>
  <c r="T557" i="7"/>
  <c r="S557" i="7"/>
  <c r="Q557" i="7"/>
  <c r="R557" i="7"/>
  <c r="G557" i="4"/>
  <c r="H557" i="4" s="1"/>
  <c r="E557" i="6"/>
  <c r="E558" i="7"/>
  <c r="N558" i="7" s="1"/>
  <c r="V557" i="7" l="1"/>
  <c r="U557" i="7"/>
  <c r="Q558" i="7"/>
  <c r="T558" i="7"/>
  <c r="R558" i="7"/>
  <c r="S558" i="7"/>
  <c r="G558" i="4"/>
  <c r="H558" i="4" s="1"/>
  <c r="E558" i="6"/>
  <c r="E559" i="7"/>
  <c r="N559" i="7" s="1"/>
  <c r="U558" i="7" l="1"/>
  <c r="V558" i="7"/>
  <c r="R559" i="7"/>
  <c r="Q559" i="7"/>
  <c r="S559" i="7"/>
  <c r="T559" i="7"/>
  <c r="G559" i="4"/>
  <c r="H559" i="4" s="1"/>
  <c r="E559" i="6"/>
  <c r="E560" i="7"/>
  <c r="N560" i="7" s="1"/>
  <c r="U559" i="7" l="1"/>
  <c r="V559" i="7"/>
  <c r="S560" i="7"/>
  <c r="Q560" i="7"/>
  <c r="T560" i="7"/>
  <c r="R560" i="7"/>
  <c r="G560" i="4"/>
  <c r="H560" i="4" s="1"/>
  <c r="E560" i="6"/>
  <c r="E561" i="7"/>
  <c r="N561" i="7" s="1"/>
  <c r="U560" i="7" l="1"/>
  <c r="V560" i="7"/>
  <c r="S561" i="7"/>
  <c r="T561" i="7"/>
  <c r="R561" i="7"/>
  <c r="Q561" i="7"/>
  <c r="G561" i="4"/>
  <c r="H561" i="4" s="1"/>
  <c r="E561" i="6"/>
  <c r="E562" i="7"/>
  <c r="N562" i="7" s="1"/>
  <c r="U561" i="7" l="1"/>
  <c r="V561" i="7"/>
  <c r="Q562" i="7"/>
  <c r="R562" i="7"/>
  <c r="T562" i="7"/>
  <c r="S562" i="7"/>
  <c r="G562" i="4"/>
  <c r="H562" i="4" s="1"/>
  <c r="E562" i="6"/>
  <c r="E563" i="7"/>
  <c r="N563" i="7" s="1"/>
  <c r="U562" i="7" l="1"/>
  <c r="V562" i="7"/>
  <c r="Q563" i="7"/>
  <c r="T563" i="7"/>
  <c r="S563" i="7"/>
  <c r="R563" i="7"/>
  <c r="G563" i="4"/>
  <c r="H563" i="4" s="1"/>
  <c r="E563" i="6"/>
  <c r="E564" i="7"/>
  <c r="N564" i="7" s="1"/>
  <c r="U563" i="7" l="1"/>
  <c r="V563" i="7"/>
  <c r="S564" i="7"/>
  <c r="R564" i="7"/>
  <c r="T564" i="7"/>
  <c r="Q564" i="7"/>
  <c r="G564" i="4"/>
  <c r="H564" i="4" s="1"/>
  <c r="E564" i="6"/>
  <c r="E565" i="7"/>
  <c r="N565" i="7" s="1"/>
  <c r="V564" i="7" l="1"/>
  <c r="U564" i="7"/>
  <c r="Q565" i="7"/>
  <c r="S565" i="7"/>
  <c r="T565" i="7"/>
  <c r="R565" i="7"/>
  <c r="G565" i="4"/>
  <c r="H565" i="4" s="1"/>
  <c r="E565" i="6"/>
  <c r="E566" i="7"/>
  <c r="N566" i="7" s="1"/>
  <c r="V565" i="7" l="1"/>
  <c r="U565" i="7"/>
  <c r="S566" i="7"/>
  <c r="Q566" i="7"/>
  <c r="T566" i="7"/>
  <c r="R566" i="7"/>
  <c r="G566" i="4"/>
  <c r="H566" i="4" s="1"/>
  <c r="E566" i="6"/>
  <c r="E567" i="7"/>
  <c r="N567" i="7" s="1"/>
  <c r="U566" i="7" l="1"/>
  <c r="V566" i="7"/>
  <c r="R567" i="7"/>
  <c r="T567" i="7"/>
  <c r="Q567" i="7"/>
  <c r="S567" i="7"/>
  <c r="G567" i="4"/>
  <c r="H567" i="4" s="1"/>
  <c r="E567" i="6"/>
  <c r="E568" i="7"/>
  <c r="N568" i="7" s="1"/>
  <c r="U567" i="7" l="1"/>
  <c r="V567" i="7"/>
  <c r="R568" i="7"/>
  <c r="S568" i="7"/>
  <c r="Q568" i="7"/>
  <c r="T568" i="7"/>
  <c r="G568" i="4"/>
  <c r="H568" i="4" s="1"/>
  <c r="E568" i="6"/>
  <c r="E569" i="7"/>
  <c r="N569" i="7" s="1"/>
  <c r="U568" i="7" l="1"/>
  <c r="V568" i="7"/>
  <c r="R569" i="7"/>
  <c r="Q569" i="7"/>
  <c r="T569" i="7"/>
  <c r="S569" i="7"/>
  <c r="G569" i="4"/>
  <c r="H569" i="4" s="1"/>
  <c r="E569" i="6"/>
  <c r="E570" i="7"/>
  <c r="N570" i="7" s="1"/>
  <c r="U569" i="7" l="1"/>
  <c r="V569" i="7"/>
  <c r="Q570" i="7"/>
  <c r="R570" i="7"/>
  <c r="T570" i="7"/>
  <c r="S570" i="7"/>
  <c r="G570" i="4"/>
  <c r="H570" i="4" s="1"/>
  <c r="E570" i="6"/>
  <c r="E571" i="7"/>
  <c r="N571" i="7" s="1"/>
  <c r="V570" i="7" l="1"/>
  <c r="U570" i="7"/>
  <c r="Q571" i="7"/>
  <c r="R571" i="7"/>
  <c r="S571" i="7"/>
  <c r="T571" i="7"/>
  <c r="G571" i="4"/>
  <c r="H571" i="4" s="1"/>
  <c r="E571" i="6"/>
  <c r="E572" i="7"/>
  <c r="N572" i="7" s="1"/>
  <c r="U571" i="7" l="1"/>
  <c r="V571" i="7"/>
  <c r="R572" i="7"/>
  <c r="T572" i="7"/>
  <c r="Q572" i="7"/>
  <c r="S572" i="7"/>
  <c r="G572" i="4"/>
  <c r="H572" i="4" s="1"/>
  <c r="E572" i="6"/>
  <c r="E573" i="7"/>
  <c r="N573" i="7" s="1"/>
  <c r="V572" i="7" l="1"/>
  <c r="U572" i="7"/>
  <c r="R573" i="7"/>
  <c r="S573" i="7"/>
  <c r="T573" i="7"/>
  <c r="Q573" i="7"/>
  <c r="G573" i="4"/>
  <c r="H573" i="4" s="1"/>
  <c r="E573" i="6"/>
  <c r="E574" i="7"/>
  <c r="N574" i="7" s="1"/>
  <c r="U573" i="7" l="1"/>
  <c r="V573" i="7"/>
  <c r="T574" i="7"/>
  <c r="R574" i="7"/>
  <c r="Q574" i="7"/>
  <c r="S574" i="7"/>
  <c r="G574" i="4"/>
  <c r="H574" i="4" s="1"/>
  <c r="E574" i="6"/>
  <c r="E575" i="7"/>
  <c r="N575" i="7" s="1"/>
  <c r="V574" i="7" l="1"/>
  <c r="U574" i="7"/>
  <c r="T575" i="7"/>
  <c r="R575" i="7"/>
  <c r="Q575" i="7"/>
  <c r="S575" i="7"/>
  <c r="G575" i="4"/>
  <c r="H575" i="4" s="1"/>
  <c r="E575" i="6"/>
  <c r="E576" i="7"/>
  <c r="N576" i="7" s="1"/>
  <c r="V575" i="7" l="1"/>
  <c r="U575" i="7"/>
  <c r="R576" i="7"/>
  <c r="Q576" i="7"/>
  <c r="S576" i="7"/>
  <c r="T576" i="7"/>
  <c r="G576" i="4"/>
  <c r="H576" i="4" s="1"/>
  <c r="E576" i="6"/>
  <c r="E577" i="7"/>
  <c r="N577" i="7" s="1"/>
  <c r="V576" i="7" l="1"/>
  <c r="U576" i="7"/>
  <c r="S577" i="7"/>
  <c r="R577" i="7"/>
  <c r="T577" i="7"/>
  <c r="Q577" i="7"/>
  <c r="G577" i="4"/>
  <c r="H577" i="4" s="1"/>
  <c r="E577" i="6"/>
  <c r="E578" i="7"/>
  <c r="N578" i="7" s="1"/>
  <c r="U577" i="7" l="1"/>
  <c r="V577" i="7"/>
  <c r="R578" i="7"/>
  <c r="T578" i="7"/>
  <c r="Q578" i="7"/>
  <c r="S578" i="7"/>
  <c r="G578" i="4"/>
  <c r="H578" i="4" s="1"/>
  <c r="E578" i="6"/>
  <c r="E579" i="7"/>
  <c r="N579" i="7" s="1"/>
  <c r="V578" i="7" l="1"/>
  <c r="U578" i="7"/>
  <c r="T579" i="7"/>
  <c r="Q579" i="7"/>
  <c r="R579" i="7"/>
  <c r="S579" i="7"/>
  <c r="G579" i="4"/>
  <c r="H579" i="4" s="1"/>
  <c r="E579" i="6"/>
  <c r="E580" i="7"/>
  <c r="N580" i="7" s="1"/>
  <c r="U579" i="7" l="1"/>
  <c r="V579" i="7"/>
  <c r="Q580" i="7"/>
  <c r="R580" i="7"/>
  <c r="T580" i="7"/>
  <c r="S580" i="7"/>
  <c r="G580" i="4"/>
  <c r="H580" i="4" s="1"/>
  <c r="E580" i="6"/>
  <c r="E581" i="7"/>
  <c r="N581" i="7" s="1"/>
  <c r="U580" i="7" l="1"/>
  <c r="V580" i="7"/>
  <c r="S581" i="7"/>
  <c r="Q581" i="7"/>
  <c r="T581" i="7"/>
  <c r="R581" i="7"/>
  <c r="G581" i="4"/>
  <c r="H581" i="4" s="1"/>
  <c r="E581" i="6"/>
  <c r="E582" i="7"/>
  <c r="N582" i="7" s="1"/>
  <c r="V581" i="7" l="1"/>
  <c r="U581" i="7"/>
  <c r="S582" i="7"/>
  <c r="Q582" i="7"/>
  <c r="R582" i="7"/>
  <c r="T582" i="7"/>
  <c r="G582" i="4"/>
  <c r="H582" i="4" s="1"/>
  <c r="E582" i="6"/>
  <c r="E583" i="7"/>
  <c r="N583" i="7" s="1"/>
  <c r="U582" i="7" l="1"/>
  <c r="V582" i="7"/>
  <c r="S583" i="7"/>
  <c r="T583" i="7"/>
  <c r="Q583" i="7"/>
  <c r="R583" i="7"/>
  <c r="G583" i="4"/>
  <c r="H583" i="4" s="1"/>
  <c r="E583" i="6"/>
  <c r="E584" i="7"/>
  <c r="N584" i="7" s="1"/>
  <c r="U583" i="7" l="1"/>
  <c r="V583" i="7"/>
  <c r="S584" i="7"/>
  <c r="T584" i="7"/>
  <c r="R584" i="7"/>
  <c r="Q584" i="7"/>
  <c r="G584" i="4"/>
  <c r="H584" i="4" s="1"/>
  <c r="E584" i="6"/>
  <c r="E585" i="7"/>
  <c r="N585" i="7" s="1"/>
  <c r="U584" i="7" l="1"/>
  <c r="V584" i="7"/>
  <c r="R585" i="7"/>
  <c r="T585" i="7"/>
  <c r="S585" i="7"/>
  <c r="Q585" i="7"/>
  <c r="G585" i="4"/>
  <c r="H585" i="4" s="1"/>
  <c r="E585" i="6"/>
  <c r="E586" i="7"/>
  <c r="N586" i="7" s="1"/>
  <c r="U585" i="7" l="1"/>
  <c r="V585" i="7"/>
  <c r="R586" i="7"/>
  <c r="T586" i="7"/>
  <c r="S586" i="7"/>
  <c r="Q586" i="7"/>
  <c r="G586" i="4"/>
  <c r="H586" i="4" s="1"/>
  <c r="E586" i="6"/>
  <c r="E587" i="7"/>
  <c r="N587" i="7" s="1"/>
  <c r="V586" i="7" l="1"/>
  <c r="U586" i="7"/>
  <c r="R587" i="7"/>
  <c r="Q587" i="7"/>
  <c r="S587" i="7"/>
  <c r="T587" i="7"/>
  <c r="G587" i="4"/>
  <c r="H587" i="4" s="1"/>
  <c r="E587" i="6"/>
  <c r="E588" i="7"/>
  <c r="N588" i="7" s="1"/>
  <c r="V587" i="7" l="1"/>
  <c r="U587" i="7"/>
  <c r="Q588" i="7"/>
  <c r="R588" i="7"/>
  <c r="T588" i="7"/>
  <c r="S588" i="7"/>
  <c r="G588" i="4"/>
  <c r="H588" i="4" s="1"/>
  <c r="E588" i="6"/>
  <c r="E589" i="7"/>
  <c r="N589" i="7" s="1"/>
  <c r="V588" i="7" l="1"/>
  <c r="U588" i="7"/>
  <c r="T589" i="7"/>
  <c r="R589" i="7"/>
  <c r="Q589" i="7"/>
  <c r="S589" i="7"/>
  <c r="G589" i="4"/>
  <c r="H589" i="4" s="1"/>
  <c r="E589" i="6"/>
  <c r="E590" i="7"/>
  <c r="N590" i="7" s="1"/>
  <c r="V589" i="7" l="1"/>
  <c r="U589" i="7"/>
  <c r="T590" i="7"/>
  <c r="Q590" i="7"/>
  <c r="R590" i="7"/>
  <c r="S590" i="7"/>
  <c r="G590" i="4"/>
  <c r="H590" i="4" s="1"/>
  <c r="E590" i="6"/>
  <c r="E591" i="7"/>
  <c r="N591" i="7" s="1"/>
  <c r="U590" i="7" l="1"/>
  <c r="V590" i="7"/>
  <c r="R591" i="7"/>
  <c r="T591" i="7"/>
  <c r="Q591" i="7"/>
  <c r="S591" i="7"/>
  <c r="G591" i="4"/>
  <c r="H591" i="4" s="1"/>
  <c r="E591" i="6"/>
  <c r="E592" i="7"/>
  <c r="N592" i="7" s="1"/>
  <c r="U591" i="7" l="1"/>
  <c r="V591" i="7"/>
  <c r="Q592" i="7"/>
  <c r="T592" i="7"/>
  <c r="S592" i="7"/>
  <c r="R592" i="7"/>
  <c r="G592" i="4"/>
  <c r="H592" i="4" s="1"/>
  <c r="E592" i="6"/>
  <c r="E593" i="7"/>
  <c r="N593" i="7" s="1"/>
  <c r="V592" i="7" l="1"/>
  <c r="U592" i="7"/>
  <c r="S593" i="7"/>
  <c r="Q593" i="7"/>
  <c r="R593" i="7"/>
  <c r="T593" i="7"/>
  <c r="G593" i="4"/>
  <c r="H593" i="4" s="1"/>
  <c r="E593" i="6"/>
  <c r="E594" i="7"/>
  <c r="N594" i="7" s="1"/>
  <c r="V593" i="7" l="1"/>
  <c r="U593" i="7"/>
  <c r="Q594" i="7"/>
  <c r="R594" i="7"/>
  <c r="T594" i="7"/>
  <c r="S594" i="7"/>
  <c r="G594" i="4"/>
  <c r="H594" i="4" s="1"/>
  <c r="E594" i="6"/>
  <c r="E595" i="7"/>
  <c r="N595" i="7" s="1"/>
  <c r="U594" i="7" l="1"/>
  <c r="V594" i="7"/>
  <c r="Q595" i="7"/>
  <c r="R595" i="7"/>
  <c r="S595" i="7"/>
  <c r="T595" i="7"/>
  <c r="G595" i="4"/>
  <c r="H595" i="4" s="1"/>
  <c r="E595" i="6"/>
  <c r="E596" i="7"/>
  <c r="N596" i="7" s="1"/>
  <c r="U595" i="7" l="1"/>
  <c r="V595" i="7"/>
  <c r="T596" i="7"/>
  <c r="R596" i="7"/>
  <c r="Q596" i="7"/>
  <c r="S596" i="7"/>
  <c r="G596" i="4"/>
  <c r="H596" i="4" s="1"/>
  <c r="E596" i="6"/>
  <c r="E597" i="7"/>
  <c r="N597" i="7" s="1"/>
  <c r="V596" i="7" l="1"/>
  <c r="U596" i="7"/>
  <c r="T597" i="7"/>
  <c r="R597" i="7"/>
  <c r="S597" i="7"/>
  <c r="Q597" i="7"/>
  <c r="G597" i="4"/>
  <c r="H597" i="4" s="1"/>
  <c r="E597" i="6"/>
  <c r="E598" i="7"/>
  <c r="N598" i="7" s="1"/>
  <c r="V597" i="7" l="1"/>
  <c r="U597" i="7"/>
  <c r="T598" i="7"/>
  <c r="R598" i="7"/>
  <c r="Q598" i="7"/>
  <c r="S598" i="7"/>
  <c r="G598" i="4"/>
  <c r="H598" i="4" s="1"/>
  <c r="E598" i="6"/>
  <c r="E599" i="7"/>
  <c r="N599" i="7" s="1"/>
  <c r="U598" i="7" l="1"/>
  <c r="V598" i="7"/>
  <c r="R599" i="7"/>
  <c r="Q599" i="7"/>
  <c r="T599" i="7"/>
  <c r="S599" i="7"/>
  <c r="G599" i="4"/>
  <c r="H599" i="4" s="1"/>
  <c r="E599" i="6"/>
  <c r="E600" i="7"/>
  <c r="N600" i="7" s="1"/>
  <c r="U599" i="7" l="1"/>
  <c r="V599" i="7"/>
  <c r="S600" i="7"/>
  <c r="Q600" i="7"/>
  <c r="T600" i="7"/>
  <c r="R600" i="7"/>
  <c r="G600" i="4"/>
  <c r="H600" i="4" s="1"/>
  <c r="E600" i="6"/>
  <c r="E601" i="7"/>
  <c r="N601" i="7" s="1"/>
  <c r="U600" i="7" l="1"/>
  <c r="V600" i="7"/>
  <c r="Q601" i="7"/>
  <c r="T601" i="7"/>
  <c r="S601" i="7"/>
  <c r="R601" i="7"/>
  <c r="G601" i="4"/>
  <c r="H601" i="4" s="1"/>
  <c r="E601" i="6"/>
  <c r="E602" i="7"/>
  <c r="N602" i="7" s="1"/>
  <c r="U601" i="7" l="1"/>
  <c r="V601" i="7"/>
  <c r="Q602" i="7"/>
  <c r="S602" i="7"/>
  <c r="T602" i="7"/>
  <c r="R602" i="7"/>
  <c r="G602" i="4"/>
  <c r="H602" i="4" s="1"/>
  <c r="E602" i="6"/>
  <c r="E603" i="7"/>
  <c r="N603" i="7" s="1"/>
  <c r="V602" i="7" l="1"/>
  <c r="U602" i="7"/>
  <c r="R603" i="7"/>
  <c r="S603" i="7"/>
  <c r="Q603" i="7"/>
  <c r="T603" i="7"/>
  <c r="G603" i="4"/>
  <c r="H603" i="4" s="1"/>
  <c r="E603" i="6"/>
  <c r="E604" i="7"/>
  <c r="N604" i="7" s="1"/>
  <c r="U603" i="7" l="1"/>
  <c r="V603" i="7"/>
  <c r="S604" i="7"/>
  <c r="Q604" i="7"/>
  <c r="T604" i="7"/>
  <c r="R604" i="7"/>
  <c r="G604" i="4"/>
  <c r="H604" i="4" s="1"/>
  <c r="E604" i="6"/>
  <c r="E605" i="7"/>
  <c r="N605" i="7" s="1"/>
  <c r="U604" i="7" l="1"/>
  <c r="V604" i="7"/>
  <c r="T605" i="7"/>
  <c r="R605" i="7"/>
  <c r="S605" i="7"/>
  <c r="Q605" i="7"/>
  <c r="G605" i="4"/>
  <c r="H605" i="4" s="1"/>
  <c r="E605" i="6"/>
  <c r="E606" i="7"/>
  <c r="N606" i="7" s="1"/>
  <c r="V605" i="7" l="1"/>
  <c r="U605" i="7"/>
  <c r="T606" i="7"/>
  <c r="Q606" i="7"/>
  <c r="S606" i="7"/>
  <c r="R606" i="7"/>
  <c r="G606" i="4"/>
  <c r="H606" i="4" s="1"/>
  <c r="E606" i="6"/>
  <c r="E607" i="7"/>
  <c r="N607" i="7" s="1"/>
  <c r="V606" i="7" l="1"/>
  <c r="U606" i="7"/>
  <c r="S607" i="7"/>
  <c r="T607" i="7"/>
  <c r="R607" i="7"/>
  <c r="Q607" i="7"/>
  <c r="G607" i="4"/>
  <c r="H607" i="4" s="1"/>
  <c r="E607" i="6"/>
  <c r="E608" i="7"/>
  <c r="N608" i="7" s="1"/>
  <c r="R608" i="7" l="1"/>
  <c r="Q608" i="7"/>
  <c r="S608" i="7"/>
  <c r="T608" i="7"/>
  <c r="U607" i="7"/>
  <c r="V607" i="7"/>
  <c r="G608" i="4"/>
  <c r="H608" i="4" s="1"/>
  <c r="E608" i="6"/>
  <c r="E609" i="7"/>
  <c r="N609" i="7" s="1"/>
  <c r="V608" i="7" l="1"/>
  <c r="U608" i="7"/>
  <c r="T609" i="7"/>
  <c r="Q609" i="7"/>
  <c r="R609" i="7"/>
  <c r="S609" i="7"/>
  <c r="G609" i="4"/>
  <c r="H609" i="4" s="1"/>
  <c r="E609" i="6"/>
  <c r="E610" i="7"/>
  <c r="N610" i="7" s="1"/>
  <c r="U609" i="7" l="1"/>
  <c r="V609" i="7"/>
  <c r="Q610" i="7"/>
  <c r="T610" i="7"/>
  <c r="S610" i="7"/>
  <c r="R610" i="7"/>
  <c r="G610" i="4"/>
  <c r="H610" i="4" s="1"/>
  <c r="E610" i="6"/>
  <c r="E611" i="7"/>
  <c r="N611" i="7" s="1"/>
  <c r="V610" i="7" l="1"/>
  <c r="U610" i="7"/>
  <c r="S611" i="7"/>
  <c r="Q611" i="7"/>
  <c r="R611" i="7"/>
  <c r="T611" i="7"/>
  <c r="G611" i="4"/>
  <c r="H611" i="4" s="1"/>
  <c r="E611" i="6"/>
  <c r="E612" i="7"/>
  <c r="N612" i="7" s="1"/>
  <c r="U611" i="7" l="1"/>
  <c r="V611" i="7"/>
  <c r="Q612" i="7"/>
  <c r="S612" i="7"/>
  <c r="T612" i="7"/>
  <c r="R612" i="7"/>
  <c r="G612" i="4"/>
  <c r="H612" i="4" s="1"/>
  <c r="E612" i="6"/>
  <c r="E613" i="7"/>
  <c r="N613" i="7" s="1"/>
  <c r="U612" i="7" l="1"/>
  <c r="V612" i="7"/>
  <c r="Q613" i="7"/>
  <c r="T613" i="7"/>
  <c r="S613" i="7"/>
  <c r="R613" i="7"/>
  <c r="G613" i="4"/>
  <c r="H613" i="4" s="1"/>
  <c r="E613" i="6"/>
  <c r="E614" i="7"/>
  <c r="N614" i="7" s="1"/>
  <c r="V613" i="7" l="1"/>
  <c r="U613" i="7"/>
  <c r="R614" i="7"/>
  <c r="S614" i="7"/>
  <c r="Q614" i="7"/>
  <c r="T614" i="7"/>
  <c r="G614" i="4"/>
  <c r="H614" i="4" s="1"/>
  <c r="E614" i="6"/>
  <c r="E615" i="7"/>
  <c r="N615" i="7" s="1"/>
  <c r="V614" i="7" l="1"/>
  <c r="U614" i="7"/>
  <c r="Q615" i="7"/>
  <c r="T615" i="7"/>
  <c r="S615" i="7"/>
  <c r="R615" i="7"/>
  <c r="G615" i="4"/>
  <c r="H615" i="4" s="1"/>
  <c r="E615" i="6"/>
  <c r="E616" i="7"/>
  <c r="N616" i="7" s="1"/>
  <c r="S616" i="7" l="1"/>
  <c r="R616" i="7"/>
  <c r="Q616" i="7"/>
  <c r="T616" i="7"/>
  <c r="U615" i="7"/>
  <c r="V615" i="7"/>
  <c r="G616" i="4"/>
  <c r="H616" i="4" s="1"/>
  <c r="E616" i="6"/>
  <c r="E617" i="7"/>
  <c r="N617" i="7" s="1"/>
  <c r="U616" i="7" l="1"/>
  <c r="V616" i="7"/>
  <c r="R617" i="7"/>
  <c r="Q617" i="7"/>
  <c r="S617" i="7"/>
  <c r="T617" i="7"/>
  <c r="G617" i="4"/>
  <c r="H617" i="4" s="1"/>
  <c r="E617" i="6"/>
  <c r="E618" i="7"/>
  <c r="N618" i="7" s="1"/>
  <c r="V617" i="7" l="1"/>
  <c r="U617" i="7"/>
  <c r="R618" i="7"/>
  <c r="Q618" i="7"/>
  <c r="T618" i="7"/>
  <c r="S618" i="7"/>
  <c r="G618" i="4"/>
  <c r="H618" i="4" s="1"/>
  <c r="E618" i="6"/>
  <c r="E619" i="7"/>
  <c r="N619" i="7" s="1"/>
  <c r="V618" i="7" l="1"/>
  <c r="U618" i="7"/>
  <c r="T619" i="7"/>
  <c r="S619" i="7"/>
  <c r="R619" i="7"/>
  <c r="Q619" i="7"/>
  <c r="G619" i="4"/>
  <c r="H619" i="4" s="1"/>
  <c r="E619" i="6"/>
  <c r="E620" i="7"/>
  <c r="N620" i="7" s="1"/>
  <c r="V619" i="7" l="1"/>
  <c r="U619" i="7"/>
  <c r="S620" i="7"/>
  <c r="Q620" i="7"/>
  <c r="R620" i="7"/>
  <c r="T620" i="7"/>
  <c r="G620" i="4"/>
  <c r="H620" i="4" s="1"/>
  <c r="E620" i="6"/>
  <c r="E621" i="7"/>
  <c r="N621" i="7" s="1"/>
  <c r="V620" i="7" l="1"/>
  <c r="U620" i="7"/>
  <c r="R621" i="7"/>
  <c r="Q621" i="7"/>
  <c r="T621" i="7"/>
  <c r="S621" i="7"/>
  <c r="G621" i="4"/>
  <c r="H621" i="4" s="1"/>
  <c r="E621" i="6"/>
  <c r="E622" i="7"/>
  <c r="N622" i="7" s="1"/>
  <c r="U621" i="7" l="1"/>
  <c r="V621" i="7"/>
  <c r="Q622" i="7"/>
  <c r="R622" i="7"/>
  <c r="T622" i="7"/>
  <c r="S622" i="7"/>
  <c r="G622" i="4"/>
  <c r="H622" i="4" s="1"/>
  <c r="E622" i="6"/>
  <c r="E623" i="7"/>
  <c r="N623" i="7" s="1"/>
  <c r="V622" i="7" l="1"/>
  <c r="U622" i="7"/>
  <c r="S623" i="7"/>
  <c r="R623" i="7"/>
  <c r="Q623" i="7"/>
  <c r="T623" i="7"/>
  <c r="G623" i="4"/>
  <c r="H623" i="4" s="1"/>
  <c r="E623" i="6"/>
  <c r="E624" i="7"/>
  <c r="N624" i="7" s="1"/>
  <c r="U623" i="7" l="1"/>
  <c r="V623" i="7"/>
  <c r="Q624" i="7"/>
  <c r="R624" i="7"/>
  <c r="S624" i="7"/>
  <c r="T624" i="7"/>
  <c r="G624" i="4"/>
  <c r="H624" i="4" s="1"/>
  <c r="E624" i="6"/>
  <c r="E625" i="7"/>
  <c r="N625" i="7" s="1"/>
  <c r="V624" i="7" l="1"/>
  <c r="U624" i="7"/>
  <c r="Q625" i="7"/>
  <c r="T625" i="7"/>
  <c r="R625" i="7"/>
  <c r="S625" i="7"/>
  <c r="G625" i="4"/>
  <c r="H625" i="4" s="1"/>
  <c r="E625" i="6"/>
  <c r="E626" i="7"/>
  <c r="N626" i="7" s="1"/>
  <c r="U625" i="7" l="1"/>
  <c r="V625" i="7"/>
  <c r="S626" i="7"/>
  <c r="Q626" i="7"/>
  <c r="R626" i="7"/>
  <c r="T626" i="7"/>
  <c r="G626" i="4"/>
  <c r="H626" i="4" s="1"/>
  <c r="E626" i="6"/>
  <c r="E627" i="7"/>
  <c r="N627" i="7" s="1"/>
  <c r="R627" i="7" l="1"/>
  <c r="T627" i="7"/>
  <c r="Q627" i="7"/>
  <c r="S627" i="7"/>
  <c r="U626" i="7"/>
  <c r="V626" i="7"/>
  <c r="G627" i="4"/>
  <c r="H627" i="4" s="1"/>
  <c r="E627" i="6"/>
  <c r="E628" i="7"/>
  <c r="N628" i="7" s="1"/>
  <c r="U627" i="7" l="1"/>
  <c r="V627" i="7"/>
  <c r="Q628" i="7"/>
  <c r="T628" i="7"/>
  <c r="R628" i="7"/>
  <c r="S628" i="7"/>
  <c r="G628" i="4"/>
  <c r="H628" i="4" s="1"/>
  <c r="E628" i="6"/>
  <c r="E629" i="7"/>
  <c r="N629" i="7" s="1"/>
  <c r="U628" i="7" l="1"/>
  <c r="V628" i="7"/>
  <c r="S629" i="7"/>
  <c r="R629" i="7"/>
  <c r="Q629" i="7"/>
  <c r="T629" i="7"/>
  <c r="G629" i="4"/>
  <c r="H629" i="4" s="1"/>
  <c r="E629" i="6"/>
  <c r="E630" i="7"/>
  <c r="N630" i="7" s="1"/>
  <c r="V629" i="7" l="1"/>
  <c r="U629" i="7"/>
  <c r="Q630" i="7"/>
  <c r="T630" i="7"/>
  <c r="S630" i="7"/>
  <c r="R630" i="7"/>
  <c r="G630" i="4"/>
  <c r="H630" i="4" s="1"/>
  <c r="E630" i="6"/>
  <c r="E631" i="7"/>
  <c r="N631" i="7" s="1"/>
  <c r="U630" i="7" l="1"/>
  <c r="V630" i="7"/>
  <c r="Q631" i="7"/>
  <c r="S631" i="7"/>
  <c r="R631" i="7"/>
  <c r="T631" i="7"/>
  <c r="G631" i="4"/>
  <c r="H631" i="4" s="1"/>
  <c r="E631" i="6"/>
  <c r="E632" i="7"/>
  <c r="N632" i="7" s="1"/>
  <c r="V631" i="7" l="1"/>
  <c r="U631" i="7"/>
  <c r="T632" i="7"/>
  <c r="R632" i="7"/>
  <c r="Q632" i="7"/>
  <c r="S632" i="7"/>
  <c r="G632" i="4"/>
  <c r="H632" i="4" s="1"/>
  <c r="E632" i="6"/>
  <c r="E633" i="7"/>
  <c r="N633" i="7" s="1"/>
  <c r="V632" i="7" l="1"/>
  <c r="U632" i="7"/>
  <c r="Q633" i="7"/>
  <c r="S633" i="7"/>
  <c r="T633" i="7"/>
  <c r="R633" i="7"/>
  <c r="G633" i="4"/>
  <c r="H633" i="4" s="1"/>
  <c r="E633" i="6"/>
  <c r="E634" i="7"/>
  <c r="N634" i="7" s="1"/>
  <c r="U633" i="7" l="1"/>
  <c r="V633" i="7"/>
  <c r="Q634" i="7"/>
  <c r="T634" i="7"/>
  <c r="S634" i="7"/>
  <c r="R634" i="7"/>
  <c r="G634" i="4"/>
  <c r="H634" i="4" s="1"/>
  <c r="E634" i="6"/>
  <c r="E635" i="7"/>
  <c r="N635" i="7" s="1"/>
  <c r="V634" i="7" l="1"/>
  <c r="U634" i="7"/>
  <c r="Q635" i="7"/>
  <c r="R635" i="7"/>
  <c r="S635" i="7"/>
  <c r="T635" i="7"/>
  <c r="G635" i="4"/>
  <c r="H635" i="4" s="1"/>
  <c r="E635" i="6"/>
  <c r="E636" i="7"/>
  <c r="N636" i="7" s="1"/>
  <c r="V635" i="7" l="1"/>
  <c r="U635" i="7"/>
  <c r="T636" i="7"/>
  <c r="R636" i="7"/>
  <c r="S636" i="7"/>
  <c r="Q636" i="7"/>
  <c r="G636" i="4"/>
  <c r="H636" i="4" s="1"/>
  <c r="E636" i="6"/>
  <c r="E637" i="7"/>
  <c r="N637" i="7" s="1"/>
  <c r="V636" i="7" l="1"/>
  <c r="U636" i="7"/>
  <c r="R637" i="7"/>
  <c r="S637" i="7"/>
  <c r="Q637" i="7"/>
  <c r="T637" i="7"/>
  <c r="G637" i="4"/>
  <c r="H637" i="4" s="1"/>
  <c r="E637" i="6"/>
  <c r="E638" i="7"/>
  <c r="N638" i="7" s="1"/>
  <c r="V637" i="7" l="1"/>
  <c r="U637" i="7"/>
  <c r="S638" i="7"/>
  <c r="R638" i="7"/>
  <c r="Q638" i="7"/>
  <c r="T638" i="7"/>
  <c r="G638" i="4"/>
  <c r="H638" i="4" s="1"/>
  <c r="E638" i="6"/>
  <c r="E639" i="7"/>
  <c r="N639" i="7" s="1"/>
  <c r="U638" i="7" l="1"/>
  <c r="V638" i="7"/>
  <c r="T639" i="7"/>
  <c r="Q639" i="7"/>
  <c r="S639" i="7"/>
  <c r="R639" i="7"/>
  <c r="G639" i="4"/>
  <c r="H639" i="4" s="1"/>
  <c r="E639" i="6"/>
  <c r="E640" i="7"/>
  <c r="N640" i="7" s="1"/>
  <c r="U639" i="7" l="1"/>
  <c r="V639" i="7"/>
  <c r="Q640" i="7"/>
  <c r="R640" i="7"/>
  <c r="T640" i="7"/>
  <c r="S640" i="7"/>
  <c r="G640" i="4"/>
  <c r="H640" i="4" s="1"/>
  <c r="E640" i="6"/>
  <c r="E641" i="7"/>
  <c r="N641" i="7" s="1"/>
  <c r="V640" i="7" l="1"/>
  <c r="U640" i="7"/>
  <c r="Q641" i="7"/>
  <c r="R641" i="7"/>
  <c r="S641" i="7"/>
  <c r="T641" i="7"/>
  <c r="G641" i="4"/>
  <c r="H641" i="4" s="1"/>
  <c r="E641" i="6"/>
  <c r="E642" i="7"/>
  <c r="N642" i="7" s="1"/>
  <c r="U641" i="7" l="1"/>
  <c r="V641" i="7"/>
  <c r="T642" i="7"/>
  <c r="R642" i="7"/>
  <c r="S642" i="7"/>
  <c r="Q642" i="7"/>
  <c r="G642" i="4"/>
  <c r="H642" i="4" s="1"/>
  <c r="E642" i="6"/>
  <c r="E643" i="7"/>
  <c r="N643" i="7" s="1"/>
  <c r="V642" i="7" l="1"/>
  <c r="U642" i="7"/>
  <c r="Q643" i="7"/>
  <c r="T643" i="7"/>
  <c r="R643" i="7"/>
  <c r="S643" i="7"/>
  <c r="G643" i="4"/>
  <c r="H643" i="4" s="1"/>
  <c r="E643" i="6"/>
  <c r="E644" i="7"/>
  <c r="N644" i="7" s="1"/>
  <c r="V643" i="7" l="1"/>
  <c r="U643" i="7"/>
  <c r="S644" i="7"/>
  <c r="Q644" i="7"/>
  <c r="R644" i="7"/>
  <c r="T644" i="7"/>
  <c r="G644" i="4"/>
  <c r="H644" i="4" s="1"/>
  <c r="E644" i="6"/>
  <c r="E645" i="7"/>
  <c r="N645" i="7" s="1"/>
  <c r="V644" i="7" l="1"/>
  <c r="U644" i="7"/>
  <c r="Q645" i="7"/>
  <c r="S645" i="7"/>
  <c r="T645" i="7"/>
  <c r="R645" i="7"/>
  <c r="G645" i="4"/>
  <c r="H645" i="4" s="1"/>
  <c r="E645" i="6"/>
  <c r="E646" i="7"/>
  <c r="N646" i="7" s="1"/>
  <c r="U645" i="7" l="1"/>
  <c r="V645" i="7"/>
  <c r="Q646" i="7"/>
  <c r="S646" i="7"/>
  <c r="T646" i="7"/>
  <c r="R646" i="7"/>
  <c r="G646" i="4"/>
  <c r="H646" i="4" s="1"/>
  <c r="E646" i="6"/>
  <c r="E647" i="7"/>
  <c r="N647" i="7" s="1"/>
  <c r="U646" i="7" l="1"/>
  <c r="V646" i="7"/>
  <c r="T647" i="7"/>
  <c r="Q647" i="7"/>
  <c r="S647" i="7"/>
  <c r="R647" i="7"/>
  <c r="G647" i="4"/>
  <c r="H647" i="4" s="1"/>
  <c r="E647" i="6"/>
  <c r="E648" i="7"/>
  <c r="N648" i="7" s="1"/>
  <c r="V647" i="7" l="1"/>
  <c r="U647" i="7"/>
  <c r="S648" i="7"/>
  <c r="R648" i="7"/>
  <c r="Q648" i="7"/>
  <c r="T648" i="7"/>
  <c r="G648" i="4"/>
  <c r="H648" i="4" s="1"/>
  <c r="E648" i="6"/>
  <c r="E649" i="7"/>
  <c r="N649" i="7" s="1"/>
  <c r="V648" i="7" l="1"/>
  <c r="U648" i="7"/>
  <c r="Q649" i="7"/>
  <c r="T649" i="7"/>
  <c r="S649" i="7"/>
  <c r="R649" i="7"/>
  <c r="G649" i="4"/>
  <c r="H649" i="4" s="1"/>
  <c r="E649" i="6"/>
  <c r="E650" i="7"/>
  <c r="N650" i="7" s="1"/>
  <c r="V649" i="7" l="1"/>
  <c r="U649" i="7"/>
  <c r="R650" i="7"/>
  <c r="S650" i="7"/>
  <c r="T650" i="7"/>
  <c r="Q650" i="7"/>
  <c r="G650" i="4"/>
  <c r="H650" i="4" s="1"/>
  <c r="E650" i="6"/>
  <c r="E651" i="7"/>
  <c r="N651" i="7" s="1"/>
  <c r="V650" i="7" l="1"/>
  <c r="U650" i="7"/>
  <c r="S651" i="7"/>
  <c r="Q651" i="7"/>
  <c r="R651" i="7"/>
  <c r="T651" i="7"/>
  <c r="G651" i="4"/>
  <c r="H651" i="4" s="1"/>
  <c r="E651" i="6"/>
  <c r="E652" i="7"/>
  <c r="N652" i="7" s="1"/>
  <c r="V651" i="7" l="1"/>
  <c r="U651" i="7"/>
  <c r="R652" i="7"/>
  <c r="T652" i="7"/>
  <c r="Q652" i="7"/>
  <c r="S652" i="7"/>
  <c r="G652" i="4"/>
  <c r="H652" i="4" s="1"/>
  <c r="E652" i="6"/>
  <c r="E653" i="7"/>
  <c r="N653" i="7" s="1"/>
  <c r="U652" i="7" l="1"/>
  <c r="V652" i="7"/>
  <c r="S653" i="7"/>
  <c r="T653" i="7"/>
  <c r="Q653" i="7"/>
  <c r="R653" i="7"/>
  <c r="G653" i="4"/>
  <c r="H653" i="4" s="1"/>
  <c r="E653" i="6"/>
  <c r="E654" i="7"/>
  <c r="N654" i="7" s="1"/>
  <c r="U653" i="7" l="1"/>
  <c r="V653" i="7"/>
  <c r="Q654" i="7"/>
  <c r="S654" i="7"/>
  <c r="R654" i="7"/>
  <c r="T654" i="7"/>
  <c r="G654" i="4"/>
  <c r="H654" i="4" s="1"/>
  <c r="E654" i="6"/>
  <c r="E655" i="7"/>
  <c r="N655" i="7" s="1"/>
  <c r="U654" i="7" l="1"/>
  <c r="V654" i="7"/>
  <c r="S655" i="7"/>
  <c r="R655" i="7"/>
  <c r="T655" i="7"/>
  <c r="Q655" i="7"/>
  <c r="G655" i="4"/>
  <c r="H655" i="4" s="1"/>
  <c r="E655" i="6"/>
  <c r="E656" i="7"/>
  <c r="N656" i="7" s="1"/>
  <c r="U655" i="7" l="1"/>
  <c r="V655" i="7"/>
  <c r="T656" i="7"/>
  <c r="Q656" i="7"/>
  <c r="S656" i="7"/>
  <c r="R656" i="7"/>
  <c r="G656" i="4"/>
  <c r="H656" i="4" s="1"/>
  <c r="E656" i="6"/>
  <c r="E657" i="7"/>
  <c r="N657" i="7" s="1"/>
  <c r="U656" i="7" l="1"/>
  <c r="V656" i="7"/>
  <c r="R657" i="7"/>
  <c r="T657" i="7"/>
  <c r="Q657" i="7"/>
  <c r="S657" i="7"/>
  <c r="G657" i="4"/>
  <c r="H657" i="4" s="1"/>
  <c r="E657" i="6"/>
  <c r="E658" i="7"/>
  <c r="N658" i="7" s="1"/>
  <c r="U657" i="7" l="1"/>
  <c r="V657" i="7"/>
  <c r="Q658" i="7"/>
  <c r="S658" i="7"/>
  <c r="T658" i="7"/>
  <c r="R658" i="7"/>
  <c r="G658" i="4"/>
  <c r="H658" i="4" s="1"/>
  <c r="E658" i="6"/>
  <c r="E659" i="7"/>
  <c r="N659" i="7" s="1"/>
  <c r="V658" i="7" l="1"/>
  <c r="U658" i="7"/>
  <c r="S659" i="7"/>
  <c r="R659" i="7"/>
  <c r="Q659" i="7"/>
  <c r="T659" i="7"/>
  <c r="G659" i="4"/>
  <c r="H659" i="4" s="1"/>
  <c r="E659" i="6"/>
  <c r="E660" i="7"/>
  <c r="N660" i="7" s="1"/>
  <c r="V659" i="7" l="1"/>
  <c r="U659" i="7"/>
  <c r="T660" i="7"/>
  <c r="S660" i="7"/>
  <c r="Q660" i="7"/>
  <c r="R660" i="7"/>
  <c r="G660" i="4"/>
  <c r="H660" i="4" s="1"/>
  <c r="E660" i="6"/>
  <c r="E661" i="7"/>
  <c r="N661" i="7" s="1"/>
  <c r="V660" i="7" l="1"/>
  <c r="U660" i="7"/>
  <c r="Q661" i="7"/>
  <c r="T661" i="7"/>
  <c r="R661" i="7"/>
  <c r="S661" i="7"/>
  <c r="G661" i="4"/>
  <c r="H661" i="4" s="1"/>
  <c r="E661" i="6"/>
  <c r="E662" i="7"/>
  <c r="N662" i="7" s="1"/>
  <c r="V661" i="7" l="1"/>
  <c r="U661" i="7"/>
  <c r="S662" i="7"/>
  <c r="R662" i="7"/>
  <c r="T662" i="7"/>
  <c r="Q662" i="7"/>
  <c r="G662" i="4"/>
  <c r="H662" i="4" s="1"/>
  <c r="E662" i="6"/>
  <c r="E663" i="7"/>
  <c r="N663" i="7" s="1"/>
  <c r="R663" i="7" l="1"/>
  <c r="S663" i="7"/>
  <c r="Q663" i="7"/>
  <c r="T663" i="7"/>
  <c r="V662" i="7"/>
  <c r="U662" i="7"/>
  <c r="G663" i="4"/>
  <c r="H663" i="4" s="1"/>
  <c r="E663" i="6"/>
  <c r="E664" i="7"/>
  <c r="N664" i="7" s="1"/>
  <c r="U663" i="7" l="1"/>
  <c r="V663" i="7"/>
  <c r="Q664" i="7"/>
  <c r="T664" i="7"/>
  <c r="R664" i="7"/>
  <c r="S664" i="7"/>
  <c r="G664" i="4"/>
  <c r="H664" i="4" s="1"/>
  <c r="E664" i="6"/>
  <c r="E665" i="7"/>
  <c r="N665" i="7" s="1"/>
  <c r="V664" i="7" l="1"/>
  <c r="U664" i="7"/>
  <c r="R665" i="7"/>
  <c r="T665" i="7"/>
  <c r="S665" i="7"/>
  <c r="Q665" i="7"/>
  <c r="G665" i="4"/>
  <c r="H665" i="4" s="1"/>
  <c r="E665" i="6"/>
  <c r="E666" i="7"/>
  <c r="N666" i="7" s="1"/>
  <c r="V665" i="7" l="1"/>
  <c r="U665" i="7"/>
  <c r="T666" i="7"/>
  <c r="S666" i="7"/>
  <c r="R666" i="7"/>
  <c r="Q666" i="7"/>
  <c r="G666" i="4"/>
  <c r="H666" i="4" s="1"/>
  <c r="E666" i="6"/>
  <c r="E667" i="7"/>
  <c r="N667" i="7" s="1"/>
  <c r="U666" i="7" l="1"/>
  <c r="V666" i="7"/>
  <c r="T667" i="7"/>
  <c r="R667" i="7"/>
  <c r="Q667" i="7"/>
  <c r="S667" i="7"/>
  <c r="G667" i="4"/>
  <c r="H667" i="4" s="1"/>
  <c r="E667" i="6"/>
  <c r="E668" i="7"/>
  <c r="N668" i="7" s="1"/>
  <c r="V667" i="7" l="1"/>
  <c r="U667" i="7"/>
  <c r="T668" i="7"/>
  <c r="S668" i="7"/>
  <c r="R668" i="7"/>
  <c r="Q668" i="7"/>
  <c r="G668" i="4"/>
  <c r="H668" i="4" s="1"/>
  <c r="E668" i="6"/>
  <c r="E669" i="7"/>
  <c r="N669" i="7" s="1"/>
  <c r="V668" i="7" l="1"/>
  <c r="U668" i="7"/>
  <c r="S669" i="7"/>
  <c r="Q669" i="7"/>
  <c r="R669" i="7"/>
  <c r="T669" i="7"/>
  <c r="G669" i="4"/>
  <c r="H669" i="4" s="1"/>
  <c r="E669" i="6"/>
  <c r="E670" i="7"/>
  <c r="N670" i="7" s="1"/>
  <c r="R670" i="7" l="1"/>
  <c r="S670" i="7"/>
  <c r="Q670" i="7"/>
  <c r="T670" i="7"/>
  <c r="V669" i="7"/>
  <c r="U669" i="7"/>
  <c r="G670" i="4"/>
  <c r="H670" i="4" s="1"/>
  <c r="E670" i="6"/>
  <c r="E671" i="7"/>
  <c r="N671" i="7" s="1"/>
  <c r="U670" i="7" l="1"/>
  <c r="V670" i="7"/>
  <c r="T671" i="7"/>
  <c r="S671" i="7"/>
  <c r="R671" i="7"/>
  <c r="Q671" i="7"/>
  <c r="G671" i="4"/>
  <c r="H671" i="4" s="1"/>
  <c r="E671" i="6"/>
  <c r="E672" i="7"/>
  <c r="N672" i="7" s="1"/>
  <c r="V671" i="7" l="1"/>
  <c r="U671" i="7"/>
  <c r="R672" i="7"/>
  <c r="Q672" i="7"/>
  <c r="S672" i="7"/>
  <c r="T672" i="7"/>
  <c r="G672" i="4"/>
  <c r="H672" i="4" s="1"/>
  <c r="E672" i="6"/>
  <c r="E673" i="7"/>
  <c r="N673" i="7" s="1"/>
  <c r="U672" i="7" l="1"/>
  <c r="V672" i="7"/>
  <c r="T673" i="7"/>
  <c r="R673" i="7"/>
  <c r="S673" i="7"/>
  <c r="Q673" i="7"/>
  <c r="G673" i="4"/>
  <c r="H673" i="4" s="1"/>
  <c r="E673" i="6"/>
  <c r="E674" i="7"/>
  <c r="N674" i="7" s="1"/>
  <c r="Q674" i="7" l="1"/>
  <c r="S674" i="7"/>
  <c r="T674" i="7"/>
  <c r="R674" i="7"/>
  <c r="U673" i="7"/>
  <c r="V673" i="7"/>
  <c r="G674" i="4"/>
  <c r="H674" i="4" s="1"/>
  <c r="E674" i="6"/>
  <c r="E675" i="7"/>
  <c r="N675" i="7" s="1"/>
  <c r="Q675" i="7" l="1"/>
  <c r="T675" i="7"/>
  <c r="R675" i="7"/>
  <c r="S675" i="7"/>
  <c r="V674" i="7"/>
  <c r="U674" i="7"/>
  <c r="G675" i="4"/>
  <c r="H675" i="4" s="1"/>
  <c r="E675" i="6"/>
  <c r="E676" i="7"/>
  <c r="N676" i="7" s="1"/>
  <c r="T676" i="7" l="1"/>
  <c r="S676" i="7"/>
  <c r="Q676" i="7"/>
  <c r="R676" i="7"/>
  <c r="U675" i="7"/>
  <c r="V675" i="7"/>
  <c r="G676" i="4"/>
  <c r="H676" i="4" s="1"/>
  <c r="E676" i="6"/>
  <c r="E677" i="7"/>
  <c r="N677" i="7" s="1"/>
  <c r="U676" i="7" l="1"/>
  <c r="V676" i="7"/>
  <c r="S677" i="7"/>
  <c r="R677" i="7"/>
  <c r="Q677" i="7"/>
  <c r="T677" i="7"/>
  <c r="G677" i="4"/>
  <c r="H677" i="4" s="1"/>
  <c r="E677" i="6"/>
  <c r="E678" i="7"/>
  <c r="N678" i="7" s="1"/>
  <c r="V677" i="7" l="1"/>
  <c r="U677" i="7"/>
  <c r="T678" i="7"/>
  <c r="R678" i="7"/>
  <c r="Q678" i="7"/>
  <c r="S678" i="7"/>
  <c r="G678" i="4"/>
  <c r="H678" i="4" s="1"/>
  <c r="E678" i="6"/>
  <c r="E679" i="7"/>
  <c r="N679" i="7" s="1"/>
  <c r="U678" i="7" l="1"/>
  <c r="V678" i="7"/>
  <c r="R679" i="7"/>
  <c r="Q679" i="7"/>
  <c r="T679" i="7"/>
  <c r="S679" i="7"/>
  <c r="G679" i="4"/>
  <c r="H679" i="4" s="1"/>
  <c r="E679" i="6"/>
  <c r="E680" i="7"/>
  <c r="N680" i="7" s="1"/>
  <c r="U679" i="7" l="1"/>
  <c r="V679" i="7"/>
  <c r="Q680" i="7"/>
  <c r="R680" i="7"/>
  <c r="S680" i="7"/>
  <c r="T680" i="7"/>
  <c r="G680" i="4"/>
  <c r="H680" i="4" s="1"/>
  <c r="E680" i="6"/>
  <c r="E681" i="7"/>
  <c r="N681" i="7" s="1"/>
  <c r="U680" i="7" l="1"/>
  <c r="V680" i="7"/>
  <c r="Q681" i="7"/>
  <c r="T681" i="7"/>
  <c r="S681" i="7"/>
  <c r="R681" i="7"/>
  <c r="G681" i="4"/>
  <c r="H681" i="4" s="1"/>
  <c r="E681" i="6"/>
  <c r="E682" i="7"/>
  <c r="N682" i="7" s="1"/>
  <c r="V681" i="7" l="1"/>
  <c r="U681" i="7"/>
  <c r="T682" i="7"/>
  <c r="Q682" i="7"/>
  <c r="R682" i="7"/>
  <c r="S682" i="7"/>
  <c r="G682" i="4"/>
  <c r="H682" i="4" s="1"/>
  <c r="E682" i="6"/>
  <c r="E683" i="7"/>
  <c r="N683" i="7" s="1"/>
  <c r="V682" i="7" l="1"/>
  <c r="U682" i="7"/>
  <c r="S683" i="7"/>
  <c r="Q683" i="7"/>
  <c r="T683" i="7"/>
  <c r="R683" i="7"/>
  <c r="G683" i="4"/>
  <c r="H683" i="4" s="1"/>
  <c r="E683" i="6"/>
  <c r="E684" i="7"/>
  <c r="N684" i="7" s="1"/>
  <c r="V683" i="7" l="1"/>
  <c r="U683" i="7"/>
  <c r="S684" i="7"/>
  <c r="T684" i="7"/>
  <c r="R684" i="7"/>
  <c r="Q684" i="7"/>
  <c r="G684" i="4"/>
  <c r="H684" i="4" s="1"/>
  <c r="E684" i="6"/>
  <c r="E685" i="7"/>
  <c r="N685" i="7" s="1"/>
  <c r="V684" i="7" l="1"/>
  <c r="U684" i="7"/>
  <c r="S685" i="7"/>
  <c r="Q685" i="7"/>
  <c r="R685" i="7"/>
  <c r="T685" i="7"/>
  <c r="G685" i="4"/>
  <c r="H685" i="4" s="1"/>
  <c r="E685" i="6"/>
  <c r="E686" i="7"/>
  <c r="N686" i="7" s="1"/>
  <c r="V685" i="7" l="1"/>
  <c r="U685" i="7"/>
  <c r="Q686" i="7"/>
  <c r="T686" i="7"/>
  <c r="S686" i="7"/>
  <c r="R686" i="7"/>
  <c r="G686" i="4"/>
  <c r="H686" i="4" s="1"/>
  <c r="E686" i="6"/>
  <c r="E687" i="7"/>
  <c r="N687" i="7" s="1"/>
  <c r="U686" i="7" l="1"/>
  <c r="V686" i="7"/>
  <c r="S687" i="7"/>
  <c r="R687" i="7"/>
  <c r="Q687" i="7"/>
  <c r="T687" i="7"/>
  <c r="G687" i="4"/>
  <c r="H687" i="4" s="1"/>
  <c r="E687" i="6"/>
  <c r="E688" i="7"/>
  <c r="N688" i="7" s="1"/>
  <c r="U687" i="7" l="1"/>
  <c r="V687" i="7"/>
  <c r="S688" i="7"/>
  <c r="R688" i="7"/>
  <c r="Q688" i="7"/>
  <c r="T688" i="7"/>
  <c r="G688" i="4"/>
  <c r="H688" i="4" s="1"/>
  <c r="E688" i="6"/>
  <c r="E689" i="7"/>
  <c r="N689" i="7" s="1"/>
  <c r="V688" i="7" l="1"/>
  <c r="U688" i="7"/>
  <c r="T689" i="7"/>
  <c r="Q689" i="7"/>
  <c r="S689" i="7"/>
  <c r="R689" i="7"/>
  <c r="G689" i="4"/>
  <c r="H689" i="4" s="1"/>
  <c r="E689" i="6"/>
  <c r="E690" i="7"/>
  <c r="N690" i="7" s="1"/>
  <c r="U689" i="7" l="1"/>
  <c r="V689" i="7"/>
  <c r="T690" i="7"/>
  <c r="Q690" i="7"/>
  <c r="S690" i="7"/>
  <c r="R690" i="7"/>
  <c r="G690" i="4"/>
  <c r="H690" i="4" s="1"/>
  <c r="E690" i="6"/>
  <c r="E691" i="7"/>
  <c r="N691" i="7" s="1"/>
  <c r="V690" i="7" l="1"/>
  <c r="U690" i="7"/>
  <c r="R691" i="7"/>
  <c r="S691" i="7"/>
  <c r="Q691" i="7"/>
  <c r="T691" i="7"/>
  <c r="G691" i="4"/>
  <c r="H691" i="4" s="1"/>
  <c r="E691" i="6"/>
  <c r="V691" i="7" l="1"/>
  <c r="U691" i="7"/>
</calcChain>
</file>

<file path=xl/sharedStrings.xml><?xml version="1.0" encoding="utf-8"?>
<sst xmlns="http://schemas.openxmlformats.org/spreadsheetml/2006/main" count="57" uniqueCount="54">
  <si>
    <t>Date</t>
  </si>
  <si>
    <t>Cours</t>
  </si>
  <si>
    <t>Cours Ajusté</t>
  </si>
  <si>
    <t>Qte. Ech.</t>
  </si>
  <si>
    <t>CMP J</t>
  </si>
  <si>
    <t>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</si>
  <si>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</si>
  <si>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</si>
  <si>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</si>
  <si>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</si>
  <si>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</si>
  <si>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</si>
  <si>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</si>
  <si>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</si>
  <si>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</si>
  <si>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</si>
  <si>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</si>
  <si>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</si>
  <si>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</si>
  <si>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</si>
  <si>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</si>
  <si>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</si>
  <si>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</si>
  <si>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</si>
  <si>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</si>
  <si>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</si>
  <si>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</si>
  <si>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</si>
  <si>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</si>
  <si>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</si>
  <si>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</si>
  <si>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</si>
  <si>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</si>
  <si>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</si>
  <si>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</si>
  <si>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</si>
  <si>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</si>
  <si>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</si>
  <si>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</si>
  <si>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</si>
  <si>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</si>
  <si>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</si>
  <si>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</si>
  <si>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</si>
  <si>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</si>
  <si>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</si>
  <si>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</si>
  <si>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</si>
  <si>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</si>
  <si>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</si>
  <si>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</si>
  <si>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</si>
  <si>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</si>
  <si>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AMEN BANK, Du : 02/01/2015, Au : 17/09/2025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</si>
</sst>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0" fontId="4" fillId="0" borderId="0" xfId="0" applyFont="1"/>
    <xf numFmtId="10" fontId="4" fillId="0" borderId="1" xfId="0" applyNumberFormat="1" applyFont="1" applyBorder="1"/>
    <xf numFmtId="10" fontId="4" fillId="0" borderId="0" xfId="0" applyNumberFormat="1" applyFont="1"/>
    <xf numFmtId="10" fontId="2" fillId="2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theme="6" tint="0.39994506668294322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B1:K694"/>
  <sheetViews>
    <sheetView showGridLines="0" topLeftCell="A684" workbookViewId="0">
      <selection activeCell="J691" sqref="J691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6.81640625" style="9" customWidth="1"/>
    <col min="9" max="9" width="21.453125" customWidth="1"/>
    <col min="10" max="10" width="17.1796875" bestFit="1" customWidth="1"/>
    <col min="11" max="11" width="14" bestFit="1" customWidth="1"/>
    <col min="12" max="12" width="10.1796875" bestFit="1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6.81640625" customWidth="1"/>
    <col min="265" max="265" width="21.453125" customWidth="1"/>
    <col min="266" max="266" width="17.1796875" bestFit="1" customWidth="1"/>
    <col min="267" max="267" width="14" bestFit="1" customWidth="1"/>
    <col min="268" max="268" width="10.1796875" bestFit="1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6.81640625" customWidth="1"/>
    <col min="521" max="521" width="21.453125" customWidth="1"/>
    <col min="522" max="522" width="17.1796875" bestFit="1" customWidth="1"/>
    <col min="523" max="523" width="14" bestFit="1" customWidth="1"/>
    <col min="524" max="524" width="10.1796875" bestFit="1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6.81640625" customWidth="1"/>
    <col min="777" max="777" width="21.453125" customWidth="1"/>
    <col min="778" max="778" width="17.1796875" bestFit="1" customWidth="1"/>
    <col min="779" max="779" width="14" bestFit="1" customWidth="1"/>
    <col min="780" max="780" width="10.1796875" bestFit="1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6.81640625" customWidth="1"/>
    <col min="1033" max="1033" width="21.453125" customWidth="1"/>
    <col min="1034" max="1034" width="17.1796875" bestFit="1" customWidth="1"/>
    <col min="1035" max="1035" width="14" bestFit="1" customWidth="1"/>
    <col min="1036" max="1036" width="10.1796875" bestFit="1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6.81640625" customWidth="1"/>
    <col min="1289" max="1289" width="21.453125" customWidth="1"/>
    <col min="1290" max="1290" width="17.1796875" bestFit="1" customWidth="1"/>
    <col min="1291" max="1291" width="14" bestFit="1" customWidth="1"/>
    <col min="1292" max="1292" width="10.1796875" bestFit="1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6.81640625" customWidth="1"/>
    <col min="1545" max="1545" width="21.453125" customWidth="1"/>
    <col min="1546" max="1546" width="17.1796875" bestFit="1" customWidth="1"/>
    <col min="1547" max="1547" width="14" bestFit="1" customWidth="1"/>
    <col min="1548" max="1548" width="10.1796875" bestFit="1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6.81640625" customWidth="1"/>
    <col min="1801" max="1801" width="21.453125" customWidth="1"/>
    <col min="1802" max="1802" width="17.1796875" bestFit="1" customWidth="1"/>
    <col min="1803" max="1803" width="14" bestFit="1" customWidth="1"/>
    <col min="1804" max="1804" width="10.1796875" bestFit="1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6.81640625" customWidth="1"/>
    <col min="2057" max="2057" width="21.453125" customWidth="1"/>
    <col min="2058" max="2058" width="17.1796875" bestFit="1" customWidth="1"/>
    <col min="2059" max="2059" width="14" bestFit="1" customWidth="1"/>
    <col min="2060" max="2060" width="10.1796875" bestFit="1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6.81640625" customWidth="1"/>
    <col min="2313" max="2313" width="21.453125" customWidth="1"/>
    <col min="2314" max="2314" width="17.1796875" bestFit="1" customWidth="1"/>
    <col min="2315" max="2315" width="14" bestFit="1" customWidth="1"/>
    <col min="2316" max="2316" width="10.1796875" bestFit="1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6.81640625" customWidth="1"/>
    <col min="2569" max="2569" width="21.453125" customWidth="1"/>
    <col min="2570" max="2570" width="17.1796875" bestFit="1" customWidth="1"/>
    <col min="2571" max="2571" width="14" bestFit="1" customWidth="1"/>
    <col min="2572" max="2572" width="10.1796875" bestFit="1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6.81640625" customWidth="1"/>
    <col min="2825" max="2825" width="21.453125" customWidth="1"/>
    <col min="2826" max="2826" width="17.1796875" bestFit="1" customWidth="1"/>
    <col min="2827" max="2827" width="14" bestFit="1" customWidth="1"/>
    <col min="2828" max="2828" width="10.1796875" bestFit="1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6.81640625" customWidth="1"/>
    <col min="3081" max="3081" width="21.453125" customWidth="1"/>
    <col min="3082" max="3082" width="17.1796875" bestFit="1" customWidth="1"/>
    <col min="3083" max="3083" width="14" bestFit="1" customWidth="1"/>
    <col min="3084" max="3084" width="10.1796875" bestFit="1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6.81640625" customWidth="1"/>
    <col min="3337" max="3337" width="21.453125" customWidth="1"/>
    <col min="3338" max="3338" width="17.1796875" bestFit="1" customWidth="1"/>
    <col min="3339" max="3339" width="14" bestFit="1" customWidth="1"/>
    <col min="3340" max="3340" width="10.1796875" bestFit="1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6.81640625" customWidth="1"/>
    <col min="3593" max="3593" width="21.453125" customWidth="1"/>
    <col min="3594" max="3594" width="17.1796875" bestFit="1" customWidth="1"/>
    <col min="3595" max="3595" width="14" bestFit="1" customWidth="1"/>
    <col min="3596" max="3596" width="10.1796875" bestFit="1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6.81640625" customWidth="1"/>
    <col min="3849" max="3849" width="21.453125" customWidth="1"/>
    <col min="3850" max="3850" width="17.1796875" bestFit="1" customWidth="1"/>
    <col min="3851" max="3851" width="14" bestFit="1" customWidth="1"/>
    <col min="3852" max="3852" width="10.1796875" bestFit="1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6.81640625" customWidth="1"/>
    <col min="4105" max="4105" width="21.453125" customWidth="1"/>
    <col min="4106" max="4106" width="17.1796875" bestFit="1" customWidth="1"/>
    <col min="4107" max="4107" width="14" bestFit="1" customWidth="1"/>
    <col min="4108" max="4108" width="10.1796875" bestFit="1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6.81640625" customWidth="1"/>
    <col min="4361" max="4361" width="21.453125" customWidth="1"/>
    <col min="4362" max="4362" width="17.1796875" bestFit="1" customWidth="1"/>
    <col min="4363" max="4363" width="14" bestFit="1" customWidth="1"/>
    <col min="4364" max="4364" width="10.1796875" bestFit="1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6.81640625" customWidth="1"/>
    <col min="4617" max="4617" width="21.453125" customWidth="1"/>
    <col min="4618" max="4618" width="17.1796875" bestFit="1" customWidth="1"/>
    <col min="4619" max="4619" width="14" bestFit="1" customWidth="1"/>
    <col min="4620" max="4620" width="10.1796875" bestFit="1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6.81640625" customWidth="1"/>
    <col min="4873" max="4873" width="21.453125" customWidth="1"/>
    <col min="4874" max="4874" width="17.1796875" bestFit="1" customWidth="1"/>
    <col min="4875" max="4875" width="14" bestFit="1" customWidth="1"/>
    <col min="4876" max="4876" width="10.1796875" bestFit="1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6.81640625" customWidth="1"/>
    <col min="5129" max="5129" width="21.453125" customWidth="1"/>
    <col min="5130" max="5130" width="17.1796875" bestFit="1" customWidth="1"/>
    <col min="5131" max="5131" width="14" bestFit="1" customWidth="1"/>
    <col min="5132" max="5132" width="10.1796875" bestFit="1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6.81640625" customWidth="1"/>
    <col min="5385" max="5385" width="21.453125" customWidth="1"/>
    <col min="5386" max="5386" width="17.1796875" bestFit="1" customWidth="1"/>
    <col min="5387" max="5387" width="14" bestFit="1" customWidth="1"/>
    <col min="5388" max="5388" width="10.1796875" bestFit="1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6.81640625" customWidth="1"/>
    <col min="5641" max="5641" width="21.453125" customWidth="1"/>
    <col min="5642" max="5642" width="17.1796875" bestFit="1" customWidth="1"/>
    <col min="5643" max="5643" width="14" bestFit="1" customWidth="1"/>
    <col min="5644" max="5644" width="10.1796875" bestFit="1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6.81640625" customWidth="1"/>
    <col min="5897" max="5897" width="21.453125" customWidth="1"/>
    <col min="5898" max="5898" width="17.1796875" bestFit="1" customWidth="1"/>
    <col min="5899" max="5899" width="14" bestFit="1" customWidth="1"/>
    <col min="5900" max="5900" width="10.1796875" bestFit="1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6.81640625" customWidth="1"/>
    <col min="6153" max="6153" width="21.453125" customWidth="1"/>
    <col min="6154" max="6154" width="17.1796875" bestFit="1" customWidth="1"/>
    <col min="6155" max="6155" width="14" bestFit="1" customWidth="1"/>
    <col min="6156" max="6156" width="10.1796875" bestFit="1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6.81640625" customWidth="1"/>
    <col min="6409" max="6409" width="21.453125" customWidth="1"/>
    <col min="6410" max="6410" width="17.1796875" bestFit="1" customWidth="1"/>
    <col min="6411" max="6411" width="14" bestFit="1" customWidth="1"/>
    <col min="6412" max="6412" width="10.1796875" bestFit="1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6.81640625" customWidth="1"/>
    <col min="6665" max="6665" width="21.453125" customWidth="1"/>
    <col min="6666" max="6666" width="17.1796875" bestFit="1" customWidth="1"/>
    <col min="6667" max="6667" width="14" bestFit="1" customWidth="1"/>
    <col min="6668" max="6668" width="10.1796875" bestFit="1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6.81640625" customWidth="1"/>
    <col min="6921" max="6921" width="21.453125" customWidth="1"/>
    <col min="6922" max="6922" width="17.1796875" bestFit="1" customWidth="1"/>
    <col min="6923" max="6923" width="14" bestFit="1" customWidth="1"/>
    <col min="6924" max="6924" width="10.1796875" bestFit="1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6.81640625" customWidth="1"/>
    <col min="7177" max="7177" width="21.453125" customWidth="1"/>
    <col min="7178" max="7178" width="17.1796875" bestFit="1" customWidth="1"/>
    <col min="7179" max="7179" width="14" bestFit="1" customWidth="1"/>
    <col min="7180" max="7180" width="10.1796875" bestFit="1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6.81640625" customWidth="1"/>
    <col min="7433" max="7433" width="21.453125" customWidth="1"/>
    <col min="7434" max="7434" width="17.1796875" bestFit="1" customWidth="1"/>
    <col min="7435" max="7435" width="14" bestFit="1" customWidth="1"/>
    <col min="7436" max="7436" width="10.1796875" bestFit="1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6.81640625" customWidth="1"/>
    <col min="7689" max="7689" width="21.453125" customWidth="1"/>
    <col min="7690" max="7690" width="17.1796875" bestFit="1" customWidth="1"/>
    <col min="7691" max="7691" width="14" bestFit="1" customWidth="1"/>
    <col min="7692" max="7692" width="10.1796875" bestFit="1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6.81640625" customWidth="1"/>
    <col min="7945" max="7945" width="21.453125" customWidth="1"/>
    <col min="7946" max="7946" width="17.1796875" bestFit="1" customWidth="1"/>
    <col min="7947" max="7947" width="14" bestFit="1" customWidth="1"/>
    <col min="7948" max="7948" width="10.1796875" bestFit="1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6.81640625" customWidth="1"/>
    <col min="8201" max="8201" width="21.453125" customWidth="1"/>
    <col min="8202" max="8202" width="17.1796875" bestFit="1" customWidth="1"/>
    <col min="8203" max="8203" width="14" bestFit="1" customWidth="1"/>
    <col min="8204" max="8204" width="10.1796875" bestFit="1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6.81640625" customWidth="1"/>
    <col min="8457" max="8457" width="21.453125" customWidth="1"/>
    <col min="8458" max="8458" width="17.1796875" bestFit="1" customWidth="1"/>
    <col min="8459" max="8459" width="14" bestFit="1" customWidth="1"/>
    <col min="8460" max="8460" width="10.1796875" bestFit="1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6.81640625" customWidth="1"/>
    <col min="8713" max="8713" width="21.453125" customWidth="1"/>
    <col min="8714" max="8714" width="17.1796875" bestFit="1" customWidth="1"/>
    <col min="8715" max="8715" width="14" bestFit="1" customWidth="1"/>
    <col min="8716" max="8716" width="10.1796875" bestFit="1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6.81640625" customWidth="1"/>
    <col min="8969" max="8969" width="21.453125" customWidth="1"/>
    <col min="8970" max="8970" width="17.1796875" bestFit="1" customWidth="1"/>
    <col min="8971" max="8971" width="14" bestFit="1" customWidth="1"/>
    <col min="8972" max="8972" width="10.1796875" bestFit="1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6.81640625" customWidth="1"/>
    <col min="9225" max="9225" width="21.453125" customWidth="1"/>
    <col min="9226" max="9226" width="17.1796875" bestFit="1" customWidth="1"/>
    <col min="9227" max="9227" width="14" bestFit="1" customWidth="1"/>
    <col min="9228" max="9228" width="10.1796875" bestFit="1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6.81640625" customWidth="1"/>
    <col min="9481" max="9481" width="21.453125" customWidth="1"/>
    <col min="9482" max="9482" width="17.1796875" bestFit="1" customWidth="1"/>
    <col min="9483" max="9483" width="14" bestFit="1" customWidth="1"/>
    <col min="9484" max="9484" width="10.1796875" bestFit="1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6.81640625" customWidth="1"/>
    <col min="9737" max="9737" width="21.453125" customWidth="1"/>
    <col min="9738" max="9738" width="17.1796875" bestFit="1" customWidth="1"/>
    <col min="9739" max="9739" width="14" bestFit="1" customWidth="1"/>
    <col min="9740" max="9740" width="10.1796875" bestFit="1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6.81640625" customWidth="1"/>
    <col min="9993" max="9993" width="21.453125" customWidth="1"/>
    <col min="9994" max="9994" width="17.1796875" bestFit="1" customWidth="1"/>
    <col min="9995" max="9995" width="14" bestFit="1" customWidth="1"/>
    <col min="9996" max="9996" width="10.1796875" bestFit="1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6.81640625" customWidth="1"/>
    <col min="10249" max="10249" width="21.453125" customWidth="1"/>
    <col min="10250" max="10250" width="17.1796875" bestFit="1" customWidth="1"/>
    <col min="10251" max="10251" width="14" bestFit="1" customWidth="1"/>
    <col min="10252" max="10252" width="10.1796875" bestFit="1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6.81640625" customWidth="1"/>
    <col min="10505" max="10505" width="21.453125" customWidth="1"/>
    <col min="10506" max="10506" width="17.1796875" bestFit="1" customWidth="1"/>
    <col min="10507" max="10507" width="14" bestFit="1" customWidth="1"/>
    <col min="10508" max="10508" width="10.1796875" bestFit="1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6.81640625" customWidth="1"/>
    <col min="10761" max="10761" width="21.453125" customWidth="1"/>
    <col min="10762" max="10762" width="17.1796875" bestFit="1" customWidth="1"/>
    <col min="10763" max="10763" width="14" bestFit="1" customWidth="1"/>
    <col min="10764" max="10764" width="10.1796875" bestFit="1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6.81640625" customWidth="1"/>
    <col min="11017" max="11017" width="21.453125" customWidth="1"/>
    <col min="11018" max="11018" width="17.1796875" bestFit="1" customWidth="1"/>
    <col min="11019" max="11019" width="14" bestFit="1" customWidth="1"/>
    <col min="11020" max="11020" width="10.1796875" bestFit="1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6.81640625" customWidth="1"/>
    <col min="11273" max="11273" width="21.453125" customWidth="1"/>
    <col min="11274" max="11274" width="17.1796875" bestFit="1" customWidth="1"/>
    <col min="11275" max="11275" width="14" bestFit="1" customWidth="1"/>
    <col min="11276" max="11276" width="10.1796875" bestFit="1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6.81640625" customWidth="1"/>
    <col min="11529" max="11529" width="21.453125" customWidth="1"/>
    <col min="11530" max="11530" width="17.1796875" bestFit="1" customWidth="1"/>
    <col min="11531" max="11531" width="14" bestFit="1" customWidth="1"/>
    <col min="11532" max="11532" width="10.1796875" bestFit="1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6.81640625" customWidth="1"/>
    <col min="11785" max="11785" width="21.453125" customWidth="1"/>
    <col min="11786" max="11786" width="17.1796875" bestFit="1" customWidth="1"/>
    <col min="11787" max="11787" width="14" bestFit="1" customWidth="1"/>
    <col min="11788" max="11788" width="10.1796875" bestFit="1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6.81640625" customWidth="1"/>
    <col min="12041" max="12041" width="21.453125" customWidth="1"/>
    <col min="12042" max="12042" width="17.1796875" bestFit="1" customWidth="1"/>
    <col min="12043" max="12043" width="14" bestFit="1" customWidth="1"/>
    <col min="12044" max="12044" width="10.1796875" bestFit="1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6.81640625" customWidth="1"/>
    <col min="12297" max="12297" width="21.453125" customWidth="1"/>
    <col min="12298" max="12298" width="17.1796875" bestFit="1" customWidth="1"/>
    <col min="12299" max="12299" width="14" bestFit="1" customWidth="1"/>
    <col min="12300" max="12300" width="10.1796875" bestFit="1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6.81640625" customWidth="1"/>
    <col min="12553" max="12553" width="21.453125" customWidth="1"/>
    <col min="12554" max="12554" width="17.1796875" bestFit="1" customWidth="1"/>
    <col min="12555" max="12555" width="14" bestFit="1" customWidth="1"/>
    <col min="12556" max="12556" width="10.1796875" bestFit="1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6.81640625" customWidth="1"/>
    <col min="12809" max="12809" width="21.453125" customWidth="1"/>
    <col min="12810" max="12810" width="17.1796875" bestFit="1" customWidth="1"/>
    <col min="12811" max="12811" width="14" bestFit="1" customWidth="1"/>
    <col min="12812" max="12812" width="10.1796875" bestFit="1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6.81640625" customWidth="1"/>
    <col min="13065" max="13065" width="21.453125" customWidth="1"/>
    <col min="13066" max="13066" width="17.1796875" bestFit="1" customWidth="1"/>
    <col min="13067" max="13067" width="14" bestFit="1" customWidth="1"/>
    <col min="13068" max="13068" width="10.1796875" bestFit="1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6.81640625" customWidth="1"/>
    <col min="13321" max="13321" width="21.453125" customWidth="1"/>
    <col min="13322" max="13322" width="17.1796875" bestFit="1" customWidth="1"/>
    <col min="13323" max="13323" width="14" bestFit="1" customWidth="1"/>
    <col min="13324" max="13324" width="10.1796875" bestFit="1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6.81640625" customWidth="1"/>
    <col min="13577" max="13577" width="21.453125" customWidth="1"/>
    <col min="13578" max="13578" width="17.1796875" bestFit="1" customWidth="1"/>
    <col min="13579" max="13579" width="14" bestFit="1" customWidth="1"/>
    <col min="13580" max="13580" width="10.1796875" bestFit="1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6.81640625" customWidth="1"/>
    <col min="13833" max="13833" width="21.453125" customWidth="1"/>
    <col min="13834" max="13834" width="17.1796875" bestFit="1" customWidth="1"/>
    <col min="13835" max="13835" width="14" bestFit="1" customWidth="1"/>
    <col min="13836" max="13836" width="10.1796875" bestFit="1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6.81640625" customWidth="1"/>
    <col min="14089" max="14089" width="21.453125" customWidth="1"/>
    <col min="14090" max="14090" width="17.1796875" bestFit="1" customWidth="1"/>
    <col min="14091" max="14091" width="14" bestFit="1" customWidth="1"/>
    <col min="14092" max="14092" width="10.1796875" bestFit="1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6.81640625" customWidth="1"/>
    <col min="14345" max="14345" width="21.453125" customWidth="1"/>
    <col min="14346" max="14346" width="17.1796875" bestFit="1" customWidth="1"/>
    <col min="14347" max="14347" width="14" bestFit="1" customWidth="1"/>
    <col min="14348" max="14348" width="10.1796875" bestFit="1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6.81640625" customWidth="1"/>
    <col min="14601" max="14601" width="21.453125" customWidth="1"/>
    <col min="14602" max="14602" width="17.1796875" bestFit="1" customWidth="1"/>
    <col min="14603" max="14603" width="14" bestFit="1" customWidth="1"/>
    <col min="14604" max="14604" width="10.1796875" bestFit="1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6.81640625" customWidth="1"/>
    <col min="14857" max="14857" width="21.453125" customWidth="1"/>
    <col min="14858" max="14858" width="17.1796875" bestFit="1" customWidth="1"/>
    <col min="14859" max="14859" width="14" bestFit="1" customWidth="1"/>
    <col min="14860" max="14860" width="10.1796875" bestFit="1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6.81640625" customWidth="1"/>
    <col min="15113" max="15113" width="21.453125" customWidth="1"/>
    <col min="15114" max="15114" width="17.1796875" bestFit="1" customWidth="1"/>
    <col min="15115" max="15115" width="14" bestFit="1" customWidth="1"/>
    <col min="15116" max="15116" width="10.1796875" bestFit="1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6.81640625" customWidth="1"/>
    <col min="15369" max="15369" width="21.453125" customWidth="1"/>
    <col min="15370" max="15370" width="17.1796875" bestFit="1" customWidth="1"/>
    <col min="15371" max="15371" width="14" bestFit="1" customWidth="1"/>
    <col min="15372" max="15372" width="10.1796875" bestFit="1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6.81640625" customWidth="1"/>
    <col min="15625" max="15625" width="21.453125" customWidth="1"/>
    <col min="15626" max="15626" width="17.1796875" bestFit="1" customWidth="1"/>
    <col min="15627" max="15627" width="14" bestFit="1" customWidth="1"/>
    <col min="15628" max="15628" width="10.1796875" bestFit="1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6.81640625" customWidth="1"/>
    <col min="15881" max="15881" width="21.453125" customWidth="1"/>
    <col min="15882" max="15882" width="17.1796875" bestFit="1" customWidth="1"/>
    <col min="15883" max="15883" width="14" bestFit="1" customWidth="1"/>
    <col min="15884" max="15884" width="10.1796875" bestFit="1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6.81640625" customWidth="1"/>
    <col min="16137" max="16137" width="21.453125" customWidth="1"/>
    <col min="16138" max="16138" width="17.1796875" bestFit="1" customWidth="1"/>
    <col min="16139" max="16139" width="14" bestFit="1" customWidth="1"/>
    <col min="16140" max="16140" width="10.1796875" bestFit="1" customWidth="1"/>
  </cols>
  <sheetData>
    <row r="1" spans="2:11" ht="18.149999999999999" customHeight="1" x14ac:dyDescent="0.25"/>
    <row r="2" spans="2:11" ht="22.65" customHeight="1" x14ac:dyDescent="0.25">
      <c r="B2" s="14" t="s">
        <v>53</v>
      </c>
      <c r="C2" s="15"/>
      <c r="D2" s="15"/>
      <c r="E2" s="15"/>
      <c r="F2" s="15"/>
      <c r="G2" s="15"/>
    </row>
    <row r="3" spans="2:11" ht="18.5" customHeight="1" x14ac:dyDescent="0.25"/>
    <row r="4" spans="2:11" ht="13.5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3" t="s">
        <v>11</v>
      </c>
      <c r="I4" s="10"/>
      <c r="J4" s="10"/>
      <c r="K4" s="10"/>
    </row>
    <row r="5" spans="2:11" ht="13.5" x14ac:dyDescent="0.35">
      <c r="B5" s="3">
        <v>44922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11"/>
      <c r="I5" s="10"/>
      <c r="J5" s="10"/>
      <c r="K5" s="10"/>
    </row>
    <row r="6" spans="2:11" ht="13.5" x14ac:dyDescent="0.35">
      <c r="B6" s="3">
        <v>44923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11"/>
      <c r="I6" s="10"/>
      <c r="J6" s="10" t="s">
        <v>6</v>
      </c>
      <c r="K6" s="10">
        <v>252</v>
      </c>
    </row>
    <row r="7" spans="2:11" ht="13.5" x14ac:dyDescent="0.35">
      <c r="B7" s="3">
        <v>44924</v>
      </c>
      <c r="C7" s="2">
        <v>6.2</v>
      </c>
      <c r="D7" s="2">
        <v>5.266</v>
      </c>
      <c r="E7" s="2">
        <v>5.266</v>
      </c>
      <c r="F7" s="2">
        <v>25852</v>
      </c>
      <c r="G7" s="2">
        <v>136136.63200000001</v>
      </c>
      <c r="H7" s="11"/>
      <c r="I7" s="10"/>
      <c r="J7" s="10"/>
      <c r="K7" s="10"/>
    </row>
    <row r="8" spans="2:11" ht="13.5" x14ac:dyDescent="0.35">
      <c r="B8" s="3">
        <v>44925</v>
      </c>
      <c r="C8" s="2">
        <v>6.36</v>
      </c>
      <c r="D8" s="2">
        <v>5.4020000000000001</v>
      </c>
      <c r="E8" s="2">
        <v>5.3467908805031445</v>
      </c>
      <c r="F8" s="2">
        <v>24843</v>
      </c>
      <c r="G8" s="2">
        <v>132830.32584433962</v>
      </c>
      <c r="H8" s="11">
        <f t="shared" ref="H8:H70" si="0">C8/C7-1</f>
        <v>2.5806451612903292E-2</v>
      </c>
      <c r="I8" s="10"/>
      <c r="J8" s="10" t="s">
        <v>7</v>
      </c>
      <c r="K8" s="12">
        <f>AVERAGE(H6:H694)</f>
        <v>1.1807383277788905E-4</v>
      </c>
    </row>
    <row r="9" spans="2:11" ht="13.5" x14ac:dyDescent="0.35">
      <c r="B9" s="3">
        <v>44928</v>
      </c>
      <c r="C9" s="2">
        <v>6.32</v>
      </c>
      <c r="D9" s="2">
        <v>5.3680000000000003</v>
      </c>
      <c r="E9" s="2">
        <v>5.364602531645569</v>
      </c>
      <c r="F9" s="2">
        <v>5732</v>
      </c>
      <c r="G9" s="2">
        <v>30749.901711392402</v>
      </c>
      <c r="H9" s="11">
        <f t="shared" si="0"/>
        <v>-6.2893081761006275E-3</v>
      </c>
      <c r="I9" s="10"/>
      <c r="J9" s="10" t="s">
        <v>8</v>
      </c>
      <c r="K9" s="12">
        <f>K8*K6</f>
        <v>2.9754605860028042E-2</v>
      </c>
    </row>
    <row r="10" spans="2:11" ht="13.5" x14ac:dyDescent="0.35">
      <c r="B10" s="3">
        <v>44929</v>
      </c>
      <c r="C10" s="2">
        <v>6.35</v>
      </c>
      <c r="D10" s="2">
        <v>5.3940000000000001</v>
      </c>
      <c r="E10" s="2">
        <v>5.3489792125984259</v>
      </c>
      <c r="F10" s="2">
        <v>25380</v>
      </c>
      <c r="G10" s="2">
        <v>135757.09241574805</v>
      </c>
      <c r="H10" s="11">
        <f t="shared" si="0"/>
        <v>4.7468354430377779E-3</v>
      </c>
      <c r="I10" s="10"/>
      <c r="J10" s="10" t="s">
        <v>9</v>
      </c>
      <c r="K10" s="12">
        <f>STDEV(H6:H694)</f>
        <v>1.1044014985624842E-2</v>
      </c>
    </row>
    <row r="11" spans="2:11" ht="13.5" x14ac:dyDescent="0.35">
      <c r="B11" s="3">
        <v>44930</v>
      </c>
      <c r="C11" s="2">
        <v>6.2</v>
      </c>
      <c r="D11" s="2">
        <v>5.266</v>
      </c>
      <c r="E11" s="2">
        <v>5.3076183870967739</v>
      </c>
      <c r="F11" s="2">
        <v>2252</v>
      </c>
      <c r="G11" s="2">
        <v>11952.756607741934</v>
      </c>
      <c r="H11" s="11">
        <f t="shared" si="0"/>
        <v>-2.3622047244094446E-2</v>
      </c>
      <c r="I11" s="10"/>
      <c r="J11" s="10" t="s">
        <v>10</v>
      </c>
      <c r="K11" s="12">
        <f>K10*SQRT(K6)</f>
        <v>0.17531830276580349</v>
      </c>
    </row>
    <row r="12" spans="2:11" ht="13.5" x14ac:dyDescent="0.35">
      <c r="B12" s="3">
        <v>44931</v>
      </c>
      <c r="C12" s="2">
        <v>6.3</v>
      </c>
      <c r="D12" s="2">
        <v>5.351</v>
      </c>
      <c r="E12" s="2">
        <v>5.2711596825396834</v>
      </c>
      <c r="F12" s="2">
        <v>4245</v>
      </c>
      <c r="G12" s="2">
        <v>22376.072852380956</v>
      </c>
      <c r="H12" s="11">
        <f t="shared" si="0"/>
        <v>1.6129032258064502E-2</v>
      </c>
      <c r="I12" s="10"/>
      <c r="J12" s="10"/>
      <c r="K12" s="10"/>
    </row>
    <row r="13" spans="2:11" ht="13.5" x14ac:dyDescent="0.35">
      <c r="B13" s="3">
        <v>44932</v>
      </c>
      <c r="C13" s="2">
        <v>6.3</v>
      </c>
      <c r="D13" s="2">
        <v>5.351</v>
      </c>
      <c r="E13" s="2">
        <v>5.3153266666666674</v>
      </c>
      <c r="F13" s="2">
        <v>1332</v>
      </c>
      <c r="G13" s="2">
        <v>7080.0151200000009</v>
      </c>
      <c r="H13" s="11">
        <f t="shared" si="0"/>
        <v>0</v>
      </c>
      <c r="I13" s="10"/>
      <c r="J13" s="10"/>
      <c r="K13" s="10"/>
    </row>
    <row r="14" spans="2:11" ht="13.5" x14ac:dyDescent="0.35">
      <c r="B14" s="3">
        <v>44935</v>
      </c>
      <c r="C14" s="2">
        <v>6.26</v>
      </c>
      <c r="D14" s="2">
        <v>5.3170000000000002</v>
      </c>
      <c r="E14" s="2">
        <v>5.2796281150159752</v>
      </c>
      <c r="F14" s="2">
        <v>7383</v>
      </c>
      <c r="G14" s="2">
        <v>38979.494373162946</v>
      </c>
      <c r="H14" s="11">
        <f t="shared" si="0"/>
        <v>-6.3492063492063266E-3</v>
      </c>
      <c r="I14" s="10"/>
      <c r="J14" s="10"/>
      <c r="K14" s="10"/>
    </row>
    <row r="15" spans="2:11" ht="13.5" x14ac:dyDescent="0.35">
      <c r="B15" s="3">
        <v>44936</v>
      </c>
      <c r="C15" s="2">
        <v>6.2</v>
      </c>
      <c r="D15" s="2">
        <v>5.266</v>
      </c>
      <c r="E15" s="2">
        <v>5.3203587096774196</v>
      </c>
      <c r="F15" s="2">
        <v>3998</v>
      </c>
      <c r="G15" s="2">
        <v>21270.794121290324</v>
      </c>
      <c r="H15" s="11">
        <f t="shared" si="0"/>
        <v>-9.5846645367411165E-3</v>
      </c>
      <c r="I15" s="10"/>
      <c r="J15" s="10"/>
      <c r="K15" s="10"/>
    </row>
    <row r="16" spans="2:11" ht="13.5" x14ac:dyDescent="0.35">
      <c r="B16" s="3">
        <v>44937</v>
      </c>
      <c r="C16" s="2">
        <v>6.25</v>
      </c>
      <c r="D16" s="2">
        <v>5.3090000000000002</v>
      </c>
      <c r="E16" s="2">
        <v>5.2877639999999992</v>
      </c>
      <c r="F16" s="2">
        <v>12330</v>
      </c>
      <c r="G16" s="2">
        <v>65198.130119999987</v>
      </c>
      <c r="H16" s="11">
        <f t="shared" si="0"/>
        <v>8.0645161290322509E-3</v>
      </c>
      <c r="I16" s="10"/>
      <c r="J16" s="10"/>
      <c r="K16" s="10"/>
    </row>
    <row r="17" spans="2:11" ht="13.5" x14ac:dyDescent="0.35">
      <c r="B17" s="3">
        <v>44938</v>
      </c>
      <c r="C17" s="2">
        <v>6.1</v>
      </c>
      <c r="D17" s="2">
        <v>5.181</v>
      </c>
      <c r="E17" s="2">
        <v>5.3415260655737704</v>
      </c>
      <c r="F17" s="2">
        <v>2136</v>
      </c>
      <c r="G17" s="2">
        <v>11409.499676065574</v>
      </c>
      <c r="H17" s="11">
        <f t="shared" si="0"/>
        <v>-2.4000000000000021E-2</v>
      </c>
      <c r="I17" s="10"/>
      <c r="J17" s="10"/>
      <c r="K17" s="10"/>
    </row>
    <row r="18" spans="2:11" ht="13.5" x14ac:dyDescent="0.35">
      <c r="B18" s="3">
        <v>44939</v>
      </c>
      <c r="C18" s="2">
        <v>6.38</v>
      </c>
      <c r="D18" s="2">
        <v>5.4189999999999996</v>
      </c>
      <c r="E18" s="2">
        <v>5.3586945141065829</v>
      </c>
      <c r="F18" s="2">
        <v>8601</v>
      </c>
      <c r="G18" s="2">
        <v>46090.131515830719</v>
      </c>
      <c r="H18" s="11">
        <f t="shared" si="0"/>
        <v>4.590163934426239E-2</v>
      </c>
      <c r="I18" s="10"/>
      <c r="J18" s="10"/>
      <c r="K18" s="10"/>
    </row>
    <row r="19" spans="2:11" ht="13.5" x14ac:dyDescent="0.35">
      <c r="B19" s="3">
        <v>44942</v>
      </c>
      <c r="C19" s="2">
        <v>6.44</v>
      </c>
      <c r="D19" s="2">
        <v>5.47</v>
      </c>
      <c r="E19" s="2">
        <v>5.4402717391304343</v>
      </c>
      <c r="F19" s="2">
        <v>13262</v>
      </c>
      <c r="G19" s="2">
        <v>72148.883804347817</v>
      </c>
      <c r="H19" s="11">
        <f t="shared" si="0"/>
        <v>9.4043887147337024E-3</v>
      </c>
      <c r="I19" s="10"/>
      <c r="J19" s="10"/>
      <c r="K19" s="10"/>
    </row>
    <row r="20" spans="2:11" ht="13.5" x14ac:dyDescent="0.35">
      <c r="B20" s="3">
        <v>44943</v>
      </c>
      <c r="C20" s="2">
        <v>6.4</v>
      </c>
      <c r="D20" s="2">
        <v>5.4359999999999999</v>
      </c>
      <c r="E20" s="2">
        <v>5.4444937500000004</v>
      </c>
      <c r="F20" s="2">
        <v>6824</v>
      </c>
      <c r="G20" s="2">
        <v>37153.225350000001</v>
      </c>
      <c r="H20" s="11">
        <f t="shared" si="0"/>
        <v>-6.2111801242236142E-3</v>
      </c>
      <c r="I20" s="10"/>
      <c r="J20" s="10"/>
      <c r="K20" s="10"/>
    </row>
    <row r="21" spans="2:11" ht="13.5" x14ac:dyDescent="0.35">
      <c r="B21" s="3">
        <v>44944</v>
      </c>
      <c r="C21" s="2">
        <v>6.43</v>
      </c>
      <c r="D21" s="2">
        <v>5.4619999999999997</v>
      </c>
      <c r="E21" s="2">
        <v>5.458602177293935</v>
      </c>
      <c r="F21" s="2">
        <v>16227</v>
      </c>
      <c r="G21" s="2">
        <v>88576.737530948682</v>
      </c>
      <c r="H21" s="11">
        <f t="shared" si="0"/>
        <v>4.6874999999999556E-3</v>
      </c>
      <c r="I21" s="10"/>
      <c r="J21" s="10"/>
      <c r="K21" s="10"/>
    </row>
    <row r="22" spans="2:11" ht="13.5" x14ac:dyDescent="0.35">
      <c r="B22" s="3">
        <v>44945</v>
      </c>
      <c r="C22" s="2">
        <v>6.43</v>
      </c>
      <c r="D22" s="2">
        <v>5.4619999999999997</v>
      </c>
      <c r="E22" s="2">
        <v>5.4492581648522549</v>
      </c>
      <c r="F22" s="2">
        <v>12514</v>
      </c>
      <c r="G22" s="2">
        <v>68192.016674961123</v>
      </c>
      <c r="H22" s="11">
        <f t="shared" si="0"/>
        <v>0</v>
      </c>
      <c r="I22" s="10"/>
      <c r="J22" s="10"/>
      <c r="K22" s="10"/>
    </row>
    <row r="23" spans="2:11" ht="13.5" x14ac:dyDescent="0.35">
      <c r="B23" s="3">
        <v>44946</v>
      </c>
      <c r="C23" s="2">
        <v>6.4</v>
      </c>
      <c r="D23" s="2">
        <v>5.4359999999999999</v>
      </c>
      <c r="E23" s="2">
        <v>5.4309037499999997</v>
      </c>
      <c r="F23" s="2">
        <v>3037</v>
      </c>
      <c r="G23" s="2">
        <v>16493.654688750001</v>
      </c>
      <c r="H23" s="11">
        <f t="shared" si="0"/>
        <v>-4.6656298600310508E-3</v>
      </c>
      <c r="I23" s="10"/>
      <c r="J23" s="10"/>
      <c r="K23" s="10"/>
    </row>
    <row r="24" spans="2:11" ht="13.5" x14ac:dyDescent="0.35">
      <c r="B24" s="3">
        <v>44949</v>
      </c>
      <c r="C24" s="2">
        <v>6.35</v>
      </c>
      <c r="D24" s="2">
        <v>5.3940000000000001</v>
      </c>
      <c r="E24" s="2">
        <v>5.4118384251968514</v>
      </c>
      <c r="F24" s="2">
        <v>2913</v>
      </c>
      <c r="G24" s="2">
        <v>15764.685332598428</v>
      </c>
      <c r="H24" s="11">
        <f t="shared" si="0"/>
        <v>-7.812500000000111E-3</v>
      </c>
      <c r="I24" s="10"/>
      <c r="J24" s="10"/>
      <c r="K24" s="10"/>
    </row>
    <row r="25" spans="2:11" ht="13.5" x14ac:dyDescent="0.35">
      <c r="B25" s="3">
        <v>44950</v>
      </c>
      <c r="C25" s="2">
        <v>6.38</v>
      </c>
      <c r="D25" s="2">
        <v>5.4189999999999996</v>
      </c>
      <c r="E25" s="2">
        <v>5.3595438871473347</v>
      </c>
      <c r="F25" s="2">
        <v>11378</v>
      </c>
      <c r="G25" s="2">
        <v>60980.890347962377</v>
      </c>
      <c r="H25" s="11">
        <f t="shared" si="0"/>
        <v>4.7244094488190225E-3</v>
      </c>
      <c r="I25" s="10"/>
      <c r="J25" s="10"/>
      <c r="K25" s="10"/>
    </row>
    <row r="26" spans="2:11" ht="13.5" x14ac:dyDescent="0.35">
      <c r="B26" s="3">
        <v>44951</v>
      </c>
      <c r="C26" s="2">
        <v>6.27</v>
      </c>
      <c r="D26" s="2">
        <v>5.3259999999999996</v>
      </c>
      <c r="E26" s="2">
        <v>5.3514832535885164</v>
      </c>
      <c r="F26" s="2">
        <v>6158</v>
      </c>
      <c r="G26" s="2">
        <v>32954.433875598086</v>
      </c>
      <c r="H26" s="11">
        <f t="shared" si="0"/>
        <v>-1.7241379310344862E-2</v>
      </c>
      <c r="I26" s="10"/>
      <c r="J26" s="10"/>
      <c r="K26" s="10"/>
    </row>
    <row r="27" spans="2:11" ht="13.5" x14ac:dyDescent="0.35">
      <c r="B27" s="3">
        <v>44952</v>
      </c>
      <c r="C27" s="2">
        <v>6.3</v>
      </c>
      <c r="D27" s="2">
        <v>5.351</v>
      </c>
      <c r="E27" s="2">
        <v>5.3654392063492073</v>
      </c>
      <c r="F27" s="2">
        <v>595</v>
      </c>
      <c r="G27" s="2">
        <v>3192.4363277777784</v>
      </c>
      <c r="H27" s="11">
        <f t="shared" si="0"/>
        <v>4.784688995215447E-3</v>
      </c>
      <c r="I27" s="10"/>
      <c r="J27" s="10"/>
      <c r="K27" s="10"/>
    </row>
    <row r="28" spans="2:11" ht="13.5" x14ac:dyDescent="0.35">
      <c r="B28" s="3">
        <v>44953</v>
      </c>
      <c r="C28" s="2">
        <v>6.36</v>
      </c>
      <c r="D28" s="2">
        <v>5.4020000000000001</v>
      </c>
      <c r="E28" s="2">
        <v>5.3680251572327045</v>
      </c>
      <c r="F28" s="2">
        <v>150</v>
      </c>
      <c r="G28" s="2">
        <v>805.20377358490566</v>
      </c>
      <c r="H28" s="11">
        <f t="shared" si="0"/>
        <v>9.523809523809712E-3</v>
      </c>
      <c r="I28" s="10"/>
      <c r="J28" s="10"/>
      <c r="K28" s="10"/>
    </row>
    <row r="29" spans="2:11" ht="13.5" x14ac:dyDescent="0.35">
      <c r="B29" s="3">
        <v>44956</v>
      </c>
      <c r="C29" s="2">
        <v>6.39</v>
      </c>
      <c r="D29" s="2">
        <v>5.4279999999999999</v>
      </c>
      <c r="E29" s="2">
        <v>5.3923230046948358</v>
      </c>
      <c r="F29" s="2">
        <v>4770</v>
      </c>
      <c r="G29" s="2">
        <v>25721.380732394366</v>
      </c>
      <c r="H29" s="11">
        <f t="shared" si="0"/>
        <v>4.7169811320753041E-3</v>
      </c>
      <c r="I29" s="10"/>
      <c r="J29" s="10"/>
      <c r="K29" s="10"/>
    </row>
    <row r="30" spans="2:11" ht="13.5" x14ac:dyDescent="0.35">
      <c r="B30" s="3">
        <v>44957</v>
      </c>
      <c r="C30" s="2">
        <v>6.39</v>
      </c>
      <c r="D30" s="2">
        <v>5.4279999999999999</v>
      </c>
      <c r="E30" s="2">
        <v>0</v>
      </c>
      <c r="F30" s="2">
        <v>0</v>
      </c>
      <c r="G30" s="2">
        <v>0</v>
      </c>
      <c r="H30" s="11">
        <f t="shared" si="0"/>
        <v>0</v>
      </c>
      <c r="I30" s="10"/>
      <c r="J30" s="10"/>
      <c r="K30" s="10"/>
    </row>
    <row r="31" spans="2:11" ht="13.5" x14ac:dyDescent="0.35">
      <c r="B31" s="3">
        <v>44958</v>
      </c>
      <c r="C31" s="2">
        <v>6.39</v>
      </c>
      <c r="D31" s="2">
        <v>5.4279999999999999</v>
      </c>
      <c r="E31" s="2">
        <v>5.4203549295774653</v>
      </c>
      <c r="F31" s="2">
        <v>3700</v>
      </c>
      <c r="G31" s="2">
        <v>20055.313239436622</v>
      </c>
      <c r="H31" s="11">
        <f t="shared" si="0"/>
        <v>0</v>
      </c>
      <c r="I31" s="10"/>
      <c r="J31" s="10"/>
      <c r="K31" s="10"/>
    </row>
    <row r="32" spans="2:11" ht="13.5" x14ac:dyDescent="0.35">
      <c r="B32" s="3">
        <v>44959</v>
      </c>
      <c r="C32" s="2">
        <v>6.39</v>
      </c>
      <c r="D32" s="2">
        <v>5.4279999999999999</v>
      </c>
      <c r="E32" s="2">
        <v>5.4016669796557117</v>
      </c>
      <c r="F32" s="2">
        <v>5500</v>
      </c>
      <c r="G32" s="2">
        <v>29709.168388106416</v>
      </c>
      <c r="H32" s="11">
        <f t="shared" si="0"/>
        <v>0</v>
      </c>
      <c r="I32" s="10"/>
      <c r="J32" s="10"/>
      <c r="K32" s="10"/>
    </row>
    <row r="33" spans="2:11" ht="13.5" x14ac:dyDescent="0.35">
      <c r="B33" s="3">
        <v>44960</v>
      </c>
      <c r="C33" s="2">
        <v>6.35</v>
      </c>
      <c r="D33" s="2">
        <v>5.3940000000000001</v>
      </c>
      <c r="E33" s="2">
        <v>5.3515275590551186</v>
      </c>
      <c r="F33" s="2">
        <v>202</v>
      </c>
      <c r="G33" s="2">
        <v>1081.0085669291338</v>
      </c>
      <c r="H33" s="11">
        <f t="shared" si="0"/>
        <v>-6.2597809076682109E-3</v>
      </c>
      <c r="I33" s="10"/>
      <c r="J33" s="10"/>
      <c r="K33" s="10"/>
    </row>
    <row r="34" spans="2:11" ht="13.5" x14ac:dyDescent="0.35">
      <c r="B34" s="3">
        <v>44963</v>
      </c>
      <c r="C34" s="2">
        <v>6.34</v>
      </c>
      <c r="D34" s="2">
        <v>5.3849999999999998</v>
      </c>
      <c r="E34" s="2">
        <v>5.3085567823343842</v>
      </c>
      <c r="F34" s="2">
        <v>2055</v>
      </c>
      <c r="G34" s="2">
        <v>10909.084187697159</v>
      </c>
      <c r="H34" s="11">
        <f t="shared" si="0"/>
        <v>-1.5748031496062298E-3</v>
      </c>
      <c r="I34" s="10"/>
      <c r="J34" s="10"/>
      <c r="K34" s="10"/>
    </row>
    <row r="35" spans="2:11" ht="13.5" x14ac:dyDescent="0.35">
      <c r="B35" s="3">
        <v>44964</v>
      </c>
      <c r="C35" s="2">
        <v>6.24</v>
      </c>
      <c r="D35" s="2">
        <v>5.3</v>
      </c>
      <c r="E35" s="2">
        <v>5.2804647435897429</v>
      </c>
      <c r="F35" s="2">
        <v>4126</v>
      </c>
      <c r="G35" s="2">
        <v>21787.197532051279</v>
      </c>
      <c r="H35" s="11">
        <f t="shared" si="0"/>
        <v>-1.577287066246047E-2</v>
      </c>
      <c r="I35" s="10"/>
      <c r="J35" s="10"/>
      <c r="K35" s="10"/>
    </row>
    <row r="36" spans="2:11" ht="13.5" x14ac:dyDescent="0.35">
      <c r="B36" s="3">
        <v>44965</v>
      </c>
      <c r="C36" s="2">
        <v>6.1</v>
      </c>
      <c r="D36" s="2">
        <v>5.181</v>
      </c>
      <c r="E36" s="2">
        <v>5.1716572131147549</v>
      </c>
      <c r="F36" s="2">
        <v>34259</v>
      </c>
      <c r="G36" s="2">
        <v>177175.80446409839</v>
      </c>
      <c r="H36" s="11">
        <f t="shared" si="0"/>
        <v>-2.2435897435897578E-2</v>
      </c>
      <c r="I36" s="10"/>
      <c r="J36" s="10"/>
      <c r="K36" s="10"/>
    </row>
    <row r="37" spans="2:11" ht="13.5" x14ac:dyDescent="0.35">
      <c r="B37" s="3">
        <v>44966</v>
      </c>
      <c r="C37" s="2">
        <v>6.14</v>
      </c>
      <c r="D37" s="2">
        <v>5.2149999999999999</v>
      </c>
      <c r="E37" s="2">
        <v>5.1878208469055371</v>
      </c>
      <c r="F37" s="2">
        <v>32518</v>
      </c>
      <c r="G37" s="2">
        <v>168697.55829967425</v>
      </c>
      <c r="H37" s="11">
        <f t="shared" si="0"/>
        <v>6.5573770491802463E-3</v>
      </c>
      <c r="I37" s="10"/>
      <c r="J37" s="10"/>
      <c r="K37" s="10"/>
    </row>
    <row r="38" spans="2:11" ht="13.5" x14ac:dyDescent="0.35">
      <c r="B38" s="3">
        <v>44967</v>
      </c>
      <c r="C38" s="2">
        <v>6.13</v>
      </c>
      <c r="D38" s="2">
        <v>5.2069999999999999</v>
      </c>
      <c r="E38" s="2">
        <v>5.1755711256117456</v>
      </c>
      <c r="F38" s="2">
        <v>5206</v>
      </c>
      <c r="G38" s="2">
        <v>26944.023279934747</v>
      </c>
      <c r="H38" s="11">
        <f t="shared" si="0"/>
        <v>-1.6286644951140072E-3</v>
      </c>
      <c r="I38" s="10"/>
      <c r="J38" s="10"/>
      <c r="K38" s="10"/>
    </row>
    <row r="39" spans="2:11" ht="13.5" x14ac:dyDescent="0.35">
      <c r="B39" s="3">
        <v>44970</v>
      </c>
      <c r="C39" s="2">
        <v>6.1</v>
      </c>
      <c r="D39" s="2">
        <v>5.181</v>
      </c>
      <c r="E39" s="2">
        <v>5.1716572131147549</v>
      </c>
      <c r="F39" s="2">
        <v>5512</v>
      </c>
      <c r="G39" s="2">
        <v>28506.17455868853</v>
      </c>
      <c r="H39" s="11">
        <f t="shared" si="0"/>
        <v>-4.8939641109299048E-3</v>
      </c>
      <c r="I39" s="10"/>
      <c r="J39" s="10"/>
      <c r="K39" s="10"/>
    </row>
    <row r="40" spans="2:11" ht="13.5" x14ac:dyDescent="0.35">
      <c r="B40" s="3">
        <v>44971</v>
      </c>
      <c r="C40" s="2">
        <v>6.09</v>
      </c>
      <c r="D40" s="2">
        <v>5.173</v>
      </c>
      <c r="E40" s="2">
        <v>5.1721505747126439</v>
      </c>
      <c r="F40" s="2">
        <v>4094</v>
      </c>
      <c r="G40" s="2">
        <v>21174.784452873566</v>
      </c>
      <c r="H40" s="11">
        <f t="shared" si="0"/>
        <v>-1.6393442622950616E-3</v>
      </c>
      <c r="I40" s="10"/>
      <c r="J40" s="10"/>
      <c r="K40" s="10"/>
    </row>
    <row r="41" spans="2:11" ht="13.5" x14ac:dyDescent="0.35">
      <c r="B41" s="3">
        <v>44972</v>
      </c>
      <c r="C41" s="2">
        <v>6.08</v>
      </c>
      <c r="D41" s="2">
        <v>5.1639999999999997</v>
      </c>
      <c r="E41" s="2">
        <v>5.1614519736842102</v>
      </c>
      <c r="F41" s="2">
        <v>7096</v>
      </c>
      <c r="G41" s="2">
        <v>36625.663205263154</v>
      </c>
      <c r="H41" s="11">
        <f t="shared" si="0"/>
        <v>-1.6420361247947435E-3</v>
      </c>
      <c r="I41" s="10"/>
      <c r="J41" s="10"/>
      <c r="K41" s="10"/>
    </row>
    <row r="42" spans="2:11" ht="13.5" x14ac:dyDescent="0.35">
      <c r="B42" s="3">
        <v>44973</v>
      </c>
      <c r="C42" s="2">
        <v>6.1</v>
      </c>
      <c r="D42" s="2">
        <v>5.181</v>
      </c>
      <c r="E42" s="2">
        <v>5.158917049180328</v>
      </c>
      <c r="F42" s="2">
        <v>17380</v>
      </c>
      <c r="G42" s="2">
        <v>89661.978314754102</v>
      </c>
      <c r="H42" s="11">
        <f t="shared" si="0"/>
        <v>3.2894736842103978E-3</v>
      </c>
      <c r="I42" s="10"/>
      <c r="J42" s="10"/>
      <c r="K42" s="10"/>
    </row>
    <row r="43" spans="2:11" ht="13.5" x14ac:dyDescent="0.35">
      <c r="B43" s="3">
        <v>44974</v>
      </c>
      <c r="C43" s="2">
        <v>6.08</v>
      </c>
      <c r="D43" s="2">
        <v>5.1639999999999997</v>
      </c>
      <c r="E43" s="2">
        <v>5.1724934210526312</v>
      </c>
      <c r="F43" s="2">
        <v>5952</v>
      </c>
      <c r="G43" s="2">
        <v>30786.680842105259</v>
      </c>
      <c r="H43" s="11">
        <f t="shared" si="0"/>
        <v>-3.2786885245901232E-3</v>
      </c>
      <c r="I43" s="10"/>
      <c r="J43" s="10"/>
      <c r="K43" s="10"/>
    </row>
    <row r="44" spans="2:11" ht="13.5" x14ac:dyDescent="0.35">
      <c r="B44" s="3">
        <v>44977</v>
      </c>
      <c r="C44" s="2">
        <v>6.08</v>
      </c>
      <c r="D44" s="2">
        <v>5.1639999999999997</v>
      </c>
      <c r="E44" s="2">
        <v>5.1639999999999997</v>
      </c>
      <c r="F44" s="2">
        <v>4440</v>
      </c>
      <c r="G44" s="2">
        <v>22928.16</v>
      </c>
      <c r="H44" s="11">
        <f t="shared" si="0"/>
        <v>0</v>
      </c>
      <c r="I44" s="10"/>
      <c r="J44" s="10"/>
      <c r="K44" s="10"/>
    </row>
    <row r="45" spans="2:11" ht="13.5" x14ac:dyDescent="0.35">
      <c r="B45" s="3">
        <v>44978</v>
      </c>
      <c r="C45" s="2">
        <v>6.08</v>
      </c>
      <c r="D45" s="2">
        <v>5.1639999999999997</v>
      </c>
      <c r="E45" s="2">
        <v>5.1614519736842102</v>
      </c>
      <c r="F45" s="2">
        <v>5342</v>
      </c>
      <c r="G45" s="2">
        <v>27572.476443421052</v>
      </c>
      <c r="H45" s="11">
        <f t="shared" si="0"/>
        <v>0</v>
      </c>
      <c r="I45" s="10"/>
      <c r="J45" s="10"/>
      <c r="K45" s="10"/>
    </row>
    <row r="46" spans="2:11" ht="13.5" x14ac:dyDescent="0.35">
      <c r="B46" s="3">
        <v>44979</v>
      </c>
      <c r="C46" s="2">
        <v>6.08</v>
      </c>
      <c r="D46" s="2">
        <v>5.1639999999999997</v>
      </c>
      <c r="E46" s="2">
        <v>5.1538078947368415</v>
      </c>
      <c r="F46" s="2">
        <v>9318</v>
      </c>
      <c r="G46" s="2">
        <v>48023.181963157891</v>
      </c>
      <c r="H46" s="11">
        <f t="shared" si="0"/>
        <v>0</v>
      </c>
      <c r="I46" s="10"/>
      <c r="J46" s="10"/>
      <c r="K46" s="10"/>
    </row>
    <row r="47" spans="2:11" ht="13.5" x14ac:dyDescent="0.35">
      <c r="B47" s="3">
        <v>44980</v>
      </c>
      <c r="C47" s="2">
        <v>6.07</v>
      </c>
      <c r="D47" s="2">
        <v>5.1559999999999997</v>
      </c>
      <c r="E47" s="2">
        <v>5.1441080724876436</v>
      </c>
      <c r="F47" s="2">
        <v>8015</v>
      </c>
      <c r="G47" s="2">
        <v>41230.026200988461</v>
      </c>
      <c r="H47" s="11">
        <f t="shared" si="0"/>
        <v>-1.6447368421051989E-3</v>
      </c>
      <c r="I47" s="10"/>
      <c r="J47" s="10"/>
      <c r="K47" s="10"/>
    </row>
    <row r="48" spans="2:11" ht="13.5" x14ac:dyDescent="0.35">
      <c r="B48" s="3">
        <v>44981</v>
      </c>
      <c r="C48" s="2">
        <v>6.07</v>
      </c>
      <c r="D48" s="2">
        <v>5.1559999999999997</v>
      </c>
      <c r="E48" s="2">
        <v>5.1475057660626016</v>
      </c>
      <c r="F48" s="2">
        <v>16300</v>
      </c>
      <c r="G48" s="2">
        <v>83904.3439868204</v>
      </c>
      <c r="H48" s="11">
        <f t="shared" si="0"/>
        <v>0</v>
      </c>
      <c r="I48" s="10"/>
      <c r="J48" s="10"/>
      <c r="K48" s="10"/>
    </row>
    <row r="49" spans="2:11" ht="13.5" x14ac:dyDescent="0.35">
      <c r="B49" s="3">
        <v>44984</v>
      </c>
      <c r="C49" s="2">
        <v>6.07</v>
      </c>
      <c r="D49" s="2">
        <v>5.1559999999999997</v>
      </c>
      <c r="E49" s="2">
        <v>5.1466563426688623</v>
      </c>
      <c r="F49" s="2">
        <v>13704</v>
      </c>
      <c r="G49" s="2">
        <v>70529.778519934087</v>
      </c>
      <c r="H49" s="11">
        <f t="shared" si="0"/>
        <v>0</v>
      </c>
      <c r="I49" s="10"/>
      <c r="J49" s="10"/>
      <c r="K49" s="10"/>
    </row>
    <row r="50" spans="2:11" ht="13.5" x14ac:dyDescent="0.35">
      <c r="B50" s="3">
        <v>44985</v>
      </c>
      <c r="C50" s="2">
        <v>6.06</v>
      </c>
      <c r="D50" s="2">
        <v>5.1470000000000002</v>
      </c>
      <c r="E50" s="2">
        <v>5.141903960396041</v>
      </c>
      <c r="F50" s="2">
        <v>6406</v>
      </c>
      <c r="G50" s="2">
        <v>32939.03677029704</v>
      </c>
      <c r="H50" s="11">
        <f t="shared" si="0"/>
        <v>-1.6474464579901982E-3</v>
      </c>
      <c r="I50" s="10"/>
      <c r="J50" s="10"/>
      <c r="K50" s="10"/>
    </row>
    <row r="51" spans="2:11" ht="13.5" x14ac:dyDescent="0.35">
      <c r="B51" s="3">
        <v>44986</v>
      </c>
      <c r="C51" s="2">
        <v>6.05</v>
      </c>
      <c r="D51" s="2">
        <v>5.1390000000000002</v>
      </c>
      <c r="E51" s="2">
        <v>5.1254092561983473</v>
      </c>
      <c r="F51" s="2">
        <v>9462</v>
      </c>
      <c r="G51" s="2">
        <v>48496.622382148766</v>
      </c>
      <c r="H51" s="11">
        <f t="shared" si="0"/>
        <v>-1.6501650165016146E-3</v>
      </c>
      <c r="I51" s="10"/>
      <c r="J51" s="10"/>
      <c r="K51" s="10"/>
    </row>
    <row r="52" spans="2:11" ht="13.5" x14ac:dyDescent="0.35">
      <c r="B52" s="3">
        <v>44987</v>
      </c>
      <c r="C52" s="2">
        <v>6.05</v>
      </c>
      <c r="D52" s="2">
        <v>5.1390000000000002</v>
      </c>
      <c r="E52" s="2">
        <v>5.1220115702479347</v>
      </c>
      <c r="F52" s="2">
        <v>8719</v>
      </c>
      <c r="G52" s="2">
        <v>44658.818880991741</v>
      </c>
      <c r="H52" s="11">
        <f t="shared" si="0"/>
        <v>0</v>
      </c>
      <c r="I52" s="10"/>
      <c r="J52" s="10"/>
      <c r="K52" s="10"/>
    </row>
    <row r="53" spans="2:11" ht="13.5" x14ac:dyDescent="0.35">
      <c r="B53" s="3">
        <v>44988</v>
      </c>
      <c r="C53" s="2">
        <v>6.04</v>
      </c>
      <c r="D53" s="2">
        <v>5.13</v>
      </c>
      <c r="E53" s="2">
        <v>5.1384933774834431</v>
      </c>
      <c r="F53" s="2">
        <v>1505</v>
      </c>
      <c r="G53" s="2">
        <v>7733.432533112582</v>
      </c>
      <c r="H53" s="11">
        <f t="shared" si="0"/>
        <v>-1.6528925619834212E-3</v>
      </c>
      <c r="I53" s="10"/>
      <c r="J53" s="10"/>
      <c r="K53" s="10"/>
    </row>
    <row r="54" spans="2:11" ht="13.5" x14ac:dyDescent="0.35">
      <c r="B54" s="3">
        <v>44991</v>
      </c>
      <c r="C54" s="2">
        <v>6</v>
      </c>
      <c r="D54" s="2">
        <v>5.0960000000000001</v>
      </c>
      <c r="E54" s="2">
        <v>5.097698666666667</v>
      </c>
      <c r="F54" s="2">
        <v>26048</v>
      </c>
      <c r="G54" s="2">
        <v>132784.85486933333</v>
      </c>
      <c r="H54" s="11">
        <f t="shared" si="0"/>
        <v>-6.6225165562914245E-3</v>
      </c>
      <c r="I54" s="10"/>
      <c r="J54" s="10"/>
      <c r="K54" s="10"/>
    </row>
    <row r="55" spans="2:11" ht="13.5" x14ac:dyDescent="0.35">
      <c r="B55" s="3">
        <v>44992</v>
      </c>
      <c r="C55" s="2">
        <v>6</v>
      </c>
      <c r="D55" s="2">
        <v>5.0960000000000001</v>
      </c>
      <c r="E55" s="2">
        <v>5.1019453333333331</v>
      </c>
      <c r="F55" s="2">
        <v>5548</v>
      </c>
      <c r="G55" s="2">
        <v>28305.59270933333</v>
      </c>
      <c r="H55" s="11">
        <f t="shared" si="0"/>
        <v>0</v>
      </c>
      <c r="I55" s="10"/>
      <c r="J55" s="10"/>
      <c r="K55" s="10"/>
    </row>
    <row r="56" spans="2:11" ht="13.5" x14ac:dyDescent="0.35">
      <c r="B56" s="3">
        <v>44993</v>
      </c>
      <c r="C56" s="2">
        <v>5.99</v>
      </c>
      <c r="D56" s="2">
        <v>5.0880000000000001</v>
      </c>
      <c r="E56" s="2">
        <v>5.0896988313856433</v>
      </c>
      <c r="F56" s="2">
        <v>3325</v>
      </c>
      <c r="G56" s="2">
        <v>16923.248614357264</v>
      </c>
      <c r="H56" s="11">
        <f t="shared" si="0"/>
        <v>-1.6666666666665941E-3</v>
      </c>
      <c r="I56" s="10"/>
      <c r="J56" s="10"/>
      <c r="K56" s="10"/>
    </row>
    <row r="57" spans="2:11" ht="13.5" x14ac:dyDescent="0.35">
      <c r="B57" s="3">
        <v>44994</v>
      </c>
      <c r="C57" s="2">
        <v>6.25</v>
      </c>
      <c r="D57" s="2">
        <v>5.3090000000000002</v>
      </c>
      <c r="E57" s="2">
        <v>5.2325504</v>
      </c>
      <c r="F57" s="2">
        <v>70777</v>
      </c>
      <c r="G57" s="2">
        <v>370344.21966080001</v>
      </c>
      <c r="H57" s="11">
        <f t="shared" si="0"/>
        <v>4.3405676126878179E-2</v>
      </c>
      <c r="I57" s="10"/>
      <c r="J57" s="10"/>
      <c r="K57" s="10"/>
    </row>
    <row r="58" spans="2:11" ht="13.5" x14ac:dyDescent="0.35">
      <c r="B58" s="3">
        <v>44995</v>
      </c>
      <c r="C58" s="2">
        <v>6.28</v>
      </c>
      <c r="D58" s="2">
        <v>5.3339999999999996</v>
      </c>
      <c r="E58" s="2">
        <v>5.3187114649681515</v>
      </c>
      <c r="F58" s="2">
        <v>29075</v>
      </c>
      <c r="G58" s="2">
        <v>154641.53584394901</v>
      </c>
      <c r="H58" s="11">
        <f t="shared" si="0"/>
        <v>4.8000000000001375E-3</v>
      </c>
      <c r="I58" s="10"/>
      <c r="J58" s="10"/>
      <c r="K58" s="10"/>
    </row>
    <row r="59" spans="2:11" ht="13.5" x14ac:dyDescent="0.35">
      <c r="B59" s="3">
        <v>44998</v>
      </c>
      <c r="C59" s="2">
        <v>6.27</v>
      </c>
      <c r="D59" s="2">
        <v>5.3259999999999996</v>
      </c>
      <c r="E59" s="2">
        <v>5.288624561403509</v>
      </c>
      <c r="F59" s="2">
        <v>16079</v>
      </c>
      <c r="G59" s="2">
        <v>85035.794322807022</v>
      </c>
      <c r="H59" s="11">
        <f t="shared" si="0"/>
        <v>-1.5923566878981443E-3</v>
      </c>
      <c r="I59" s="10"/>
      <c r="J59" s="10"/>
      <c r="K59" s="10"/>
    </row>
    <row r="60" spans="2:11" ht="13.5" x14ac:dyDescent="0.35">
      <c r="B60" s="3">
        <v>44999</v>
      </c>
      <c r="C60" s="2">
        <v>6.34</v>
      </c>
      <c r="D60" s="2">
        <v>5.3849999999999998</v>
      </c>
      <c r="E60" s="2">
        <v>5.3323391167192424</v>
      </c>
      <c r="F60" s="2">
        <v>50808</v>
      </c>
      <c r="G60" s="2">
        <v>270925.48584227124</v>
      </c>
      <c r="H60" s="11">
        <f t="shared" si="0"/>
        <v>1.1164274322169154E-2</v>
      </c>
      <c r="I60" s="10"/>
      <c r="J60" s="10"/>
      <c r="K60" s="10"/>
    </row>
    <row r="61" spans="2:11" ht="13.5" x14ac:dyDescent="0.35">
      <c r="B61" s="3">
        <v>45000</v>
      </c>
      <c r="C61" s="2">
        <v>6.4</v>
      </c>
      <c r="D61" s="2">
        <v>5.4359999999999999</v>
      </c>
      <c r="E61" s="2">
        <v>5.4054225000000002</v>
      </c>
      <c r="F61" s="2">
        <v>65863</v>
      </c>
      <c r="G61" s="2">
        <v>356017.34211750003</v>
      </c>
      <c r="H61" s="11">
        <f t="shared" si="0"/>
        <v>9.4637223974765039E-3</v>
      </c>
      <c r="I61" s="10"/>
      <c r="J61" s="10"/>
      <c r="K61" s="10"/>
    </row>
    <row r="62" spans="2:11" ht="13.5" x14ac:dyDescent="0.35">
      <c r="B62" s="3">
        <v>45001</v>
      </c>
      <c r="C62" s="2">
        <v>6.4</v>
      </c>
      <c r="D62" s="2">
        <v>5.4359999999999999</v>
      </c>
      <c r="E62" s="2">
        <v>5.4292050000000005</v>
      </c>
      <c r="F62" s="2">
        <v>24340</v>
      </c>
      <c r="G62" s="2">
        <v>132146.84970000002</v>
      </c>
      <c r="H62" s="11">
        <f t="shared" si="0"/>
        <v>0</v>
      </c>
      <c r="I62" s="10"/>
      <c r="J62" s="10"/>
      <c r="K62" s="10"/>
    </row>
    <row r="63" spans="2:11" ht="13.5" x14ac:dyDescent="0.35">
      <c r="B63" s="3">
        <v>45002</v>
      </c>
      <c r="C63" s="2">
        <v>6.35</v>
      </c>
      <c r="D63" s="2">
        <v>5.3940000000000001</v>
      </c>
      <c r="E63" s="2">
        <v>5.4296768503937018</v>
      </c>
      <c r="F63" s="2">
        <v>8372</v>
      </c>
      <c r="G63" s="2">
        <v>45457.254591496072</v>
      </c>
      <c r="H63" s="11">
        <f t="shared" si="0"/>
        <v>-7.812500000000111E-3</v>
      </c>
      <c r="I63" s="10"/>
      <c r="J63" s="10"/>
      <c r="K63" s="10"/>
    </row>
    <row r="64" spans="2:11" ht="13.5" x14ac:dyDescent="0.35">
      <c r="B64" s="3">
        <v>45006</v>
      </c>
      <c r="C64" s="2">
        <v>6.35</v>
      </c>
      <c r="D64" s="2">
        <v>5.3940000000000001</v>
      </c>
      <c r="E64" s="2">
        <v>5.3600220472440947</v>
      </c>
      <c r="F64" s="2">
        <v>6567</v>
      </c>
      <c r="G64" s="2">
        <v>35199.264784251973</v>
      </c>
      <c r="H64" s="11">
        <f t="shared" si="0"/>
        <v>0</v>
      </c>
      <c r="I64" s="10"/>
      <c r="J64" s="10"/>
      <c r="K64" s="10"/>
    </row>
    <row r="65" spans="2:11" ht="13.5" x14ac:dyDescent="0.35">
      <c r="B65" s="3">
        <v>45007</v>
      </c>
      <c r="C65" s="2">
        <v>6.34</v>
      </c>
      <c r="D65" s="2">
        <v>5.3849999999999998</v>
      </c>
      <c r="E65" s="2">
        <v>5.3849999999999998</v>
      </c>
      <c r="F65" s="2">
        <v>1500</v>
      </c>
      <c r="G65" s="2">
        <v>8077.5</v>
      </c>
      <c r="H65" s="11">
        <f t="shared" si="0"/>
        <v>-1.5748031496062298E-3</v>
      </c>
      <c r="I65" s="10"/>
      <c r="J65" s="10"/>
      <c r="K65" s="10"/>
    </row>
    <row r="66" spans="2:11" ht="13.5" x14ac:dyDescent="0.35">
      <c r="B66" s="3">
        <v>45008</v>
      </c>
      <c r="C66" s="2">
        <v>6.34</v>
      </c>
      <c r="D66" s="2">
        <v>5.3849999999999998</v>
      </c>
      <c r="E66" s="2">
        <v>5.3849999999999998</v>
      </c>
      <c r="F66" s="2">
        <v>1050</v>
      </c>
      <c r="G66" s="2">
        <v>5654.25</v>
      </c>
      <c r="H66" s="11">
        <f t="shared" si="0"/>
        <v>0</v>
      </c>
      <c r="I66" s="10"/>
      <c r="J66" s="10"/>
      <c r="K66" s="10"/>
    </row>
    <row r="67" spans="2:11" ht="13.5" x14ac:dyDescent="0.35">
      <c r="B67" s="3">
        <v>45009</v>
      </c>
      <c r="C67" s="2">
        <v>6.3</v>
      </c>
      <c r="D67" s="2">
        <v>5.351</v>
      </c>
      <c r="E67" s="2">
        <v>5.3212722222222224</v>
      </c>
      <c r="F67" s="2">
        <v>29216</v>
      </c>
      <c r="G67" s="2">
        <v>155466.28924444446</v>
      </c>
      <c r="H67" s="11">
        <f t="shared" si="0"/>
        <v>-6.3091482649841879E-3</v>
      </c>
      <c r="I67" s="10"/>
      <c r="J67" s="10"/>
      <c r="K67" s="10"/>
    </row>
    <row r="68" spans="2:11" ht="13.5" x14ac:dyDescent="0.35">
      <c r="B68" s="3">
        <v>45012</v>
      </c>
      <c r="C68" s="2">
        <v>6.27</v>
      </c>
      <c r="D68" s="2">
        <v>5.3259999999999996</v>
      </c>
      <c r="E68" s="2">
        <v>5.3107100478468894</v>
      </c>
      <c r="F68" s="2">
        <v>5650</v>
      </c>
      <c r="G68" s="2">
        <v>30005.511770334924</v>
      </c>
      <c r="H68" s="11">
        <f t="shared" si="0"/>
        <v>-4.761904761904856E-3</v>
      </c>
      <c r="I68" s="10"/>
      <c r="J68" s="10"/>
      <c r="K68" s="10"/>
    </row>
    <row r="69" spans="2:11" ht="13.5" x14ac:dyDescent="0.35">
      <c r="B69" s="3">
        <v>45013</v>
      </c>
      <c r="C69" s="2">
        <v>6.24</v>
      </c>
      <c r="D69" s="2">
        <v>5.3</v>
      </c>
      <c r="E69" s="2">
        <v>5.294054487179487</v>
      </c>
      <c r="F69" s="2">
        <v>5300</v>
      </c>
      <c r="G69" s="2">
        <v>28058.488782051281</v>
      </c>
      <c r="H69" s="11">
        <f t="shared" si="0"/>
        <v>-4.7846889952152249E-3</v>
      </c>
      <c r="I69" s="10"/>
      <c r="J69" s="10"/>
      <c r="K69" s="10"/>
    </row>
    <row r="70" spans="2:11" ht="13.5" x14ac:dyDescent="0.35">
      <c r="B70" s="3">
        <v>45014</v>
      </c>
      <c r="C70" s="2">
        <v>6.22</v>
      </c>
      <c r="D70" s="2">
        <v>5.2830000000000004</v>
      </c>
      <c r="E70" s="2">
        <v>5.2830000000000004</v>
      </c>
      <c r="F70" s="2">
        <v>19448</v>
      </c>
      <c r="G70" s="2">
        <v>102743.78400000001</v>
      </c>
      <c r="H70" s="11">
        <f t="shared" si="0"/>
        <v>-3.2051282051283048E-3</v>
      </c>
      <c r="I70" s="10"/>
      <c r="J70" s="10"/>
      <c r="K70" s="10"/>
    </row>
    <row r="71" spans="2:11" ht="13.5" x14ac:dyDescent="0.35">
      <c r="B71" s="3">
        <v>45015</v>
      </c>
      <c r="C71" s="2">
        <v>6.26</v>
      </c>
      <c r="D71" s="2">
        <v>5.3170000000000002</v>
      </c>
      <c r="E71" s="2">
        <v>5.2787787539936106</v>
      </c>
      <c r="F71" s="2">
        <v>10109</v>
      </c>
      <c r="G71" s="2">
        <v>53363.174424121411</v>
      </c>
      <c r="H71" s="11">
        <f t="shared" ref="H71:H134" si="1">C71/C70-1</f>
        <v>6.4308681672025081E-3</v>
      </c>
      <c r="I71" s="10"/>
      <c r="J71" s="10"/>
      <c r="K71" s="10"/>
    </row>
    <row r="72" spans="2:11" ht="13.5" x14ac:dyDescent="0.35">
      <c r="B72" s="3">
        <v>45016</v>
      </c>
      <c r="C72" s="2">
        <v>6.3</v>
      </c>
      <c r="D72" s="2">
        <v>5.351</v>
      </c>
      <c r="E72" s="2">
        <v>5.351</v>
      </c>
      <c r="F72" s="2">
        <v>16850</v>
      </c>
      <c r="G72" s="2">
        <v>90164.35</v>
      </c>
      <c r="H72" s="11">
        <f t="shared" si="1"/>
        <v>6.389776357827559E-3</v>
      </c>
      <c r="I72" s="10"/>
      <c r="J72" s="10"/>
      <c r="K72" s="10"/>
    </row>
    <row r="73" spans="2:11" ht="13.5" x14ac:dyDescent="0.35">
      <c r="B73" s="3">
        <v>45019</v>
      </c>
      <c r="C73" s="2">
        <v>6.3</v>
      </c>
      <c r="D73" s="2">
        <v>5.351</v>
      </c>
      <c r="E73" s="2">
        <v>5.3552468253968257</v>
      </c>
      <c r="F73" s="2">
        <v>2601</v>
      </c>
      <c r="G73" s="2">
        <v>13928.996992857145</v>
      </c>
      <c r="H73" s="11">
        <f t="shared" si="1"/>
        <v>0</v>
      </c>
      <c r="I73" s="10"/>
      <c r="J73" s="10"/>
      <c r="K73" s="10"/>
    </row>
    <row r="74" spans="2:11" ht="13.5" x14ac:dyDescent="0.35">
      <c r="B74" s="3">
        <v>45020</v>
      </c>
      <c r="C74" s="2">
        <v>6.3</v>
      </c>
      <c r="D74" s="2">
        <v>5.351</v>
      </c>
      <c r="E74" s="2">
        <v>5.3331633333333333</v>
      </c>
      <c r="F74" s="2">
        <v>30699</v>
      </c>
      <c r="G74" s="2">
        <v>163722.78117</v>
      </c>
      <c r="H74" s="11">
        <f t="shared" si="1"/>
        <v>0</v>
      </c>
      <c r="I74" s="10"/>
      <c r="J74" s="10"/>
      <c r="K74" s="10"/>
    </row>
    <row r="75" spans="2:11" ht="13.5" x14ac:dyDescent="0.35">
      <c r="B75" s="3">
        <v>45021</v>
      </c>
      <c r="C75" s="2">
        <v>6.3</v>
      </c>
      <c r="D75" s="2">
        <v>5.351</v>
      </c>
      <c r="E75" s="2">
        <v>5.3399582539682546</v>
      </c>
      <c r="F75" s="2">
        <v>5120</v>
      </c>
      <c r="G75" s="2">
        <v>27340.586260317465</v>
      </c>
      <c r="H75" s="11">
        <f t="shared" si="1"/>
        <v>0</v>
      </c>
      <c r="I75" s="10"/>
      <c r="J75" s="10"/>
      <c r="K75" s="10"/>
    </row>
    <row r="76" spans="2:11" ht="13.5" x14ac:dyDescent="0.35">
      <c r="B76" s="3">
        <v>45022</v>
      </c>
      <c r="C76" s="2">
        <v>6.35</v>
      </c>
      <c r="D76" s="2">
        <v>5.3940000000000001</v>
      </c>
      <c r="E76" s="2">
        <v>5.3464308661417324</v>
      </c>
      <c r="F76" s="2">
        <v>36586</v>
      </c>
      <c r="G76" s="2">
        <v>195604.51966866141</v>
      </c>
      <c r="H76" s="11">
        <f t="shared" si="1"/>
        <v>7.9365079365079083E-3</v>
      </c>
      <c r="I76" s="10"/>
      <c r="J76" s="10"/>
      <c r="K76" s="10"/>
    </row>
    <row r="77" spans="2:11" ht="13.5" x14ac:dyDescent="0.35">
      <c r="B77" s="3">
        <v>45023</v>
      </c>
      <c r="C77" s="2">
        <v>6.35</v>
      </c>
      <c r="D77" s="2">
        <v>5.3940000000000001</v>
      </c>
      <c r="E77" s="2">
        <v>5.3625703937007883</v>
      </c>
      <c r="F77" s="2">
        <v>7776</v>
      </c>
      <c r="G77" s="2">
        <v>41699.347381417327</v>
      </c>
      <c r="H77" s="11">
        <f t="shared" si="1"/>
        <v>0</v>
      </c>
      <c r="I77" s="10"/>
      <c r="J77" s="10"/>
      <c r="K77" s="10"/>
    </row>
    <row r="78" spans="2:11" ht="13.5" x14ac:dyDescent="0.35">
      <c r="B78" s="3">
        <v>45026</v>
      </c>
      <c r="C78" s="2">
        <v>6.4</v>
      </c>
      <c r="D78" s="2">
        <v>5.4359999999999999</v>
      </c>
      <c r="E78" s="2">
        <v>5.3960793749999993</v>
      </c>
      <c r="F78" s="2">
        <v>37162</v>
      </c>
      <c r="G78" s="2">
        <v>200529.10173374997</v>
      </c>
      <c r="H78" s="11">
        <f t="shared" si="1"/>
        <v>7.8740157480317041E-3</v>
      </c>
      <c r="I78" s="10"/>
      <c r="J78" s="10"/>
      <c r="K78" s="10"/>
    </row>
    <row r="79" spans="2:11" ht="13.5" x14ac:dyDescent="0.35">
      <c r="B79" s="3">
        <v>45027</v>
      </c>
      <c r="C79" s="2">
        <v>6.49</v>
      </c>
      <c r="D79" s="2">
        <v>5.5129999999999999</v>
      </c>
      <c r="E79" s="2">
        <v>5.4526882896764244</v>
      </c>
      <c r="F79" s="2">
        <v>28189</v>
      </c>
      <c r="G79" s="2">
        <v>153705.83019768872</v>
      </c>
      <c r="H79" s="11">
        <f t="shared" si="1"/>
        <v>1.4062499999999867E-2</v>
      </c>
      <c r="I79" s="10"/>
      <c r="J79" s="10"/>
      <c r="K79" s="10"/>
    </row>
    <row r="80" spans="2:11" ht="13.5" x14ac:dyDescent="0.35">
      <c r="B80" s="3">
        <v>45028</v>
      </c>
      <c r="C80" s="2">
        <v>6.47</v>
      </c>
      <c r="D80" s="2">
        <v>5.4960000000000004</v>
      </c>
      <c r="E80" s="2">
        <v>5.4628710973724894</v>
      </c>
      <c r="F80" s="2">
        <v>3372</v>
      </c>
      <c r="G80" s="2">
        <v>18420.801340340033</v>
      </c>
      <c r="H80" s="11">
        <f t="shared" si="1"/>
        <v>-3.0816640986133237E-3</v>
      </c>
      <c r="I80" s="10"/>
      <c r="J80" s="10"/>
      <c r="K80" s="10"/>
    </row>
    <row r="81" spans="2:11" ht="13.5" x14ac:dyDescent="0.35">
      <c r="B81" s="3">
        <v>45029</v>
      </c>
      <c r="C81" s="2">
        <v>6.47</v>
      </c>
      <c r="D81" s="2">
        <v>5.4960000000000004</v>
      </c>
      <c r="E81" s="2">
        <v>5.4390862442040184</v>
      </c>
      <c r="F81" s="2">
        <v>6950</v>
      </c>
      <c r="G81" s="2">
        <v>37801.649397217931</v>
      </c>
      <c r="H81" s="11">
        <f t="shared" si="1"/>
        <v>0</v>
      </c>
      <c r="I81" s="10"/>
      <c r="J81" s="10"/>
      <c r="K81" s="10"/>
    </row>
    <row r="82" spans="2:11" ht="13.5" x14ac:dyDescent="0.35">
      <c r="B82" s="3">
        <v>45030</v>
      </c>
      <c r="C82" s="2">
        <v>6.44</v>
      </c>
      <c r="D82" s="2">
        <v>5.47</v>
      </c>
      <c r="E82" s="2">
        <v>5.4275310559006202</v>
      </c>
      <c r="F82" s="2">
        <v>5010</v>
      </c>
      <c r="G82" s="2">
        <v>27191.930590062108</v>
      </c>
      <c r="H82" s="11">
        <f t="shared" si="1"/>
        <v>-4.6367851622873824E-3</v>
      </c>
      <c r="I82" s="10"/>
      <c r="J82" s="10"/>
      <c r="K82" s="10"/>
    </row>
    <row r="83" spans="2:11" ht="13.5" x14ac:dyDescent="0.35">
      <c r="B83" s="3">
        <v>45033</v>
      </c>
      <c r="C83" s="2">
        <v>6.44</v>
      </c>
      <c r="D83" s="2">
        <v>5.47</v>
      </c>
      <c r="E83" s="2">
        <v>5.47</v>
      </c>
      <c r="F83" s="2">
        <v>400</v>
      </c>
      <c r="G83" s="2">
        <v>2188</v>
      </c>
      <c r="H83" s="11">
        <f t="shared" si="1"/>
        <v>0</v>
      </c>
      <c r="I83" s="10"/>
      <c r="J83" s="10"/>
      <c r="K83" s="10"/>
    </row>
    <row r="84" spans="2:11" ht="13.5" x14ac:dyDescent="0.35">
      <c r="B84" s="3">
        <v>45034</v>
      </c>
      <c r="C84" s="2">
        <v>6.44</v>
      </c>
      <c r="D84" s="2">
        <v>5.47</v>
      </c>
      <c r="E84" s="2">
        <v>5.4683012422360235</v>
      </c>
      <c r="F84" s="2">
        <v>9520</v>
      </c>
      <c r="G84" s="2">
        <v>52058.227826086943</v>
      </c>
      <c r="H84" s="11">
        <f t="shared" si="1"/>
        <v>0</v>
      </c>
      <c r="I84" s="10"/>
      <c r="J84" s="10"/>
      <c r="K84" s="10"/>
    </row>
    <row r="85" spans="2:11" ht="13.5" x14ac:dyDescent="0.35">
      <c r="B85" s="3">
        <v>45035</v>
      </c>
      <c r="C85" s="2">
        <v>6.44</v>
      </c>
      <c r="D85" s="2">
        <v>5.47</v>
      </c>
      <c r="E85" s="2">
        <v>5.441121118012421</v>
      </c>
      <c r="F85" s="2">
        <v>75202</v>
      </c>
      <c r="G85" s="2">
        <v>409183.19031677011</v>
      </c>
      <c r="H85" s="11">
        <f t="shared" si="1"/>
        <v>0</v>
      </c>
      <c r="I85" s="10"/>
      <c r="J85" s="10"/>
      <c r="K85" s="10"/>
    </row>
    <row r="86" spans="2:11" ht="13.5" x14ac:dyDescent="0.35">
      <c r="B86" s="3">
        <v>45036</v>
      </c>
      <c r="C86" s="2">
        <v>6.44</v>
      </c>
      <c r="D86" s="2">
        <v>5.47</v>
      </c>
      <c r="E86" s="2">
        <v>5.47</v>
      </c>
      <c r="F86" s="2">
        <v>400</v>
      </c>
      <c r="G86" s="2">
        <v>2188</v>
      </c>
      <c r="H86" s="11">
        <f t="shared" si="1"/>
        <v>0</v>
      </c>
      <c r="I86" s="10"/>
      <c r="J86" s="10"/>
      <c r="K86" s="10"/>
    </row>
    <row r="87" spans="2:11" ht="13.5" x14ac:dyDescent="0.35">
      <c r="B87" s="3">
        <v>45040</v>
      </c>
      <c r="C87" s="2">
        <v>6.43</v>
      </c>
      <c r="D87" s="2">
        <v>5.4619999999999997</v>
      </c>
      <c r="E87" s="2">
        <v>5.4509570762052872</v>
      </c>
      <c r="F87" s="2">
        <v>5513</v>
      </c>
      <c r="G87" s="2">
        <v>30051.12636111975</v>
      </c>
      <c r="H87" s="11">
        <f t="shared" si="1"/>
        <v>-1.5527950310559868E-3</v>
      </c>
      <c r="I87" s="10"/>
      <c r="J87" s="10"/>
      <c r="K87" s="10"/>
    </row>
    <row r="88" spans="2:11" ht="13.5" x14ac:dyDescent="0.35">
      <c r="B88" s="3">
        <v>45041</v>
      </c>
      <c r="C88" s="2">
        <v>6.43</v>
      </c>
      <c r="D88" s="2">
        <v>5.4619999999999997</v>
      </c>
      <c r="E88" s="2">
        <v>5.4424625194401246</v>
      </c>
      <c r="F88" s="2">
        <v>3878</v>
      </c>
      <c r="G88" s="2">
        <v>21105.869650388802</v>
      </c>
      <c r="H88" s="11">
        <f t="shared" si="1"/>
        <v>0</v>
      </c>
      <c r="I88" s="10"/>
      <c r="J88" s="10"/>
      <c r="K88" s="10"/>
    </row>
    <row r="89" spans="2:11" ht="13.5" x14ac:dyDescent="0.35">
      <c r="B89" s="3">
        <v>45042</v>
      </c>
      <c r="C89" s="2">
        <v>6.42</v>
      </c>
      <c r="D89" s="2">
        <v>5.4530000000000003</v>
      </c>
      <c r="E89" s="2">
        <v>5.3884473520249223</v>
      </c>
      <c r="F89" s="2">
        <v>3360</v>
      </c>
      <c r="G89" s="2">
        <v>18105.183102803738</v>
      </c>
      <c r="H89" s="11">
        <f t="shared" si="1"/>
        <v>-1.5552099533436836E-3</v>
      </c>
      <c r="I89" s="10"/>
      <c r="J89" s="10"/>
      <c r="K89" s="10"/>
    </row>
    <row r="90" spans="2:11" ht="13.5" x14ac:dyDescent="0.35">
      <c r="B90" s="3">
        <v>45043</v>
      </c>
      <c r="C90" s="2">
        <v>6.42</v>
      </c>
      <c r="D90" s="2">
        <v>5.4530000000000003</v>
      </c>
      <c r="E90" s="2">
        <v>5.441958099688474</v>
      </c>
      <c r="F90" s="2">
        <v>3701</v>
      </c>
      <c r="G90" s="2">
        <v>20140.686926947041</v>
      </c>
      <c r="H90" s="11">
        <f t="shared" si="1"/>
        <v>0</v>
      </c>
      <c r="I90" s="10"/>
      <c r="J90" s="10"/>
      <c r="K90" s="10"/>
    </row>
    <row r="91" spans="2:11" ht="13.5" x14ac:dyDescent="0.35">
      <c r="B91" s="3">
        <v>45044</v>
      </c>
      <c r="C91" s="2">
        <v>6.4</v>
      </c>
      <c r="D91" s="2">
        <v>5.4359999999999999</v>
      </c>
      <c r="E91" s="2">
        <v>5.4368493749999995</v>
      </c>
      <c r="F91" s="2">
        <v>4700</v>
      </c>
      <c r="G91" s="2">
        <v>25553.192062499998</v>
      </c>
      <c r="H91" s="11">
        <f t="shared" si="1"/>
        <v>-3.1152647975076775E-3</v>
      </c>
      <c r="I91" s="10"/>
      <c r="J91" s="10"/>
      <c r="K91" s="10"/>
    </row>
    <row r="92" spans="2:11" ht="13.5" x14ac:dyDescent="0.35">
      <c r="B92" s="3">
        <v>45048</v>
      </c>
      <c r="C92" s="2">
        <v>6.4</v>
      </c>
      <c r="D92" s="2">
        <v>5.4359999999999999</v>
      </c>
      <c r="E92" s="2">
        <v>5.4241087500000003</v>
      </c>
      <c r="F92" s="2">
        <v>12911</v>
      </c>
      <c r="G92" s="2">
        <v>70030.668071250009</v>
      </c>
      <c r="H92" s="11">
        <f t="shared" si="1"/>
        <v>0</v>
      </c>
      <c r="I92" s="10"/>
      <c r="J92" s="10"/>
      <c r="K92" s="10"/>
    </row>
    <row r="93" spans="2:11" ht="13.5" x14ac:dyDescent="0.35">
      <c r="B93" s="3">
        <v>45049</v>
      </c>
      <c r="C93" s="2">
        <v>6.38</v>
      </c>
      <c r="D93" s="2">
        <v>5.4189999999999996</v>
      </c>
      <c r="E93" s="2">
        <v>5.4189999999999996</v>
      </c>
      <c r="F93" s="2">
        <v>13922</v>
      </c>
      <c r="G93" s="2">
        <v>75443.317999999999</v>
      </c>
      <c r="H93" s="11">
        <f t="shared" si="1"/>
        <v>-3.1250000000000444E-3</v>
      </c>
      <c r="I93" s="10"/>
      <c r="J93" s="10"/>
      <c r="K93" s="10"/>
    </row>
    <row r="94" spans="2:11" ht="13.5" x14ac:dyDescent="0.35">
      <c r="B94" s="3">
        <v>45050</v>
      </c>
      <c r="C94" s="2">
        <v>6.5</v>
      </c>
      <c r="D94" s="2">
        <v>5.5209999999999999</v>
      </c>
      <c r="E94" s="2">
        <v>5.499765384615384</v>
      </c>
      <c r="F94" s="2">
        <v>81595</v>
      </c>
      <c r="G94" s="2">
        <v>448753.35655769228</v>
      </c>
      <c r="H94" s="11">
        <f t="shared" si="1"/>
        <v>1.8808777429467183E-2</v>
      </c>
      <c r="I94" s="10"/>
      <c r="J94" s="10"/>
      <c r="K94" s="10"/>
    </row>
    <row r="95" spans="2:11" ht="13.5" x14ac:dyDescent="0.35">
      <c r="B95" s="3">
        <v>45051</v>
      </c>
      <c r="C95" s="2">
        <v>6.5</v>
      </c>
      <c r="D95" s="2">
        <v>5.5209999999999999</v>
      </c>
      <c r="E95" s="2">
        <v>5.5303432307692306</v>
      </c>
      <c r="F95" s="2">
        <v>37041</v>
      </c>
      <c r="G95" s="2">
        <v>204849.44361092307</v>
      </c>
      <c r="H95" s="11">
        <f t="shared" si="1"/>
        <v>0</v>
      </c>
      <c r="I95" s="10"/>
      <c r="J95" s="10"/>
      <c r="K95" s="10"/>
    </row>
    <row r="96" spans="2:11" ht="13.5" x14ac:dyDescent="0.35">
      <c r="B96" s="3">
        <v>45054</v>
      </c>
      <c r="C96" s="2">
        <v>6.5</v>
      </c>
      <c r="D96" s="2">
        <v>5.5209999999999999</v>
      </c>
      <c r="E96" s="2">
        <v>5.5201506153846154</v>
      </c>
      <c r="F96" s="2">
        <v>24500</v>
      </c>
      <c r="G96" s="2">
        <v>135243.69007692309</v>
      </c>
      <c r="H96" s="11">
        <f t="shared" si="1"/>
        <v>0</v>
      </c>
      <c r="I96" s="10"/>
      <c r="J96" s="10"/>
      <c r="K96" s="10"/>
    </row>
    <row r="97" spans="2:11" ht="13.5" x14ac:dyDescent="0.35">
      <c r="B97" s="3">
        <v>45055</v>
      </c>
      <c r="C97" s="2">
        <v>6.5</v>
      </c>
      <c r="D97" s="2">
        <v>5.5209999999999999</v>
      </c>
      <c r="E97" s="2">
        <v>5.5447827692307694</v>
      </c>
      <c r="F97" s="2">
        <v>2835</v>
      </c>
      <c r="G97" s="2">
        <v>15719.459150769231</v>
      </c>
      <c r="H97" s="11">
        <f t="shared" si="1"/>
        <v>0</v>
      </c>
      <c r="I97" s="10"/>
      <c r="J97" s="10"/>
      <c r="K97" s="10"/>
    </row>
    <row r="98" spans="2:11" ht="13.5" x14ac:dyDescent="0.35">
      <c r="B98" s="3">
        <v>45056</v>
      </c>
      <c r="C98" s="2">
        <v>6.53</v>
      </c>
      <c r="D98" s="2">
        <v>5.5469999999999997</v>
      </c>
      <c r="E98" s="2">
        <v>5.523215007656967</v>
      </c>
      <c r="F98" s="2">
        <v>7157</v>
      </c>
      <c r="G98" s="2">
        <v>39529.649809800911</v>
      </c>
      <c r="H98" s="11">
        <f t="shared" si="1"/>
        <v>4.6153846153846878E-3</v>
      </c>
      <c r="I98" s="10"/>
      <c r="J98" s="10"/>
      <c r="K98" s="10"/>
    </row>
    <row r="99" spans="2:11" ht="13.5" x14ac:dyDescent="0.35">
      <c r="B99" s="3">
        <v>45057</v>
      </c>
      <c r="C99" s="2">
        <v>6.54</v>
      </c>
      <c r="D99" s="2">
        <v>5.5549999999999997</v>
      </c>
      <c r="E99" s="2">
        <v>5.5431085626911312</v>
      </c>
      <c r="F99" s="2">
        <v>2184</v>
      </c>
      <c r="G99" s="2">
        <v>12106.14910091743</v>
      </c>
      <c r="H99" s="11">
        <f t="shared" si="1"/>
        <v>1.5313935681469104E-3</v>
      </c>
      <c r="I99" s="10"/>
      <c r="J99" s="10"/>
      <c r="K99" s="10"/>
    </row>
    <row r="100" spans="2:11" ht="13.5" x14ac:dyDescent="0.35">
      <c r="B100" s="3">
        <v>45058</v>
      </c>
      <c r="C100" s="2">
        <v>6.55</v>
      </c>
      <c r="D100" s="2">
        <v>5.5640000000000001</v>
      </c>
      <c r="E100" s="2">
        <v>5.5495590839694664</v>
      </c>
      <c r="F100" s="2">
        <v>2044</v>
      </c>
      <c r="G100" s="2">
        <v>11343.298767633589</v>
      </c>
      <c r="H100" s="11">
        <f t="shared" si="1"/>
        <v>1.5290519877675379E-3</v>
      </c>
      <c r="I100" s="10"/>
      <c r="J100" s="10"/>
      <c r="K100" s="10"/>
    </row>
    <row r="101" spans="2:11" ht="13.5" x14ac:dyDescent="0.35">
      <c r="B101" s="3">
        <v>45061</v>
      </c>
      <c r="C101" s="2">
        <v>6.55</v>
      </c>
      <c r="D101" s="2">
        <v>5.5640000000000001</v>
      </c>
      <c r="E101" s="2">
        <v>5.5334192366412216</v>
      </c>
      <c r="F101" s="2">
        <v>7158</v>
      </c>
      <c r="G101" s="2">
        <v>39608.214895877863</v>
      </c>
      <c r="H101" s="11">
        <f t="shared" si="1"/>
        <v>0</v>
      </c>
      <c r="I101" s="10"/>
      <c r="J101" s="10"/>
      <c r="K101" s="10"/>
    </row>
    <row r="102" spans="2:11" ht="13.5" x14ac:dyDescent="0.35">
      <c r="B102" s="3">
        <v>45062</v>
      </c>
      <c r="C102" s="2">
        <v>6.58</v>
      </c>
      <c r="D102" s="2">
        <v>5.5890000000000004</v>
      </c>
      <c r="E102" s="2">
        <v>5.5652170212765961</v>
      </c>
      <c r="F102" s="2">
        <v>17457</v>
      </c>
      <c r="G102" s="2">
        <v>97151.993540425538</v>
      </c>
      <c r="H102" s="11">
        <f t="shared" si="1"/>
        <v>4.5801526717557106E-3</v>
      </c>
      <c r="I102" s="10"/>
      <c r="J102" s="10"/>
      <c r="K102" s="10"/>
    </row>
    <row r="103" spans="2:11" ht="13.5" x14ac:dyDescent="0.35">
      <c r="B103" s="3">
        <v>45063</v>
      </c>
      <c r="C103" s="2">
        <v>6.59</v>
      </c>
      <c r="D103" s="2">
        <v>5.5979999999999999</v>
      </c>
      <c r="E103" s="2">
        <v>5.5878063732928682</v>
      </c>
      <c r="F103" s="2">
        <v>5803</v>
      </c>
      <c r="G103" s="2">
        <v>32426.040384218515</v>
      </c>
      <c r="H103" s="11">
        <f t="shared" si="1"/>
        <v>1.5197568389058169E-3</v>
      </c>
      <c r="I103" s="10"/>
      <c r="J103" s="10"/>
      <c r="K103" s="10"/>
    </row>
    <row r="104" spans="2:11" ht="13.5" x14ac:dyDescent="0.35">
      <c r="B104" s="3">
        <v>45064</v>
      </c>
      <c r="C104" s="2">
        <v>6.58</v>
      </c>
      <c r="D104" s="2">
        <v>5.5890000000000004</v>
      </c>
      <c r="E104" s="2">
        <v>5.5796566869300914</v>
      </c>
      <c r="F104" s="2">
        <v>11662</v>
      </c>
      <c r="G104" s="2">
        <v>65069.956282978725</v>
      </c>
      <c r="H104" s="11">
        <f t="shared" si="1"/>
        <v>-1.5174506828528056E-3</v>
      </c>
      <c r="I104" s="10"/>
      <c r="J104" s="10"/>
      <c r="K104" s="10"/>
    </row>
    <row r="105" spans="2:11" ht="13.5" x14ac:dyDescent="0.35">
      <c r="B105" s="3">
        <v>45065</v>
      </c>
      <c r="C105" s="2">
        <v>6.57</v>
      </c>
      <c r="D105" s="2">
        <v>5.5810000000000004</v>
      </c>
      <c r="E105" s="2">
        <v>5.5826989345509901</v>
      </c>
      <c r="F105" s="2">
        <v>5050</v>
      </c>
      <c r="G105" s="2">
        <v>28192.629619482501</v>
      </c>
      <c r="H105" s="11">
        <f t="shared" si="1"/>
        <v>-1.5197568389057059E-3</v>
      </c>
      <c r="I105" s="10"/>
      <c r="J105" s="10"/>
      <c r="K105" s="10"/>
    </row>
    <row r="106" spans="2:11" ht="13.5" x14ac:dyDescent="0.35">
      <c r="B106" s="3">
        <v>45068</v>
      </c>
      <c r="C106" s="2">
        <v>6.6</v>
      </c>
      <c r="D106" s="2">
        <v>5.6059999999999999</v>
      </c>
      <c r="E106" s="2">
        <v>5.6009036363636362</v>
      </c>
      <c r="F106" s="2">
        <v>19911</v>
      </c>
      <c r="G106" s="2">
        <v>111519.59230363637</v>
      </c>
      <c r="H106" s="11">
        <f t="shared" si="1"/>
        <v>4.5662100456620447E-3</v>
      </c>
      <c r="I106" s="10"/>
      <c r="J106" s="10"/>
      <c r="K106" s="10"/>
    </row>
    <row r="107" spans="2:11" ht="13.5" x14ac:dyDescent="0.35">
      <c r="B107" s="3">
        <v>45069</v>
      </c>
      <c r="C107" s="2">
        <v>6.6</v>
      </c>
      <c r="D107" s="2">
        <v>5.6059999999999999</v>
      </c>
      <c r="E107" s="2">
        <v>5.6085481818181817</v>
      </c>
      <c r="F107" s="2">
        <v>18933</v>
      </c>
      <c r="G107" s="2">
        <v>106186.64272636363</v>
      </c>
      <c r="H107" s="11">
        <f t="shared" si="1"/>
        <v>0</v>
      </c>
      <c r="I107" s="10"/>
      <c r="J107" s="10"/>
      <c r="K107" s="10"/>
    </row>
    <row r="108" spans="2:11" ht="13.5" x14ac:dyDescent="0.35">
      <c r="B108" s="3">
        <v>45070</v>
      </c>
      <c r="C108" s="2">
        <v>6.66</v>
      </c>
      <c r="D108" s="2">
        <v>5.657</v>
      </c>
      <c r="E108" s="2">
        <v>5.6204758258258254</v>
      </c>
      <c r="F108" s="2">
        <v>9781</v>
      </c>
      <c r="G108" s="2">
        <v>54973.874052402396</v>
      </c>
      <c r="H108" s="11">
        <f t="shared" si="1"/>
        <v>9.0909090909092605E-3</v>
      </c>
      <c r="I108" s="10"/>
      <c r="J108" s="10"/>
      <c r="K108" s="10"/>
    </row>
    <row r="109" spans="2:11" ht="13.5" x14ac:dyDescent="0.35">
      <c r="B109" s="3">
        <v>45071</v>
      </c>
      <c r="C109" s="2">
        <v>6.67</v>
      </c>
      <c r="D109" s="2">
        <v>5.665</v>
      </c>
      <c r="E109" s="2">
        <v>5.6480134932533739</v>
      </c>
      <c r="F109" s="2">
        <v>14159</v>
      </c>
      <c r="G109" s="2">
        <v>79970.223050974528</v>
      </c>
      <c r="H109" s="11">
        <f t="shared" si="1"/>
        <v>1.5015015015014122E-3</v>
      </c>
      <c r="I109" s="10"/>
      <c r="J109" s="10"/>
      <c r="K109" s="10"/>
    </row>
    <row r="110" spans="2:11" ht="13.5" x14ac:dyDescent="0.35">
      <c r="B110" s="3">
        <v>45072</v>
      </c>
      <c r="C110" s="2">
        <v>6.65</v>
      </c>
      <c r="D110" s="2">
        <v>5.6479999999999997</v>
      </c>
      <c r="E110" s="2">
        <v>5.6191230075187963</v>
      </c>
      <c r="F110" s="2">
        <v>11111</v>
      </c>
      <c r="G110" s="2">
        <v>62434.075736541345</v>
      </c>
      <c r="H110" s="11">
        <f t="shared" si="1"/>
        <v>-2.9985007496251548E-3</v>
      </c>
      <c r="I110" s="10"/>
      <c r="J110" s="10"/>
      <c r="K110" s="10"/>
    </row>
    <row r="111" spans="2:11" ht="13.5" x14ac:dyDescent="0.35">
      <c r="B111" s="3">
        <v>45075</v>
      </c>
      <c r="C111" s="2">
        <v>6.91</v>
      </c>
      <c r="D111" s="2">
        <v>5.8689999999999998</v>
      </c>
      <c r="E111" s="2">
        <v>5.7339535455861066</v>
      </c>
      <c r="F111" s="2">
        <v>67353</v>
      </c>
      <c r="G111" s="2">
        <v>386198.97315586102</v>
      </c>
      <c r="H111" s="11">
        <f t="shared" si="1"/>
        <v>3.9097744360902187E-2</v>
      </c>
      <c r="I111" s="10"/>
      <c r="J111" s="10"/>
      <c r="K111" s="10"/>
    </row>
    <row r="112" spans="2:11" ht="13.5" x14ac:dyDescent="0.35">
      <c r="B112" s="3">
        <v>45076</v>
      </c>
      <c r="C112" s="2">
        <v>6.86</v>
      </c>
      <c r="D112" s="2">
        <v>5.827</v>
      </c>
      <c r="E112" s="2">
        <v>5.857579008746356</v>
      </c>
      <c r="F112" s="2">
        <v>5288</v>
      </c>
      <c r="G112" s="2">
        <v>30974.877798250731</v>
      </c>
      <c r="H112" s="11">
        <f t="shared" si="1"/>
        <v>-7.2358900144717797E-3</v>
      </c>
      <c r="I112" s="10"/>
      <c r="J112" s="10"/>
      <c r="K112" s="10"/>
    </row>
    <row r="113" spans="2:11" ht="13.5" x14ac:dyDescent="0.35">
      <c r="B113" s="3">
        <v>45077</v>
      </c>
      <c r="C113" s="2">
        <v>6.7</v>
      </c>
      <c r="D113" s="2">
        <v>5.9429999999999996</v>
      </c>
      <c r="E113" s="2">
        <v>5.996220895522387</v>
      </c>
      <c r="F113" s="2">
        <v>4945</v>
      </c>
      <c r="G113" s="2">
        <v>29651.312328358203</v>
      </c>
      <c r="H113" s="11">
        <f t="shared" si="1"/>
        <v>-2.3323615160349864E-2</v>
      </c>
      <c r="I113" s="10"/>
      <c r="J113" s="10"/>
      <c r="K113" s="10"/>
    </row>
    <row r="114" spans="2:11" ht="13.5" x14ac:dyDescent="0.35">
      <c r="B114" s="3">
        <v>45078</v>
      </c>
      <c r="C114" s="2">
        <v>6.6</v>
      </c>
      <c r="D114" s="2">
        <v>5.8540000000000001</v>
      </c>
      <c r="E114" s="2">
        <v>5.8965745454545457</v>
      </c>
      <c r="F114" s="2">
        <v>7751</v>
      </c>
      <c r="G114" s="2">
        <v>45704.349301818183</v>
      </c>
      <c r="H114" s="11">
        <f t="shared" si="1"/>
        <v>-1.4925373134328401E-2</v>
      </c>
      <c r="I114" s="10"/>
      <c r="J114" s="10"/>
      <c r="K114" s="10"/>
    </row>
    <row r="115" spans="2:11" ht="13.5" x14ac:dyDescent="0.35">
      <c r="B115" s="3">
        <v>45079</v>
      </c>
      <c r="C115" s="2">
        <v>6.68</v>
      </c>
      <c r="D115" s="2">
        <v>5.9249999999999998</v>
      </c>
      <c r="E115" s="2">
        <v>5.8575898203592818</v>
      </c>
      <c r="F115" s="2">
        <v>3107</v>
      </c>
      <c r="G115" s="2">
        <v>18199.531571856289</v>
      </c>
      <c r="H115" s="11">
        <f t="shared" si="1"/>
        <v>1.2121212121212199E-2</v>
      </c>
      <c r="I115" s="10"/>
      <c r="J115" s="10"/>
      <c r="K115" s="10"/>
    </row>
    <row r="116" spans="2:11" ht="13.5" x14ac:dyDescent="0.35">
      <c r="B116" s="3">
        <v>45082</v>
      </c>
      <c r="C116" s="2">
        <v>6.65</v>
      </c>
      <c r="D116" s="2">
        <v>5.899</v>
      </c>
      <c r="E116" s="2">
        <v>5.9034353383458651</v>
      </c>
      <c r="F116" s="2">
        <v>1440</v>
      </c>
      <c r="G116" s="2">
        <v>8500.946887218046</v>
      </c>
      <c r="H116" s="11">
        <f t="shared" si="1"/>
        <v>-4.4910179640718084E-3</v>
      </c>
      <c r="I116" s="10"/>
      <c r="J116" s="10"/>
      <c r="K116" s="10"/>
    </row>
    <row r="117" spans="2:11" ht="13.5" x14ac:dyDescent="0.35">
      <c r="B117" s="3">
        <v>45083</v>
      </c>
      <c r="C117" s="2">
        <v>6.73</v>
      </c>
      <c r="D117" s="2">
        <v>5.97</v>
      </c>
      <c r="E117" s="2">
        <v>5.9061307578008915</v>
      </c>
      <c r="F117" s="2">
        <v>50966</v>
      </c>
      <c r="G117" s="2">
        <v>301011.86020208022</v>
      </c>
      <c r="H117" s="11">
        <f t="shared" si="1"/>
        <v>1.2030075187969835E-2</v>
      </c>
      <c r="I117" s="10"/>
      <c r="J117" s="10"/>
      <c r="K117" s="10"/>
    </row>
    <row r="118" spans="2:11" ht="13.5" x14ac:dyDescent="0.35">
      <c r="B118" s="3">
        <v>45084</v>
      </c>
      <c r="C118" s="2">
        <v>6.72</v>
      </c>
      <c r="D118" s="2">
        <v>5.9610000000000003</v>
      </c>
      <c r="E118" s="2">
        <v>5.9698705357142865</v>
      </c>
      <c r="F118" s="2">
        <v>403</v>
      </c>
      <c r="G118" s="2">
        <v>2405.8578258928574</v>
      </c>
      <c r="H118" s="11">
        <f t="shared" si="1"/>
        <v>-1.4858841010402246E-3</v>
      </c>
      <c r="I118" s="10"/>
      <c r="J118" s="10"/>
      <c r="K118" s="10"/>
    </row>
    <row r="119" spans="2:11" ht="13.5" x14ac:dyDescent="0.35">
      <c r="B119" s="3">
        <v>45085</v>
      </c>
      <c r="C119" s="2">
        <v>6.71</v>
      </c>
      <c r="D119" s="2">
        <v>5.952</v>
      </c>
      <c r="E119" s="2">
        <v>5.9218408345752609</v>
      </c>
      <c r="F119" s="2">
        <v>13147</v>
      </c>
      <c r="G119" s="2">
        <v>77854.441452160958</v>
      </c>
      <c r="H119" s="11">
        <f t="shared" si="1"/>
        <v>-1.4880952380952328E-3</v>
      </c>
      <c r="I119" s="10"/>
      <c r="J119" s="10"/>
      <c r="K119" s="10"/>
    </row>
    <row r="120" spans="2:11" ht="13.5" x14ac:dyDescent="0.35">
      <c r="B120" s="3">
        <v>45086</v>
      </c>
      <c r="C120" s="2">
        <v>6.71</v>
      </c>
      <c r="D120" s="2">
        <v>5.952</v>
      </c>
      <c r="E120" s="2">
        <v>5.952</v>
      </c>
      <c r="F120" s="2">
        <v>2103</v>
      </c>
      <c r="G120" s="2">
        <v>12517.056</v>
      </c>
      <c r="H120" s="11">
        <f t="shared" si="1"/>
        <v>0</v>
      </c>
      <c r="I120" s="10"/>
      <c r="J120" s="10"/>
      <c r="K120" s="10"/>
    </row>
    <row r="121" spans="2:11" ht="13.5" x14ac:dyDescent="0.35">
      <c r="B121" s="3">
        <v>45089</v>
      </c>
      <c r="C121" s="2">
        <v>6.69</v>
      </c>
      <c r="D121" s="2">
        <v>5.9340000000000002</v>
      </c>
      <c r="E121" s="2">
        <v>5.9357739910313896</v>
      </c>
      <c r="F121" s="2">
        <v>12763</v>
      </c>
      <c r="G121" s="2">
        <v>75758.283447533628</v>
      </c>
      <c r="H121" s="11">
        <f t="shared" si="1"/>
        <v>-2.9806259314455463E-3</v>
      </c>
      <c r="I121" s="10"/>
      <c r="J121" s="10"/>
      <c r="K121" s="10"/>
    </row>
    <row r="122" spans="2:11" ht="13.5" x14ac:dyDescent="0.35">
      <c r="B122" s="3">
        <v>45090</v>
      </c>
      <c r="C122" s="2">
        <v>6.71</v>
      </c>
      <c r="D122" s="2">
        <v>5.952</v>
      </c>
      <c r="E122" s="2">
        <v>5.9422426229508192</v>
      </c>
      <c r="F122" s="2">
        <v>8546</v>
      </c>
      <c r="G122" s="2">
        <v>50782.405455737702</v>
      </c>
      <c r="H122" s="11">
        <f t="shared" si="1"/>
        <v>2.989536621823552E-3</v>
      </c>
      <c r="I122" s="10"/>
      <c r="J122" s="10"/>
      <c r="K122" s="10"/>
    </row>
    <row r="123" spans="2:11" ht="13.5" x14ac:dyDescent="0.35">
      <c r="B123" s="3">
        <v>45091</v>
      </c>
      <c r="C123" s="2">
        <v>6.72</v>
      </c>
      <c r="D123" s="2">
        <v>5.9610000000000003</v>
      </c>
      <c r="E123" s="2">
        <v>5.952129464285715</v>
      </c>
      <c r="F123" s="2">
        <v>887</v>
      </c>
      <c r="G123" s="2">
        <v>5279.5388348214292</v>
      </c>
      <c r="H123" s="11">
        <f t="shared" si="1"/>
        <v>1.4903129657226621E-3</v>
      </c>
      <c r="I123" s="10"/>
      <c r="J123" s="10"/>
      <c r="K123" s="10"/>
    </row>
    <row r="124" spans="2:11" ht="13.5" x14ac:dyDescent="0.35">
      <c r="B124" s="3">
        <v>45092</v>
      </c>
      <c r="C124" s="2">
        <v>6.72</v>
      </c>
      <c r="D124" s="2">
        <v>5.9610000000000003</v>
      </c>
      <c r="E124" s="2">
        <v>5.9610000000000003</v>
      </c>
      <c r="F124" s="2">
        <v>904</v>
      </c>
      <c r="G124" s="2">
        <v>5388.7440000000006</v>
      </c>
      <c r="H124" s="11">
        <f t="shared" si="1"/>
        <v>0</v>
      </c>
      <c r="I124" s="10"/>
      <c r="J124" s="10"/>
      <c r="K124" s="10"/>
    </row>
    <row r="125" spans="2:11" ht="13.5" x14ac:dyDescent="0.35">
      <c r="B125" s="3">
        <v>45093</v>
      </c>
      <c r="C125" s="2">
        <v>6.7</v>
      </c>
      <c r="D125" s="2">
        <v>5.9429999999999996</v>
      </c>
      <c r="E125" s="2">
        <v>5.836558208955223</v>
      </c>
      <c r="F125" s="2">
        <v>800</v>
      </c>
      <c r="G125" s="2">
        <v>4669.2465671641785</v>
      </c>
      <c r="H125" s="11">
        <f t="shared" si="1"/>
        <v>-2.9761904761904656E-3</v>
      </c>
      <c r="I125" s="10"/>
      <c r="J125" s="10"/>
      <c r="K125" s="10"/>
    </row>
    <row r="126" spans="2:11" ht="13.5" x14ac:dyDescent="0.35">
      <c r="B126" s="3">
        <v>45096</v>
      </c>
      <c r="C126" s="2">
        <v>6.7</v>
      </c>
      <c r="D126" s="2">
        <v>5.9429999999999996</v>
      </c>
      <c r="E126" s="2">
        <v>5.9429999999999996</v>
      </c>
      <c r="F126" s="2">
        <v>1000</v>
      </c>
      <c r="G126" s="2">
        <v>5943</v>
      </c>
      <c r="H126" s="11">
        <f t="shared" si="1"/>
        <v>0</v>
      </c>
      <c r="I126" s="10"/>
      <c r="J126" s="10"/>
      <c r="K126" s="10"/>
    </row>
    <row r="127" spans="2:11" ht="13.5" x14ac:dyDescent="0.35">
      <c r="B127" s="3">
        <v>45097</v>
      </c>
      <c r="C127" s="2">
        <v>6.68</v>
      </c>
      <c r="D127" s="2">
        <v>5.9249999999999998</v>
      </c>
      <c r="E127" s="2">
        <v>5.9249999999999998</v>
      </c>
      <c r="F127" s="2">
        <v>400</v>
      </c>
      <c r="G127" s="2">
        <v>2370</v>
      </c>
      <c r="H127" s="11">
        <f t="shared" si="1"/>
        <v>-2.9850746268657025E-3</v>
      </c>
      <c r="I127" s="10"/>
      <c r="J127" s="10"/>
      <c r="K127" s="10"/>
    </row>
    <row r="128" spans="2:11" ht="13.5" x14ac:dyDescent="0.35">
      <c r="B128" s="3">
        <v>45098</v>
      </c>
      <c r="C128" s="2">
        <v>6.69</v>
      </c>
      <c r="D128" s="2">
        <v>5.9340000000000002</v>
      </c>
      <c r="E128" s="2">
        <v>5.9144860986547085</v>
      </c>
      <c r="F128" s="2">
        <v>4900</v>
      </c>
      <c r="G128" s="2">
        <v>28980.981883408072</v>
      </c>
      <c r="H128" s="11">
        <f t="shared" si="1"/>
        <v>1.4970059880241582E-3</v>
      </c>
      <c r="I128" s="10"/>
      <c r="J128" s="10"/>
      <c r="K128" s="10"/>
    </row>
    <row r="129" spans="2:11" ht="13.5" x14ac:dyDescent="0.35">
      <c r="B129" s="3">
        <v>45099</v>
      </c>
      <c r="C129" s="2">
        <v>6.7</v>
      </c>
      <c r="D129" s="2">
        <v>5.9429999999999996</v>
      </c>
      <c r="E129" s="2">
        <v>5.9288077611940295</v>
      </c>
      <c r="F129" s="2">
        <v>7674</v>
      </c>
      <c r="G129" s="2">
        <v>45497.670759402979</v>
      </c>
      <c r="H129" s="11">
        <f t="shared" si="1"/>
        <v>1.494768310911887E-3</v>
      </c>
      <c r="I129" s="10"/>
      <c r="J129" s="10"/>
      <c r="K129" s="10"/>
    </row>
    <row r="130" spans="2:11" ht="13.5" x14ac:dyDescent="0.35">
      <c r="B130" s="3">
        <v>45100</v>
      </c>
      <c r="C130" s="2">
        <v>6.69</v>
      </c>
      <c r="D130" s="2">
        <v>5.9340000000000002</v>
      </c>
      <c r="E130" s="2">
        <v>5.9286780269058292</v>
      </c>
      <c r="F130" s="2">
        <v>650</v>
      </c>
      <c r="G130" s="2">
        <v>3853.6407174887891</v>
      </c>
      <c r="H130" s="11">
        <f t="shared" si="1"/>
        <v>-1.4925373134327957E-3</v>
      </c>
      <c r="I130" s="10"/>
      <c r="J130" s="10"/>
      <c r="K130" s="10"/>
    </row>
    <row r="131" spans="2:11" ht="13.5" x14ac:dyDescent="0.35">
      <c r="B131" s="3">
        <v>45103</v>
      </c>
      <c r="C131" s="2">
        <v>6.68</v>
      </c>
      <c r="D131" s="2">
        <v>5.9249999999999998</v>
      </c>
      <c r="E131" s="2">
        <v>5.9170172155688627</v>
      </c>
      <c r="F131" s="2">
        <v>6360</v>
      </c>
      <c r="G131" s="2">
        <v>37632.22949101797</v>
      </c>
      <c r="H131" s="11">
        <f t="shared" si="1"/>
        <v>-1.494768310911887E-3</v>
      </c>
      <c r="I131" s="10"/>
      <c r="J131" s="10"/>
      <c r="K131" s="10"/>
    </row>
    <row r="132" spans="2:11" ht="13.5" x14ac:dyDescent="0.35">
      <c r="B132" s="3">
        <v>45104</v>
      </c>
      <c r="C132" s="2">
        <v>6.68</v>
      </c>
      <c r="D132" s="2">
        <v>5.9249999999999998</v>
      </c>
      <c r="E132" s="2">
        <v>5.9249999999999998</v>
      </c>
      <c r="F132" s="2">
        <v>400</v>
      </c>
      <c r="G132" s="2">
        <v>2370</v>
      </c>
      <c r="H132" s="11">
        <f t="shared" si="1"/>
        <v>0</v>
      </c>
      <c r="I132" s="10"/>
      <c r="J132" s="10"/>
      <c r="K132" s="10"/>
    </row>
    <row r="133" spans="2:11" ht="13.5" x14ac:dyDescent="0.35">
      <c r="B133" s="3">
        <v>45107</v>
      </c>
      <c r="C133" s="2">
        <v>6.64</v>
      </c>
      <c r="D133" s="2">
        <v>5.89</v>
      </c>
      <c r="E133" s="2">
        <v>5.8358900602409642</v>
      </c>
      <c r="F133" s="2">
        <v>6069</v>
      </c>
      <c r="G133" s="2">
        <v>35418.016775602409</v>
      </c>
      <c r="H133" s="11">
        <f t="shared" si="1"/>
        <v>-5.9880239520958556E-3</v>
      </c>
      <c r="I133" s="10"/>
      <c r="J133" s="10"/>
      <c r="K133" s="10"/>
    </row>
    <row r="134" spans="2:11" ht="13.5" x14ac:dyDescent="0.35">
      <c r="B134" s="3">
        <v>45110</v>
      </c>
      <c r="C134" s="2">
        <v>6.64</v>
      </c>
      <c r="D134" s="2">
        <v>5.89</v>
      </c>
      <c r="E134" s="2">
        <v>5.89</v>
      </c>
      <c r="F134" s="2">
        <v>12000</v>
      </c>
      <c r="G134" s="2">
        <v>70680</v>
      </c>
      <c r="H134" s="11">
        <f t="shared" si="1"/>
        <v>0</v>
      </c>
      <c r="I134" s="10"/>
      <c r="J134" s="10"/>
      <c r="K134" s="10"/>
    </row>
    <row r="135" spans="2:11" ht="13.5" x14ac:dyDescent="0.35">
      <c r="B135" s="3">
        <v>45111</v>
      </c>
      <c r="C135" s="2">
        <v>6.61</v>
      </c>
      <c r="D135" s="2">
        <v>5.8630000000000004</v>
      </c>
      <c r="E135" s="2">
        <v>5.8718698940998486</v>
      </c>
      <c r="F135" s="2">
        <v>407</v>
      </c>
      <c r="G135" s="2">
        <v>2389.8510468986383</v>
      </c>
      <c r="H135" s="11">
        <f t="shared" ref="H135:H198" si="2">C135/C134-1</f>
        <v>-4.5180722891565717E-3</v>
      </c>
      <c r="I135" s="10"/>
      <c r="J135" s="10"/>
      <c r="K135" s="10"/>
    </row>
    <row r="136" spans="2:11" ht="13.5" x14ac:dyDescent="0.35">
      <c r="B136" s="3">
        <v>45112</v>
      </c>
      <c r="C136" s="2">
        <v>6.5</v>
      </c>
      <c r="D136" s="2">
        <v>5.766</v>
      </c>
      <c r="E136" s="2">
        <v>5.7864027692307687</v>
      </c>
      <c r="F136" s="2">
        <v>13074</v>
      </c>
      <c r="G136" s="2">
        <v>75651.429804923071</v>
      </c>
      <c r="H136" s="11">
        <f t="shared" si="2"/>
        <v>-1.6641452344931973E-2</v>
      </c>
      <c r="I136" s="10"/>
      <c r="J136" s="10"/>
      <c r="K136" s="10"/>
    </row>
    <row r="137" spans="2:11" ht="13.5" x14ac:dyDescent="0.35">
      <c r="B137" s="3">
        <v>45113</v>
      </c>
      <c r="C137" s="2">
        <v>6.5</v>
      </c>
      <c r="D137" s="2">
        <v>5.766</v>
      </c>
      <c r="E137" s="2">
        <v>5.766</v>
      </c>
      <c r="F137" s="2">
        <v>613</v>
      </c>
      <c r="G137" s="2">
        <v>3534.558</v>
      </c>
      <c r="H137" s="11">
        <f t="shared" si="2"/>
        <v>0</v>
      </c>
      <c r="I137" s="10"/>
      <c r="J137" s="10"/>
      <c r="K137" s="10"/>
    </row>
    <row r="138" spans="2:11" ht="13.5" x14ac:dyDescent="0.35">
      <c r="B138" s="3">
        <v>45114</v>
      </c>
      <c r="C138" s="2">
        <v>6.5</v>
      </c>
      <c r="D138" s="2">
        <v>5.766</v>
      </c>
      <c r="E138" s="2">
        <v>5.699469230769231</v>
      </c>
      <c r="F138" s="2">
        <v>5635</v>
      </c>
      <c r="G138" s="2">
        <v>32116.509115384615</v>
      </c>
      <c r="H138" s="11">
        <f t="shared" si="2"/>
        <v>0</v>
      </c>
      <c r="I138" s="10"/>
      <c r="J138" s="10"/>
      <c r="K138" s="10"/>
    </row>
    <row r="139" spans="2:11" ht="13.5" x14ac:dyDescent="0.35">
      <c r="B139" s="3">
        <v>45117</v>
      </c>
      <c r="C139" s="2">
        <v>6.4</v>
      </c>
      <c r="D139" s="2">
        <v>5.6769999999999996</v>
      </c>
      <c r="E139" s="2">
        <v>5.7044979687499993</v>
      </c>
      <c r="F139" s="2">
        <v>6425</v>
      </c>
      <c r="G139" s="2">
        <v>36651.399449218748</v>
      </c>
      <c r="H139" s="11">
        <f t="shared" si="2"/>
        <v>-1.538461538461533E-2</v>
      </c>
      <c r="I139" s="10"/>
      <c r="J139" s="10"/>
      <c r="K139" s="10"/>
    </row>
    <row r="140" spans="2:11" ht="13.5" x14ac:dyDescent="0.35">
      <c r="B140" s="3">
        <v>45118</v>
      </c>
      <c r="C140" s="2">
        <v>6.4</v>
      </c>
      <c r="D140" s="2">
        <v>5.6769999999999996</v>
      </c>
      <c r="E140" s="2">
        <v>5.6769999999999996</v>
      </c>
      <c r="F140" s="2">
        <v>500</v>
      </c>
      <c r="G140" s="2">
        <v>2838.5</v>
      </c>
      <c r="H140" s="11">
        <f t="shared" si="2"/>
        <v>0</v>
      </c>
      <c r="I140" s="10"/>
      <c r="J140" s="10"/>
      <c r="K140" s="10"/>
    </row>
    <row r="141" spans="2:11" ht="13.5" x14ac:dyDescent="0.35">
      <c r="B141" s="3">
        <v>45119</v>
      </c>
      <c r="C141" s="2">
        <v>6.4</v>
      </c>
      <c r="D141" s="2">
        <v>5.6769999999999996</v>
      </c>
      <c r="E141" s="2">
        <v>5.67611296875</v>
      </c>
      <c r="F141" s="2">
        <v>565</v>
      </c>
      <c r="G141" s="2">
        <v>3207.0038273437499</v>
      </c>
      <c r="H141" s="11">
        <f t="shared" si="2"/>
        <v>0</v>
      </c>
      <c r="I141" s="10"/>
      <c r="J141" s="10"/>
      <c r="K141" s="10"/>
    </row>
    <row r="142" spans="2:11" ht="13.5" x14ac:dyDescent="0.35">
      <c r="B142" s="3">
        <v>45120</v>
      </c>
      <c r="C142" s="2">
        <v>6.4</v>
      </c>
      <c r="D142" s="2">
        <v>5.6769999999999996</v>
      </c>
      <c r="E142" s="2">
        <v>5.67611296875</v>
      </c>
      <c r="F142" s="2">
        <v>4009</v>
      </c>
      <c r="G142" s="2">
        <v>22755.536891718752</v>
      </c>
      <c r="H142" s="11">
        <f t="shared" si="2"/>
        <v>0</v>
      </c>
      <c r="I142" s="10"/>
      <c r="J142" s="10"/>
      <c r="K142" s="10"/>
    </row>
    <row r="143" spans="2:11" ht="13.5" x14ac:dyDescent="0.35">
      <c r="B143" s="3">
        <v>45121</v>
      </c>
      <c r="C143" s="2">
        <v>6.4</v>
      </c>
      <c r="D143" s="2">
        <v>5.6769999999999996</v>
      </c>
      <c r="E143" s="2">
        <v>5.67611296875</v>
      </c>
      <c r="F143" s="2">
        <v>2600</v>
      </c>
      <c r="G143" s="2">
        <v>14757.89371875</v>
      </c>
      <c r="H143" s="11">
        <f t="shared" si="2"/>
        <v>0</v>
      </c>
      <c r="I143" s="10"/>
      <c r="J143" s="10"/>
      <c r="K143" s="10"/>
    </row>
    <row r="144" spans="2:11" ht="13.5" x14ac:dyDescent="0.35">
      <c r="B144" s="3">
        <v>45124</v>
      </c>
      <c r="C144" s="2">
        <v>6.4</v>
      </c>
      <c r="D144" s="2">
        <v>5.6769999999999996</v>
      </c>
      <c r="E144" s="2">
        <v>5.6663556249999996</v>
      </c>
      <c r="F144" s="2">
        <v>5840</v>
      </c>
      <c r="G144" s="2">
        <v>33091.51685</v>
      </c>
      <c r="H144" s="11">
        <f t="shared" si="2"/>
        <v>0</v>
      </c>
      <c r="I144" s="10"/>
      <c r="J144" s="10"/>
      <c r="K144" s="10"/>
    </row>
    <row r="145" spans="2:11" ht="13.5" x14ac:dyDescent="0.35">
      <c r="B145" s="3">
        <v>45125</v>
      </c>
      <c r="C145" s="2">
        <v>6.45</v>
      </c>
      <c r="D145" s="2">
        <v>5.7210000000000001</v>
      </c>
      <c r="E145" s="2">
        <v>5.6775381395348834</v>
      </c>
      <c r="F145" s="2">
        <v>26759</v>
      </c>
      <c r="G145" s="2">
        <v>151925.24307581395</v>
      </c>
      <c r="H145" s="11">
        <f t="shared" si="2"/>
        <v>7.8125E-3</v>
      </c>
      <c r="I145" s="10"/>
      <c r="J145" s="10"/>
      <c r="K145" s="10"/>
    </row>
    <row r="146" spans="2:11" ht="13.5" x14ac:dyDescent="0.35">
      <c r="B146" s="3">
        <v>45127</v>
      </c>
      <c r="C146" s="2">
        <v>6.45</v>
      </c>
      <c r="D146" s="2">
        <v>5.7210000000000001</v>
      </c>
      <c r="E146" s="2">
        <v>5.6899558139534889</v>
      </c>
      <c r="F146" s="2">
        <v>23973</v>
      </c>
      <c r="G146" s="2">
        <v>136405.310727907</v>
      </c>
      <c r="H146" s="11">
        <f t="shared" si="2"/>
        <v>0</v>
      </c>
      <c r="I146" s="10"/>
      <c r="J146" s="10"/>
      <c r="K146" s="10"/>
    </row>
    <row r="147" spans="2:11" ht="13.5" x14ac:dyDescent="0.35">
      <c r="B147" s="3">
        <v>45128</v>
      </c>
      <c r="C147" s="2">
        <v>6.45</v>
      </c>
      <c r="D147" s="2">
        <v>5.7210000000000001</v>
      </c>
      <c r="E147" s="2">
        <v>5.7218869767441856</v>
      </c>
      <c r="F147" s="2">
        <v>14575</v>
      </c>
      <c r="G147" s="2">
        <v>83396.5026860465</v>
      </c>
      <c r="H147" s="11">
        <f t="shared" si="2"/>
        <v>0</v>
      </c>
      <c r="I147" s="10"/>
      <c r="J147" s="10"/>
      <c r="K147" s="10"/>
    </row>
    <row r="148" spans="2:11" ht="13.5" x14ac:dyDescent="0.35">
      <c r="B148" s="3">
        <v>45131</v>
      </c>
      <c r="C148" s="2">
        <v>6.5</v>
      </c>
      <c r="D148" s="2">
        <v>5.766</v>
      </c>
      <c r="E148" s="2">
        <v>5.7225332307692307</v>
      </c>
      <c r="F148" s="2">
        <v>66455</v>
      </c>
      <c r="G148" s="2">
        <v>380290.94585076923</v>
      </c>
      <c r="H148" s="11">
        <f t="shared" si="2"/>
        <v>7.7519379844961378E-3</v>
      </c>
      <c r="I148" s="10"/>
      <c r="J148" s="10"/>
      <c r="K148" s="10"/>
    </row>
    <row r="149" spans="2:11" ht="13.5" x14ac:dyDescent="0.35">
      <c r="B149" s="3">
        <v>45133</v>
      </c>
      <c r="C149" s="2">
        <v>6.5</v>
      </c>
      <c r="D149" s="2">
        <v>5.766</v>
      </c>
      <c r="E149" s="2">
        <v>5.7322910769230768</v>
      </c>
      <c r="F149" s="2">
        <v>44776</v>
      </c>
      <c r="G149" s="2">
        <v>256669.06526030769</v>
      </c>
      <c r="H149" s="11">
        <f t="shared" si="2"/>
        <v>0</v>
      </c>
      <c r="I149" s="10"/>
      <c r="J149" s="10"/>
      <c r="K149" s="10"/>
    </row>
    <row r="150" spans="2:11" ht="13.5" x14ac:dyDescent="0.35">
      <c r="B150" s="3">
        <v>45134</v>
      </c>
      <c r="C150" s="2">
        <v>6.5</v>
      </c>
      <c r="D150" s="2">
        <v>5.766</v>
      </c>
      <c r="E150" s="2">
        <v>5.7225332307692307</v>
      </c>
      <c r="F150" s="2">
        <v>26415</v>
      </c>
      <c r="G150" s="2">
        <v>151160.71529076924</v>
      </c>
      <c r="H150" s="11">
        <f t="shared" si="2"/>
        <v>0</v>
      </c>
      <c r="I150" s="10"/>
      <c r="J150" s="10"/>
      <c r="K150" s="10"/>
    </row>
    <row r="151" spans="2:11" ht="13.5" x14ac:dyDescent="0.35">
      <c r="B151" s="3">
        <v>45135</v>
      </c>
      <c r="C151" s="2">
        <v>6.5</v>
      </c>
      <c r="D151" s="2">
        <v>5.766</v>
      </c>
      <c r="E151" s="2">
        <v>5.723420307692308</v>
      </c>
      <c r="F151" s="2">
        <v>27656</v>
      </c>
      <c r="G151" s="2">
        <v>158286.91202953848</v>
      </c>
      <c r="H151" s="11">
        <f t="shared" si="2"/>
        <v>0</v>
      </c>
      <c r="I151" s="10"/>
      <c r="J151" s="10"/>
      <c r="K151" s="10"/>
    </row>
    <row r="152" spans="2:11" ht="13.5" x14ac:dyDescent="0.35">
      <c r="B152" s="3">
        <v>45138</v>
      </c>
      <c r="C152" s="2">
        <v>6.5</v>
      </c>
      <c r="D152" s="2">
        <v>5.766</v>
      </c>
      <c r="E152" s="2">
        <v>5.692372615384615</v>
      </c>
      <c r="F152" s="2">
        <v>28762</v>
      </c>
      <c r="G152" s="2">
        <v>163724.02116369229</v>
      </c>
      <c r="H152" s="11">
        <f t="shared" si="2"/>
        <v>0</v>
      </c>
      <c r="I152" s="10"/>
      <c r="J152" s="10"/>
      <c r="K152" s="10"/>
    </row>
    <row r="153" spans="2:11" ht="13.5" x14ac:dyDescent="0.35">
      <c r="B153" s="3">
        <v>45139</v>
      </c>
      <c r="C153" s="2">
        <v>6.5</v>
      </c>
      <c r="D153" s="2">
        <v>5.766</v>
      </c>
      <c r="E153" s="2">
        <v>5.766</v>
      </c>
      <c r="F153" s="2">
        <v>414</v>
      </c>
      <c r="G153" s="2">
        <v>2387.1239999999998</v>
      </c>
      <c r="H153" s="11">
        <f t="shared" si="2"/>
        <v>0</v>
      </c>
      <c r="I153" s="10"/>
      <c r="J153" s="10"/>
      <c r="K153" s="10"/>
    </row>
    <row r="154" spans="2:11" ht="13.5" x14ac:dyDescent="0.35">
      <c r="B154" s="3">
        <v>45140</v>
      </c>
      <c r="C154" s="2">
        <v>6.5</v>
      </c>
      <c r="D154" s="2">
        <v>5.766</v>
      </c>
      <c r="E154" s="2">
        <v>5.766</v>
      </c>
      <c r="F154" s="2">
        <v>385</v>
      </c>
      <c r="G154" s="2">
        <v>2219.91</v>
      </c>
      <c r="H154" s="11">
        <f t="shared" si="2"/>
        <v>0</v>
      </c>
      <c r="I154" s="10"/>
      <c r="J154" s="10"/>
      <c r="K154" s="10"/>
    </row>
    <row r="155" spans="2:11" ht="13.5" x14ac:dyDescent="0.35">
      <c r="B155" s="3">
        <v>45141</v>
      </c>
      <c r="C155" s="2">
        <v>6.45</v>
      </c>
      <c r="D155" s="2">
        <v>5.7210000000000001</v>
      </c>
      <c r="E155" s="2">
        <v>5.7245479069767438</v>
      </c>
      <c r="F155" s="2">
        <v>4535</v>
      </c>
      <c r="G155" s="2">
        <v>25960.824758139534</v>
      </c>
      <c r="H155" s="11">
        <f t="shared" si="2"/>
        <v>-7.692307692307665E-3</v>
      </c>
      <c r="I155" s="10"/>
      <c r="J155" s="10"/>
      <c r="K155" s="10"/>
    </row>
    <row r="156" spans="2:11" ht="13.5" x14ac:dyDescent="0.35">
      <c r="B156" s="3">
        <v>45142</v>
      </c>
      <c r="C156" s="2">
        <v>6.45</v>
      </c>
      <c r="D156" s="2">
        <v>5.7210000000000001</v>
      </c>
      <c r="E156" s="2">
        <v>5.7210000000000001</v>
      </c>
      <c r="F156" s="2">
        <v>392</v>
      </c>
      <c r="G156" s="2">
        <v>2242.6320000000001</v>
      </c>
      <c r="H156" s="11">
        <f t="shared" si="2"/>
        <v>0</v>
      </c>
      <c r="I156" s="10"/>
      <c r="J156" s="10"/>
      <c r="K156" s="10"/>
    </row>
    <row r="157" spans="2:11" ht="13.5" x14ac:dyDescent="0.35">
      <c r="B157" s="3">
        <v>45145</v>
      </c>
      <c r="C157" s="2">
        <v>6.45</v>
      </c>
      <c r="D157" s="2">
        <v>5.7210000000000001</v>
      </c>
      <c r="E157" s="2">
        <v>5.7210000000000001</v>
      </c>
      <c r="F157" s="2">
        <v>2441</v>
      </c>
      <c r="G157" s="2">
        <v>13964.960999999999</v>
      </c>
      <c r="H157" s="11">
        <f t="shared" si="2"/>
        <v>0</v>
      </c>
      <c r="I157" s="10"/>
      <c r="J157" s="10"/>
      <c r="K157" s="10"/>
    </row>
    <row r="158" spans="2:11" ht="13.5" x14ac:dyDescent="0.35">
      <c r="B158" s="3">
        <v>45146</v>
      </c>
      <c r="C158" s="2">
        <v>6.5</v>
      </c>
      <c r="D158" s="2">
        <v>5.766</v>
      </c>
      <c r="E158" s="2">
        <v>5.766</v>
      </c>
      <c r="F158" s="2">
        <v>800</v>
      </c>
      <c r="G158" s="2">
        <v>4612.8</v>
      </c>
      <c r="H158" s="11">
        <f t="shared" si="2"/>
        <v>7.7519379844961378E-3</v>
      </c>
      <c r="I158" s="10"/>
      <c r="J158" s="10"/>
      <c r="K158" s="10"/>
    </row>
    <row r="159" spans="2:11" ht="13.5" x14ac:dyDescent="0.35">
      <c r="B159" s="3">
        <v>45147</v>
      </c>
      <c r="C159" s="2">
        <v>6.5</v>
      </c>
      <c r="D159" s="2">
        <v>5.766</v>
      </c>
      <c r="E159" s="2">
        <v>5.7314040000000004</v>
      </c>
      <c r="F159" s="2">
        <v>6170</v>
      </c>
      <c r="G159" s="2">
        <v>35362.76268</v>
      </c>
      <c r="H159" s="11">
        <f t="shared" si="2"/>
        <v>0</v>
      </c>
      <c r="I159" s="10"/>
      <c r="J159" s="10"/>
      <c r="K159" s="10"/>
    </row>
    <row r="160" spans="2:11" ht="13.5" x14ac:dyDescent="0.35">
      <c r="B160" s="3">
        <v>45148</v>
      </c>
      <c r="C160" s="2">
        <v>6.5</v>
      </c>
      <c r="D160" s="2">
        <v>5.766</v>
      </c>
      <c r="E160" s="2">
        <v>5.766</v>
      </c>
      <c r="F160" s="2">
        <v>390</v>
      </c>
      <c r="G160" s="2">
        <v>2248.7399999999998</v>
      </c>
      <c r="H160" s="11">
        <f t="shared" si="2"/>
        <v>0</v>
      </c>
      <c r="I160" s="10"/>
      <c r="J160" s="10"/>
      <c r="K160" s="10"/>
    </row>
    <row r="161" spans="2:11" ht="13.5" x14ac:dyDescent="0.35">
      <c r="B161" s="3">
        <v>45149</v>
      </c>
      <c r="C161" s="2">
        <v>6.5</v>
      </c>
      <c r="D161" s="2">
        <v>5.766</v>
      </c>
      <c r="E161" s="2">
        <v>5.766</v>
      </c>
      <c r="F161" s="2">
        <v>385</v>
      </c>
      <c r="G161" s="2">
        <v>2219.91</v>
      </c>
      <c r="H161" s="11">
        <f t="shared" si="2"/>
        <v>0</v>
      </c>
      <c r="I161" s="10"/>
      <c r="J161" s="10"/>
      <c r="K161" s="10"/>
    </row>
    <row r="162" spans="2:11" ht="13.5" x14ac:dyDescent="0.35">
      <c r="B162" s="3">
        <v>45152</v>
      </c>
      <c r="C162" s="2">
        <v>6.5</v>
      </c>
      <c r="D162" s="2">
        <v>5.766</v>
      </c>
      <c r="E162" s="2">
        <v>5.766</v>
      </c>
      <c r="F162" s="2">
        <v>400</v>
      </c>
      <c r="G162" s="2">
        <v>2306.4</v>
      </c>
      <c r="H162" s="11">
        <f t="shared" si="2"/>
        <v>0</v>
      </c>
      <c r="I162" s="10"/>
      <c r="J162" s="10"/>
      <c r="K162" s="10"/>
    </row>
    <row r="163" spans="2:11" ht="13.5" x14ac:dyDescent="0.35">
      <c r="B163" s="3">
        <v>45153</v>
      </c>
      <c r="C163" s="2">
        <v>6.5</v>
      </c>
      <c r="D163" s="2">
        <v>5.766</v>
      </c>
      <c r="E163" s="2">
        <v>5.766</v>
      </c>
      <c r="F163" s="2">
        <v>400</v>
      </c>
      <c r="G163" s="2">
        <v>2306.4</v>
      </c>
      <c r="H163" s="11">
        <f t="shared" si="2"/>
        <v>0</v>
      </c>
      <c r="I163" s="10"/>
      <c r="J163" s="10"/>
      <c r="K163" s="10"/>
    </row>
    <row r="164" spans="2:11" ht="13.5" x14ac:dyDescent="0.35">
      <c r="B164" s="3">
        <v>45154</v>
      </c>
      <c r="C164" s="2">
        <v>6.5</v>
      </c>
      <c r="D164" s="2">
        <v>5.766</v>
      </c>
      <c r="E164" s="2">
        <v>5.7615646153846152</v>
      </c>
      <c r="F164" s="2">
        <v>2340</v>
      </c>
      <c r="G164" s="2">
        <v>13482.0612</v>
      </c>
      <c r="H164" s="11">
        <f t="shared" si="2"/>
        <v>0</v>
      </c>
      <c r="I164" s="10"/>
      <c r="J164" s="10"/>
      <c r="K164" s="10"/>
    </row>
    <row r="165" spans="2:11" ht="13.5" x14ac:dyDescent="0.35">
      <c r="B165" s="3">
        <v>45155</v>
      </c>
      <c r="C165" s="2">
        <v>6.49</v>
      </c>
      <c r="D165" s="2">
        <v>5.7569999999999997</v>
      </c>
      <c r="E165" s="2">
        <v>5.7357106317411395</v>
      </c>
      <c r="F165" s="2">
        <v>1511</v>
      </c>
      <c r="G165" s="2">
        <v>8666.6587645608615</v>
      </c>
      <c r="H165" s="11">
        <f t="shared" si="2"/>
        <v>-1.5384615384614886E-3</v>
      </c>
      <c r="I165" s="10"/>
      <c r="J165" s="10"/>
      <c r="K165" s="10"/>
    </row>
    <row r="166" spans="2:11" ht="13.5" x14ac:dyDescent="0.35">
      <c r="B166" s="3">
        <v>45156</v>
      </c>
      <c r="C166" s="2">
        <v>6.5</v>
      </c>
      <c r="D166" s="2">
        <v>5.766</v>
      </c>
      <c r="E166" s="2">
        <v>5.6604378461538465</v>
      </c>
      <c r="F166" s="2">
        <v>1395</v>
      </c>
      <c r="G166" s="2">
        <v>7896.3107953846156</v>
      </c>
      <c r="H166" s="11">
        <f t="shared" si="2"/>
        <v>1.5408320493066618E-3</v>
      </c>
      <c r="I166" s="10"/>
      <c r="J166" s="10"/>
      <c r="K166" s="10"/>
    </row>
    <row r="167" spans="2:11" ht="13.5" x14ac:dyDescent="0.35">
      <c r="B167" s="3">
        <v>45159</v>
      </c>
      <c r="C167" s="2">
        <v>6.5</v>
      </c>
      <c r="D167" s="2">
        <v>5.766</v>
      </c>
      <c r="E167" s="2">
        <v>5.766</v>
      </c>
      <c r="F167" s="2">
        <v>581</v>
      </c>
      <c r="G167" s="2">
        <v>3350.0459999999998</v>
      </c>
      <c r="H167" s="11">
        <f t="shared" si="2"/>
        <v>0</v>
      </c>
      <c r="I167" s="10"/>
      <c r="J167" s="10"/>
      <c r="K167" s="10"/>
    </row>
    <row r="168" spans="2:11" ht="13.5" x14ac:dyDescent="0.35">
      <c r="B168" s="3">
        <v>45160</v>
      </c>
      <c r="C168" s="2">
        <v>6.5</v>
      </c>
      <c r="D168" s="2">
        <v>5.766</v>
      </c>
      <c r="E168" s="2">
        <v>5.766</v>
      </c>
      <c r="F168" s="2">
        <v>45458</v>
      </c>
      <c r="G168" s="2">
        <v>262110.82800000001</v>
      </c>
      <c r="H168" s="11">
        <f t="shared" si="2"/>
        <v>0</v>
      </c>
      <c r="I168" s="10"/>
      <c r="J168" s="10"/>
      <c r="K168" s="10"/>
    </row>
    <row r="169" spans="2:11" ht="13.5" x14ac:dyDescent="0.35">
      <c r="B169" s="3">
        <v>45161</v>
      </c>
      <c r="C169" s="2">
        <v>6.54</v>
      </c>
      <c r="D169" s="2">
        <v>5.8010000000000002</v>
      </c>
      <c r="E169" s="2">
        <v>5.7664068807339453</v>
      </c>
      <c r="F169" s="2">
        <v>38990</v>
      </c>
      <c r="G169" s="2">
        <v>224832.20427981653</v>
      </c>
      <c r="H169" s="11">
        <f t="shared" si="2"/>
        <v>6.1538461538461764E-3</v>
      </c>
      <c r="I169" s="10"/>
      <c r="J169" s="10"/>
      <c r="K169" s="10"/>
    </row>
    <row r="170" spans="2:11" ht="13.5" x14ac:dyDescent="0.35">
      <c r="B170" s="3">
        <v>45162</v>
      </c>
      <c r="C170" s="2">
        <v>6.54</v>
      </c>
      <c r="D170" s="2">
        <v>5.8010000000000002</v>
      </c>
      <c r="E170" s="2">
        <v>5.7664068807339453</v>
      </c>
      <c r="F170" s="2">
        <v>29683</v>
      </c>
      <c r="G170" s="2">
        <v>171164.25544082568</v>
      </c>
      <c r="H170" s="11">
        <f t="shared" si="2"/>
        <v>0</v>
      </c>
      <c r="I170" s="10"/>
      <c r="J170" s="10"/>
      <c r="K170" s="10"/>
    </row>
    <row r="171" spans="2:11" ht="13.5" x14ac:dyDescent="0.35">
      <c r="B171" s="3">
        <v>45163</v>
      </c>
      <c r="C171" s="2">
        <v>6.54</v>
      </c>
      <c r="D171" s="2">
        <v>5.8010000000000002</v>
      </c>
      <c r="E171" s="2">
        <v>5.773502905198777</v>
      </c>
      <c r="F171" s="2">
        <v>14358</v>
      </c>
      <c r="G171" s="2">
        <v>82895.954712844046</v>
      </c>
      <c r="H171" s="11">
        <f t="shared" si="2"/>
        <v>0</v>
      </c>
      <c r="I171" s="10"/>
      <c r="J171" s="10"/>
      <c r="K171" s="10"/>
    </row>
    <row r="172" spans="2:11" ht="13.5" x14ac:dyDescent="0.35">
      <c r="B172" s="3">
        <v>45166</v>
      </c>
      <c r="C172" s="2">
        <v>6.54</v>
      </c>
      <c r="D172" s="2">
        <v>5.8010000000000002</v>
      </c>
      <c r="E172" s="2">
        <v>5.7672938837920489</v>
      </c>
      <c r="F172" s="2">
        <v>15750</v>
      </c>
      <c r="G172" s="2">
        <v>90834.878669724771</v>
      </c>
      <c r="H172" s="11">
        <f t="shared" si="2"/>
        <v>0</v>
      </c>
      <c r="I172" s="10"/>
      <c r="J172" s="10"/>
      <c r="K172" s="10"/>
    </row>
    <row r="173" spans="2:11" ht="13.5" x14ac:dyDescent="0.35">
      <c r="B173" s="3">
        <v>45167</v>
      </c>
      <c r="C173" s="2">
        <v>6.52</v>
      </c>
      <c r="D173" s="2">
        <v>5.7830000000000004</v>
      </c>
      <c r="E173" s="2">
        <v>5.7510693251533755</v>
      </c>
      <c r="F173" s="2">
        <v>11500</v>
      </c>
      <c r="G173" s="2">
        <v>66137.297239263818</v>
      </c>
      <c r="H173" s="11">
        <f t="shared" si="2"/>
        <v>-3.0581039755351869E-3</v>
      </c>
      <c r="I173" s="10"/>
      <c r="J173" s="10"/>
      <c r="K173" s="10"/>
    </row>
    <row r="174" spans="2:11" ht="13.5" x14ac:dyDescent="0.35">
      <c r="B174" s="3">
        <v>45168</v>
      </c>
      <c r="C174" s="2">
        <v>6.52</v>
      </c>
      <c r="D174" s="2">
        <v>5.7830000000000004</v>
      </c>
      <c r="E174" s="2">
        <v>5.7830000000000004</v>
      </c>
      <c r="F174" s="2">
        <v>403</v>
      </c>
      <c r="G174" s="2">
        <v>2330.549</v>
      </c>
      <c r="H174" s="11">
        <f t="shared" si="2"/>
        <v>0</v>
      </c>
      <c r="I174" s="10"/>
      <c r="J174" s="10"/>
      <c r="K174" s="10"/>
    </row>
    <row r="175" spans="2:11" ht="13.5" x14ac:dyDescent="0.35">
      <c r="B175" s="3">
        <v>45169</v>
      </c>
      <c r="C175" s="2">
        <v>6.5</v>
      </c>
      <c r="D175" s="2">
        <v>5.766</v>
      </c>
      <c r="E175" s="2">
        <v>5.766</v>
      </c>
      <c r="F175" s="2">
        <v>11202</v>
      </c>
      <c r="G175" s="2">
        <v>64590.732000000004</v>
      </c>
      <c r="H175" s="11">
        <f t="shared" si="2"/>
        <v>-3.0674846625766694E-3</v>
      </c>
      <c r="I175" s="10"/>
      <c r="J175" s="10"/>
      <c r="K175" s="10"/>
    </row>
    <row r="176" spans="2:11" ht="13.5" x14ac:dyDescent="0.35">
      <c r="B176" s="3">
        <v>45170</v>
      </c>
      <c r="C176" s="2">
        <v>6.5</v>
      </c>
      <c r="D176" s="2">
        <v>5.766</v>
      </c>
      <c r="E176" s="2">
        <v>5.766</v>
      </c>
      <c r="F176" s="2">
        <v>500</v>
      </c>
      <c r="G176" s="2">
        <v>2883</v>
      </c>
      <c r="H176" s="11">
        <f t="shared" si="2"/>
        <v>0</v>
      </c>
      <c r="I176" s="10"/>
      <c r="J176" s="10"/>
      <c r="K176" s="10"/>
    </row>
    <row r="177" spans="2:11" ht="13.5" x14ac:dyDescent="0.35">
      <c r="B177" s="3">
        <v>45173</v>
      </c>
      <c r="C177" s="2">
        <v>6.49</v>
      </c>
      <c r="D177" s="2">
        <v>5.7569999999999997</v>
      </c>
      <c r="E177" s="2">
        <v>5.7534517719568559</v>
      </c>
      <c r="F177" s="2">
        <v>5000</v>
      </c>
      <c r="G177" s="2">
        <v>28767.258859784281</v>
      </c>
      <c r="H177" s="11">
        <f t="shared" si="2"/>
        <v>-1.5384615384614886E-3</v>
      </c>
      <c r="I177" s="10"/>
      <c r="J177" s="10"/>
      <c r="K177" s="10"/>
    </row>
    <row r="178" spans="2:11" ht="13.5" x14ac:dyDescent="0.35">
      <c r="B178" s="3">
        <v>45174</v>
      </c>
      <c r="C178" s="2">
        <v>6.49</v>
      </c>
      <c r="D178" s="2">
        <v>5.7569999999999997</v>
      </c>
      <c r="E178" s="2">
        <v>5.7569999999999997</v>
      </c>
      <c r="F178" s="2">
        <v>400</v>
      </c>
      <c r="G178" s="2">
        <v>2302.7999999999997</v>
      </c>
      <c r="H178" s="11">
        <f t="shared" si="2"/>
        <v>0</v>
      </c>
      <c r="I178" s="10"/>
      <c r="J178" s="10"/>
      <c r="K178" s="10"/>
    </row>
    <row r="179" spans="2:11" ht="13.5" x14ac:dyDescent="0.35">
      <c r="B179" s="3">
        <v>45175</v>
      </c>
      <c r="C179" s="2">
        <v>6.49</v>
      </c>
      <c r="D179" s="2">
        <v>5.7569999999999997</v>
      </c>
      <c r="E179" s="2">
        <v>5.7569999999999997</v>
      </c>
      <c r="F179" s="2">
        <v>5027</v>
      </c>
      <c r="G179" s="2">
        <v>28940.438999999998</v>
      </c>
      <c r="H179" s="11">
        <f t="shared" si="2"/>
        <v>0</v>
      </c>
      <c r="I179" s="10"/>
      <c r="J179" s="10"/>
      <c r="K179" s="10"/>
    </row>
    <row r="180" spans="2:11" ht="13.5" x14ac:dyDescent="0.35">
      <c r="B180" s="3">
        <v>45176</v>
      </c>
      <c r="C180" s="2">
        <v>6.49</v>
      </c>
      <c r="D180" s="2">
        <v>5.7569999999999997</v>
      </c>
      <c r="E180" s="2">
        <v>5.7658705701078574</v>
      </c>
      <c r="F180" s="2">
        <v>876</v>
      </c>
      <c r="G180" s="2">
        <v>5050.9026194144835</v>
      </c>
      <c r="H180" s="11">
        <f t="shared" si="2"/>
        <v>0</v>
      </c>
      <c r="I180" s="10"/>
      <c r="J180" s="10"/>
      <c r="K180" s="10"/>
    </row>
    <row r="181" spans="2:11" ht="13.5" x14ac:dyDescent="0.35">
      <c r="B181" s="3">
        <v>45177</v>
      </c>
      <c r="C181" s="2">
        <v>6.49</v>
      </c>
      <c r="D181" s="2">
        <v>5.7569999999999997</v>
      </c>
      <c r="E181" s="2">
        <v>5.7569999999999997</v>
      </c>
      <c r="F181" s="2">
        <v>390</v>
      </c>
      <c r="G181" s="2">
        <v>2245.23</v>
      </c>
      <c r="H181" s="11">
        <f t="shared" si="2"/>
        <v>0</v>
      </c>
      <c r="I181" s="10"/>
      <c r="J181" s="10"/>
      <c r="K181" s="10"/>
    </row>
    <row r="182" spans="2:11" ht="13.5" x14ac:dyDescent="0.35">
      <c r="B182" s="3">
        <v>45180</v>
      </c>
      <c r="C182" s="2">
        <v>6.49</v>
      </c>
      <c r="D182" s="2">
        <v>5.7569999999999997</v>
      </c>
      <c r="E182" s="2">
        <v>5.6869224961479183</v>
      </c>
      <c r="F182" s="2">
        <v>5334</v>
      </c>
      <c r="G182" s="2">
        <v>30334.044594452997</v>
      </c>
      <c r="H182" s="11">
        <f t="shared" si="2"/>
        <v>0</v>
      </c>
      <c r="I182" s="10"/>
      <c r="J182" s="10"/>
      <c r="K182" s="10"/>
    </row>
    <row r="183" spans="2:11" ht="13.5" x14ac:dyDescent="0.35">
      <c r="B183" s="3">
        <v>45181</v>
      </c>
      <c r="C183" s="2">
        <v>6.49</v>
      </c>
      <c r="D183" s="2">
        <v>5.7569999999999997</v>
      </c>
      <c r="E183" s="2">
        <v>5.7569999999999997</v>
      </c>
      <c r="F183" s="2">
        <v>390</v>
      </c>
      <c r="G183" s="2">
        <v>2245.23</v>
      </c>
      <c r="H183" s="11">
        <f t="shared" si="2"/>
        <v>0</v>
      </c>
      <c r="I183" s="10"/>
      <c r="J183" s="10"/>
      <c r="K183" s="10"/>
    </row>
    <row r="184" spans="2:11" ht="13.5" x14ac:dyDescent="0.35">
      <c r="B184" s="3">
        <v>45182</v>
      </c>
      <c r="C184" s="2">
        <v>6.48</v>
      </c>
      <c r="D184" s="2">
        <v>5.7480000000000002</v>
      </c>
      <c r="E184" s="2">
        <v>5.7329203703703699</v>
      </c>
      <c r="F184" s="2">
        <v>2592</v>
      </c>
      <c r="G184" s="2">
        <v>14859.729599999999</v>
      </c>
      <c r="H184" s="11">
        <f t="shared" si="2"/>
        <v>-1.5408320493065508E-3</v>
      </c>
      <c r="I184" s="10"/>
      <c r="J184" s="10"/>
      <c r="K184" s="10"/>
    </row>
    <row r="185" spans="2:11" ht="13.5" x14ac:dyDescent="0.35">
      <c r="B185" s="3">
        <v>45183</v>
      </c>
      <c r="C185" s="2">
        <v>6.47</v>
      </c>
      <c r="D185" s="2">
        <v>5.7389999999999999</v>
      </c>
      <c r="E185" s="2">
        <v>5.7389999999999999</v>
      </c>
      <c r="F185" s="2">
        <v>690</v>
      </c>
      <c r="G185" s="2">
        <v>3959.91</v>
      </c>
      <c r="H185" s="11">
        <f t="shared" si="2"/>
        <v>-1.5432098765433278E-3</v>
      </c>
      <c r="I185" s="10"/>
      <c r="J185" s="10"/>
      <c r="K185" s="10"/>
    </row>
    <row r="186" spans="2:11" ht="13.5" x14ac:dyDescent="0.35">
      <c r="B186" s="3">
        <v>45184</v>
      </c>
      <c r="C186" s="2">
        <v>6.47</v>
      </c>
      <c r="D186" s="2">
        <v>5.7389999999999999</v>
      </c>
      <c r="E186" s="2">
        <v>5.7327908809891808</v>
      </c>
      <c r="F186" s="2">
        <v>1460</v>
      </c>
      <c r="G186" s="2">
        <v>8369.874686244204</v>
      </c>
      <c r="H186" s="11">
        <f t="shared" si="2"/>
        <v>0</v>
      </c>
      <c r="I186" s="10"/>
      <c r="J186" s="10"/>
      <c r="K186" s="10"/>
    </row>
    <row r="187" spans="2:11" ht="13.5" x14ac:dyDescent="0.35">
      <c r="B187" s="3">
        <v>45187</v>
      </c>
      <c r="C187" s="2">
        <v>6.44</v>
      </c>
      <c r="D187" s="2">
        <v>5.7119999999999997</v>
      </c>
      <c r="E187" s="2">
        <v>5.7031304347826079</v>
      </c>
      <c r="F187" s="2">
        <v>6400</v>
      </c>
      <c r="G187" s="2">
        <v>36500.034782608695</v>
      </c>
      <c r="H187" s="11">
        <f t="shared" si="2"/>
        <v>-4.6367851622873824E-3</v>
      </c>
      <c r="I187" s="10"/>
      <c r="J187" s="10"/>
      <c r="K187" s="10"/>
    </row>
    <row r="188" spans="2:11" ht="13.5" x14ac:dyDescent="0.35">
      <c r="B188" s="3">
        <v>45188</v>
      </c>
      <c r="C188" s="2">
        <v>6.45</v>
      </c>
      <c r="D188" s="2">
        <v>5.7210000000000001</v>
      </c>
      <c r="E188" s="2">
        <v>5.7147911627906973</v>
      </c>
      <c r="F188" s="2">
        <v>1165</v>
      </c>
      <c r="G188" s="2">
        <v>6657.7317046511625</v>
      </c>
      <c r="H188" s="11">
        <f t="shared" si="2"/>
        <v>1.5527950310558758E-3</v>
      </c>
      <c r="I188" s="10"/>
      <c r="J188" s="10"/>
      <c r="K188" s="10"/>
    </row>
    <row r="189" spans="2:11" ht="13.5" x14ac:dyDescent="0.35">
      <c r="B189" s="3">
        <v>45189</v>
      </c>
      <c r="C189" s="2">
        <v>6.45</v>
      </c>
      <c r="D189" s="2">
        <v>5.7210000000000001</v>
      </c>
      <c r="E189" s="2">
        <v>5.71213023255814</v>
      </c>
      <c r="F189" s="2">
        <v>23712</v>
      </c>
      <c r="G189" s="2">
        <v>135446.03207441862</v>
      </c>
      <c r="H189" s="11">
        <f t="shared" si="2"/>
        <v>0</v>
      </c>
      <c r="I189" s="10"/>
      <c r="J189" s="10"/>
      <c r="K189" s="10"/>
    </row>
    <row r="190" spans="2:11" ht="13.5" x14ac:dyDescent="0.35">
      <c r="B190" s="3">
        <v>45190</v>
      </c>
      <c r="C190" s="2">
        <v>6.47</v>
      </c>
      <c r="D190" s="2">
        <v>5.7389999999999999</v>
      </c>
      <c r="E190" s="2">
        <v>5.7389999999999999</v>
      </c>
      <c r="F190" s="2">
        <v>390</v>
      </c>
      <c r="G190" s="2">
        <v>2238.21</v>
      </c>
      <c r="H190" s="11">
        <f t="shared" si="2"/>
        <v>3.1007751937983663E-3</v>
      </c>
      <c r="I190" s="10"/>
      <c r="J190" s="10"/>
      <c r="K190" s="10"/>
    </row>
    <row r="191" spans="2:11" ht="13.5" x14ac:dyDescent="0.35">
      <c r="B191" s="3">
        <v>45191</v>
      </c>
      <c r="C191" s="2">
        <v>6.47</v>
      </c>
      <c r="D191" s="2">
        <v>5.7389999999999999</v>
      </c>
      <c r="E191" s="2">
        <v>5.7389999999999999</v>
      </c>
      <c r="F191" s="2">
        <v>600</v>
      </c>
      <c r="G191" s="2">
        <v>3443.4</v>
      </c>
      <c r="H191" s="11">
        <f t="shared" si="2"/>
        <v>0</v>
      </c>
      <c r="I191" s="10"/>
      <c r="J191" s="10"/>
      <c r="K191" s="10"/>
    </row>
    <row r="192" spans="2:11" ht="13.5" x14ac:dyDescent="0.35">
      <c r="B192" s="3">
        <v>45194</v>
      </c>
      <c r="C192" s="2">
        <v>6.46</v>
      </c>
      <c r="D192" s="2">
        <v>5.73</v>
      </c>
      <c r="E192" s="2">
        <v>5.73</v>
      </c>
      <c r="F192" s="2">
        <v>1000</v>
      </c>
      <c r="G192" s="2">
        <v>5730</v>
      </c>
      <c r="H192" s="11">
        <f t="shared" si="2"/>
        <v>-1.5455950540957941E-3</v>
      </c>
      <c r="I192" s="10"/>
      <c r="J192" s="10"/>
      <c r="K192" s="10"/>
    </row>
    <row r="193" spans="2:11" ht="13.5" x14ac:dyDescent="0.35">
      <c r="B193" s="3">
        <v>45195</v>
      </c>
      <c r="C193" s="2">
        <v>6.46</v>
      </c>
      <c r="D193" s="2">
        <v>5.73</v>
      </c>
      <c r="E193" s="2">
        <v>5.73</v>
      </c>
      <c r="F193" s="2">
        <v>1300</v>
      </c>
      <c r="G193" s="2">
        <v>7449.0000000000009</v>
      </c>
      <c r="H193" s="11">
        <f t="shared" si="2"/>
        <v>0</v>
      </c>
      <c r="I193" s="10"/>
      <c r="J193" s="10"/>
      <c r="K193" s="10"/>
    </row>
    <row r="194" spans="2:11" ht="13.5" x14ac:dyDescent="0.35">
      <c r="B194" s="3">
        <v>45197</v>
      </c>
      <c r="C194" s="2">
        <v>6.45</v>
      </c>
      <c r="D194" s="2">
        <v>5.7210000000000001</v>
      </c>
      <c r="E194" s="2">
        <v>5.7210000000000001</v>
      </c>
      <c r="F194" s="2">
        <v>1300</v>
      </c>
      <c r="G194" s="2">
        <v>7437.3</v>
      </c>
      <c r="H194" s="11">
        <f t="shared" si="2"/>
        <v>-1.5479876160990891E-3</v>
      </c>
      <c r="I194" s="10"/>
      <c r="J194" s="10"/>
      <c r="K194" s="10"/>
    </row>
    <row r="195" spans="2:11" ht="13.5" x14ac:dyDescent="0.35">
      <c r="B195" s="3">
        <v>45198</v>
      </c>
      <c r="C195" s="2">
        <v>6.43</v>
      </c>
      <c r="D195" s="2">
        <v>5.7039999999999997</v>
      </c>
      <c r="E195" s="2">
        <v>5.6365810264385692</v>
      </c>
      <c r="F195" s="2">
        <v>3952</v>
      </c>
      <c r="G195" s="2">
        <v>22275.768216485227</v>
      </c>
      <c r="H195" s="11">
        <f t="shared" si="2"/>
        <v>-3.1007751937984773E-3</v>
      </c>
      <c r="I195" s="10"/>
      <c r="J195" s="10"/>
      <c r="K195" s="10"/>
    </row>
    <row r="196" spans="2:11" ht="13.5" x14ac:dyDescent="0.35">
      <c r="B196" s="3">
        <v>45201</v>
      </c>
      <c r="C196" s="2">
        <v>6.44</v>
      </c>
      <c r="D196" s="2">
        <v>5.7119999999999997</v>
      </c>
      <c r="E196" s="2">
        <v>5.7119999999999997</v>
      </c>
      <c r="F196" s="2">
        <v>795</v>
      </c>
      <c r="G196" s="2">
        <v>4541.04</v>
      </c>
      <c r="H196" s="11">
        <f t="shared" si="2"/>
        <v>1.5552099533437946E-3</v>
      </c>
      <c r="I196" s="10"/>
      <c r="J196" s="10"/>
      <c r="K196" s="10"/>
    </row>
    <row r="197" spans="2:11" ht="13.5" x14ac:dyDescent="0.35">
      <c r="B197" s="3">
        <v>45202</v>
      </c>
      <c r="C197" s="2">
        <v>6.43</v>
      </c>
      <c r="D197" s="2">
        <v>5.7039999999999997</v>
      </c>
      <c r="E197" s="2">
        <v>5.7039999999999997</v>
      </c>
      <c r="F197" s="2">
        <v>2400</v>
      </c>
      <c r="G197" s="2">
        <v>13689.599999999999</v>
      </c>
      <c r="H197" s="11">
        <f t="shared" si="2"/>
        <v>-1.5527950310559868E-3</v>
      </c>
      <c r="I197" s="10"/>
      <c r="J197" s="10"/>
      <c r="K197" s="10"/>
    </row>
    <row r="198" spans="2:11" ht="13.5" x14ac:dyDescent="0.35">
      <c r="B198" s="3">
        <v>45203</v>
      </c>
      <c r="C198" s="2">
        <v>6.43</v>
      </c>
      <c r="D198" s="2">
        <v>5.7039999999999997</v>
      </c>
      <c r="E198" s="2">
        <v>5.7039999999999997</v>
      </c>
      <c r="F198" s="2">
        <v>1400</v>
      </c>
      <c r="G198" s="2">
        <v>7985.5999999999995</v>
      </c>
      <c r="H198" s="11">
        <f t="shared" si="2"/>
        <v>0</v>
      </c>
      <c r="I198" s="10"/>
      <c r="J198" s="10"/>
      <c r="K198" s="10"/>
    </row>
    <row r="199" spans="2:11" ht="13.5" x14ac:dyDescent="0.35">
      <c r="B199" s="3">
        <v>45204</v>
      </c>
      <c r="C199" s="2">
        <v>6.43</v>
      </c>
      <c r="D199" s="2">
        <v>5.7039999999999997</v>
      </c>
      <c r="E199" s="2">
        <v>5.6711776049766716</v>
      </c>
      <c r="F199" s="2">
        <v>2550</v>
      </c>
      <c r="G199" s="2">
        <v>14461.502892690512</v>
      </c>
      <c r="H199" s="11">
        <f t="shared" ref="H199:H262" si="3">C199/C198-1</f>
        <v>0</v>
      </c>
      <c r="I199" s="10"/>
      <c r="J199" s="10"/>
      <c r="K199" s="10"/>
    </row>
    <row r="200" spans="2:11" ht="13.5" x14ac:dyDescent="0.35">
      <c r="B200" s="3">
        <v>45205</v>
      </c>
      <c r="C200" s="2">
        <v>6.43</v>
      </c>
      <c r="D200" s="2">
        <v>5.7039999999999997</v>
      </c>
      <c r="E200" s="2">
        <v>5.6773872472783831</v>
      </c>
      <c r="F200" s="2">
        <v>2100</v>
      </c>
      <c r="G200" s="2">
        <v>11922.513219284605</v>
      </c>
      <c r="H200" s="11">
        <f t="shared" si="3"/>
        <v>0</v>
      </c>
      <c r="I200" s="10"/>
      <c r="J200" s="10"/>
      <c r="K200" s="10"/>
    </row>
    <row r="201" spans="2:11" ht="13.5" x14ac:dyDescent="0.35">
      <c r="B201" s="3">
        <v>45208</v>
      </c>
      <c r="C201" s="2">
        <v>6.45</v>
      </c>
      <c r="D201" s="2">
        <v>5.7210000000000001</v>
      </c>
      <c r="E201" s="2">
        <v>5.7210000000000001</v>
      </c>
      <c r="F201" s="2">
        <v>1100</v>
      </c>
      <c r="G201" s="2">
        <v>6293.1</v>
      </c>
      <c r="H201" s="11">
        <f t="shared" si="3"/>
        <v>3.1104199066873672E-3</v>
      </c>
      <c r="I201" s="10"/>
      <c r="J201" s="10"/>
      <c r="K201" s="10"/>
    </row>
    <row r="202" spans="2:11" ht="13.5" x14ac:dyDescent="0.35">
      <c r="B202" s="3">
        <v>45209</v>
      </c>
      <c r="C202" s="2">
        <v>6.41</v>
      </c>
      <c r="D202" s="2">
        <v>5.6859999999999999</v>
      </c>
      <c r="E202" s="2">
        <v>5.6780165366614659</v>
      </c>
      <c r="F202" s="2">
        <v>5060</v>
      </c>
      <c r="G202" s="2">
        <v>28730.763675507016</v>
      </c>
      <c r="H202" s="11">
        <f t="shared" si="3"/>
        <v>-6.2015503875969546E-3</v>
      </c>
      <c r="I202" s="10"/>
      <c r="J202" s="10"/>
      <c r="K202" s="10"/>
    </row>
    <row r="203" spans="2:11" ht="13.5" x14ac:dyDescent="0.35">
      <c r="B203" s="3">
        <v>45210</v>
      </c>
      <c r="C203" s="2">
        <v>6.41</v>
      </c>
      <c r="D203" s="2">
        <v>5.6859999999999999</v>
      </c>
      <c r="E203" s="2">
        <v>5.6859999999999999</v>
      </c>
      <c r="F203" s="2">
        <v>550</v>
      </c>
      <c r="G203" s="2">
        <v>3127.3</v>
      </c>
      <c r="H203" s="11">
        <f t="shared" si="3"/>
        <v>0</v>
      </c>
      <c r="I203" s="10"/>
      <c r="J203" s="10"/>
      <c r="K203" s="10"/>
    </row>
    <row r="204" spans="2:11" ht="13.5" x14ac:dyDescent="0.35">
      <c r="B204" s="3">
        <v>45211</v>
      </c>
      <c r="C204" s="2">
        <v>6.41</v>
      </c>
      <c r="D204" s="2">
        <v>5.6859999999999999</v>
      </c>
      <c r="E204" s="2">
        <v>5.6336639625585017</v>
      </c>
      <c r="F204" s="2">
        <v>872</v>
      </c>
      <c r="G204" s="2">
        <v>4912.5549753510131</v>
      </c>
      <c r="H204" s="11">
        <f t="shared" si="3"/>
        <v>0</v>
      </c>
      <c r="I204" s="10"/>
      <c r="J204" s="10"/>
      <c r="K204" s="10"/>
    </row>
    <row r="205" spans="2:11" ht="13.5" x14ac:dyDescent="0.35">
      <c r="B205" s="3">
        <v>45212</v>
      </c>
      <c r="C205" s="2">
        <v>6.42</v>
      </c>
      <c r="D205" s="2">
        <v>5.6950000000000003</v>
      </c>
      <c r="E205" s="2">
        <v>5.6861292834890964</v>
      </c>
      <c r="F205" s="2">
        <v>1443</v>
      </c>
      <c r="G205" s="2">
        <v>8205.0845560747657</v>
      </c>
      <c r="H205" s="11">
        <f t="shared" si="3"/>
        <v>1.5600624024960652E-3</v>
      </c>
      <c r="I205" s="10"/>
      <c r="J205" s="10"/>
      <c r="K205" s="10"/>
    </row>
    <row r="206" spans="2:11" ht="13.5" x14ac:dyDescent="0.35">
      <c r="B206" s="3">
        <v>45215</v>
      </c>
      <c r="C206" s="2">
        <v>6.42</v>
      </c>
      <c r="D206" s="2">
        <v>5.6950000000000003</v>
      </c>
      <c r="E206" s="2">
        <v>5.6950000000000003</v>
      </c>
      <c r="F206" s="2">
        <v>1000</v>
      </c>
      <c r="G206" s="2">
        <v>5695</v>
      </c>
      <c r="H206" s="11">
        <f t="shared" si="3"/>
        <v>0</v>
      </c>
      <c r="I206" s="10"/>
      <c r="J206" s="10"/>
      <c r="K206" s="10"/>
    </row>
    <row r="207" spans="2:11" ht="13.5" x14ac:dyDescent="0.35">
      <c r="B207" s="3">
        <v>45216</v>
      </c>
      <c r="C207" s="2">
        <v>6.42</v>
      </c>
      <c r="D207" s="2">
        <v>5.6950000000000003</v>
      </c>
      <c r="E207" s="2">
        <v>5.6950000000000003</v>
      </c>
      <c r="F207" s="2">
        <v>550</v>
      </c>
      <c r="G207" s="2">
        <v>3132.25</v>
      </c>
      <c r="H207" s="11">
        <f t="shared" si="3"/>
        <v>0</v>
      </c>
      <c r="I207" s="10"/>
      <c r="J207" s="10"/>
      <c r="K207" s="10"/>
    </row>
    <row r="208" spans="2:11" ht="13.5" x14ac:dyDescent="0.35">
      <c r="B208" s="3">
        <v>45217</v>
      </c>
      <c r="C208" s="2">
        <v>6.4</v>
      </c>
      <c r="D208" s="2">
        <v>5.6769999999999996</v>
      </c>
      <c r="E208" s="2">
        <v>5.6929665624999997</v>
      </c>
      <c r="F208" s="2">
        <v>3953</v>
      </c>
      <c r="G208" s="2">
        <v>22504.296821562497</v>
      </c>
      <c r="H208" s="11">
        <f t="shared" si="3"/>
        <v>-3.1152647975076775E-3</v>
      </c>
      <c r="I208" s="10"/>
      <c r="J208" s="10"/>
      <c r="K208" s="10"/>
    </row>
    <row r="209" spans="2:11" ht="13.5" x14ac:dyDescent="0.35">
      <c r="B209" s="3">
        <v>45218</v>
      </c>
      <c r="C209" s="2">
        <v>6.4</v>
      </c>
      <c r="D209" s="2">
        <v>5.6769999999999996</v>
      </c>
      <c r="E209" s="2">
        <v>5.6956276562500001</v>
      </c>
      <c r="F209" s="2">
        <v>4385</v>
      </c>
      <c r="G209" s="2">
        <v>24975.32727265625</v>
      </c>
      <c r="H209" s="11">
        <f t="shared" si="3"/>
        <v>0</v>
      </c>
      <c r="I209" s="10"/>
      <c r="J209" s="10"/>
      <c r="K209" s="10"/>
    </row>
    <row r="210" spans="2:11" ht="13.5" x14ac:dyDescent="0.35">
      <c r="B210" s="3">
        <v>45219</v>
      </c>
      <c r="C210" s="2">
        <v>6.42</v>
      </c>
      <c r="D210" s="2">
        <v>5.6950000000000003</v>
      </c>
      <c r="E210" s="2">
        <v>5.6852422118380064</v>
      </c>
      <c r="F210" s="2">
        <v>5477</v>
      </c>
      <c r="G210" s="2">
        <v>31138.071594236761</v>
      </c>
      <c r="H210" s="11">
        <f t="shared" si="3"/>
        <v>3.1249999999998224E-3</v>
      </c>
      <c r="I210" s="10"/>
      <c r="J210" s="10"/>
      <c r="K210" s="10"/>
    </row>
    <row r="211" spans="2:11" ht="13.5" x14ac:dyDescent="0.35">
      <c r="B211" s="3">
        <v>45222</v>
      </c>
      <c r="C211" s="2">
        <v>6.4</v>
      </c>
      <c r="D211" s="2">
        <v>5.6769999999999996</v>
      </c>
      <c r="E211" s="2">
        <v>5.6787740624999996</v>
      </c>
      <c r="F211" s="2">
        <v>3567</v>
      </c>
      <c r="G211" s="2">
        <v>20256.1870809375</v>
      </c>
      <c r="H211" s="11">
        <f t="shared" si="3"/>
        <v>-3.1152647975076775E-3</v>
      </c>
      <c r="I211" s="10"/>
      <c r="J211" s="10"/>
      <c r="K211" s="10"/>
    </row>
    <row r="212" spans="2:11" ht="13.5" x14ac:dyDescent="0.35">
      <c r="B212" s="3">
        <v>45223</v>
      </c>
      <c r="C212" s="2">
        <v>6.4</v>
      </c>
      <c r="D212" s="2">
        <v>5.6769999999999996</v>
      </c>
      <c r="E212" s="2">
        <v>5.6805481249999996</v>
      </c>
      <c r="F212" s="2">
        <v>2564</v>
      </c>
      <c r="G212" s="2">
        <v>14564.925392499999</v>
      </c>
      <c r="H212" s="11">
        <f t="shared" si="3"/>
        <v>0</v>
      </c>
      <c r="I212" s="10"/>
      <c r="J212" s="10"/>
      <c r="K212" s="10"/>
    </row>
    <row r="213" spans="2:11" ht="13.5" x14ac:dyDescent="0.35">
      <c r="B213" s="3">
        <v>45224</v>
      </c>
      <c r="C213" s="2">
        <v>6.4</v>
      </c>
      <c r="D213" s="2">
        <v>5.6769999999999996</v>
      </c>
      <c r="E213" s="2">
        <v>5.6814351562500001</v>
      </c>
      <c r="F213" s="2">
        <v>2600</v>
      </c>
      <c r="G213" s="2">
        <v>14771.731406250001</v>
      </c>
      <c r="H213" s="11">
        <f t="shared" si="3"/>
        <v>0</v>
      </c>
      <c r="I213" s="10"/>
      <c r="J213" s="10"/>
      <c r="K213" s="10"/>
    </row>
    <row r="214" spans="2:11" ht="13.5" x14ac:dyDescent="0.35">
      <c r="B214" s="3">
        <v>45225</v>
      </c>
      <c r="C214" s="2">
        <v>6.4</v>
      </c>
      <c r="D214" s="2">
        <v>5.6769999999999996</v>
      </c>
      <c r="E214" s="2">
        <v>5.6769999999999996</v>
      </c>
      <c r="F214" s="2">
        <v>4477</v>
      </c>
      <c r="G214" s="2">
        <v>25415.928999999996</v>
      </c>
      <c r="H214" s="11">
        <f t="shared" si="3"/>
        <v>0</v>
      </c>
      <c r="I214" s="10"/>
      <c r="J214" s="10"/>
      <c r="K214" s="10"/>
    </row>
    <row r="215" spans="2:11" ht="13.5" x14ac:dyDescent="0.35">
      <c r="B215" s="3">
        <v>45226</v>
      </c>
      <c r="C215" s="2">
        <v>6.4</v>
      </c>
      <c r="D215" s="2">
        <v>5.6769999999999996</v>
      </c>
      <c r="E215" s="2">
        <v>5.6140207812499998</v>
      </c>
      <c r="F215" s="2">
        <v>4636</v>
      </c>
      <c r="G215" s="2">
        <v>26026.600341875001</v>
      </c>
      <c r="H215" s="11">
        <f t="shared" si="3"/>
        <v>0</v>
      </c>
      <c r="I215" s="10"/>
      <c r="J215" s="10"/>
      <c r="K215" s="10"/>
    </row>
    <row r="216" spans="2:11" ht="13.5" x14ac:dyDescent="0.35">
      <c r="B216" s="3">
        <v>45229</v>
      </c>
      <c r="C216" s="2">
        <v>6.4</v>
      </c>
      <c r="D216" s="2">
        <v>5.6769999999999996</v>
      </c>
      <c r="E216" s="2">
        <v>5.6769999999999996</v>
      </c>
      <c r="F216" s="2">
        <v>508</v>
      </c>
      <c r="G216" s="2">
        <v>2883.9159999999997</v>
      </c>
      <c r="H216" s="11">
        <f t="shared" si="3"/>
        <v>0</v>
      </c>
      <c r="I216" s="10"/>
      <c r="J216" s="10"/>
      <c r="K216" s="10"/>
    </row>
    <row r="217" spans="2:11" ht="13.5" x14ac:dyDescent="0.35">
      <c r="B217" s="3">
        <v>45230</v>
      </c>
      <c r="C217" s="2">
        <v>6.4</v>
      </c>
      <c r="D217" s="2">
        <v>5.6769999999999996</v>
      </c>
      <c r="E217" s="2">
        <v>5.6681296874999996</v>
      </c>
      <c r="F217" s="2">
        <v>7330</v>
      </c>
      <c r="G217" s="2">
        <v>41547.390609374997</v>
      </c>
      <c r="H217" s="11">
        <f t="shared" si="3"/>
        <v>0</v>
      </c>
      <c r="I217" s="10"/>
      <c r="J217" s="10"/>
      <c r="K217" s="10"/>
    </row>
    <row r="218" spans="2:11" ht="13.5" x14ac:dyDescent="0.35">
      <c r="B218" s="3">
        <v>45231</v>
      </c>
      <c r="C218" s="2">
        <v>6.34</v>
      </c>
      <c r="D218" s="2">
        <v>5.6239999999999997</v>
      </c>
      <c r="E218" s="2">
        <v>5.6346447949526812</v>
      </c>
      <c r="F218" s="2">
        <v>5115</v>
      </c>
      <c r="G218" s="2">
        <v>28821.208126182966</v>
      </c>
      <c r="H218" s="11">
        <f t="shared" si="3"/>
        <v>-9.3750000000000222E-3</v>
      </c>
      <c r="I218" s="10"/>
      <c r="J218" s="10"/>
      <c r="K218" s="10"/>
    </row>
    <row r="219" spans="2:11" ht="13.5" x14ac:dyDescent="0.35">
      <c r="B219" s="3">
        <v>45232</v>
      </c>
      <c r="C219" s="2">
        <v>6.35</v>
      </c>
      <c r="D219" s="2">
        <v>5.633</v>
      </c>
      <c r="E219" s="2">
        <v>5.6241291338582684</v>
      </c>
      <c r="F219" s="2">
        <v>4038</v>
      </c>
      <c r="G219" s="2">
        <v>22710.23344251969</v>
      </c>
      <c r="H219" s="11">
        <f t="shared" si="3"/>
        <v>1.577287066246047E-3</v>
      </c>
      <c r="I219" s="10"/>
      <c r="J219" s="10"/>
      <c r="K219" s="10"/>
    </row>
    <row r="220" spans="2:11" ht="13.5" x14ac:dyDescent="0.35">
      <c r="B220" s="3">
        <v>45233</v>
      </c>
      <c r="C220" s="2">
        <v>6.33</v>
      </c>
      <c r="D220" s="2">
        <v>5.6150000000000002</v>
      </c>
      <c r="E220" s="2">
        <v>5.5999202211690369</v>
      </c>
      <c r="F220" s="2">
        <v>4733</v>
      </c>
      <c r="G220" s="2">
        <v>26504.422406793052</v>
      </c>
      <c r="H220" s="11">
        <f t="shared" si="3"/>
        <v>-3.1496062992125706E-3</v>
      </c>
      <c r="I220" s="10"/>
      <c r="J220" s="10"/>
      <c r="K220" s="10"/>
    </row>
    <row r="221" spans="2:11" ht="13.5" x14ac:dyDescent="0.35">
      <c r="B221" s="3">
        <v>45236</v>
      </c>
      <c r="C221" s="2">
        <v>6.33</v>
      </c>
      <c r="D221" s="2">
        <v>5.6150000000000002</v>
      </c>
      <c r="E221" s="2">
        <v>5.6150000000000002</v>
      </c>
      <c r="F221" s="2">
        <v>409</v>
      </c>
      <c r="G221" s="2">
        <v>2296.5350000000003</v>
      </c>
      <c r="H221" s="11">
        <f t="shared" si="3"/>
        <v>0</v>
      </c>
      <c r="I221" s="10"/>
      <c r="J221" s="10"/>
      <c r="K221" s="10"/>
    </row>
    <row r="222" spans="2:11" ht="13.5" x14ac:dyDescent="0.35">
      <c r="B222" s="3">
        <v>45237</v>
      </c>
      <c r="C222" s="2">
        <v>6.3</v>
      </c>
      <c r="D222" s="2">
        <v>5.5880000000000001</v>
      </c>
      <c r="E222" s="2">
        <v>5.6084006349206357</v>
      </c>
      <c r="F222" s="2">
        <v>4944</v>
      </c>
      <c r="G222" s="2">
        <v>27727.932739047621</v>
      </c>
      <c r="H222" s="11">
        <f t="shared" si="3"/>
        <v>-4.7393364928910442E-3</v>
      </c>
      <c r="I222" s="10"/>
      <c r="J222" s="10"/>
      <c r="K222" s="10"/>
    </row>
    <row r="223" spans="2:11" ht="13.5" x14ac:dyDescent="0.35">
      <c r="B223" s="3">
        <v>45238</v>
      </c>
      <c r="C223" s="2">
        <v>6.3</v>
      </c>
      <c r="D223" s="2">
        <v>5.5880000000000001</v>
      </c>
      <c r="E223" s="2">
        <v>5.5880000000000001</v>
      </c>
      <c r="F223" s="2">
        <v>1707</v>
      </c>
      <c r="G223" s="2">
        <v>9538.7160000000003</v>
      </c>
      <c r="H223" s="11">
        <f t="shared" si="3"/>
        <v>0</v>
      </c>
      <c r="I223" s="10"/>
      <c r="J223" s="10"/>
      <c r="K223" s="10"/>
    </row>
    <row r="224" spans="2:11" ht="13.5" x14ac:dyDescent="0.35">
      <c r="B224" s="3">
        <v>45239</v>
      </c>
      <c r="C224" s="2">
        <v>6.3</v>
      </c>
      <c r="D224" s="2">
        <v>5.5880000000000001</v>
      </c>
      <c r="E224" s="2">
        <v>5.5880000000000001</v>
      </c>
      <c r="F224" s="2">
        <v>842</v>
      </c>
      <c r="G224" s="2">
        <v>4705.0960000000005</v>
      </c>
      <c r="H224" s="11">
        <f t="shared" si="3"/>
        <v>0</v>
      </c>
      <c r="I224" s="10"/>
      <c r="J224" s="10"/>
      <c r="K224" s="10"/>
    </row>
    <row r="225" spans="2:11" ht="13.5" x14ac:dyDescent="0.35">
      <c r="B225" s="3">
        <v>45240</v>
      </c>
      <c r="C225" s="2">
        <v>6.3</v>
      </c>
      <c r="D225" s="2">
        <v>5.5880000000000001</v>
      </c>
      <c r="E225" s="2">
        <v>5.5880000000000001</v>
      </c>
      <c r="F225" s="2">
        <v>1750</v>
      </c>
      <c r="G225" s="2">
        <v>9779</v>
      </c>
      <c r="H225" s="11">
        <f t="shared" si="3"/>
        <v>0</v>
      </c>
      <c r="I225" s="10"/>
      <c r="J225" s="10"/>
      <c r="K225" s="10"/>
    </row>
    <row r="226" spans="2:11" ht="13.5" x14ac:dyDescent="0.35">
      <c r="B226" s="3">
        <v>45243</v>
      </c>
      <c r="C226" s="2">
        <v>6.29</v>
      </c>
      <c r="D226" s="2">
        <v>5.5789999999999997</v>
      </c>
      <c r="E226" s="2">
        <v>5.5319909379968202</v>
      </c>
      <c r="F226" s="2">
        <v>2301</v>
      </c>
      <c r="G226" s="2">
        <v>12729.111148330683</v>
      </c>
      <c r="H226" s="11">
        <f t="shared" si="3"/>
        <v>-1.5873015873015817E-3</v>
      </c>
      <c r="I226" s="10"/>
      <c r="J226" s="10"/>
      <c r="K226" s="10"/>
    </row>
    <row r="227" spans="2:11" ht="13.5" x14ac:dyDescent="0.35">
      <c r="B227" s="3">
        <v>45244</v>
      </c>
      <c r="C227" s="2">
        <v>6.29</v>
      </c>
      <c r="D227" s="2">
        <v>5.5789999999999997</v>
      </c>
      <c r="E227" s="2">
        <v>5.5789999999999997</v>
      </c>
      <c r="F227" s="2">
        <v>400</v>
      </c>
      <c r="G227" s="2">
        <v>2231.6</v>
      </c>
      <c r="H227" s="11">
        <f t="shared" si="3"/>
        <v>0</v>
      </c>
      <c r="I227" s="10"/>
      <c r="J227" s="10"/>
      <c r="K227" s="10"/>
    </row>
    <row r="228" spans="2:11" ht="13.5" x14ac:dyDescent="0.35">
      <c r="B228" s="3">
        <v>45245</v>
      </c>
      <c r="C228" s="2">
        <v>6.29</v>
      </c>
      <c r="D228" s="2">
        <v>5.5789999999999997</v>
      </c>
      <c r="E228" s="2">
        <v>5.5789999999999997</v>
      </c>
      <c r="F228" s="2">
        <v>606</v>
      </c>
      <c r="G228" s="2">
        <v>3380.8739999999998</v>
      </c>
      <c r="H228" s="11">
        <f t="shared" si="3"/>
        <v>0</v>
      </c>
      <c r="I228" s="10"/>
      <c r="J228" s="10"/>
      <c r="K228" s="10"/>
    </row>
    <row r="229" spans="2:11" ht="13.5" x14ac:dyDescent="0.35">
      <c r="B229" s="3">
        <v>45246</v>
      </c>
      <c r="C229" s="2">
        <v>6.3</v>
      </c>
      <c r="D229" s="2">
        <v>5.5880000000000001</v>
      </c>
      <c r="E229" s="2">
        <v>5.5880000000000001</v>
      </c>
      <c r="F229" s="2">
        <v>2900</v>
      </c>
      <c r="G229" s="2">
        <v>16205.2</v>
      </c>
      <c r="H229" s="11">
        <f t="shared" si="3"/>
        <v>1.5898251192367763E-3</v>
      </c>
      <c r="I229" s="10"/>
      <c r="J229" s="10"/>
      <c r="K229" s="10"/>
    </row>
    <row r="230" spans="2:11" ht="13.5" x14ac:dyDescent="0.35">
      <c r="B230" s="3">
        <v>45247</v>
      </c>
      <c r="C230" s="2">
        <v>6.3</v>
      </c>
      <c r="D230" s="2">
        <v>5.5880000000000001</v>
      </c>
      <c r="E230" s="2">
        <v>5.5880000000000001</v>
      </c>
      <c r="F230" s="2">
        <v>2551</v>
      </c>
      <c r="G230" s="2">
        <v>14254.987999999999</v>
      </c>
      <c r="H230" s="11">
        <f t="shared" si="3"/>
        <v>0</v>
      </c>
      <c r="I230" s="10"/>
      <c r="J230" s="10"/>
      <c r="K230" s="10"/>
    </row>
    <row r="231" spans="2:11" ht="13.5" x14ac:dyDescent="0.35">
      <c r="B231" s="3">
        <v>45250</v>
      </c>
      <c r="C231" s="2">
        <v>6.3</v>
      </c>
      <c r="D231" s="2">
        <v>5.5880000000000001</v>
      </c>
      <c r="E231" s="2">
        <v>5.5880000000000001</v>
      </c>
      <c r="F231" s="2">
        <v>3284</v>
      </c>
      <c r="G231" s="2">
        <v>18350.992000000002</v>
      </c>
      <c r="H231" s="11">
        <f t="shared" si="3"/>
        <v>0</v>
      </c>
      <c r="I231" s="10"/>
      <c r="J231" s="10"/>
      <c r="K231" s="10"/>
    </row>
    <row r="232" spans="2:11" ht="13.5" x14ac:dyDescent="0.35">
      <c r="B232" s="3">
        <v>45251</v>
      </c>
      <c r="C232" s="2">
        <v>6.28</v>
      </c>
      <c r="D232" s="2">
        <v>5.5709999999999997</v>
      </c>
      <c r="E232" s="2">
        <v>5.4920479299363052</v>
      </c>
      <c r="F232" s="2">
        <v>75961</v>
      </c>
      <c r="G232" s="2">
        <v>417181.45280589169</v>
      </c>
      <c r="H232" s="11">
        <f t="shared" si="3"/>
        <v>-3.1746031746030523E-3</v>
      </c>
      <c r="I232" s="10"/>
      <c r="J232" s="10"/>
      <c r="K232" s="10"/>
    </row>
    <row r="233" spans="2:11" ht="13.5" x14ac:dyDescent="0.35">
      <c r="B233" s="3">
        <v>45252</v>
      </c>
      <c r="C233" s="2">
        <v>6.29</v>
      </c>
      <c r="D233" s="2">
        <v>5.5789999999999997</v>
      </c>
      <c r="E233" s="2">
        <v>5.5789999999999997</v>
      </c>
      <c r="F233" s="2">
        <v>450</v>
      </c>
      <c r="G233" s="2">
        <v>2510.5499999999997</v>
      </c>
      <c r="H233" s="11">
        <f t="shared" si="3"/>
        <v>1.5923566878981443E-3</v>
      </c>
      <c r="I233" s="10"/>
      <c r="J233" s="10"/>
      <c r="K233" s="10"/>
    </row>
    <row r="234" spans="2:11" ht="13.5" x14ac:dyDescent="0.35">
      <c r="B234" s="3">
        <v>45253</v>
      </c>
      <c r="C234" s="2">
        <v>6.28</v>
      </c>
      <c r="D234" s="2">
        <v>5.5709999999999997</v>
      </c>
      <c r="E234" s="2">
        <v>5.5683386942675153</v>
      </c>
      <c r="F234" s="2">
        <v>3294</v>
      </c>
      <c r="G234" s="2">
        <v>18342.107658917193</v>
      </c>
      <c r="H234" s="11">
        <f t="shared" si="3"/>
        <v>-1.5898251192368873E-3</v>
      </c>
      <c r="I234" s="10"/>
      <c r="J234" s="10"/>
      <c r="K234" s="10"/>
    </row>
    <row r="235" spans="2:11" ht="13.5" x14ac:dyDescent="0.35">
      <c r="B235" s="3">
        <v>45254</v>
      </c>
      <c r="C235" s="2">
        <v>6.27</v>
      </c>
      <c r="D235" s="2">
        <v>5.5620000000000003</v>
      </c>
      <c r="E235" s="2">
        <v>5.5078880382775122</v>
      </c>
      <c r="F235" s="2">
        <v>2601</v>
      </c>
      <c r="G235" s="2">
        <v>14326.016787559809</v>
      </c>
      <c r="H235" s="11">
        <f t="shared" si="3"/>
        <v>-1.5923566878981443E-3</v>
      </c>
      <c r="I235" s="10"/>
      <c r="J235" s="10"/>
      <c r="K235" s="10"/>
    </row>
    <row r="236" spans="2:11" ht="13.5" x14ac:dyDescent="0.35">
      <c r="B236" s="3">
        <v>45257</v>
      </c>
      <c r="C236" s="2">
        <v>6.27</v>
      </c>
      <c r="D236" s="2">
        <v>5.5620000000000003</v>
      </c>
      <c r="E236" s="2">
        <v>5.5620000000000003</v>
      </c>
      <c r="F236" s="2">
        <v>600</v>
      </c>
      <c r="G236" s="2">
        <v>3337.2000000000003</v>
      </c>
      <c r="H236" s="11">
        <f t="shared" si="3"/>
        <v>0</v>
      </c>
      <c r="I236" s="10"/>
      <c r="J236" s="10"/>
      <c r="K236" s="10"/>
    </row>
    <row r="237" spans="2:11" ht="13.5" x14ac:dyDescent="0.35">
      <c r="B237" s="3">
        <v>45258</v>
      </c>
      <c r="C237" s="2">
        <v>6.26</v>
      </c>
      <c r="D237" s="2">
        <v>5.5529999999999999</v>
      </c>
      <c r="E237" s="2">
        <v>5.5529999999999999</v>
      </c>
      <c r="F237" s="2">
        <v>2500</v>
      </c>
      <c r="G237" s="2">
        <v>13882.5</v>
      </c>
      <c r="H237" s="11">
        <f t="shared" si="3"/>
        <v>-1.5948963317383713E-3</v>
      </c>
      <c r="I237" s="10"/>
      <c r="J237" s="10"/>
      <c r="K237" s="10"/>
    </row>
    <row r="238" spans="2:11" ht="13.5" x14ac:dyDescent="0.35">
      <c r="B238" s="3">
        <v>45259</v>
      </c>
      <c r="C238" s="2">
        <v>6.27</v>
      </c>
      <c r="D238" s="2">
        <v>5.5620000000000003</v>
      </c>
      <c r="E238" s="2">
        <v>5.5460325358851685</v>
      </c>
      <c r="F238" s="2">
        <v>9730</v>
      </c>
      <c r="G238" s="2">
        <v>53962.896574162689</v>
      </c>
      <c r="H238" s="11">
        <f t="shared" si="3"/>
        <v>1.5974440894568342E-3</v>
      </c>
      <c r="I238" s="10"/>
      <c r="J238" s="10"/>
      <c r="K238" s="10"/>
    </row>
    <row r="239" spans="2:11" ht="13.5" x14ac:dyDescent="0.35">
      <c r="B239" s="3">
        <v>45260</v>
      </c>
      <c r="C239" s="2">
        <v>6.25</v>
      </c>
      <c r="D239" s="2">
        <v>5.5439999999999996</v>
      </c>
      <c r="E239" s="2">
        <v>5.5439999999999996</v>
      </c>
      <c r="F239" s="2">
        <v>1200</v>
      </c>
      <c r="G239" s="2">
        <v>6652.7999999999993</v>
      </c>
      <c r="H239" s="11">
        <f t="shared" si="3"/>
        <v>-3.1897926634768536E-3</v>
      </c>
      <c r="I239" s="10"/>
      <c r="J239" s="10"/>
      <c r="K239" s="10"/>
    </row>
    <row r="240" spans="2:11" ht="13.5" x14ac:dyDescent="0.35">
      <c r="B240" s="3">
        <v>45261</v>
      </c>
      <c r="C240" s="2">
        <v>6.24</v>
      </c>
      <c r="D240" s="2">
        <v>5.5350000000000001</v>
      </c>
      <c r="E240" s="2">
        <v>5.4941971153846154</v>
      </c>
      <c r="F240" s="2">
        <v>1929</v>
      </c>
      <c r="G240" s="2">
        <v>10598.306235576923</v>
      </c>
      <c r="H240" s="11">
        <f t="shared" si="3"/>
        <v>-1.5999999999999348E-3</v>
      </c>
      <c r="I240" s="10"/>
      <c r="J240" s="10"/>
      <c r="K240" s="10"/>
    </row>
    <row r="241" spans="2:11" ht="13.5" x14ac:dyDescent="0.35">
      <c r="B241" s="3">
        <v>45264</v>
      </c>
      <c r="C241" s="2">
        <v>6.24</v>
      </c>
      <c r="D241" s="2">
        <v>5.5350000000000001</v>
      </c>
      <c r="E241" s="2">
        <v>5.5350000000000001</v>
      </c>
      <c r="F241" s="2">
        <v>1021</v>
      </c>
      <c r="G241" s="2">
        <v>5651.2350000000006</v>
      </c>
      <c r="H241" s="11">
        <f t="shared" si="3"/>
        <v>0</v>
      </c>
      <c r="I241" s="10"/>
      <c r="J241" s="10"/>
      <c r="K241" s="10"/>
    </row>
    <row r="242" spans="2:11" ht="13.5" x14ac:dyDescent="0.35">
      <c r="B242" s="3">
        <v>45265</v>
      </c>
      <c r="C242" s="2">
        <v>6.23</v>
      </c>
      <c r="D242" s="2">
        <v>5.5259999999999998</v>
      </c>
      <c r="E242" s="2">
        <v>5.527773996789727</v>
      </c>
      <c r="F242" s="2">
        <v>1005</v>
      </c>
      <c r="G242" s="2">
        <v>5555.4128667736759</v>
      </c>
      <c r="H242" s="11">
        <f t="shared" si="3"/>
        <v>-1.6025641025640969E-3</v>
      </c>
      <c r="I242" s="10"/>
      <c r="J242" s="10"/>
      <c r="K242" s="10"/>
    </row>
    <row r="243" spans="2:11" ht="13.5" x14ac:dyDescent="0.35">
      <c r="B243" s="3">
        <v>45266</v>
      </c>
      <c r="C243" s="2">
        <v>6.23</v>
      </c>
      <c r="D243" s="2">
        <v>5.5259999999999998</v>
      </c>
      <c r="E243" s="2">
        <v>5.5259999999999998</v>
      </c>
      <c r="F243" s="2">
        <v>585</v>
      </c>
      <c r="G243" s="2">
        <v>3232.71</v>
      </c>
      <c r="H243" s="11">
        <f t="shared" si="3"/>
        <v>0</v>
      </c>
      <c r="I243" s="10"/>
      <c r="J243" s="10"/>
      <c r="K243" s="10"/>
    </row>
    <row r="244" spans="2:11" ht="13.5" x14ac:dyDescent="0.35">
      <c r="B244" s="3">
        <v>45267</v>
      </c>
      <c r="C244" s="2">
        <v>6.23</v>
      </c>
      <c r="D244" s="2">
        <v>5.5259999999999998</v>
      </c>
      <c r="E244" s="2">
        <v>5.5259999999999998</v>
      </c>
      <c r="F244" s="2">
        <v>551</v>
      </c>
      <c r="G244" s="2">
        <v>3044.826</v>
      </c>
      <c r="H244" s="11">
        <f t="shared" si="3"/>
        <v>0</v>
      </c>
      <c r="I244" s="10"/>
      <c r="J244" s="10"/>
      <c r="K244" s="10"/>
    </row>
    <row r="245" spans="2:11" ht="13.5" x14ac:dyDescent="0.35">
      <c r="B245" s="3">
        <v>45268</v>
      </c>
      <c r="C245" s="2">
        <v>6.23</v>
      </c>
      <c r="D245" s="2">
        <v>5.5259999999999998</v>
      </c>
      <c r="E245" s="2">
        <v>5.5259999999999998</v>
      </c>
      <c r="F245" s="2">
        <v>410</v>
      </c>
      <c r="G245" s="2">
        <v>2265.66</v>
      </c>
      <c r="H245" s="11">
        <f t="shared" si="3"/>
        <v>0</v>
      </c>
      <c r="I245" s="10"/>
      <c r="J245" s="10"/>
      <c r="K245" s="10"/>
    </row>
    <row r="246" spans="2:11" ht="13.5" x14ac:dyDescent="0.35">
      <c r="B246" s="3">
        <v>45271</v>
      </c>
      <c r="C246" s="2">
        <v>6.2</v>
      </c>
      <c r="D246" s="2">
        <v>5.5</v>
      </c>
      <c r="E246" s="2">
        <v>5.5106451612903227</v>
      </c>
      <c r="F246" s="2">
        <v>1036</v>
      </c>
      <c r="G246" s="2">
        <v>5709.0283870967742</v>
      </c>
      <c r="H246" s="11">
        <f t="shared" si="3"/>
        <v>-4.8154093097914075E-3</v>
      </c>
      <c r="I246" s="10"/>
      <c r="J246" s="10"/>
      <c r="K246" s="10"/>
    </row>
    <row r="247" spans="2:11" ht="13.5" x14ac:dyDescent="0.35">
      <c r="B247" s="3">
        <v>45272</v>
      </c>
      <c r="C247" s="2">
        <v>6.1</v>
      </c>
      <c r="D247" s="2">
        <v>5.4109999999999996</v>
      </c>
      <c r="E247" s="2">
        <v>5.4207575409836064</v>
      </c>
      <c r="F247" s="2">
        <v>2182</v>
      </c>
      <c r="G247" s="2">
        <v>11828.092954426229</v>
      </c>
      <c r="H247" s="11">
        <f t="shared" si="3"/>
        <v>-1.6129032258064613E-2</v>
      </c>
      <c r="I247" s="10"/>
      <c r="J247" s="10"/>
      <c r="K247" s="10"/>
    </row>
    <row r="248" spans="2:11" ht="13.5" x14ac:dyDescent="0.35">
      <c r="B248" s="3">
        <v>45273</v>
      </c>
      <c r="C248" s="2">
        <v>6.09</v>
      </c>
      <c r="D248" s="2">
        <v>5.4020000000000001</v>
      </c>
      <c r="E248" s="2">
        <v>5.2707198686371104</v>
      </c>
      <c r="F248" s="2">
        <v>24213</v>
      </c>
      <c r="G248" s="2">
        <v>127619.94017931036</v>
      </c>
      <c r="H248" s="11">
        <f t="shared" si="3"/>
        <v>-1.6393442622950616E-3</v>
      </c>
      <c r="I248" s="10"/>
      <c r="J248" s="10"/>
      <c r="K248" s="10"/>
    </row>
    <row r="249" spans="2:11" ht="13.5" x14ac:dyDescent="0.35">
      <c r="B249" s="3">
        <v>45274</v>
      </c>
      <c r="C249" s="2">
        <v>6.14</v>
      </c>
      <c r="D249" s="2">
        <v>5.4459999999999997</v>
      </c>
      <c r="E249" s="2">
        <v>5.4459999999999997</v>
      </c>
      <c r="F249" s="2">
        <v>3210</v>
      </c>
      <c r="G249" s="2">
        <v>17481.66</v>
      </c>
      <c r="H249" s="11">
        <f t="shared" si="3"/>
        <v>8.2101806239736064E-3</v>
      </c>
      <c r="I249" s="10"/>
      <c r="J249" s="10"/>
      <c r="K249" s="10"/>
    </row>
    <row r="250" spans="2:11" ht="13.5" x14ac:dyDescent="0.35">
      <c r="B250" s="3">
        <v>45275</v>
      </c>
      <c r="C250" s="2">
        <v>6.12</v>
      </c>
      <c r="D250" s="2">
        <v>5.4290000000000003</v>
      </c>
      <c r="E250" s="2">
        <v>5.4307741830065366</v>
      </c>
      <c r="F250" s="2">
        <v>640</v>
      </c>
      <c r="G250" s="2">
        <v>3475.6954771241835</v>
      </c>
      <c r="H250" s="11">
        <f t="shared" si="3"/>
        <v>-3.2573289902279035E-3</v>
      </c>
      <c r="I250" s="10"/>
      <c r="J250" s="10"/>
      <c r="K250" s="10"/>
    </row>
    <row r="251" spans="2:11" ht="13.5" x14ac:dyDescent="0.35">
      <c r="B251" s="3">
        <v>45278</v>
      </c>
      <c r="C251" s="2">
        <v>6.1</v>
      </c>
      <c r="D251" s="2">
        <v>5.4109999999999996</v>
      </c>
      <c r="E251" s="2">
        <v>5.330278524590164</v>
      </c>
      <c r="F251" s="2">
        <v>3040</v>
      </c>
      <c r="G251" s="2">
        <v>16204.046714754099</v>
      </c>
      <c r="H251" s="11">
        <f t="shared" si="3"/>
        <v>-3.2679738562092497E-3</v>
      </c>
      <c r="I251" s="10"/>
      <c r="J251" s="10"/>
      <c r="K251" s="10"/>
    </row>
    <row r="252" spans="2:11" ht="13.5" x14ac:dyDescent="0.35">
      <c r="B252" s="3">
        <v>45279</v>
      </c>
      <c r="C252" s="2">
        <v>6.11</v>
      </c>
      <c r="D252" s="2">
        <v>5.42</v>
      </c>
      <c r="E252" s="2">
        <v>5.4120163666121108</v>
      </c>
      <c r="F252" s="2">
        <v>4213</v>
      </c>
      <c r="G252" s="2">
        <v>22800.824952536823</v>
      </c>
      <c r="H252" s="11">
        <f t="shared" si="3"/>
        <v>1.6393442622952836E-3</v>
      </c>
      <c r="I252" s="10"/>
      <c r="J252" s="10"/>
      <c r="K252" s="10"/>
    </row>
    <row r="253" spans="2:11" ht="13.5" x14ac:dyDescent="0.35">
      <c r="B253" s="3">
        <v>45280</v>
      </c>
      <c r="C253" s="2">
        <v>6.09</v>
      </c>
      <c r="D253" s="2">
        <v>5.4020000000000001</v>
      </c>
      <c r="E253" s="2">
        <v>5.2565274220032849</v>
      </c>
      <c r="F253" s="2">
        <v>9778</v>
      </c>
      <c r="G253" s="2">
        <v>51398.325132348124</v>
      </c>
      <c r="H253" s="11">
        <f t="shared" si="3"/>
        <v>-3.2733224222586399E-3</v>
      </c>
      <c r="I253" s="10"/>
      <c r="J253" s="10"/>
      <c r="K253" s="10"/>
    </row>
    <row r="254" spans="2:11" ht="13.5" x14ac:dyDescent="0.35">
      <c r="B254" s="3">
        <v>45281</v>
      </c>
      <c r="C254" s="2">
        <v>6.08</v>
      </c>
      <c r="D254" s="2">
        <v>5.3929999999999998</v>
      </c>
      <c r="E254" s="2">
        <v>5.3761468749999999</v>
      </c>
      <c r="F254" s="2">
        <v>8594</v>
      </c>
      <c r="G254" s="2">
        <v>46202.60624375</v>
      </c>
      <c r="H254" s="11">
        <f t="shared" si="3"/>
        <v>-1.6420361247947435E-3</v>
      </c>
      <c r="I254" s="10"/>
      <c r="J254" s="10"/>
      <c r="K254" s="10"/>
    </row>
    <row r="255" spans="2:11" ht="13.5" x14ac:dyDescent="0.35">
      <c r="B255" s="3">
        <v>45282</v>
      </c>
      <c r="C255" s="2">
        <v>6.08</v>
      </c>
      <c r="D255" s="2">
        <v>5.3929999999999998</v>
      </c>
      <c r="E255" s="2">
        <v>5.395661019736842</v>
      </c>
      <c r="F255" s="2">
        <v>920</v>
      </c>
      <c r="G255" s="2">
        <v>4964.0081381578948</v>
      </c>
      <c r="H255" s="11">
        <f t="shared" si="3"/>
        <v>0</v>
      </c>
      <c r="I255" s="10"/>
      <c r="J255" s="10"/>
      <c r="K255" s="10"/>
    </row>
    <row r="256" spans="2:11" ht="13.5" x14ac:dyDescent="0.35">
      <c r="B256" s="3">
        <v>45285</v>
      </c>
      <c r="C256" s="2">
        <v>6.08</v>
      </c>
      <c r="D256" s="2">
        <v>5.3929999999999998</v>
      </c>
      <c r="E256" s="2">
        <v>5.362841776315789</v>
      </c>
      <c r="F256" s="2">
        <v>1990</v>
      </c>
      <c r="G256" s="2">
        <v>10672.05513486842</v>
      </c>
      <c r="H256" s="11">
        <f t="shared" si="3"/>
        <v>0</v>
      </c>
      <c r="I256" s="10"/>
      <c r="J256" s="10"/>
      <c r="K256" s="10"/>
    </row>
    <row r="257" spans="2:11" ht="13.5" x14ac:dyDescent="0.35">
      <c r="B257" s="3">
        <v>45286</v>
      </c>
      <c r="C257" s="2">
        <v>6.08</v>
      </c>
      <c r="D257" s="2">
        <v>5.3929999999999998</v>
      </c>
      <c r="E257" s="2">
        <v>5.3929999999999998</v>
      </c>
      <c r="F257" s="2">
        <v>3361</v>
      </c>
      <c r="G257" s="2">
        <v>18125.873</v>
      </c>
      <c r="H257" s="11">
        <f t="shared" si="3"/>
        <v>0</v>
      </c>
      <c r="I257" s="10"/>
      <c r="J257" s="10"/>
      <c r="K257" s="10"/>
    </row>
    <row r="258" spans="2:11" ht="13.5" x14ac:dyDescent="0.35">
      <c r="B258" s="3">
        <v>45287</v>
      </c>
      <c r="C258" s="2">
        <v>6</v>
      </c>
      <c r="D258" s="2">
        <v>5.3220000000000001</v>
      </c>
      <c r="E258" s="2">
        <v>5.2865200000000003</v>
      </c>
      <c r="F258" s="2">
        <v>13060</v>
      </c>
      <c r="G258" s="2">
        <v>69041.95120000001</v>
      </c>
      <c r="H258" s="11">
        <f t="shared" si="3"/>
        <v>-1.3157894736842146E-2</v>
      </c>
      <c r="I258" s="10"/>
      <c r="J258" s="10"/>
      <c r="K258" s="10"/>
    </row>
    <row r="259" spans="2:11" ht="13.5" x14ac:dyDescent="0.35">
      <c r="B259" s="3">
        <v>45288</v>
      </c>
      <c r="C259" s="2">
        <v>6.04</v>
      </c>
      <c r="D259" s="2">
        <v>5.3579999999999997</v>
      </c>
      <c r="E259" s="2">
        <v>5.3659837748344374</v>
      </c>
      <c r="F259" s="2">
        <v>2285</v>
      </c>
      <c r="G259" s="2">
        <v>12261.272925496689</v>
      </c>
      <c r="H259" s="11">
        <f t="shared" si="3"/>
        <v>6.6666666666665986E-3</v>
      </c>
      <c r="I259" s="10"/>
      <c r="J259" s="10"/>
      <c r="K259" s="10"/>
    </row>
    <row r="260" spans="2:11" ht="13.5" x14ac:dyDescent="0.35">
      <c r="B260" s="3">
        <v>45289</v>
      </c>
      <c r="C260" s="2">
        <v>6.04</v>
      </c>
      <c r="D260" s="2">
        <v>5.3579999999999997</v>
      </c>
      <c r="E260" s="2">
        <v>5.3650966887417217</v>
      </c>
      <c r="F260" s="2">
        <v>484</v>
      </c>
      <c r="G260" s="2">
        <v>2596.7067973509934</v>
      </c>
      <c r="H260" s="11">
        <f t="shared" si="3"/>
        <v>0</v>
      </c>
      <c r="I260" s="10"/>
      <c r="J260" s="10"/>
      <c r="K260" s="10"/>
    </row>
    <row r="261" spans="2:11" ht="13.5" x14ac:dyDescent="0.35">
      <c r="B261" s="3">
        <v>45293</v>
      </c>
      <c r="C261" s="2">
        <v>5.8</v>
      </c>
      <c r="D261" s="2">
        <v>5.1449999999999996</v>
      </c>
      <c r="E261" s="2">
        <v>5.2035465517241377</v>
      </c>
      <c r="F261" s="2">
        <v>2420</v>
      </c>
      <c r="G261" s="2">
        <v>12592.582655172413</v>
      </c>
      <c r="H261" s="11">
        <f t="shared" si="3"/>
        <v>-3.9735099337748325E-2</v>
      </c>
      <c r="I261" s="10"/>
      <c r="J261" s="10"/>
      <c r="K261" s="10"/>
    </row>
    <row r="262" spans="2:11" ht="13.5" x14ac:dyDescent="0.35">
      <c r="B262" s="3">
        <v>45294</v>
      </c>
      <c r="C262" s="2">
        <v>5.74</v>
      </c>
      <c r="D262" s="2">
        <v>5.0919999999999996</v>
      </c>
      <c r="E262" s="2">
        <v>5.0946613240418115</v>
      </c>
      <c r="F262" s="2">
        <v>14333</v>
      </c>
      <c r="G262" s="2">
        <v>73021.780757491288</v>
      </c>
      <c r="H262" s="11">
        <f t="shared" si="3"/>
        <v>-1.0344827586206806E-2</v>
      </c>
      <c r="I262" s="10"/>
      <c r="J262" s="10"/>
      <c r="K262" s="10"/>
    </row>
    <row r="263" spans="2:11" ht="13.5" x14ac:dyDescent="0.35">
      <c r="B263" s="3">
        <v>45295</v>
      </c>
      <c r="C263" s="2">
        <v>5.7</v>
      </c>
      <c r="D263" s="2">
        <v>5.056</v>
      </c>
      <c r="E263" s="2">
        <v>5.056</v>
      </c>
      <c r="F263" s="2">
        <v>10003</v>
      </c>
      <c r="G263" s="2">
        <v>50575.167999999998</v>
      </c>
      <c r="H263" s="11">
        <f t="shared" ref="H263:H326" si="4">C263/C262-1</f>
        <v>-6.9686411149826322E-3</v>
      </c>
      <c r="I263" s="10"/>
      <c r="J263" s="10"/>
      <c r="K263" s="10"/>
    </row>
    <row r="264" spans="2:11" ht="13.5" x14ac:dyDescent="0.35">
      <c r="B264" s="3">
        <v>45296</v>
      </c>
      <c r="C264" s="2">
        <v>5.7</v>
      </c>
      <c r="D264" s="2">
        <v>5.056</v>
      </c>
      <c r="E264" s="2">
        <v>5.056</v>
      </c>
      <c r="F264" s="2">
        <v>7249</v>
      </c>
      <c r="G264" s="2">
        <v>36650.944000000003</v>
      </c>
      <c r="H264" s="11">
        <f t="shared" si="4"/>
        <v>0</v>
      </c>
      <c r="I264" s="10"/>
      <c r="J264" s="10"/>
      <c r="K264" s="10"/>
    </row>
    <row r="265" spans="2:11" ht="13.5" x14ac:dyDescent="0.35">
      <c r="B265" s="3">
        <v>45299</v>
      </c>
      <c r="C265" s="2">
        <v>5.69</v>
      </c>
      <c r="D265" s="2">
        <v>5.0469999999999997</v>
      </c>
      <c r="E265" s="2">
        <v>5.0425650263620376</v>
      </c>
      <c r="F265" s="2">
        <v>1298</v>
      </c>
      <c r="G265" s="2">
        <v>6545.2494042179251</v>
      </c>
      <c r="H265" s="11">
        <f t="shared" si="4"/>
        <v>-1.7543859649122862E-3</v>
      </c>
      <c r="I265" s="10"/>
      <c r="J265" s="10"/>
      <c r="K265" s="10"/>
    </row>
    <row r="266" spans="2:11" ht="13.5" x14ac:dyDescent="0.35">
      <c r="B266" s="3">
        <v>45300</v>
      </c>
      <c r="C266" s="2">
        <v>5.5</v>
      </c>
      <c r="D266" s="2">
        <v>4.8789999999999996</v>
      </c>
      <c r="E266" s="2">
        <v>4.879887090909091</v>
      </c>
      <c r="F266" s="2">
        <v>4706</v>
      </c>
      <c r="G266" s="2">
        <v>22964.748649818182</v>
      </c>
      <c r="H266" s="11">
        <f t="shared" si="4"/>
        <v>-3.3391915641476366E-2</v>
      </c>
      <c r="I266" s="10"/>
      <c r="J266" s="10"/>
      <c r="K266" s="10"/>
    </row>
    <row r="267" spans="2:11" ht="13.5" x14ac:dyDescent="0.35">
      <c r="B267" s="3">
        <v>45301</v>
      </c>
      <c r="C267" s="2">
        <v>5.6</v>
      </c>
      <c r="D267" s="2">
        <v>4.9669999999999996</v>
      </c>
      <c r="E267" s="2">
        <v>4.9714348214285717</v>
      </c>
      <c r="F267" s="2">
        <v>495</v>
      </c>
      <c r="G267" s="2">
        <v>2460.8602366071432</v>
      </c>
      <c r="H267" s="11">
        <f t="shared" si="4"/>
        <v>1.8181818181818077E-2</v>
      </c>
      <c r="I267" s="10"/>
      <c r="J267" s="10"/>
      <c r="K267" s="10"/>
    </row>
    <row r="268" spans="2:11" ht="13.5" x14ac:dyDescent="0.35">
      <c r="B268" s="3">
        <v>45302</v>
      </c>
      <c r="C268" s="2">
        <v>5.69</v>
      </c>
      <c r="D268" s="2">
        <v>5.0469999999999997</v>
      </c>
      <c r="E268" s="2">
        <v>4.9662834797891033</v>
      </c>
      <c r="F268" s="2">
        <v>982</v>
      </c>
      <c r="G268" s="2">
        <v>4876.8903771528994</v>
      </c>
      <c r="H268" s="11">
        <f t="shared" si="4"/>
        <v>1.6071428571428736E-2</v>
      </c>
      <c r="I268" s="10"/>
      <c r="J268" s="10"/>
      <c r="K268" s="10"/>
    </row>
    <row r="269" spans="2:11" ht="13.5" x14ac:dyDescent="0.35">
      <c r="B269" s="3">
        <v>45303</v>
      </c>
      <c r="C269" s="2">
        <v>5.56</v>
      </c>
      <c r="D269" s="2">
        <v>4.9320000000000004</v>
      </c>
      <c r="E269" s="2">
        <v>4.9869971223021592</v>
      </c>
      <c r="F269" s="2">
        <v>3898</v>
      </c>
      <c r="G269" s="2">
        <v>19439.314782733818</v>
      </c>
      <c r="H269" s="11">
        <f t="shared" si="4"/>
        <v>-2.2847100175747093E-2</v>
      </c>
      <c r="I269" s="10"/>
      <c r="J269" s="10"/>
      <c r="K269" s="10"/>
    </row>
    <row r="270" spans="2:11" ht="13.5" x14ac:dyDescent="0.35">
      <c r="B270" s="3">
        <v>45306</v>
      </c>
      <c r="C270" s="2">
        <v>5.6</v>
      </c>
      <c r="D270" s="2">
        <v>4.9669999999999996</v>
      </c>
      <c r="E270" s="2">
        <v>4.9182169642857145</v>
      </c>
      <c r="F270" s="2">
        <v>2297</v>
      </c>
      <c r="G270" s="2">
        <v>11297.144366964287</v>
      </c>
      <c r="H270" s="11">
        <f t="shared" si="4"/>
        <v>7.194244604316502E-3</v>
      </c>
      <c r="I270" s="10"/>
      <c r="J270" s="10"/>
      <c r="K270" s="10"/>
    </row>
    <row r="271" spans="2:11" ht="13.5" x14ac:dyDescent="0.35">
      <c r="B271" s="3">
        <v>45307</v>
      </c>
      <c r="C271" s="2">
        <v>5.6</v>
      </c>
      <c r="D271" s="2">
        <v>4.9669999999999996</v>
      </c>
      <c r="E271" s="2">
        <v>4.9678869642857144</v>
      </c>
      <c r="F271" s="2">
        <v>1460</v>
      </c>
      <c r="G271" s="2">
        <v>7253.1149678571428</v>
      </c>
      <c r="H271" s="11">
        <f t="shared" si="4"/>
        <v>0</v>
      </c>
      <c r="I271" s="10"/>
      <c r="J271" s="10"/>
      <c r="K271" s="10"/>
    </row>
    <row r="272" spans="2:11" ht="13.5" x14ac:dyDescent="0.35">
      <c r="B272" s="3">
        <v>45308</v>
      </c>
      <c r="C272" s="2">
        <v>5.56</v>
      </c>
      <c r="D272" s="2">
        <v>4.9320000000000004</v>
      </c>
      <c r="E272" s="2">
        <v>4.9701431654676265</v>
      </c>
      <c r="F272" s="2">
        <v>836</v>
      </c>
      <c r="G272" s="2">
        <v>4155.0396863309361</v>
      </c>
      <c r="H272" s="11">
        <f t="shared" si="4"/>
        <v>-7.1428571428571175E-3</v>
      </c>
      <c r="I272" s="10"/>
      <c r="J272" s="10"/>
      <c r="K272" s="10"/>
    </row>
    <row r="273" spans="2:11" ht="13.5" x14ac:dyDescent="0.35">
      <c r="B273" s="3">
        <v>45309</v>
      </c>
      <c r="C273" s="2">
        <v>5.6</v>
      </c>
      <c r="D273" s="2">
        <v>4.9669999999999996</v>
      </c>
      <c r="E273" s="2">
        <v>4.8809644642857144</v>
      </c>
      <c r="F273" s="2">
        <v>5415</v>
      </c>
      <c r="G273" s="2">
        <v>26430.422574107142</v>
      </c>
      <c r="H273" s="11">
        <f t="shared" si="4"/>
        <v>7.194244604316502E-3</v>
      </c>
      <c r="I273" s="10"/>
      <c r="J273" s="10"/>
      <c r="K273" s="10"/>
    </row>
    <row r="274" spans="2:11" ht="13.5" x14ac:dyDescent="0.35">
      <c r="B274" s="3">
        <v>45310</v>
      </c>
      <c r="C274" s="2">
        <v>5.6</v>
      </c>
      <c r="D274" s="2">
        <v>4.9669999999999996</v>
      </c>
      <c r="E274" s="2">
        <v>4.9687739285714292</v>
      </c>
      <c r="F274" s="2">
        <v>2570</v>
      </c>
      <c r="G274" s="2">
        <v>12769.748996428572</v>
      </c>
      <c r="H274" s="11">
        <f t="shared" si="4"/>
        <v>0</v>
      </c>
      <c r="I274" s="10"/>
      <c r="J274" s="10"/>
      <c r="K274" s="10"/>
    </row>
    <row r="275" spans="2:11" ht="13.5" x14ac:dyDescent="0.35">
      <c r="B275" s="3">
        <v>45313</v>
      </c>
      <c r="C275" s="2">
        <v>5.68</v>
      </c>
      <c r="D275" s="2">
        <v>5.0380000000000003</v>
      </c>
      <c r="E275" s="2">
        <v>5.0229214788732399</v>
      </c>
      <c r="F275" s="2">
        <v>1653</v>
      </c>
      <c r="G275" s="2">
        <v>8302.8892045774664</v>
      </c>
      <c r="H275" s="11">
        <f t="shared" si="4"/>
        <v>1.4285714285714235E-2</v>
      </c>
      <c r="I275" s="10"/>
      <c r="J275" s="10"/>
      <c r="K275" s="10"/>
    </row>
    <row r="276" spans="2:11" ht="13.5" x14ac:dyDescent="0.35">
      <c r="B276" s="3">
        <v>45314</v>
      </c>
      <c r="C276" s="2">
        <v>5.6</v>
      </c>
      <c r="D276" s="2">
        <v>4.9669999999999996</v>
      </c>
      <c r="E276" s="2">
        <v>4.9714348214285717</v>
      </c>
      <c r="F276" s="2">
        <v>3906</v>
      </c>
      <c r="G276" s="2">
        <v>19418.4244125</v>
      </c>
      <c r="H276" s="11">
        <f t="shared" si="4"/>
        <v>-1.4084507042253502E-2</v>
      </c>
      <c r="I276" s="10"/>
      <c r="J276" s="10"/>
      <c r="K276" s="10"/>
    </row>
    <row r="277" spans="2:11" ht="13.5" x14ac:dyDescent="0.35">
      <c r="B277" s="3">
        <v>45315</v>
      </c>
      <c r="C277" s="2">
        <v>5.5</v>
      </c>
      <c r="D277" s="2">
        <v>4.8789999999999996</v>
      </c>
      <c r="E277" s="2">
        <v>4.8257745454545455</v>
      </c>
      <c r="F277" s="2">
        <v>2020</v>
      </c>
      <c r="G277" s="2">
        <v>9748.064581818182</v>
      </c>
      <c r="H277" s="11">
        <f t="shared" si="4"/>
        <v>-1.7857142857142794E-2</v>
      </c>
      <c r="I277" s="10"/>
      <c r="J277" s="10"/>
      <c r="K277" s="10"/>
    </row>
    <row r="278" spans="2:11" ht="13.5" x14ac:dyDescent="0.35">
      <c r="B278" s="3">
        <v>45316</v>
      </c>
      <c r="C278" s="2">
        <v>5.6</v>
      </c>
      <c r="D278" s="2">
        <v>4.9669999999999996</v>
      </c>
      <c r="E278" s="2">
        <v>4.7559025000000004</v>
      </c>
      <c r="F278" s="2">
        <v>3002</v>
      </c>
      <c r="G278" s="2">
        <v>14277.219305000001</v>
      </c>
      <c r="H278" s="11">
        <f t="shared" si="4"/>
        <v>1.8181818181818077E-2</v>
      </c>
      <c r="I278" s="10"/>
      <c r="J278" s="10"/>
      <c r="K278" s="10"/>
    </row>
    <row r="279" spans="2:11" ht="13.5" x14ac:dyDescent="0.35">
      <c r="B279" s="3">
        <v>45317</v>
      </c>
      <c r="C279" s="2">
        <v>5.38</v>
      </c>
      <c r="D279" s="2">
        <v>4.7720000000000002</v>
      </c>
      <c r="E279" s="2">
        <v>4.9316579925650554</v>
      </c>
      <c r="F279" s="2">
        <v>640</v>
      </c>
      <c r="G279" s="2">
        <v>3156.2611152416357</v>
      </c>
      <c r="H279" s="11">
        <f t="shared" si="4"/>
        <v>-3.9285714285714257E-2</v>
      </c>
      <c r="I279" s="10"/>
      <c r="J279" s="10"/>
      <c r="K279" s="10"/>
    </row>
    <row r="280" spans="2:11" ht="13.5" x14ac:dyDescent="0.35">
      <c r="B280" s="3">
        <v>45320</v>
      </c>
      <c r="C280" s="2">
        <v>5.55</v>
      </c>
      <c r="D280" s="2">
        <v>4.923</v>
      </c>
      <c r="E280" s="2">
        <v>4.7633351351351356</v>
      </c>
      <c r="F280" s="2">
        <v>4567</v>
      </c>
      <c r="G280" s="2">
        <v>21754.151562162166</v>
      </c>
      <c r="H280" s="11">
        <f t="shared" si="4"/>
        <v>3.1598513011152463E-2</v>
      </c>
      <c r="I280" s="10"/>
      <c r="J280" s="10"/>
      <c r="K280" s="10"/>
    </row>
    <row r="281" spans="2:11" ht="13.5" x14ac:dyDescent="0.35">
      <c r="B281" s="3">
        <v>45321</v>
      </c>
      <c r="C281" s="2">
        <v>5.6</v>
      </c>
      <c r="D281" s="2">
        <v>4.9669999999999996</v>
      </c>
      <c r="E281" s="2">
        <v>4.9669999999999996</v>
      </c>
      <c r="F281" s="2">
        <v>9</v>
      </c>
      <c r="G281" s="2">
        <v>44.702999999999996</v>
      </c>
      <c r="H281" s="11">
        <f t="shared" si="4"/>
        <v>9.009009009008917E-3</v>
      </c>
      <c r="I281" s="10"/>
      <c r="J281" s="10"/>
      <c r="K281" s="10"/>
    </row>
    <row r="282" spans="2:11" ht="13.5" x14ac:dyDescent="0.35">
      <c r="B282" s="3">
        <v>45322</v>
      </c>
      <c r="C282" s="2">
        <v>5.45</v>
      </c>
      <c r="D282" s="2">
        <v>4.8339999999999996</v>
      </c>
      <c r="E282" s="2">
        <v>4.77102495412844</v>
      </c>
      <c r="F282" s="2">
        <v>6914</v>
      </c>
      <c r="G282" s="2">
        <v>32986.866532844033</v>
      </c>
      <c r="H282" s="11">
        <f t="shared" si="4"/>
        <v>-2.6785714285714191E-2</v>
      </c>
      <c r="I282" s="10"/>
      <c r="J282" s="10"/>
      <c r="K282" s="10"/>
    </row>
    <row r="283" spans="2:11" ht="13.5" x14ac:dyDescent="0.35">
      <c r="B283" s="3">
        <v>45323</v>
      </c>
      <c r="C283" s="2">
        <v>5.5</v>
      </c>
      <c r="D283" s="2">
        <v>4.8789999999999996</v>
      </c>
      <c r="E283" s="2">
        <v>4.8789999999999996</v>
      </c>
      <c r="F283" s="2">
        <v>1</v>
      </c>
      <c r="G283" s="2">
        <v>4.8789999999999996</v>
      </c>
      <c r="H283" s="11">
        <f t="shared" si="4"/>
        <v>9.1743119266054496E-3</v>
      </c>
      <c r="I283" s="10"/>
      <c r="J283" s="10"/>
      <c r="K283" s="10"/>
    </row>
    <row r="284" spans="2:11" ht="13.5" x14ac:dyDescent="0.35">
      <c r="B284" s="3">
        <v>45324</v>
      </c>
      <c r="C284" s="2">
        <v>5.49</v>
      </c>
      <c r="D284" s="2">
        <v>4.87</v>
      </c>
      <c r="E284" s="2">
        <v>4.5861384335154831</v>
      </c>
      <c r="F284" s="2">
        <v>13782</v>
      </c>
      <c r="G284" s="2">
        <v>63206.159890710391</v>
      </c>
      <c r="H284" s="11">
        <f t="shared" si="4"/>
        <v>-1.8181818181818299E-3</v>
      </c>
      <c r="I284" s="10"/>
      <c r="J284" s="10"/>
      <c r="K284" s="10"/>
    </row>
    <row r="285" spans="2:11" ht="13.5" x14ac:dyDescent="0.35">
      <c r="B285" s="3">
        <v>45327</v>
      </c>
      <c r="C285" s="2">
        <v>5.29</v>
      </c>
      <c r="D285" s="2">
        <v>4.6920000000000002</v>
      </c>
      <c r="E285" s="2">
        <v>4.6866782608695647</v>
      </c>
      <c r="F285" s="2">
        <v>2657</v>
      </c>
      <c r="G285" s="2">
        <v>12452.504139130433</v>
      </c>
      <c r="H285" s="11">
        <f t="shared" si="4"/>
        <v>-3.6429872495446269E-2</v>
      </c>
      <c r="I285" s="10"/>
      <c r="J285" s="10"/>
      <c r="K285" s="10"/>
    </row>
    <row r="286" spans="2:11" ht="13.5" x14ac:dyDescent="0.35">
      <c r="B286" s="3">
        <v>45328</v>
      </c>
      <c r="C286" s="2">
        <v>5.38</v>
      </c>
      <c r="D286" s="2">
        <v>4.7720000000000002</v>
      </c>
      <c r="E286" s="2">
        <v>4.6815271375464684</v>
      </c>
      <c r="F286" s="2">
        <v>2437</v>
      </c>
      <c r="G286" s="2">
        <v>11408.881634200743</v>
      </c>
      <c r="H286" s="11">
        <f t="shared" si="4"/>
        <v>1.7013232514177634E-2</v>
      </c>
      <c r="I286" s="10"/>
      <c r="J286" s="10"/>
      <c r="K286" s="10"/>
    </row>
    <row r="287" spans="2:11" ht="13.5" x14ac:dyDescent="0.35">
      <c r="B287" s="3">
        <v>45329</v>
      </c>
      <c r="C287" s="2">
        <v>5.3</v>
      </c>
      <c r="D287" s="2">
        <v>4.7009999999999996</v>
      </c>
      <c r="E287" s="2">
        <v>4.7116437735849059</v>
      </c>
      <c r="F287" s="2">
        <v>1888</v>
      </c>
      <c r="G287" s="2">
        <v>8895.5834445283017</v>
      </c>
      <c r="H287" s="11">
        <f t="shared" si="4"/>
        <v>-1.4869888475836479E-2</v>
      </c>
      <c r="I287" s="10"/>
      <c r="J287" s="10"/>
      <c r="K287" s="10"/>
    </row>
    <row r="288" spans="2:11" ht="13.5" x14ac:dyDescent="0.35">
      <c r="B288" s="3">
        <v>45330</v>
      </c>
      <c r="C288" s="2">
        <v>5.39</v>
      </c>
      <c r="D288" s="2">
        <v>4.7809999999999997</v>
      </c>
      <c r="E288" s="2">
        <v>4.7011688311688307</v>
      </c>
      <c r="F288" s="2">
        <v>3592</v>
      </c>
      <c r="G288" s="2">
        <v>16886.598441558439</v>
      </c>
      <c r="H288" s="11">
        <f t="shared" si="4"/>
        <v>1.6981132075471583E-2</v>
      </c>
      <c r="I288" s="10"/>
      <c r="J288" s="10"/>
      <c r="K288" s="10"/>
    </row>
    <row r="289" spans="2:11" ht="13.5" x14ac:dyDescent="0.35">
      <c r="B289" s="3">
        <v>45331</v>
      </c>
      <c r="C289" s="2">
        <v>5.39</v>
      </c>
      <c r="D289" s="2">
        <v>4.7809999999999997</v>
      </c>
      <c r="E289" s="2">
        <v>4.7809999999999997</v>
      </c>
      <c r="F289" s="2">
        <v>10</v>
      </c>
      <c r="G289" s="2">
        <v>47.809999999999995</v>
      </c>
      <c r="H289" s="11">
        <f t="shared" si="4"/>
        <v>0</v>
      </c>
      <c r="I289" s="10"/>
      <c r="J289" s="10"/>
      <c r="K289" s="10"/>
    </row>
    <row r="290" spans="2:11" ht="13.5" x14ac:dyDescent="0.35">
      <c r="B290" s="3">
        <v>45334</v>
      </c>
      <c r="C290" s="2">
        <v>5.3</v>
      </c>
      <c r="D290" s="2">
        <v>4.7009999999999996</v>
      </c>
      <c r="E290" s="2">
        <v>4.6318154716981139</v>
      </c>
      <c r="F290" s="2">
        <v>1808</v>
      </c>
      <c r="G290" s="2">
        <v>8374.3223728301891</v>
      </c>
      <c r="H290" s="11">
        <f t="shared" si="4"/>
        <v>-1.6697588126159513E-2</v>
      </c>
      <c r="I290" s="10"/>
      <c r="J290" s="10"/>
      <c r="K290" s="10"/>
    </row>
    <row r="291" spans="2:11" ht="13.5" x14ac:dyDescent="0.35">
      <c r="B291" s="3">
        <v>45335</v>
      </c>
      <c r="C291" s="2">
        <v>5.3</v>
      </c>
      <c r="D291" s="2">
        <v>4.7009999999999996</v>
      </c>
      <c r="E291" s="2">
        <v>4.6850343396226419</v>
      </c>
      <c r="F291" s="2">
        <v>466</v>
      </c>
      <c r="G291" s="2">
        <v>2183.2260022641512</v>
      </c>
      <c r="H291" s="11">
        <f t="shared" si="4"/>
        <v>0</v>
      </c>
      <c r="I291" s="10"/>
      <c r="J291" s="10"/>
      <c r="K291" s="10"/>
    </row>
    <row r="292" spans="2:11" ht="13.5" x14ac:dyDescent="0.35">
      <c r="B292" s="3">
        <v>45336</v>
      </c>
      <c r="C292" s="2">
        <v>5.29</v>
      </c>
      <c r="D292" s="2">
        <v>4.6920000000000002</v>
      </c>
      <c r="E292" s="2">
        <v>4.6999826086956524</v>
      </c>
      <c r="F292" s="2">
        <v>200</v>
      </c>
      <c r="G292" s="2">
        <v>939.99652173913046</v>
      </c>
      <c r="H292" s="11">
        <f t="shared" si="4"/>
        <v>-1.8867924528301883E-3</v>
      </c>
      <c r="I292" s="10"/>
      <c r="J292" s="10"/>
      <c r="K292" s="10"/>
    </row>
    <row r="293" spans="2:11" ht="13.5" x14ac:dyDescent="0.35">
      <c r="B293" s="3">
        <v>45337</v>
      </c>
      <c r="C293" s="2">
        <v>5.29</v>
      </c>
      <c r="D293" s="2">
        <v>4.6920000000000002</v>
      </c>
      <c r="E293" s="2">
        <v>4.6547478260869566</v>
      </c>
      <c r="F293" s="2">
        <v>920</v>
      </c>
      <c r="G293" s="2">
        <v>4282.3680000000004</v>
      </c>
      <c r="H293" s="11">
        <f t="shared" si="4"/>
        <v>0</v>
      </c>
      <c r="I293" s="10"/>
      <c r="J293" s="10"/>
      <c r="K293" s="10"/>
    </row>
    <row r="294" spans="2:11" ht="13.5" x14ac:dyDescent="0.35">
      <c r="B294" s="3">
        <v>45338</v>
      </c>
      <c r="C294" s="2">
        <v>5.3</v>
      </c>
      <c r="D294" s="2">
        <v>4.7009999999999996</v>
      </c>
      <c r="E294" s="2">
        <v>4.6894692452830187</v>
      </c>
      <c r="F294" s="2">
        <v>5614</v>
      </c>
      <c r="G294" s="2">
        <v>26326.680343018867</v>
      </c>
      <c r="H294" s="11">
        <f t="shared" si="4"/>
        <v>1.890359168241984E-3</v>
      </c>
      <c r="I294" s="10"/>
      <c r="J294" s="10"/>
      <c r="K294" s="10"/>
    </row>
    <row r="295" spans="2:11" ht="13.5" x14ac:dyDescent="0.35">
      <c r="B295" s="3">
        <v>45341</v>
      </c>
      <c r="C295" s="2">
        <v>5.58</v>
      </c>
      <c r="D295" s="2">
        <v>4.95</v>
      </c>
      <c r="E295" s="2">
        <v>4.7521774193548385</v>
      </c>
      <c r="F295" s="2">
        <v>4712</v>
      </c>
      <c r="G295" s="2">
        <v>22392.26</v>
      </c>
      <c r="H295" s="11">
        <f t="shared" si="4"/>
        <v>5.2830188679245271E-2</v>
      </c>
      <c r="I295" s="10"/>
      <c r="J295" s="10"/>
      <c r="K295" s="10"/>
    </row>
    <row r="296" spans="2:11" ht="13.5" x14ac:dyDescent="0.35">
      <c r="B296" s="3">
        <v>45342</v>
      </c>
      <c r="C296" s="2">
        <v>5.58</v>
      </c>
      <c r="D296" s="2">
        <v>4.95</v>
      </c>
      <c r="E296" s="2">
        <v>4.95</v>
      </c>
      <c r="F296" s="2">
        <v>100</v>
      </c>
      <c r="G296" s="2">
        <v>495</v>
      </c>
      <c r="H296" s="11">
        <f t="shared" si="4"/>
        <v>0</v>
      </c>
      <c r="I296" s="10"/>
      <c r="J296" s="10"/>
      <c r="K296" s="10"/>
    </row>
    <row r="297" spans="2:11" ht="13.5" x14ac:dyDescent="0.35">
      <c r="B297" s="3">
        <v>45343</v>
      </c>
      <c r="C297" s="2">
        <v>5.55</v>
      </c>
      <c r="D297" s="2">
        <v>4.923</v>
      </c>
      <c r="E297" s="2">
        <v>4.923</v>
      </c>
      <c r="F297" s="2">
        <v>3461</v>
      </c>
      <c r="G297" s="2">
        <v>17038.503000000001</v>
      </c>
      <c r="H297" s="11">
        <f t="shared" si="4"/>
        <v>-5.3763440860215006E-3</v>
      </c>
      <c r="I297" s="10"/>
      <c r="J297" s="10"/>
      <c r="K297" s="10"/>
    </row>
    <row r="298" spans="2:11" ht="13.5" x14ac:dyDescent="0.35">
      <c r="B298" s="3">
        <v>45344</v>
      </c>
      <c r="C298" s="2">
        <v>5.58</v>
      </c>
      <c r="D298" s="2">
        <v>4.95</v>
      </c>
      <c r="E298" s="2">
        <v>4.9091935483870968</v>
      </c>
      <c r="F298" s="2">
        <v>5730</v>
      </c>
      <c r="G298" s="2">
        <v>28129.679032258064</v>
      </c>
      <c r="H298" s="11">
        <f t="shared" si="4"/>
        <v>5.4054054054053502E-3</v>
      </c>
      <c r="I298" s="10"/>
      <c r="J298" s="10"/>
      <c r="K298" s="10"/>
    </row>
    <row r="299" spans="2:11" ht="13.5" x14ac:dyDescent="0.35">
      <c r="B299" s="3">
        <v>45345</v>
      </c>
      <c r="C299" s="2">
        <v>5.58</v>
      </c>
      <c r="D299" s="2">
        <v>4.95</v>
      </c>
      <c r="E299" s="2">
        <v>4.9553225806451611</v>
      </c>
      <c r="F299" s="2">
        <v>570</v>
      </c>
      <c r="G299" s="2">
        <v>2824.5338709677417</v>
      </c>
      <c r="H299" s="11">
        <f t="shared" si="4"/>
        <v>0</v>
      </c>
      <c r="I299" s="10"/>
      <c r="J299" s="10"/>
      <c r="K299" s="10"/>
    </row>
    <row r="300" spans="2:11" ht="13.5" x14ac:dyDescent="0.35">
      <c r="B300" s="3">
        <v>45348</v>
      </c>
      <c r="C300" s="2">
        <v>5.57</v>
      </c>
      <c r="D300" s="2">
        <v>4.9409999999999998</v>
      </c>
      <c r="E300" s="2">
        <v>4.9498707360861758</v>
      </c>
      <c r="F300" s="2">
        <v>9230</v>
      </c>
      <c r="G300" s="2">
        <v>45687.306894075402</v>
      </c>
      <c r="H300" s="11">
        <f t="shared" si="4"/>
        <v>-1.7921146953404632E-3</v>
      </c>
      <c r="I300" s="10"/>
      <c r="J300" s="10"/>
      <c r="K300" s="10"/>
    </row>
    <row r="301" spans="2:11" ht="13.5" x14ac:dyDescent="0.35">
      <c r="B301" s="3">
        <v>45349</v>
      </c>
      <c r="C301" s="2">
        <v>5.68</v>
      </c>
      <c r="D301" s="2">
        <v>5.0380000000000003</v>
      </c>
      <c r="E301" s="2">
        <v>4.954624647887325</v>
      </c>
      <c r="F301" s="2">
        <v>2700</v>
      </c>
      <c r="G301" s="2">
        <v>13377.486549295778</v>
      </c>
      <c r="H301" s="11">
        <f t="shared" si="4"/>
        <v>1.9748653500897495E-2</v>
      </c>
      <c r="I301" s="10"/>
      <c r="J301" s="10"/>
      <c r="K301" s="10"/>
    </row>
    <row r="302" spans="2:11" ht="13.5" x14ac:dyDescent="0.35">
      <c r="B302" s="3">
        <v>45350</v>
      </c>
      <c r="C302" s="2">
        <v>5.68</v>
      </c>
      <c r="D302" s="2">
        <v>5.0380000000000003</v>
      </c>
      <c r="E302" s="2">
        <v>5.0362260563380286</v>
      </c>
      <c r="F302" s="2">
        <v>1200</v>
      </c>
      <c r="G302" s="2">
        <v>6043.4712676056342</v>
      </c>
      <c r="H302" s="11">
        <f t="shared" si="4"/>
        <v>0</v>
      </c>
      <c r="I302" s="10"/>
      <c r="J302" s="10"/>
      <c r="K302" s="10"/>
    </row>
    <row r="303" spans="2:11" ht="13.5" x14ac:dyDescent="0.35">
      <c r="B303" s="3">
        <v>45351</v>
      </c>
      <c r="C303" s="2">
        <v>5.75</v>
      </c>
      <c r="D303" s="2">
        <v>5.0999999999999996</v>
      </c>
      <c r="E303" s="2">
        <v>5.0529913043478265</v>
      </c>
      <c r="F303" s="2">
        <v>4447</v>
      </c>
      <c r="G303" s="2">
        <v>22470.652330434783</v>
      </c>
      <c r="H303" s="11">
        <f t="shared" si="4"/>
        <v>1.2323943661971981E-2</v>
      </c>
      <c r="I303" s="10"/>
      <c r="J303" s="10"/>
      <c r="K303" s="10"/>
    </row>
    <row r="304" spans="2:11" ht="13.5" x14ac:dyDescent="0.35">
      <c r="B304" s="3">
        <v>45352</v>
      </c>
      <c r="C304" s="2">
        <v>5.65</v>
      </c>
      <c r="D304" s="2">
        <v>5.0119999999999996</v>
      </c>
      <c r="E304" s="2">
        <v>5.0119999999999996</v>
      </c>
      <c r="F304" s="2">
        <v>1508</v>
      </c>
      <c r="G304" s="2">
        <v>7558.0959999999995</v>
      </c>
      <c r="H304" s="11">
        <f t="shared" si="4"/>
        <v>-1.7391304347825987E-2</v>
      </c>
      <c r="I304" s="10"/>
      <c r="J304" s="10"/>
      <c r="K304" s="10"/>
    </row>
    <row r="305" spans="2:11" ht="13.5" x14ac:dyDescent="0.35">
      <c r="B305" s="3">
        <v>45355</v>
      </c>
      <c r="C305" s="2">
        <v>5.83</v>
      </c>
      <c r="D305" s="2">
        <v>5.1710000000000003</v>
      </c>
      <c r="E305" s="2">
        <v>5.1080255574614064</v>
      </c>
      <c r="F305" s="2">
        <v>43401</v>
      </c>
      <c r="G305" s="2">
        <v>221693.41721938251</v>
      </c>
      <c r="H305" s="11">
        <f t="shared" si="4"/>
        <v>3.1858407079645934E-2</v>
      </c>
      <c r="I305" s="10"/>
      <c r="J305" s="10"/>
      <c r="K305" s="10"/>
    </row>
    <row r="306" spans="2:11" ht="13.5" x14ac:dyDescent="0.35">
      <c r="B306" s="3">
        <v>45356</v>
      </c>
      <c r="C306" s="2">
        <v>6</v>
      </c>
      <c r="D306" s="2">
        <v>5.3220000000000001</v>
      </c>
      <c r="E306" s="2">
        <v>5.2501530000000001</v>
      </c>
      <c r="F306" s="2">
        <v>75755</v>
      </c>
      <c r="G306" s="2">
        <v>397725.34051499999</v>
      </c>
      <c r="H306" s="11">
        <f t="shared" si="4"/>
        <v>2.9159519725557415E-2</v>
      </c>
      <c r="I306" s="10"/>
      <c r="J306" s="10"/>
      <c r="K306" s="10"/>
    </row>
    <row r="307" spans="2:11" ht="13.5" x14ac:dyDescent="0.35">
      <c r="B307" s="3">
        <v>45357</v>
      </c>
      <c r="C307" s="2">
        <v>6.05</v>
      </c>
      <c r="D307" s="2">
        <v>5.3659999999999997</v>
      </c>
      <c r="E307" s="2">
        <v>5.3633391735537179</v>
      </c>
      <c r="F307" s="2">
        <v>12217</v>
      </c>
      <c r="G307" s="2">
        <v>65523.914683305775</v>
      </c>
      <c r="H307" s="11">
        <f t="shared" si="4"/>
        <v>8.3333333333333037E-3</v>
      </c>
      <c r="I307" s="10"/>
      <c r="J307" s="10"/>
      <c r="K307" s="10"/>
    </row>
    <row r="308" spans="2:11" ht="13.5" x14ac:dyDescent="0.35">
      <c r="B308" s="3">
        <v>45358</v>
      </c>
      <c r="C308" s="2">
        <v>6</v>
      </c>
      <c r="D308" s="2">
        <v>5.3220000000000001</v>
      </c>
      <c r="E308" s="2">
        <v>5.359254</v>
      </c>
      <c r="F308" s="2">
        <v>19691</v>
      </c>
      <c r="G308" s="2">
        <v>105529.07051400001</v>
      </c>
      <c r="H308" s="11">
        <f t="shared" si="4"/>
        <v>-8.2644628099173278E-3</v>
      </c>
      <c r="I308" s="10"/>
      <c r="J308" s="10"/>
      <c r="K308" s="10"/>
    </row>
    <row r="309" spans="2:11" ht="13.5" x14ac:dyDescent="0.35">
      <c r="B309" s="3">
        <v>45359</v>
      </c>
      <c r="C309" s="2">
        <v>5.99</v>
      </c>
      <c r="D309" s="2">
        <v>5.3129999999999997</v>
      </c>
      <c r="E309" s="2">
        <v>5.3129999999999997</v>
      </c>
      <c r="F309" s="2">
        <v>100</v>
      </c>
      <c r="G309" s="2">
        <v>531.29999999999995</v>
      </c>
      <c r="H309" s="11">
        <f t="shared" si="4"/>
        <v>-1.6666666666665941E-3</v>
      </c>
      <c r="I309" s="10"/>
      <c r="J309" s="10"/>
      <c r="K309" s="10"/>
    </row>
    <row r="310" spans="2:11" ht="13.5" x14ac:dyDescent="0.35">
      <c r="B310" s="3">
        <v>45362</v>
      </c>
      <c r="C310" s="2">
        <v>5.97</v>
      </c>
      <c r="D310" s="2">
        <v>5.2960000000000003</v>
      </c>
      <c r="E310" s="2">
        <v>5.3119678391959813</v>
      </c>
      <c r="F310" s="2">
        <v>1210</v>
      </c>
      <c r="G310" s="2">
        <v>6427.4810854271373</v>
      </c>
      <c r="H310" s="11">
        <f t="shared" si="4"/>
        <v>-3.3388981636061077E-3</v>
      </c>
      <c r="I310" s="10"/>
      <c r="J310" s="10"/>
      <c r="K310" s="10"/>
    </row>
    <row r="311" spans="2:11" ht="13.5" x14ac:dyDescent="0.35">
      <c r="B311" s="3">
        <v>45363</v>
      </c>
      <c r="C311" s="2">
        <v>6.04</v>
      </c>
      <c r="D311" s="2">
        <v>5.3579999999999997</v>
      </c>
      <c r="E311" s="2">
        <v>5.3074360927152311</v>
      </c>
      <c r="F311" s="2">
        <v>2481</v>
      </c>
      <c r="G311" s="2">
        <v>13167.748946026488</v>
      </c>
      <c r="H311" s="11">
        <f t="shared" si="4"/>
        <v>1.1725293132328396E-2</v>
      </c>
      <c r="I311" s="10"/>
      <c r="J311" s="10"/>
      <c r="K311" s="10"/>
    </row>
    <row r="312" spans="2:11" ht="13.5" x14ac:dyDescent="0.35">
      <c r="B312" s="3">
        <v>45364</v>
      </c>
      <c r="C312" s="2">
        <v>6.04</v>
      </c>
      <c r="D312" s="2">
        <v>5.3579999999999997</v>
      </c>
      <c r="E312" s="2">
        <v>0</v>
      </c>
      <c r="F312" s="2">
        <v>0</v>
      </c>
      <c r="G312" s="2">
        <v>0</v>
      </c>
      <c r="H312" s="11">
        <f t="shared" si="4"/>
        <v>0</v>
      </c>
      <c r="I312" s="10"/>
      <c r="J312" s="10"/>
      <c r="K312" s="10"/>
    </row>
    <row r="313" spans="2:11" ht="13.5" x14ac:dyDescent="0.35">
      <c r="B313" s="3">
        <v>45365</v>
      </c>
      <c r="C313" s="2">
        <v>6.04</v>
      </c>
      <c r="D313" s="2">
        <v>5.3579999999999997</v>
      </c>
      <c r="E313" s="2">
        <v>5.3579999999999997</v>
      </c>
      <c r="F313" s="2">
        <v>100</v>
      </c>
      <c r="G313" s="2">
        <v>535.79999999999995</v>
      </c>
      <c r="H313" s="11">
        <f t="shared" si="4"/>
        <v>0</v>
      </c>
      <c r="I313" s="10"/>
      <c r="J313" s="10"/>
      <c r="K313" s="10"/>
    </row>
    <row r="314" spans="2:11" ht="13.5" x14ac:dyDescent="0.35">
      <c r="B314" s="3">
        <v>45366</v>
      </c>
      <c r="C314" s="2">
        <v>6.04</v>
      </c>
      <c r="D314" s="2">
        <v>5.3579999999999997</v>
      </c>
      <c r="E314" s="2">
        <v>0</v>
      </c>
      <c r="F314" s="2">
        <v>0</v>
      </c>
      <c r="G314" s="2">
        <v>0</v>
      </c>
      <c r="H314" s="11">
        <f t="shared" si="4"/>
        <v>0</v>
      </c>
      <c r="I314" s="10"/>
      <c r="J314" s="10"/>
      <c r="K314" s="10"/>
    </row>
    <row r="315" spans="2:11" ht="13.5" x14ac:dyDescent="0.35">
      <c r="B315" s="3">
        <v>45369</v>
      </c>
      <c r="C315" s="2">
        <v>6.04</v>
      </c>
      <c r="D315" s="2">
        <v>5.3579999999999997</v>
      </c>
      <c r="E315" s="2">
        <v>0</v>
      </c>
      <c r="F315" s="2">
        <v>0</v>
      </c>
      <c r="G315" s="2">
        <v>0</v>
      </c>
      <c r="H315" s="11">
        <f t="shared" si="4"/>
        <v>0</v>
      </c>
      <c r="I315" s="10"/>
      <c r="J315" s="10"/>
      <c r="K315" s="10"/>
    </row>
    <row r="316" spans="2:11" ht="13.5" x14ac:dyDescent="0.35">
      <c r="B316" s="3">
        <v>45370</v>
      </c>
      <c r="C316" s="2">
        <v>6.04</v>
      </c>
      <c r="D316" s="2">
        <v>5.3579999999999997</v>
      </c>
      <c r="E316" s="2">
        <v>0</v>
      </c>
      <c r="F316" s="2">
        <v>0</v>
      </c>
      <c r="G316" s="2">
        <v>0</v>
      </c>
      <c r="H316" s="11">
        <f t="shared" si="4"/>
        <v>0</v>
      </c>
      <c r="I316" s="10"/>
      <c r="J316" s="10"/>
      <c r="K316" s="10"/>
    </row>
    <row r="317" spans="2:11" ht="13.5" x14ac:dyDescent="0.35">
      <c r="B317" s="3">
        <v>45372</v>
      </c>
      <c r="C317" s="2">
        <v>5.99</v>
      </c>
      <c r="D317" s="2">
        <v>5.3129999999999997</v>
      </c>
      <c r="E317" s="2">
        <v>5.3129999999999997</v>
      </c>
      <c r="F317" s="2">
        <v>100</v>
      </c>
      <c r="G317" s="2">
        <v>531.29999999999995</v>
      </c>
      <c r="H317" s="11">
        <f t="shared" si="4"/>
        <v>-8.2781456953642252E-3</v>
      </c>
      <c r="I317" s="10"/>
      <c r="J317" s="10"/>
      <c r="K317" s="10"/>
    </row>
    <row r="318" spans="2:11" ht="13.5" x14ac:dyDescent="0.35">
      <c r="B318" s="3">
        <v>45373</v>
      </c>
      <c r="C318" s="2">
        <v>6.02</v>
      </c>
      <c r="D318" s="2">
        <v>5.34</v>
      </c>
      <c r="E318" s="2">
        <v>5.2104916943521591</v>
      </c>
      <c r="F318" s="2">
        <v>3200</v>
      </c>
      <c r="G318" s="2">
        <v>16673.573421926911</v>
      </c>
      <c r="H318" s="11">
        <f t="shared" si="4"/>
        <v>5.008347245408995E-3</v>
      </c>
      <c r="I318" s="10"/>
      <c r="J318" s="10"/>
      <c r="K318" s="10"/>
    </row>
    <row r="319" spans="2:11" ht="13.5" x14ac:dyDescent="0.35">
      <c r="B319" s="3">
        <v>45376</v>
      </c>
      <c r="C319" s="2">
        <v>6.02</v>
      </c>
      <c r="D319" s="2">
        <v>5.34</v>
      </c>
      <c r="E319" s="2">
        <v>0</v>
      </c>
      <c r="F319" s="2">
        <v>0</v>
      </c>
      <c r="G319" s="2">
        <v>0</v>
      </c>
      <c r="H319" s="11">
        <f t="shared" si="4"/>
        <v>0</v>
      </c>
      <c r="I319" s="10"/>
      <c r="J319" s="10"/>
      <c r="K319" s="10"/>
    </row>
    <row r="320" spans="2:11" ht="13.5" x14ac:dyDescent="0.35">
      <c r="B320" s="3">
        <v>45377</v>
      </c>
      <c r="C320" s="2">
        <v>6.02</v>
      </c>
      <c r="D320" s="2">
        <v>5.34</v>
      </c>
      <c r="E320" s="2">
        <v>5.3302425249169438</v>
      </c>
      <c r="F320" s="2">
        <v>1210</v>
      </c>
      <c r="G320" s="2">
        <v>6449.593455149502</v>
      </c>
      <c r="H320" s="11">
        <f t="shared" si="4"/>
        <v>0</v>
      </c>
      <c r="I320" s="10"/>
      <c r="J320" s="10"/>
      <c r="K320" s="10"/>
    </row>
    <row r="321" spans="2:11" ht="13.5" x14ac:dyDescent="0.35">
      <c r="B321" s="3">
        <v>45378</v>
      </c>
      <c r="C321" s="2">
        <v>6.02</v>
      </c>
      <c r="D321" s="2">
        <v>5.34</v>
      </c>
      <c r="E321" s="2">
        <v>0</v>
      </c>
      <c r="F321" s="2">
        <v>0</v>
      </c>
      <c r="G321" s="2">
        <v>0</v>
      </c>
      <c r="H321" s="11">
        <f t="shared" si="4"/>
        <v>0</v>
      </c>
      <c r="I321" s="10"/>
      <c r="J321" s="10"/>
      <c r="K321" s="10"/>
    </row>
    <row r="322" spans="2:11" ht="13.5" x14ac:dyDescent="0.35">
      <c r="B322" s="3">
        <v>45379</v>
      </c>
      <c r="C322" s="2">
        <v>6.01</v>
      </c>
      <c r="D322" s="2">
        <v>5.3310000000000004</v>
      </c>
      <c r="E322" s="2">
        <v>5.3310000000000004</v>
      </c>
      <c r="F322" s="2">
        <v>50</v>
      </c>
      <c r="G322" s="2">
        <v>266.55</v>
      </c>
      <c r="H322" s="11">
        <f t="shared" si="4"/>
        <v>-1.6611295681062677E-3</v>
      </c>
      <c r="I322" s="10"/>
      <c r="J322" s="10"/>
      <c r="K322" s="10"/>
    </row>
    <row r="323" spans="2:11" ht="13.5" x14ac:dyDescent="0.35">
      <c r="B323" s="3">
        <v>45380</v>
      </c>
      <c r="C323" s="2">
        <v>6</v>
      </c>
      <c r="D323" s="2">
        <v>5.3220000000000001</v>
      </c>
      <c r="E323" s="2">
        <v>5.2998249999999993</v>
      </c>
      <c r="F323" s="2">
        <v>1000</v>
      </c>
      <c r="G323" s="2">
        <v>5299.8249999999989</v>
      </c>
      <c r="H323" s="11">
        <f t="shared" si="4"/>
        <v>-1.6638935108153063E-3</v>
      </c>
      <c r="I323" s="10"/>
      <c r="J323" s="10"/>
      <c r="K323" s="10"/>
    </row>
    <row r="324" spans="2:11" ht="13.5" x14ac:dyDescent="0.35">
      <c r="B324" s="3">
        <v>45383</v>
      </c>
      <c r="C324" s="2">
        <v>6.01</v>
      </c>
      <c r="D324" s="2">
        <v>5.3310000000000004</v>
      </c>
      <c r="E324" s="2">
        <v>5.3301129783693852</v>
      </c>
      <c r="F324" s="2">
        <v>1585</v>
      </c>
      <c r="G324" s="2">
        <v>8448.2290707154752</v>
      </c>
      <c r="H324" s="11">
        <f t="shared" si="4"/>
        <v>1.6666666666667052E-3</v>
      </c>
      <c r="I324" s="10"/>
      <c r="J324" s="10"/>
      <c r="K324" s="10"/>
    </row>
    <row r="325" spans="2:11" ht="13.5" x14ac:dyDescent="0.35">
      <c r="B325" s="3">
        <v>45384</v>
      </c>
      <c r="C325" s="2">
        <v>6.01</v>
      </c>
      <c r="D325" s="2">
        <v>5.3310000000000004</v>
      </c>
      <c r="E325" s="2">
        <v>5.3265648918469219</v>
      </c>
      <c r="F325" s="2">
        <v>4000</v>
      </c>
      <c r="G325" s="2">
        <v>21306.259567387689</v>
      </c>
      <c r="H325" s="11">
        <f t="shared" si="4"/>
        <v>0</v>
      </c>
      <c r="I325" s="10"/>
      <c r="J325" s="10"/>
      <c r="K325" s="10"/>
    </row>
    <row r="326" spans="2:11" ht="13.5" x14ac:dyDescent="0.35">
      <c r="B326" s="3">
        <v>45385</v>
      </c>
      <c r="C326" s="2">
        <v>6.04</v>
      </c>
      <c r="D326" s="2">
        <v>5.3579999999999997</v>
      </c>
      <c r="E326" s="2">
        <v>5.3429195364238407</v>
      </c>
      <c r="F326" s="2">
        <v>3215</v>
      </c>
      <c r="G326" s="2">
        <v>17177.486309602649</v>
      </c>
      <c r="H326" s="11">
        <f t="shared" si="4"/>
        <v>4.991680532445919E-3</v>
      </c>
      <c r="I326" s="10"/>
      <c r="J326" s="10"/>
      <c r="K326" s="10"/>
    </row>
    <row r="327" spans="2:11" ht="13.5" x14ac:dyDescent="0.35">
      <c r="B327" s="3">
        <v>45386</v>
      </c>
      <c r="C327" s="2">
        <v>6.04</v>
      </c>
      <c r="D327" s="2">
        <v>5.3579999999999997</v>
      </c>
      <c r="E327" s="2">
        <v>5.3579999999999997</v>
      </c>
      <c r="F327" s="2">
        <v>1000</v>
      </c>
      <c r="G327" s="2">
        <v>5358</v>
      </c>
      <c r="H327" s="11">
        <f t="shared" ref="H327:H390" si="5">C327/C326-1</f>
        <v>0</v>
      </c>
      <c r="I327" s="10"/>
      <c r="J327" s="10"/>
      <c r="K327" s="10"/>
    </row>
    <row r="328" spans="2:11" ht="13.5" x14ac:dyDescent="0.35">
      <c r="B328" s="3">
        <v>45387</v>
      </c>
      <c r="C328" s="2">
        <v>6</v>
      </c>
      <c r="D328" s="2">
        <v>5.3220000000000001</v>
      </c>
      <c r="E328" s="2">
        <v>5.3220000000000001</v>
      </c>
      <c r="F328" s="2">
        <v>10</v>
      </c>
      <c r="G328" s="2">
        <v>53.22</v>
      </c>
      <c r="H328" s="11">
        <f t="shared" si="5"/>
        <v>-6.6225165562914245E-3</v>
      </c>
      <c r="I328" s="10"/>
      <c r="J328" s="10"/>
      <c r="K328" s="10"/>
    </row>
    <row r="329" spans="2:11" ht="13.5" x14ac:dyDescent="0.35">
      <c r="B329" s="3">
        <v>45390</v>
      </c>
      <c r="C329" s="2">
        <v>6</v>
      </c>
      <c r="D329" s="2">
        <v>5.3220000000000001</v>
      </c>
      <c r="E329" s="2">
        <v>0</v>
      </c>
      <c r="F329" s="2">
        <v>0</v>
      </c>
      <c r="G329" s="2">
        <v>0</v>
      </c>
      <c r="H329" s="11">
        <f t="shared" si="5"/>
        <v>0</v>
      </c>
      <c r="I329" s="10"/>
      <c r="J329" s="10"/>
      <c r="K329" s="10"/>
    </row>
    <row r="330" spans="2:11" ht="13.5" x14ac:dyDescent="0.35">
      <c r="B330" s="3">
        <v>45394</v>
      </c>
      <c r="C330" s="2">
        <v>5.99</v>
      </c>
      <c r="D330" s="2">
        <v>5.3129999999999997</v>
      </c>
      <c r="E330" s="2">
        <v>5.0965772954924873</v>
      </c>
      <c r="F330" s="2">
        <v>21103</v>
      </c>
      <c r="G330" s="2">
        <v>107553.07066677796</v>
      </c>
      <c r="H330" s="11">
        <f t="shared" si="5"/>
        <v>-1.6666666666665941E-3</v>
      </c>
      <c r="I330" s="10"/>
      <c r="J330" s="10"/>
      <c r="K330" s="10"/>
    </row>
    <row r="331" spans="2:11" ht="13.5" x14ac:dyDescent="0.35">
      <c r="B331" s="3">
        <v>45397</v>
      </c>
      <c r="C331" s="2">
        <v>5.99</v>
      </c>
      <c r="D331" s="2">
        <v>5.3129999999999997</v>
      </c>
      <c r="E331" s="2">
        <v>5.2154323873121857</v>
      </c>
      <c r="F331" s="2">
        <v>2425</v>
      </c>
      <c r="G331" s="2">
        <v>12647.42353923205</v>
      </c>
      <c r="H331" s="11">
        <f t="shared" si="5"/>
        <v>0</v>
      </c>
      <c r="I331" s="10"/>
      <c r="J331" s="10"/>
      <c r="K331" s="10"/>
    </row>
    <row r="332" spans="2:11" ht="13.5" x14ac:dyDescent="0.35">
      <c r="B332" s="3">
        <v>45398</v>
      </c>
      <c r="C332" s="2">
        <v>5.99</v>
      </c>
      <c r="D332" s="2">
        <v>5.3129999999999997</v>
      </c>
      <c r="E332" s="2">
        <v>0</v>
      </c>
      <c r="F332" s="2">
        <v>0</v>
      </c>
      <c r="G332" s="2">
        <v>0</v>
      </c>
      <c r="H332" s="11">
        <f t="shared" si="5"/>
        <v>0</v>
      </c>
      <c r="I332" s="10"/>
      <c r="J332" s="10"/>
      <c r="K332" s="10"/>
    </row>
    <row r="333" spans="2:11" ht="13.5" x14ac:dyDescent="0.35">
      <c r="B333" s="3">
        <v>45399</v>
      </c>
      <c r="C333" s="2">
        <v>5.99</v>
      </c>
      <c r="D333" s="2">
        <v>5.3129999999999997</v>
      </c>
      <c r="E333" s="2">
        <v>5.3041302170283799</v>
      </c>
      <c r="F333" s="2">
        <v>2010</v>
      </c>
      <c r="G333" s="2">
        <v>10661.301736227044</v>
      </c>
      <c r="H333" s="11">
        <f t="shared" si="5"/>
        <v>0</v>
      </c>
      <c r="I333" s="10"/>
      <c r="J333" s="10"/>
      <c r="K333" s="10"/>
    </row>
    <row r="334" spans="2:11" ht="13.5" x14ac:dyDescent="0.35">
      <c r="B334" s="3">
        <v>45400</v>
      </c>
      <c r="C334" s="2">
        <v>5.9</v>
      </c>
      <c r="D334" s="2">
        <v>5.2329999999999997</v>
      </c>
      <c r="E334" s="2">
        <v>5.2329999999999997</v>
      </c>
      <c r="F334" s="2">
        <v>13</v>
      </c>
      <c r="G334" s="2">
        <v>68.028999999999996</v>
      </c>
      <c r="H334" s="11">
        <f t="shared" si="5"/>
        <v>-1.5025041736226985E-2</v>
      </c>
      <c r="I334" s="10"/>
      <c r="J334" s="10"/>
      <c r="K334" s="10"/>
    </row>
    <row r="335" spans="2:11" ht="13.5" x14ac:dyDescent="0.35">
      <c r="B335" s="3">
        <v>45401</v>
      </c>
      <c r="C335" s="2">
        <v>5.9</v>
      </c>
      <c r="D335" s="2">
        <v>5.2329999999999997</v>
      </c>
      <c r="E335" s="2">
        <v>0</v>
      </c>
      <c r="F335" s="2">
        <v>0</v>
      </c>
      <c r="G335" s="2">
        <v>0</v>
      </c>
      <c r="H335" s="11">
        <f t="shared" si="5"/>
        <v>0</v>
      </c>
      <c r="I335" s="10"/>
      <c r="J335" s="10"/>
      <c r="K335" s="10"/>
    </row>
    <row r="336" spans="2:11" ht="13.5" x14ac:dyDescent="0.35">
      <c r="B336" s="3">
        <v>45404</v>
      </c>
      <c r="C336" s="2">
        <v>5.9</v>
      </c>
      <c r="D336" s="2">
        <v>5.2329999999999997</v>
      </c>
      <c r="E336" s="2">
        <v>0</v>
      </c>
      <c r="F336" s="2">
        <v>0</v>
      </c>
      <c r="G336" s="2">
        <v>0</v>
      </c>
      <c r="H336" s="11">
        <f t="shared" si="5"/>
        <v>0</v>
      </c>
      <c r="I336" s="10"/>
      <c r="J336" s="10"/>
      <c r="K336" s="10"/>
    </row>
    <row r="337" spans="2:11" ht="13.5" x14ac:dyDescent="0.35">
      <c r="B337" s="3">
        <v>45405</v>
      </c>
      <c r="C337" s="2">
        <v>5.9</v>
      </c>
      <c r="D337" s="2">
        <v>5.2329999999999997</v>
      </c>
      <c r="E337" s="2">
        <v>0</v>
      </c>
      <c r="F337" s="2">
        <v>0</v>
      </c>
      <c r="G337" s="2">
        <v>0</v>
      </c>
      <c r="H337" s="11">
        <f t="shared" si="5"/>
        <v>0</v>
      </c>
      <c r="I337" s="10"/>
      <c r="J337" s="10"/>
      <c r="K337" s="10"/>
    </row>
    <row r="338" spans="2:11" ht="13.5" x14ac:dyDescent="0.35">
      <c r="B338" s="3">
        <v>45406</v>
      </c>
      <c r="C338" s="2">
        <v>5.9</v>
      </c>
      <c r="D338" s="2">
        <v>5.2329999999999997</v>
      </c>
      <c r="E338" s="2">
        <v>0</v>
      </c>
      <c r="F338" s="2">
        <v>0</v>
      </c>
      <c r="G338" s="2">
        <v>0</v>
      </c>
      <c r="H338" s="11">
        <f t="shared" si="5"/>
        <v>0</v>
      </c>
      <c r="I338" s="10"/>
      <c r="J338" s="10"/>
      <c r="K338" s="10"/>
    </row>
    <row r="339" spans="2:11" ht="13.5" x14ac:dyDescent="0.35">
      <c r="B339" s="3">
        <v>45407</v>
      </c>
      <c r="C339" s="2">
        <v>5.85</v>
      </c>
      <c r="D339" s="2">
        <v>5.1890000000000001</v>
      </c>
      <c r="E339" s="2">
        <v>5.1890000000000001</v>
      </c>
      <c r="F339" s="2">
        <v>230</v>
      </c>
      <c r="G339" s="2">
        <v>1193.47</v>
      </c>
      <c r="H339" s="11">
        <f t="shared" si="5"/>
        <v>-8.4745762711865291E-3</v>
      </c>
      <c r="I339" s="10"/>
      <c r="J339" s="10"/>
      <c r="K339" s="10"/>
    </row>
    <row r="340" spans="2:11" ht="13.5" x14ac:dyDescent="0.35">
      <c r="B340" s="3">
        <v>45408</v>
      </c>
      <c r="C340" s="2">
        <v>6</v>
      </c>
      <c r="D340" s="2">
        <v>5.3220000000000001</v>
      </c>
      <c r="E340" s="2">
        <v>5.2927289999999996</v>
      </c>
      <c r="F340" s="2">
        <v>1808</v>
      </c>
      <c r="G340" s="2">
        <v>9569.2540319999989</v>
      </c>
      <c r="H340" s="11">
        <f t="shared" si="5"/>
        <v>2.5641025641025772E-2</v>
      </c>
      <c r="I340" s="10"/>
      <c r="J340" s="10"/>
      <c r="K340" s="10"/>
    </row>
    <row r="341" spans="2:11" ht="13.5" x14ac:dyDescent="0.35">
      <c r="B341" s="3">
        <v>45411</v>
      </c>
      <c r="C341" s="2">
        <v>6</v>
      </c>
      <c r="D341" s="2">
        <v>5.3220000000000001</v>
      </c>
      <c r="E341" s="2">
        <v>5.3220000000000001</v>
      </c>
      <c r="F341" s="2">
        <v>2691</v>
      </c>
      <c r="G341" s="2">
        <v>14321.502</v>
      </c>
      <c r="H341" s="11">
        <f t="shared" si="5"/>
        <v>0</v>
      </c>
      <c r="I341" s="10"/>
      <c r="J341" s="10"/>
      <c r="K341" s="10"/>
    </row>
    <row r="342" spans="2:11" ht="13.5" x14ac:dyDescent="0.35">
      <c r="B342" s="3">
        <v>45412</v>
      </c>
      <c r="C342" s="2">
        <v>6</v>
      </c>
      <c r="D342" s="2">
        <v>5.3220000000000001</v>
      </c>
      <c r="E342" s="2">
        <v>5.3273220000000006</v>
      </c>
      <c r="F342" s="2">
        <v>751</v>
      </c>
      <c r="G342" s="2">
        <v>4000.8188220000006</v>
      </c>
      <c r="H342" s="11">
        <f t="shared" si="5"/>
        <v>0</v>
      </c>
      <c r="I342" s="10"/>
      <c r="J342" s="10"/>
      <c r="K342" s="10"/>
    </row>
    <row r="343" spans="2:11" ht="13.5" x14ac:dyDescent="0.35">
      <c r="B343" s="3">
        <v>45414</v>
      </c>
      <c r="C343" s="2">
        <v>6</v>
      </c>
      <c r="D343" s="2">
        <v>5.3220000000000001</v>
      </c>
      <c r="E343" s="2">
        <v>5.3202259999999999</v>
      </c>
      <c r="F343" s="2">
        <v>5258</v>
      </c>
      <c r="G343" s="2">
        <v>27973.748307999998</v>
      </c>
      <c r="H343" s="11">
        <f t="shared" si="5"/>
        <v>0</v>
      </c>
      <c r="I343" s="10"/>
      <c r="J343" s="10"/>
      <c r="K343" s="10"/>
    </row>
    <row r="344" spans="2:11" ht="13.5" x14ac:dyDescent="0.35">
      <c r="B344" s="3">
        <v>45415</v>
      </c>
      <c r="C344" s="2">
        <v>6.03</v>
      </c>
      <c r="D344" s="2">
        <v>5.3490000000000002</v>
      </c>
      <c r="E344" s="2">
        <v>5.3392422885572142</v>
      </c>
      <c r="F344" s="2">
        <v>4612</v>
      </c>
      <c r="G344" s="2">
        <v>24624.585434825873</v>
      </c>
      <c r="H344" s="11">
        <f t="shared" si="5"/>
        <v>5.0000000000001155E-3</v>
      </c>
      <c r="I344" s="10"/>
      <c r="J344" s="10"/>
      <c r="K344" s="10"/>
    </row>
    <row r="345" spans="2:11" ht="13.5" x14ac:dyDescent="0.35">
      <c r="B345" s="3">
        <v>45418</v>
      </c>
      <c r="C345" s="2">
        <v>6.03</v>
      </c>
      <c r="D345" s="2">
        <v>5.3490000000000002</v>
      </c>
      <c r="E345" s="2">
        <v>0</v>
      </c>
      <c r="F345" s="2">
        <v>0</v>
      </c>
      <c r="G345" s="2">
        <v>0</v>
      </c>
      <c r="H345" s="11">
        <f t="shared" si="5"/>
        <v>0</v>
      </c>
      <c r="I345" s="10"/>
      <c r="J345" s="10"/>
      <c r="K345" s="10"/>
    </row>
    <row r="346" spans="2:11" ht="13.5" x14ac:dyDescent="0.35">
      <c r="B346" s="3">
        <v>45419</v>
      </c>
      <c r="C346" s="2">
        <v>5.99</v>
      </c>
      <c r="D346" s="2">
        <v>5.3129999999999997</v>
      </c>
      <c r="E346" s="2">
        <v>5.3165479131886464</v>
      </c>
      <c r="F346" s="2">
        <v>692</v>
      </c>
      <c r="G346" s="2">
        <v>3679.0511559265433</v>
      </c>
      <c r="H346" s="11">
        <f t="shared" si="5"/>
        <v>-6.6334991708125735E-3</v>
      </c>
      <c r="I346" s="10"/>
      <c r="J346" s="10"/>
      <c r="K346" s="10"/>
    </row>
    <row r="347" spans="2:11" ht="13.5" x14ac:dyDescent="0.35">
      <c r="B347" s="3">
        <v>45420</v>
      </c>
      <c r="C347" s="2">
        <v>5.99</v>
      </c>
      <c r="D347" s="2">
        <v>5.3129999999999997</v>
      </c>
      <c r="E347" s="2">
        <v>0</v>
      </c>
      <c r="F347" s="2">
        <v>0</v>
      </c>
      <c r="G347" s="2">
        <v>0</v>
      </c>
      <c r="H347" s="11">
        <f t="shared" si="5"/>
        <v>0</v>
      </c>
      <c r="I347" s="10"/>
      <c r="J347" s="10"/>
      <c r="K347" s="10"/>
    </row>
    <row r="348" spans="2:11" ht="13.5" x14ac:dyDescent="0.35">
      <c r="B348" s="3">
        <v>45421</v>
      </c>
      <c r="C348" s="2">
        <v>5.99</v>
      </c>
      <c r="D348" s="2">
        <v>5.3129999999999997</v>
      </c>
      <c r="E348" s="2">
        <v>0</v>
      </c>
      <c r="F348" s="2">
        <v>0</v>
      </c>
      <c r="G348" s="2">
        <v>0</v>
      </c>
      <c r="H348" s="11">
        <f t="shared" si="5"/>
        <v>0</v>
      </c>
      <c r="I348" s="10"/>
      <c r="J348" s="10"/>
      <c r="K348" s="10"/>
    </row>
    <row r="349" spans="2:11" ht="13.5" x14ac:dyDescent="0.35">
      <c r="B349" s="3">
        <v>45422</v>
      </c>
      <c r="C349" s="2">
        <v>5.99</v>
      </c>
      <c r="D349" s="2">
        <v>5.3129999999999997</v>
      </c>
      <c r="E349" s="2">
        <v>0</v>
      </c>
      <c r="F349" s="2">
        <v>0</v>
      </c>
      <c r="G349" s="2">
        <v>0</v>
      </c>
      <c r="H349" s="11">
        <f t="shared" si="5"/>
        <v>0</v>
      </c>
      <c r="I349" s="10"/>
      <c r="J349" s="10"/>
      <c r="K349" s="10"/>
    </row>
    <row r="350" spans="2:11" ht="13.5" x14ac:dyDescent="0.35">
      <c r="B350" s="3">
        <v>45425</v>
      </c>
      <c r="C350" s="2">
        <v>5.99</v>
      </c>
      <c r="D350" s="2">
        <v>5.3129999999999997</v>
      </c>
      <c r="E350" s="2">
        <v>0</v>
      </c>
      <c r="F350" s="2">
        <v>0</v>
      </c>
      <c r="G350" s="2">
        <v>0</v>
      </c>
      <c r="H350" s="11">
        <f t="shared" si="5"/>
        <v>0</v>
      </c>
      <c r="I350" s="10"/>
      <c r="J350" s="10"/>
      <c r="K350" s="10"/>
    </row>
    <row r="351" spans="2:11" ht="13.5" x14ac:dyDescent="0.35">
      <c r="B351" s="3">
        <v>45426</v>
      </c>
      <c r="C351" s="2">
        <v>5.86</v>
      </c>
      <c r="D351" s="2">
        <v>5.1980000000000004</v>
      </c>
      <c r="E351" s="2">
        <v>5.1997740614334473</v>
      </c>
      <c r="F351" s="2">
        <v>179</v>
      </c>
      <c r="G351" s="2">
        <v>930.75955699658709</v>
      </c>
      <c r="H351" s="11">
        <f t="shared" si="5"/>
        <v>-2.1702838063439089E-2</v>
      </c>
      <c r="I351" s="10"/>
      <c r="J351" s="10"/>
      <c r="K351" s="10"/>
    </row>
    <row r="352" spans="2:11" ht="13.5" x14ac:dyDescent="0.35">
      <c r="B352" s="3">
        <v>45427</v>
      </c>
      <c r="C352" s="2">
        <v>5.75</v>
      </c>
      <c r="D352" s="2">
        <v>5.0999999999999996</v>
      </c>
      <c r="E352" s="2">
        <v>5.0999999999999996</v>
      </c>
      <c r="F352" s="2">
        <v>110</v>
      </c>
      <c r="G352" s="2">
        <v>561</v>
      </c>
      <c r="H352" s="11">
        <f t="shared" si="5"/>
        <v>-1.8771331058020535E-2</v>
      </c>
      <c r="I352" s="10"/>
      <c r="J352" s="10"/>
      <c r="K352" s="10"/>
    </row>
    <row r="353" spans="2:11" ht="13.5" x14ac:dyDescent="0.35">
      <c r="B353" s="3">
        <v>45428</v>
      </c>
      <c r="C353" s="2">
        <v>6</v>
      </c>
      <c r="D353" s="2">
        <v>5.3220000000000001</v>
      </c>
      <c r="E353" s="2">
        <v>5.1561310000000002</v>
      </c>
      <c r="F353" s="2">
        <v>4260</v>
      </c>
      <c r="G353" s="2">
        <v>21965.118060000001</v>
      </c>
      <c r="H353" s="11">
        <f t="shared" si="5"/>
        <v>4.3478260869565188E-2</v>
      </c>
      <c r="I353" s="10"/>
      <c r="J353" s="10"/>
      <c r="K353" s="10"/>
    </row>
    <row r="354" spans="2:11" ht="13.5" x14ac:dyDescent="0.35">
      <c r="B354" s="3">
        <v>45429</v>
      </c>
      <c r="C354" s="2">
        <v>6.03</v>
      </c>
      <c r="D354" s="2">
        <v>5.3490000000000002</v>
      </c>
      <c r="E354" s="2">
        <v>5.3427905472636814</v>
      </c>
      <c r="F354" s="2">
        <v>202</v>
      </c>
      <c r="G354" s="2">
        <v>1079.2436905472637</v>
      </c>
      <c r="H354" s="11">
        <f t="shared" si="5"/>
        <v>5.0000000000001155E-3</v>
      </c>
      <c r="I354" s="10"/>
      <c r="J354" s="10"/>
      <c r="K354" s="10"/>
    </row>
    <row r="355" spans="2:11" ht="13.5" x14ac:dyDescent="0.35">
      <c r="B355" s="3">
        <v>45432</v>
      </c>
      <c r="C355" s="2">
        <v>6.02</v>
      </c>
      <c r="D355" s="2">
        <v>5.34</v>
      </c>
      <c r="E355" s="2">
        <v>5.3231461794019941</v>
      </c>
      <c r="F355" s="2">
        <v>200</v>
      </c>
      <c r="G355" s="2">
        <v>1064.6292358803987</v>
      </c>
      <c r="H355" s="11">
        <f t="shared" si="5"/>
        <v>-1.6583747927032544E-3</v>
      </c>
      <c r="I355" s="10"/>
      <c r="J355" s="10"/>
      <c r="K355" s="10"/>
    </row>
    <row r="356" spans="2:11" ht="13.5" x14ac:dyDescent="0.35">
      <c r="B356" s="3">
        <v>45433</v>
      </c>
      <c r="C356" s="2">
        <v>6.02</v>
      </c>
      <c r="D356" s="2">
        <v>5.34</v>
      </c>
      <c r="E356" s="2">
        <v>0</v>
      </c>
      <c r="F356" s="2">
        <v>0</v>
      </c>
      <c r="G356" s="2">
        <v>0</v>
      </c>
      <c r="H356" s="11">
        <f t="shared" si="5"/>
        <v>0</v>
      </c>
      <c r="I356" s="10"/>
      <c r="J356" s="10"/>
      <c r="K356" s="10"/>
    </row>
    <row r="357" spans="2:11" ht="13.5" x14ac:dyDescent="0.35">
      <c r="B357" s="3">
        <v>45434</v>
      </c>
      <c r="C357" s="2">
        <v>6</v>
      </c>
      <c r="D357" s="2">
        <v>5.3220000000000001</v>
      </c>
      <c r="E357" s="2">
        <v>5.3220000000000001</v>
      </c>
      <c r="F357" s="2">
        <v>15467</v>
      </c>
      <c r="G357" s="2">
        <v>82315.373999999996</v>
      </c>
      <c r="H357" s="11">
        <f t="shared" si="5"/>
        <v>-3.3222591362125353E-3</v>
      </c>
      <c r="I357" s="10"/>
      <c r="J357" s="10"/>
      <c r="K357" s="10"/>
    </row>
    <row r="358" spans="2:11" ht="13.5" x14ac:dyDescent="0.35">
      <c r="B358" s="3">
        <v>45435</v>
      </c>
      <c r="C358" s="2">
        <v>6</v>
      </c>
      <c r="D358" s="2">
        <v>5.3220000000000001</v>
      </c>
      <c r="E358" s="2">
        <v>5.3095819999999998</v>
      </c>
      <c r="F358" s="2">
        <v>21326</v>
      </c>
      <c r="G358" s="2">
        <v>113232.14573199999</v>
      </c>
      <c r="H358" s="11">
        <f t="shared" si="5"/>
        <v>0</v>
      </c>
      <c r="I358" s="10"/>
      <c r="J358" s="10"/>
      <c r="K358" s="10"/>
    </row>
    <row r="359" spans="2:11" ht="13.5" x14ac:dyDescent="0.35">
      <c r="B359" s="3">
        <v>45436</v>
      </c>
      <c r="C359" s="2">
        <v>5.9</v>
      </c>
      <c r="D359" s="2">
        <v>5.2329999999999997</v>
      </c>
      <c r="E359" s="2">
        <v>5.2329999999999997</v>
      </c>
      <c r="F359" s="2">
        <v>100</v>
      </c>
      <c r="G359" s="2">
        <v>523.29999999999995</v>
      </c>
      <c r="H359" s="11">
        <f t="shared" si="5"/>
        <v>-1.6666666666666607E-2</v>
      </c>
      <c r="I359" s="10"/>
      <c r="J359" s="10"/>
      <c r="K359" s="10"/>
    </row>
    <row r="360" spans="2:11" ht="13.5" x14ac:dyDescent="0.35">
      <c r="B360" s="3">
        <v>45439</v>
      </c>
      <c r="C360" s="2">
        <v>5.9</v>
      </c>
      <c r="D360" s="2">
        <v>5.2329999999999997</v>
      </c>
      <c r="E360" s="2">
        <v>5.3021820338983039</v>
      </c>
      <c r="F360" s="2">
        <v>17114</v>
      </c>
      <c r="G360" s="2">
        <v>90741.54332813558</v>
      </c>
      <c r="H360" s="11">
        <f t="shared" si="5"/>
        <v>0</v>
      </c>
      <c r="I360" s="10"/>
      <c r="J360" s="10"/>
      <c r="K360" s="10"/>
    </row>
    <row r="361" spans="2:11" ht="13.5" x14ac:dyDescent="0.35">
      <c r="B361" s="3">
        <v>45440</v>
      </c>
      <c r="C361" s="2">
        <v>5.9</v>
      </c>
      <c r="D361" s="2">
        <v>5.2329999999999997</v>
      </c>
      <c r="E361" s="2">
        <v>0</v>
      </c>
      <c r="F361" s="2">
        <v>0</v>
      </c>
      <c r="G361" s="2">
        <v>0</v>
      </c>
      <c r="H361" s="11">
        <f t="shared" si="5"/>
        <v>0</v>
      </c>
      <c r="I361" s="10"/>
      <c r="J361" s="10"/>
      <c r="K361" s="10"/>
    </row>
    <row r="362" spans="2:11" ht="13.5" x14ac:dyDescent="0.35">
      <c r="B362" s="3">
        <v>45441</v>
      </c>
      <c r="C362" s="2">
        <v>5.7</v>
      </c>
      <c r="D362" s="2">
        <v>5.056</v>
      </c>
      <c r="E362" s="2">
        <v>5.0870456140350884</v>
      </c>
      <c r="F362" s="2">
        <v>13309</v>
      </c>
      <c r="G362" s="2">
        <v>67703.490077192997</v>
      </c>
      <c r="H362" s="11">
        <f t="shared" si="5"/>
        <v>-3.3898305084745783E-2</v>
      </c>
      <c r="I362" s="10"/>
      <c r="J362" s="10"/>
      <c r="K362" s="10"/>
    </row>
    <row r="363" spans="2:11" ht="13.5" x14ac:dyDescent="0.35">
      <c r="B363" s="3">
        <v>45442</v>
      </c>
      <c r="C363" s="2">
        <v>5.8</v>
      </c>
      <c r="D363" s="2">
        <v>5.1449999999999996</v>
      </c>
      <c r="E363" s="2">
        <v>5.1449999999999996</v>
      </c>
      <c r="F363" s="2">
        <v>1000</v>
      </c>
      <c r="G363" s="2">
        <v>5145</v>
      </c>
      <c r="H363" s="11">
        <f t="shared" si="5"/>
        <v>1.754385964912264E-2</v>
      </c>
      <c r="I363" s="10"/>
      <c r="J363" s="10"/>
      <c r="K363" s="10"/>
    </row>
    <row r="364" spans="2:11" ht="13.5" x14ac:dyDescent="0.35">
      <c r="B364" s="3">
        <v>45443</v>
      </c>
      <c r="C364" s="2">
        <v>5.7</v>
      </c>
      <c r="D364" s="2">
        <v>5.056</v>
      </c>
      <c r="E364" s="2">
        <v>5.0701922807017548</v>
      </c>
      <c r="F364" s="2">
        <v>2015</v>
      </c>
      <c r="G364" s="2">
        <v>10216.437445614036</v>
      </c>
      <c r="H364" s="11">
        <f t="shared" si="5"/>
        <v>-1.7241379310344751E-2</v>
      </c>
      <c r="I364" s="10"/>
      <c r="J364" s="10"/>
      <c r="K364" s="10"/>
    </row>
    <row r="365" spans="2:11" ht="13.5" x14ac:dyDescent="0.35">
      <c r="B365" s="3">
        <v>45446</v>
      </c>
      <c r="C365" s="2">
        <v>5.7</v>
      </c>
      <c r="D365" s="2">
        <v>5.056</v>
      </c>
      <c r="E365" s="2">
        <v>5.0258414035087728</v>
      </c>
      <c r="F365" s="2">
        <v>10123</v>
      </c>
      <c r="G365" s="2">
        <v>50876.592527719309</v>
      </c>
      <c r="H365" s="11">
        <f t="shared" si="5"/>
        <v>0</v>
      </c>
      <c r="I365" s="10"/>
      <c r="J365" s="10"/>
      <c r="K365" s="10"/>
    </row>
    <row r="366" spans="2:11" ht="13.5" x14ac:dyDescent="0.35">
      <c r="B366" s="3">
        <v>45447</v>
      </c>
      <c r="C366" s="2">
        <v>5.6</v>
      </c>
      <c r="D366" s="2">
        <v>4.9669999999999996</v>
      </c>
      <c r="E366" s="2">
        <v>5.014009107142857</v>
      </c>
      <c r="F366" s="2">
        <v>380</v>
      </c>
      <c r="G366" s="2">
        <v>1905.3234607142856</v>
      </c>
      <c r="H366" s="11">
        <f t="shared" si="5"/>
        <v>-1.7543859649122862E-2</v>
      </c>
      <c r="I366" s="10"/>
      <c r="J366" s="10"/>
      <c r="K366" s="10"/>
    </row>
    <row r="367" spans="2:11" ht="13.5" x14ac:dyDescent="0.35">
      <c r="B367" s="3">
        <v>45448</v>
      </c>
      <c r="C367" s="2">
        <v>5.57</v>
      </c>
      <c r="D367" s="2">
        <v>4.9409999999999998</v>
      </c>
      <c r="E367" s="2">
        <v>4.9631768402154393</v>
      </c>
      <c r="F367" s="2">
        <v>13016</v>
      </c>
      <c r="G367" s="2">
        <v>64600.709752244155</v>
      </c>
      <c r="H367" s="11">
        <f t="shared" si="5"/>
        <v>-5.3571428571427271E-3</v>
      </c>
      <c r="I367" s="10"/>
      <c r="J367" s="10"/>
      <c r="K367" s="10"/>
    </row>
    <row r="368" spans="2:11" ht="13.5" x14ac:dyDescent="0.35">
      <c r="B368" s="3">
        <v>45449</v>
      </c>
      <c r="C368" s="2">
        <v>5.5</v>
      </c>
      <c r="D368" s="2">
        <v>4.8789999999999996</v>
      </c>
      <c r="E368" s="2">
        <v>4.8816612727272721</v>
      </c>
      <c r="F368" s="2">
        <v>10737</v>
      </c>
      <c r="G368" s="2">
        <v>52414.397085272722</v>
      </c>
      <c r="H368" s="11">
        <f t="shared" si="5"/>
        <v>-1.2567324955116699E-2</v>
      </c>
      <c r="I368" s="10"/>
      <c r="J368" s="10"/>
      <c r="K368" s="10"/>
    </row>
    <row r="369" spans="2:11" ht="13.5" x14ac:dyDescent="0.35">
      <c r="B369" s="3">
        <v>45450</v>
      </c>
      <c r="C369" s="2">
        <v>5.7</v>
      </c>
      <c r="D369" s="2">
        <v>5.056</v>
      </c>
      <c r="E369" s="2">
        <v>4.9406877192982463</v>
      </c>
      <c r="F369" s="2">
        <v>2134</v>
      </c>
      <c r="G369" s="2">
        <v>10543.427592982458</v>
      </c>
      <c r="H369" s="11">
        <f t="shared" si="5"/>
        <v>3.6363636363636376E-2</v>
      </c>
      <c r="I369" s="10"/>
      <c r="J369" s="10"/>
      <c r="K369" s="10"/>
    </row>
    <row r="370" spans="2:11" ht="13.5" x14ac:dyDescent="0.35">
      <c r="B370" s="3">
        <v>45453</v>
      </c>
      <c r="C370" s="2">
        <v>5.8</v>
      </c>
      <c r="D370" s="2">
        <v>5.1449999999999996</v>
      </c>
      <c r="E370" s="2">
        <v>5.0287939655172407</v>
      </c>
      <c r="F370" s="2">
        <v>16</v>
      </c>
      <c r="G370" s="2">
        <v>80.460703448275851</v>
      </c>
      <c r="H370" s="11">
        <f t="shared" si="5"/>
        <v>1.754385964912264E-2</v>
      </c>
      <c r="I370" s="10"/>
      <c r="J370" s="10"/>
      <c r="K370" s="10"/>
    </row>
    <row r="371" spans="2:11" ht="13.5" x14ac:dyDescent="0.35">
      <c r="B371" s="3">
        <v>45454</v>
      </c>
      <c r="C371" s="2">
        <v>5.8</v>
      </c>
      <c r="D371" s="2">
        <v>5.1449999999999996</v>
      </c>
      <c r="E371" s="2">
        <v>4.8806534482758615</v>
      </c>
      <c r="F371" s="2">
        <v>6287</v>
      </c>
      <c r="G371" s="2">
        <v>30684.66822931034</v>
      </c>
      <c r="H371" s="11">
        <f t="shared" si="5"/>
        <v>0</v>
      </c>
      <c r="I371" s="10"/>
      <c r="J371" s="10"/>
      <c r="K371" s="10"/>
    </row>
    <row r="372" spans="2:11" ht="13.5" x14ac:dyDescent="0.35">
      <c r="B372" s="3">
        <v>45455</v>
      </c>
      <c r="C372" s="2">
        <v>5.8</v>
      </c>
      <c r="D372" s="2">
        <v>5.1449999999999996</v>
      </c>
      <c r="E372" s="2">
        <v>0</v>
      </c>
      <c r="F372" s="2">
        <v>0</v>
      </c>
      <c r="G372" s="2">
        <v>0</v>
      </c>
      <c r="H372" s="11">
        <f t="shared" si="5"/>
        <v>0</v>
      </c>
      <c r="I372" s="10"/>
      <c r="J372" s="10"/>
      <c r="K372" s="10"/>
    </row>
    <row r="373" spans="2:11" ht="13.5" x14ac:dyDescent="0.35">
      <c r="B373" s="3">
        <v>45456</v>
      </c>
      <c r="C373" s="2">
        <v>5.8</v>
      </c>
      <c r="D373" s="2">
        <v>5.1449999999999996</v>
      </c>
      <c r="E373" s="2">
        <v>0</v>
      </c>
      <c r="F373" s="2">
        <v>0</v>
      </c>
      <c r="G373" s="2">
        <v>0</v>
      </c>
      <c r="H373" s="11">
        <f t="shared" si="5"/>
        <v>0</v>
      </c>
      <c r="I373" s="10"/>
      <c r="J373" s="10"/>
      <c r="K373" s="10"/>
    </row>
    <row r="374" spans="2:11" ht="13.5" x14ac:dyDescent="0.35">
      <c r="B374" s="3">
        <v>45457</v>
      </c>
      <c r="C374" s="2">
        <v>5.65</v>
      </c>
      <c r="D374" s="2">
        <v>5.0119999999999996</v>
      </c>
      <c r="E374" s="2">
        <v>5.0119999999999996</v>
      </c>
      <c r="F374" s="2">
        <v>235</v>
      </c>
      <c r="G374" s="2">
        <v>1177.82</v>
      </c>
      <c r="H374" s="11">
        <f t="shared" si="5"/>
        <v>-2.5862068965517127E-2</v>
      </c>
      <c r="I374" s="10"/>
      <c r="J374" s="10"/>
      <c r="K374" s="10"/>
    </row>
    <row r="375" spans="2:11" ht="13.5" x14ac:dyDescent="0.35">
      <c r="B375" s="3">
        <v>45461</v>
      </c>
      <c r="C375" s="2">
        <v>5.5</v>
      </c>
      <c r="D375" s="2">
        <v>4.8789999999999996</v>
      </c>
      <c r="E375" s="2">
        <v>4.9295641818181819</v>
      </c>
      <c r="F375" s="2">
        <v>64628</v>
      </c>
      <c r="G375" s="2">
        <v>318587.87394254544</v>
      </c>
      <c r="H375" s="11">
        <f t="shared" si="5"/>
        <v>-2.6548672566371723E-2</v>
      </c>
      <c r="I375" s="10"/>
      <c r="J375" s="10"/>
      <c r="K375" s="10"/>
    </row>
    <row r="376" spans="2:11" ht="13.5" x14ac:dyDescent="0.35">
      <c r="B376" s="3">
        <v>45462</v>
      </c>
      <c r="C376" s="2">
        <v>5.45</v>
      </c>
      <c r="D376" s="2">
        <v>4.8339999999999996</v>
      </c>
      <c r="E376" s="2">
        <v>4.8473045871559624</v>
      </c>
      <c r="F376" s="2">
        <v>9137</v>
      </c>
      <c r="G376" s="2">
        <v>44289.82201284403</v>
      </c>
      <c r="H376" s="11">
        <f t="shared" si="5"/>
        <v>-9.0909090909090384E-3</v>
      </c>
      <c r="I376" s="10"/>
      <c r="J376" s="10"/>
      <c r="K376" s="10"/>
    </row>
    <row r="377" spans="2:11" ht="13.5" x14ac:dyDescent="0.35">
      <c r="B377" s="3">
        <v>45463</v>
      </c>
      <c r="C377" s="2">
        <v>5.43</v>
      </c>
      <c r="D377" s="2">
        <v>4.8170000000000002</v>
      </c>
      <c r="E377" s="2">
        <v>4.8294195211786377</v>
      </c>
      <c r="F377" s="2">
        <v>24752</v>
      </c>
      <c r="G377" s="2">
        <v>119537.79198821363</v>
      </c>
      <c r="H377" s="11">
        <f t="shared" si="5"/>
        <v>-3.6697247706423131E-3</v>
      </c>
      <c r="I377" s="10"/>
      <c r="J377" s="10"/>
      <c r="K377" s="10"/>
    </row>
    <row r="378" spans="2:11" ht="13.5" x14ac:dyDescent="0.35">
      <c r="B378" s="3">
        <v>45464</v>
      </c>
      <c r="C378" s="2">
        <v>5.75</v>
      </c>
      <c r="D378" s="2">
        <v>5.0999999999999996</v>
      </c>
      <c r="E378" s="2">
        <v>5.0999999999999996</v>
      </c>
      <c r="F378" s="2">
        <v>1</v>
      </c>
      <c r="G378" s="2">
        <v>5.0999999999999996</v>
      </c>
      <c r="H378" s="11">
        <f t="shared" si="5"/>
        <v>5.8931860036832484E-2</v>
      </c>
      <c r="I378" s="10"/>
      <c r="J378" s="10"/>
      <c r="K378" s="10"/>
    </row>
    <row r="379" spans="2:11" ht="13.5" x14ac:dyDescent="0.35">
      <c r="B379" s="3">
        <v>45467</v>
      </c>
      <c r="C379" s="2">
        <v>5.75</v>
      </c>
      <c r="D379" s="2">
        <v>5.0999999999999996</v>
      </c>
      <c r="E379" s="2">
        <v>0</v>
      </c>
      <c r="F379" s="2">
        <v>0</v>
      </c>
      <c r="G379" s="2">
        <v>0</v>
      </c>
      <c r="H379" s="11">
        <f t="shared" si="5"/>
        <v>0</v>
      </c>
      <c r="I379" s="10"/>
      <c r="J379" s="10"/>
      <c r="K379" s="10"/>
    </row>
    <row r="380" spans="2:11" ht="13.5" x14ac:dyDescent="0.35">
      <c r="B380" s="3">
        <v>45468</v>
      </c>
      <c r="C380" s="2">
        <v>5.68</v>
      </c>
      <c r="D380" s="2">
        <v>5.0380000000000003</v>
      </c>
      <c r="E380" s="2">
        <v>5.0291302816901418</v>
      </c>
      <c r="F380" s="2">
        <v>500</v>
      </c>
      <c r="G380" s="2">
        <v>2514.5651408450708</v>
      </c>
      <c r="H380" s="11">
        <f t="shared" si="5"/>
        <v>-1.2173913043478257E-2</v>
      </c>
      <c r="I380" s="10"/>
      <c r="J380" s="10"/>
      <c r="K380" s="10"/>
    </row>
    <row r="381" spans="2:11" ht="13.5" x14ac:dyDescent="0.35">
      <c r="B381" s="3">
        <v>45469</v>
      </c>
      <c r="C381" s="2">
        <v>5.51</v>
      </c>
      <c r="D381" s="2">
        <v>4.8869999999999996</v>
      </c>
      <c r="E381" s="2">
        <v>4.9960927404718687</v>
      </c>
      <c r="F381" s="2">
        <v>1438</v>
      </c>
      <c r="G381" s="2">
        <v>7184.3813607985476</v>
      </c>
      <c r="H381" s="11">
        <f t="shared" si="5"/>
        <v>-2.9929577464788748E-2</v>
      </c>
      <c r="I381" s="10"/>
      <c r="J381" s="10"/>
      <c r="K381" s="10"/>
    </row>
    <row r="382" spans="2:11" ht="13.5" x14ac:dyDescent="0.35">
      <c r="B382" s="3">
        <v>45470</v>
      </c>
      <c r="C382" s="2">
        <v>5.4</v>
      </c>
      <c r="D382" s="2">
        <v>4.79</v>
      </c>
      <c r="E382" s="2">
        <v>4.8387870370370365</v>
      </c>
      <c r="F382" s="2">
        <v>8805</v>
      </c>
      <c r="G382" s="2">
        <v>42605.519861111105</v>
      </c>
      <c r="H382" s="11">
        <f t="shared" si="5"/>
        <v>-1.9963702359346525E-2</v>
      </c>
      <c r="I382" s="10"/>
      <c r="J382" s="10"/>
      <c r="K382" s="10"/>
    </row>
    <row r="383" spans="2:11" ht="13.5" x14ac:dyDescent="0.35">
      <c r="B383" s="3">
        <v>45471</v>
      </c>
      <c r="C383" s="2">
        <v>5.4</v>
      </c>
      <c r="D383" s="2">
        <v>4.79</v>
      </c>
      <c r="E383" s="2">
        <v>4.79</v>
      </c>
      <c r="F383" s="2">
        <v>13491</v>
      </c>
      <c r="G383" s="2">
        <v>64621.89</v>
      </c>
      <c r="H383" s="11">
        <f t="shared" si="5"/>
        <v>0</v>
      </c>
      <c r="I383" s="10"/>
      <c r="J383" s="10"/>
      <c r="K383" s="10"/>
    </row>
    <row r="384" spans="2:11" ht="13.5" x14ac:dyDescent="0.35">
      <c r="B384" s="3">
        <v>45474</v>
      </c>
      <c r="C384" s="2">
        <v>5.4</v>
      </c>
      <c r="D384" s="2">
        <v>4.79</v>
      </c>
      <c r="E384" s="2">
        <v>4.79</v>
      </c>
      <c r="F384" s="2">
        <v>1037</v>
      </c>
      <c r="G384" s="2">
        <v>4967.2300000000005</v>
      </c>
      <c r="H384" s="11">
        <f t="shared" si="5"/>
        <v>0</v>
      </c>
      <c r="I384" s="10"/>
      <c r="J384" s="10"/>
      <c r="K384" s="10"/>
    </row>
    <row r="385" spans="2:11" ht="13.5" x14ac:dyDescent="0.35">
      <c r="B385" s="3">
        <v>45475</v>
      </c>
      <c r="C385" s="2">
        <v>5.69</v>
      </c>
      <c r="D385" s="2">
        <v>5.0469999999999997</v>
      </c>
      <c r="E385" s="2">
        <v>4.9609615114235499</v>
      </c>
      <c r="F385" s="2">
        <v>3503</v>
      </c>
      <c r="G385" s="2">
        <v>17378.248174516695</v>
      </c>
      <c r="H385" s="11">
        <f t="shared" si="5"/>
        <v>5.3703703703703809E-2</v>
      </c>
      <c r="I385" s="10"/>
      <c r="J385" s="10"/>
      <c r="K385" s="10"/>
    </row>
    <row r="386" spans="2:11" ht="13.5" x14ac:dyDescent="0.35">
      <c r="B386" s="3">
        <v>45476</v>
      </c>
      <c r="C386" s="2">
        <v>5.8</v>
      </c>
      <c r="D386" s="2">
        <v>5.1449999999999996</v>
      </c>
      <c r="E386" s="2">
        <v>5.0846793103448276</v>
      </c>
      <c r="F386" s="2">
        <v>7612</v>
      </c>
      <c r="G386" s="2">
        <v>38704.578910344826</v>
      </c>
      <c r="H386" s="11">
        <f t="shared" si="5"/>
        <v>1.9332161687170446E-2</v>
      </c>
      <c r="I386" s="10"/>
      <c r="J386" s="10"/>
      <c r="K386" s="10"/>
    </row>
    <row r="387" spans="2:11" ht="13.5" x14ac:dyDescent="0.35">
      <c r="B387" s="3">
        <v>45477</v>
      </c>
      <c r="C387" s="2">
        <v>5.6</v>
      </c>
      <c r="D387" s="2">
        <v>5.258</v>
      </c>
      <c r="E387" s="2">
        <v>5.275839642857143</v>
      </c>
      <c r="F387" s="2">
        <v>921</v>
      </c>
      <c r="G387" s="2">
        <v>4859.0483110714285</v>
      </c>
      <c r="H387" s="11">
        <f t="shared" si="5"/>
        <v>-3.4482758620689724E-2</v>
      </c>
      <c r="I387" s="10"/>
      <c r="J387" s="10"/>
      <c r="K387" s="10"/>
    </row>
    <row r="388" spans="2:11" ht="13.5" x14ac:dyDescent="0.35">
      <c r="B388" s="3">
        <v>45478</v>
      </c>
      <c r="C388" s="2">
        <v>5.75</v>
      </c>
      <c r="D388" s="2">
        <v>5.399</v>
      </c>
      <c r="E388" s="2">
        <v>5.3680144347826086</v>
      </c>
      <c r="F388" s="2">
        <v>625</v>
      </c>
      <c r="G388" s="2">
        <v>3355.0090217391303</v>
      </c>
      <c r="H388" s="11">
        <f t="shared" si="5"/>
        <v>2.6785714285714413E-2</v>
      </c>
      <c r="I388" s="10"/>
      <c r="J388" s="10"/>
      <c r="K388" s="10"/>
    </row>
    <row r="389" spans="2:11" ht="13.5" x14ac:dyDescent="0.35">
      <c r="B389" s="3">
        <v>45481</v>
      </c>
      <c r="C389" s="2">
        <v>5.8</v>
      </c>
      <c r="D389" s="2">
        <v>5.4459999999999997</v>
      </c>
      <c r="E389" s="2">
        <v>5.4037465517241383</v>
      </c>
      <c r="F389" s="2">
        <v>3250</v>
      </c>
      <c r="G389" s="2">
        <v>17562.17629310345</v>
      </c>
      <c r="H389" s="11">
        <f t="shared" si="5"/>
        <v>8.6956521739129933E-3</v>
      </c>
      <c r="I389" s="10"/>
      <c r="J389" s="10"/>
      <c r="K389" s="10"/>
    </row>
    <row r="390" spans="2:11" ht="13.5" x14ac:dyDescent="0.35">
      <c r="B390" s="3">
        <v>45482</v>
      </c>
      <c r="C390" s="2">
        <v>5.8</v>
      </c>
      <c r="D390" s="2">
        <v>5.4459999999999997</v>
      </c>
      <c r="E390" s="2">
        <v>5.4459999999999997</v>
      </c>
      <c r="F390" s="2">
        <v>2405</v>
      </c>
      <c r="G390" s="2">
        <v>13097.63</v>
      </c>
      <c r="H390" s="11">
        <f t="shared" si="5"/>
        <v>0</v>
      </c>
      <c r="I390" s="10"/>
      <c r="J390" s="10"/>
      <c r="K390" s="10"/>
    </row>
    <row r="391" spans="2:11" ht="13.5" x14ac:dyDescent="0.35">
      <c r="B391" s="3">
        <v>45483</v>
      </c>
      <c r="C391" s="2">
        <v>6</v>
      </c>
      <c r="D391" s="2">
        <v>5.6340000000000003</v>
      </c>
      <c r="E391" s="2">
        <v>5.5091130000000001</v>
      </c>
      <c r="F391" s="2">
        <v>1275</v>
      </c>
      <c r="G391" s="2">
        <v>7024.1190750000005</v>
      </c>
      <c r="H391" s="11">
        <f t="shared" ref="H391:H454" si="6">C391/C390-1</f>
        <v>3.4482758620689724E-2</v>
      </c>
      <c r="I391" s="10"/>
      <c r="J391" s="10"/>
      <c r="K391" s="10"/>
    </row>
    <row r="392" spans="2:11" ht="13.5" x14ac:dyDescent="0.35">
      <c r="B392" s="3">
        <v>45484</v>
      </c>
      <c r="C392" s="2">
        <v>6.19</v>
      </c>
      <c r="D392" s="2">
        <v>5.8120000000000003</v>
      </c>
      <c r="E392" s="2">
        <v>5.6148239095315029</v>
      </c>
      <c r="F392" s="2">
        <v>7894</v>
      </c>
      <c r="G392" s="2">
        <v>44323.419941841683</v>
      </c>
      <c r="H392" s="11">
        <f t="shared" si="6"/>
        <v>3.1666666666666732E-2</v>
      </c>
      <c r="I392" s="10"/>
      <c r="J392" s="10"/>
      <c r="K392" s="10"/>
    </row>
    <row r="393" spans="2:11" ht="13.5" x14ac:dyDescent="0.35">
      <c r="B393" s="3">
        <v>45485</v>
      </c>
      <c r="C393" s="2">
        <v>6.26</v>
      </c>
      <c r="D393" s="2">
        <v>5.8780000000000001</v>
      </c>
      <c r="E393" s="2">
        <v>5.7859801916932909</v>
      </c>
      <c r="F393" s="2">
        <v>1595</v>
      </c>
      <c r="G393" s="2">
        <v>9228.6384057507985</v>
      </c>
      <c r="H393" s="11">
        <f t="shared" si="6"/>
        <v>1.1308562197092087E-2</v>
      </c>
      <c r="I393" s="10"/>
      <c r="J393" s="10"/>
      <c r="K393" s="10"/>
    </row>
    <row r="394" spans="2:11" ht="13.5" x14ac:dyDescent="0.35">
      <c r="B394" s="3">
        <v>45488</v>
      </c>
      <c r="C394" s="2">
        <v>6.3</v>
      </c>
      <c r="D394" s="2">
        <v>5.9160000000000004</v>
      </c>
      <c r="E394" s="2">
        <v>5.9160000000000004</v>
      </c>
      <c r="F394" s="2">
        <v>1</v>
      </c>
      <c r="G394" s="2">
        <v>5.9160000000000004</v>
      </c>
      <c r="H394" s="11">
        <f t="shared" si="6"/>
        <v>6.389776357827559E-3</v>
      </c>
      <c r="I394" s="10"/>
      <c r="J394" s="10"/>
      <c r="K394" s="10"/>
    </row>
    <row r="395" spans="2:11" ht="13.5" x14ac:dyDescent="0.35">
      <c r="B395" s="3">
        <v>45489</v>
      </c>
      <c r="C395" s="2">
        <v>6.35</v>
      </c>
      <c r="D395" s="2">
        <v>5.9630000000000001</v>
      </c>
      <c r="E395" s="2">
        <v>5.8258979527559056</v>
      </c>
      <c r="F395" s="2">
        <v>4881</v>
      </c>
      <c r="G395" s="2">
        <v>28436.207907401575</v>
      </c>
      <c r="H395" s="11">
        <f t="shared" si="6"/>
        <v>7.9365079365079083E-3</v>
      </c>
      <c r="I395" s="10"/>
      <c r="J395" s="10"/>
      <c r="K395" s="10"/>
    </row>
    <row r="396" spans="2:11" ht="13.5" x14ac:dyDescent="0.35">
      <c r="B396" s="3">
        <v>45490</v>
      </c>
      <c r="C396" s="2">
        <v>6.33</v>
      </c>
      <c r="D396" s="2">
        <v>5.944</v>
      </c>
      <c r="E396" s="2">
        <v>5.7571349131121643</v>
      </c>
      <c r="F396" s="2">
        <v>4806</v>
      </c>
      <c r="G396" s="2">
        <v>27668.790392417061</v>
      </c>
      <c r="H396" s="11">
        <f t="shared" si="6"/>
        <v>-3.1496062992125706E-3</v>
      </c>
      <c r="I396" s="10"/>
      <c r="J396" s="10"/>
      <c r="K396" s="10"/>
    </row>
    <row r="397" spans="2:11" ht="13.5" x14ac:dyDescent="0.35">
      <c r="B397" s="3">
        <v>45491</v>
      </c>
      <c r="C397" s="2">
        <v>6.27</v>
      </c>
      <c r="D397" s="2">
        <v>5.8869999999999996</v>
      </c>
      <c r="E397" s="2">
        <v>5.8869999999999996</v>
      </c>
      <c r="F397" s="2">
        <v>5</v>
      </c>
      <c r="G397" s="2">
        <v>29.434999999999999</v>
      </c>
      <c r="H397" s="11">
        <f t="shared" si="6"/>
        <v>-9.4786729857820884E-3</v>
      </c>
      <c r="I397" s="10"/>
      <c r="J397" s="10"/>
      <c r="K397" s="10"/>
    </row>
    <row r="398" spans="2:11" ht="13.5" x14ac:dyDescent="0.35">
      <c r="B398" s="3">
        <v>45492</v>
      </c>
      <c r="C398" s="2">
        <v>6.27</v>
      </c>
      <c r="D398" s="2">
        <v>5.8869999999999996</v>
      </c>
      <c r="E398" s="2">
        <v>0</v>
      </c>
      <c r="F398" s="2">
        <v>0</v>
      </c>
      <c r="G398" s="2">
        <v>0</v>
      </c>
      <c r="H398" s="11">
        <f t="shared" si="6"/>
        <v>0</v>
      </c>
      <c r="I398" s="10"/>
      <c r="J398" s="10"/>
      <c r="K398" s="10"/>
    </row>
    <row r="399" spans="2:11" ht="13.5" x14ac:dyDescent="0.35">
      <c r="B399" s="3">
        <v>45495</v>
      </c>
      <c r="C399" s="2">
        <v>6.24</v>
      </c>
      <c r="D399" s="2">
        <v>5.859</v>
      </c>
      <c r="E399" s="2">
        <v>5.7791899038461541</v>
      </c>
      <c r="F399" s="2">
        <v>910</v>
      </c>
      <c r="G399" s="2">
        <v>5259.0628125000003</v>
      </c>
      <c r="H399" s="11">
        <f t="shared" si="6"/>
        <v>-4.7846889952152249E-3</v>
      </c>
      <c r="I399" s="10"/>
      <c r="J399" s="10"/>
      <c r="K399" s="10"/>
    </row>
    <row r="400" spans="2:11" ht="13.5" x14ac:dyDescent="0.35">
      <c r="B400" s="3">
        <v>45496</v>
      </c>
      <c r="C400" s="2">
        <v>6.24</v>
      </c>
      <c r="D400" s="2">
        <v>5.859</v>
      </c>
      <c r="E400" s="2">
        <v>5.859</v>
      </c>
      <c r="F400" s="2">
        <v>11</v>
      </c>
      <c r="G400" s="2">
        <v>64.448999999999998</v>
      </c>
      <c r="H400" s="11">
        <f t="shared" si="6"/>
        <v>0</v>
      </c>
      <c r="I400" s="10"/>
      <c r="J400" s="10"/>
      <c r="K400" s="10"/>
    </row>
    <row r="401" spans="2:11" ht="13.5" x14ac:dyDescent="0.35">
      <c r="B401" s="3">
        <v>45497</v>
      </c>
      <c r="C401" s="2">
        <v>6.3</v>
      </c>
      <c r="D401" s="2">
        <v>5.9160000000000004</v>
      </c>
      <c r="E401" s="2">
        <v>5.8887676190476199</v>
      </c>
      <c r="F401" s="2">
        <v>2700</v>
      </c>
      <c r="G401" s="2">
        <v>15899.672571428573</v>
      </c>
      <c r="H401" s="11">
        <f t="shared" si="6"/>
        <v>9.6153846153845812E-3</v>
      </c>
      <c r="I401" s="10"/>
      <c r="J401" s="10"/>
      <c r="K401" s="10"/>
    </row>
    <row r="402" spans="2:11" ht="13.5" x14ac:dyDescent="0.35">
      <c r="B402" s="3">
        <v>45499</v>
      </c>
      <c r="C402" s="2">
        <v>6.28</v>
      </c>
      <c r="D402" s="2">
        <v>5.8970000000000002</v>
      </c>
      <c r="E402" s="2">
        <v>5.8857318471337576</v>
      </c>
      <c r="F402" s="2">
        <v>582</v>
      </c>
      <c r="G402" s="2">
        <v>3425.4959350318468</v>
      </c>
      <c r="H402" s="11">
        <f t="shared" si="6"/>
        <v>-3.1746031746030523E-3</v>
      </c>
      <c r="I402" s="10"/>
      <c r="J402" s="10"/>
      <c r="K402" s="10"/>
    </row>
    <row r="403" spans="2:11" ht="13.5" x14ac:dyDescent="0.35">
      <c r="B403" s="3">
        <v>45502</v>
      </c>
      <c r="C403" s="2">
        <v>6.28</v>
      </c>
      <c r="D403" s="2">
        <v>5.8970000000000002</v>
      </c>
      <c r="E403" s="2">
        <v>0</v>
      </c>
      <c r="F403" s="2">
        <v>0</v>
      </c>
      <c r="G403" s="2">
        <v>0</v>
      </c>
      <c r="H403" s="11">
        <f t="shared" si="6"/>
        <v>0</v>
      </c>
      <c r="I403" s="10"/>
      <c r="J403" s="10"/>
      <c r="K403" s="10"/>
    </row>
    <row r="404" spans="2:11" ht="13.5" x14ac:dyDescent="0.35">
      <c r="B404" s="3">
        <v>45503</v>
      </c>
      <c r="C404" s="2">
        <v>6.2</v>
      </c>
      <c r="D404" s="2">
        <v>5.8220000000000001</v>
      </c>
      <c r="E404" s="2">
        <v>5.7919509677419354</v>
      </c>
      <c r="F404" s="2">
        <v>1909</v>
      </c>
      <c r="G404" s="2">
        <v>11056.834397419354</v>
      </c>
      <c r="H404" s="11">
        <f t="shared" si="6"/>
        <v>-1.2738853503184711E-2</v>
      </c>
      <c r="I404" s="10"/>
      <c r="J404" s="10"/>
      <c r="K404" s="10"/>
    </row>
    <row r="405" spans="2:11" ht="13.5" x14ac:dyDescent="0.35">
      <c r="B405" s="3">
        <v>45504</v>
      </c>
      <c r="C405" s="2">
        <v>6.3</v>
      </c>
      <c r="D405" s="2">
        <v>5.9160000000000004</v>
      </c>
      <c r="E405" s="2">
        <v>5.7601180952380959</v>
      </c>
      <c r="F405" s="2">
        <v>1896</v>
      </c>
      <c r="G405" s="2">
        <v>10921.183908571429</v>
      </c>
      <c r="H405" s="11">
        <f t="shared" si="6"/>
        <v>1.6129032258064502E-2</v>
      </c>
      <c r="I405" s="10"/>
      <c r="J405" s="10"/>
      <c r="K405" s="10"/>
    </row>
    <row r="406" spans="2:11" ht="13.5" x14ac:dyDescent="0.35">
      <c r="B406" s="3">
        <v>45505</v>
      </c>
      <c r="C406" s="2">
        <v>6.3</v>
      </c>
      <c r="D406" s="2">
        <v>5.9160000000000004</v>
      </c>
      <c r="E406" s="2">
        <v>0</v>
      </c>
      <c r="F406" s="2">
        <v>0</v>
      </c>
      <c r="G406" s="2">
        <v>0</v>
      </c>
      <c r="H406" s="11">
        <f t="shared" si="6"/>
        <v>0</v>
      </c>
      <c r="I406" s="10"/>
      <c r="J406" s="10"/>
      <c r="K406" s="10"/>
    </row>
    <row r="407" spans="2:11" ht="13.5" x14ac:dyDescent="0.35">
      <c r="B407" s="3">
        <v>45506</v>
      </c>
      <c r="C407" s="2">
        <v>6.28</v>
      </c>
      <c r="D407" s="2">
        <v>5.8970000000000002</v>
      </c>
      <c r="E407" s="2">
        <v>5.8040377388535038</v>
      </c>
      <c r="F407" s="2">
        <v>439</v>
      </c>
      <c r="G407" s="2">
        <v>2547.9725673566882</v>
      </c>
      <c r="H407" s="11">
        <f t="shared" si="6"/>
        <v>-3.1746031746030523E-3</v>
      </c>
      <c r="I407" s="10"/>
      <c r="J407" s="10"/>
      <c r="K407" s="10"/>
    </row>
    <row r="408" spans="2:11" ht="13.5" x14ac:dyDescent="0.35">
      <c r="B408" s="3">
        <v>45509</v>
      </c>
      <c r="C408" s="2">
        <v>6.26</v>
      </c>
      <c r="D408" s="2">
        <v>5.8780000000000001</v>
      </c>
      <c r="E408" s="2">
        <v>5.8554645367412137</v>
      </c>
      <c r="F408" s="2">
        <v>352</v>
      </c>
      <c r="G408" s="2">
        <v>2061.123516932907</v>
      </c>
      <c r="H408" s="11">
        <f t="shared" si="6"/>
        <v>-3.1847133757962887E-3</v>
      </c>
      <c r="I408" s="10"/>
      <c r="J408" s="10"/>
      <c r="K408" s="10"/>
    </row>
    <row r="409" spans="2:11" ht="13.5" x14ac:dyDescent="0.35">
      <c r="B409" s="3">
        <v>45510</v>
      </c>
      <c r="C409" s="2">
        <v>6.19</v>
      </c>
      <c r="D409" s="2">
        <v>5.8120000000000003</v>
      </c>
      <c r="E409" s="2">
        <v>5.7659922455573502</v>
      </c>
      <c r="F409" s="2">
        <v>51</v>
      </c>
      <c r="G409" s="2">
        <v>294.06560452342484</v>
      </c>
      <c r="H409" s="11">
        <f t="shared" si="6"/>
        <v>-1.1182108626197951E-2</v>
      </c>
      <c r="I409" s="10"/>
      <c r="J409" s="10"/>
      <c r="K409" s="10"/>
    </row>
    <row r="410" spans="2:11" ht="13.5" x14ac:dyDescent="0.35">
      <c r="B410" s="3">
        <v>45511</v>
      </c>
      <c r="C410" s="2">
        <v>6.19</v>
      </c>
      <c r="D410" s="2">
        <v>5.8120000000000003</v>
      </c>
      <c r="E410" s="2">
        <v>0</v>
      </c>
      <c r="F410" s="2">
        <v>0</v>
      </c>
      <c r="G410" s="2">
        <v>0</v>
      </c>
      <c r="H410" s="11">
        <f t="shared" si="6"/>
        <v>0</v>
      </c>
      <c r="I410" s="10"/>
      <c r="J410" s="10"/>
      <c r="K410" s="10"/>
    </row>
    <row r="411" spans="2:11" ht="13.5" x14ac:dyDescent="0.35">
      <c r="B411" s="3">
        <v>45512</v>
      </c>
      <c r="C411" s="2">
        <v>6.19</v>
      </c>
      <c r="D411" s="2">
        <v>5.8120000000000003</v>
      </c>
      <c r="E411" s="2">
        <v>0</v>
      </c>
      <c r="F411" s="2">
        <v>0</v>
      </c>
      <c r="G411" s="2">
        <v>0</v>
      </c>
      <c r="H411" s="11">
        <f t="shared" si="6"/>
        <v>0</v>
      </c>
      <c r="I411" s="10"/>
      <c r="J411" s="10"/>
      <c r="K411" s="10"/>
    </row>
    <row r="412" spans="2:11" ht="13.5" x14ac:dyDescent="0.35">
      <c r="B412" s="3">
        <v>45513</v>
      </c>
      <c r="C412" s="2">
        <v>6.19</v>
      </c>
      <c r="D412" s="2">
        <v>5.8120000000000003</v>
      </c>
      <c r="E412" s="2">
        <v>0</v>
      </c>
      <c r="F412" s="2">
        <v>0</v>
      </c>
      <c r="G412" s="2">
        <v>0</v>
      </c>
      <c r="H412" s="11">
        <f t="shared" si="6"/>
        <v>0</v>
      </c>
      <c r="I412" s="10"/>
      <c r="J412" s="10"/>
      <c r="K412" s="10"/>
    </row>
    <row r="413" spans="2:11" ht="13.5" x14ac:dyDescent="0.35">
      <c r="B413" s="3">
        <v>45516</v>
      </c>
      <c r="C413" s="2">
        <v>6.16</v>
      </c>
      <c r="D413" s="2">
        <v>5.7839999999999998</v>
      </c>
      <c r="E413" s="2">
        <v>5.5868181818181819</v>
      </c>
      <c r="F413" s="2">
        <v>118020</v>
      </c>
      <c r="G413" s="2">
        <v>659356.28181818186</v>
      </c>
      <c r="H413" s="11">
        <f t="shared" si="6"/>
        <v>-4.846526655896688E-3</v>
      </c>
      <c r="I413" s="10"/>
      <c r="J413" s="10"/>
      <c r="K413" s="10"/>
    </row>
    <row r="414" spans="2:11" ht="13.5" x14ac:dyDescent="0.35">
      <c r="B414" s="3">
        <v>45518</v>
      </c>
      <c r="C414" s="2">
        <v>6.1</v>
      </c>
      <c r="D414" s="2">
        <v>5.7279999999999998</v>
      </c>
      <c r="E414" s="2">
        <v>5.7279999999999998</v>
      </c>
      <c r="F414" s="2">
        <v>10</v>
      </c>
      <c r="G414" s="2">
        <v>57.28</v>
      </c>
      <c r="H414" s="11">
        <f t="shared" si="6"/>
        <v>-9.7402597402598268E-3</v>
      </c>
      <c r="I414" s="10"/>
      <c r="J414" s="10"/>
      <c r="K414" s="10"/>
    </row>
    <row r="415" spans="2:11" ht="13.5" x14ac:dyDescent="0.35">
      <c r="B415" s="3">
        <v>45519</v>
      </c>
      <c r="C415" s="2">
        <v>6.09</v>
      </c>
      <c r="D415" s="2">
        <v>5.718</v>
      </c>
      <c r="E415" s="2">
        <v>5.6353753694581279</v>
      </c>
      <c r="F415" s="2">
        <v>3137</v>
      </c>
      <c r="G415" s="2">
        <v>17678.172533990146</v>
      </c>
      <c r="H415" s="11">
        <f t="shared" si="6"/>
        <v>-1.6393442622950616E-3</v>
      </c>
      <c r="I415" s="10"/>
      <c r="J415" s="10"/>
      <c r="K415" s="10"/>
    </row>
    <row r="416" spans="2:11" ht="13.5" x14ac:dyDescent="0.35">
      <c r="B416" s="3">
        <v>45520</v>
      </c>
      <c r="C416" s="2">
        <v>6.09</v>
      </c>
      <c r="D416" s="2">
        <v>5.718</v>
      </c>
      <c r="E416" s="2">
        <v>5.718</v>
      </c>
      <c r="F416" s="2">
        <v>100</v>
      </c>
      <c r="G416" s="2">
        <v>571.79999999999995</v>
      </c>
      <c r="H416" s="11">
        <f t="shared" si="6"/>
        <v>0</v>
      </c>
      <c r="I416" s="10"/>
      <c r="J416" s="10"/>
      <c r="K416" s="10"/>
    </row>
    <row r="417" spans="2:11" ht="13.5" x14ac:dyDescent="0.35">
      <c r="B417" s="3">
        <v>45523</v>
      </c>
      <c r="C417" s="2">
        <v>6.09</v>
      </c>
      <c r="D417" s="2">
        <v>5.718</v>
      </c>
      <c r="E417" s="2">
        <v>0</v>
      </c>
      <c r="F417" s="2">
        <v>0</v>
      </c>
      <c r="G417" s="2">
        <v>0</v>
      </c>
      <c r="H417" s="11">
        <f t="shared" si="6"/>
        <v>0</v>
      </c>
      <c r="I417" s="10"/>
      <c r="J417" s="10"/>
      <c r="K417" s="10"/>
    </row>
    <row r="418" spans="2:11" ht="13.5" x14ac:dyDescent="0.35">
      <c r="B418" s="3">
        <v>45524</v>
      </c>
      <c r="C418" s="2">
        <v>6.09</v>
      </c>
      <c r="D418" s="2">
        <v>5.718</v>
      </c>
      <c r="E418" s="2">
        <v>0</v>
      </c>
      <c r="F418" s="2">
        <v>0</v>
      </c>
      <c r="G418" s="2">
        <v>0</v>
      </c>
      <c r="H418" s="11">
        <f t="shared" si="6"/>
        <v>0</v>
      </c>
      <c r="I418" s="10"/>
      <c r="J418" s="10"/>
      <c r="K418" s="10"/>
    </row>
    <row r="419" spans="2:11" ht="13.5" x14ac:dyDescent="0.35">
      <c r="B419" s="3">
        <v>45525</v>
      </c>
      <c r="C419" s="2">
        <v>6</v>
      </c>
      <c r="D419" s="2">
        <v>5.6340000000000003</v>
      </c>
      <c r="E419" s="2">
        <v>5.6152200000000008</v>
      </c>
      <c r="F419" s="2">
        <v>843</v>
      </c>
      <c r="G419" s="2">
        <v>4733.6304600000003</v>
      </c>
      <c r="H419" s="11">
        <f t="shared" si="6"/>
        <v>-1.4778325123152691E-2</v>
      </c>
      <c r="I419" s="10"/>
      <c r="J419" s="10"/>
      <c r="K419" s="10"/>
    </row>
    <row r="420" spans="2:11" ht="13.5" x14ac:dyDescent="0.35">
      <c r="B420" s="3">
        <v>45526</v>
      </c>
      <c r="C420" s="2">
        <v>6</v>
      </c>
      <c r="D420" s="2">
        <v>5.6340000000000003</v>
      </c>
      <c r="E420" s="2">
        <v>0</v>
      </c>
      <c r="F420" s="2">
        <v>0</v>
      </c>
      <c r="G420" s="2">
        <v>0</v>
      </c>
      <c r="H420" s="11">
        <f t="shared" si="6"/>
        <v>0</v>
      </c>
      <c r="I420" s="10"/>
      <c r="J420" s="10"/>
      <c r="K420" s="10"/>
    </row>
    <row r="421" spans="2:11" ht="13.5" x14ac:dyDescent="0.35">
      <c r="B421" s="3">
        <v>45527</v>
      </c>
      <c r="C421" s="2">
        <v>6</v>
      </c>
      <c r="D421" s="2">
        <v>5.6340000000000003</v>
      </c>
      <c r="E421" s="2">
        <v>0</v>
      </c>
      <c r="F421" s="2">
        <v>0</v>
      </c>
      <c r="G421" s="2">
        <v>0</v>
      </c>
      <c r="H421" s="11">
        <f t="shared" si="6"/>
        <v>0</v>
      </c>
      <c r="I421" s="10"/>
      <c r="J421" s="10"/>
      <c r="K421" s="10"/>
    </row>
    <row r="422" spans="2:11" ht="13.5" x14ac:dyDescent="0.35">
      <c r="B422" s="3">
        <v>45530</v>
      </c>
      <c r="C422" s="2">
        <v>6</v>
      </c>
      <c r="D422" s="2">
        <v>5.6340000000000003</v>
      </c>
      <c r="E422" s="2">
        <v>0</v>
      </c>
      <c r="F422" s="2">
        <v>0</v>
      </c>
      <c r="G422" s="2">
        <v>0</v>
      </c>
      <c r="H422" s="11">
        <f t="shared" si="6"/>
        <v>0</v>
      </c>
      <c r="I422" s="10"/>
      <c r="J422" s="10"/>
      <c r="K422" s="10"/>
    </row>
    <row r="423" spans="2:11" ht="13.5" x14ac:dyDescent="0.35">
      <c r="B423" s="3">
        <v>45531</v>
      </c>
      <c r="C423" s="2">
        <v>5.99</v>
      </c>
      <c r="D423" s="2">
        <v>5.625</v>
      </c>
      <c r="E423" s="2">
        <v>5.625</v>
      </c>
      <c r="F423" s="2">
        <v>571</v>
      </c>
      <c r="G423" s="2">
        <v>3211.875</v>
      </c>
      <c r="H423" s="11">
        <f t="shared" si="6"/>
        <v>-1.6666666666665941E-3</v>
      </c>
      <c r="I423" s="10"/>
      <c r="J423" s="10"/>
      <c r="K423" s="10"/>
    </row>
    <row r="424" spans="2:11" ht="13.5" x14ac:dyDescent="0.35">
      <c r="B424" s="3">
        <v>45532</v>
      </c>
      <c r="C424" s="2">
        <v>6</v>
      </c>
      <c r="D424" s="2">
        <v>5.6340000000000003</v>
      </c>
      <c r="E424" s="2">
        <v>5.5692090000000007</v>
      </c>
      <c r="F424" s="2">
        <v>865</v>
      </c>
      <c r="G424" s="2">
        <v>4817.3657850000009</v>
      </c>
      <c r="H424" s="11">
        <f t="shared" si="6"/>
        <v>1.6694490818029983E-3</v>
      </c>
      <c r="I424" s="10"/>
      <c r="J424" s="10"/>
      <c r="K424" s="10"/>
    </row>
    <row r="425" spans="2:11" ht="13.5" x14ac:dyDescent="0.35">
      <c r="B425" s="3">
        <v>45533</v>
      </c>
      <c r="C425" s="2">
        <v>6</v>
      </c>
      <c r="D425" s="2">
        <v>5.6340000000000003</v>
      </c>
      <c r="E425" s="2">
        <v>0</v>
      </c>
      <c r="F425" s="2">
        <v>0</v>
      </c>
      <c r="G425" s="2">
        <v>0</v>
      </c>
      <c r="H425" s="11">
        <f t="shared" si="6"/>
        <v>0</v>
      </c>
      <c r="I425" s="10"/>
      <c r="J425" s="10"/>
      <c r="K425" s="10"/>
    </row>
    <row r="426" spans="2:11" ht="13.5" x14ac:dyDescent="0.35">
      <c r="B426" s="3">
        <v>45534</v>
      </c>
      <c r="C426" s="2">
        <v>6.05</v>
      </c>
      <c r="D426" s="2">
        <v>5.681</v>
      </c>
      <c r="E426" s="2">
        <v>5.681</v>
      </c>
      <c r="F426" s="2">
        <v>200</v>
      </c>
      <c r="G426" s="2">
        <v>1136.2</v>
      </c>
      <c r="H426" s="11">
        <f t="shared" si="6"/>
        <v>8.3333333333333037E-3</v>
      </c>
      <c r="I426" s="10"/>
      <c r="J426" s="10"/>
      <c r="K426" s="10"/>
    </row>
    <row r="427" spans="2:11" ht="13.5" x14ac:dyDescent="0.35">
      <c r="B427" s="3">
        <v>45537</v>
      </c>
      <c r="C427" s="2">
        <v>6</v>
      </c>
      <c r="D427" s="2">
        <v>5.6340000000000003</v>
      </c>
      <c r="E427" s="2">
        <v>5.5663920000000005</v>
      </c>
      <c r="F427" s="2">
        <v>3120</v>
      </c>
      <c r="G427" s="2">
        <v>17367.143040000003</v>
      </c>
      <c r="H427" s="11">
        <f t="shared" si="6"/>
        <v>-8.2644628099173278E-3</v>
      </c>
      <c r="I427" s="10"/>
      <c r="J427" s="10"/>
      <c r="K427" s="10"/>
    </row>
    <row r="428" spans="2:11" ht="13.5" x14ac:dyDescent="0.35">
      <c r="B428" s="3">
        <v>45538</v>
      </c>
      <c r="C428" s="2">
        <v>6.03</v>
      </c>
      <c r="D428" s="2">
        <v>5.6619999999999999</v>
      </c>
      <c r="E428" s="2">
        <v>5.625380099502487</v>
      </c>
      <c r="F428" s="2">
        <v>510</v>
      </c>
      <c r="G428" s="2">
        <v>2868.9438507462683</v>
      </c>
      <c r="H428" s="11">
        <f t="shared" si="6"/>
        <v>5.0000000000001155E-3</v>
      </c>
      <c r="I428" s="10"/>
      <c r="J428" s="10"/>
      <c r="K428" s="10"/>
    </row>
    <row r="429" spans="2:11" ht="13.5" x14ac:dyDescent="0.35">
      <c r="B429" s="3">
        <v>45539</v>
      </c>
      <c r="C429" s="2">
        <v>6</v>
      </c>
      <c r="D429" s="2">
        <v>5.6340000000000003</v>
      </c>
      <c r="E429" s="2">
        <v>5.6340000000000003</v>
      </c>
      <c r="F429" s="2">
        <v>500</v>
      </c>
      <c r="G429" s="2">
        <v>2817</v>
      </c>
      <c r="H429" s="11">
        <f t="shared" si="6"/>
        <v>-4.9751243781095411E-3</v>
      </c>
      <c r="I429" s="10"/>
      <c r="J429" s="10"/>
      <c r="K429" s="10"/>
    </row>
    <row r="430" spans="2:11" ht="13.5" x14ac:dyDescent="0.35">
      <c r="B430" s="3">
        <v>45540</v>
      </c>
      <c r="C430" s="2">
        <v>6</v>
      </c>
      <c r="D430" s="2">
        <v>5.6340000000000003</v>
      </c>
      <c r="E430" s="2">
        <v>5.6340000000000003</v>
      </c>
      <c r="F430" s="2">
        <v>145</v>
      </c>
      <c r="G430" s="2">
        <v>816.93000000000006</v>
      </c>
      <c r="H430" s="11">
        <f t="shared" si="6"/>
        <v>0</v>
      </c>
      <c r="I430" s="10"/>
      <c r="J430" s="10"/>
      <c r="K430" s="10"/>
    </row>
    <row r="431" spans="2:11" ht="13.5" x14ac:dyDescent="0.35">
      <c r="B431" s="3">
        <v>45541</v>
      </c>
      <c r="C431" s="2">
        <v>6</v>
      </c>
      <c r="D431" s="2">
        <v>5.6340000000000003</v>
      </c>
      <c r="E431" s="2">
        <v>0</v>
      </c>
      <c r="F431" s="2">
        <v>0</v>
      </c>
      <c r="G431" s="2">
        <v>0</v>
      </c>
      <c r="H431" s="11">
        <f t="shared" si="6"/>
        <v>0</v>
      </c>
      <c r="I431" s="10"/>
      <c r="J431" s="10"/>
      <c r="K431" s="10"/>
    </row>
    <row r="432" spans="2:11" ht="13.5" x14ac:dyDescent="0.35">
      <c r="B432" s="3">
        <v>45544</v>
      </c>
      <c r="C432" s="2">
        <v>5.98</v>
      </c>
      <c r="D432" s="2">
        <v>5.6150000000000002</v>
      </c>
      <c r="E432" s="2">
        <v>5.4469255852842808</v>
      </c>
      <c r="F432" s="2">
        <v>2836</v>
      </c>
      <c r="G432" s="2">
        <v>15447.48095986622</v>
      </c>
      <c r="H432" s="11">
        <f t="shared" si="6"/>
        <v>-3.3333333333332993E-3</v>
      </c>
      <c r="I432" s="10"/>
      <c r="J432" s="10"/>
      <c r="K432" s="10"/>
    </row>
    <row r="433" spans="2:11" ht="13.5" x14ac:dyDescent="0.35">
      <c r="B433" s="3">
        <v>45545</v>
      </c>
      <c r="C433" s="2">
        <v>5.98</v>
      </c>
      <c r="D433" s="2">
        <v>5.6150000000000002</v>
      </c>
      <c r="E433" s="2">
        <v>5.6056103678929761</v>
      </c>
      <c r="F433" s="2">
        <v>1252</v>
      </c>
      <c r="G433" s="2">
        <v>7018.2241806020056</v>
      </c>
      <c r="H433" s="11">
        <f t="shared" si="6"/>
        <v>0</v>
      </c>
      <c r="I433" s="10"/>
      <c r="J433" s="10"/>
      <c r="K433" s="10"/>
    </row>
    <row r="434" spans="2:11" ht="13.5" x14ac:dyDescent="0.35">
      <c r="B434" s="3">
        <v>45546</v>
      </c>
      <c r="C434" s="2">
        <v>5.98</v>
      </c>
      <c r="D434" s="2">
        <v>5.6150000000000002</v>
      </c>
      <c r="E434" s="2">
        <v>0</v>
      </c>
      <c r="F434" s="2">
        <v>0</v>
      </c>
      <c r="G434" s="2">
        <v>0</v>
      </c>
      <c r="H434" s="11">
        <f t="shared" si="6"/>
        <v>0</v>
      </c>
      <c r="I434" s="10"/>
      <c r="J434" s="10"/>
      <c r="K434" s="10"/>
    </row>
    <row r="435" spans="2:11" ht="13.5" x14ac:dyDescent="0.35">
      <c r="B435" s="3">
        <v>45547</v>
      </c>
      <c r="C435" s="2">
        <v>5.98</v>
      </c>
      <c r="D435" s="2">
        <v>5.6150000000000002</v>
      </c>
      <c r="E435" s="2">
        <v>0</v>
      </c>
      <c r="F435" s="2">
        <v>0</v>
      </c>
      <c r="G435" s="2">
        <v>0</v>
      </c>
      <c r="H435" s="11">
        <f t="shared" si="6"/>
        <v>0</v>
      </c>
      <c r="I435" s="10"/>
      <c r="J435" s="10"/>
      <c r="K435" s="10"/>
    </row>
    <row r="436" spans="2:11" ht="13.5" x14ac:dyDescent="0.35">
      <c r="B436" s="3">
        <v>45548</v>
      </c>
      <c r="C436" s="2">
        <v>6</v>
      </c>
      <c r="D436" s="2">
        <v>5.6340000000000003</v>
      </c>
      <c r="E436" s="2">
        <v>5.6405729999999998</v>
      </c>
      <c r="F436" s="2">
        <v>14500</v>
      </c>
      <c r="G436" s="2">
        <v>81788.308499999999</v>
      </c>
      <c r="H436" s="11">
        <f t="shared" si="6"/>
        <v>3.3444816053511683E-3</v>
      </c>
      <c r="I436" s="10"/>
      <c r="J436" s="10"/>
      <c r="K436" s="10"/>
    </row>
    <row r="437" spans="2:11" ht="13.5" x14ac:dyDescent="0.35">
      <c r="B437" s="3">
        <v>45551</v>
      </c>
      <c r="C437" s="2">
        <v>6</v>
      </c>
      <c r="D437" s="2">
        <v>5.6340000000000003</v>
      </c>
      <c r="E437" s="2">
        <v>0</v>
      </c>
      <c r="F437" s="2">
        <v>0</v>
      </c>
      <c r="G437" s="2">
        <v>0</v>
      </c>
      <c r="H437" s="11">
        <f t="shared" si="6"/>
        <v>0</v>
      </c>
      <c r="I437" s="10"/>
      <c r="J437" s="10"/>
      <c r="K437" s="10"/>
    </row>
    <row r="438" spans="2:11" ht="13.5" x14ac:dyDescent="0.35">
      <c r="B438" s="3">
        <v>45552</v>
      </c>
      <c r="C438" s="2">
        <v>6</v>
      </c>
      <c r="D438" s="2">
        <v>5.6340000000000003</v>
      </c>
      <c r="E438" s="2">
        <v>0</v>
      </c>
      <c r="F438" s="2">
        <v>0</v>
      </c>
      <c r="G438" s="2">
        <v>0</v>
      </c>
      <c r="H438" s="11">
        <f t="shared" si="6"/>
        <v>0</v>
      </c>
      <c r="I438" s="10"/>
      <c r="J438" s="10"/>
      <c r="K438" s="10"/>
    </row>
    <row r="439" spans="2:11" ht="13.5" x14ac:dyDescent="0.35">
      <c r="B439" s="3">
        <v>45553</v>
      </c>
      <c r="C439" s="2">
        <v>6</v>
      </c>
      <c r="D439" s="2">
        <v>5.6340000000000003</v>
      </c>
      <c r="E439" s="2">
        <v>5.6340000000000003</v>
      </c>
      <c r="F439" s="2">
        <v>206229</v>
      </c>
      <c r="G439" s="2">
        <v>1161894.186</v>
      </c>
      <c r="H439" s="11">
        <f t="shared" si="6"/>
        <v>0</v>
      </c>
      <c r="I439" s="10"/>
      <c r="J439" s="10"/>
      <c r="K439" s="10"/>
    </row>
    <row r="440" spans="2:11" ht="13.5" x14ac:dyDescent="0.35">
      <c r="B440" s="3">
        <v>45554</v>
      </c>
      <c r="C440" s="2">
        <v>6.1</v>
      </c>
      <c r="D440" s="2">
        <v>5.7279999999999998</v>
      </c>
      <c r="E440" s="2">
        <v>5.7242439344262301</v>
      </c>
      <c r="F440" s="2">
        <v>85074</v>
      </c>
      <c r="G440" s="2">
        <v>486984.32847737713</v>
      </c>
      <c r="H440" s="11">
        <f t="shared" si="6"/>
        <v>1.6666666666666607E-2</v>
      </c>
      <c r="I440" s="10"/>
      <c r="J440" s="10"/>
      <c r="K440" s="10"/>
    </row>
    <row r="441" spans="2:11" ht="13.5" x14ac:dyDescent="0.35">
      <c r="B441" s="3">
        <v>45555</v>
      </c>
      <c r="C441" s="2">
        <v>6.14</v>
      </c>
      <c r="D441" s="2">
        <v>5.7649999999999997</v>
      </c>
      <c r="E441" s="2">
        <v>5.7743892508143322</v>
      </c>
      <c r="F441" s="2">
        <v>48953</v>
      </c>
      <c r="G441" s="2">
        <v>282673.67699511402</v>
      </c>
      <c r="H441" s="11">
        <f t="shared" si="6"/>
        <v>6.5573770491802463E-3</v>
      </c>
      <c r="I441" s="10"/>
      <c r="J441" s="10"/>
      <c r="K441" s="10"/>
    </row>
    <row r="442" spans="2:11" ht="13.5" x14ac:dyDescent="0.35">
      <c r="B442" s="3">
        <v>45558</v>
      </c>
      <c r="C442" s="2">
        <v>6.15</v>
      </c>
      <c r="D442" s="2">
        <v>5.7750000000000004</v>
      </c>
      <c r="E442" s="2">
        <v>5.7740609756097561</v>
      </c>
      <c r="F442" s="2">
        <v>7324</v>
      </c>
      <c r="G442" s="2">
        <v>42289.222585365853</v>
      </c>
      <c r="H442" s="11">
        <f t="shared" si="6"/>
        <v>1.6286644951140072E-3</v>
      </c>
      <c r="I442" s="10"/>
      <c r="J442" s="10"/>
      <c r="K442" s="10"/>
    </row>
    <row r="443" spans="2:11" ht="13.5" x14ac:dyDescent="0.35">
      <c r="B443" s="3">
        <v>45559</v>
      </c>
      <c r="C443" s="2">
        <v>6.15</v>
      </c>
      <c r="D443" s="2">
        <v>5.7750000000000004</v>
      </c>
      <c r="E443" s="2">
        <v>5.7139634146341463</v>
      </c>
      <c r="F443" s="2">
        <v>153</v>
      </c>
      <c r="G443" s="2">
        <v>874.23640243902435</v>
      </c>
      <c r="H443" s="11">
        <f t="shared" si="6"/>
        <v>0</v>
      </c>
      <c r="I443" s="10"/>
      <c r="J443" s="10"/>
      <c r="K443" s="10"/>
    </row>
    <row r="444" spans="2:11" ht="13.5" x14ac:dyDescent="0.35">
      <c r="B444" s="3">
        <v>45560</v>
      </c>
      <c r="C444" s="2">
        <v>6.14</v>
      </c>
      <c r="D444" s="2">
        <v>5.7649999999999997</v>
      </c>
      <c r="E444" s="2">
        <v>5.7649999999999997</v>
      </c>
      <c r="F444" s="2">
        <v>7200</v>
      </c>
      <c r="G444" s="2">
        <v>41508</v>
      </c>
      <c r="H444" s="11">
        <f t="shared" si="6"/>
        <v>-1.6260162601626771E-3</v>
      </c>
      <c r="I444" s="10"/>
      <c r="J444" s="10"/>
      <c r="K444" s="10"/>
    </row>
    <row r="445" spans="2:11" ht="13.5" x14ac:dyDescent="0.35">
      <c r="B445" s="3">
        <v>45561</v>
      </c>
      <c r="C445" s="2">
        <v>6.15</v>
      </c>
      <c r="D445" s="2">
        <v>5.7750000000000004</v>
      </c>
      <c r="E445" s="2">
        <v>5.7599756097560979</v>
      </c>
      <c r="F445" s="2">
        <v>12132</v>
      </c>
      <c r="G445" s="2">
        <v>69880.024097560978</v>
      </c>
      <c r="H445" s="11">
        <f t="shared" si="6"/>
        <v>1.6286644951140072E-3</v>
      </c>
      <c r="I445" s="10"/>
      <c r="J445" s="10"/>
      <c r="K445" s="10"/>
    </row>
    <row r="446" spans="2:11" ht="13.5" x14ac:dyDescent="0.35">
      <c r="B446" s="3">
        <v>45562</v>
      </c>
      <c r="C446" s="2">
        <v>6.2</v>
      </c>
      <c r="D446" s="2">
        <v>5.8220000000000001</v>
      </c>
      <c r="E446" s="2">
        <v>5.7806825806451609</v>
      </c>
      <c r="F446" s="2">
        <v>9033</v>
      </c>
      <c r="G446" s="2">
        <v>52216.905750967737</v>
      </c>
      <c r="H446" s="11">
        <f t="shared" si="6"/>
        <v>8.1300813008129413E-3</v>
      </c>
      <c r="I446" s="10"/>
      <c r="J446" s="10"/>
      <c r="K446" s="10"/>
    </row>
    <row r="447" spans="2:11" ht="13.5" x14ac:dyDescent="0.35">
      <c r="B447" s="3">
        <v>45565</v>
      </c>
      <c r="C447" s="2">
        <v>6.2</v>
      </c>
      <c r="D447" s="2">
        <v>5.8220000000000001</v>
      </c>
      <c r="E447" s="2">
        <v>5.8201219354838711</v>
      </c>
      <c r="F447" s="2">
        <v>11370</v>
      </c>
      <c r="G447" s="2">
        <v>66174.786406451618</v>
      </c>
      <c r="H447" s="11">
        <f t="shared" si="6"/>
        <v>0</v>
      </c>
      <c r="I447" s="10"/>
      <c r="J447" s="10"/>
      <c r="K447" s="10"/>
    </row>
    <row r="448" spans="2:11" ht="13.5" x14ac:dyDescent="0.35">
      <c r="B448" s="3">
        <v>45566</v>
      </c>
      <c r="C448" s="2">
        <v>6.2</v>
      </c>
      <c r="D448" s="2">
        <v>5.8220000000000001</v>
      </c>
      <c r="E448" s="2">
        <v>5.7750483870967741</v>
      </c>
      <c r="F448" s="2">
        <v>9260</v>
      </c>
      <c r="G448" s="2">
        <v>53476.948064516131</v>
      </c>
      <c r="H448" s="11">
        <f t="shared" si="6"/>
        <v>0</v>
      </c>
      <c r="I448" s="10"/>
      <c r="J448" s="10"/>
      <c r="K448" s="10"/>
    </row>
    <row r="449" spans="2:11" ht="13.5" x14ac:dyDescent="0.35">
      <c r="B449" s="3">
        <v>45567</v>
      </c>
      <c r="C449" s="2">
        <v>6.19</v>
      </c>
      <c r="D449" s="2">
        <v>5.8120000000000003</v>
      </c>
      <c r="E449" s="2">
        <v>5.8120000000000003</v>
      </c>
      <c r="F449" s="2">
        <v>2656</v>
      </c>
      <c r="G449" s="2">
        <v>15436.672</v>
      </c>
      <c r="H449" s="11">
        <f t="shared" si="6"/>
        <v>-1.612903225806428E-3</v>
      </c>
      <c r="I449" s="10"/>
      <c r="J449" s="10"/>
      <c r="K449" s="10"/>
    </row>
    <row r="450" spans="2:11" ht="13.5" x14ac:dyDescent="0.35">
      <c r="B450" s="3">
        <v>45568</v>
      </c>
      <c r="C450" s="2">
        <v>6.15</v>
      </c>
      <c r="D450" s="2">
        <v>5.7750000000000004</v>
      </c>
      <c r="E450" s="2">
        <v>5.7750000000000004</v>
      </c>
      <c r="F450" s="2">
        <v>2350</v>
      </c>
      <c r="G450" s="2">
        <v>13571.25</v>
      </c>
      <c r="H450" s="11">
        <f t="shared" si="6"/>
        <v>-6.4620355411955099E-3</v>
      </c>
      <c r="I450" s="10"/>
      <c r="J450" s="10"/>
      <c r="K450" s="10"/>
    </row>
    <row r="451" spans="2:11" ht="13.5" x14ac:dyDescent="0.35">
      <c r="B451" s="3">
        <v>45569</v>
      </c>
      <c r="C451" s="2">
        <v>6.15</v>
      </c>
      <c r="D451" s="2">
        <v>5.7750000000000004</v>
      </c>
      <c r="E451" s="2">
        <v>0</v>
      </c>
      <c r="F451" s="2">
        <v>0</v>
      </c>
      <c r="G451" s="2">
        <v>0</v>
      </c>
      <c r="H451" s="11">
        <f t="shared" si="6"/>
        <v>0</v>
      </c>
      <c r="I451" s="10"/>
      <c r="J451" s="10"/>
      <c r="K451" s="10"/>
    </row>
    <row r="452" spans="2:11" ht="13.5" x14ac:dyDescent="0.35">
      <c r="B452" s="3">
        <v>45572</v>
      </c>
      <c r="C452" s="2">
        <v>6.2</v>
      </c>
      <c r="D452" s="2">
        <v>5.8220000000000001</v>
      </c>
      <c r="E452" s="2">
        <v>5.7881948387096767</v>
      </c>
      <c r="F452" s="2">
        <v>13942</v>
      </c>
      <c r="G452" s="2">
        <v>80699.01244129031</v>
      </c>
      <c r="H452" s="11">
        <f t="shared" si="6"/>
        <v>8.1300813008129413E-3</v>
      </c>
      <c r="I452" s="10"/>
      <c r="J452" s="10"/>
      <c r="K452" s="10"/>
    </row>
    <row r="453" spans="2:11" ht="13.5" x14ac:dyDescent="0.35">
      <c r="B453" s="3">
        <v>45573</v>
      </c>
      <c r="C453" s="2">
        <v>6.03</v>
      </c>
      <c r="D453" s="2">
        <v>5.6619999999999999</v>
      </c>
      <c r="E453" s="2">
        <v>5.6629389718076277</v>
      </c>
      <c r="F453" s="2">
        <v>1337</v>
      </c>
      <c r="G453" s="2">
        <v>7571.349405306798</v>
      </c>
      <c r="H453" s="11">
        <f t="shared" si="6"/>
        <v>-2.741935483870972E-2</v>
      </c>
      <c r="I453" s="10"/>
      <c r="J453" s="10"/>
      <c r="K453" s="10"/>
    </row>
    <row r="454" spans="2:11" ht="13.5" x14ac:dyDescent="0.35">
      <c r="B454" s="3">
        <v>45574</v>
      </c>
      <c r="C454" s="2">
        <v>6.15</v>
      </c>
      <c r="D454" s="2">
        <v>5.7750000000000004</v>
      </c>
      <c r="E454" s="2">
        <v>5.7102073170731718</v>
      </c>
      <c r="F454" s="2">
        <v>558</v>
      </c>
      <c r="G454" s="2">
        <v>3186.2956829268296</v>
      </c>
      <c r="H454" s="11">
        <f t="shared" si="6"/>
        <v>1.990049751243772E-2</v>
      </c>
      <c r="I454" s="10"/>
      <c r="J454" s="10"/>
      <c r="K454" s="10"/>
    </row>
    <row r="455" spans="2:11" ht="13.5" x14ac:dyDescent="0.35">
      <c r="B455" s="3">
        <v>45575</v>
      </c>
      <c r="C455" s="2">
        <v>6.15</v>
      </c>
      <c r="D455" s="2">
        <v>5.7750000000000004</v>
      </c>
      <c r="E455" s="2">
        <v>5.7468292682926831</v>
      </c>
      <c r="F455" s="2">
        <v>2895</v>
      </c>
      <c r="G455" s="2">
        <v>16637.070731707317</v>
      </c>
      <c r="H455" s="11">
        <f t="shared" ref="H455:H518" si="7">C455/C454-1</f>
        <v>0</v>
      </c>
      <c r="I455" s="10"/>
      <c r="J455" s="10"/>
      <c r="K455" s="10"/>
    </row>
    <row r="456" spans="2:11" ht="13.5" x14ac:dyDescent="0.35">
      <c r="B456" s="3">
        <v>45576</v>
      </c>
      <c r="C456" s="2">
        <v>6.23</v>
      </c>
      <c r="D456" s="2">
        <v>5.85</v>
      </c>
      <c r="E456" s="2">
        <v>5.7739406099518451</v>
      </c>
      <c r="F456" s="2">
        <v>1600</v>
      </c>
      <c r="G456" s="2">
        <v>9238.3049759229525</v>
      </c>
      <c r="H456" s="11">
        <f t="shared" si="7"/>
        <v>1.3008130081300751E-2</v>
      </c>
      <c r="I456" s="10"/>
      <c r="J456" s="10"/>
      <c r="K456" s="10"/>
    </row>
    <row r="457" spans="2:11" ht="13.5" x14ac:dyDescent="0.35">
      <c r="B457" s="3">
        <v>45579</v>
      </c>
      <c r="C457" s="2">
        <v>6.08</v>
      </c>
      <c r="D457" s="2">
        <v>5.7089999999999996</v>
      </c>
      <c r="E457" s="2">
        <v>5.683647532894736</v>
      </c>
      <c r="F457" s="2">
        <v>4823</v>
      </c>
      <c r="G457" s="2">
        <v>27412.232051151313</v>
      </c>
      <c r="H457" s="11">
        <f t="shared" si="7"/>
        <v>-2.4077046548956704E-2</v>
      </c>
      <c r="I457" s="10"/>
      <c r="J457" s="10"/>
      <c r="K457" s="10"/>
    </row>
    <row r="458" spans="2:11" ht="13.5" x14ac:dyDescent="0.35">
      <c r="B458" s="3">
        <v>45581</v>
      </c>
      <c r="C458" s="2">
        <v>6.15</v>
      </c>
      <c r="D458" s="2">
        <v>5.7750000000000004</v>
      </c>
      <c r="E458" s="2">
        <v>5.6782804878048783</v>
      </c>
      <c r="F458" s="2">
        <v>2530</v>
      </c>
      <c r="G458" s="2">
        <v>14366.049634146342</v>
      </c>
      <c r="H458" s="11">
        <f t="shared" si="7"/>
        <v>1.1513157894736947E-2</v>
      </c>
      <c r="I458" s="10"/>
      <c r="J458" s="10"/>
      <c r="K458" s="10"/>
    </row>
    <row r="459" spans="2:11" ht="13.5" x14ac:dyDescent="0.35">
      <c r="B459" s="3">
        <v>45582</v>
      </c>
      <c r="C459" s="2">
        <v>6.15</v>
      </c>
      <c r="D459" s="2">
        <v>5.7750000000000004</v>
      </c>
      <c r="E459" s="2">
        <v>5.7750000000000004</v>
      </c>
      <c r="F459" s="2">
        <v>600</v>
      </c>
      <c r="G459" s="2">
        <v>3465</v>
      </c>
      <c r="H459" s="11">
        <f t="shared" si="7"/>
        <v>0</v>
      </c>
      <c r="I459" s="10"/>
      <c r="J459" s="10"/>
      <c r="K459" s="10"/>
    </row>
    <row r="460" spans="2:11" ht="13.5" x14ac:dyDescent="0.35">
      <c r="B460" s="3">
        <v>45583</v>
      </c>
      <c r="C460" s="2">
        <v>6.23</v>
      </c>
      <c r="D460" s="2">
        <v>5.85</v>
      </c>
      <c r="E460" s="2"/>
      <c r="F460" s="2"/>
      <c r="G460" s="2"/>
      <c r="H460" s="11">
        <f t="shared" si="7"/>
        <v>1.3008130081300751E-2</v>
      </c>
      <c r="I460" s="10"/>
      <c r="J460" s="10"/>
      <c r="K460" s="10"/>
    </row>
    <row r="461" spans="2:11" ht="13.5" x14ac:dyDescent="0.35">
      <c r="B461" s="3">
        <v>45586</v>
      </c>
      <c r="C461" s="2">
        <v>6.19</v>
      </c>
      <c r="D461" s="2">
        <v>5.8120000000000003</v>
      </c>
      <c r="E461" s="2"/>
      <c r="F461" s="2"/>
      <c r="G461" s="2"/>
      <c r="H461" s="11">
        <f t="shared" si="7"/>
        <v>-6.4205457463883953E-3</v>
      </c>
      <c r="I461" s="10"/>
      <c r="J461" s="10"/>
      <c r="K461" s="10"/>
    </row>
    <row r="462" spans="2:11" ht="13.5" x14ac:dyDescent="0.35">
      <c r="B462" s="3">
        <v>45587</v>
      </c>
      <c r="C462" s="2">
        <v>6.2</v>
      </c>
      <c r="D462" s="2">
        <v>5.8220000000000001</v>
      </c>
      <c r="E462" s="2"/>
      <c r="F462" s="2"/>
      <c r="G462" s="2"/>
      <c r="H462" s="11">
        <f t="shared" si="7"/>
        <v>1.615508885298933E-3</v>
      </c>
      <c r="I462" s="10"/>
      <c r="J462" s="10"/>
      <c r="K462" s="10"/>
    </row>
    <row r="463" spans="2:11" ht="13.5" x14ac:dyDescent="0.35">
      <c r="B463" s="3">
        <v>45588</v>
      </c>
      <c r="C463" s="2">
        <v>6.15</v>
      </c>
      <c r="D463" s="2">
        <v>5.7750000000000004</v>
      </c>
      <c r="E463" s="2"/>
      <c r="F463" s="2"/>
      <c r="G463" s="2"/>
      <c r="H463" s="11">
        <f t="shared" si="7"/>
        <v>-8.0645161290322509E-3</v>
      </c>
      <c r="I463" s="10"/>
      <c r="J463" s="10"/>
      <c r="K463" s="10"/>
    </row>
    <row r="464" spans="2:11" ht="13.5" x14ac:dyDescent="0.35">
      <c r="B464" s="3">
        <v>45589</v>
      </c>
      <c r="C464" s="2">
        <v>6.25</v>
      </c>
      <c r="D464" s="2">
        <v>5.8689999999999998</v>
      </c>
      <c r="E464" s="2"/>
      <c r="F464" s="2"/>
      <c r="G464" s="2"/>
      <c r="H464" s="11">
        <f t="shared" si="7"/>
        <v>1.6260162601625883E-2</v>
      </c>
      <c r="I464" s="10"/>
      <c r="J464" s="10"/>
      <c r="K464" s="10"/>
    </row>
    <row r="465" spans="2:11" ht="13.5" x14ac:dyDescent="0.35">
      <c r="B465" s="3">
        <v>45590</v>
      </c>
      <c r="C465" s="2">
        <v>6.25</v>
      </c>
      <c r="D465" s="2">
        <v>5.8689999999999998</v>
      </c>
      <c r="E465" s="2"/>
      <c r="F465" s="2"/>
      <c r="G465" s="2"/>
      <c r="H465" s="11">
        <f t="shared" si="7"/>
        <v>0</v>
      </c>
      <c r="I465" s="10"/>
      <c r="J465" s="10"/>
      <c r="K465" s="10"/>
    </row>
    <row r="466" spans="2:11" ht="13.5" x14ac:dyDescent="0.35">
      <c r="B466" s="3">
        <v>45593</v>
      </c>
      <c r="C466" s="2">
        <v>6.25</v>
      </c>
      <c r="D466" s="2">
        <v>5.8689999999999998</v>
      </c>
      <c r="E466" s="2"/>
      <c r="F466" s="2"/>
      <c r="G466" s="2"/>
      <c r="H466" s="11">
        <f t="shared" si="7"/>
        <v>0</v>
      </c>
      <c r="I466" s="10"/>
      <c r="J466" s="10"/>
      <c r="K466" s="10"/>
    </row>
    <row r="467" spans="2:11" ht="13.5" x14ac:dyDescent="0.35">
      <c r="B467" s="3">
        <v>45594</v>
      </c>
      <c r="C467" s="2">
        <v>6.25</v>
      </c>
      <c r="D467" s="2">
        <v>5.8689999999999998</v>
      </c>
      <c r="E467" s="2"/>
      <c r="F467" s="2"/>
      <c r="G467" s="2"/>
      <c r="H467" s="11">
        <f t="shared" si="7"/>
        <v>0</v>
      </c>
      <c r="I467" s="10"/>
      <c r="J467" s="10"/>
      <c r="K467" s="10"/>
    </row>
    <row r="468" spans="2:11" ht="13.5" x14ac:dyDescent="0.35">
      <c r="B468" s="3">
        <v>45595</v>
      </c>
      <c r="C468" s="2">
        <v>6.2</v>
      </c>
      <c r="D468" s="2">
        <v>5.8220000000000001</v>
      </c>
      <c r="E468" s="2"/>
      <c r="F468" s="2"/>
      <c r="G468" s="2"/>
      <c r="H468" s="11">
        <f t="shared" si="7"/>
        <v>-8.0000000000000071E-3</v>
      </c>
      <c r="I468" s="10"/>
      <c r="J468" s="10"/>
      <c r="K468" s="10"/>
    </row>
    <row r="469" spans="2:11" ht="13.5" x14ac:dyDescent="0.35">
      <c r="B469" s="3">
        <v>45596</v>
      </c>
      <c r="C469" s="2">
        <v>6.2</v>
      </c>
      <c r="D469" s="2">
        <v>5.8220000000000001</v>
      </c>
      <c r="E469" s="2"/>
      <c r="F469" s="2"/>
      <c r="G469" s="2"/>
      <c r="H469" s="11">
        <f t="shared" si="7"/>
        <v>0</v>
      </c>
      <c r="I469" s="10"/>
      <c r="J469" s="10"/>
      <c r="K469" s="10"/>
    </row>
    <row r="470" spans="2:11" ht="13.5" x14ac:dyDescent="0.35">
      <c r="B470" s="3">
        <v>45597</v>
      </c>
      <c r="C470" s="2">
        <v>6.2</v>
      </c>
      <c r="D470" s="2">
        <v>5.8220000000000001</v>
      </c>
      <c r="E470" s="2"/>
      <c r="F470" s="2"/>
      <c r="G470" s="2"/>
      <c r="H470" s="11">
        <f t="shared" si="7"/>
        <v>0</v>
      </c>
      <c r="I470" s="10"/>
      <c r="J470" s="10"/>
      <c r="K470" s="10"/>
    </row>
    <row r="471" spans="2:11" ht="13.5" x14ac:dyDescent="0.35">
      <c r="B471" s="3">
        <v>45600</v>
      </c>
      <c r="C471" s="2">
        <v>6.15</v>
      </c>
      <c r="D471" s="2">
        <v>5.7750000000000004</v>
      </c>
      <c r="E471" s="2"/>
      <c r="F471" s="2"/>
      <c r="G471" s="2"/>
      <c r="H471" s="11">
        <f t="shared" si="7"/>
        <v>-8.0645161290322509E-3</v>
      </c>
      <c r="I471" s="10"/>
      <c r="J471" s="10"/>
      <c r="K471" s="10"/>
    </row>
    <row r="472" spans="2:11" ht="13.5" x14ac:dyDescent="0.35">
      <c r="B472" s="3">
        <v>45601</v>
      </c>
      <c r="C472" s="2">
        <v>6.19</v>
      </c>
      <c r="D472" s="2">
        <v>5.8120000000000003</v>
      </c>
      <c r="E472" s="2"/>
      <c r="F472" s="2"/>
      <c r="G472" s="2"/>
      <c r="H472" s="11">
        <f t="shared" si="7"/>
        <v>6.5040650406504863E-3</v>
      </c>
      <c r="I472" s="10"/>
      <c r="J472" s="10"/>
      <c r="K472" s="10"/>
    </row>
    <row r="473" spans="2:11" ht="13.5" x14ac:dyDescent="0.35">
      <c r="B473" s="3">
        <v>45602</v>
      </c>
      <c r="C473" s="2">
        <v>6.17</v>
      </c>
      <c r="D473" s="2">
        <v>5.7939999999999996</v>
      </c>
      <c r="E473" s="2"/>
      <c r="F473" s="2"/>
      <c r="G473" s="2"/>
      <c r="H473" s="11">
        <f t="shared" si="7"/>
        <v>-3.231017770597866E-3</v>
      </c>
      <c r="I473" s="10"/>
      <c r="J473" s="10"/>
      <c r="K473" s="10"/>
    </row>
    <row r="474" spans="2:11" ht="13.5" x14ac:dyDescent="0.35">
      <c r="B474" s="3">
        <v>45603</v>
      </c>
      <c r="C474" s="2">
        <v>6.09</v>
      </c>
      <c r="D474" s="2">
        <v>5.718</v>
      </c>
      <c r="E474" s="2"/>
      <c r="F474" s="2"/>
      <c r="G474" s="2"/>
      <c r="H474" s="11">
        <f t="shared" si="7"/>
        <v>-1.2965964343598091E-2</v>
      </c>
      <c r="I474" s="10"/>
      <c r="J474" s="10"/>
      <c r="K474" s="10"/>
    </row>
    <row r="475" spans="2:11" ht="13.5" x14ac:dyDescent="0.35">
      <c r="B475" s="3">
        <v>45604</v>
      </c>
      <c r="C475" s="2">
        <v>6.18</v>
      </c>
      <c r="D475" s="2">
        <v>5.8029999999999999</v>
      </c>
      <c r="E475" s="2"/>
      <c r="F475" s="2"/>
      <c r="G475" s="2"/>
      <c r="H475" s="11">
        <f t="shared" si="7"/>
        <v>1.477832512315258E-2</v>
      </c>
      <c r="I475" s="10"/>
      <c r="J475" s="10"/>
      <c r="K475" s="10"/>
    </row>
    <row r="476" spans="2:11" ht="13.5" x14ac:dyDescent="0.35">
      <c r="B476" s="3">
        <v>45607</v>
      </c>
      <c r="C476" s="2">
        <v>6.25</v>
      </c>
      <c r="D476" s="2">
        <v>5.8689999999999998</v>
      </c>
      <c r="E476" s="2"/>
      <c r="F476" s="2"/>
      <c r="G476" s="2"/>
      <c r="H476" s="11">
        <f t="shared" si="7"/>
        <v>1.1326860841424091E-2</v>
      </c>
      <c r="I476" s="10"/>
      <c r="J476" s="10"/>
      <c r="K476" s="10"/>
    </row>
    <row r="477" spans="2:11" ht="13.5" x14ac:dyDescent="0.35">
      <c r="B477" s="3">
        <v>45608</v>
      </c>
      <c r="C477" s="2">
        <v>6.22</v>
      </c>
      <c r="D477" s="2">
        <v>5.8410000000000002</v>
      </c>
      <c r="E477" s="2"/>
      <c r="F477" s="2"/>
      <c r="G477" s="2"/>
      <c r="H477" s="11">
        <f t="shared" si="7"/>
        <v>-4.8000000000000265E-3</v>
      </c>
      <c r="I477" s="10"/>
      <c r="J477" s="10"/>
      <c r="K477" s="10"/>
    </row>
    <row r="478" spans="2:11" ht="13.5" x14ac:dyDescent="0.35">
      <c r="B478" s="3">
        <v>45609</v>
      </c>
      <c r="C478" s="2">
        <v>6.19</v>
      </c>
      <c r="D478" s="2">
        <v>5.8120000000000003</v>
      </c>
      <c r="E478" s="2"/>
      <c r="F478" s="2"/>
      <c r="G478" s="2"/>
      <c r="H478" s="11">
        <f t="shared" si="7"/>
        <v>-4.8231511254018811E-3</v>
      </c>
      <c r="I478" s="10"/>
      <c r="J478" s="10"/>
      <c r="K478" s="10"/>
    </row>
    <row r="479" spans="2:11" ht="13.5" x14ac:dyDescent="0.35">
      <c r="B479" s="3">
        <v>45610</v>
      </c>
      <c r="C479" s="2">
        <v>6.19</v>
      </c>
      <c r="D479" s="2">
        <v>5.8120000000000003</v>
      </c>
      <c r="E479" s="2"/>
      <c r="F479" s="2"/>
      <c r="G479" s="2"/>
      <c r="H479" s="11">
        <f t="shared" si="7"/>
        <v>0</v>
      </c>
      <c r="I479" s="10"/>
      <c r="J479" s="10"/>
      <c r="K479" s="10"/>
    </row>
    <row r="480" spans="2:11" ht="13.5" x14ac:dyDescent="0.35">
      <c r="B480" s="3">
        <v>45611</v>
      </c>
      <c r="C480" s="2">
        <v>6.2</v>
      </c>
      <c r="D480" s="2">
        <v>5.8220000000000001</v>
      </c>
      <c r="E480" s="2"/>
      <c r="F480" s="2"/>
      <c r="G480" s="2"/>
      <c r="H480" s="11">
        <f t="shared" si="7"/>
        <v>1.615508885298933E-3</v>
      </c>
      <c r="I480" s="10"/>
      <c r="J480" s="10"/>
      <c r="K480" s="10"/>
    </row>
    <row r="481" spans="2:11" ht="13.5" x14ac:dyDescent="0.35">
      <c r="B481" s="3">
        <v>45614</v>
      </c>
      <c r="C481" s="2">
        <v>6.2</v>
      </c>
      <c r="D481" s="2">
        <v>5.8220000000000001</v>
      </c>
      <c r="E481" s="2"/>
      <c r="F481" s="2"/>
      <c r="G481" s="2"/>
      <c r="H481" s="11">
        <f t="shared" si="7"/>
        <v>0</v>
      </c>
      <c r="I481" s="10"/>
      <c r="J481" s="10"/>
      <c r="K481" s="10"/>
    </row>
    <row r="482" spans="2:11" ht="13.5" x14ac:dyDescent="0.35">
      <c r="B482" s="3">
        <v>45615</v>
      </c>
      <c r="C482" s="2">
        <v>6.17</v>
      </c>
      <c r="D482" s="2">
        <v>5.7939999999999996</v>
      </c>
      <c r="E482" s="2"/>
      <c r="F482" s="2"/>
      <c r="G482" s="2"/>
      <c r="H482" s="11">
        <f t="shared" si="7"/>
        <v>-4.8387096774193949E-3</v>
      </c>
      <c r="I482" s="10"/>
      <c r="J482" s="10"/>
      <c r="K482" s="10"/>
    </row>
    <row r="483" spans="2:11" ht="13.5" x14ac:dyDescent="0.35">
      <c r="B483" s="3">
        <v>45616</v>
      </c>
      <c r="C483" s="2">
        <v>6.17</v>
      </c>
      <c r="D483" s="2">
        <v>5.7939999999999996</v>
      </c>
      <c r="E483" s="2"/>
      <c r="F483" s="2"/>
      <c r="G483" s="2"/>
      <c r="H483" s="11">
        <f t="shared" si="7"/>
        <v>0</v>
      </c>
      <c r="I483" s="10"/>
      <c r="J483" s="10"/>
      <c r="K483" s="10"/>
    </row>
    <row r="484" spans="2:11" ht="13.5" x14ac:dyDescent="0.35">
      <c r="B484" s="3">
        <v>45617</v>
      </c>
      <c r="C484" s="2">
        <v>6.17</v>
      </c>
      <c r="D484" s="2">
        <v>5.7939999999999996</v>
      </c>
      <c r="E484" s="2"/>
      <c r="F484" s="2"/>
      <c r="G484" s="2"/>
      <c r="H484" s="11">
        <f t="shared" si="7"/>
        <v>0</v>
      </c>
      <c r="I484" s="10"/>
      <c r="J484" s="10"/>
      <c r="K484" s="10"/>
    </row>
    <row r="485" spans="2:11" ht="13.5" x14ac:dyDescent="0.35">
      <c r="B485" s="3">
        <v>45618</v>
      </c>
      <c r="C485" s="2">
        <v>6.15</v>
      </c>
      <c r="D485" s="2">
        <v>5.7750000000000004</v>
      </c>
      <c r="E485" s="2"/>
      <c r="F485" s="2"/>
      <c r="G485" s="2"/>
      <c r="H485" s="11">
        <f t="shared" si="7"/>
        <v>-3.2414910858994395E-3</v>
      </c>
      <c r="I485" s="10"/>
      <c r="J485" s="10"/>
      <c r="K485" s="10"/>
    </row>
    <row r="486" spans="2:11" ht="13.5" x14ac:dyDescent="0.35">
      <c r="B486" s="3">
        <v>45621</v>
      </c>
      <c r="C486" s="2">
        <v>6.18</v>
      </c>
      <c r="D486" s="2">
        <v>5.8029999999999999</v>
      </c>
      <c r="E486" s="2"/>
      <c r="F486" s="2"/>
      <c r="G486" s="2"/>
      <c r="H486" s="11">
        <f t="shared" si="7"/>
        <v>4.8780487804878092E-3</v>
      </c>
      <c r="I486" s="10"/>
      <c r="J486" s="10"/>
      <c r="K486" s="10"/>
    </row>
    <row r="487" spans="2:11" ht="13.5" x14ac:dyDescent="0.35">
      <c r="B487" s="3">
        <v>45622</v>
      </c>
      <c r="C487" s="2">
        <v>6.16</v>
      </c>
      <c r="D487" s="2">
        <v>5.7839999999999998</v>
      </c>
      <c r="E487" s="2"/>
      <c r="F487" s="2"/>
      <c r="G487" s="2"/>
      <c r="H487" s="11">
        <f t="shared" si="7"/>
        <v>-3.2362459546925182E-3</v>
      </c>
      <c r="I487" s="10"/>
      <c r="J487" s="10"/>
      <c r="K487" s="10"/>
    </row>
    <row r="488" spans="2:11" ht="13.5" x14ac:dyDescent="0.35">
      <c r="B488" s="3">
        <v>45623</v>
      </c>
      <c r="C488" s="2">
        <v>6.1</v>
      </c>
      <c r="D488" s="2">
        <v>5.7279999999999998</v>
      </c>
      <c r="E488" s="2"/>
      <c r="F488" s="2"/>
      <c r="G488" s="2"/>
      <c r="H488" s="11">
        <f t="shared" si="7"/>
        <v>-9.7402597402598268E-3</v>
      </c>
      <c r="I488" s="10"/>
      <c r="J488" s="10"/>
      <c r="K488" s="10"/>
    </row>
    <row r="489" spans="2:11" ht="13.5" x14ac:dyDescent="0.35">
      <c r="B489" s="3">
        <v>45624</v>
      </c>
      <c r="C489" s="2">
        <v>6</v>
      </c>
      <c r="D489" s="2">
        <v>5.6340000000000003</v>
      </c>
      <c r="E489" s="2"/>
      <c r="F489" s="2"/>
      <c r="G489" s="2"/>
      <c r="H489" s="11">
        <f t="shared" si="7"/>
        <v>-1.6393442622950727E-2</v>
      </c>
      <c r="I489" s="10"/>
      <c r="J489" s="10"/>
      <c r="K489" s="10"/>
    </row>
    <row r="490" spans="2:11" ht="13.5" x14ac:dyDescent="0.35">
      <c r="B490" s="3">
        <v>45625</v>
      </c>
      <c r="C490" s="2">
        <v>6.17</v>
      </c>
      <c r="D490" s="2">
        <v>5.7939999999999996</v>
      </c>
      <c r="E490" s="2"/>
      <c r="F490" s="2"/>
      <c r="G490" s="2"/>
      <c r="H490" s="11">
        <f t="shared" si="7"/>
        <v>2.8333333333333321E-2</v>
      </c>
      <c r="I490" s="10"/>
      <c r="J490" s="10"/>
      <c r="K490" s="10"/>
    </row>
    <row r="491" spans="2:11" ht="13.5" x14ac:dyDescent="0.35">
      <c r="B491" s="3">
        <v>45628</v>
      </c>
      <c r="C491" s="2">
        <v>6.16</v>
      </c>
      <c r="D491" s="2">
        <v>5.7839999999999998</v>
      </c>
      <c r="E491" s="2"/>
      <c r="F491" s="2"/>
      <c r="G491" s="2"/>
      <c r="H491" s="11">
        <f t="shared" si="7"/>
        <v>-1.6207455429497752E-3</v>
      </c>
      <c r="I491" s="10"/>
      <c r="J491" s="10"/>
      <c r="K491" s="10"/>
    </row>
    <row r="492" spans="2:11" ht="13.5" x14ac:dyDescent="0.35">
      <c r="B492" s="3">
        <v>45629</v>
      </c>
      <c r="C492" s="2">
        <v>6.16</v>
      </c>
      <c r="D492" s="2">
        <v>5.7839999999999998</v>
      </c>
      <c r="E492" s="2"/>
      <c r="F492" s="2"/>
      <c r="G492" s="2"/>
      <c r="H492" s="11">
        <f t="shared" si="7"/>
        <v>0</v>
      </c>
      <c r="I492" s="10"/>
      <c r="J492" s="10"/>
      <c r="K492" s="10"/>
    </row>
    <row r="493" spans="2:11" ht="13.5" x14ac:dyDescent="0.35">
      <c r="B493" s="3">
        <v>45630</v>
      </c>
      <c r="C493" s="2">
        <v>6.16</v>
      </c>
      <c r="D493" s="2">
        <v>5.7839999999999998</v>
      </c>
      <c r="E493" s="2"/>
      <c r="F493" s="2"/>
      <c r="G493" s="2"/>
      <c r="H493" s="11">
        <f t="shared" si="7"/>
        <v>0</v>
      </c>
      <c r="I493" s="10"/>
      <c r="J493" s="10"/>
      <c r="K493" s="10"/>
    </row>
    <row r="494" spans="2:11" ht="13.5" x14ac:dyDescent="0.35">
      <c r="B494" s="3">
        <v>45631</v>
      </c>
      <c r="C494" s="2">
        <v>6.16</v>
      </c>
      <c r="D494" s="2">
        <v>5.7839999999999998</v>
      </c>
      <c r="E494" s="2"/>
      <c r="F494" s="2"/>
      <c r="G494" s="2"/>
      <c r="H494" s="11">
        <f t="shared" si="7"/>
        <v>0</v>
      </c>
      <c r="I494" s="10"/>
      <c r="J494" s="10"/>
      <c r="K494" s="10"/>
    </row>
    <row r="495" spans="2:11" ht="13.5" x14ac:dyDescent="0.35">
      <c r="B495" s="3">
        <v>45632</v>
      </c>
      <c r="C495" s="2">
        <v>6.2</v>
      </c>
      <c r="D495" s="2">
        <v>5.8220000000000001</v>
      </c>
      <c r="E495" s="2"/>
      <c r="F495" s="2"/>
      <c r="G495" s="2"/>
      <c r="H495" s="11">
        <f t="shared" si="7"/>
        <v>6.4935064935065512E-3</v>
      </c>
      <c r="I495" s="10"/>
      <c r="J495" s="10"/>
      <c r="K495" s="10"/>
    </row>
    <row r="496" spans="2:11" ht="13.5" x14ac:dyDescent="0.35">
      <c r="B496" s="3">
        <v>45635</v>
      </c>
      <c r="C496" s="2">
        <v>6.3</v>
      </c>
      <c r="D496" s="2">
        <v>5.9160000000000004</v>
      </c>
      <c r="E496" s="2"/>
      <c r="F496" s="2"/>
      <c r="G496" s="2"/>
      <c r="H496" s="11">
        <f t="shared" si="7"/>
        <v>1.6129032258064502E-2</v>
      </c>
      <c r="I496" s="10"/>
      <c r="J496" s="10"/>
      <c r="K496" s="10"/>
    </row>
    <row r="497" spans="2:11" ht="13.5" x14ac:dyDescent="0.35">
      <c r="B497" s="3">
        <v>45636</v>
      </c>
      <c r="C497" s="2">
        <v>6.29</v>
      </c>
      <c r="D497" s="2">
        <v>5.9059999999999997</v>
      </c>
      <c r="E497" s="2"/>
      <c r="F497" s="2"/>
      <c r="G497" s="2"/>
      <c r="H497" s="11">
        <f t="shared" si="7"/>
        <v>-1.5873015873015817E-3</v>
      </c>
      <c r="I497" s="10"/>
      <c r="J497" s="10"/>
      <c r="K497" s="10"/>
    </row>
    <row r="498" spans="2:11" ht="13.5" x14ac:dyDescent="0.35">
      <c r="B498" s="3">
        <v>45637</v>
      </c>
      <c r="C498" s="2">
        <v>6.29</v>
      </c>
      <c r="D498" s="2">
        <v>5.9059999999999997</v>
      </c>
      <c r="E498" s="2"/>
      <c r="F498" s="2"/>
      <c r="G498" s="2"/>
      <c r="H498" s="11">
        <f t="shared" si="7"/>
        <v>0</v>
      </c>
      <c r="I498" s="10"/>
      <c r="J498" s="10"/>
      <c r="K498" s="10"/>
    </row>
    <row r="499" spans="2:11" ht="13.5" x14ac:dyDescent="0.35">
      <c r="B499" s="3">
        <v>45638</v>
      </c>
      <c r="C499" s="2">
        <v>6.32</v>
      </c>
      <c r="D499" s="2">
        <v>5.9340000000000002</v>
      </c>
      <c r="E499" s="2"/>
      <c r="F499" s="2"/>
      <c r="G499" s="2"/>
      <c r="H499" s="11">
        <f t="shared" si="7"/>
        <v>4.7694753577107729E-3</v>
      </c>
      <c r="I499" s="10"/>
      <c r="J499" s="10"/>
      <c r="K499" s="10"/>
    </row>
    <row r="500" spans="2:11" ht="13.5" x14ac:dyDescent="0.35">
      <c r="B500" s="3">
        <v>45639</v>
      </c>
      <c r="C500" s="2">
        <v>6.28</v>
      </c>
      <c r="D500" s="2">
        <v>5.8970000000000002</v>
      </c>
      <c r="E500" s="2"/>
      <c r="F500" s="2"/>
      <c r="G500" s="2"/>
      <c r="H500" s="11">
        <f t="shared" si="7"/>
        <v>-6.3291139240506666E-3</v>
      </c>
      <c r="I500" s="10"/>
      <c r="J500" s="10"/>
      <c r="K500" s="10"/>
    </row>
    <row r="501" spans="2:11" ht="13.5" x14ac:dyDescent="0.35">
      <c r="B501" s="3">
        <v>45642</v>
      </c>
      <c r="C501" s="2">
        <v>6.27</v>
      </c>
      <c r="D501" s="2">
        <v>5.8869999999999996</v>
      </c>
      <c r="E501" s="2"/>
      <c r="F501" s="2"/>
      <c r="G501" s="2"/>
      <c r="H501" s="11">
        <f t="shared" si="7"/>
        <v>-1.5923566878981443E-3</v>
      </c>
      <c r="I501" s="10"/>
      <c r="J501" s="10"/>
      <c r="K501" s="10"/>
    </row>
    <row r="502" spans="2:11" ht="13.5" x14ac:dyDescent="0.35">
      <c r="B502" s="3">
        <v>45644</v>
      </c>
      <c r="C502" s="2">
        <v>6.17</v>
      </c>
      <c r="D502" s="2">
        <v>5.7939999999999996</v>
      </c>
      <c r="E502" s="2"/>
      <c r="F502" s="2"/>
      <c r="G502" s="2"/>
      <c r="H502" s="11">
        <f t="shared" si="7"/>
        <v>-1.5948963317384268E-2</v>
      </c>
      <c r="I502" s="10"/>
      <c r="J502" s="10"/>
      <c r="K502" s="10"/>
    </row>
    <row r="503" spans="2:11" ht="13.5" x14ac:dyDescent="0.35">
      <c r="B503" s="3">
        <v>45645</v>
      </c>
      <c r="C503" s="2">
        <v>6.19</v>
      </c>
      <c r="D503" s="2">
        <v>5.8120000000000003</v>
      </c>
      <c r="E503" s="2"/>
      <c r="F503" s="2"/>
      <c r="G503" s="2"/>
      <c r="H503" s="11">
        <f t="shared" si="7"/>
        <v>3.2414910858995505E-3</v>
      </c>
      <c r="I503" s="10"/>
      <c r="J503" s="10"/>
      <c r="K503" s="10"/>
    </row>
    <row r="504" spans="2:11" ht="13.5" x14ac:dyDescent="0.35">
      <c r="B504" s="3">
        <v>45646</v>
      </c>
      <c r="C504" s="2">
        <v>6.19</v>
      </c>
      <c r="D504" s="2">
        <v>5.8120000000000003</v>
      </c>
      <c r="E504" s="2"/>
      <c r="F504" s="2"/>
      <c r="G504" s="2"/>
      <c r="H504" s="11">
        <f t="shared" si="7"/>
        <v>0</v>
      </c>
      <c r="I504" s="10"/>
      <c r="J504" s="10"/>
      <c r="K504" s="10"/>
    </row>
    <row r="505" spans="2:11" ht="13.5" x14ac:dyDescent="0.35">
      <c r="B505" s="3">
        <v>45649</v>
      </c>
      <c r="C505" s="2">
        <v>6.19</v>
      </c>
      <c r="D505" s="2">
        <v>5.8120000000000003</v>
      </c>
      <c r="E505" s="2">
        <v>5.806926829268293</v>
      </c>
      <c r="F505" s="2">
        <v>5650</v>
      </c>
      <c r="G505" s="2">
        <v>32809.136585365857</v>
      </c>
      <c r="H505" s="11">
        <f t="shared" si="7"/>
        <v>0</v>
      </c>
      <c r="I505" s="10"/>
      <c r="J505" s="10"/>
      <c r="K505" s="10"/>
    </row>
    <row r="506" spans="2:11" ht="13.5" x14ac:dyDescent="0.35">
      <c r="B506" s="3">
        <v>45650</v>
      </c>
      <c r="C506" s="2">
        <v>6.16</v>
      </c>
      <c r="D506" s="2">
        <v>5.7839999999999998</v>
      </c>
      <c r="E506" s="2">
        <v>0</v>
      </c>
      <c r="F506" s="2">
        <v>0</v>
      </c>
      <c r="G506" s="2">
        <v>0</v>
      </c>
      <c r="H506" s="11">
        <f t="shared" si="7"/>
        <v>-4.846526655896688E-3</v>
      </c>
      <c r="I506" s="10"/>
      <c r="J506" s="10"/>
      <c r="K506" s="10"/>
    </row>
    <row r="507" spans="2:11" ht="13.5" x14ac:dyDescent="0.35">
      <c r="B507" s="3">
        <v>45651</v>
      </c>
      <c r="C507" s="2">
        <v>6.17</v>
      </c>
      <c r="D507" s="2">
        <v>5.7939999999999996</v>
      </c>
      <c r="E507" s="2">
        <v>0</v>
      </c>
      <c r="F507" s="2">
        <v>0</v>
      </c>
      <c r="G507" s="2">
        <v>0</v>
      </c>
      <c r="H507" s="11">
        <f t="shared" si="7"/>
        <v>1.6233766233766378E-3</v>
      </c>
      <c r="I507" s="10"/>
      <c r="J507" s="10"/>
      <c r="K507" s="10"/>
    </row>
    <row r="508" spans="2:11" ht="13.5" x14ac:dyDescent="0.35">
      <c r="B508" s="3">
        <v>45652</v>
      </c>
      <c r="C508" s="2">
        <v>6.16</v>
      </c>
      <c r="D508" s="2">
        <v>5.7839999999999998</v>
      </c>
      <c r="E508" s="2">
        <v>5.6241083743842371</v>
      </c>
      <c r="F508" s="2">
        <v>27</v>
      </c>
      <c r="G508" s="2">
        <v>151.85092610837441</v>
      </c>
      <c r="H508" s="11">
        <f t="shared" si="7"/>
        <v>-1.6207455429497752E-3</v>
      </c>
      <c r="I508" s="10"/>
      <c r="J508" s="10"/>
      <c r="K508" s="10"/>
    </row>
    <row r="509" spans="2:11" ht="13.5" x14ac:dyDescent="0.35">
      <c r="B509" s="3">
        <v>45653</v>
      </c>
      <c r="C509" s="2">
        <v>6.15</v>
      </c>
      <c r="D509" s="2">
        <v>5.7750000000000004</v>
      </c>
      <c r="E509" s="2">
        <v>5.7</v>
      </c>
      <c r="F509" s="2">
        <v>157</v>
      </c>
      <c r="G509" s="2">
        <v>894.9</v>
      </c>
      <c r="H509" s="11">
        <f t="shared" si="7"/>
        <v>-1.6233766233766378E-3</v>
      </c>
      <c r="I509" s="10"/>
      <c r="J509" s="10"/>
      <c r="K509" s="10"/>
    </row>
    <row r="510" spans="2:11" ht="13.5" x14ac:dyDescent="0.35">
      <c r="B510" s="3">
        <v>45656</v>
      </c>
      <c r="C510" s="2">
        <v>6.15</v>
      </c>
      <c r="D510" s="2">
        <v>5.7750000000000004</v>
      </c>
      <c r="E510" s="2">
        <v>5.7171676898222943</v>
      </c>
      <c r="F510" s="2">
        <v>4982</v>
      </c>
      <c r="G510" s="2">
        <v>28482.929430694669</v>
      </c>
      <c r="H510" s="11">
        <f t="shared" si="7"/>
        <v>0</v>
      </c>
      <c r="I510" s="10"/>
      <c r="J510" s="10"/>
      <c r="K510" s="10"/>
    </row>
    <row r="511" spans="2:11" ht="13.5" x14ac:dyDescent="0.35">
      <c r="B511" s="3">
        <v>45657</v>
      </c>
      <c r="C511" s="2">
        <v>6.15</v>
      </c>
      <c r="D511" s="2">
        <v>5.7750000000000004</v>
      </c>
      <c r="E511" s="2">
        <v>5.827022940226172</v>
      </c>
      <c r="F511" s="2">
        <v>8792</v>
      </c>
      <c r="G511" s="2">
        <v>51231.185690468505</v>
      </c>
      <c r="H511" s="11">
        <f t="shared" si="7"/>
        <v>0</v>
      </c>
      <c r="I511" s="10"/>
      <c r="J511" s="10"/>
      <c r="K511" s="10"/>
    </row>
    <row r="512" spans="2:11" ht="13.5" x14ac:dyDescent="0.35">
      <c r="B512" s="3">
        <v>45659</v>
      </c>
      <c r="C512" s="2">
        <v>6.15</v>
      </c>
      <c r="D512" s="2">
        <v>5.7750000000000004</v>
      </c>
      <c r="E512" s="2">
        <v>5.7184902912621363</v>
      </c>
      <c r="F512" s="2">
        <v>1974</v>
      </c>
      <c r="G512" s="2">
        <v>11288.299834951456</v>
      </c>
      <c r="H512" s="11">
        <f t="shared" si="7"/>
        <v>0</v>
      </c>
      <c r="I512" s="10"/>
      <c r="J512" s="10"/>
      <c r="K512" s="10"/>
    </row>
    <row r="513" spans="2:11" ht="13.5" x14ac:dyDescent="0.35">
      <c r="B513" s="3">
        <v>45660</v>
      </c>
      <c r="C513" s="2">
        <v>6.15</v>
      </c>
      <c r="D513" s="2">
        <v>5.7750000000000004</v>
      </c>
      <c r="E513" s="2">
        <v>0</v>
      </c>
      <c r="F513" s="2">
        <v>0</v>
      </c>
      <c r="G513" s="2">
        <v>0</v>
      </c>
      <c r="H513" s="11">
        <f t="shared" si="7"/>
        <v>0</v>
      </c>
      <c r="I513" s="10"/>
      <c r="J513" s="10"/>
      <c r="K513" s="10"/>
    </row>
    <row r="514" spans="2:11" ht="13.5" x14ac:dyDescent="0.35">
      <c r="B514" s="3">
        <v>45663</v>
      </c>
      <c r="C514" s="2">
        <v>6.09</v>
      </c>
      <c r="D514" s="2">
        <v>5.718</v>
      </c>
      <c r="E514" s="2">
        <v>0</v>
      </c>
      <c r="F514" s="2">
        <v>0</v>
      </c>
      <c r="G514" s="2">
        <v>0</v>
      </c>
      <c r="H514" s="11">
        <f t="shared" si="7"/>
        <v>-9.7560975609757294E-3</v>
      </c>
      <c r="I514" s="10"/>
      <c r="J514" s="10"/>
      <c r="K514" s="10"/>
    </row>
    <row r="515" spans="2:11" ht="13.5" x14ac:dyDescent="0.35">
      <c r="B515" s="3">
        <v>45664</v>
      </c>
      <c r="C515" s="2">
        <v>6.07</v>
      </c>
      <c r="D515" s="2">
        <v>5.7</v>
      </c>
      <c r="E515" s="2">
        <v>5.766767260940032</v>
      </c>
      <c r="F515" s="2">
        <v>86</v>
      </c>
      <c r="G515" s="2">
        <v>495.94198444084276</v>
      </c>
      <c r="H515" s="11">
        <f t="shared" si="7"/>
        <v>-3.2840722495893759E-3</v>
      </c>
      <c r="I515" s="10"/>
      <c r="J515" s="10"/>
      <c r="K515" s="10"/>
    </row>
    <row r="516" spans="2:11" ht="13.5" x14ac:dyDescent="0.35">
      <c r="B516" s="3">
        <v>45665</v>
      </c>
      <c r="C516" s="2">
        <v>6.19</v>
      </c>
      <c r="D516" s="2">
        <v>5.8120000000000003</v>
      </c>
      <c r="E516" s="2">
        <v>5.7921218800648298</v>
      </c>
      <c r="F516" s="2">
        <v>5000</v>
      </c>
      <c r="G516" s="2">
        <v>28960.609400324149</v>
      </c>
      <c r="H516" s="11">
        <f t="shared" si="7"/>
        <v>1.976935749588149E-2</v>
      </c>
      <c r="I516" s="10"/>
      <c r="J516" s="10"/>
      <c r="K516" s="10"/>
    </row>
    <row r="517" spans="2:11" ht="13.5" x14ac:dyDescent="0.35">
      <c r="B517" s="3">
        <v>45666</v>
      </c>
      <c r="C517" s="2">
        <v>6.19</v>
      </c>
      <c r="D517" s="2">
        <v>5.8120000000000003</v>
      </c>
      <c r="E517" s="2">
        <v>5.7764883116883112</v>
      </c>
      <c r="F517" s="2">
        <v>211</v>
      </c>
      <c r="G517" s="2">
        <v>1218.8390337662336</v>
      </c>
      <c r="H517" s="11">
        <f t="shared" si="7"/>
        <v>0</v>
      </c>
      <c r="I517" s="10"/>
      <c r="J517" s="10"/>
      <c r="K517" s="10"/>
    </row>
    <row r="518" spans="2:11" ht="13.5" x14ac:dyDescent="0.35">
      <c r="B518" s="3">
        <v>45667</v>
      </c>
      <c r="C518" s="2">
        <v>6.18</v>
      </c>
      <c r="D518" s="2">
        <v>5.8029999999999999</v>
      </c>
      <c r="E518" s="2">
        <v>0</v>
      </c>
      <c r="F518" s="2">
        <v>0</v>
      </c>
      <c r="G518" s="2">
        <v>0</v>
      </c>
      <c r="H518" s="11">
        <f t="shared" si="7"/>
        <v>-1.615508885298933E-3</v>
      </c>
      <c r="I518" s="10"/>
      <c r="J518" s="10"/>
      <c r="K518" s="10"/>
    </row>
    <row r="519" spans="2:11" ht="13.5" x14ac:dyDescent="0.35">
      <c r="B519" s="3">
        <v>45670</v>
      </c>
      <c r="C519" s="2">
        <v>6.18</v>
      </c>
      <c r="D519" s="2">
        <v>5.8029999999999999</v>
      </c>
      <c r="E519" s="2">
        <v>5.6470773246329538</v>
      </c>
      <c r="F519" s="2">
        <v>553</v>
      </c>
      <c r="G519" s="2">
        <v>3122.8337605220236</v>
      </c>
      <c r="H519" s="11">
        <f t="shared" ref="H519:H582" si="8">C519/C518-1</f>
        <v>0</v>
      </c>
      <c r="I519" s="10"/>
      <c r="J519" s="10"/>
      <c r="K519" s="10"/>
    </row>
    <row r="520" spans="2:11" ht="13.5" x14ac:dyDescent="0.35">
      <c r="B520" s="3">
        <v>45671</v>
      </c>
      <c r="C520" s="2">
        <v>6.18</v>
      </c>
      <c r="D520" s="2">
        <v>5.8029999999999999</v>
      </c>
      <c r="E520" s="2">
        <v>5.7560000000000002</v>
      </c>
      <c r="F520" s="2">
        <v>370</v>
      </c>
      <c r="G520" s="2">
        <v>2129.7200000000003</v>
      </c>
      <c r="H520" s="11">
        <f t="shared" si="8"/>
        <v>0</v>
      </c>
      <c r="I520" s="10"/>
      <c r="J520" s="10"/>
      <c r="K520" s="10"/>
    </row>
    <row r="521" spans="2:11" ht="13.5" x14ac:dyDescent="0.35">
      <c r="B521" s="3">
        <v>45672</v>
      </c>
      <c r="C521" s="2">
        <v>6.17</v>
      </c>
      <c r="D521" s="2">
        <v>5.7939999999999996</v>
      </c>
      <c r="E521" s="2">
        <v>5.7345731147540988</v>
      </c>
      <c r="F521" s="2">
        <v>1509</v>
      </c>
      <c r="G521" s="2">
        <v>8653.4708301639348</v>
      </c>
      <c r="H521" s="11">
        <f t="shared" si="8"/>
        <v>-1.6181229773462036E-3</v>
      </c>
      <c r="I521" s="10"/>
      <c r="J521" s="10"/>
      <c r="K521" s="10"/>
    </row>
    <row r="522" spans="2:11" ht="13.5" x14ac:dyDescent="0.35">
      <c r="B522" s="3">
        <v>45673</v>
      </c>
      <c r="C522" s="2">
        <v>6.17</v>
      </c>
      <c r="D522" s="2">
        <v>5.7939999999999996</v>
      </c>
      <c r="E522" s="2">
        <v>5.6425495081967219</v>
      </c>
      <c r="F522" s="2">
        <v>9085</v>
      </c>
      <c r="G522" s="2">
        <v>51262.562281967221</v>
      </c>
      <c r="H522" s="11">
        <f t="shared" si="8"/>
        <v>0</v>
      </c>
      <c r="I522" s="10"/>
      <c r="J522" s="10"/>
      <c r="K522" s="10"/>
    </row>
    <row r="523" spans="2:11" ht="13.5" x14ac:dyDescent="0.35">
      <c r="B523" s="3">
        <v>45674</v>
      </c>
      <c r="C523" s="2">
        <v>6.16</v>
      </c>
      <c r="D523" s="2">
        <v>5.7839999999999998</v>
      </c>
      <c r="E523" s="2">
        <v>5.7466101141924968</v>
      </c>
      <c r="F523" s="2">
        <v>2300</v>
      </c>
      <c r="G523" s="2">
        <v>13217.203262642743</v>
      </c>
      <c r="H523" s="11">
        <f t="shared" si="8"/>
        <v>-1.6207455429497752E-3</v>
      </c>
      <c r="I523" s="10"/>
      <c r="J523" s="10"/>
      <c r="K523" s="10"/>
    </row>
    <row r="524" spans="2:11" ht="13.5" x14ac:dyDescent="0.35">
      <c r="B524" s="3">
        <v>45677</v>
      </c>
      <c r="C524" s="2">
        <v>6.16</v>
      </c>
      <c r="D524" s="2">
        <v>5.7839999999999998</v>
      </c>
      <c r="E524" s="2">
        <v>0</v>
      </c>
      <c r="F524" s="2">
        <v>0</v>
      </c>
      <c r="G524" s="2">
        <v>0</v>
      </c>
      <c r="H524" s="11">
        <f t="shared" si="8"/>
        <v>0</v>
      </c>
      <c r="I524" s="10"/>
      <c r="J524" s="10"/>
      <c r="K524" s="10"/>
    </row>
    <row r="525" spans="2:11" ht="13.5" x14ac:dyDescent="0.35">
      <c r="B525" s="3">
        <v>45678</v>
      </c>
      <c r="C525" s="2">
        <v>6.13</v>
      </c>
      <c r="D525" s="2">
        <v>5.7560000000000002</v>
      </c>
      <c r="E525" s="2">
        <v>5.6405044045677002</v>
      </c>
      <c r="F525" s="2">
        <v>530</v>
      </c>
      <c r="G525" s="2">
        <v>2989.4673344208809</v>
      </c>
      <c r="H525" s="11">
        <f t="shared" si="8"/>
        <v>-4.8701298701299134E-3</v>
      </c>
      <c r="I525" s="10"/>
      <c r="J525" s="10"/>
      <c r="K525" s="10"/>
    </row>
    <row r="526" spans="2:11" ht="13.5" x14ac:dyDescent="0.35">
      <c r="B526" s="3">
        <v>45679</v>
      </c>
      <c r="C526" s="2">
        <v>6.13</v>
      </c>
      <c r="D526" s="2">
        <v>5.7560000000000002</v>
      </c>
      <c r="E526" s="2">
        <v>5.7545124183006537</v>
      </c>
      <c r="F526" s="2">
        <v>600</v>
      </c>
      <c r="G526" s="2">
        <v>3452.7074509803924</v>
      </c>
      <c r="H526" s="11">
        <f t="shared" si="8"/>
        <v>0</v>
      </c>
      <c r="I526" s="10"/>
      <c r="J526" s="10"/>
      <c r="K526" s="10"/>
    </row>
    <row r="527" spans="2:11" ht="13.5" x14ac:dyDescent="0.35">
      <c r="B527" s="3">
        <v>45680</v>
      </c>
      <c r="C527" s="2">
        <v>6.1</v>
      </c>
      <c r="D527" s="2">
        <v>5.7279999999999998</v>
      </c>
      <c r="E527" s="2">
        <v>0</v>
      </c>
      <c r="F527" s="2">
        <v>0</v>
      </c>
      <c r="G527" s="2">
        <v>0</v>
      </c>
      <c r="H527" s="11">
        <f t="shared" si="8"/>
        <v>-4.8939641109299048E-3</v>
      </c>
      <c r="I527" s="10"/>
      <c r="J527" s="10"/>
      <c r="K527" s="10"/>
    </row>
    <row r="528" spans="2:11" ht="13.5" x14ac:dyDescent="0.35">
      <c r="B528" s="3">
        <v>45681</v>
      </c>
      <c r="C528" s="2">
        <v>6.1</v>
      </c>
      <c r="D528" s="2">
        <v>5.7279999999999998</v>
      </c>
      <c r="E528" s="2">
        <v>5.7969770597738286</v>
      </c>
      <c r="F528" s="2">
        <v>6960</v>
      </c>
      <c r="G528" s="2">
        <v>40346.960336025848</v>
      </c>
      <c r="H528" s="11">
        <f t="shared" si="8"/>
        <v>0</v>
      </c>
      <c r="I528" s="10"/>
      <c r="J528" s="10"/>
      <c r="K528" s="10"/>
    </row>
    <row r="529" spans="2:11" ht="13.5" x14ac:dyDescent="0.35">
      <c r="B529" s="3">
        <v>45684</v>
      </c>
      <c r="C529" s="2">
        <v>6.13</v>
      </c>
      <c r="D529" s="2">
        <v>5.7560000000000002</v>
      </c>
      <c r="E529" s="2">
        <v>5.8120000000000003</v>
      </c>
      <c r="F529" s="2">
        <v>7</v>
      </c>
      <c r="G529" s="2">
        <v>40.684000000000005</v>
      </c>
      <c r="H529" s="11">
        <f t="shared" si="8"/>
        <v>4.9180327868851847E-3</v>
      </c>
      <c r="I529" s="10"/>
      <c r="J529" s="10"/>
      <c r="K529" s="10"/>
    </row>
    <row r="530" spans="2:11" ht="13.5" x14ac:dyDescent="0.35">
      <c r="B530" s="3">
        <v>45685</v>
      </c>
      <c r="C530" s="2">
        <v>6.13</v>
      </c>
      <c r="D530" s="2">
        <v>5.7560000000000002</v>
      </c>
      <c r="E530" s="2">
        <v>5.6861828756058159</v>
      </c>
      <c r="F530" s="2">
        <v>615</v>
      </c>
      <c r="G530" s="2">
        <v>3497.002468497577</v>
      </c>
      <c r="H530" s="11">
        <f t="shared" si="8"/>
        <v>0</v>
      </c>
      <c r="I530" s="10"/>
      <c r="J530" s="10"/>
      <c r="K530" s="10"/>
    </row>
    <row r="531" spans="2:11" ht="13.5" x14ac:dyDescent="0.35">
      <c r="B531" s="3">
        <v>45686</v>
      </c>
      <c r="C531" s="2">
        <v>6.13</v>
      </c>
      <c r="D531" s="2">
        <v>5.7560000000000002</v>
      </c>
      <c r="E531" s="2">
        <v>0</v>
      </c>
      <c r="F531" s="2">
        <v>0</v>
      </c>
      <c r="G531" s="2">
        <v>0</v>
      </c>
      <c r="H531" s="11">
        <f t="shared" si="8"/>
        <v>0</v>
      </c>
      <c r="I531" s="10"/>
      <c r="J531" s="10"/>
      <c r="K531" s="10"/>
    </row>
    <row r="532" spans="2:11" ht="13.5" x14ac:dyDescent="0.35">
      <c r="B532" s="3">
        <v>45687</v>
      </c>
      <c r="C532" s="2">
        <v>6.12</v>
      </c>
      <c r="D532" s="2">
        <v>5.7469999999999999</v>
      </c>
      <c r="E532" s="2">
        <v>5.6437042483660127</v>
      </c>
      <c r="F532" s="2">
        <v>5731</v>
      </c>
      <c r="G532" s="2">
        <v>32344.069047385619</v>
      </c>
      <c r="H532" s="11">
        <f t="shared" si="8"/>
        <v>-1.6313213703099683E-3</v>
      </c>
      <c r="I532" s="10"/>
      <c r="J532" s="10"/>
      <c r="K532" s="10"/>
    </row>
    <row r="533" spans="2:11" ht="13.5" x14ac:dyDescent="0.35">
      <c r="B533" s="3">
        <v>45688</v>
      </c>
      <c r="C533" s="2">
        <v>6.12</v>
      </c>
      <c r="D533" s="2">
        <v>5.7469999999999999</v>
      </c>
      <c r="E533" s="2">
        <v>5.6368666115702482</v>
      </c>
      <c r="F533" s="2">
        <v>2953</v>
      </c>
      <c r="G533" s="2">
        <v>16645.667103966942</v>
      </c>
      <c r="H533" s="11">
        <f t="shared" si="8"/>
        <v>0</v>
      </c>
      <c r="I533" s="10"/>
      <c r="J533" s="10"/>
      <c r="K533" s="10"/>
    </row>
    <row r="534" spans="2:11" ht="13.5" x14ac:dyDescent="0.35">
      <c r="B534" s="3">
        <v>45691</v>
      </c>
      <c r="C534" s="2">
        <v>6.19</v>
      </c>
      <c r="D534" s="2">
        <v>5.8120000000000003</v>
      </c>
      <c r="E534" s="2">
        <v>5.627864039408867</v>
      </c>
      <c r="F534" s="2">
        <v>1270</v>
      </c>
      <c r="G534" s="2">
        <v>7147.3873300492614</v>
      </c>
      <c r="H534" s="11">
        <f t="shared" si="8"/>
        <v>1.1437908496731986E-2</v>
      </c>
      <c r="I534" s="10"/>
      <c r="J534" s="10"/>
      <c r="K534" s="10"/>
    </row>
    <row r="535" spans="2:11" ht="13.5" x14ac:dyDescent="0.35">
      <c r="B535" s="3">
        <v>45692</v>
      </c>
      <c r="C535" s="2">
        <v>6.19</v>
      </c>
      <c r="D535" s="2">
        <v>5.8120000000000003</v>
      </c>
      <c r="E535" s="2">
        <v>5.7217556650246308</v>
      </c>
      <c r="F535" s="2">
        <v>120</v>
      </c>
      <c r="G535" s="2">
        <v>686.6106798029557</v>
      </c>
      <c r="H535" s="11">
        <f t="shared" si="8"/>
        <v>0</v>
      </c>
      <c r="I535" s="10"/>
      <c r="J535" s="10"/>
      <c r="K535" s="10"/>
    </row>
    <row r="536" spans="2:11" ht="13.5" x14ac:dyDescent="0.35">
      <c r="B536" s="3">
        <v>45693</v>
      </c>
      <c r="C536" s="2">
        <v>6.19</v>
      </c>
      <c r="D536" s="2">
        <v>5.8120000000000003</v>
      </c>
      <c r="E536" s="2">
        <v>5.6800609917355374</v>
      </c>
      <c r="F536" s="2">
        <v>1966</v>
      </c>
      <c r="G536" s="2">
        <v>11166.999909752067</v>
      </c>
      <c r="H536" s="11">
        <f t="shared" si="8"/>
        <v>0</v>
      </c>
      <c r="I536" s="10"/>
      <c r="J536" s="10"/>
      <c r="K536" s="10"/>
    </row>
    <row r="537" spans="2:11" ht="13.5" x14ac:dyDescent="0.35">
      <c r="B537" s="3">
        <v>45694</v>
      </c>
      <c r="C537" s="2">
        <v>6.19</v>
      </c>
      <c r="D537" s="2">
        <v>5.8120000000000003</v>
      </c>
      <c r="E537" s="2">
        <v>0</v>
      </c>
      <c r="F537" s="2">
        <v>0</v>
      </c>
      <c r="G537" s="2">
        <v>0</v>
      </c>
      <c r="H537" s="11">
        <f t="shared" si="8"/>
        <v>0</v>
      </c>
      <c r="I537" s="10"/>
      <c r="J537" s="10"/>
      <c r="K537" s="10"/>
    </row>
    <row r="538" spans="2:11" ht="13.5" x14ac:dyDescent="0.35">
      <c r="B538" s="3">
        <v>45695</v>
      </c>
      <c r="C538" s="2">
        <v>6.12</v>
      </c>
      <c r="D538" s="2">
        <v>5.7469999999999999</v>
      </c>
      <c r="E538" s="2">
        <v>0</v>
      </c>
      <c r="F538" s="2">
        <v>0</v>
      </c>
      <c r="G538" s="2">
        <v>0</v>
      </c>
      <c r="H538" s="11">
        <f t="shared" si="8"/>
        <v>-1.1308562197092087E-2</v>
      </c>
      <c r="I538" s="10"/>
      <c r="J538" s="10"/>
      <c r="K538" s="10"/>
    </row>
    <row r="539" spans="2:11" ht="13.5" x14ac:dyDescent="0.35">
      <c r="B539" s="3">
        <v>45698</v>
      </c>
      <c r="C539" s="2">
        <v>6.05</v>
      </c>
      <c r="D539" s="2">
        <v>5.681</v>
      </c>
      <c r="E539" s="2">
        <v>5.681</v>
      </c>
      <c r="F539" s="2">
        <v>500</v>
      </c>
      <c r="G539" s="2">
        <v>2840.5</v>
      </c>
      <c r="H539" s="11">
        <f t="shared" si="8"/>
        <v>-1.1437908496732097E-2</v>
      </c>
      <c r="I539" s="10"/>
      <c r="J539" s="10"/>
      <c r="K539" s="10"/>
    </row>
    <row r="540" spans="2:11" ht="13.5" x14ac:dyDescent="0.35">
      <c r="B540" s="3">
        <v>45699</v>
      </c>
      <c r="C540" s="2">
        <v>6.09</v>
      </c>
      <c r="D540" s="2">
        <v>5.718</v>
      </c>
      <c r="E540" s="2">
        <v>5.681</v>
      </c>
      <c r="F540" s="2">
        <v>2</v>
      </c>
      <c r="G540" s="2">
        <v>11.362</v>
      </c>
      <c r="H540" s="11">
        <f t="shared" si="8"/>
        <v>6.6115702479339067E-3</v>
      </c>
      <c r="I540" s="10"/>
      <c r="J540" s="10"/>
      <c r="K540" s="10"/>
    </row>
    <row r="541" spans="2:11" ht="13.5" x14ac:dyDescent="0.35">
      <c r="B541" s="3">
        <v>45700</v>
      </c>
      <c r="C541" s="2">
        <v>6.09</v>
      </c>
      <c r="D541" s="2">
        <v>5.718</v>
      </c>
      <c r="E541" s="2">
        <v>5.6719999999999997</v>
      </c>
      <c r="F541" s="2">
        <v>2</v>
      </c>
      <c r="G541" s="2">
        <v>11.343999999999999</v>
      </c>
      <c r="H541" s="11">
        <f t="shared" si="8"/>
        <v>0</v>
      </c>
      <c r="I541" s="10"/>
      <c r="J541" s="10"/>
      <c r="K541" s="10"/>
    </row>
    <row r="542" spans="2:11" ht="13.5" x14ac:dyDescent="0.35">
      <c r="B542" s="3">
        <v>45701</v>
      </c>
      <c r="C542" s="2">
        <v>6.05</v>
      </c>
      <c r="D542" s="2">
        <v>5.681</v>
      </c>
      <c r="E542" s="2">
        <v>5.6340000000000003</v>
      </c>
      <c r="F542" s="2">
        <v>3</v>
      </c>
      <c r="G542" s="2">
        <v>16.902000000000001</v>
      </c>
      <c r="H542" s="11">
        <f t="shared" si="8"/>
        <v>-6.5681444991789739E-3</v>
      </c>
      <c r="I542" s="10"/>
      <c r="J542" s="10"/>
      <c r="K542" s="10"/>
    </row>
    <row r="543" spans="2:11" ht="13.5" x14ac:dyDescent="0.35">
      <c r="B543" s="3">
        <v>45702</v>
      </c>
      <c r="C543" s="2">
        <v>6.05</v>
      </c>
      <c r="D543" s="2">
        <v>5.681</v>
      </c>
      <c r="E543" s="2">
        <v>5.6034015025041732</v>
      </c>
      <c r="F543" s="2">
        <v>8494</v>
      </c>
      <c r="G543" s="2">
        <v>47595.292362270447</v>
      </c>
      <c r="H543" s="11">
        <f t="shared" si="8"/>
        <v>0</v>
      </c>
      <c r="I543" s="10"/>
      <c r="J543" s="10"/>
      <c r="K543" s="10"/>
    </row>
    <row r="544" spans="2:11" ht="13.5" x14ac:dyDescent="0.35">
      <c r="B544" s="3">
        <v>45705</v>
      </c>
      <c r="C544" s="2">
        <v>6.05</v>
      </c>
      <c r="D544" s="2">
        <v>5.681</v>
      </c>
      <c r="E544" s="2">
        <v>5.5917450000000004</v>
      </c>
      <c r="F544" s="2">
        <v>16541</v>
      </c>
      <c r="G544" s="2">
        <v>92493.054045000012</v>
      </c>
      <c r="H544" s="11">
        <f t="shared" si="8"/>
        <v>0</v>
      </c>
      <c r="I544" s="10"/>
      <c r="J544" s="10"/>
      <c r="K544" s="10"/>
    </row>
    <row r="545" spans="2:11" ht="13.5" x14ac:dyDescent="0.35">
      <c r="B545" s="3">
        <v>45706</v>
      </c>
      <c r="C545" s="2">
        <v>6.05</v>
      </c>
      <c r="D545" s="2">
        <v>5.681</v>
      </c>
      <c r="E545" s="2">
        <v>5.6255490000000004</v>
      </c>
      <c r="F545" s="2">
        <v>3322</v>
      </c>
      <c r="G545" s="2">
        <v>18688.073778000002</v>
      </c>
      <c r="H545" s="11">
        <f t="shared" si="8"/>
        <v>0</v>
      </c>
      <c r="I545" s="10"/>
      <c r="J545" s="10"/>
      <c r="K545" s="10"/>
    </row>
    <row r="546" spans="2:11" ht="13.5" x14ac:dyDescent="0.35">
      <c r="B546" s="3">
        <v>45707</v>
      </c>
      <c r="C546" s="2">
        <v>6.05</v>
      </c>
      <c r="D546" s="2">
        <v>5.681</v>
      </c>
      <c r="E546" s="2">
        <v>5.5779524617996605</v>
      </c>
      <c r="F546" s="2">
        <v>7237</v>
      </c>
      <c r="G546" s="2">
        <v>40367.641966044146</v>
      </c>
      <c r="H546" s="11">
        <f t="shared" si="8"/>
        <v>0</v>
      </c>
      <c r="I546" s="10"/>
      <c r="J546" s="10"/>
      <c r="K546" s="10"/>
    </row>
    <row r="547" spans="2:11" ht="13.5" x14ac:dyDescent="0.35">
      <c r="B547" s="3">
        <v>45708</v>
      </c>
      <c r="C547" s="2">
        <v>6.04</v>
      </c>
      <c r="D547" s="2">
        <v>5.6719999999999997</v>
      </c>
      <c r="E547" s="2">
        <v>5.5309999999999997</v>
      </c>
      <c r="F547" s="2">
        <v>1429</v>
      </c>
      <c r="G547" s="2">
        <v>7903.799</v>
      </c>
      <c r="H547" s="11">
        <f t="shared" si="8"/>
        <v>-1.6528925619834212E-3</v>
      </c>
      <c r="I547" s="10"/>
      <c r="J547" s="10"/>
      <c r="K547" s="10"/>
    </row>
    <row r="548" spans="2:11" ht="13.5" x14ac:dyDescent="0.35">
      <c r="B548" s="3">
        <v>45709</v>
      </c>
      <c r="C548" s="2">
        <v>6</v>
      </c>
      <c r="D548" s="2">
        <v>5.6340000000000003</v>
      </c>
      <c r="E548" s="2">
        <v>5.5211172413793106</v>
      </c>
      <c r="F548" s="2">
        <v>4031</v>
      </c>
      <c r="G548" s="2">
        <v>22255.623600000003</v>
      </c>
      <c r="H548" s="11">
        <f t="shared" si="8"/>
        <v>-6.6225165562914245E-3</v>
      </c>
      <c r="I548" s="10"/>
      <c r="J548" s="10"/>
      <c r="K548" s="10"/>
    </row>
    <row r="549" spans="2:11" ht="13.5" x14ac:dyDescent="0.35">
      <c r="B549" s="3">
        <v>45712</v>
      </c>
      <c r="C549" s="2">
        <v>5.99</v>
      </c>
      <c r="D549" s="2">
        <v>5.625</v>
      </c>
      <c r="E549" s="2">
        <v>5.4497558620689661</v>
      </c>
      <c r="F549" s="2">
        <v>400</v>
      </c>
      <c r="G549" s="2">
        <v>2179.9023448275866</v>
      </c>
      <c r="H549" s="11">
        <f t="shared" si="8"/>
        <v>-1.6666666666665941E-3</v>
      </c>
      <c r="I549" s="10"/>
      <c r="J549" s="10"/>
      <c r="K549" s="10"/>
    </row>
    <row r="550" spans="2:11" ht="13.5" x14ac:dyDescent="0.35">
      <c r="B550" s="3">
        <v>45713</v>
      </c>
      <c r="C550" s="2">
        <v>6</v>
      </c>
      <c r="D550" s="2">
        <v>5.6340000000000003</v>
      </c>
      <c r="E550" s="2">
        <v>5.487466890756302</v>
      </c>
      <c r="F550" s="2">
        <v>2092</v>
      </c>
      <c r="G550" s="2">
        <v>11479.780735462184</v>
      </c>
      <c r="H550" s="11">
        <f t="shared" si="8"/>
        <v>1.6694490818029983E-3</v>
      </c>
      <c r="I550" s="10"/>
      <c r="J550" s="10"/>
      <c r="K550" s="10"/>
    </row>
    <row r="551" spans="2:11" ht="13.5" x14ac:dyDescent="0.35">
      <c r="B551" s="3">
        <v>45714</v>
      </c>
      <c r="C551" s="2">
        <v>6</v>
      </c>
      <c r="D551" s="2">
        <v>5.6340000000000003</v>
      </c>
      <c r="E551" s="2">
        <v>5.5950610738255033</v>
      </c>
      <c r="F551" s="2">
        <v>4465</v>
      </c>
      <c r="G551" s="2">
        <v>24981.947694630871</v>
      </c>
      <c r="H551" s="11">
        <f t="shared" si="8"/>
        <v>0</v>
      </c>
      <c r="I551" s="10"/>
      <c r="J551" s="10"/>
      <c r="K551" s="10"/>
    </row>
    <row r="552" spans="2:11" ht="13.5" x14ac:dyDescent="0.35">
      <c r="B552" s="3">
        <v>45715</v>
      </c>
      <c r="C552" s="2">
        <v>5.89</v>
      </c>
      <c r="D552" s="2">
        <v>5.5309999999999997</v>
      </c>
      <c r="E552" s="2">
        <v>5.5963899159663857</v>
      </c>
      <c r="F552" s="2">
        <v>32745</v>
      </c>
      <c r="G552" s="2">
        <v>183253.7877983193</v>
      </c>
      <c r="H552" s="11">
        <f t="shared" si="8"/>
        <v>-1.8333333333333424E-2</v>
      </c>
      <c r="I552" s="10"/>
      <c r="J552" s="10"/>
      <c r="K552" s="10"/>
    </row>
    <row r="553" spans="2:11" ht="13.5" x14ac:dyDescent="0.35">
      <c r="B553" s="3">
        <v>45716</v>
      </c>
      <c r="C553" s="2">
        <v>5.89</v>
      </c>
      <c r="D553" s="2">
        <v>5.5309999999999997</v>
      </c>
      <c r="E553" s="2">
        <v>5.5325384873949579</v>
      </c>
      <c r="F553" s="2">
        <v>958</v>
      </c>
      <c r="G553" s="2">
        <v>5300.1718709243696</v>
      </c>
      <c r="H553" s="11">
        <f t="shared" si="8"/>
        <v>0</v>
      </c>
      <c r="I553" s="10"/>
      <c r="J553" s="10"/>
      <c r="K553" s="10"/>
    </row>
    <row r="554" spans="2:11" ht="13.5" x14ac:dyDescent="0.35">
      <c r="B554" s="3">
        <v>45719</v>
      </c>
      <c r="C554" s="2">
        <v>5.8</v>
      </c>
      <c r="D554" s="2">
        <v>5.4459999999999997</v>
      </c>
      <c r="E554" s="2">
        <v>5.4732815384615385</v>
      </c>
      <c r="F554" s="2">
        <v>5225</v>
      </c>
      <c r="G554" s="2">
        <v>28597.896038461538</v>
      </c>
      <c r="H554" s="11">
        <f t="shared" si="8"/>
        <v>-1.5280135823429464E-2</v>
      </c>
      <c r="I554" s="10"/>
      <c r="J554" s="10"/>
      <c r="K554" s="10"/>
    </row>
    <row r="555" spans="2:11" ht="13.5" x14ac:dyDescent="0.35">
      <c r="B555" s="3">
        <v>45720</v>
      </c>
      <c r="C555" s="2">
        <v>5.8</v>
      </c>
      <c r="D555" s="2">
        <v>5.4459999999999997</v>
      </c>
      <c r="E555" s="2">
        <v>5.4649999999999999</v>
      </c>
      <c r="F555" s="2">
        <v>3100</v>
      </c>
      <c r="G555" s="2">
        <v>16941.5</v>
      </c>
      <c r="H555" s="11">
        <f t="shared" si="8"/>
        <v>0</v>
      </c>
      <c r="I555" s="10"/>
      <c r="J555" s="10"/>
      <c r="K555" s="10"/>
    </row>
    <row r="556" spans="2:11" ht="13.5" x14ac:dyDescent="0.35">
      <c r="B556" s="3">
        <v>45721</v>
      </c>
      <c r="C556" s="2">
        <v>5.95</v>
      </c>
      <c r="D556" s="2">
        <v>5.5869999999999997</v>
      </c>
      <c r="E556" s="2">
        <v>5.4292679376083193</v>
      </c>
      <c r="F556" s="2">
        <v>25509</v>
      </c>
      <c r="G556" s="2">
        <v>138495.19582045061</v>
      </c>
      <c r="H556" s="11">
        <f t="shared" si="8"/>
        <v>2.5862068965517349E-2</v>
      </c>
      <c r="I556" s="10"/>
      <c r="J556" s="10"/>
      <c r="K556" s="10"/>
    </row>
    <row r="557" spans="2:11" ht="13.5" x14ac:dyDescent="0.35">
      <c r="B557" s="3">
        <v>45722</v>
      </c>
      <c r="C557" s="2">
        <v>5.96</v>
      </c>
      <c r="D557" s="2">
        <v>5.5960000000000001</v>
      </c>
      <c r="E557" s="2">
        <v>5.4358409012131723</v>
      </c>
      <c r="F557" s="2">
        <v>18252</v>
      </c>
      <c r="G557" s="2">
        <v>99214.968128942826</v>
      </c>
      <c r="H557" s="11">
        <f t="shared" si="8"/>
        <v>1.6806722689075571E-3</v>
      </c>
      <c r="I557" s="10"/>
      <c r="J557" s="10"/>
      <c r="K557" s="10"/>
    </row>
    <row r="558" spans="2:11" ht="13.5" x14ac:dyDescent="0.35">
      <c r="B558" s="3">
        <v>45723</v>
      </c>
      <c r="C558" s="2">
        <v>5.95</v>
      </c>
      <c r="D558" s="2">
        <v>5.5869999999999997</v>
      </c>
      <c r="E558" s="2">
        <v>5.4292679376083193</v>
      </c>
      <c r="F558" s="2">
        <v>10794</v>
      </c>
      <c r="G558" s="2">
        <v>58603.518118544198</v>
      </c>
      <c r="H558" s="11">
        <f t="shared" si="8"/>
        <v>-1.6778523489932029E-3</v>
      </c>
      <c r="I558" s="10"/>
      <c r="J558" s="10"/>
      <c r="K558" s="10"/>
    </row>
    <row r="559" spans="2:11" ht="13.5" x14ac:dyDescent="0.35">
      <c r="B559" s="3">
        <v>45726</v>
      </c>
      <c r="C559" s="2">
        <v>5.95</v>
      </c>
      <c r="D559" s="2">
        <v>5.5869999999999997</v>
      </c>
      <c r="E559" s="2">
        <v>5.4404677966101689</v>
      </c>
      <c r="F559" s="2">
        <v>29159</v>
      </c>
      <c r="G559" s="2">
        <v>158638.60048135591</v>
      </c>
      <c r="H559" s="11">
        <f t="shared" si="8"/>
        <v>0</v>
      </c>
      <c r="I559" s="10"/>
      <c r="J559" s="10"/>
      <c r="K559" s="10"/>
    </row>
    <row r="560" spans="2:11" ht="13.5" x14ac:dyDescent="0.35">
      <c r="B560" s="3">
        <v>45727</v>
      </c>
      <c r="C560" s="2">
        <v>5.85</v>
      </c>
      <c r="D560" s="2">
        <v>5.4930000000000003</v>
      </c>
      <c r="E560" s="2">
        <v>5.4677667244367427</v>
      </c>
      <c r="F560" s="2">
        <v>22765</v>
      </c>
      <c r="G560" s="2">
        <v>124473.70948180245</v>
      </c>
      <c r="H560" s="11">
        <f t="shared" si="8"/>
        <v>-1.6806722689075682E-2</v>
      </c>
      <c r="I560" s="10"/>
      <c r="J560" s="10"/>
      <c r="K560" s="10"/>
    </row>
    <row r="561" spans="2:11" ht="13.5" x14ac:dyDescent="0.35">
      <c r="B561" s="3">
        <v>45728</v>
      </c>
      <c r="C561" s="2">
        <v>5.82</v>
      </c>
      <c r="D561" s="2">
        <v>5.4649999999999999</v>
      </c>
      <c r="E561" s="2">
        <v>5.4309765517241377</v>
      </c>
      <c r="F561" s="2">
        <v>36411</v>
      </c>
      <c r="G561" s="2">
        <v>197747.28722482757</v>
      </c>
      <c r="H561" s="11">
        <f t="shared" si="8"/>
        <v>-5.128205128204999E-3</v>
      </c>
      <c r="I561" s="10"/>
      <c r="J561" s="10"/>
      <c r="K561" s="10"/>
    </row>
    <row r="562" spans="2:11" ht="13.5" x14ac:dyDescent="0.35">
      <c r="B562" s="3">
        <v>45729</v>
      </c>
      <c r="C562" s="2">
        <v>5.77</v>
      </c>
      <c r="D562" s="2">
        <v>5.4180000000000001</v>
      </c>
      <c r="E562" s="2">
        <v>5.4046337391304355</v>
      </c>
      <c r="F562" s="2">
        <v>12666</v>
      </c>
      <c r="G562" s="2">
        <v>68455.090939826099</v>
      </c>
      <c r="H562" s="11">
        <f t="shared" si="8"/>
        <v>-8.5910652920963004E-3</v>
      </c>
      <c r="I562" s="10"/>
      <c r="J562" s="10"/>
      <c r="K562" s="10"/>
    </row>
    <row r="563" spans="2:11" ht="13.5" x14ac:dyDescent="0.35">
      <c r="B563" s="3">
        <v>45730</v>
      </c>
      <c r="C563" s="2">
        <v>5.77</v>
      </c>
      <c r="D563" s="2">
        <v>5.4180000000000001</v>
      </c>
      <c r="E563" s="2">
        <v>5.399390243902439</v>
      </c>
      <c r="F563" s="2">
        <v>30913</v>
      </c>
      <c r="G563" s="2">
        <v>166911.3506097561</v>
      </c>
      <c r="H563" s="11">
        <f t="shared" si="8"/>
        <v>0</v>
      </c>
      <c r="I563" s="10"/>
      <c r="J563" s="10"/>
      <c r="K563" s="10"/>
    </row>
    <row r="564" spans="2:11" ht="13.5" x14ac:dyDescent="0.35">
      <c r="B564" s="3">
        <v>45733</v>
      </c>
      <c r="C564" s="2">
        <v>5.77</v>
      </c>
      <c r="D564" s="2">
        <v>5.4180000000000001</v>
      </c>
      <c r="E564" s="2">
        <v>5.3996093749999998</v>
      </c>
      <c r="F564" s="2">
        <v>22454</v>
      </c>
      <c r="G564" s="2">
        <v>121242.82890625</v>
      </c>
      <c r="H564" s="11">
        <f t="shared" si="8"/>
        <v>0</v>
      </c>
      <c r="I564" s="10"/>
      <c r="J564" s="10"/>
      <c r="K564" s="10"/>
    </row>
    <row r="565" spans="2:11" ht="13.5" x14ac:dyDescent="0.35">
      <c r="B565" s="3">
        <v>45734</v>
      </c>
      <c r="C565" s="2">
        <v>5.9</v>
      </c>
      <c r="D565" s="2">
        <v>5.54</v>
      </c>
      <c r="E565" s="2">
        <v>5.5371830508474575</v>
      </c>
      <c r="F565" s="2">
        <v>656</v>
      </c>
      <c r="G565" s="2">
        <v>3632.3920813559321</v>
      </c>
      <c r="H565" s="11">
        <f t="shared" si="8"/>
        <v>2.2530329289428108E-2</v>
      </c>
      <c r="I565" s="10"/>
      <c r="J565" s="10"/>
      <c r="K565" s="10"/>
    </row>
    <row r="566" spans="2:11" ht="13.5" x14ac:dyDescent="0.35">
      <c r="B566" s="3">
        <v>45735</v>
      </c>
      <c r="C566" s="2">
        <v>5.77</v>
      </c>
      <c r="D566" s="2">
        <v>5.4180000000000001</v>
      </c>
      <c r="E566" s="2">
        <v>5.465718275862069</v>
      </c>
      <c r="F566" s="2">
        <v>1984</v>
      </c>
      <c r="G566" s="2">
        <v>10843.985059310346</v>
      </c>
      <c r="H566" s="11">
        <f t="shared" si="8"/>
        <v>-2.2033898305084842E-2</v>
      </c>
      <c r="I566" s="10"/>
      <c r="J566" s="10"/>
      <c r="K566" s="10"/>
    </row>
    <row r="567" spans="2:11" ht="13.5" x14ac:dyDescent="0.35">
      <c r="B567" s="3">
        <v>45737</v>
      </c>
      <c r="C567" s="2">
        <v>5.8</v>
      </c>
      <c r="D567" s="2">
        <v>5.4459999999999997</v>
      </c>
      <c r="E567" s="2">
        <v>5.4212078124999996</v>
      </c>
      <c r="F567" s="2">
        <v>6935</v>
      </c>
      <c r="G567" s="2">
        <v>37596.076179687494</v>
      </c>
      <c r="H567" s="11">
        <f t="shared" si="8"/>
        <v>5.199306759098743E-3</v>
      </c>
      <c r="I567" s="10"/>
      <c r="J567" s="10"/>
      <c r="K567" s="10"/>
    </row>
    <row r="568" spans="2:11" ht="13.5" x14ac:dyDescent="0.35">
      <c r="B568" s="3">
        <v>45740</v>
      </c>
      <c r="C568" s="2">
        <v>5.75</v>
      </c>
      <c r="D568" s="2">
        <v>5.399</v>
      </c>
      <c r="E568" s="2">
        <v>5.444122068965517</v>
      </c>
      <c r="F568" s="2">
        <v>4982</v>
      </c>
      <c r="G568" s="2">
        <v>27122.616147586206</v>
      </c>
      <c r="H568" s="11">
        <f t="shared" si="8"/>
        <v>-8.6206896551723755E-3</v>
      </c>
      <c r="I568" s="10"/>
      <c r="J568" s="10"/>
      <c r="K568" s="10"/>
    </row>
    <row r="569" spans="2:11" ht="13.5" x14ac:dyDescent="0.35">
      <c r="B569" s="3">
        <v>45741</v>
      </c>
      <c r="C569" s="2">
        <v>5.74</v>
      </c>
      <c r="D569" s="2">
        <v>5.39</v>
      </c>
      <c r="E569" s="2">
        <v>5.4298167820069203</v>
      </c>
      <c r="F569" s="2">
        <v>6365</v>
      </c>
      <c r="G569" s="2">
        <v>34560.783817474046</v>
      </c>
      <c r="H569" s="11">
        <f t="shared" si="8"/>
        <v>-1.7391304347825765E-3</v>
      </c>
      <c r="I569" s="10"/>
      <c r="J569" s="10"/>
      <c r="K569" s="10"/>
    </row>
    <row r="570" spans="2:11" ht="13.5" x14ac:dyDescent="0.35">
      <c r="B570" s="3">
        <v>45742</v>
      </c>
      <c r="C570" s="2">
        <v>5.76</v>
      </c>
      <c r="D570" s="2">
        <v>5.4089999999999998</v>
      </c>
      <c r="E570" s="2">
        <v>5.4451123076923089</v>
      </c>
      <c r="F570" s="2">
        <v>1028</v>
      </c>
      <c r="G570" s="2">
        <v>5597.5754523076939</v>
      </c>
      <c r="H570" s="11">
        <f t="shared" si="8"/>
        <v>3.4843205574912606E-3</v>
      </c>
      <c r="I570" s="10"/>
      <c r="J570" s="10"/>
      <c r="K570" s="10"/>
    </row>
    <row r="571" spans="2:11" ht="13.5" x14ac:dyDescent="0.35">
      <c r="B571" s="3">
        <v>45743</v>
      </c>
      <c r="C571" s="2">
        <v>5.9</v>
      </c>
      <c r="D571" s="2">
        <v>5.54</v>
      </c>
      <c r="E571" s="2">
        <v>0</v>
      </c>
      <c r="F571" s="2">
        <v>0</v>
      </c>
      <c r="G571" s="2">
        <v>0</v>
      </c>
      <c r="H571" s="11">
        <f t="shared" si="8"/>
        <v>2.430555555555558E-2</v>
      </c>
      <c r="I571" s="10"/>
      <c r="J571" s="10"/>
      <c r="K571" s="10"/>
    </row>
    <row r="572" spans="2:11" ht="13.5" x14ac:dyDescent="0.35">
      <c r="B572" s="3">
        <v>45744</v>
      </c>
      <c r="C572" s="2">
        <v>5.8</v>
      </c>
      <c r="D572" s="2">
        <v>5.4459999999999997</v>
      </c>
      <c r="E572" s="2">
        <v>5.4102674782608693</v>
      </c>
      <c r="F572" s="2">
        <v>7049</v>
      </c>
      <c r="G572" s="2">
        <v>38136.975454260864</v>
      </c>
      <c r="H572" s="11">
        <f t="shared" si="8"/>
        <v>-1.6949152542372947E-2</v>
      </c>
      <c r="I572" s="10"/>
      <c r="J572" s="10"/>
      <c r="K572" s="10"/>
    </row>
    <row r="573" spans="2:11" ht="13.5" x14ac:dyDescent="0.35">
      <c r="B573" s="3">
        <v>45749</v>
      </c>
      <c r="C573" s="2">
        <v>5.76</v>
      </c>
      <c r="D573" s="2">
        <v>5.4089999999999998</v>
      </c>
      <c r="E573" s="2">
        <v>5.4373282006920416</v>
      </c>
      <c r="F573" s="2">
        <v>1127</v>
      </c>
      <c r="G573" s="2">
        <v>6127.8688821799306</v>
      </c>
      <c r="H573" s="11">
        <f t="shared" si="8"/>
        <v>-6.8965517241379448E-3</v>
      </c>
      <c r="I573" s="10"/>
      <c r="J573" s="10"/>
      <c r="K573" s="10"/>
    </row>
    <row r="574" spans="2:11" ht="13.5" x14ac:dyDescent="0.35">
      <c r="B574" s="3">
        <v>45750</v>
      </c>
      <c r="C574" s="2">
        <v>5.8</v>
      </c>
      <c r="D574" s="2">
        <v>5.4459999999999997</v>
      </c>
      <c r="E574" s="2">
        <v>5.4551678200692031</v>
      </c>
      <c r="F574" s="2">
        <v>5820</v>
      </c>
      <c r="G574" s="2">
        <v>31749.076712802762</v>
      </c>
      <c r="H574" s="11">
        <f t="shared" si="8"/>
        <v>6.9444444444444198E-3</v>
      </c>
      <c r="I574" s="10"/>
      <c r="J574" s="10"/>
      <c r="K574" s="10"/>
    </row>
    <row r="575" spans="2:11" ht="13.5" x14ac:dyDescent="0.35">
      <c r="B575" s="3">
        <v>45751</v>
      </c>
      <c r="C575" s="2">
        <v>5.78</v>
      </c>
      <c r="D575" s="2">
        <v>5.4269999999999996</v>
      </c>
      <c r="E575" s="2">
        <v>5.4241832179930789</v>
      </c>
      <c r="F575" s="2">
        <v>18099</v>
      </c>
      <c r="G575" s="2">
        <v>98172.292062456734</v>
      </c>
      <c r="H575" s="11">
        <f t="shared" si="8"/>
        <v>-3.4482758620688614E-3</v>
      </c>
      <c r="I575" s="10"/>
      <c r="J575" s="10"/>
      <c r="K575" s="10"/>
    </row>
    <row r="576" spans="2:11" ht="13.5" x14ac:dyDescent="0.35">
      <c r="B576" s="3">
        <v>45754</v>
      </c>
      <c r="C576" s="2">
        <v>5.85</v>
      </c>
      <c r="D576" s="2">
        <v>5.4930000000000003</v>
      </c>
      <c r="E576" s="2">
        <v>5.4251221453287188</v>
      </c>
      <c r="F576" s="2">
        <v>10412</v>
      </c>
      <c r="G576" s="2">
        <v>56486.371777162618</v>
      </c>
      <c r="H576" s="11">
        <f t="shared" si="8"/>
        <v>1.2110726643598468E-2</v>
      </c>
      <c r="I576" s="10"/>
      <c r="J576" s="10"/>
      <c r="K576" s="10"/>
    </row>
    <row r="577" spans="2:11" ht="13.5" x14ac:dyDescent="0.35">
      <c r="B577" s="3">
        <v>45755</v>
      </c>
      <c r="C577" s="2">
        <v>5.85</v>
      </c>
      <c r="D577" s="2">
        <v>5.4930000000000003</v>
      </c>
      <c r="E577" s="2">
        <v>5.4103193103448275</v>
      </c>
      <c r="F577" s="2">
        <v>6571</v>
      </c>
      <c r="G577" s="2">
        <v>35551.208188275865</v>
      </c>
      <c r="H577" s="11">
        <f t="shared" si="8"/>
        <v>0</v>
      </c>
      <c r="I577" s="10"/>
      <c r="J577" s="10"/>
      <c r="K577" s="10"/>
    </row>
    <row r="578" spans="2:11" ht="13.5" x14ac:dyDescent="0.35">
      <c r="B578" s="3">
        <v>45757</v>
      </c>
      <c r="C578" s="2">
        <v>5.75</v>
      </c>
      <c r="D578" s="2">
        <v>5.399</v>
      </c>
      <c r="E578" s="2">
        <v>5.4422441379310351</v>
      </c>
      <c r="F578" s="2">
        <v>6065</v>
      </c>
      <c r="G578" s="2">
        <v>33007.210696551731</v>
      </c>
      <c r="H578" s="11">
        <f t="shared" si="8"/>
        <v>-1.7094017094017033E-2</v>
      </c>
      <c r="I578" s="10"/>
      <c r="J578" s="10"/>
      <c r="K578" s="10"/>
    </row>
    <row r="579" spans="2:11" ht="13.5" x14ac:dyDescent="0.35">
      <c r="B579" s="3">
        <v>45758</v>
      </c>
      <c r="C579" s="2">
        <v>5.78</v>
      </c>
      <c r="D579" s="2">
        <v>5.4269999999999996</v>
      </c>
      <c r="E579" s="2">
        <v>5.4695256410256423</v>
      </c>
      <c r="F579" s="2">
        <v>8084</v>
      </c>
      <c r="G579" s="2">
        <v>44215.645282051293</v>
      </c>
      <c r="H579" s="11">
        <f t="shared" si="8"/>
        <v>5.2173913043478404E-3</v>
      </c>
      <c r="I579" s="10"/>
      <c r="J579" s="10"/>
      <c r="K579" s="10"/>
    </row>
    <row r="580" spans="2:11" ht="13.5" x14ac:dyDescent="0.35">
      <c r="B580" s="3">
        <v>45761</v>
      </c>
      <c r="C580" s="2">
        <v>5.78</v>
      </c>
      <c r="D580" s="2">
        <v>5.4269999999999996</v>
      </c>
      <c r="E580" s="2">
        <v>5.5419780000000003</v>
      </c>
      <c r="F580" s="2">
        <v>17744</v>
      </c>
      <c r="G580" s="2">
        <v>98336.857631999999</v>
      </c>
      <c r="H580" s="11">
        <f t="shared" si="8"/>
        <v>0</v>
      </c>
      <c r="I580" s="10"/>
      <c r="J580" s="10"/>
      <c r="K580" s="10"/>
    </row>
    <row r="581" spans="2:11" ht="13.5" x14ac:dyDescent="0.35">
      <c r="B581" s="3">
        <v>45762</v>
      </c>
      <c r="C581" s="2">
        <v>5.78</v>
      </c>
      <c r="D581" s="2">
        <v>5.4269999999999996</v>
      </c>
      <c r="E581" s="2">
        <v>5.566361178509533</v>
      </c>
      <c r="F581" s="2">
        <v>10154</v>
      </c>
      <c r="G581" s="2">
        <v>56520.831406585799</v>
      </c>
      <c r="H581" s="11">
        <f t="shared" si="8"/>
        <v>0</v>
      </c>
      <c r="I581" s="10"/>
      <c r="J581" s="10"/>
      <c r="K581" s="10"/>
    </row>
    <row r="582" spans="2:11" ht="13.5" x14ac:dyDescent="0.35">
      <c r="B582" s="3">
        <v>45763</v>
      </c>
      <c r="C582" s="2">
        <v>5.78</v>
      </c>
      <c r="D582" s="2">
        <v>5.4269999999999996</v>
      </c>
      <c r="E582" s="2">
        <v>5.4090150250417359</v>
      </c>
      <c r="F582" s="2">
        <v>17092</v>
      </c>
      <c r="G582" s="2">
        <v>92450.884808013347</v>
      </c>
      <c r="H582" s="11">
        <f t="shared" si="8"/>
        <v>0</v>
      </c>
      <c r="I582" s="10"/>
      <c r="J582" s="10"/>
      <c r="K582" s="10"/>
    </row>
    <row r="583" spans="2:11" ht="13.5" x14ac:dyDescent="0.35">
      <c r="B583" s="3">
        <v>45764</v>
      </c>
      <c r="C583" s="2">
        <v>5.8</v>
      </c>
      <c r="D583" s="2">
        <v>5.4459999999999997</v>
      </c>
      <c r="E583" s="2">
        <v>5.6125241554054064</v>
      </c>
      <c r="F583" s="2">
        <v>114</v>
      </c>
      <c r="G583" s="2">
        <v>639.82775371621631</v>
      </c>
      <c r="H583" s="11">
        <f t="shared" ref="H583:H646" si="9">C583/C582-1</f>
        <v>3.4602076124565784E-3</v>
      </c>
      <c r="I583" s="10"/>
      <c r="J583" s="10"/>
      <c r="K583" s="10"/>
    </row>
    <row r="584" spans="2:11" ht="13.5" x14ac:dyDescent="0.35">
      <c r="B584" s="3">
        <v>45765</v>
      </c>
      <c r="C584" s="2">
        <v>5.8</v>
      </c>
      <c r="D584" s="2">
        <v>5.4459999999999997</v>
      </c>
      <c r="E584" s="2">
        <v>5.4516337931034489</v>
      </c>
      <c r="F584" s="2">
        <v>162</v>
      </c>
      <c r="G584" s="2">
        <v>883.16467448275876</v>
      </c>
      <c r="H584" s="11">
        <f t="shared" si="9"/>
        <v>0</v>
      </c>
      <c r="I584" s="10"/>
      <c r="J584" s="10"/>
      <c r="K584" s="10"/>
    </row>
    <row r="585" spans="2:11" ht="13.5" x14ac:dyDescent="0.35">
      <c r="B585" s="3">
        <v>45768</v>
      </c>
      <c r="C585" s="2">
        <v>5.85</v>
      </c>
      <c r="D585" s="2">
        <v>5.4930000000000003</v>
      </c>
      <c r="E585" s="2">
        <v>5.4459999999999997</v>
      </c>
      <c r="F585" s="2">
        <v>231</v>
      </c>
      <c r="G585" s="2">
        <v>1258.0259999999998</v>
      </c>
      <c r="H585" s="11">
        <f t="shared" si="9"/>
        <v>8.6206896551723755E-3</v>
      </c>
      <c r="I585" s="10"/>
      <c r="J585" s="10"/>
      <c r="K585" s="10"/>
    </row>
    <row r="586" spans="2:11" ht="13.5" x14ac:dyDescent="0.35">
      <c r="B586" s="3">
        <v>45769</v>
      </c>
      <c r="C586" s="2">
        <v>6</v>
      </c>
      <c r="D586" s="2">
        <v>5.6340000000000003</v>
      </c>
      <c r="E586" s="2">
        <v>5.6217930000000003</v>
      </c>
      <c r="F586" s="2">
        <v>445668</v>
      </c>
      <c r="G586" s="2">
        <v>2505453.242724</v>
      </c>
      <c r="H586" s="11">
        <f t="shared" si="9"/>
        <v>2.5641025641025772E-2</v>
      </c>
      <c r="I586" s="10"/>
      <c r="J586" s="10"/>
      <c r="K586" s="10"/>
    </row>
    <row r="587" spans="2:11" ht="13.5" x14ac:dyDescent="0.35">
      <c r="B587" s="3">
        <v>45770</v>
      </c>
      <c r="C587" s="2">
        <v>5.77</v>
      </c>
      <c r="D587" s="2">
        <v>5.4180000000000001</v>
      </c>
      <c r="E587" s="2">
        <v>5.6340000000000003</v>
      </c>
      <c r="F587" s="2">
        <v>253214</v>
      </c>
      <c r="G587" s="2">
        <v>1426607.676</v>
      </c>
      <c r="H587" s="11">
        <f t="shared" si="9"/>
        <v>-3.8333333333333441E-2</v>
      </c>
      <c r="I587" s="10"/>
      <c r="J587" s="10"/>
      <c r="K587" s="10"/>
    </row>
    <row r="588" spans="2:11" ht="13.5" x14ac:dyDescent="0.35">
      <c r="B588" s="3">
        <v>45771</v>
      </c>
      <c r="C588" s="2">
        <v>5.99</v>
      </c>
      <c r="D588" s="2">
        <v>5.625</v>
      </c>
      <c r="E588" s="2">
        <v>5.6293050000000004</v>
      </c>
      <c r="F588" s="2">
        <v>111578</v>
      </c>
      <c r="G588" s="2">
        <v>628106.59329000011</v>
      </c>
      <c r="H588" s="11">
        <f t="shared" si="9"/>
        <v>3.8128249566724559E-2</v>
      </c>
      <c r="I588" s="10"/>
      <c r="J588" s="10"/>
      <c r="K588" s="10"/>
    </row>
    <row r="589" spans="2:11" ht="13.5" x14ac:dyDescent="0.35">
      <c r="B589" s="3">
        <v>45772</v>
      </c>
      <c r="C589" s="2">
        <v>5.92</v>
      </c>
      <c r="D589" s="2">
        <v>5.5590000000000002</v>
      </c>
      <c r="E589" s="2">
        <v>5.6302440000000011</v>
      </c>
      <c r="F589" s="2">
        <v>23693</v>
      </c>
      <c r="G589" s="2">
        <v>133397.37109200002</v>
      </c>
      <c r="H589" s="11">
        <f t="shared" si="9"/>
        <v>-1.1686143572621099E-2</v>
      </c>
      <c r="I589" s="10"/>
      <c r="J589" s="10"/>
      <c r="K589" s="10"/>
    </row>
    <row r="590" spans="2:11" ht="13.5" x14ac:dyDescent="0.35">
      <c r="B590" s="3">
        <v>45775</v>
      </c>
      <c r="C590" s="2">
        <v>5.8</v>
      </c>
      <c r="D590" s="2">
        <v>5.4459999999999997</v>
      </c>
      <c r="E590" s="2">
        <v>5.611138775510204</v>
      </c>
      <c r="F590" s="2">
        <v>13973</v>
      </c>
      <c r="G590" s="2">
        <v>78404.44211020408</v>
      </c>
      <c r="H590" s="11">
        <f t="shared" si="9"/>
        <v>-2.0270270270270285E-2</v>
      </c>
      <c r="I590" s="10"/>
      <c r="J590" s="10"/>
      <c r="K590" s="10"/>
    </row>
    <row r="591" spans="2:11" ht="13.5" x14ac:dyDescent="0.35">
      <c r="B591" s="3">
        <v>45776</v>
      </c>
      <c r="C591" s="2">
        <v>5.8</v>
      </c>
      <c r="D591" s="2">
        <v>5.4459999999999997</v>
      </c>
      <c r="E591" s="2">
        <v>5.5209999999999999</v>
      </c>
      <c r="F591" s="2">
        <v>893</v>
      </c>
      <c r="G591" s="2">
        <v>4930.2529999999997</v>
      </c>
      <c r="H591" s="11">
        <f t="shared" si="9"/>
        <v>0</v>
      </c>
      <c r="I591" s="10"/>
      <c r="J591" s="10"/>
      <c r="K591" s="10"/>
    </row>
    <row r="592" spans="2:11" ht="13.5" x14ac:dyDescent="0.35">
      <c r="B592" s="3">
        <v>45777</v>
      </c>
      <c r="C592" s="2">
        <v>6</v>
      </c>
      <c r="D592" s="2">
        <v>5.6340000000000003</v>
      </c>
      <c r="E592" s="2">
        <v>5.4470406779661014</v>
      </c>
      <c r="F592" s="2">
        <v>1274</v>
      </c>
      <c r="G592" s="2">
        <v>6939.5298237288134</v>
      </c>
      <c r="H592" s="11">
        <f t="shared" si="9"/>
        <v>3.4482758620689724E-2</v>
      </c>
      <c r="I592" s="10"/>
      <c r="J592" s="10"/>
      <c r="K592" s="10"/>
    </row>
    <row r="593" spans="2:11" ht="13.5" x14ac:dyDescent="0.35">
      <c r="B593" s="3">
        <v>45779</v>
      </c>
      <c r="C593" s="2">
        <v>6</v>
      </c>
      <c r="D593" s="2">
        <v>5.6340000000000003</v>
      </c>
      <c r="E593" s="2">
        <v>5.5404841402337235</v>
      </c>
      <c r="F593" s="2">
        <v>1290</v>
      </c>
      <c r="G593" s="2">
        <v>7147.2245409015031</v>
      </c>
      <c r="H593" s="11">
        <f t="shared" si="9"/>
        <v>0</v>
      </c>
      <c r="I593" s="10"/>
      <c r="J593" s="10"/>
      <c r="K593" s="10"/>
    </row>
    <row r="594" spans="2:11" ht="13.5" x14ac:dyDescent="0.35">
      <c r="B594" s="3">
        <v>45782</v>
      </c>
      <c r="C594" s="2">
        <v>6</v>
      </c>
      <c r="D594" s="2">
        <v>5.6340000000000003</v>
      </c>
      <c r="E594" s="2">
        <v>5.625</v>
      </c>
      <c r="F594" s="2">
        <v>2695</v>
      </c>
      <c r="G594" s="2">
        <v>15159.375</v>
      </c>
      <c r="H594" s="11">
        <f t="shared" si="9"/>
        <v>0</v>
      </c>
      <c r="I594" s="10"/>
      <c r="J594" s="10"/>
      <c r="K594" s="10"/>
    </row>
    <row r="595" spans="2:11" ht="13.5" x14ac:dyDescent="0.35">
      <c r="B595" s="3">
        <v>45783</v>
      </c>
      <c r="C595" s="2">
        <v>6</v>
      </c>
      <c r="D595" s="2">
        <v>5.6340000000000003</v>
      </c>
      <c r="E595" s="2">
        <v>5.625</v>
      </c>
      <c r="F595" s="2">
        <v>68</v>
      </c>
      <c r="G595" s="2">
        <v>382.5</v>
      </c>
      <c r="H595" s="11">
        <f t="shared" si="9"/>
        <v>0</v>
      </c>
      <c r="I595" s="10"/>
      <c r="J595" s="10"/>
      <c r="K595" s="10"/>
    </row>
    <row r="596" spans="2:11" ht="13.5" x14ac:dyDescent="0.35">
      <c r="B596" s="3">
        <v>45784</v>
      </c>
      <c r="C596" s="2">
        <v>5.88</v>
      </c>
      <c r="D596" s="2">
        <v>5.5209999999999999</v>
      </c>
      <c r="E596" s="2">
        <v>5.5014507692307699</v>
      </c>
      <c r="F596" s="2">
        <v>33</v>
      </c>
      <c r="G596" s="2">
        <v>181.54787538461539</v>
      </c>
      <c r="H596" s="11">
        <f t="shared" si="9"/>
        <v>-2.0000000000000018E-2</v>
      </c>
      <c r="I596" s="10"/>
      <c r="J596" s="10"/>
      <c r="K596" s="10"/>
    </row>
    <row r="597" spans="2:11" ht="13.5" x14ac:dyDescent="0.35">
      <c r="B597" s="3">
        <v>45785</v>
      </c>
      <c r="C597" s="2">
        <v>5.88</v>
      </c>
      <c r="D597" s="2">
        <v>5.5209999999999999</v>
      </c>
      <c r="E597" s="2">
        <v>5.4894140893470782</v>
      </c>
      <c r="F597" s="2">
        <v>1821</v>
      </c>
      <c r="G597" s="2">
        <v>9996.2230567010301</v>
      </c>
      <c r="H597" s="11">
        <f t="shared" si="9"/>
        <v>0</v>
      </c>
      <c r="I597" s="10"/>
      <c r="J597" s="10"/>
      <c r="K597" s="10"/>
    </row>
    <row r="598" spans="2:11" ht="13.5" x14ac:dyDescent="0.35">
      <c r="B598" s="3">
        <v>45786</v>
      </c>
      <c r="C598" s="2">
        <v>5.9</v>
      </c>
      <c r="D598" s="2">
        <v>5.54</v>
      </c>
      <c r="E598" s="2">
        <v>5.5960000000000001</v>
      </c>
      <c r="F598" s="2">
        <v>1</v>
      </c>
      <c r="G598" s="2">
        <v>5.5960000000000001</v>
      </c>
      <c r="H598" s="11">
        <f t="shared" si="9"/>
        <v>3.4013605442178019E-3</v>
      </c>
      <c r="I598" s="10"/>
      <c r="J598" s="10"/>
      <c r="K598" s="10"/>
    </row>
    <row r="599" spans="2:11" ht="13.5" x14ac:dyDescent="0.35">
      <c r="B599" s="3">
        <v>45789</v>
      </c>
      <c r="C599" s="2">
        <v>5.99</v>
      </c>
      <c r="D599" s="2">
        <v>5.625</v>
      </c>
      <c r="E599" s="2">
        <v>5.4656539629005056</v>
      </c>
      <c r="F599" s="2">
        <v>1609</v>
      </c>
      <c r="G599" s="2">
        <v>8794.2372263069137</v>
      </c>
      <c r="H599" s="11">
        <f t="shared" si="9"/>
        <v>1.5254237288135464E-2</v>
      </c>
      <c r="I599" s="10"/>
      <c r="J599" s="10"/>
      <c r="K599" s="10"/>
    </row>
    <row r="600" spans="2:11" ht="13.5" x14ac:dyDescent="0.35">
      <c r="B600" s="3">
        <v>45790</v>
      </c>
      <c r="C600" s="2">
        <v>5.99</v>
      </c>
      <c r="D600" s="2">
        <v>5.625</v>
      </c>
      <c r="E600" s="2">
        <v>5.5679999999999996</v>
      </c>
      <c r="F600" s="2">
        <v>8</v>
      </c>
      <c r="G600" s="2">
        <v>44.543999999999997</v>
      </c>
      <c r="H600" s="11">
        <f t="shared" si="9"/>
        <v>0</v>
      </c>
      <c r="I600" s="10"/>
      <c r="J600" s="10"/>
      <c r="K600" s="10"/>
    </row>
    <row r="601" spans="2:11" ht="13.5" x14ac:dyDescent="0.35">
      <c r="B601" s="3">
        <v>45791</v>
      </c>
      <c r="C601" s="2">
        <v>5.99</v>
      </c>
      <c r="D601" s="2">
        <v>5.625</v>
      </c>
      <c r="E601" s="2">
        <v>5.5198392491467567</v>
      </c>
      <c r="F601" s="2">
        <v>96</v>
      </c>
      <c r="G601" s="2">
        <v>529.90456791808867</v>
      </c>
      <c r="H601" s="11">
        <f t="shared" si="9"/>
        <v>0</v>
      </c>
      <c r="I601" s="10"/>
      <c r="J601" s="10"/>
      <c r="K601" s="10"/>
    </row>
    <row r="602" spans="2:11" ht="13.5" x14ac:dyDescent="0.35">
      <c r="B602" s="3">
        <v>45792</v>
      </c>
      <c r="C602" s="2">
        <v>5.85</v>
      </c>
      <c r="D602" s="2">
        <v>5.4930000000000003</v>
      </c>
      <c r="E602" s="2">
        <v>5.4743210084033613</v>
      </c>
      <c r="F602" s="2">
        <v>1393</v>
      </c>
      <c r="G602" s="2">
        <v>7625.7291647058819</v>
      </c>
      <c r="H602" s="11">
        <f t="shared" si="9"/>
        <v>-2.3372287145242199E-2</v>
      </c>
      <c r="I602" s="10"/>
      <c r="J602" s="10"/>
      <c r="K602" s="10"/>
    </row>
    <row r="603" spans="2:11" ht="13.5" x14ac:dyDescent="0.35">
      <c r="B603" s="3">
        <v>45793</v>
      </c>
      <c r="C603" s="2">
        <v>5.82</v>
      </c>
      <c r="D603" s="2">
        <v>5.4649999999999999</v>
      </c>
      <c r="E603" s="2">
        <v>5.5869999999999997</v>
      </c>
      <c r="F603" s="2">
        <v>256</v>
      </c>
      <c r="G603" s="2">
        <v>1430.2719999999999</v>
      </c>
      <c r="H603" s="11">
        <f t="shared" si="9"/>
        <v>-5.128205128204999E-3</v>
      </c>
      <c r="I603" s="10"/>
      <c r="J603" s="10"/>
      <c r="K603" s="10"/>
    </row>
    <row r="604" spans="2:11" ht="13.5" x14ac:dyDescent="0.35">
      <c r="B604" s="3">
        <v>45796</v>
      </c>
      <c r="C604" s="2">
        <v>5.96</v>
      </c>
      <c r="D604" s="2">
        <v>5.5960000000000001</v>
      </c>
      <c r="E604" s="2">
        <v>5.6353297161936569</v>
      </c>
      <c r="F604" s="2">
        <v>4067</v>
      </c>
      <c r="G604" s="2">
        <v>22918.885955759601</v>
      </c>
      <c r="H604" s="11">
        <f t="shared" si="9"/>
        <v>2.405498281786933E-2</v>
      </c>
      <c r="I604" s="10"/>
      <c r="J604" s="10"/>
      <c r="K604" s="10"/>
    </row>
    <row r="605" spans="2:11" ht="13.5" x14ac:dyDescent="0.35">
      <c r="B605" s="3">
        <v>45797</v>
      </c>
      <c r="C605" s="2">
        <v>5.93</v>
      </c>
      <c r="D605" s="2">
        <v>5.5679999999999996</v>
      </c>
      <c r="E605" s="2">
        <v>5.634939000000001</v>
      </c>
      <c r="F605" s="2">
        <v>51</v>
      </c>
      <c r="G605" s="2">
        <v>287.38188900000006</v>
      </c>
      <c r="H605" s="11">
        <f t="shared" si="9"/>
        <v>-5.0335570469799418E-3</v>
      </c>
      <c r="I605" s="10"/>
      <c r="J605" s="10"/>
      <c r="K605" s="10"/>
    </row>
    <row r="606" spans="2:11" ht="13.5" x14ac:dyDescent="0.35">
      <c r="B606" s="3">
        <v>45798</v>
      </c>
      <c r="C606" s="2">
        <v>5.93</v>
      </c>
      <c r="D606" s="2">
        <v>5.5679999999999996</v>
      </c>
      <c r="E606" s="2">
        <v>5.6330609999999997</v>
      </c>
      <c r="F606" s="2">
        <v>3544</v>
      </c>
      <c r="G606" s="2">
        <v>19963.568184</v>
      </c>
      <c r="H606" s="11">
        <f t="shared" si="9"/>
        <v>0</v>
      </c>
      <c r="I606" s="10"/>
      <c r="J606" s="10"/>
      <c r="K606" s="10"/>
    </row>
    <row r="607" spans="2:11" ht="13.5" x14ac:dyDescent="0.35">
      <c r="B607" s="3">
        <v>45799</v>
      </c>
      <c r="C607" s="2">
        <v>5.86</v>
      </c>
      <c r="D607" s="2">
        <v>5.5019999999999998</v>
      </c>
      <c r="E607" s="2">
        <v>5.536727879799666</v>
      </c>
      <c r="F607" s="2">
        <v>2213</v>
      </c>
      <c r="G607" s="2">
        <v>12252.778797996662</v>
      </c>
      <c r="H607" s="11">
        <f t="shared" si="9"/>
        <v>-1.1804384485666009E-2</v>
      </c>
      <c r="I607" s="10"/>
      <c r="J607" s="10"/>
      <c r="K607" s="10"/>
    </row>
    <row r="608" spans="2:11" ht="13.5" x14ac:dyDescent="0.35">
      <c r="B608" s="3">
        <v>45800</v>
      </c>
      <c r="C608" s="2">
        <v>5.95</v>
      </c>
      <c r="D608" s="2">
        <v>5.5869999999999997</v>
      </c>
      <c r="E608" s="2">
        <v>5.5868311036789295</v>
      </c>
      <c r="F608" s="2">
        <v>300</v>
      </c>
      <c r="G608" s="2">
        <v>1676.0493311036789</v>
      </c>
      <c r="H608" s="11">
        <f t="shared" si="9"/>
        <v>1.5358361774743923E-2</v>
      </c>
      <c r="I608" s="10"/>
      <c r="J608" s="10"/>
      <c r="K608" s="10"/>
    </row>
    <row r="609" spans="2:11" ht="13.5" x14ac:dyDescent="0.35">
      <c r="B609" s="3">
        <v>45803</v>
      </c>
      <c r="C609" s="2">
        <v>5.95</v>
      </c>
      <c r="D609" s="2">
        <v>5.5869999999999997</v>
      </c>
      <c r="E609" s="2">
        <v>0</v>
      </c>
      <c r="F609" s="2">
        <v>0</v>
      </c>
      <c r="G609" s="2">
        <v>0</v>
      </c>
      <c r="H609" s="11">
        <f t="shared" si="9"/>
        <v>0</v>
      </c>
      <c r="I609" s="10"/>
      <c r="J609" s="10"/>
      <c r="K609" s="10"/>
    </row>
    <row r="610" spans="2:11" ht="13.5" x14ac:dyDescent="0.35">
      <c r="B610" s="3">
        <v>45804</v>
      </c>
      <c r="C610" s="2">
        <v>5.99</v>
      </c>
      <c r="D610" s="2">
        <v>5.625</v>
      </c>
      <c r="E610" s="2">
        <v>5.5134884353741498</v>
      </c>
      <c r="F610" s="2">
        <v>3300</v>
      </c>
      <c r="G610" s="2">
        <v>18194.511836734695</v>
      </c>
      <c r="H610" s="11">
        <f t="shared" si="9"/>
        <v>6.7226890756302282E-3</v>
      </c>
      <c r="I610" s="10"/>
      <c r="J610" s="10"/>
      <c r="K610" s="10"/>
    </row>
    <row r="611" spans="2:11" ht="13.5" x14ac:dyDescent="0.35">
      <c r="B611" s="3">
        <v>45805</v>
      </c>
      <c r="C611" s="2">
        <v>6</v>
      </c>
      <c r="D611" s="2">
        <v>5.6340000000000003</v>
      </c>
      <c r="E611" s="2">
        <v>5.4684190476190473</v>
      </c>
      <c r="F611" s="2">
        <v>10395</v>
      </c>
      <c r="G611" s="2">
        <v>56844.215999999993</v>
      </c>
      <c r="H611" s="11">
        <f t="shared" si="9"/>
        <v>1.6694490818029983E-3</v>
      </c>
      <c r="I611" s="10"/>
      <c r="J611" s="10"/>
      <c r="K611" s="10"/>
    </row>
    <row r="612" spans="2:11" ht="13.5" x14ac:dyDescent="0.35">
      <c r="B612" s="3">
        <v>45806</v>
      </c>
      <c r="C612" s="2">
        <v>6</v>
      </c>
      <c r="D612" s="2">
        <v>5.6340000000000003</v>
      </c>
      <c r="E612" s="2">
        <v>5.5332586846543004</v>
      </c>
      <c r="F612" s="2">
        <v>2160</v>
      </c>
      <c r="G612" s="2">
        <v>11951.83875885329</v>
      </c>
      <c r="H612" s="11">
        <f t="shared" si="9"/>
        <v>0</v>
      </c>
      <c r="I612" s="10"/>
      <c r="J612" s="10"/>
      <c r="K612" s="10"/>
    </row>
    <row r="613" spans="2:11" ht="13.5" x14ac:dyDescent="0.35">
      <c r="B613" s="3">
        <v>45807</v>
      </c>
      <c r="C613" s="2">
        <v>5.99</v>
      </c>
      <c r="D613" s="2">
        <v>5.625</v>
      </c>
      <c r="E613" s="2">
        <v>5.6150000000000002</v>
      </c>
      <c r="F613" s="2">
        <v>40941</v>
      </c>
      <c r="G613" s="2">
        <v>229883.715</v>
      </c>
      <c r="H613" s="11">
        <f t="shared" si="9"/>
        <v>-1.6666666666665941E-3</v>
      </c>
      <c r="I613" s="10"/>
      <c r="J613" s="10"/>
      <c r="K613" s="10"/>
    </row>
    <row r="614" spans="2:11" ht="13.5" x14ac:dyDescent="0.35">
      <c r="B614" s="3">
        <v>45810</v>
      </c>
      <c r="C614" s="2">
        <v>5.98</v>
      </c>
      <c r="D614" s="2">
        <v>5.6150000000000002</v>
      </c>
      <c r="E614" s="2">
        <v>5.6337792642140467</v>
      </c>
      <c r="F614" s="2">
        <v>1201</v>
      </c>
      <c r="G614" s="2">
        <v>6766.16889632107</v>
      </c>
      <c r="H614" s="11">
        <f t="shared" si="9"/>
        <v>-1.6694490818029983E-3</v>
      </c>
      <c r="I614" s="10"/>
      <c r="J614" s="10"/>
      <c r="K614" s="10"/>
    </row>
    <row r="615" spans="2:11" ht="13.5" x14ac:dyDescent="0.35">
      <c r="B615" s="3">
        <v>45811</v>
      </c>
      <c r="C615" s="2">
        <v>5.98</v>
      </c>
      <c r="D615" s="2">
        <v>5.6150000000000002</v>
      </c>
      <c r="E615" s="2">
        <v>5.5417608695652172</v>
      </c>
      <c r="F615" s="2">
        <v>1535</v>
      </c>
      <c r="G615" s="2">
        <v>8506.6029347826079</v>
      </c>
      <c r="H615" s="11">
        <f t="shared" si="9"/>
        <v>0</v>
      </c>
      <c r="I615" s="10"/>
      <c r="J615" s="10"/>
      <c r="K615" s="10"/>
    </row>
    <row r="616" spans="2:11" ht="13.5" x14ac:dyDescent="0.35">
      <c r="B616" s="3">
        <v>45812</v>
      </c>
      <c r="C616" s="2">
        <v>5.88</v>
      </c>
      <c r="D616" s="2">
        <v>5.5209999999999999</v>
      </c>
      <c r="E616" s="2">
        <v>5.54</v>
      </c>
      <c r="F616" s="2">
        <v>1270</v>
      </c>
      <c r="G616" s="2">
        <v>7035.8</v>
      </c>
      <c r="H616" s="11">
        <f t="shared" si="9"/>
        <v>-1.6722408026755953E-2</v>
      </c>
      <c r="I616" s="10"/>
      <c r="J616" s="10"/>
      <c r="K616" s="10"/>
    </row>
    <row r="617" spans="2:11" ht="13.5" x14ac:dyDescent="0.35">
      <c r="B617" s="3">
        <v>45813</v>
      </c>
      <c r="C617" s="2">
        <v>5.88</v>
      </c>
      <c r="D617" s="2">
        <v>5.5209999999999999</v>
      </c>
      <c r="E617" s="2">
        <v>5.54</v>
      </c>
      <c r="F617" s="2">
        <v>766</v>
      </c>
      <c r="G617" s="2">
        <v>4243.6400000000003</v>
      </c>
      <c r="H617" s="11">
        <f t="shared" si="9"/>
        <v>0</v>
      </c>
      <c r="I617" s="10"/>
      <c r="J617" s="10"/>
      <c r="K617" s="10"/>
    </row>
    <row r="618" spans="2:11" ht="13.5" x14ac:dyDescent="0.35">
      <c r="B618" s="3">
        <v>45817</v>
      </c>
      <c r="C618" s="2">
        <v>5.93</v>
      </c>
      <c r="D618" s="2">
        <v>5.5679999999999996</v>
      </c>
      <c r="E618" s="2">
        <v>5.54</v>
      </c>
      <c r="F618" s="2">
        <v>1464</v>
      </c>
      <c r="G618" s="2">
        <v>8110.56</v>
      </c>
      <c r="H618" s="11">
        <f t="shared" si="9"/>
        <v>8.5034013605442826E-3</v>
      </c>
      <c r="I618" s="10"/>
      <c r="J618" s="10"/>
      <c r="K618" s="10"/>
    </row>
    <row r="619" spans="2:11" ht="13.5" x14ac:dyDescent="0.35">
      <c r="B619" s="3">
        <v>45818</v>
      </c>
      <c r="C619" s="2">
        <v>5.98</v>
      </c>
      <c r="D619" s="2">
        <v>5.6150000000000002</v>
      </c>
      <c r="E619" s="2">
        <v>5.5794880672268903</v>
      </c>
      <c r="F619" s="2">
        <v>2385</v>
      </c>
      <c r="G619" s="2">
        <v>13307.079040336133</v>
      </c>
      <c r="H619" s="11">
        <f t="shared" si="9"/>
        <v>8.4317032040472917E-3</v>
      </c>
      <c r="I619" s="10"/>
      <c r="J619" s="10"/>
      <c r="K619" s="10"/>
    </row>
    <row r="620" spans="2:11" ht="13.5" x14ac:dyDescent="0.35">
      <c r="B620" s="3">
        <v>45819</v>
      </c>
      <c r="C620" s="2">
        <v>5.98</v>
      </c>
      <c r="D620" s="2">
        <v>5.6150000000000002</v>
      </c>
      <c r="E620" s="2">
        <v>5.54</v>
      </c>
      <c r="F620" s="2">
        <v>1950</v>
      </c>
      <c r="G620" s="2">
        <v>10803</v>
      </c>
      <c r="H620" s="11">
        <f t="shared" si="9"/>
        <v>0</v>
      </c>
      <c r="I620" s="10"/>
      <c r="J620" s="10"/>
      <c r="K620" s="10"/>
    </row>
    <row r="621" spans="2:11" ht="13.5" x14ac:dyDescent="0.35">
      <c r="B621" s="3">
        <v>45820</v>
      </c>
      <c r="C621" s="2">
        <v>5.98</v>
      </c>
      <c r="D621" s="2">
        <v>5.6150000000000002</v>
      </c>
      <c r="E621" s="2">
        <v>5.54</v>
      </c>
      <c r="F621" s="2">
        <v>1300</v>
      </c>
      <c r="G621" s="2">
        <v>7202</v>
      </c>
      <c r="H621" s="11">
        <f t="shared" si="9"/>
        <v>0</v>
      </c>
      <c r="I621" s="10"/>
      <c r="J621" s="10"/>
      <c r="K621" s="10"/>
    </row>
    <row r="622" spans="2:11" ht="13.5" x14ac:dyDescent="0.35">
      <c r="B622" s="3">
        <v>45821</v>
      </c>
      <c r="C622" s="2">
        <v>5.9</v>
      </c>
      <c r="D622" s="2">
        <v>5.54</v>
      </c>
      <c r="E622" s="2">
        <v>5.583244033613445</v>
      </c>
      <c r="F622" s="2">
        <v>11108</v>
      </c>
      <c r="G622" s="2">
        <v>62018.67472537815</v>
      </c>
      <c r="H622" s="11">
        <f t="shared" si="9"/>
        <v>-1.3377926421404673E-2</v>
      </c>
      <c r="I622" s="10"/>
      <c r="J622" s="10"/>
      <c r="K622" s="10"/>
    </row>
    <row r="623" spans="2:11" ht="13.5" x14ac:dyDescent="0.35">
      <c r="B623" s="3">
        <v>45824</v>
      </c>
      <c r="C623" s="2">
        <v>5.9</v>
      </c>
      <c r="D623" s="2">
        <v>5.54</v>
      </c>
      <c r="E623" s="2">
        <v>5.5776600000000007</v>
      </c>
      <c r="F623" s="2">
        <v>19421</v>
      </c>
      <c r="G623" s="2">
        <v>108323.73486000001</v>
      </c>
      <c r="H623" s="11">
        <f t="shared" si="9"/>
        <v>0</v>
      </c>
      <c r="I623" s="10"/>
      <c r="J623" s="10"/>
      <c r="K623" s="10"/>
    </row>
    <row r="624" spans="2:11" ht="13.5" x14ac:dyDescent="0.35">
      <c r="B624" s="3">
        <v>45825</v>
      </c>
      <c r="C624" s="2">
        <v>5.9</v>
      </c>
      <c r="D624" s="2">
        <v>5.54</v>
      </c>
      <c r="E624" s="2">
        <v>5.5869999999999997</v>
      </c>
      <c r="F624" s="2">
        <v>3680</v>
      </c>
      <c r="G624" s="2">
        <v>20560.16</v>
      </c>
      <c r="H624" s="11">
        <f t="shared" si="9"/>
        <v>0</v>
      </c>
      <c r="I624" s="10"/>
      <c r="J624" s="10"/>
      <c r="K624" s="10"/>
    </row>
    <row r="625" spans="2:11" ht="13.5" x14ac:dyDescent="0.35">
      <c r="B625" s="3">
        <v>45826</v>
      </c>
      <c r="C625" s="2">
        <v>5.95</v>
      </c>
      <c r="D625" s="2">
        <v>5.5869999999999997</v>
      </c>
      <c r="E625" s="2">
        <v>5.5228778911564627</v>
      </c>
      <c r="F625" s="2">
        <v>57119</v>
      </c>
      <c r="G625" s="2">
        <v>315461.26226496598</v>
      </c>
      <c r="H625" s="11">
        <f t="shared" si="9"/>
        <v>8.4745762711864181E-3</v>
      </c>
      <c r="I625" s="10"/>
      <c r="J625" s="10"/>
      <c r="K625" s="10"/>
    </row>
    <row r="626" spans="2:11" ht="13.5" x14ac:dyDescent="0.35">
      <c r="B626" s="3">
        <v>45827</v>
      </c>
      <c r="C626" s="2">
        <v>5.9</v>
      </c>
      <c r="D626" s="2">
        <v>5.54</v>
      </c>
      <c r="E626" s="2">
        <v>5.5266336734693882</v>
      </c>
      <c r="F626" s="2">
        <v>200</v>
      </c>
      <c r="G626" s="2">
        <v>1105.3267346938776</v>
      </c>
      <c r="H626" s="11">
        <f t="shared" si="9"/>
        <v>-8.4033613445377853E-3</v>
      </c>
      <c r="I626" s="10"/>
      <c r="J626" s="10"/>
      <c r="K626" s="10"/>
    </row>
    <row r="627" spans="2:11" ht="13.5" x14ac:dyDescent="0.35">
      <c r="B627" s="3">
        <v>45828</v>
      </c>
      <c r="C627" s="2">
        <v>5.9</v>
      </c>
      <c r="D627" s="2">
        <v>5.54</v>
      </c>
      <c r="E627" s="2">
        <v>5.5110609880749566</v>
      </c>
      <c r="F627" s="2">
        <v>9232</v>
      </c>
      <c r="G627" s="2">
        <v>50878.115041908</v>
      </c>
      <c r="H627" s="11">
        <f t="shared" si="9"/>
        <v>0</v>
      </c>
      <c r="I627" s="10"/>
      <c r="J627" s="10"/>
      <c r="K627" s="10"/>
    </row>
    <row r="628" spans="2:11" ht="13.5" x14ac:dyDescent="0.35">
      <c r="B628" s="3">
        <v>45831</v>
      </c>
      <c r="C628" s="2">
        <v>5.95</v>
      </c>
      <c r="D628" s="2">
        <v>5.5869999999999997</v>
      </c>
      <c r="E628" s="2">
        <v>5.5119999999999996</v>
      </c>
      <c r="F628" s="2">
        <v>800</v>
      </c>
      <c r="G628" s="2">
        <v>4409.5999999999995</v>
      </c>
      <c r="H628" s="11">
        <f t="shared" si="9"/>
        <v>8.4745762711864181E-3</v>
      </c>
      <c r="I628" s="10"/>
      <c r="J628" s="10"/>
      <c r="K628" s="10"/>
    </row>
    <row r="629" spans="2:11" ht="13.5" x14ac:dyDescent="0.35">
      <c r="B629" s="3">
        <v>45832</v>
      </c>
      <c r="C629" s="2">
        <v>6</v>
      </c>
      <c r="D629" s="2">
        <v>5.6340000000000003</v>
      </c>
      <c r="E629" s="2">
        <v>5.5851220168067224</v>
      </c>
      <c r="F629" s="2">
        <v>21032</v>
      </c>
      <c r="G629" s="2">
        <v>117466.28625747899</v>
      </c>
      <c r="H629" s="11">
        <f t="shared" si="9"/>
        <v>8.4033613445377853E-3</v>
      </c>
      <c r="I629" s="10"/>
      <c r="J629" s="10"/>
      <c r="K629" s="10"/>
    </row>
    <row r="630" spans="2:11" ht="13.5" x14ac:dyDescent="0.35">
      <c r="B630" s="3">
        <v>45833</v>
      </c>
      <c r="C630" s="2">
        <v>5.95</v>
      </c>
      <c r="D630" s="2">
        <v>5.5869999999999997</v>
      </c>
      <c r="E630" s="2">
        <v>5.734</v>
      </c>
      <c r="F630" s="2">
        <v>8375</v>
      </c>
      <c r="G630" s="2">
        <v>48022.25</v>
      </c>
      <c r="H630" s="11">
        <f t="shared" si="9"/>
        <v>-8.3333333333333037E-3</v>
      </c>
      <c r="I630" s="10"/>
      <c r="J630" s="10"/>
      <c r="K630" s="10"/>
    </row>
    <row r="631" spans="2:11" ht="13.5" x14ac:dyDescent="0.35">
      <c r="B631" s="3">
        <v>45835</v>
      </c>
      <c r="C631" s="2">
        <v>5.88</v>
      </c>
      <c r="D631" s="2">
        <v>5.5209999999999999</v>
      </c>
      <c r="E631" s="2">
        <v>5.7160000000000002</v>
      </c>
      <c r="F631" s="2">
        <v>6638</v>
      </c>
      <c r="G631" s="2">
        <v>37942.808000000005</v>
      </c>
      <c r="H631" s="11">
        <f t="shared" si="9"/>
        <v>-1.176470588235301E-2</v>
      </c>
      <c r="I631" s="10"/>
      <c r="J631" s="10"/>
      <c r="K631" s="10"/>
    </row>
    <row r="632" spans="2:11" ht="13.5" x14ac:dyDescent="0.35">
      <c r="B632" s="3">
        <v>45838</v>
      </c>
      <c r="C632" s="2">
        <v>5.88</v>
      </c>
      <c r="D632" s="2">
        <v>5.5209999999999999</v>
      </c>
      <c r="E632" s="2">
        <v>5.7089999999999996</v>
      </c>
      <c r="F632" s="2">
        <v>10044</v>
      </c>
      <c r="G632" s="2">
        <v>57341.195999999996</v>
      </c>
      <c r="H632" s="11">
        <f t="shared" si="9"/>
        <v>0</v>
      </c>
      <c r="I632" s="10"/>
      <c r="J632" s="10"/>
      <c r="K632" s="10"/>
    </row>
    <row r="633" spans="2:11" ht="13.5" x14ac:dyDescent="0.35">
      <c r="B633" s="3">
        <v>45839</v>
      </c>
      <c r="C633" s="2">
        <v>5.87</v>
      </c>
      <c r="D633" s="2">
        <v>5.5119999999999996</v>
      </c>
      <c r="E633" s="2">
        <v>5.7009999999999996</v>
      </c>
      <c r="F633" s="2">
        <v>3932</v>
      </c>
      <c r="G633" s="2">
        <v>22416.331999999999</v>
      </c>
      <c r="H633" s="11">
        <f t="shared" si="9"/>
        <v>-1.7006802721087899E-3</v>
      </c>
      <c r="I633" s="10"/>
      <c r="J633" s="10"/>
      <c r="K633" s="10"/>
    </row>
    <row r="634" spans="2:11" ht="13.5" x14ac:dyDescent="0.35">
      <c r="B634" s="3">
        <v>45840</v>
      </c>
      <c r="C634" s="2">
        <v>5.87</v>
      </c>
      <c r="D634" s="2">
        <v>5.5119999999999996</v>
      </c>
      <c r="E634" s="2">
        <v>5.7</v>
      </c>
      <c r="F634" s="2">
        <v>5558</v>
      </c>
      <c r="G634" s="2">
        <v>31680.600000000002</v>
      </c>
      <c r="H634" s="11">
        <f t="shared" si="9"/>
        <v>0</v>
      </c>
      <c r="I634" s="10"/>
      <c r="J634" s="10"/>
      <c r="K634" s="10"/>
    </row>
    <row r="635" spans="2:11" ht="13.5" x14ac:dyDescent="0.35">
      <c r="B635" s="3">
        <v>45841</v>
      </c>
      <c r="C635" s="2">
        <v>5.95</v>
      </c>
      <c r="D635" s="2">
        <v>5.5869999999999997</v>
      </c>
      <c r="E635" s="2">
        <v>5.6989999999999998</v>
      </c>
      <c r="F635" s="2">
        <v>6757</v>
      </c>
      <c r="G635" s="2">
        <v>38508.142999999996</v>
      </c>
      <c r="H635" s="11">
        <f t="shared" si="9"/>
        <v>1.3628620102214661E-2</v>
      </c>
      <c r="I635" s="10"/>
      <c r="J635" s="10"/>
      <c r="K635" s="10"/>
    </row>
    <row r="636" spans="2:11" ht="13.5" x14ac:dyDescent="0.35">
      <c r="B636" s="3">
        <v>45842</v>
      </c>
      <c r="C636" s="2">
        <v>5.72</v>
      </c>
      <c r="D636" s="2">
        <v>5.72</v>
      </c>
      <c r="E636" s="2">
        <v>5.681</v>
      </c>
      <c r="F636" s="2">
        <v>2013</v>
      </c>
      <c r="G636" s="2">
        <v>11435.853000000001</v>
      </c>
      <c r="H636" s="11">
        <f t="shared" si="9"/>
        <v>-3.8655462184874034E-2</v>
      </c>
      <c r="I636" s="10"/>
      <c r="J636" s="10"/>
      <c r="K636" s="10"/>
    </row>
    <row r="637" spans="2:11" ht="13.5" x14ac:dyDescent="0.35">
      <c r="B637" s="3">
        <v>45845</v>
      </c>
      <c r="C637" s="2">
        <v>5.72</v>
      </c>
      <c r="D637" s="2">
        <v>5.72</v>
      </c>
      <c r="E637" s="2">
        <v>5.67</v>
      </c>
      <c r="F637" s="2">
        <v>1940</v>
      </c>
      <c r="G637" s="2">
        <v>10999.8</v>
      </c>
      <c r="H637" s="11">
        <f t="shared" si="9"/>
        <v>0</v>
      </c>
      <c r="I637" s="10"/>
      <c r="J637" s="10"/>
      <c r="K637" s="10"/>
    </row>
    <row r="638" spans="2:11" ht="13.5" x14ac:dyDescent="0.35">
      <c r="B638" s="3">
        <v>45846</v>
      </c>
      <c r="C638" s="2">
        <v>5.75</v>
      </c>
      <c r="D638" s="2">
        <v>5.75</v>
      </c>
      <c r="E638" s="2">
        <v>5.67</v>
      </c>
      <c r="F638" s="2">
        <v>2598</v>
      </c>
      <c r="G638" s="2">
        <v>14730.66</v>
      </c>
      <c r="H638" s="11">
        <f t="shared" si="9"/>
        <v>5.2447552447552059E-3</v>
      </c>
      <c r="I638" s="10"/>
      <c r="J638" s="10"/>
      <c r="K638" s="10"/>
    </row>
    <row r="639" spans="2:11" ht="13.5" x14ac:dyDescent="0.35">
      <c r="B639" s="3">
        <v>45847</v>
      </c>
      <c r="C639" s="2">
        <v>5.7</v>
      </c>
      <c r="D639" s="2">
        <v>5.7</v>
      </c>
      <c r="E639" s="2">
        <v>5.6559999999999997</v>
      </c>
      <c r="F639" s="2">
        <v>8170</v>
      </c>
      <c r="G639" s="2">
        <v>46209.52</v>
      </c>
      <c r="H639" s="11">
        <f t="shared" si="9"/>
        <v>-8.6956521739129933E-3</v>
      </c>
      <c r="I639" s="10"/>
      <c r="J639" s="10"/>
      <c r="K639" s="10"/>
    </row>
    <row r="640" spans="2:11" ht="13.5" x14ac:dyDescent="0.35">
      <c r="B640" s="3">
        <v>45848</v>
      </c>
      <c r="C640" s="2">
        <v>5.7</v>
      </c>
      <c r="D640" s="2">
        <v>5.7</v>
      </c>
      <c r="E640" s="2">
        <v>5.6950000000000003</v>
      </c>
      <c r="F640" s="2">
        <v>14081</v>
      </c>
      <c r="G640" s="2">
        <v>80191.294999999998</v>
      </c>
      <c r="H640" s="11">
        <f t="shared" si="9"/>
        <v>0</v>
      </c>
      <c r="I640" s="10"/>
      <c r="J640" s="10"/>
      <c r="K640" s="10"/>
    </row>
    <row r="641" spans="2:11" ht="13.5" x14ac:dyDescent="0.35">
      <c r="B641" s="3">
        <v>45849</v>
      </c>
      <c r="C641" s="2">
        <v>5.68</v>
      </c>
      <c r="D641" s="2">
        <v>5.68</v>
      </c>
      <c r="E641" s="2">
        <v>5.7</v>
      </c>
      <c r="F641" s="2">
        <v>32094</v>
      </c>
      <c r="G641" s="2">
        <v>182935.80000000002</v>
      </c>
      <c r="H641" s="11">
        <f t="shared" si="9"/>
        <v>-3.5087719298246833E-3</v>
      </c>
      <c r="I641" s="10"/>
      <c r="J641" s="10"/>
      <c r="K641" s="10"/>
    </row>
    <row r="642" spans="2:11" ht="13.5" x14ac:dyDescent="0.35">
      <c r="B642" s="3">
        <v>45852</v>
      </c>
      <c r="C642" s="2">
        <v>5.69</v>
      </c>
      <c r="D642" s="2">
        <v>5.69</v>
      </c>
      <c r="E642" s="2">
        <v>5.6980000000000004</v>
      </c>
      <c r="F642" s="2">
        <v>16000</v>
      </c>
      <c r="G642" s="2">
        <v>91168</v>
      </c>
      <c r="H642" s="11">
        <f t="shared" si="9"/>
        <v>1.7605633802817433E-3</v>
      </c>
      <c r="I642" s="10"/>
      <c r="J642" s="10"/>
      <c r="K642" s="10"/>
    </row>
    <row r="643" spans="2:11" ht="13.5" x14ac:dyDescent="0.35">
      <c r="B643" s="3">
        <v>45853</v>
      </c>
      <c r="C643" s="2">
        <v>5.67</v>
      </c>
      <c r="D643" s="2">
        <v>5.67</v>
      </c>
      <c r="E643" s="2">
        <v>5.6929999999999996</v>
      </c>
      <c r="F643" s="2">
        <v>1821</v>
      </c>
      <c r="G643" s="2">
        <v>10366.953</v>
      </c>
      <c r="H643" s="11">
        <f t="shared" si="9"/>
        <v>-3.5149384885765356E-3</v>
      </c>
      <c r="I643" s="10"/>
      <c r="J643" s="10"/>
      <c r="K643" s="10"/>
    </row>
    <row r="644" spans="2:11" ht="13.5" x14ac:dyDescent="0.35">
      <c r="B644" s="3">
        <v>45854</v>
      </c>
      <c r="C644" s="2">
        <v>5.67</v>
      </c>
      <c r="D644" s="2">
        <v>5.67</v>
      </c>
      <c r="E644" s="2">
        <v>5.6630000000000003</v>
      </c>
      <c r="F644" s="2">
        <v>6336</v>
      </c>
      <c r="G644" s="2">
        <v>35880.768000000004</v>
      </c>
      <c r="H644" s="11">
        <f t="shared" si="9"/>
        <v>0</v>
      </c>
      <c r="I644" s="10"/>
      <c r="J644" s="10"/>
      <c r="K644" s="10"/>
    </row>
    <row r="645" spans="2:11" ht="13.5" x14ac:dyDescent="0.35">
      <c r="B645" s="3">
        <v>45855</v>
      </c>
      <c r="C645" s="2">
        <v>5.66</v>
      </c>
      <c r="D645" s="2">
        <v>5.66</v>
      </c>
      <c r="E645" s="2">
        <v>5.6609999999999996</v>
      </c>
      <c r="F645" s="2">
        <v>9323</v>
      </c>
      <c r="G645" s="2">
        <v>52777.502999999997</v>
      </c>
      <c r="H645" s="11">
        <f t="shared" si="9"/>
        <v>-1.7636684303350414E-3</v>
      </c>
      <c r="I645" s="10"/>
      <c r="J645" s="10"/>
      <c r="K645" s="10"/>
    </row>
    <row r="646" spans="2:11" ht="13.5" x14ac:dyDescent="0.35">
      <c r="B646" s="3">
        <v>45856</v>
      </c>
      <c r="C646" s="2">
        <v>5.7</v>
      </c>
      <c r="D646" s="2">
        <v>5.7</v>
      </c>
      <c r="E646" s="2">
        <v>5.66</v>
      </c>
      <c r="F646" s="2">
        <v>1468</v>
      </c>
      <c r="G646" s="2">
        <v>8308.880000000001</v>
      </c>
      <c r="H646" s="11">
        <f t="shared" si="9"/>
        <v>7.0671378091873294E-3</v>
      </c>
      <c r="I646" s="10"/>
      <c r="J646" s="10"/>
      <c r="K646" s="10"/>
    </row>
    <row r="647" spans="2:11" ht="13.5" x14ac:dyDescent="0.35">
      <c r="B647" s="3">
        <v>45859</v>
      </c>
      <c r="C647" s="2">
        <v>5.7</v>
      </c>
      <c r="D647" s="2">
        <v>5.7</v>
      </c>
      <c r="E647" s="2">
        <v>5.673</v>
      </c>
      <c r="F647" s="2">
        <v>715</v>
      </c>
      <c r="G647" s="2">
        <v>4056.1950000000002</v>
      </c>
      <c r="H647" s="11">
        <f t="shared" ref="H647:H694" si="10">C647/C646-1</f>
        <v>0</v>
      </c>
      <c r="I647" s="10"/>
      <c r="J647" s="10"/>
      <c r="K647" s="10"/>
    </row>
    <row r="648" spans="2:11" ht="13.5" x14ac:dyDescent="0.35">
      <c r="B648" s="3">
        <v>45860</v>
      </c>
      <c r="C648" s="2">
        <v>5.7</v>
      </c>
      <c r="D648" s="2">
        <v>5.7</v>
      </c>
      <c r="E648" s="2">
        <v>5.6660000000000004</v>
      </c>
      <c r="F648" s="2">
        <v>2294</v>
      </c>
      <c r="G648" s="2">
        <v>12997.804</v>
      </c>
      <c r="H648" s="11">
        <f t="shared" si="10"/>
        <v>0</v>
      </c>
      <c r="I648" s="10"/>
      <c r="J648" s="10"/>
      <c r="K648" s="10"/>
    </row>
    <row r="649" spans="2:11" ht="13.5" x14ac:dyDescent="0.35">
      <c r="B649" s="3">
        <v>45861</v>
      </c>
      <c r="C649" s="2">
        <v>5.69</v>
      </c>
      <c r="D649" s="2">
        <v>5.69</v>
      </c>
      <c r="E649" s="2">
        <v>5.6749999999999998</v>
      </c>
      <c r="F649" s="2">
        <v>5584</v>
      </c>
      <c r="G649" s="2">
        <v>31689.200000000001</v>
      </c>
      <c r="H649" s="11">
        <f t="shared" si="10"/>
        <v>-1.7543859649122862E-3</v>
      </c>
      <c r="I649" s="10"/>
      <c r="J649" s="10"/>
      <c r="K649" s="10"/>
    </row>
    <row r="650" spans="2:11" ht="13.5" x14ac:dyDescent="0.35">
      <c r="B650" s="3">
        <v>45862</v>
      </c>
      <c r="C650" s="2">
        <v>5.66</v>
      </c>
      <c r="D650" s="2">
        <v>5.66</v>
      </c>
      <c r="E650" s="2">
        <v>0</v>
      </c>
      <c r="F650" s="2">
        <v>0</v>
      </c>
      <c r="G650" s="2">
        <v>0</v>
      </c>
      <c r="H650" s="11">
        <f t="shared" si="10"/>
        <v>-5.2724077328647478E-3</v>
      </c>
      <c r="I650" s="10"/>
      <c r="J650" s="10"/>
      <c r="K650" s="10"/>
    </row>
    <row r="651" spans="2:11" ht="13.5" x14ac:dyDescent="0.35">
      <c r="B651" s="3">
        <v>45866</v>
      </c>
      <c r="C651" s="2">
        <v>5.69</v>
      </c>
      <c r="D651" s="2">
        <v>5.69</v>
      </c>
      <c r="E651" s="2">
        <v>5.625</v>
      </c>
      <c r="F651" s="2">
        <v>4356</v>
      </c>
      <c r="G651" s="2">
        <v>24502.5</v>
      </c>
      <c r="H651" s="11">
        <f t="shared" si="10"/>
        <v>5.300353356890497E-3</v>
      </c>
      <c r="I651" s="10"/>
      <c r="J651" s="10"/>
      <c r="K651" s="10"/>
    </row>
    <row r="652" spans="2:11" ht="13.5" x14ac:dyDescent="0.35">
      <c r="B652" s="3">
        <v>45867</v>
      </c>
      <c r="C652" s="2">
        <v>5.66</v>
      </c>
      <c r="D652" s="2">
        <v>5.66</v>
      </c>
      <c r="E652" s="2">
        <v>5.66</v>
      </c>
      <c r="F652" s="2">
        <v>218</v>
      </c>
      <c r="G652" s="2">
        <v>1233.8800000000001</v>
      </c>
      <c r="H652" s="11">
        <f t="shared" si="10"/>
        <v>-5.2724077328647478E-3</v>
      </c>
      <c r="I652" s="10"/>
      <c r="J652" s="10"/>
      <c r="K652" s="10"/>
    </row>
    <row r="653" spans="2:11" ht="13.5" x14ac:dyDescent="0.35">
      <c r="B653" s="3">
        <v>45868</v>
      </c>
      <c r="C653" s="2">
        <v>5.67</v>
      </c>
      <c r="D653" s="2">
        <v>5.67</v>
      </c>
      <c r="E653" s="2">
        <v>5.6219999999999999</v>
      </c>
      <c r="F653" s="2">
        <v>6903</v>
      </c>
      <c r="G653" s="2">
        <v>38808.665999999997</v>
      </c>
      <c r="H653" s="11">
        <f t="shared" si="10"/>
        <v>1.7667844522968323E-3</v>
      </c>
      <c r="I653" s="10"/>
      <c r="J653" s="10"/>
      <c r="K653" s="10"/>
    </row>
    <row r="654" spans="2:11" ht="13.5" x14ac:dyDescent="0.35">
      <c r="B654" s="3">
        <v>45869</v>
      </c>
      <c r="C654" s="2">
        <v>5.67</v>
      </c>
      <c r="D654" s="2">
        <v>5.67</v>
      </c>
      <c r="E654" s="2">
        <v>5.5970000000000004</v>
      </c>
      <c r="F654" s="2">
        <v>6087</v>
      </c>
      <c r="G654" s="2">
        <v>34068.939000000006</v>
      </c>
      <c r="H654" s="11">
        <f t="shared" si="10"/>
        <v>0</v>
      </c>
      <c r="I654" s="10"/>
      <c r="J654" s="10"/>
      <c r="K654" s="10"/>
    </row>
    <row r="655" spans="2:11" ht="13.5" x14ac:dyDescent="0.35">
      <c r="B655" s="3">
        <v>45870</v>
      </c>
      <c r="C655" s="2">
        <v>5.7</v>
      </c>
      <c r="D655" s="2">
        <v>5.7</v>
      </c>
      <c r="E655" s="2">
        <v>5.5140000000000002</v>
      </c>
      <c r="F655" s="2">
        <v>34759</v>
      </c>
      <c r="G655" s="2">
        <v>191661.12600000002</v>
      </c>
      <c r="H655" s="11">
        <f t="shared" si="10"/>
        <v>5.2910052910053462E-3</v>
      </c>
      <c r="I655" s="10"/>
      <c r="J655" s="10"/>
      <c r="K655" s="10"/>
    </row>
    <row r="656" spans="2:11" ht="13.5" x14ac:dyDescent="0.35">
      <c r="B656" s="3">
        <v>45873</v>
      </c>
      <c r="C656" s="2">
        <v>5.7</v>
      </c>
      <c r="D656" s="2">
        <v>5.7</v>
      </c>
      <c r="E656" s="2">
        <v>5.6390000000000002</v>
      </c>
      <c r="F656" s="2">
        <v>1210</v>
      </c>
      <c r="G656" s="2">
        <v>6823.1900000000005</v>
      </c>
      <c r="H656" s="11">
        <f t="shared" si="10"/>
        <v>0</v>
      </c>
      <c r="I656" s="10"/>
      <c r="J656" s="10"/>
      <c r="K656" s="10"/>
    </row>
    <row r="657" spans="2:11" ht="13.5" x14ac:dyDescent="0.35">
      <c r="B657" s="3">
        <v>45874</v>
      </c>
      <c r="C657" s="2">
        <v>5.6</v>
      </c>
      <c r="D657" s="2">
        <v>5.6</v>
      </c>
      <c r="E657" s="2">
        <v>0</v>
      </c>
      <c r="F657" s="2">
        <v>0</v>
      </c>
      <c r="G657" s="2">
        <v>0</v>
      </c>
      <c r="H657" s="11">
        <f t="shared" si="10"/>
        <v>-1.7543859649122862E-2</v>
      </c>
      <c r="I657" s="10"/>
      <c r="J657" s="10"/>
      <c r="K657" s="10"/>
    </row>
    <row r="658" spans="2:11" ht="13.5" x14ac:dyDescent="0.35">
      <c r="B658" s="3">
        <v>45875</v>
      </c>
      <c r="C658" s="2">
        <v>5.66</v>
      </c>
      <c r="D658" s="2">
        <v>5.66</v>
      </c>
      <c r="E658" s="2">
        <v>5.5460000000000003</v>
      </c>
      <c r="F658" s="2">
        <v>3440</v>
      </c>
      <c r="G658" s="2">
        <v>19078.240000000002</v>
      </c>
      <c r="H658" s="11">
        <f t="shared" si="10"/>
        <v>1.0714285714285898E-2</v>
      </c>
      <c r="I658" s="10"/>
      <c r="J658" s="10"/>
      <c r="K658" s="10"/>
    </row>
    <row r="659" spans="2:11" ht="13.5" x14ac:dyDescent="0.35">
      <c r="B659" s="3">
        <v>45876</v>
      </c>
      <c r="C659" s="2">
        <v>5.65</v>
      </c>
      <c r="D659" s="2">
        <v>5.65</v>
      </c>
      <c r="E659" s="2">
        <v>5.5430000000000001</v>
      </c>
      <c r="F659" s="2">
        <v>535</v>
      </c>
      <c r="G659" s="2">
        <v>2965.5050000000001</v>
      </c>
      <c r="H659" s="11">
        <f t="shared" si="10"/>
        <v>-1.7667844522968323E-3</v>
      </c>
      <c r="I659" s="10"/>
      <c r="J659" s="10"/>
      <c r="K659" s="10"/>
    </row>
    <row r="660" spans="2:11" ht="13.5" x14ac:dyDescent="0.35">
      <c r="B660" s="3">
        <v>45877</v>
      </c>
      <c r="C660" s="2">
        <v>5.58</v>
      </c>
      <c r="D660" s="2">
        <v>5.58</v>
      </c>
      <c r="E660" s="2">
        <v>5.6230000000000002</v>
      </c>
      <c r="F660" s="2">
        <v>7328</v>
      </c>
      <c r="G660" s="2">
        <v>41205.344000000005</v>
      </c>
      <c r="H660" s="11">
        <f t="shared" si="10"/>
        <v>-1.2389380530973493E-2</v>
      </c>
      <c r="I660" s="10"/>
      <c r="J660" s="10"/>
      <c r="K660" s="10"/>
    </row>
    <row r="661" spans="2:11" ht="13.5" x14ac:dyDescent="0.35">
      <c r="B661" s="3">
        <v>45880</v>
      </c>
      <c r="C661" s="2">
        <v>5.64</v>
      </c>
      <c r="D661" s="2">
        <v>5.64</v>
      </c>
      <c r="E661" s="2">
        <v>5.6980000000000004</v>
      </c>
      <c r="F661" s="2">
        <v>2321</v>
      </c>
      <c r="G661" s="2">
        <v>13225.058000000001</v>
      </c>
      <c r="H661" s="11">
        <f t="shared" si="10"/>
        <v>1.0752688172043001E-2</v>
      </c>
      <c r="I661" s="10"/>
      <c r="J661" s="10"/>
      <c r="K661" s="10"/>
    </row>
    <row r="662" spans="2:11" ht="13.5" x14ac:dyDescent="0.35">
      <c r="B662" s="3">
        <v>45881</v>
      </c>
      <c r="C662" s="2">
        <v>5.64</v>
      </c>
      <c r="D662" s="2">
        <v>5.64</v>
      </c>
      <c r="E662" s="2">
        <v>5.6079999999999997</v>
      </c>
      <c r="F662" s="2">
        <v>451</v>
      </c>
      <c r="G662" s="2">
        <v>2529.2079999999996</v>
      </c>
      <c r="H662" s="11">
        <f t="shared" si="10"/>
        <v>0</v>
      </c>
      <c r="I662" s="10"/>
      <c r="J662" s="10"/>
      <c r="K662" s="10"/>
    </row>
    <row r="663" spans="2:11" ht="13.5" x14ac:dyDescent="0.35">
      <c r="B663" s="3">
        <v>45883</v>
      </c>
      <c r="C663" s="2">
        <v>5.64</v>
      </c>
      <c r="D663" s="2">
        <v>5.64</v>
      </c>
      <c r="E663" s="2">
        <v>0</v>
      </c>
      <c r="F663" s="2">
        <v>0</v>
      </c>
      <c r="G663" s="2">
        <v>0</v>
      </c>
      <c r="H663" s="11">
        <f t="shared" si="10"/>
        <v>0</v>
      </c>
      <c r="I663" s="10"/>
      <c r="J663" s="10"/>
      <c r="K663" s="10"/>
    </row>
    <row r="664" spans="2:11" ht="13.5" x14ac:dyDescent="0.35">
      <c r="B664" s="3">
        <v>45884</v>
      </c>
      <c r="C664" s="2">
        <v>5.52</v>
      </c>
      <c r="D664" s="2">
        <v>5.52</v>
      </c>
      <c r="E664" s="2">
        <v>5.7</v>
      </c>
      <c r="F664" s="2">
        <v>1056</v>
      </c>
      <c r="G664" s="2">
        <v>6019.2</v>
      </c>
      <c r="H664" s="11">
        <f t="shared" si="10"/>
        <v>-2.1276595744680882E-2</v>
      </c>
      <c r="I664" s="10"/>
      <c r="J664" s="10"/>
      <c r="K664" s="10"/>
    </row>
    <row r="665" spans="2:11" ht="13.5" x14ac:dyDescent="0.35">
      <c r="B665" s="3">
        <v>45887</v>
      </c>
      <c r="C665" s="2">
        <v>5.56</v>
      </c>
      <c r="D665" s="2">
        <v>5.56</v>
      </c>
      <c r="E665" s="2">
        <v>0</v>
      </c>
      <c r="F665" s="2">
        <v>0</v>
      </c>
      <c r="G665" s="2">
        <v>0</v>
      </c>
      <c r="H665" s="11">
        <f t="shared" si="10"/>
        <v>7.2463768115942351E-3</v>
      </c>
      <c r="I665" s="10"/>
      <c r="J665" s="10"/>
      <c r="K665" s="10"/>
    </row>
    <row r="666" spans="2:11" ht="13.5" x14ac:dyDescent="0.35">
      <c r="B666" s="3">
        <v>45888</v>
      </c>
      <c r="C666" s="2">
        <v>5.69</v>
      </c>
      <c r="D666" s="2">
        <v>5.69</v>
      </c>
      <c r="E666" s="2">
        <v>5.6829999999999998</v>
      </c>
      <c r="F666" s="2">
        <v>291</v>
      </c>
      <c r="G666" s="2">
        <v>1653.7529999999999</v>
      </c>
      <c r="H666" s="11">
        <f t="shared" si="10"/>
        <v>2.3381294964028854E-2</v>
      </c>
      <c r="I666" s="10"/>
      <c r="J666" s="10"/>
      <c r="K666" s="10"/>
    </row>
    <row r="667" spans="2:11" ht="13.5" x14ac:dyDescent="0.35">
      <c r="B667" s="3">
        <v>45889</v>
      </c>
      <c r="C667" s="2">
        <v>5.74</v>
      </c>
      <c r="D667" s="2">
        <v>5.74</v>
      </c>
      <c r="E667" s="2">
        <v>5.69</v>
      </c>
      <c r="F667" s="2">
        <v>180</v>
      </c>
      <c r="G667" s="2">
        <v>1024.2</v>
      </c>
      <c r="H667" s="11">
        <f t="shared" si="10"/>
        <v>8.7873462214411724E-3</v>
      </c>
      <c r="I667" s="10"/>
      <c r="J667" s="10"/>
      <c r="K667" s="10"/>
    </row>
    <row r="668" spans="2:11" ht="13.5" x14ac:dyDescent="0.35">
      <c r="B668" s="3">
        <v>45890</v>
      </c>
      <c r="C668" s="2">
        <v>5.74</v>
      </c>
      <c r="D668" s="2">
        <v>5.74</v>
      </c>
      <c r="E668" s="2">
        <v>5.694</v>
      </c>
      <c r="F668" s="2">
        <v>5</v>
      </c>
      <c r="G668" s="2">
        <v>28.47</v>
      </c>
      <c r="H668" s="11">
        <f t="shared" si="10"/>
        <v>0</v>
      </c>
      <c r="I668" s="10"/>
      <c r="J668" s="10"/>
      <c r="K668" s="10"/>
    </row>
    <row r="669" spans="2:11" ht="13.5" x14ac:dyDescent="0.35">
      <c r="B669" s="3">
        <v>45891</v>
      </c>
      <c r="C669" s="2">
        <v>5.74</v>
      </c>
      <c r="D669" s="2">
        <v>5.74</v>
      </c>
      <c r="E669" s="2">
        <v>5.851</v>
      </c>
      <c r="F669" s="2">
        <v>53030</v>
      </c>
      <c r="G669" s="2">
        <v>310278.53000000003</v>
      </c>
      <c r="H669" s="11">
        <f t="shared" si="10"/>
        <v>0</v>
      </c>
      <c r="I669" s="10"/>
      <c r="J669" s="10"/>
      <c r="K669" s="10"/>
    </row>
    <row r="670" spans="2:11" ht="13.5" x14ac:dyDescent="0.35">
      <c r="B670" s="3">
        <v>45894</v>
      </c>
      <c r="C670" s="2">
        <v>5.7</v>
      </c>
      <c r="D670" s="2">
        <v>5.7</v>
      </c>
      <c r="E670" s="2">
        <v>5.9980000000000002</v>
      </c>
      <c r="F670" s="2">
        <v>12792</v>
      </c>
      <c r="G670" s="2">
        <v>76726.415999999997</v>
      </c>
      <c r="H670" s="11">
        <f t="shared" si="10"/>
        <v>-6.9686411149826322E-3</v>
      </c>
      <c r="I670" s="10"/>
      <c r="J670" s="10"/>
      <c r="K670" s="10"/>
    </row>
    <row r="671" spans="2:11" ht="13.5" x14ac:dyDescent="0.35">
      <c r="B671" s="3">
        <v>45895</v>
      </c>
      <c r="C671" s="2">
        <v>5.7</v>
      </c>
      <c r="D671" s="2">
        <v>5.7</v>
      </c>
      <c r="E671" s="2">
        <v>6.0380000000000003</v>
      </c>
      <c r="F671" s="2">
        <v>3987</v>
      </c>
      <c r="G671" s="2">
        <v>24073.506000000001</v>
      </c>
      <c r="H671" s="11">
        <f t="shared" si="10"/>
        <v>0</v>
      </c>
      <c r="I671" s="10"/>
      <c r="J671" s="10"/>
      <c r="K671" s="10"/>
    </row>
    <row r="672" spans="2:11" ht="13.5" x14ac:dyDescent="0.35">
      <c r="B672" s="3">
        <v>45896</v>
      </c>
      <c r="C672" s="2">
        <v>5.69</v>
      </c>
      <c r="D672" s="2">
        <v>5.69</v>
      </c>
      <c r="E672" s="2">
        <v>6.0010000000000003</v>
      </c>
      <c r="F672" s="2">
        <v>985</v>
      </c>
      <c r="G672" s="2">
        <v>5910.9850000000006</v>
      </c>
      <c r="H672" s="11">
        <f t="shared" si="10"/>
        <v>-1.7543859649122862E-3</v>
      </c>
      <c r="I672" s="10"/>
      <c r="J672" s="10"/>
      <c r="K672" s="10"/>
    </row>
    <row r="673" spans="2:11" ht="13.5" x14ac:dyDescent="0.35">
      <c r="B673" s="3">
        <v>45897</v>
      </c>
      <c r="C673" s="2">
        <v>5.69</v>
      </c>
      <c r="D673" s="2">
        <v>5.69</v>
      </c>
      <c r="E673" s="2">
        <v>5.9829999999999997</v>
      </c>
      <c r="F673" s="2">
        <v>6660</v>
      </c>
      <c r="G673" s="2">
        <v>39846.78</v>
      </c>
      <c r="H673" s="11">
        <f t="shared" si="10"/>
        <v>0</v>
      </c>
      <c r="I673" s="10"/>
      <c r="J673" s="10"/>
      <c r="K673" s="10"/>
    </row>
    <row r="674" spans="2:11" ht="13.5" x14ac:dyDescent="0.35">
      <c r="B674" s="3">
        <v>45898</v>
      </c>
      <c r="C674" s="2">
        <v>5.7</v>
      </c>
      <c r="D674" s="2">
        <v>5.7</v>
      </c>
      <c r="E674" s="2">
        <v>5.9420000000000002</v>
      </c>
      <c r="F674" s="2">
        <v>4199</v>
      </c>
      <c r="G674" s="2">
        <v>24950.458000000002</v>
      </c>
      <c r="H674" s="11">
        <f t="shared" si="10"/>
        <v>1.7574692442881013E-3</v>
      </c>
      <c r="I674" s="10"/>
      <c r="J674" s="10"/>
      <c r="K674" s="10"/>
    </row>
    <row r="675" spans="2:11" ht="13.5" x14ac:dyDescent="0.35">
      <c r="B675" s="3">
        <v>45901</v>
      </c>
      <c r="C675" s="2">
        <v>6</v>
      </c>
      <c r="D675" s="2">
        <v>6</v>
      </c>
      <c r="E675" s="2">
        <v>5.915</v>
      </c>
      <c r="F675" s="2">
        <v>1945</v>
      </c>
      <c r="G675" s="2">
        <v>11504.674999999999</v>
      </c>
      <c r="H675" s="11">
        <f t="shared" si="10"/>
        <v>5.2631578947368363E-2</v>
      </c>
      <c r="I675" s="10"/>
      <c r="J675" s="10"/>
      <c r="K675" s="10"/>
    </row>
    <row r="676" spans="2:11" ht="13.5" x14ac:dyDescent="0.35">
      <c r="B676" s="3">
        <v>45902</v>
      </c>
      <c r="C676" s="2">
        <v>6.06</v>
      </c>
      <c r="D676" s="2">
        <v>6.06</v>
      </c>
      <c r="E676" s="2">
        <v>6.0650000000000004</v>
      </c>
      <c r="F676" s="2">
        <v>9915</v>
      </c>
      <c r="G676" s="2">
        <v>60134.475000000006</v>
      </c>
      <c r="H676" s="11">
        <f t="shared" si="10"/>
        <v>1.0000000000000009E-2</v>
      </c>
      <c r="I676" s="10"/>
      <c r="J676" s="10"/>
      <c r="K676" s="10"/>
    </row>
    <row r="677" spans="2:11" ht="13.5" x14ac:dyDescent="0.35">
      <c r="B677" s="3">
        <v>45903</v>
      </c>
      <c r="C677" s="2">
        <v>6.05</v>
      </c>
      <c r="D677" s="2">
        <v>6.05</v>
      </c>
      <c r="E677" s="2">
        <v>6.2229999999999999</v>
      </c>
      <c r="F677" s="2">
        <v>7825</v>
      </c>
      <c r="G677" s="2">
        <v>48694.974999999999</v>
      </c>
      <c r="H677" s="11">
        <f t="shared" si="10"/>
        <v>-1.6501650165016146E-3</v>
      </c>
      <c r="I677" s="10"/>
      <c r="J677" s="10"/>
      <c r="K677" s="10"/>
    </row>
    <row r="678" spans="2:11" ht="13.5" x14ac:dyDescent="0.35">
      <c r="B678" s="3">
        <v>45905</v>
      </c>
      <c r="C678" s="2">
        <v>5.95</v>
      </c>
      <c r="D678" s="2">
        <v>5.95</v>
      </c>
      <c r="E678" s="2">
        <v>6.1</v>
      </c>
      <c r="F678" s="2">
        <v>8431</v>
      </c>
      <c r="G678" s="2">
        <v>51429.1</v>
      </c>
      <c r="H678" s="11">
        <f t="shared" si="10"/>
        <v>-1.6528925619834656E-2</v>
      </c>
      <c r="I678" s="10"/>
      <c r="J678" s="10"/>
      <c r="K678" s="10"/>
    </row>
    <row r="679" spans="2:11" ht="13.5" x14ac:dyDescent="0.35">
      <c r="B679" s="3">
        <v>45908</v>
      </c>
      <c r="C679" s="2">
        <v>6</v>
      </c>
      <c r="D679" s="2">
        <v>6</v>
      </c>
      <c r="E679" s="2">
        <v>6.1040000000000001</v>
      </c>
      <c r="F679" s="2">
        <v>22529</v>
      </c>
      <c r="G679" s="2">
        <v>137517.016</v>
      </c>
      <c r="H679" s="11">
        <f t="shared" si="10"/>
        <v>8.4033613445377853E-3</v>
      </c>
      <c r="I679" s="10"/>
      <c r="J679" s="10"/>
      <c r="K679" s="10"/>
    </row>
    <row r="680" spans="2:11" ht="13.5" x14ac:dyDescent="0.35">
      <c r="B680" s="3">
        <v>45909</v>
      </c>
      <c r="C680" s="2">
        <v>5.93</v>
      </c>
      <c r="D680" s="2">
        <v>5.93</v>
      </c>
      <c r="E680" s="2">
        <v>6.1950000000000003</v>
      </c>
      <c r="F680" s="2">
        <v>23650</v>
      </c>
      <c r="G680" s="2">
        <v>146511.75</v>
      </c>
      <c r="H680" s="11">
        <f t="shared" si="10"/>
        <v>-1.1666666666666714E-2</v>
      </c>
      <c r="I680" s="10"/>
      <c r="J680" s="10"/>
      <c r="K680" s="10"/>
    </row>
    <row r="681" spans="2:11" ht="13.5" x14ac:dyDescent="0.35">
      <c r="B681" s="3">
        <v>45910</v>
      </c>
      <c r="C681" s="2">
        <v>5.95</v>
      </c>
      <c r="D681" s="2">
        <v>5.95</v>
      </c>
      <c r="E681" s="2">
        <v>6.2380000000000004</v>
      </c>
      <c r="F681" s="2">
        <v>17407</v>
      </c>
      <c r="G681" s="2">
        <v>108584.86600000001</v>
      </c>
      <c r="H681" s="11">
        <f t="shared" si="10"/>
        <v>3.3726812816190499E-3</v>
      </c>
      <c r="I681" s="10"/>
      <c r="J681" s="10"/>
      <c r="K681" s="10"/>
    </row>
    <row r="682" spans="2:11" ht="13.5" x14ac:dyDescent="0.35">
      <c r="B682" s="3">
        <v>45911</v>
      </c>
      <c r="C682" s="2">
        <v>6.14</v>
      </c>
      <c r="D682" s="2">
        <v>6.14</v>
      </c>
      <c r="E682" s="2">
        <v>0</v>
      </c>
      <c r="F682" s="2">
        <v>0</v>
      </c>
      <c r="G682" s="2">
        <v>0</v>
      </c>
      <c r="H682" s="11">
        <f t="shared" si="10"/>
        <v>3.1932773109243584E-2</v>
      </c>
      <c r="I682" s="10"/>
      <c r="J682" s="10"/>
      <c r="K682" s="10"/>
    </row>
    <row r="683" spans="2:11" ht="13.5" x14ac:dyDescent="0.35">
      <c r="B683" s="3">
        <v>45912</v>
      </c>
      <c r="C683" s="2">
        <v>6.2</v>
      </c>
      <c r="D683" s="2">
        <v>6.2</v>
      </c>
      <c r="E683" s="2">
        <v>0</v>
      </c>
      <c r="F683" s="2">
        <v>0</v>
      </c>
      <c r="G683" s="2">
        <v>0</v>
      </c>
      <c r="H683" s="11">
        <f t="shared" si="10"/>
        <v>9.7719869706840434E-3</v>
      </c>
      <c r="I683" s="10"/>
      <c r="J683" s="10"/>
      <c r="K683" s="10"/>
    </row>
    <row r="684" spans="2:11" ht="13.5" x14ac:dyDescent="0.35">
      <c r="B684" s="3">
        <v>45915</v>
      </c>
      <c r="C684" s="2">
        <v>6.1</v>
      </c>
      <c r="D684" s="2">
        <v>6.1</v>
      </c>
      <c r="E684" s="2">
        <v>0</v>
      </c>
      <c r="F684" s="2">
        <v>0</v>
      </c>
      <c r="G684" s="2">
        <v>0</v>
      </c>
      <c r="H684" s="11">
        <f t="shared" si="10"/>
        <v>-1.6129032258064613E-2</v>
      </c>
      <c r="I684" s="10"/>
      <c r="J684" s="10"/>
      <c r="K684" s="10"/>
    </row>
    <row r="685" spans="2:11" ht="13.5" x14ac:dyDescent="0.35">
      <c r="B685" s="3">
        <v>45916</v>
      </c>
      <c r="C685" s="2">
        <v>6.12</v>
      </c>
      <c r="D685" s="2">
        <v>6.12</v>
      </c>
      <c r="E685" s="2">
        <v>795</v>
      </c>
      <c r="F685" s="2">
        <v>7.8019999999999996</v>
      </c>
      <c r="G685" s="2">
        <v>6202.59</v>
      </c>
      <c r="H685" s="11">
        <f t="shared" si="10"/>
        <v>3.2786885245903452E-3</v>
      </c>
      <c r="I685" s="10"/>
      <c r="J685" s="10"/>
      <c r="K685" s="10"/>
    </row>
    <row r="686" spans="2:11" ht="13.5" x14ac:dyDescent="0.35">
      <c r="B686" s="3">
        <v>45917</v>
      </c>
      <c r="C686" s="2">
        <v>6.23</v>
      </c>
      <c r="D686" s="2">
        <v>6.23</v>
      </c>
      <c r="E686" s="2">
        <v>160</v>
      </c>
      <c r="F686" s="2">
        <v>7.8</v>
      </c>
      <c r="G686" s="2">
        <v>1248</v>
      </c>
      <c r="H686" s="11">
        <f t="shared" si="10"/>
        <v>1.7973856209150485E-2</v>
      </c>
      <c r="I686" s="10"/>
      <c r="J686" s="10"/>
      <c r="K686" s="10"/>
    </row>
    <row r="687" spans="2:11" ht="13.5" x14ac:dyDescent="0.35">
      <c r="B687" s="3">
        <v>45918</v>
      </c>
      <c r="C687" s="2">
        <v>6.27</v>
      </c>
      <c r="D687" s="2">
        <v>6.27</v>
      </c>
      <c r="E687" s="2">
        <v>22</v>
      </c>
      <c r="F687" s="2">
        <v>7.8179999999999996</v>
      </c>
      <c r="G687" s="2">
        <v>171.99600000000001</v>
      </c>
      <c r="H687" s="11">
        <f t="shared" si="10"/>
        <v>6.4205457463883953E-3</v>
      </c>
      <c r="I687" s="10"/>
      <c r="J687" s="10"/>
      <c r="K687" s="10"/>
    </row>
    <row r="688" spans="2:11" ht="13.5" x14ac:dyDescent="0.35">
      <c r="B688" s="3">
        <v>45919</v>
      </c>
      <c r="C688" s="2">
        <v>6.34</v>
      </c>
      <c r="D688" s="2">
        <v>6.34</v>
      </c>
      <c r="E688" s="2">
        <v>31</v>
      </c>
      <c r="F688" s="2">
        <v>7.827</v>
      </c>
      <c r="G688" s="2">
        <v>242.637</v>
      </c>
      <c r="H688" s="11">
        <f t="shared" si="10"/>
        <v>1.1164274322169154E-2</v>
      </c>
      <c r="I688" s="10"/>
      <c r="J688" s="10"/>
      <c r="K688" s="10"/>
    </row>
    <row r="689" spans="2:11" ht="13.5" x14ac:dyDescent="0.35">
      <c r="B689" s="3">
        <v>45922</v>
      </c>
      <c r="C689" s="2">
        <v>6.49</v>
      </c>
      <c r="D689" s="2">
        <v>6.49</v>
      </c>
      <c r="E689" s="2">
        <v>2636</v>
      </c>
      <c r="F689" s="2">
        <v>7.81</v>
      </c>
      <c r="G689" s="2">
        <v>20587.16</v>
      </c>
      <c r="H689" s="11">
        <f t="shared" si="10"/>
        <v>2.3659305993690927E-2</v>
      </c>
      <c r="I689" s="10"/>
      <c r="J689" s="10"/>
      <c r="K689" s="10"/>
    </row>
    <row r="690" spans="2:11" ht="13.5" x14ac:dyDescent="0.35">
      <c r="B690" s="3">
        <v>45923</v>
      </c>
      <c r="C690" s="2">
        <v>6.48</v>
      </c>
      <c r="D690" s="2">
        <v>6.48</v>
      </c>
      <c r="E690" s="2">
        <v>0</v>
      </c>
      <c r="F690" s="2">
        <v>0</v>
      </c>
      <c r="G690" s="2">
        <v>0</v>
      </c>
      <c r="H690" s="11">
        <f t="shared" si="10"/>
        <v>-1.5408320493065508E-3</v>
      </c>
      <c r="I690" s="10"/>
      <c r="J690" s="10"/>
      <c r="K690" s="10"/>
    </row>
    <row r="691" spans="2:11" ht="13.5" x14ac:dyDescent="0.35">
      <c r="B691" s="3">
        <v>45924</v>
      </c>
      <c r="C691" s="2">
        <v>6.5</v>
      </c>
      <c r="D691" s="2">
        <v>6.5</v>
      </c>
      <c r="E691" s="2">
        <v>8</v>
      </c>
      <c r="F691" s="2">
        <v>7.99</v>
      </c>
      <c r="G691" s="2">
        <v>63.92</v>
      </c>
      <c r="H691" s="11">
        <f t="shared" si="10"/>
        <v>3.0864197530864335E-3</v>
      </c>
      <c r="I691" s="10"/>
      <c r="J691" s="10"/>
      <c r="K691" s="10"/>
    </row>
    <row r="692" spans="2:11" ht="13.5" x14ac:dyDescent="0.35">
      <c r="B692" s="3">
        <v>45925</v>
      </c>
      <c r="C692" s="2">
        <v>6.48</v>
      </c>
      <c r="D692" s="2">
        <v>6.48</v>
      </c>
      <c r="E692" s="2">
        <v>0</v>
      </c>
      <c r="F692" s="2">
        <v>0</v>
      </c>
      <c r="G692" s="2">
        <v>0</v>
      </c>
      <c r="H692" s="11">
        <f t="shared" si="10"/>
        <v>-3.0769230769229772E-3</v>
      </c>
      <c r="I692" s="10"/>
      <c r="J692" s="10"/>
      <c r="K692" s="10"/>
    </row>
    <row r="693" spans="2:11" ht="13.5" x14ac:dyDescent="0.35">
      <c r="B693" s="3">
        <v>45926</v>
      </c>
      <c r="C693" s="2">
        <v>6.44</v>
      </c>
      <c r="D693" s="2">
        <v>6.44</v>
      </c>
      <c r="E693" s="2">
        <v>100</v>
      </c>
      <c r="F693" s="2">
        <v>7.97</v>
      </c>
      <c r="G693" s="2">
        <v>797</v>
      </c>
      <c r="H693" s="11">
        <f t="shared" si="10"/>
        <v>-6.1728395061728669E-3</v>
      </c>
      <c r="I693" s="10"/>
      <c r="J693" s="10"/>
      <c r="K693" s="10"/>
    </row>
    <row r="694" spans="2:11" ht="13.5" x14ac:dyDescent="0.35">
      <c r="B694" s="3">
        <v>45929</v>
      </c>
      <c r="C694" s="2">
        <v>6.45</v>
      </c>
      <c r="D694" s="2">
        <v>6.45</v>
      </c>
      <c r="E694" s="2">
        <v>100</v>
      </c>
      <c r="F694" s="2">
        <v>7.97</v>
      </c>
      <c r="G694" s="2">
        <v>797</v>
      </c>
      <c r="H694" s="11">
        <f t="shared" si="10"/>
        <v>1.5527950310558758E-3</v>
      </c>
      <c r="I694" s="10"/>
      <c r="J694" s="10"/>
      <c r="K694" s="10"/>
    </row>
  </sheetData>
  <mergeCells count="1">
    <mergeCell ref="B2:G2"/>
  </mergeCells>
  <phoneticPr fontId="0" type="noConversion"/>
  <conditionalFormatting sqref="H6:H694">
    <cfRule type="expression" dxfId="30" priority="1" stopIfTrue="1">
      <formula>$H6&gt;0</formula>
    </cfRule>
    <cfRule type="expression" dxfId="29" priority="2" stopIfTrue="1">
      <formula>$H6&lt;0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691"/>
  <sheetViews>
    <sheetView topLeftCell="A676" workbookViewId="0">
      <selection activeCell="A692" sqref="A692:XFD2693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13.5" x14ac:dyDescent="0.25">
      <c r="A2" s="3">
        <f>TITRES_STAT!B5</f>
        <v>44922</v>
      </c>
      <c r="B2" s="5">
        <f>TITRES_STAT!D5</f>
        <v>0</v>
      </c>
      <c r="C2" s="2"/>
      <c r="D2" s="2"/>
      <c r="E2" s="2"/>
      <c r="F2" s="2"/>
      <c r="G2" s="2"/>
      <c r="H2" s="2"/>
      <c r="I2" s="2"/>
      <c r="J2" s="2" t="s">
        <v>21</v>
      </c>
      <c r="K2" s="2" t="s">
        <v>21</v>
      </c>
    </row>
    <row r="3" spans="1:11" ht="13.5" x14ac:dyDescent="0.25">
      <c r="A3" s="3">
        <f>TITRES_STAT!B6</f>
        <v>44923</v>
      </c>
      <c r="B3" s="5">
        <f>TITRES_STAT!D6</f>
        <v>0</v>
      </c>
      <c r="C3" s="2">
        <f>B3-B2</f>
        <v>0</v>
      </c>
      <c r="D3" s="2"/>
      <c r="E3" s="2"/>
      <c r="F3" s="2"/>
      <c r="G3" s="2"/>
      <c r="H3" s="2"/>
      <c r="I3" s="2"/>
      <c r="J3" s="2" t="s">
        <v>22</v>
      </c>
      <c r="K3" s="2" t="s">
        <v>23</v>
      </c>
    </row>
    <row r="4" spans="1:11" ht="13.5" x14ac:dyDescent="0.25">
      <c r="A4" s="3">
        <f>TITRES_STAT!B7</f>
        <v>44924</v>
      </c>
      <c r="B4" s="5">
        <f>TITRES_STAT!D7</f>
        <v>5.266</v>
      </c>
      <c r="C4" s="2">
        <f t="shared" ref="C4:C67" si="0">B4-B3</f>
        <v>5.266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44925</v>
      </c>
      <c r="B5" s="5">
        <f>TITRES_STAT!D8</f>
        <v>5.4020000000000001</v>
      </c>
      <c r="C5" s="2">
        <f t="shared" si="0"/>
        <v>0.13600000000000012</v>
      </c>
      <c r="D5" s="2">
        <f>AVERAGE(B1:B5)</f>
        <v>2.6669999999999998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44928</v>
      </c>
      <c r="B6" s="5">
        <f>TITRES_STAT!D9</f>
        <v>5.3680000000000003</v>
      </c>
      <c r="C6" s="2">
        <f t="shared" si="0"/>
        <v>-3.3999999999999808E-2</v>
      </c>
      <c r="D6" s="2">
        <f t="shared" ref="D6:D69" si="1">AVERAGE(B2:B6)</f>
        <v>3.2072000000000003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44929</v>
      </c>
      <c r="B7" s="5">
        <f>TITRES_STAT!D10</f>
        <v>5.3940000000000001</v>
      </c>
      <c r="C7" s="2">
        <f t="shared" si="0"/>
        <v>2.5999999999999801E-2</v>
      </c>
      <c r="D7" s="2">
        <f t="shared" si="1"/>
        <v>4.2859999999999996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44930</v>
      </c>
      <c r="B8" s="5">
        <f>TITRES_STAT!D11</f>
        <v>5.266</v>
      </c>
      <c r="C8" s="2">
        <f t="shared" si="0"/>
        <v>-0.12800000000000011</v>
      </c>
      <c r="D8" s="2">
        <f t="shared" si="1"/>
        <v>5.3391999999999999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44931</v>
      </c>
      <c r="B9" s="5">
        <f>TITRES_STAT!D12</f>
        <v>5.351</v>
      </c>
      <c r="C9" s="2">
        <f t="shared" si="0"/>
        <v>8.4999999999999964E-2</v>
      </c>
      <c r="D9" s="2">
        <f t="shared" si="1"/>
        <v>5.3561999999999994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44932</v>
      </c>
      <c r="B10" s="5">
        <f>TITRES_STAT!D13</f>
        <v>5.351</v>
      </c>
      <c r="C10" s="2">
        <f t="shared" si="0"/>
        <v>0</v>
      </c>
      <c r="D10" s="2">
        <f t="shared" si="1"/>
        <v>5.3459999999999992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44935</v>
      </c>
      <c r="B11" s="5">
        <f>TITRES_STAT!D14</f>
        <v>5.3170000000000002</v>
      </c>
      <c r="C11" s="2">
        <f t="shared" si="0"/>
        <v>-3.3999999999999808E-2</v>
      </c>
      <c r="D11" s="2">
        <f t="shared" si="1"/>
        <v>5.3357999999999999</v>
      </c>
      <c r="E11" s="2">
        <f>AVERAGE(B2:B11)</f>
        <v>4.2714999999999996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44936</v>
      </c>
      <c r="B12" s="5">
        <f>TITRES_STAT!D15</f>
        <v>5.266</v>
      </c>
      <c r="C12" s="2">
        <f t="shared" si="0"/>
        <v>-5.1000000000000156E-2</v>
      </c>
      <c r="D12" s="2">
        <f t="shared" si="1"/>
        <v>5.3102</v>
      </c>
      <c r="E12" s="2">
        <f t="shared" ref="E12:E75" si="2">AVERAGE(B3:B12)</f>
        <v>4.7980999999999998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44937</v>
      </c>
      <c r="B13" s="5">
        <f>TITRES_STAT!D16</f>
        <v>5.3090000000000002</v>
      </c>
      <c r="C13" s="2">
        <f t="shared" si="0"/>
        <v>4.3000000000000149E-2</v>
      </c>
      <c r="D13" s="2">
        <f t="shared" si="1"/>
        <v>5.3187999999999995</v>
      </c>
      <c r="E13" s="2">
        <f t="shared" si="2"/>
        <v>5.3289999999999988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44938</v>
      </c>
      <c r="B14" s="5">
        <f>TITRES_STAT!D17</f>
        <v>5.181</v>
      </c>
      <c r="C14" s="2">
        <f t="shared" si="0"/>
        <v>-0.12800000000000011</v>
      </c>
      <c r="D14" s="2">
        <f t="shared" si="1"/>
        <v>5.2847999999999997</v>
      </c>
      <c r="E14" s="2">
        <f t="shared" si="2"/>
        <v>5.3204999999999991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44939</v>
      </c>
      <c r="B15" s="5">
        <f>TITRES_STAT!D18</f>
        <v>5.4189999999999996</v>
      </c>
      <c r="C15" s="2">
        <f t="shared" si="0"/>
        <v>0.23799999999999955</v>
      </c>
      <c r="D15" s="2">
        <f t="shared" si="1"/>
        <v>5.2984</v>
      </c>
      <c r="E15" s="2">
        <f t="shared" si="2"/>
        <v>5.3221999999999987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44942</v>
      </c>
      <c r="B16" s="5">
        <f>TITRES_STAT!D19</f>
        <v>5.47</v>
      </c>
      <c r="C16" s="2">
        <f t="shared" si="0"/>
        <v>5.1000000000000156E-2</v>
      </c>
      <c r="D16" s="2">
        <f t="shared" si="1"/>
        <v>5.3289999999999997</v>
      </c>
      <c r="E16" s="2">
        <f t="shared" si="2"/>
        <v>5.3323999999999989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44943</v>
      </c>
      <c r="B17" s="5">
        <f>TITRES_STAT!D20</f>
        <v>5.4359999999999999</v>
      </c>
      <c r="C17" s="2">
        <f t="shared" si="0"/>
        <v>-3.3999999999999808E-2</v>
      </c>
      <c r="D17" s="2">
        <f t="shared" si="1"/>
        <v>5.3629999999999995</v>
      </c>
      <c r="E17" s="2">
        <f t="shared" si="2"/>
        <v>5.3365999999999998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44944</v>
      </c>
      <c r="B18" s="5">
        <f>TITRES_STAT!D21</f>
        <v>5.4619999999999997</v>
      </c>
      <c r="C18" s="2">
        <f t="shared" si="0"/>
        <v>2.5999999999999801E-2</v>
      </c>
      <c r="D18" s="2">
        <f t="shared" si="1"/>
        <v>5.3936000000000002</v>
      </c>
      <c r="E18" s="2">
        <f t="shared" si="2"/>
        <v>5.3561999999999994</v>
      </c>
      <c r="F18" s="2"/>
      <c r="G18" s="2"/>
      <c r="H18" s="2"/>
      <c r="I18" s="2">
        <f t="array" ref="I18">SUMPRODUCT(B2:B21, (ROW(B2:B21)-ROW(B2)+1)) / (20*21/2)</f>
        <v>5.3039142857142867</v>
      </c>
      <c r="J18" s="2"/>
      <c r="K18" s="2"/>
    </row>
    <row r="19" spans="1:11" ht="13.5" x14ac:dyDescent="0.25">
      <c r="A19" s="3">
        <f>TITRES_STAT!B22</f>
        <v>44945</v>
      </c>
      <c r="B19" s="5">
        <f>TITRES_STAT!D22</f>
        <v>5.4619999999999997</v>
      </c>
      <c r="C19" s="2">
        <f t="shared" si="0"/>
        <v>0</v>
      </c>
      <c r="D19" s="2">
        <f t="shared" si="1"/>
        <v>5.4497999999999998</v>
      </c>
      <c r="E19" s="2">
        <f t="shared" si="2"/>
        <v>5.3673000000000002</v>
      </c>
      <c r="F19" s="2"/>
      <c r="G19" s="2"/>
      <c r="H19" s="2"/>
      <c r="I19" s="2">
        <f t="array" ref="I19">SUMPRODUCT(B3:B22, (ROW(B3:B22)-ROW(B3)+1)) / (20*21/2)</f>
        <v>5.3602476190476196</v>
      </c>
      <c r="J19" s="2"/>
      <c r="K19" s="2"/>
    </row>
    <row r="20" spans="1:11" ht="13.5" x14ac:dyDescent="0.25">
      <c r="A20" s="3">
        <f>TITRES_STAT!B23</f>
        <v>44946</v>
      </c>
      <c r="B20" s="5">
        <f>TITRES_STAT!D23</f>
        <v>5.4359999999999999</v>
      </c>
      <c r="C20" s="2">
        <f t="shared" si="0"/>
        <v>-2.5999999999999801E-2</v>
      </c>
      <c r="D20" s="2">
        <f t="shared" si="1"/>
        <v>5.4531999999999998</v>
      </c>
      <c r="E20" s="2">
        <f t="shared" si="2"/>
        <v>5.3757999999999999</v>
      </c>
      <c r="F20" s="2">
        <f t="shared" ref="F20:F83" si="3">AVERAGE(B1:B20)</f>
        <v>4.7976842105263158</v>
      </c>
      <c r="G20" s="2"/>
      <c r="H20" s="2"/>
      <c r="I20" s="2">
        <f t="array" ref="I20">SUMPRODUCT(B4:B23, (ROW(B4:B23)-ROW(B4)+1)) / (20*21/2)</f>
        <v>5.3819190476190482</v>
      </c>
      <c r="J20" s="2">
        <f>F20</f>
        <v>4.7976842105263158</v>
      </c>
      <c r="K20" s="2"/>
    </row>
    <row r="21" spans="1:11" ht="13.5" x14ac:dyDescent="0.25">
      <c r="A21" s="3">
        <f>TITRES_STAT!B24</f>
        <v>44949</v>
      </c>
      <c r="B21" s="5">
        <f>TITRES_STAT!D24</f>
        <v>5.3940000000000001</v>
      </c>
      <c r="C21" s="2">
        <f t="shared" si="0"/>
        <v>-4.1999999999999815E-2</v>
      </c>
      <c r="D21" s="2">
        <f t="shared" si="1"/>
        <v>5.4379999999999997</v>
      </c>
      <c r="E21" s="2">
        <f t="shared" si="2"/>
        <v>5.3835000000000006</v>
      </c>
      <c r="F21" s="2">
        <f t="shared" si="3"/>
        <v>4.8275000000000006</v>
      </c>
      <c r="G21" s="2"/>
      <c r="H21" s="2"/>
      <c r="I21" s="2">
        <f t="array" ref="I21">SUMPRODUCT(B5:B24, (ROW(B5:B24)-ROW(B5)+1)) / (20*21/2)</f>
        <v>5.3806095238095235</v>
      </c>
      <c r="J21" s="2">
        <f t="shared" ref="J21:J84" si="4">$J$4*B21+J20*(1-$J$4)</f>
        <v>4.8544761904761904</v>
      </c>
      <c r="K21" s="2"/>
    </row>
    <row r="22" spans="1:11" ht="13.5" x14ac:dyDescent="0.25">
      <c r="A22" s="3">
        <f>TITRES_STAT!B25</f>
        <v>44950</v>
      </c>
      <c r="B22" s="5">
        <f>TITRES_STAT!D25</f>
        <v>5.4189999999999996</v>
      </c>
      <c r="C22" s="2">
        <f t="shared" si="0"/>
        <v>2.4999999999999467E-2</v>
      </c>
      <c r="D22" s="2">
        <f t="shared" si="1"/>
        <v>5.4345999999999997</v>
      </c>
      <c r="E22" s="2">
        <f t="shared" si="2"/>
        <v>5.3987999999999996</v>
      </c>
      <c r="F22" s="2">
        <f t="shared" si="3"/>
        <v>5.0984500000000006</v>
      </c>
      <c r="G22" s="2"/>
      <c r="H22" s="2"/>
      <c r="I22" s="2">
        <f t="array" ref="I22">SUMPRODUCT(B6:B25, (ROW(B6:B25)-ROW(B6)+1)) / (20*21/2)</f>
        <v>5.3837523809523811</v>
      </c>
      <c r="J22" s="2">
        <f t="shared" si="4"/>
        <v>4.9082403628117905</v>
      </c>
      <c r="K22" s="2"/>
    </row>
    <row r="23" spans="1:11" ht="13.5" x14ac:dyDescent="0.25">
      <c r="A23" s="3">
        <f>TITRES_STAT!B26</f>
        <v>44951</v>
      </c>
      <c r="B23" s="5">
        <f>TITRES_STAT!D26</f>
        <v>5.3259999999999996</v>
      </c>
      <c r="C23" s="2">
        <f t="shared" si="0"/>
        <v>-9.2999999999999972E-2</v>
      </c>
      <c r="D23" s="2">
        <f t="shared" si="1"/>
        <v>5.4074000000000009</v>
      </c>
      <c r="E23" s="2">
        <f t="shared" si="2"/>
        <v>5.4004999999999992</v>
      </c>
      <c r="F23" s="2">
        <f t="shared" si="3"/>
        <v>5.3647499999999999</v>
      </c>
      <c r="G23" s="2"/>
      <c r="H23" s="2"/>
      <c r="I23" s="2">
        <f t="array" ref="I23">SUMPRODUCT(B7:B26, (ROW(B7:B26)-ROW(B7)+1)) / (20*21/2)</f>
        <v>5.3893714285714287</v>
      </c>
      <c r="J23" s="2">
        <f t="shared" si="4"/>
        <v>4.9480269949249527</v>
      </c>
      <c r="K23" s="2"/>
    </row>
    <row r="24" spans="1:11" ht="13.5" x14ac:dyDescent="0.25">
      <c r="A24" s="3">
        <f>TITRES_STAT!B27</f>
        <v>44952</v>
      </c>
      <c r="B24" s="5">
        <f>TITRES_STAT!D27</f>
        <v>5.351</v>
      </c>
      <c r="C24" s="2">
        <f t="shared" si="0"/>
        <v>2.5000000000000355E-2</v>
      </c>
      <c r="D24" s="2">
        <f t="shared" si="1"/>
        <v>5.3851999999999993</v>
      </c>
      <c r="E24" s="2">
        <f t="shared" si="2"/>
        <v>5.4174999999999995</v>
      </c>
      <c r="F24" s="2">
        <f t="shared" si="3"/>
        <v>5.3690000000000007</v>
      </c>
      <c r="G24" s="2"/>
      <c r="H24" s="2"/>
      <c r="I24" s="2">
        <f t="array" ref="I24">SUMPRODUCT(B8:B27, (ROW(B8:B27)-ROW(B8)+1)) / (20*21/2)</f>
        <v>5.3947047619047614</v>
      </c>
      <c r="J24" s="2">
        <f t="shared" si="4"/>
        <v>4.9864053763606719</v>
      </c>
      <c r="K24" s="2"/>
    </row>
    <row r="25" spans="1:11" ht="13.5" x14ac:dyDescent="0.25">
      <c r="A25" s="3">
        <f>TITRES_STAT!B28</f>
        <v>44953</v>
      </c>
      <c r="B25" s="5">
        <f>TITRES_STAT!D28</f>
        <v>5.4020000000000001</v>
      </c>
      <c r="C25" s="2">
        <f t="shared" si="0"/>
        <v>5.1000000000000156E-2</v>
      </c>
      <c r="D25" s="2">
        <f t="shared" si="1"/>
        <v>5.3784000000000001</v>
      </c>
      <c r="E25" s="2">
        <f t="shared" si="2"/>
        <v>5.4157999999999991</v>
      </c>
      <c r="F25" s="2">
        <f t="shared" si="3"/>
        <v>5.3689999999999998</v>
      </c>
      <c r="G25" s="2"/>
      <c r="H25" s="2"/>
      <c r="I25" s="2">
        <f t="array" ref="I25">SUMPRODUCT(B9:B28, (ROW(B9:B28)-ROW(B9)+1)) / (20*21/2)</f>
        <v>5.3998761904761903</v>
      </c>
      <c r="J25" s="2">
        <f t="shared" si="4"/>
        <v>5.0259858167072746</v>
      </c>
      <c r="K25" s="2"/>
    </row>
    <row r="26" spans="1:11" ht="13.5" x14ac:dyDescent="0.25">
      <c r="A26" s="3">
        <f>TITRES_STAT!B29</f>
        <v>44956</v>
      </c>
      <c r="B26" s="5">
        <f>TITRES_STAT!D29</f>
        <v>5.4279999999999999</v>
      </c>
      <c r="C26" s="2">
        <f t="shared" si="0"/>
        <v>2.5999999999999801E-2</v>
      </c>
      <c r="D26" s="2">
        <f t="shared" si="1"/>
        <v>5.3852000000000002</v>
      </c>
      <c r="E26" s="2">
        <f t="shared" si="2"/>
        <v>5.4115999999999991</v>
      </c>
      <c r="F26" s="2">
        <f t="shared" si="3"/>
        <v>5.3719999999999999</v>
      </c>
      <c r="G26" s="2"/>
      <c r="H26" s="2"/>
      <c r="I26" s="2">
        <f t="array" ref="I26">SUMPRODUCT(B10:B29, (ROW(B10:B29)-ROW(B10)+1)) / (20*21/2)</f>
        <v>5.4042761904761898</v>
      </c>
      <c r="J26" s="2">
        <f t="shared" si="4"/>
        <v>5.064272881782772</v>
      </c>
      <c r="K26" s="2"/>
    </row>
    <row r="27" spans="1:11" ht="13.5" x14ac:dyDescent="0.25">
      <c r="A27" s="3">
        <f>TITRES_STAT!B30</f>
        <v>44957</v>
      </c>
      <c r="B27" s="5">
        <f>TITRES_STAT!D30</f>
        <v>5.4279999999999999</v>
      </c>
      <c r="C27" s="2">
        <f t="shared" si="0"/>
        <v>0</v>
      </c>
      <c r="D27" s="2">
        <f t="shared" si="1"/>
        <v>5.3870000000000005</v>
      </c>
      <c r="E27" s="2">
        <f t="shared" si="2"/>
        <v>5.4107999999999992</v>
      </c>
      <c r="F27" s="2">
        <f t="shared" si="3"/>
        <v>5.3736999999999995</v>
      </c>
      <c r="G27" s="2"/>
      <c r="H27" s="2"/>
      <c r="I27" s="2">
        <f t="array" ref="I27">SUMPRODUCT(B11:B30, (ROW(B11:B30)-ROW(B11)+1)) / (20*21/2)</f>
        <v>5.4050714285714285</v>
      </c>
      <c r="J27" s="2">
        <f t="shared" si="4"/>
        <v>5.0989135597082216</v>
      </c>
      <c r="K27" s="2"/>
    </row>
    <row r="28" spans="1:11" ht="13.5" x14ac:dyDescent="0.25">
      <c r="A28" s="3">
        <f>TITRES_STAT!B31</f>
        <v>44958</v>
      </c>
      <c r="B28" s="5">
        <f>TITRES_STAT!D31</f>
        <v>5.4279999999999999</v>
      </c>
      <c r="C28" s="2">
        <f t="shared" si="0"/>
        <v>0</v>
      </c>
      <c r="D28" s="2">
        <f t="shared" si="1"/>
        <v>5.4074000000000009</v>
      </c>
      <c r="E28" s="2">
        <f t="shared" si="2"/>
        <v>5.4074</v>
      </c>
      <c r="F28" s="2">
        <f t="shared" si="3"/>
        <v>5.3818000000000001</v>
      </c>
      <c r="G28" s="2"/>
      <c r="H28" s="2"/>
      <c r="I28" s="2">
        <f t="array" ref="I28">SUMPRODUCT(B12:B31, (ROW(B12:B31)-ROW(B12)+1)) / (20*21/2)</f>
        <v>5.404804761904761</v>
      </c>
      <c r="J28" s="2">
        <f t="shared" si="4"/>
        <v>5.1302551254502955</v>
      </c>
      <c r="K28" s="2"/>
    </row>
    <row r="29" spans="1:11" ht="13.5" x14ac:dyDescent="0.25">
      <c r="A29" s="3">
        <f>TITRES_STAT!B32</f>
        <v>44959</v>
      </c>
      <c r="B29" s="5">
        <f>TITRES_STAT!D32</f>
        <v>5.4279999999999999</v>
      </c>
      <c r="C29" s="2">
        <f t="shared" si="0"/>
        <v>0</v>
      </c>
      <c r="D29" s="2">
        <f t="shared" si="1"/>
        <v>5.4228000000000005</v>
      </c>
      <c r="E29" s="2">
        <f t="shared" si="2"/>
        <v>5.4039999999999981</v>
      </c>
      <c r="F29" s="2">
        <f t="shared" si="3"/>
        <v>5.3856499999999992</v>
      </c>
      <c r="G29" s="2"/>
      <c r="H29" s="2"/>
      <c r="I29" s="2">
        <f t="array" ref="I29">SUMPRODUCT(B13:B32, (ROW(B13:B32)-ROW(B13)+1)) / (20*21/2)</f>
        <v>5.3961190476190461</v>
      </c>
      <c r="J29" s="2">
        <f t="shared" si="4"/>
        <v>5.1586117801693145</v>
      </c>
      <c r="K29" s="2"/>
    </row>
    <row r="30" spans="1:11" ht="13.5" x14ac:dyDescent="0.25">
      <c r="A30" s="3">
        <f>TITRES_STAT!B33</f>
        <v>44960</v>
      </c>
      <c r="B30" s="5">
        <f>TITRES_STAT!D33</f>
        <v>5.3940000000000001</v>
      </c>
      <c r="C30" s="2">
        <f t="shared" si="0"/>
        <v>-3.3999999999999808E-2</v>
      </c>
      <c r="D30" s="2">
        <f t="shared" si="1"/>
        <v>5.4212000000000007</v>
      </c>
      <c r="E30" s="2">
        <f t="shared" si="2"/>
        <v>5.399799999999999</v>
      </c>
      <c r="F30" s="2">
        <f t="shared" si="3"/>
        <v>5.3877999999999995</v>
      </c>
      <c r="G30" s="2"/>
      <c r="H30" s="2"/>
      <c r="I30" s="2">
        <f t="array" ref="I30">SUMPRODUCT(B14:B33, (ROW(B14:B33)-ROW(B14)+1)) / (20*21/2)</f>
        <v>5.3759380952380935</v>
      </c>
      <c r="J30" s="2">
        <f t="shared" si="4"/>
        <v>5.1810297058674744</v>
      </c>
      <c r="K30" s="2"/>
    </row>
    <row r="31" spans="1:11" ht="13.5" x14ac:dyDescent="0.25">
      <c r="A31" s="3">
        <f>TITRES_STAT!B34</f>
        <v>44963</v>
      </c>
      <c r="B31" s="5">
        <f>TITRES_STAT!D34</f>
        <v>5.3849999999999998</v>
      </c>
      <c r="C31" s="2">
        <f t="shared" si="0"/>
        <v>-9.0000000000003411E-3</v>
      </c>
      <c r="D31" s="2">
        <f t="shared" si="1"/>
        <v>5.4125999999999994</v>
      </c>
      <c r="E31" s="2">
        <f t="shared" si="2"/>
        <v>5.3988999999999994</v>
      </c>
      <c r="F31" s="2">
        <f t="shared" si="3"/>
        <v>5.3911999999999995</v>
      </c>
      <c r="G31" s="2"/>
      <c r="H31" s="2"/>
      <c r="I31" s="2">
        <f t="array" ref="I31">SUMPRODUCT(B15:B34, (ROW(B15:B34)-ROW(B15)+1)) / (20*21/2)</f>
        <v>5.3596047619047607</v>
      </c>
      <c r="J31" s="2">
        <f t="shared" si="4"/>
        <v>5.2004554481658101</v>
      </c>
      <c r="K31" s="2"/>
    </row>
    <row r="32" spans="1:11" ht="13.5" x14ac:dyDescent="0.25">
      <c r="A32" s="3">
        <f>TITRES_STAT!B35</f>
        <v>44964</v>
      </c>
      <c r="B32" s="5">
        <f>TITRES_STAT!D35</f>
        <v>5.3</v>
      </c>
      <c r="C32" s="2">
        <f t="shared" si="0"/>
        <v>-8.4999999999999964E-2</v>
      </c>
      <c r="D32" s="2">
        <f t="shared" si="1"/>
        <v>5.3869999999999996</v>
      </c>
      <c r="E32" s="2">
        <f t="shared" si="2"/>
        <v>5.3869999999999987</v>
      </c>
      <c r="F32" s="2">
        <f t="shared" si="3"/>
        <v>5.3929</v>
      </c>
      <c r="G32" s="2"/>
      <c r="H32" s="2"/>
      <c r="I32" s="2">
        <f t="array" ref="I32">SUMPRODUCT(B16:B35, (ROW(B16:B35)-ROW(B16)+1)) / (20*21/2)</f>
        <v>5.3423476190476196</v>
      </c>
      <c r="J32" s="2">
        <f t="shared" si="4"/>
        <v>5.2099358816738279</v>
      </c>
      <c r="K32" s="2"/>
    </row>
    <row r="33" spans="1:11" ht="13.5" x14ac:dyDescent="0.25">
      <c r="A33" s="3">
        <f>TITRES_STAT!B36</f>
        <v>44965</v>
      </c>
      <c r="B33" s="5">
        <f>TITRES_STAT!D36</f>
        <v>5.181</v>
      </c>
      <c r="C33" s="2">
        <f t="shared" si="0"/>
        <v>-0.11899999999999977</v>
      </c>
      <c r="D33" s="2">
        <f t="shared" si="1"/>
        <v>5.3376000000000001</v>
      </c>
      <c r="E33" s="2">
        <f t="shared" si="2"/>
        <v>5.3724999999999996</v>
      </c>
      <c r="F33" s="2">
        <f t="shared" si="3"/>
        <v>5.3864999999999998</v>
      </c>
      <c r="G33" s="2"/>
      <c r="H33" s="2"/>
      <c r="I33" s="2">
        <f t="array" ref="I33">SUMPRODUCT(B17:B36, (ROW(B17:B36)-ROW(B17)+1)) / (20*21/2)</f>
        <v>5.3236238095238084</v>
      </c>
      <c r="J33" s="2">
        <f t="shared" si="4"/>
        <v>5.2071800834191784</v>
      </c>
      <c r="K33" s="2"/>
    </row>
    <row r="34" spans="1:11" ht="13.5" x14ac:dyDescent="0.25">
      <c r="A34" s="3">
        <f>TITRES_STAT!B37</f>
        <v>44966</v>
      </c>
      <c r="B34" s="5">
        <f>TITRES_STAT!D37</f>
        <v>5.2149999999999999</v>
      </c>
      <c r="C34" s="2">
        <f t="shared" si="0"/>
        <v>3.3999999999999808E-2</v>
      </c>
      <c r="D34" s="2">
        <f t="shared" si="1"/>
        <v>5.2949999999999999</v>
      </c>
      <c r="E34" s="2">
        <f t="shared" si="2"/>
        <v>5.3589000000000002</v>
      </c>
      <c r="F34" s="2">
        <f t="shared" si="3"/>
        <v>5.3881999999999994</v>
      </c>
      <c r="G34" s="2"/>
      <c r="H34" s="2"/>
      <c r="I34" s="2">
        <f t="array" ref="I34">SUMPRODUCT(B18:B37, (ROW(B18:B37)-ROW(B18)+1)) / (20*21/2)</f>
        <v>5.3055142857142856</v>
      </c>
      <c r="J34" s="2">
        <f t="shared" si="4"/>
        <v>5.2079248373792568</v>
      </c>
      <c r="K34" s="2"/>
    </row>
    <row r="35" spans="1:11" ht="13.5" x14ac:dyDescent="0.25">
      <c r="A35" s="3">
        <f>TITRES_STAT!B38</f>
        <v>44967</v>
      </c>
      <c r="B35" s="5">
        <f>TITRES_STAT!D38</f>
        <v>5.2069999999999999</v>
      </c>
      <c r="C35" s="2">
        <f t="shared" si="0"/>
        <v>-8.0000000000000071E-3</v>
      </c>
      <c r="D35" s="2">
        <f t="shared" si="1"/>
        <v>5.2576000000000001</v>
      </c>
      <c r="E35" s="2">
        <f t="shared" si="2"/>
        <v>5.3393999999999995</v>
      </c>
      <c r="F35" s="2">
        <f t="shared" si="3"/>
        <v>5.3775999999999993</v>
      </c>
      <c r="G35" s="2"/>
      <c r="H35" s="2"/>
      <c r="I35" s="2">
        <f t="array" ref="I35">SUMPRODUCT(B19:B38, (ROW(B19:B38)-ROW(B19)+1)) / (20*21/2)</f>
        <v>5.2878000000000007</v>
      </c>
      <c r="J35" s="2">
        <f t="shared" si="4"/>
        <v>5.2078367576288516</v>
      </c>
      <c r="K35" s="2"/>
    </row>
    <row r="36" spans="1:11" ht="13.5" x14ac:dyDescent="0.25">
      <c r="A36" s="3">
        <f>TITRES_STAT!B39</f>
        <v>44970</v>
      </c>
      <c r="B36" s="5">
        <f>TITRES_STAT!D39</f>
        <v>5.181</v>
      </c>
      <c r="C36" s="2">
        <f t="shared" si="0"/>
        <v>-2.5999999999999801E-2</v>
      </c>
      <c r="D36" s="2">
        <f t="shared" si="1"/>
        <v>5.2168000000000001</v>
      </c>
      <c r="E36" s="2">
        <f t="shared" si="2"/>
        <v>5.3146999999999984</v>
      </c>
      <c r="F36" s="2">
        <f t="shared" si="3"/>
        <v>5.3631499999999992</v>
      </c>
      <c r="G36" s="2"/>
      <c r="H36" s="2"/>
      <c r="I36" s="2">
        <f t="array" ref="I36">SUMPRODUCT(B20:B39, (ROW(B20:B39)-ROW(B20)+1)) / (20*21/2)</f>
        <v>5.2731238095238107</v>
      </c>
      <c r="J36" s="2">
        <f t="shared" si="4"/>
        <v>5.2052808759499136</v>
      </c>
      <c r="K36" s="2"/>
    </row>
    <row r="37" spans="1:11" ht="13.5" x14ac:dyDescent="0.25">
      <c r="A37" s="3">
        <f>TITRES_STAT!B40</f>
        <v>44971</v>
      </c>
      <c r="B37" s="5">
        <f>TITRES_STAT!D40</f>
        <v>5.173</v>
      </c>
      <c r="C37" s="2">
        <f t="shared" si="0"/>
        <v>-8.0000000000000071E-3</v>
      </c>
      <c r="D37" s="2">
        <f t="shared" si="1"/>
        <v>5.1913999999999998</v>
      </c>
      <c r="E37" s="2">
        <f t="shared" si="2"/>
        <v>5.2892000000000001</v>
      </c>
      <c r="F37" s="2">
        <f t="shared" si="3"/>
        <v>5.35</v>
      </c>
      <c r="G37" s="2"/>
      <c r="H37" s="2"/>
      <c r="I37" s="2">
        <f t="array" ref="I37">SUMPRODUCT(B21:B40, (ROW(B21:B40)-ROW(B21)+1)) / (20*21/2)</f>
        <v>5.2581666666666678</v>
      </c>
      <c r="J37" s="2">
        <f t="shared" si="4"/>
        <v>5.2022065068118266</v>
      </c>
      <c r="K37" s="2"/>
    </row>
    <row r="38" spans="1:11" ht="13.5" x14ac:dyDescent="0.25">
      <c r="A38" s="3">
        <f>TITRES_STAT!B41</f>
        <v>44972</v>
      </c>
      <c r="B38" s="5">
        <f>TITRES_STAT!D41</f>
        <v>5.1639999999999997</v>
      </c>
      <c r="C38" s="2">
        <f t="shared" si="0"/>
        <v>-9.0000000000003411E-3</v>
      </c>
      <c r="D38" s="2">
        <f t="shared" si="1"/>
        <v>5.1880000000000006</v>
      </c>
      <c r="E38" s="2">
        <f t="shared" si="2"/>
        <v>5.2628000000000004</v>
      </c>
      <c r="F38" s="2">
        <f t="shared" si="3"/>
        <v>5.3350999999999997</v>
      </c>
      <c r="G38" s="2"/>
      <c r="H38" s="2"/>
      <c r="I38" s="2">
        <f t="array" ref="I38">SUMPRODUCT(B22:B41, (ROW(B22:B41)-ROW(B22)+1)) / (20*21/2)</f>
        <v>5.2445047619047616</v>
      </c>
      <c r="J38" s="2">
        <f t="shared" si="4"/>
        <v>5.198567791877367</v>
      </c>
      <c r="K38" s="2"/>
    </row>
    <row r="39" spans="1:11" ht="13.5" x14ac:dyDescent="0.25">
      <c r="A39" s="3">
        <f>TITRES_STAT!B42</f>
        <v>44973</v>
      </c>
      <c r="B39" s="5">
        <f>TITRES_STAT!D42</f>
        <v>5.181</v>
      </c>
      <c r="C39" s="2">
        <f t="shared" si="0"/>
        <v>1.7000000000000348E-2</v>
      </c>
      <c r="D39" s="2">
        <f t="shared" si="1"/>
        <v>5.1812000000000005</v>
      </c>
      <c r="E39" s="2">
        <f t="shared" si="2"/>
        <v>5.2381000000000002</v>
      </c>
      <c r="F39" s="2">
        <f t="shared" si="3"/>
        <v>5.3210499999999987</v>
      </c>
      <c r="G39" s="2"/>
      <c r="H39" s="2"/>
      <c r="I39" s="2">
        <f t="array" ref="I39">SUMPRODUCT(B23:B42, (ROW(B23:B42)-ROW(B23)+1)) / (20*21/2)</f>
        <v>5.2319380952380961</v>
      </c>
      <c r="J39" s="2">
        <f t="shared" si="4"/>
        <v>5.1968946688414279</v>
      </c>
      <c r="K39" s="2"/>
    </row>
    <row r="40" spans="1:11" ht="13.5" x14ac:dyDescent="0.25">
      <c r="A40" s="3">
        <f>TITRES_STAT!B43</f>
        <v>44974</v>
      </c>
      <c r="B40" s="5">
        <f>TITRES_STAT!D43</f>
        <v>5.1639999999999997</v>
      </c>
      <c r="C40" s="2">
        <f t="shared" si="0"/>
        <v>-1.7000000000000348E-2</v>
      </c>
      <c r="D40" s="2">
        <f t="shared" si="1"/>
        <v>5.1726000000000001</v>
      </c>
      <c r="E40" s="2">
        <f t="shared" si="2"/>
        <v>5.2151000000000005</v>
      </c>
      <c r="F40" s="2">
        <f t="shared" si="3"/>
        <v>5.3074499999999993</v>
      </c>
      <c r="G40" s="2"/>
      <c r="H40" s="2"/>
      <c r="I40" s="2">
        <f t="array" ref="I40">SUMPRODUCT(B24:B43, (ROW(B24:B43)-ROW(B24)+1)) / (20*21/2)</f>
        <v>5.2205857142857148</v>
      </c>
      <c r="J40" s="2">
        <f t="shared" si="4"/>
        <v>5.1937618432374819</v>
      </c>
      <c r="K40" s="2"/>
    </row>
    <row r="41" spans="1:11" ht="13.5" x14ac:dyDescent="0.25">
      <c r="A41" s="3">
        <f>TITRES_STAT!B44</f>
        <v>44977</v>
      </c>
      <c r="B41" s="5">
        <f>TITRES_STAT!D44</f>
        <v>5.1639999999999997</v>
      </c>
      <c r="C41" s="2">
        <f t="shared" si="0"/>
        <v>0</v>
      </c>
      <c r="D41" s="2">
        <f t="shared" si="1"/>
        <v>5.1692000000000009</v>
      </c>
      <c r="E41" s="2">
        <f t="shared" si="2"/>
        <v>5.1929999999999996</v>
      </c>
      <c r="F41" s="2">
        <f t="shared" si="3"/>
        <v>5.2959499999999995</v>
      </c>
      <c r="G41" s="2"/>
      <c r="H41" s="2"/>
      <c r="I41" s="2">
        <f t="array" ref="I41">SUMPRODUCT(B25:B44, (ROW(B25:B44)-ROW(B25)+1)) / (20*21/2)</f>
        <v>5.2092428571428577</v>
      </c>
      <c r="J41" s="2">
        <f t="shared" si="4"/>
        <v>5.1909273819767696</v>
      </c>
      <c r="K41" s="2"/>
    </row>
    <row r="42" spans="1:11" ht="13.5" x14ac:dyDescent="0.25">
      <c r="A42" s="3">
        <f>TITRES_STAT!B45</f>
        <v>44978</v>
      </c>
      <c r="B42" s="5">
        <f>TITRES_STAT!D45</f>
        <v>5.1639999999999997</v>
      </c>
      <c r="C42" s="2">
        <f t="shared" si="0"/>
        <v>0</v>
      </c>
      <c r="D42" s="2">
        <f t="shared" si="1"/>
        <v>5.1673999999999989</v>
      </c>
      <c r="E42" s="2">
        <f t="shared" si="2"/>
        <v>5.1794000000000002</v>
      </c>
      <c r="F42" s="2">
        <f t="shared" si="3"/>
        <v>5.283199999999999</v>
      </c>
      <c r="G42" s="2"/>
      <c r="H42" s="2"/>
      <c r="I42" s="2">
        <f t="array" ref="I42">SUMPRODUCT(B26:B45, (ROW(B26:B45)-ROW(B26)+1)) / (20*21/2)</f>
        <v>5.1988285714285709</v>
      </c>
      <c r="J42" s="2">
        <f t="shared" si="4"/>
        <v>5.1883628694075536</v>
      </c>
      <c r="K42" s="2"/>
    </row>
    <row r="43" spans="1:11" ht="13.5" x14ac:dyDescent="0.25">
      <c r="A43" s="3">
        <f>TITRES_STAT!B46</f>
        <v>44979</v>
      </c>
      <c r="B43" s="5">
        <f>TITRES_STAT!D46</f>
        <v>5.1639999999999997</v>
      </c>
      <c r="C43" s="2">
        <f t="shared" si="0"/>
        <v>0</v>
      </c>
      <c r="D43" s="2">
        <f t="shared" si="1"/>
        <v>5.1673999999999989</v>
      </c>
      <c r="E43" s="2">
        <f t="shared" si="2"/>
        <v>5.1777000000000006</v>
      </c>
      <c r="F43" s="2">
        <f t="shared" si="3"/>
        <v>5.2751000000000001</v>
      </c>
      <c r="G43" s="2"/>
      <c r="H43" s="2"/>
      <c r="I43" s="2">
        <f t="array" ref="I43">SUMPRODUCT(B27:B46, (ROW(B27:B46)-ROW(B27)+1)) / (20*21/2)</f>
        <v>5.1895857142857134</v>
      </c>
      <c r="J43" s="2">
        <f t="shared" si="4"/>
        <v>5.186042596130644</v>
      </c>
      <c r="K43" s="2"/>
    </row>
    <row r="44" spans="1:11" ht="13.5" x14ac:dyDescent="0.25">
      <c r="A44" s="3">
        <f>TITRES_STAT!B47</f>
        <v>44980</v>
      </c>
      <c r="B44" s="5">
        <f>TITRES_STAT!D47</f>
        <v>5.1559999999999997</v>
      </c>
      <c r="C44" s="2">
        <f t="shared" si="0"/>
        <v>-8.0000000000000071E-3</v>
      </c>
      <c r="D44" s="2">
        <f t="shared" si="1"/>
        <v>5.1623999999999999</v>
      </c>
      <c r="E44" s="2">
        <f t="shared" si="2"/>
        <v>5.1718000000000002</v>
      </c>
      <c r="F44" s="2">
        <f t="shared" si="3"/>
        <v>5.2653499999999998</v>
      </c>
      <c r="G44" s="2"/>
      <c r="H44" s="2"/>
      <c r="I44" s="2">
        <f t="array" ref="I44">SUMPRODUCT(B28:B47, (ROW(B28:B47)-ROW(B28)+1)) / (20*21/2)</f>
        <v>5.1807809523809532</v>
      </c>
      <c r="J44" s="2">
        <f t="shared" si="4"/>
        <v>5.1831813964991547</v>
      </c>
      <c r="K44" s="2"/>
    </row>
    <row r="45" spans="1:11" ht="13.5" x14ac:dyDescent="0.25">
      <c r="A45" s="3">
        <f>TITRES_STAT!B48</f>
        <v>44981</v>
      </c>
      <c r="B45" s="5">
        <f>TITRES_STAT!D48</f>
        <v>5.1559999999999997</v>
      </c>
      <c r="C45" s="2">
        <f t="shared" si="0"/>
        <v>0</v>
      </c>
      <c r="D45" s="2">
        <f t="shared" si="1"/>
        <v>5.1608000000000001</v>
      </c>
      <c r="E45" s="2">
        <f t="shared" si="2"/>
        <v>5.1667000000000005</v>
      </c>
      <c r="F45" s="2">
        <f t="shared" si="3"/>
        <v>5.25305</v>
      </c>
      <c r="G45" s="2"/>
      <c r="H45" s="2"/>
      <c r="I45" s="2">
        <f t="array" ref="I45">SUMPRODUCT(B29:B48, (ROW(B29:B48)-ROW(B29)+1)) / (20*21/2)</f>
        <v>5.1725523809523812</v>
      </c>
      <c r="J45" s="2">
        <f t="shared" si="4"/>
        <v>5.1805926920706638</v>
      </c>
      <c r="K45" s="2"/>
    </row>
    <row r="46" spans="1:11" ht="13.5" x14ac:dyDescent="0.25">
      <c r="A46" s="3">
        <f>TITRES_STAT!B49</f>
        <v>44984</v>
      </c>
      <c r="B46" s="5">
        <f>TITRES_STAT!D49</f>
        <v>5.1559999999999997</v>
      </c>
      <c r="C46" s="2">
        <f t="shared" si="0"/>
        <v>0</v>
      </c>
      <c r="D46" s="2">
        <f t="shared" si="1"/>
        <v>5.1591999999999993</v>
      </c>
      <c r="E46" s="2">
        <f t="shared" si="2"/>
        <v>5.1642000000000001</v>
      </c>
      <c r="F46" s="2">
        <f t="shared" si="3"/>
        <v>5.2394500000000006</v>
      </c>
      <c r="G46" s="2"/>
      <c r="H46" s="2"/>
      <c r="I46" s="2">
        <f t="array" ref="I46">SUMPRODUCT(B30:B49, (ROW(B30:B49)-ROW(B30)+1)) / (20*21/2)</f>
        <v>5.1657000000000002</v>
      </c>
      <c r="J46" s="2">
        <f t="shared" si="4"/>
        <v>5.1782505309210771</v>
      </c>
      <c r="K46" s="2"/>
    </row>
    <row r="47" spans="1:11" ht="13.5" x14ac:dyDescent="0.25">
      <c r="A47" s="3">
        <f>TITRES_STAT!B50</f>
        <v>44985</v>
      </c>
      <c r="B47" s="5">
        <f>TITRES_STAT!D50</f>
        <v>5.1470000000000002</v>
      </c>
      <c r="C47" s="2">
        <f t="shared" si="0"/>
        <v>-8.9999999999994529E-3</v>
      </c>
      <c r="D47" s="2">
        <f t="shared" si="1"/>
        <v>5.1557999999999993</v>
      </c>
      <c r="E47" s="2">
        <f t="shared" si="2"/>
        <v>5.1615999999999991</v>
      </c>
      <c r="F47" s="2">
        <f t="shared" si="3"/>
        <v>5.2254000000000014</v>
      </c>
      <c r="G47" s="2"/>
      <c r="H47" s="2"/>
      <c r="I47" s="2">
        <f t="array" ref="I47">SUMPRODUCT(B31:B50, (ROW(B31:B50)-ROW(B31)+1)) / (20*21/2)</f>
        <v>5.1593666666666671</v>
      </c>
      <c r="J47" s="2">
        <f t="shared" si="4"/>
        <v>5.1752742898809752</v>
      </c>
      <c r="K47" s="2"/>
    </row>
    <row r="48" spans="1:11" ht="13.5" x14ac:dyDescent="0.25">
      <c r="A48" s="3">
        <f>TITRES_STAT!B51</f>
        <v>44986</v>
      </c>
      <c r="B48" s="5">
        <f>TITRES_STAT!D51</f>
        <v>5.1390000000000002</v>
      </c>
      <c r="C48" s="2">
        <f t="shared" si="0"/>
        <v>-8.0000000000000071E-3</v>
      </c>
      <c r="D48" s="2">
        <f t="shared" si="1"/>
        <v>5.1508000000000003</v>
      </c>
      <c r="E48" s="2">
        <f t="shared" si="2"/>
        <v>5.1590999999999996</v>
      </c>
      <c r="F48" s="2">
        <f t="shared" si="3"/>
        <v>5.2109500000000013</v>
      </c>
      <c r="G48" s="2"/>
      <c r="H48" s="2"/>
      <c r="I48" s="2">
        <f t="array" ref="I48">SUMPRODUCT(B32:B51, (ROW(B32:B51)-ROW(B32)+1)) / (20*21/2)</f>
        <v>5.1510523809523807</v>
      </c>
      <c r="J48" s="2">
        <f t="shared" si="4"/>
        <v>5.1718195956065962</v>
      </c>
      <c r="K48" s="2"/>
    </row>
    <row r="49" spans="1:11" ht="13.5" x14ac:dyDescent="0.25">
      <c r="A49" s="3">
        <f>TITRES_STAT!B52</f>
        <v>44987</v>
      </c>
      <c r="B49" s="5">
        <f>TITRES_STAT!D52</f>
        <v>5.1390000000000002</v>
      </c>
      <c r="C49" s="2">
        <f t="shared" si="0"/>
        <v>0</v>
      </c>
      <c r="D49" s="2">
        <f t="shared" si="1"/>
        <v>5.1473999999999993</v>
      </c>
      <c r="E49" s="2">
        <f t="shared" si="2"/>
        <v>5.1548999999999996</v>
      </c>
      <c r="F49" s="2">
        <f t="shared" si="3"/>
        <v>5.1965000000000012</v>
      </c>
      <c r="G49" s="2"/>
      <c r="H49" s="2"/>
      <c r="I49" s="2">
        <f t="array" ref="I49">SUMPRODUCT(B33:B52, (ROW(B33:B52)-ROW(B33)+1)) / (20*21/2)</f>
        <v>5.1441142857142861</v>
      </c>
      <c r="J49" s="2">
        <f t="shared" si="4"/>
        <v>5.1686939198345394</v>
      </c>
      <c r="K49" s="2"/>
    </row>
    <row r="50" spans="1:11" ht="13.5" x14ac:dyDescent="0.25">
      <c r="A50" s="3">
        <f>TITRES_STAT!B53</f>
        <v>44988</v>
      </c>
      <c r="B50" s="5">
        <f>TITRES_STAT!D53</f>
        <v>5.13</v>
      </c>
      <c r="C50" s="2">
        <f t="shared" si="0"/>
        <v>-9.0000000000003411E-3</v>
      </c>
      <c r="D50" s="2">
        <f t="shared" si="1"/>
        <v>5.1421999999999999</v>
      </c>
      <c r="E50" s="2">
        <f t="shared" si="2"/>
        <v>5.1515000000000004</v>
      </c>
      <c r="F50" s="2">
        <f t="shared" si="3"/>
        <v>5.1833000000000009</v>
      </c>
      <c r="G50" s="2">
        <f t="shared" ref="G50:G113" si="5">AVERAGE(B1:B50)</f>
        <v>5.0779591836734692</v>
      </c>
      <c r="H50" s="2"/>
      <c r="I50" s="2">
        <f t="array" ref="I50">SUMPRODUCT(B34:B53, (ROW(B34:B53)-ROW(B34)+1)) / (20*21/2)</f>
        <v>5.1373857142857151</v>
      </c>
      <c r="J50" s="2">
        <f t="shared" si="4"/>
        <v>5.1650087846122021</v>
      </c>
      <c r="K50" s="2">
        <f>G50</f>
        <v>5.0779591836734692</v>
      </c>
    </row>
    <row r="51" spans="1:11" ht="13.5" x14ac:dyDescent="0.25">
      <c r="A51" s="3">
        <f>TITRES_STAT!B54</f>
        <v>44991</v>
      </c>
      <c r="B51" s="5">
        <f>TITRES_STAT!D54</f>
        <v>5.0960000000000001</v>
      </c>
      <c r="C51" s="2">
        <f t="shared" si="0"/>
        <v>-3.3999999999999808E-2</v>
      </c>
      <c r="D51" s="2">
        <f t="shared" si="1"/>
        <v>5.1302000000000003</v>
      </c>
      <c r="E51" s="2">
        <f t="shared" si="2"/>
        <v>5.1447000000000003</v>
      </c>
      <c r="F51" s="2">
        <f t="shared" si="3"/>
        <v>5.1688500000000008</v>
      </c>
      <c r="G51" s="2">
        <f t="shared" si="5"/>
        <v>5.0783199999999997</v>
      </c>
      <c r="H51" s="2"/>
      <c r="I51" s="2">
        <f t="array" ref="I51">SUMPRODUCT(B35:B54, (ROW(B35:B54)-ROW(B35)+1)) / (20*21/2)</f>
        <v>5.1521476190476205</v>
      </c>
      <c r="J51" s="2">
        <f t="shared" si="4"/>
        <v>5.1584365194110395</v>
      </c>
      <c r="K51" s="2">
        <f t="shared" ref="K51:K114" si="6">$K$4*B51+(1-$K$4)*K50</f>
        <v>5.0786666666666669</v>
      </c>
    </row>
    <row r="52" spans="1:11" ht="13.5" x14ac:dyDescent="0.25">
      <c r="A52" s="3">
        <f>TITRES_STAT!B55</f>
        <v>44992</v>
      </c>
      <c r="B52" s="5">
        <f>TITRES_STAT!D55</f>
        <v>5.0960000000000001</v>
      </c>
      <c r="C52" s="2">
        <f t="shared" si="0"/>
        <v>0</v>
      </c>
      <c r="D52" s="2">
        <f t="shared" si="1"/>
        <v>5.12</v>
      </c>
      <c r="E52" s="2">
        <f t="shared" si="2"/>
        <v>5.1379000000000001</v>
      </c>
      <c r="F52" s="2">
        <f t="shared" si="3"/>
        <v>5.1586500000000006</v>
      </c>
      <c r="G52" s="2">
        <f t="shared" si="5"/>
        <v>5.1802400000000004</v>
      </c>
      <c r="H52" s="2"/>
      <c r="I52" s="2">
        <f t="array" ref="I52">SUMPRODUCT(B36:B55, (ROW(B36:B55)-ROW(B36)+1)) / (20*21/2)</f>
        <v>5.1688428571428577</v>
      </c>
      <c r="J52" s="2">
        <f t="shared" si="4"/>
        <v>5.1524901842290358</v>
      </c>
      <c r="K52" s="2">
        <f t="shared" si="6"/>
        <v>5.0793464052287582</v>
      </c>
    </row>
    <row r="53" spans="1:11" ht="13.5" x14ac:dyDescent="0.25">
      <c r="A53" s="3">
        <f>TITRES_STAT!B56</f>
        <v>44993</v>
      </c>
      <c r="B53" s="5">
        <f>TITRES_STAT!D56</f>
        <v>5.0880000000000001</v>
      </c>
      <c r="C53" s="2">
        <f t="shared" si="0"/>
        <v>-8.0000000000000071E-3</v>
      </c>
      <c r="D53" s="2">
        <f t="shared" si="1"/>
        <v>5.1097999999999999</v>
      </c>
      <c r="E53" s="2">
        <f t="shared" si="2"/>
        <v>5.1303000000000001</v>
      </c>
      <c r="F53" s="2">
        <f t="shared" si="3"/>
        <v>5.1539999999999999</v>
      </c>
      <c r="G53" s="2">
        <f t="shared" si="5"/>
        <v>5.282</v>
      </c>
      <c r="H53" s="2"/>
      <c r="I53" s="2">
        <f t="array" ref="I53">SUMPRODUCT(B37:B56, (ROW(B37:B56)-ROW(B37)+1)) / (20*21/2)</f>
        <v>5.1841714285714291</v>
      </c>
      <c r="J53" s="2">
        <f t="shared" si="4"/>
        <v>5.1463482619215091</v>
      </c>
      <c r="K53" s="2">
        <f t="shared" si="6"/>
        <v>5.0796857618864539</v>
      </c>
    </row>
    <row r="54" spans="1:11" ht="13.5" x14ac:dyDescent="0.25">
      <c r="A54" s="3">
        <f>TITRES_STAT!B57</f>
        <v>44994</v>
      </c>
      <c r="B54" s="5">
        <f>TITRES_STAT!D57</f>
        <v>5.3090000000000002</v>
      </c>
      <c r="C54" s="2">
        <f t="shared" si="0"/>
        <v>0.22100000000000009</v>
      </c>
      <c r="D54" s="2">
        <f t="shared" si="1"/>
        <v>5.1438000000000006</v>
      </c>
      <c r="E54" s="2">
        <f t="shared" si="2"/>
        <v>5.1456</v>
      </c>
      <c r="F54" s="2">
        <f t="shared" si="3"/>
        <v>5.1586999999999996</v>
      </c>
      <c r="G54" s="2">
        <f t="shared" si="5"/>
        <v>5.2828600000000003</v>
      </c>
      <c r="H54" s="2"/>
      <c r="I54" s="2">
        <f t="array" ref="I54">SUMPRODUCT(B38:B57, (ROW(B38:B57)-ROW(B38)+1)) / (20*21/2)</f>
        <v>5.2044285714285721</v>
      </c>
      <c r="J54" s="2">
        <f t="shared" si="4"/>
        <v>5.1618389036432699</v>
      </c>
      <c r="K54" s="2">
        <f t="shared" si="6"/>
        <v>5.0886784771065932</v>
      </c>
    </row>
    <row r="55" spans="1:11" ht="13.5" x14ac:dyDescent="0.25">
      <c r="A55" s="3">
        <f>TITRES_STAT!B58</f>
        <v>44995</v>
      </c>
      <c r="B55" s="5">
        <f>TITRES_STAT!D58</f>
        <v>5.3339999999999996</v>
      </c>
      <c r="C55" s="2">
        <f t="shared" si="0"/>
        <v>2.4999999999999467E-2</v>
      </c>
      <c r="D55" s="2">
        <f t="shared" si="1"/>
        <v>5.1846000000000005</v>
      </c>
      <c r="E55" s="2">
        <f t="shared" si="2"/>
        <v>5.1634000000000002</v>
      </c>
      <c r="F55" s="2">
        <f t="shared" si="3"/>
        <v>5.165049999999999</v>
      </c>
      <c r="G55" s="2">
        <f t="shared" si="5"/>
        <v>5.2814999999999994</v>
      </c>
      <c r="H55" s="2"/>
      <c r="I55" s="2">
        <f t="array" ref="I55">SUMPRODUCT(B39:B58, (ROW(B39:B58)-ROW(B39)+1)) / (20*21/2)</f>
        <v>5.228533333333333</v>
      </c>
      <c r="J55" s="2">
        <f t="shared" si="4"/>
        <v>5.1782351985343871</v>
      </c>
      <c r="K55" s="2">
        <f t="shared" si="6"/>
        <v>5.0982989289847662</v>
      </c>
    </row>
    <row r="56" spans="1:11" ht="13.5" x14ac:dyDescent="0.25">
      <c r="A56" s="3">
        <f>TITRES_STAT!B59</f>
        <v>44998</v>
      </c>
      <c r="B56" s="5">
        <f>TITRES_STAT!D59</f>
        <v>5.3259999999999996</v>
      </c>
      <c r="C56" s="2">
        <f t="shared" si="0"/>
        <v>-8.0000000000000071E-3</v>
      </c>
      <c r="D56" s="2">
        <f t="shared" si="1"/>
        <v>5.2306000000000008</v>
      </c>
      <c r="E56" s="2">
        <f t="shared" si="2"/>
        <v>5.1803999999999997</v>
      </c>
      <c r="F56" s="2">
        <f t="shared" si="3"/>
        <v>5.1722999999999999</v>
      </c>
      <c r="G56" s="2">
        <f t="shared" si="5"/>
        <v>5.2806600000000001</v>
      </c>
      <c r="H56" s="2"/>
      <c r="I56" s="2">
        <f t="array" ref="I56">SUMPRODUCT(B40:B59, (ROW(B40:B59)-ROW(B40)+1)) / (20*21/2)</f>
        <v>5.2513428571428564</v>
      </c>
      <c r="J56" s="2">
        <f t="shared" si="4"/>
        <v>5.1923080367692069</v>
      </c>
      <c r="K56" s="2">
        <f t="shared" si="6"/>
        <v>5.10722838275007</v>
      </c>
    </row>
    <row r="57" spans="1:11" ht="13.5" x14ac:dyDescent="0.25">
      <c r="A57" s="3">
        <f>TITRES_STAT!B60</f>
        <v>44999</v>
      </c>
      <c r="B57" s="5">
        <f>TITRES_STAT!D60</f>
        <v>5.3849999999999998</v>
      </c>
      <c r="C57" s="2">
        <f t="shared" si="0"/>
        <v>5.9000000000000163E-2</v>
      </c>
      <c r="D57" s="2">
        <f t="shared" si="1"/>
        <v>5.2884000000000002</v>
      </c>
      <c r="E57" s="2">
        <f t="shared" si="2"/>
        <v>5.2042000000000002</v>
      </c>
      <c r="F57" s="2">
        <f t="shared" si="3"/>
        <v>5.1829000000000001</v>
      </c>
      <c r="G57" s="2">
        <f t="shared" si="5"/>
        <v>5.2804799999999998</v>
      </c>
      <c r="H57" s="2"/>
      <c r="I57" s="2">
        <f t="array" ref="I57">SUMPRODUCT(B41:B60, (ROW(B41:B60)-ROW(B41)+1)) / (20*21/2)</f>
        <v>5.2689380952380942</v>
      </c>
      <c r="J57" s="2">
        <f t="shared" si="4"/>
        <v>5.2106596523149964</v>
      </c>
      <c r="K57" s="2">
        <f t="shared" si="6"/>
        <v>5.118121387348106</v>
      </c>
    </row>
    <row r="58" spans="1:11" ht="13.5" x14ac:dyDescent="0.25">
      <c r="A58" s="3">
        <f>TITRES_STAT!B61</f>
        <v>45000</v>
      </c>
      <c r="B58" s="5">
        <f>TITRES_STAT!D61</f>
        <v>5.4359999999999999</v>
      </c>
      <c r="C58" s="2">
        <f t="shared" si="0"/>
        <v>5.1000000000000156E-2</v>
      </c>
      <c r="D58" s="2">
        <f t="shared" si="1"/>
        <v>5.3579999999999997</v>
      </c>
      <c r="E58" s="2">
        <f t="shared" si="2"/>
        <v>5.2339000000000002</v>
      </c>
      <c r="F58" s="2">
        <f t="shared" si="3"/>
        <v>5.1965000000000003</v>
      </c>
      <c r="G58" s="2">
        <f t="shared" si="5"/>
        <v>5.283879999999999</v>
      </c>
      <c r="H58" s="2"/>
      <c r="I58" s="2">
        <f t="array" ref="I58">SUMPRODUCT(B42:B61, (ROW(B42:B61)-ROW(B42)+1)) / (20*21/2)</f>
        <v>5.2854380952380939</v>
      </c>
      <c r="J58" s="2">
        <f t="shared" si="4"/>
        <v>5.2321206378088068</v>
      </c>
      <c r="K58" s="2">
        <f t="shared" si="6"/>
        <v>5.1305872152952396</v>
      </c>
    </row>
    <row r="59" spans="1:11" ht="13.5" x14ac:dyDescent="0.25">
      <c r="A59" s="3">
        <f>TITRES_STAT!B62</f>
        <v>45001</v>
      </c>
      <c r="B59" s="5">
        <f>TITRES_STAT!D62</f>
        <v>5.4359999999999999</v>
      </c>
      <c r="C59" s="2">
        <f t="shared" si="0"/>
        <v>0</v>
      </c>
      <c r="D59" s="2">
        <f t="shared" si="1"/>
        <v>5.3834</v>
      </c>
      <c r="E59" s="2">
        <f t="shared" si="2"/>
        <v>5.2635999999999994</v>
      </c>
      <c r="F59" s="2">
        <f t="shared" si="3"/>
        <v>5.2092499999999999</v>
      </c>
      <c r="G59" s="2">
        <f t="shared" si="5"/>
        <v>5.2855799999999986</v>
      </c>
      <c r="H59" s="2"/>
      <c r="I59" s="2">
        <f t="array" ref="I59">SUMPRODUCT(B43:B62, (ROW(B43:B62)-ROW(B43)+1)) / (20*21/2)</f>
        <v>5.2999857142857136</v>
      </c>
      <c r="J59" s="2">
        <f t="shared" si="4"/>
        <v>5.2515377199222542</v>
      </c>
      <c r="K59" s="2">
        <f t="shared" si="6"/>
        <v>5.1425641872444459</v>
      </c>
    </row>
    <row r="60" spans="1:11" ht="13.5" x14ac:dyDescent="0.25">
      <c r="A60" s="3">
        <f>TITRES_STAT!B63</f>
        <v>45002</v>
      </c>
      <c r="B60" s="5">
        <f>TITRES_STAT!D63</f>
        <v>5.3940000000000001</v>
      </c>
      <c r="C60" s="2">
        <f t="shared" si="0"/>
        <v>-4.1999999999999815E-2</v>
      </c>
      <c r="D60" s="2">
        <f t="shared" si="1"/>
        <v>5.3953999999999995</v>
      </c>
      <c r="E60" s="2">
        <f t="shared" si="2"/>
        <v>5.29</v>
      </c>
      <c r="F60" s="2">
        <f t="shared" si="3"/>
        <v>5.2207500000000007</v>
      </c>
      <c r="G60" s="2">
        <f t="shared" si="5"/>
        <v>5.2864399999999989</v>
      </c>
      <c r="H60" s="2"/>
      <c r="I60" s="2">
        <f t="array" ref="I60">SUMPRODUCT(B44:B63, (ROW(B44:B63)-ROW(B44)+1)) / (20*21/2)</f>
        <v>5.3134809523809521</v>
      </c>
      <c r="J60" s="2">
        <f t="shared" si="4"/>
        <v>5.2651055561201341</v>
      </c>
      <c r="K60" s="2">
        <f t="shared" si="6"/>
        <v>5.152424415195644</v>
      </c>
    </row>
    <row r="61" spans="1:11" ht="13.5" x14ac:dyDescent="0.25">
      <c r="A61" s="3">
        <f>TITRES_STAT!B64</f>
        <v>45006</v>
      </c>
      <c r="B61" s="5">
        <f>TITRES_STAT!D64</f>
        <v>5.3940000000000001</v>
      </c>
      <c r="C61" s="2">
        <f t="shared" si="0"/>
        <v>0</v>
      </c>
      <c r="D61" s="2">
        <f t="shared" si="1"/>
        <v>5.4089999999999989</v>
      </c>
      <c r="E61" s="2">
        <f t="shared" si="2"/>
        <v>5.3197999999999999</v>
      </c>
      <c r="F61" s="2">
        <f t="shared" si="3"/>
        <v>5.2322500000000023</v>
      </c>
      <c r="G61" s="2">
        <f t="shared" si="5"/>
        <v>5.2879800000000001</v>
      </c>
      <c r="H61" s="2"/>
      <c r="I61" s="2">
        <f t="array" ref="I61">SUMPRODUCT(B45:B64, (ROW(B45:B64)-ROW(B45)+1)) / (20*21/2)</f>
        <v>5.322685714285714</v>
      </c>
      <c r="J61" s="2">
        <f t="shared" si="4"/>
        <v>5.2773812174420254</v>
      </c>
      <c r="K61" s="2">
        <f t="shared" si="6"/>
        <v>5.1618979675409129</v>
      </c>
    </row>
    <row r="62" spans="1:11" ht="13.5" x14ac:dyDescent="0.25">
      <c r="A62" s="3">
        <f>TITRES_STAT!B65</f>
        <v>45007</v>
      </c>
      <c r="B62" s="5">
        <f>TITRES_STAT!D65</f>
        <v>5.3849999999999998</v>
      </c>
      <c r="C62" s="2">
        <f t="shared" si="0"/>
        <v>-9.0000000000003411E-3</v>
      </c>
      <c r="D62" s="2">
        <f t="shared" si="1"/>
        <v>5.4089999999999989</v>
      </c>
      <c r="E62" s="2">
        <f t="shared" si="2"/>
        <v>5.3486999999999991</v>
      </c>
      <c r="F62" s="2">
        <f t="shared" si="3"/>
        <v>5.2433000000000014</v>
      </c>
      <c r="G62" s="2">
        <f t="shared" si="5"/>
        <v>5.2903599999999997</v>
      </c>
      <c r="H62" s="2"/>
      <c r="I62" s="2">
        <f t="array" ref="I62">SUMPRODUCT(B46:B65, (ROW(B46:B65)-ROW(B46)+1)) / (20*21/2)</f>
        <v>5.3285809523809524</v>
      </c>
      <c r="J62" s="2">
        <f t="shared" si="4"/>
        <v>5.287630625304689</v>
      </c>
      <c r="K62" s="2">
        <f t="shared" si="6"/>
        <v>5.170647066853034</v>
      </c>
    </row>
    <row r="63" spans="1:11" ht="13.5" x14ac:dyDescent="0.25">
      <c r="A63" s="3">
        <f>TITRES_STAT!B66</f>
        <v>45008</v>
      </c>
      <c r="B63" s="5">
        <f>TITRES_STAT!D66</f>
        <v>5.3849999999999998</v>
      </c>
      <c r="C63" s="2">
        <f t="shared" si="0"/>
        <v>0</v>
      </c>
      <c r="D63" s="2">
        <f t="shared" si="1"/>
        <v>5.3987999999999996</v>
      </c>
      <c r="E63" s="2">
        <f t="shared" si="2"/>
        <v>5.3783999999999992</v>
      </c>
      <c r="F63" s="2">
        <f t="shared" si="3"/>
        <v>5.2543500000000005</v>
      </c>
      <c r="G63" s="2">
        <f t="shared" si="5"/>
        <v>5.291879999999999</v>
      </c>
      <c r="H63" s="2"/>
      <c r="I63" s="2">
        <f t="array" ref="I63">SUMPRODUCT(B47:B66, (ROW(B47:B66)-ROW(B47)+1)) / (20*21/2)</f>
        <v>5.3311904761904749</v>
      </c>
      <c r="J63" s="2">
        <f t="shared" si="4"/>
        <v>5.2969038990851942</v>
      </c>
      <c r="K63" s="2">
        <f t="shared" si="6"/>
        <v>5.1790530642313461</v>
      </c>
    </row>
    <row r="64" spans="1:11" ht="13.5" x14ac:dyDescent="0.25">
      <c r="A64" s="3">
        <f>TITRES_STAT!B67</f>
        <v>45009</v>
      </c>
      <c r="B64" s="5">
        <f>TITRES_STAT!D67</f>
        <v>5.351</v>
      </c>
      <c r="C64" s="2">
        <f t="shared" si="0"/>
        <v>-3.3999999999999808E-2</v>
      </c>
      <c r="D64" s="2">
        <f t="shared" si="1"/>
        <v>5.3818000000000001</v>
      </c>
      <c r="E64" s="2">
        <f t="shared" si="2"/>
        <v>5.3825999999999992</v>
      </c>
      <c r="F64" s="2">
        <f t="shared" si="3"/>
        <v>5.2641000000000009</v>
      </c>
      <c r="G64" s="2">
        <f t="shared" si="5"/>
        <v>5.2952799999999991</v>
      </c>
      <c r="H64" s="2"/>
      <c r="I64" s="2">
        <f t="array" ref="I64">SUMPRODUCT(B48:B67, (ROW(B48:B67)-ROW(B48)+1)) / (20*21/2)</f>
        <v>5.3314952380952381</v>
      </c>
      <c r="J64" s="2">
        <f t="shared" si="4"/>
        <v>5.3020559086961274</v>
      </c>
      <c r="K64" s="2">
        <f t="shared" si="6"/>
        <v>5.185796081320313</v>
      </c>
    </row>
    <row r="65" spans="1:11" ht="13.5" x14ac:dyDescent="0.25">
      <c r="A65" s="3">
        <f>TITRES_STAT!B68</f>
        <v>45012</v>
      </c>
      <c r="B65" s="5">
        <f>TITRES_STAT!D68</f>
        <v>5.3259999999999996</v>
      </c>
      <c r="C65" s="2">
        <f t="shared" si="0"/>
        <v>-2.5000000000000355E-2</v>
      </c>
      <c r="D65" s="2">
        <f t="shared" si="1"/>
        <v>5.3681999999999999</v>
      </c>
      <c r="E65" s="2">
        <f t="shared" si="2"/>
        <v>5.3817999999999993</v>
      </c>
      <c r="F65" s="2">
        <f t="shared" si="3"/>
        <v>5.2726000000000015</v>
      </c>
      <c r="G65" s="2">
        <f t="shared" si="5"/>
        <v>5.2934200000000002</v>
      </c>
      <c r="H65" s="2"/>
      <c r="I65" s="2">
        <f t="array" ref="I65">SUMPRODUCT(B49:B68, (ROW(B49:B68)-ROW(B49)+1)) / (20*21/2)</f>
        <v>5.3343904761904763</v>
      </c>
      <c r="J65" s="2">
        <f t="shared" si="4"/>
        <v>5.3043362983441149</v>
      </c>
      <c r="K65" s="2">
        <f t="shared" si="6"/>
        <v>5.1912942742097128</v>
      </c>
    </row>
    <row r="66" spans="1:11" ht="13.5" x14ac:dyDescent="0.25">
      <c r="A66" s="3">
        <f>TITRES_STAT!B69</f>
        <v>45013</v>
      </c>
      <c r="B66" s="5">
        <f>TITRES_STAT!D69</f>
        <v>5.3</v>
      </c>
      <c r="C66" s="2">
        <f t="shared" si="0"/>
        <v>-2.5999999999999801E-2</v>
      </c>
      <c r="D66" s="2">
        <f t="shared" si="1"/>
        <v>5.3494000000000002</v>
      </c>
      <c r="E66" s="2">
        <f t="shared" si="2"/>
        <v>5.3791999999999991</v>
      </c>
      <c r="F66" s="2">
        <f t="shared" si="3"/>
        <v>5.2797999999999998</v>
      </c>
      <c r="G66" s="2">
        <f t="shared" si="5"/>
        <v>5.2900199999999993</v>
      </c>
      <c r="H66" s="2"/>
      <c r="I66" s="2">
        <f t="array" ref="I66">SUMPRODUCT(B50:B69, (ROW(B50:B69)-ROW(B50)+1)) / (20*21/2)</f>
        <v>5.3396761904761911</v>
      </c>
      <c r="J66" s="2">
        <f t="shared" si="4"/>
        <v>5.3039233175494376</v>
      </c>
      <c r="K66" s="2">
        <f t="shared" si="6"/>
        <v>5.1955572438485476</v>
      </c>
    </row>
    <row r="67" spans="1:11" ht="13.5" x14ac:dyDescent="0.25">
      <c r="A67" s="3">
        <f>TITRES_STAT!B70</f>
        <v>45014</v>
      </c>
      <c r="B67" s="5">
        <f>TITRES_STAT!D70</f>
        <v>5.2830000000000004</v>
      </c>
      <c r="C67" s="2">
        <f t="shared" si="0"/>
        <v>-1.699999999999946E-2</v>
      </c>
      <c r="D67" s="2">
        <f t="shared" si="1"/>
        <v>5.3290000000000006</v>
      </c>
      <c r="E67" s="2">
        <f t="shared" si="2"/>
        <v>5.3689999999999989</v>
      </c>
      <c r="F67" s="2">
        <f t="shared" si="3"/>
        <v>5.2866000000000009</v>
      </c>
      <c r="G67" s="2">
        <f t="shared" si="5"/>
        <v>5.2869600000000005</v>
      </c>
      <c r="H67" s="2"/>
      <c r="I67" s="2">
        <f t="array" ref="I67">SUMPRODUCT(B51:B70, (ROW(B51:B70)-ROW(B51)+1)) / (20*21/2)</f>
        <v>5.3439523809523815</v>
      </c>
      <c r="J67" s="2">
        <f t="shared" si="4"/>
        <v>5.3019306206399666</v>
      </c>
      <c r="K67" s="2">
        <f t="shared" si="6"/>
        <v>5.1989863715407614</v>
      </c>
    </row>
    <row r="68" spans="1:11" ht="13.5" x14ac:dyDescent="0.25">
      <c r="A68" s="3">
        <f>TITRES_STAT!B71</f>
        <v>45015</v>
      </c>
      <c r="B68" s="5">
        <f>TITRES_STAT!D71</f>
        <v>5.3170000000000002</v>
      </c>
      <c r="C68" s="2">
        <f t="shared" ref="C68:C131" si="7">B68-B67</f>
        <v>3.3999999999999808E-2</v>
      </c>
      <c r="D68" s="2">
        <f t="shared" si="1"/>
        <v>5.3154000000000003</v>
      </c>
      <c r="E68" s="2">
        <f t="shared" si="2"/>
        <v>5.3571</v>
      </c>
      <c r="F68" s="2">
        <f t="shared" si="3"/>
        <v>5.2954999999999997</v>
      </c>
      <c r="G68" s="2">
        <f t="shared" si="5"/>
        <v>5.2840600000000002</v>
      </c>
      <c r="H68" s="2"/>
      <c r="I68" s="2">
        <f t="array" ref="I68">SUMPRODUCT(B52:B71, (ROW(B52:B71)-ROW(B52)+1)) / (20*21/2)</f>
        <v>5.3471761904761905</v>
      </c>
      <c r="J68" s="2">
        <f t="shared" si="4"/>
        <v>5.3033657996266363</v>
      </c>
      <c r="K68" s="2">
        <f t="shared" si="6"/>
        <v>5.2036143569705358</v>
      </c>
    </row>
    <row r="69" spans="1:11" ht="13.5" x14ac:dyDescent="0.25">
      <c r="A69" s="3">
        <f>TITRES_STAT!B72</f>
        <v>45016</v>
      </c>
      <c r="B69" s="5">
        <f>TITRES_STAT!D72</f>
        <v>5.351</v>
      </c>
      <c r="C69" s="2">
        <f t="shared" si="7"/>
        <v>3.3999999999999808E-2</v>
      </c>
      <c r="D69" s="2">
        <f t="shared" si="1"/>
        <v>5.3153999999999995</v>
      </c>
      <c r="E69" s="2">
        <f t="shared" si="2"/>
        <v>5.3485999999999994</v>
      </c>
      <c r="F69" s="2">
        <f t="shared" si="3"/>
        <v>5.3060999999999989</v>
      </c>
      <c r="G69" s="2">
        <f t="shared" si="5"/>
        <v>5.2818399999999999</v>
      </c>
      <c r="H69" s="2"/>
      <c r="I69" s="2">
        <f t="array" ref="I69">SUMPRODUCT(B53:B72, (ROW(B53:B72)-ROW(B53)+1)) / (20*21/2)</f>
        <v>5.3491857142857144</v>
      </c>
      <c r="J69" s="2">
        <f t="shared" si="4"/>
        <v>5.3079023901383859</v>
      </c>
      <c r="K69" s="2">
        <f t="shared" si="6"/>
        <v>5.2093941861089466</v>
      </c>
    </row>
    <row r="70" spans="1:11" ht="13.5" x14ac:dyDescent="0.25">
      <c r="A70" s="3">
        <f>TITRES_STAT!B73</f>
        <v>45019</v>
      </c>
      <c r="B70" s="5">
        <f>TITRES_STAT!D73</f>
        <v>5.351</v>
      </c>
      <c r="C70" s="2">
        <f t="shared" si="7"/>
        <v>0</v>
      </c>
      <c r="D70" s="2">
        <f t="shared" ref="D70:D133" si="8">AVERAGE(B66:B70)</f>
        <v>5.3204000000000002</v>
      </c>
      <c r="E70" s="2">
        <f t="shared" si="2"/>
        <v>5.3442999999999996</v>
      </c>
      <c r="F70" s="2">
        <f t="shared" si="3"/>
        <v>5.3171499999999998</v>
      </c>
      <c r="G70" s="2">
        <f t="shared" si="5"/>
        <v>5.2801400000000003</v>
      </c>
      <c r="H70" s="2"/>
      <c r="I70" s="2">
        <f t="array" ref="I70">SUMPRODUCT(B54:B73, (ROW(B54:B73)-ROW(B54)+1)) / (20*21/2)</f>
        <v>5.3540761904761895</v>
      </c>
      <c r="J70" s="2">
        <f t="shared" si="4"/>
        <v>5.3120069244109214</v>
      </c>
      <c r="K70" s="2">
        <f t="shared" si="6"/>
        <v>5.2149473552811445</v>
      </c>
    </row>
    <row r="71" spans="1:11" ht="13.5" x14ac:dyDescent="0.25">
      <c r="A71" s="3">
        <f>TITRES_STAT!B74</f>
        <v>45020</v>
      </c>
      <c r="B71" s="5">
        <f>TITRES_STAT!D74</f>
        <v>5.351</v>
      </c>
      <c r="C71" s="2">
        <f t="shared" si="7"/>
        <v>0</v>
      </c>
      <c r="D71" s="2">
        <f t="shared" si="8"/>
        <v>5.3305999999999996</v>
      </c>
      <c r="E71" s="2">
        <f t="shared" si="2"/>
        <v>5.34</v>
      </c>
      <c r="F71" s="2">
        <f t="shared" si="3"/>
        <v>5.3298999999999994</v>
      </c>
      <c r="G71" s="2">
        <f t="shared" si="5"/>
        <v>5.27928</v>
      </c>
      <c r="H71" s="2"/>
      <c r="I71" s="2">
        <f t="array" ref="I71">SUMPRODUCT(B55:B74, (ROW(B55:B74)-ROW(B55)+1)) / (20*21/2)</f>
        <v>5.3575095238095223</v>
      </c>
      <c r="J71" s="2">
        <f t="shared" si="4"/>
        <v>5.3157205506575007</v>
      </c>
      <c r="K71" s="2">
        <f t="shared" si="6"/>
        <v>5.2202827531132563</v>
      </c>
    </row>
    <row r="72" spans="1:11" ht="13.5" x14ac:dyDescent="0.25">
      <c r="A72" s="3">
        <f>TITRES_STAT!B75</f>
        <v>45021</v>
      </c>
      <c r="B72" s="5">
        <f>TITRES_STAT!D75</f>
        <v>5.351</v>
      </c>
      <c r="C72" s="2">
        <f t="shared" si="7"/>
        <v>0</v>
      </c>
      <c r="D72" s="2">
        <f t="shared" si="8"/>
        <v>5.344199999999999</v>
      </c>
      <c r="E72" s="2">
        <f t="shared" si="2"/>
        <v>5.3365999999999998</v>
      </c>
      <c r="F72" s="2">
        <f t="shared" si="3"/>
        <v>5.342649999999999</v>
      </c>
      <c r="G72" s="2">
        <f t="shared" si="5"/>
        <v>5.2779199999999999</v>
      </c>
      <c r="H72" s="2"/>
      <c r="I72" s="2">
        <f t="array" ref="I72">SUMPRODUCT(B56:B75, (ROW(B56:B75)-ROW(B56)+1)) / (20*21/2)</f>
        <v>5.3645380952380943</v>
      </c>
      <c r="J72" s="2">
        <f t="shared" si="4"/>
        <v>5.3190804982139301</v>
      </c>
      <c r="K72" s="2">
        <f t="shared" si="6"/>
        <v>5.2254089196578342</v>
      </c>
    </row>
    <row r="73" spans="1:11" ht="13.5" x14ac:dyDescent="0.25">
      <c r="A73" s="3">
        <f>TITRES_STAT!B76</f>
        <v>45022</v>
      </c>
      <c r="B73" s="5">
        <f>TITRES_STAT!D76</f>
        <v>5.3940000000000001</v>
      </c>
      <c r="C73" s="2">
        <f t="shared" si="7"/>
        <v>4.3000000000000149E-2</v>
      </c>
      <c r="D73" s="2">
        <f t="shared" si="8"/>
        <v>5.3596000000000004</v>
      </c>
      <c r="E73" s="2">
        <f t="shared" si="2"/>
        <v>5.3375000000000004</v>
      </c>
      <c r="F73" s="2">
        <f t="shared" si="3"/>
        <v>5.3579499999999998</v>
      </c>
      <c r="G73" s="2">
        <f t="shared" si="5"/>
        <v>5.2792800000000009</v>
      </c>
      <c r="H73" s="2"/>
      <c r="I73" s="2">
        <f t="array" ref="I73">SUMPRODUCT(B57:B76, (ROW(B57:B76)-ROW(B57)+1)) / (20*21/2)</f>
        <v>5.3784142857142854</v>
      </c>
      <c r="J73" s="2">
        <f t="shared" si="4"/>
        <v>5.3262156888602226</v>
      </c>
      <c r="K73" s="2">
        <f t="shared" si="6"/>
        <v>5.232020334573213</v>
      </c>
    </row>
    <row r="74" spans="1:11" ht="13.5" x14ac:dyDescent="0.25">
      <c r="A74" s="3">
        <f>TITRES_STAT!B77</f>
        <v>45023</v>
      </c>
      <c r="B74" s="5">
        <f>TITRES_STAT!D77</f>
        <v>5.3940000000000001</v>
      </c>
      <c r="C74" s="2">
        <f t="shared" si="7"/>
        <v>0</v>
      </c>
      <c r="D74" s="2">
        <f t="shared" si="8"/>
        <v>5.3681999999999999</v>
      </c>
      <c r="E74" s="2">
        <f t="shared" si="2"/>
        <v>5.3417999999999992</v>
      </c>
      <c r="F74" s="2">
        <f t="shared" si="3"/>
        <v>5.3621999999999996</v>
      </c>
      <c r="G74" s="2">
        <f t="shared" si="5"/>
        <v>5.2801400000000003</v>
      </c>
      <c r="H74" s="2"/>
      <c r="I74" s="2">
        <f t="array" ref="I74">SUMPRODUCT(B58:B77, (ROW(B58:B77)-ROW(B58)+1)) / (20*21/2)</f>
        <v>5.3897809523809519</v>
      </c>
      <c r="J74" s="2">
        <f t="shared" si="4"/>
        <v>5.3326713375402006</v>
      </c>
      <c r="K74" s="2">
        <f t="shared" si="6"/>
        <v>5.2383724783154397</v>
      </c>
    </row>
    <row r="75" spans="1:11" ht="13.5" x14ac:dyDescent="0.25">
      <c r="A75" s="3">
        <f>TITRES_STAT!B78</f>
        <v>45026</v>
      </c>
      <c r="B75" s="5">
        <f>TITRES_STAT!D78</f>
        <v>5.4359999999999999</v>
      </c>
      <c r="C75" s="2">
        <f t="shared" si="7"/>
        <v>4.1999999999999815E-2</v>
      </c>
      <c r="D75" s="2">
        <f t="shared" si="8"/>
        <v>5.3852000000000002</v>
      </c>
      <c r="E75" s="2">
        <f t="shared" si="2"/>
        <v>5.3528000000000002</v>
      </c>
      <c r="F75" s="2">
        <f t="shared" si="3"/>
        <v>5.3673000000000002</v>
      </c>
      <c r="G75" s="2">
        <f t="shared" si="5"/>
        <v>5.2808200000000003</v>
      </c>
      <c r="H75" s="2"/>
      <c r="I75" s="2">
        <f t="array" ref="I75">SUMPRODUCT(B59:B78, (ROW(B59:B78)-ROW(B59)+1)) / (20*21/2)</f>
        <v>5.4006190476190481</v>
      </c>
      <c r="J75" s="2">
        <f t="shared" si="4"/>
        <v>5.3425121625363721</v>
      </c>
      <c r="K75" s="2">
        <f t="shared" si="6"/>
        <v>5.2461225772050302</v>
      </c>
    </row>
    <row r="76" spans="1:11" ht="13.5" x14ac:dyDescent="0.25">
      <c r="A76" s="3">
        <f>TITRES_STAT!B79</f>
        <v>45027</v>
      </c>
      <c r="B76" s="5">
        <f>TITRES_STAT!D79</f>
        <v>5.5129999999999999</v>
      </c>
      <c r="C76" s="2">
        <f t="shared" si="7"/>
        <v>7.6999999999999957E-2</v>
      </c>
      <c r="D76" s="2">
        <f t="shared" si="8"/>
        <v>5.4176000000000002</v>
      </c>
      <c r="E76" s="2">
        <f t="shared" ref="E76:E139" si="9">AVERAGE(B67:B76)</f>
        <v>5.3740999999999994</v>
      </c>
      <c r="F76" s="2">
        <f t="shared" si="3"/>
        <v>5.3766500000000006</v>
      </c>
      <c r="G76" s="2">
        <f t="shared" si="5"/>
        <v>5.2825199999999999</v>
      </c>
      <c r="H76" s="2"/>
      <c r="I76" s="2">
        <f t="array" ref="I76">SUMPRODUCT(B60:B79, (ROW(B60:B79)-ROW(B60)+1)) / (20*21/2)</f>
        <v>5.4086952380952384</v>
      </c>
      <c r="J76" s="2">
        <f t="shared" si="4"/>
        <v>5.3587490994376701</v>
      </c>
      <c r="K76" s="2">
        <f t="shared" si="6"/>
        <v>5.2565883584911077</v>
      </c>
    </row>
    <row r="77" spans="1:11" ht="13.5" x14ac:dyDescent="0.25">
      <c r="A77" s="3">
        <f>TITRES_STAT!B80</f>
        <v>45028</v>
      </c>
      <c r="B77" s="5">
        <f>TITRES_STAT!D80</f>
        <v>5.4960000000000004</v>
      </c>
      <c r="C77" s="2">
        <f t="shared" si="7"/>
        <v>-1.699999999999946E-2</v>
      </c>
      <c r="D77" s="2">
        <f t="shared" si="8"/>
        <v>5.446600000000001</v>
      </c>
      <c r="E77" s="2">
        <f t="shared" si="9"/>
        <v>5.3953999999999995</v>
      </c>
      <c r="F77" s="2">
        <f t="shared" si="3"/>
        <v>5.3821999999999992</v>
      </c>
      <c r="G77" s="2">
        <f t="shared" si="5"/>
        <v>5.283879999999999</v>
      </c>
      <c r="H77" s="2"/>
      <c r="I77" s="2">
        <f t="array" ref="I77">SUMPRODUCT(B61:B80, (ROW(B61:B80)-ROW(B61)+1)) / (20*21/2)</f>
        <v>5.416609523809524</v>
      </c>
      <c r="J77" s="2">
        <f t="shared" si="4"/>
        <v>5.3718206137769391</v>
      </c>
      <c r="K77" s="2">
        <f t="shared" si="6"/>
        <v>5.2659770503149863</v>
      </c>
    </row>
    <row r="78" spans="1:11" ht="13.5" x14ac:dyDescent="0.25">
      <c r="A78" s="3">
        <f>TITRES_STAT!B81</f>
        <v>45029</v>
      </c>
      <c r="B78" s="5">
        <f>TITRES_STAT!D81</f>
        <v>5.4960000000000004</v>
      </c>
      <c r="C78" s="2">
        <f t="shared" si="7"/>
        <v>0</v>
      </c>
      <c r="D78" s="2">
        <f t="shared" si="8"/>
        <v>5.4670000000000005</v>
      </c>
      <c r="E78" s="2">
        <f t="shared" si="9"/>
        <v>5.4133000000000004</v>
      </c>
      <c r="F78" s="2">
        <f t="shared" si="3"/>
        <v>5.3852000000000002</v>
      </c>
      <c r="G78" s="2">
        <f t="shared" si="5"/>
        <v>5.2852399999999999</v>
      </c>
      <c r="H78" s="2"/>
      <c r="I78" s="2">
        <f t="array" ref="I78">SUMPRODUCT(B62:B81, (ROW(B62:B81)-ROW(B62)+1)) / (20*21/2)</f>
        <v>5.4241619047619052</v>
      </c>
      <c r="J78" s="2">
        <f t="shared" si="4"/>
        <v>5.3836472219886593</v>
      </c>
      <c r="K78" s="2">
        <f t="shared" si="6"/>
        <v>5.2749975581457713</v>
      </c>
    </row>
    <row r="79" spans="1:11" ht="13.5" x14ac:dyDescent="0.25">
      <c r="A79" s="3">
        <f>TITRES_STAT!B82</f>
        <v>45030</v>
      </c>
      <c r="B79" s="5">
        <f>TITRES_STAT!D82</f>
        <v>5.47</v>
      </c>
      <c r="C79" s="2">
        <f t="shared" si="7"/>
        <v>-2.6000000000000689E-2</v>
      </c>
      <c r="D79" s="2">
        <f t="shared" si="8"/>
        <v>5.4822000000000006</v>
      </c>
      <c r="E79" s="2">
        <f t="shared" si="9"/>
        <v>5.4252000000000002</v>
      </c>
      <c r="F79" s="2">
        <f t="shared" si="3"/>
        <v>5.3868999999999998</v>
      </c>
      <c r="G79" s="2">
        <f t="shared" si="5"/>
        <v>5.2860800000000019</v>
      </c>
      <c r="H79" s="2"/>
      <c r="I79" s="2">
        <f t="array" ref="I79">SUMPRODUCT(B63:B82, (ROW(B63:B82)-ROW(B63)+1)) / (20*21/2)</f>
        <v>5.431352380952382</v>
      </c>
      <c r="J79" s="2">
        <f t="shared" si="4"/>
        <v>5.3918712960849779</v>
      </c>
      <c r="K79" s="2">
        <f t="shared" si="6"/>
        <v>5.2826447127282909</v>
      </c>
    </row>
    <row r="80" spans="1:11" ht="13.5" x14ac:dyDescent="0.25">
      <c r="A80" s="3">
        <f>TITRES_STAT!B83</f>
        <v>45033</v>
      </c>
      <c r="B80" s="5">
        <f>TITRES_STAT!D83</f>
        <v>5.47</v>
      </c>
      <c r="C80" s="2">
        <f t="shared" si="7"/>
        <v>0</v>
      </c>
      <c r="D80" s="2">
        <f t="shared" si="8"/>
        <v>5.4889999999999999</v>
      </c>
      <c r="E80" s="2">
        <f t="shared" si="9"/>
        <v>5.4371</v>
      </c>
      <c r="F80" s="2">
        <f t="shared" si="3"/>
        <v>5.3906999999999998</v>
      </c>
      <c r="G80" s="2">
        <f t="shared" si="5"/>
        <v>5.2876000000000012</v>
      </c>
      <c r="H80" s="2"/>
      <c r="I80" s="2">
        <f t="array" ref="I80">SUMPRODUCT(B64:B83, (ROW(B64:B83)-ROW(B64)+1)) / (20*21/2)</f>
        <v>5.4381380952380951</v>
      </c>
      <c r="J80" s="2">
        <f t="shared" si="4"/>
        <v>5.3993121250292662</v>
      </c>
      <c r="K80" s="2">
        <f t="shared" si="6"/>
        <v>5.2899919788958094</v>
      </c>
    </row>
    <row r="81" spans="1:11" ht="13.5" x14ac:dyDescent="0.25">
      <c r="A81" s="3">
        <f>TITRES_STAT!B84</f>
        <v>45034</v>
      </c>
      <c r="B81" s="5">
        <f>TITRES_STAT!D84</f>
        <v>5.47</v>
      </c>
      <c r="C81" s="2">
        <f t="shared" si="7"/>
        <v>0</v>
      </c>
      <c r="D81" s="2">
        <f t="shared" si="8"/>
        <v>5.4803999999999995</v>
      </c>
      <c r="E81" s="2">
        <f t="shared" si="9"/>
        <v>5.4489999999999998</v>
      </c>
      <c r="F81" s="2">
        <f t="shared" si="3"/>
        <v>5.394499999999999</v>
      </c>
      <c r="G81" s="2">
        <f t="shared" si="5"/>
        <v>5.2893000000000017</v>
      </c>
      <c r="H81" s="2"/>
      <c r="I81" s="2">
        <f t="array" ref="I81">SUMPRODUCT(B65:B84, (ROW(B65:B84)-ROW(B65)+1)) / (20*21/2)</f>
        <v>5.4437571428571419</v>
      </c>
      <c r="J81" s="2">
        <f t="shared" si="4"/>
        <v>5.4060443035979073</v>
      </c>
      <c r="K81" s="2">
        <f t="shared" si="6"/>
        <v>5.2970511169783272</v>
      </c>
    </row>
    <row r="82" spans="1:11" ht="13.5" x14ac:dyDescent="0.25">
      <c r="A82" s="3">
        <f>TITRES_STAT!B85</f>
        <v>45035</v>
      </c>
      <c r="B82" s="5">
        <f>TITRES_STAT!D85</f>
        <v>5.47</v>
      </c>
      <c r="C82" s="2">
        <f t="shared" si="7"/>
        <v>0</v>
      </c>
      <c r="D82" s="2">
        <f t="shared" si="8"/>
        <v>5.4751999999999992</v>
      </c>
      <c r="E82" s="2">
        <f t="shared" si="9"/>
        <v>5.4609000000000005</v>
      </c>
      <c r="F82" s="2">
        <f t="shared" si="3"/>
        <v>5.3987499999999997</v>
      </c>
      <c r="G82" s="2">
        <f t="shared" si="5"/>
        <v>5.2927000000000017</v>
      </c>
      <c r="H82" s="2"/>
      <c r="I82" s="2">
        <f t="array" ref="I82">SUMPRODUCT(B66:B85, (ROW(B66:B85)-ROW(B66)+1)) / (20*21/2)</f>
        <v>5.4488476190476192</v>
      </c>
      <c r="J82" s="2">
        <f t="shared" si="4"/>
        <v>5.412135322302869</v>
      </c>
      <c r="K82" s="2">
        <f t="shared" si="6"/>
        <v>5.3038334261164328</v>
      </c>
    </row>
    <row r="83" spans="1:11" ht="13.5" x14ac:dyDescent="0.25">
      <c r="A83" s="3">
        <f>TITRES_STAT!B86</f>
        <v>45036</v>
      </c>
      <c r="B83" s="5">
        <f>TITRES_STAT!D86</f>
        <v>5.47</v>
      </c>
      <c r="C83" s="2">
        <f t="shared" si="7"/>
        <v>0</v>
      </c>
      <c r="D83" s="2">
        <f t="shared" si="8"/>
        <v>5.47</v>
      </c>
      <c r="E83" s="2">
        <f t="shared" si="9"/>
        <v>5.4684999999999997</v>
      </c>
      <c r="F83" s="2">
        <f t="shared" si="3"/>
        <v>5.4029999999999996</v>
      </c>
      <c r="G83" s="2">
        <f t="shared" si="5"/>
        <v>5.2984800000000014</v>
      </c>
      <c r="H83" s="2"/>
      <c r="I83" s="2">
        <f t="array" ref="I83">SUMPRODUCT(B67:B86, (ROW(B67:B86)-ROW(B67)+1)) / (20*21/2)</f>
        <v>5.4524333333333335</v>
      </c>
      <c r="J83" s="2">
        <f t="shared" si="4"/>
        <v>5.41764624398831</v>
      </c>
      <c r="K83" s="2">
        <f t="shared" si="6"/>
        <v>5.3103497623471618</v>
      </c>
    </row>
    <row r="84" spans="1:11" ht="13.5" x14ac:dyDescent="0.25">
      <c r="A84" s="3">
        <f>TITRES_STAT!B87</f>
        <v>45040</v>
      </c>
      <c r="B84" s="5">
        <f>TITRES_STAT!D87</f>
        <v>5.4619999999999997</v>
      </c>
      <c r="C84" s="2">
        <f t="shared" si="7"/>
        <v>-8.0000000000000071E-3</v>
      </c>
      <c r="D84" s="2">
        <f t="shared" si="8"/>
        <v>5.4683999999999999</v>
      </c>
      <c r="E84" s="2">
        <f t="shared" si="9"/>
        <v>5.4752999999999998</v>
      </c>
      <c r="F84" s="2">
        <f t="shared" ref="F84:F147" si="10">AVERAGE(B65:B84)</f>
        <v>5.4085499999999991</v>
      </c>
      <c r="G84" s="2">
        <f t="shared" si="5"/>
        <v>5.3034200000000009</v>
      </c>
      <c r="H84" s="2"/>
      <c r="I84" s="2">
        <f t="array" ref="I84">SUMPRODUCT(B68:B87, (ROW(B68:B87)-ROW(B68)+1)) / (20*21/2)</f>
        <v>5.455290476190477</v>
      </c>
      <c r="J84" s="2">
        <f t="shared" si="4"/>
        <v>5.421870411227518</v>
      </c>
      <c r="K84" s="2">
        <f t="shared" si="6"/>
        <v>5.316296830490411</v>
      </c>
    </row>
    <row r="85" spans="1:11" ht="13.5" x14ac:dyDescent="0.25">
      <c r="A85" s="3">
        <f>TITRES_STAT!B88</f>
        <v>45041</v>
      </c>
      <c r="B85" s="5">
        <f>TITRES_STAT!D88</f>
        <v>5.4619999999999997</v>
      </c>
      <c r="C85" s="2">
        <f t="shared" si="7"/>
        <v>0</v>
      </c>
      <c r="D85" s="2">
        <f t="shared" si="8"/>
        <v>5.4668000000000001</v>
      </c>
      <c r="E85" s="2">
        <f t="shared" si="9"/>
        <v>5.4779</v>
      </c>
      <c r="F85" s="2">
        <f t="shared" si="10"/>
        <v>5.4153499999999992</v>
      </c>
      <c r="G85" s="2">
        <f t="shared" si="5"/>
        <v>5.3085199999999997</v>
      </c>
      <c r="H85" s="2"/>
      <c r="I85" s="2">
        <f t="array" ref="I85">SUMPRODUCT(B69:B88, (ROW(B69:B88)-ROW(B69)+1)) / (20*21/2)</f>
        <v>5.4557190476190476</v>
      </c>
      <c r="J85" s="2">
        <f t="shared" ref="J85:J148" si="11">$J$4*B85+J84*(1-$J$4)</f>
        <v>5.425692276824897</v>
      </c>
      <c r="K85" s="2">
        <f t="shared" si="6"/>
        <v>5.3220106802751008</v>
      </c>
    </row>
    <row r="86" spans="1:11" ht="13.5" x14ac:dyDescent="0.25">
      <c r="A86" s="3">
        <f>TITRES_STAT!B89</f>
        <v>45042</v>
      </c>
      <c r="B86" s="5">
        <f>TITRES_STAT!D89</f>
        <v>5.4530000000000003</v>
      </c>
      <c r="C86" s="2">
        <f t="shared" si="7"/>
        <v>-8.9999999999994529E-3</v>
      </c>
      <c r="D86" s="2">
        <f t="shared" si="8"/>
        <v>5.4634</v>
      </c>
      <c r="E86" s="2">
        <f t="shared" si="9"/>
        <v>5.4719000000000007</v>
      </c>
      <c r="F86" s="2">
        <f t="shared" si="10"/>
        <v>5.423</v>
      </c>
      <c r="G86" s="2">
        <f t="shared" si="5"/>
        <v>5.3139599999999998</v>
      </c>
      <c r="H86" s="2"/>
      <c r="I86" s="2">
        <f t="array" ref="I86">SUMPRODUCT(B70:B89, (ROW(B70:B89)-ROW(B70)+1)) / (20*21/2)</f>
        <v>5.4555809523809513</v>
      </c>
      <c r="J86" s="2">
        <f t="shared" si="11"/>
        <v>5.4282930123653825</v>
      </c>
      <c r="K86" s="2">
        <f t="shared" si="6"/>
        <v>5.3271475163427446</v>
      </c>
    </row>
    <row r="87" spans="1:11" ht="13.5" x14ac:dyDescent="0.25">
      <c r="A87" s="3">
        <f>TITRES_STAT!B90</f>
        <v>45043</v>
      </c>
      <c r="B87" s="5">
        <f>TITRES_STAT!D90</f>
        <v>5.4530000000000003</v>
      </c>
      <c r="C87" s="2">
        <f t="shared" si="7"/>
        <v>0</v>
      </c>
      <c r="D87" s="2">
        <f t="shared" si="8"/>
        <v>5.4599999999999991</v>
      </c>
      <c r="E87" s="2">
        <f t="shared" si="9"/>
        <v>5.4676</v>
      </c>
      <c r="F87" s="2">
        <f t="shared" si="10"/>
        <v>5.4315000000000007</v>
      </c>
      <c r="G87" s="2">
        <f t="shared" si="5"/>
        <v>5.3195599999999992</v>
      </c>
      <c r="H87" s="2"/>
      <c r="I87" s="2">
        <f t="array" ref="I87">SUMPRODUCT(B71:B90, (ROW(B71:B90)-ROW(B71)+1)) / (20*21/2)</f>
        <v>5.4534190476190467</v>
      </c>
      <c r="J87" s="2">
        <f t="shared" si="11"/>
        <v>5.430646058806774</v>
      </c>
      <c r="K87" s="2">
        <f t="shared" si="6"/>
        <v>5.332082907858716</v>
      </c>
    </row>
    <row r="88" spans="1:11" ht="13.5" x14ac:dyDescent="0.25">
      <c r="A88" s="3">
        <f>TITRES_STAT!B91</f>
        <v>45044</v>
      </c>
      <c r="B88" s="5">
        <f>TITRES_STAT!D91</f>
        <v>5.4359999999999999</v>
      </c>
      <c r="C88" s="2">
        <f t="shared" si="7"/>
        <v>-1.7000000000000348E-2</v>
      </c>
      <c r="D88" s="2">
        <f t="shared" si="8"/>
        <v>5.4531999999999998</v>
      </c>
      <c r="E88" s="2">
        <f t="shared" si="9"/>
        <v>5.4616000000000007</v>
      </c>
      <c r="F88" s="2">
        <f t="shared" si="10"/>
        <v>5.437450000000001</v>
      </c>
      <c r="G88" s="2">
        <f t="shared" si="5"/>
        <v>5.3250000000000002</v>
      </c>
      <c r="H88" s="2"/>
      <c r="I88" s="2">
        <f t="array" ref="I88">SUMPRODUCT(B72:B91, (ROW(B72:B91)-ROW(B72)+1)) / (20*21/2)</f>
        <v>5.4606476190476183</v>
      </c>
      <c r="J88" s="2">
        <f t="shared" si="11"/>
        <v>5.4311559579680333</v>
      </c>
      <c r="K88" s="2">
        <f t="shared" si="6"/>
        <v>5.3361580879426889</v>
      </c>
    </row>
    <row r="89" spans="1:11" ht="13.5" x14ac:dyDescent="0.25">
      <c r="A89" s="3">
        <f>TITRES_STAT!B92</f>
        <v>45048</v>
      </c>
      <c r="B89" s="5">
        <f>TITRES_STAT!D92</f>
        <v>5.4359999999999999</v>
      </c>
      <c r="C89" s="2">
        <f t="shared" si="7"/>
        <v>0</v>
      </c>
      <c r="D89" s="2">
        <f t="shared" si="8"/>
        <v>5.4479999999999995</v>
      </c>
      <c r="E89" s="2">
        <f t="shared" si="9"/>
        <v>5.4582000000000006</v>
      </c>
      <c r="F89" s="2">
        <f t="shared" si="10"/>
        <v>5.4417000000000018</v>
      </c>
      <c r="G89" s="2">
        <f t="shared" si="5"/>
        <v>5.3300999999999998</v>
      </c>
      <c r="H89" s="2"/>
      <c r="I89" s="2">
        <f t="array" ref="I89">SUMPRODUCT(B73:B92, (ROW(B73:B92)-ROW(B73)+1)) / (20*21/2)</f>
        <v>5.4670666666666667</v>
      </c>
      <c r="J89" s="2">
        <f t="shared" si="11"/>
        <v>5.4316172953044113</v>
      </c>
      <c r="K89" s="2">
        <f t="shared" si="6"/>
        <v>5.3400734570429762</v>
      </c>
    </row>
    <row r="90" spans="1:11" ht="13.5" x14ac:dyDescent="0.25">
      <c r="A90" s="3">
        <f>TITRES_STAT!B93</f>
        <v>45049</v>
      </c>
      <c r="B90" s="5">
        <f>TITRES_STAT!D93</f>
        <v>5.4189999999999996</v>
      </c>
      <c r="C90" s="2">
        <f t="shared" si="7"/>
        <v>-1.7000000000000348E-2</v>
      </c>
      <c r="D90" s="2">
        <f t="shared" si="8"/>
        <v>5.4394</v>
      </c>
      <c r="E90" s="2">
        <f t="shared" si="9"/>
        <v>5.4531000000000001</v>
      </c>
      <c r="F90" s="2">
        <f t="shared" si="10"/>
        <v>5.4451000000000018</v>
      </c>
      <c r="G90" s="2">
        <f t="shared" si="5"/>
        <v>5.3352000000000013</v>
      </c>
      <c r="H90" s="2"/>
      <c r="I90" s="2">
        <f t="array" ref="I90">SUMPRODUCT(B74:B93, (ROW(B74:B93)-ROW(B74)+1)) / (20*21/2)</f>
        <v>5.4726761904761902</v>
      </c>
      <c r="J90" s="2">
        <f t="shared" si="11"/>
        <v>5.4304156481325618</v>
      </c>
      <c r="K90" s="2">
        <f t="shared" si="6"/>
        <v>5.3431686155903106</v>
      </c>
    </row>
    <row r="91" spans="1:11" ht="13.5" x14ac:dyDescent="0.25">
      <c r="A91" s="3">
        <f>TITRES_STAT!B94</f>
        <v>45050</v>
      </c>
      <c r="B91" s="5">
        <f>TITRES_STAT!D94</f>
        <v>5.5209999999999999</v>
      </c>
      <c r="C91" s="2">
        <f t="shared" si="7"/>
        <v>0.10200000000000031</v>
      </c>
      <c r="D91" s="2">
        <f t="shared" si="8"/>
        <v>5.4530000000000003</v>
      </c>
      <c r="E91" s="2">
        <f t="shared" si="9"/>
        <v>5.4581999999999997</v>
      </c>
      <c r="F91" s="2">
        <f t="shared" si="10"/>
        <v>5.4536000000000016</v>
      </c>
      <c r="G91" s="2">
        <f t="shared" si="5"/>
        <v>5.3423400000000019</v>
      </c>
      <c r="H91" s="2"/>
      <c r="I91" s="2">
        <f t="array" ref="I91">SUMPRODUCT(B75:B94, (ROW(B75:B94)-ROW(B75)+1)) / (20*21/2)</f>
        <v>5.4776809523809531</v>
      </c>
      <c r="J91" s="2">
        <f t="shared" si="11"/>
        <v>5.4390427292627939</v>
      </c>
      <c r="K91" s="2">
        <f t="shared" si="6"/>
        <v>5.3501423953710834</v>
      </c>
    </row>
    <row r="92" spans="1:11" ht="13.5" x14ac:dyDescent="0.25">
      <c r="A92" s="3">
        <f>TITRES_STAT!B95</f>
        <v>45051</v>
      </c>
      <c r="B92" s="5">
        <f>TITRES_STAT!D95</f>
        <v>5.5209999999999999</v>
      </c>
      <c r="C92" s="2">
        <f t="shared" si="7"/>
        <v>0</v>
      </c>
      <c r="D92" s="2">
        <f t="shared" si="8"/>
        <v>5.4666000000000006</v>
      </c>
      <c r="E92" s="2">
        <f t="shared" si="9"/>
        <v>5.4632999999999994</v>
      </c>
      <c r="F92" s="2">
        <f t="shared" si="10"/>
        <v>5.4621000000000004</v>
      </c>
      <c r="G92" s="2">
        <f t="shared" si="5"/>
        <v>5.3494800000000025</v>
      </c>
      <c r="H92" s="2"/>
      <c r="I92" s="2">
        <f t="array" ref="I92">SUMPRODUCT(B76:B95, (ROW(B76:B95)-ROW(B76)+1)) / (20*21/2)</f>
        <v>5.4845571428571436</v>
      </c>
      <c r="J92" s="2">
        <f t="shared" si="11"/>
        <v>5.4468481836187177</v>
      </c>
      <c r="K92" s="2">
        <f t="shared" si="6"/>
        <v>5.3568426935918252</v>
      </c>
    </row>
    <row r="93" spans="1:11" ht="13.5" x14ac:dyDescent="0.25">
      <c r="A93" s="3">
        <f>TITRES_STAT!B96</f>
        <v>45054</v>
      </c>
      <c r="B93" s="5">
        <f>TITRES_STAT!D96</f>
        <v>5.5209999999999999</v>
      </c>
      <c r="C93" s="2">
        <f t="shared" si="7"/>
        <v>0</v>
      </c>
      <c r="D93" s="2">
        <f t="shared" si="8"/>
        <v>5.4836000000000009</v>
      </c>
      <c r="E93" s="2">
        <f t="shared" si="9"/>
        <v>5.4683999999999999</v>
      </c>
      <c r="F93" s="2">
        <f t="shared" si="10"/>
        <v>5.4684499999999998</v>
      </c>
      <c r="G93" s="2">
        <f t="shared" si="5"/>
        <v>5.3566200000000013</v>
      </c>
      <c r="H93" s="2"/>
      <c r="I93" s="2">
        <f t="array" ref="I93">SUMPRODUCT(B77:B96, (ROW(B77:B96)-ROW(B77)+1)) / (20*21/2)</f>
        <v>5.4916666666666654</v>
      </c>
      <c r="J93" s="2">
        <f t="shared" si="11"/>
        <v>5.453910261369316</v>
      </c>
      <c r="K93" s="2">
        <f t="shared" si="6"/>
        <v>5.3632802350195972</v>
      </c>
    </row>
    <row r="94" spans="1:11" ht="13.5" x14ac:dyDescent="0.25">
      <c r="A94" s="3">
        <f>TITRES_STAT!B97</f>
        <v>45055</v>
      </c>
      <c r="B94" s="5">
        <f>TITRES_STAT!D97</f>
        <v>5.5209999999999999</v>
      </c>
      <c r="C94" s="2">
        <f t="shared" si="7"/>
        <v>0</v>
      </c>
      <c r="D94" s="2">
        <f t="shared" si="8"/>
        <v>5.5006000000000004</v>
      </c>
      <c r="E94" s="2">
        <f t="shared" si="9"/>
        <v>5.4743000000000004</v>
      </c>
      <c r="F94" s="2">
        <f t="shared" si="10"/>
        <v>5.474800000000001</v>
      </c>
      <c r="G94" s="2">
        <f t="shared" si="5"/>
        <v>5.363920000000002</v>
      </c>
      <c r="H94" s="2"/>
      <c r="I94" s="2">
        <f t="array" ref="I94">SUMPRODUCT(B78:B97, (ROW(B78:B97)-ROW(B78)+1)) / (20*21/2)</f>
        <v>5.4994333333333341</v>
      </c>
      <c r="J94" s="2">
        <f t="shared" si="11"/>
        <v>5.4602997602865235</v>
      </c>
      <c r="K94" s="2">
        <f t="shared" si="6"/>
        <v>5.3694653238423582</v>
      </c>
    </row>
    <row r="95" spans="1:11" ht="13.5" x14ac:dyDescent="0.25">
      <c r="A95" s="3">
        <f>TITRES_STAT!B98</f>
        <v>45056</v>
      </c>
      <c r="B95" s="5">
        <f>TITRES_STAT!D98</f>
        <v>5.5469999999999997</v>
      </c>
      <c r="C95" s="2">
        <f t="shared" si="7"/>
        <v>2.5999999999999801E-2</v>
      </c>
      <c r="D95" s="2">
        <f t="shared" si="8"/>
        <v>5.5262000000000002</v>
      </c>
      <c r="E95" s="2">
        <f t="shared" si="9"/>
        <v>5.4827999999999992</v>
      </c>
      <c r="F95" s="2">
        <f t="shared" si="10"/>
        <v>5.4803500000000005</v>
      </c>
      <c r="G95" s="2">
        <f t="shared" si="5"/>
        <v>5.3717400000000017</v>
      </c>
      <c r="H95" s="2"/>
      <c r="I95" s="2">
        <f t="array" ref="I95">SUMPRODUCT(B79:B98, (ROW(B79:B98)-ROW(B79)+1)) / (20*21/2)</f>
        <v>5.5068761904761896</v>
      </c>
      <c r="J95" s="2">
        <f t="shared" si="11"/>
        <v>5.4685569259735214</v>
      </c>
      <c r="K95" s="2">
        <f t="shared" si="6"/>
        <v>5.3764274680054029</v>
      </c>
    </row>
    <row r="96" spans="1:11" ht="13.5" x14ac:dyDescent="0.25">
      <c r="A96" s="3">
        <f>TITRES_STAT!B99</f>
        <v>45057</v>
      </c>
      <c r="B96" s="5">
        <f>TITRES_STAT!D99</f>
        <v>5.5549999999999997</v>
      </c>
      <c r="C96" s="2">
        <f t="shared" si="7"/>
        <v>8.0000000000000071E-3</v>
      </c>
      <c r="D96" s="2">
        <f t="shared" si="8"/>
        <v>5.5329999999999995</v>
      </c>
      <c r="E96" s="2">
        <f t="shared" si="9"/>
        <v>5.4930000000000003</v>
      </c>
      <c r="F96" s="2">
        <f t="shared" si="10"/>
        <v>5.48245</v>
      </c>
      <c r="G96" s="2">
        <f t="shared" si="5"/>
        <v>5.3797200000000007</v>
      </c>
      <c r="H96" s="2"/>
      <c r="I96" s="2">
        <f t="array" ref="I96">SUMPRODUCT(B80:B99, (ROW(B80:B99)-ROW(B80)+1)) / (20*21/2)</f>
        <v>5.5163761904761905</v>
      </c>
      <c r="J96" s="2">
        <f t="shared" si="11"/>
        <v>5.4767895996903286</v>
      </c>
      <c r="K96" s="2">
        <f t="shared" si="6"/>
        <v>5.3834303123973477</v>
      </c>
    </row>
    <row r="97" spans="1:11" ht="13.5" x14ac:dyDescent="0.25">
      <c r="A97" s="3">
        <f>TITRES_STAT!B100</f>
        <v>45058</v>
      </c>
      <c r="B97" s="5">
        <f>TITRES_STAT!D100</f>
        <v>5.5640000000000001</v>
      </c>
      <c r="C97" s="2">
        <f t="shared" si="7"/>
        <v>9.0000000000003411E-3</v>
      </c>
      <c r="D97" s="2">
        <f t="shared" si="8"/>
        <v>5.5415999999999999</v>
      </c>
      <c r="E97" s="2">
        <f t="shared" si="9"/>
        <v>5.5040999999999993</v>
      </c>
      <c r="F97" s="2">
        <f t="shared" si="10"/>
        <v>5.4858499999999992</v>
      </c>
      <c r="G97" s="2">
        <f t="shared" si="5"/>
        <v>5.3880600000000003</v>
      </c>
      <c r="H97" s="2"/>
      <c r="I97" s="2">
        <f t="array" ref="I97">SUMPRODUCT(B81:B100, (ROW(B81:B100)-ROW(B81)+1)) / (20*21/2)</f>
        <v>5.5261666666666676</v>
      </c>
      <c r="J97" s="2">
        <f t="shared" si="11"/>
        <v>5.4850953521007737</v>
      </c>
      <c r="K97" s="2">
        <f t="shared" si="6"/>
        <v>5.3905114766170596</v>
      </c>
    </row>
    <row r="98" spans="1:11" ht="13.5" x14ac:dyDescent="0.25">
      <c r="A98" s="3">
        <f>TITRES_STAT!B101</f>
        <v>45061</v>
      </c>
      <c r="B98" s="5">
        <f>TITRES_STAT!D101</f>
        <v>5.5640000000000001</v>
      </c>
      <c r="C98" s="2">
        <f t="shared" si="7"/>
        <v>0</v>
      </c>
      <c r="D98" s="2">
        <f t="shared" si="8"/>
        <v>5.5501999999999994</v>
      </c>
      <c r="E98" s="2">
        <f t="shared" si="9"/>
        <v>5.5168999999999997</v>
      </c>
      <c r="F98" s="2">
        <f t="shared" si="10"/>
        <v>5.4892500000000002</v>
      </c>
      <c r="G98" s="2">
        <f t="shared" si="5"/>
        <v>5.3965600000000009</v>
      </c>
      <c r="H98" s="2"/>
      <c r="I98" s="2">
        <f t="array" ref="I98">SUMPRODUCT(B82:B101, (ROW(B82:B101)-ROW(B82)+1)) / (20*21/2)</f>
        <v>5.5344904761904763</v>
      </c>
      <c r="J98" s="2">
        <f t="shared" si="11"/>
        <v>5.4926100804721285</v>
      </c>
      <c r="K98" s="2">
        <f t="shared" si="6"/>
        <v>5.3973149481222729</v>
      </c>
    </row>
    <row r="99" spans="1:11" ht="13.5" x14ac:dyDescent="0.25">
      <c r="A99" s="3">
        <f>TITRES_STAT!B102</f>
        <v>45062</v>
      </c>
      <c r="B99" s="5">
        <f>TITRES_STAT!D102</f>
        <v>5.5890000000000004</v>
      </c>
      <c r="C99" s="2">
        <f t="shared" si="7"/>
        <v>2.5000000000000355E-2</v>
      </c>
      <c r="D99" s="2">
        <f t="shared" si="8"/>
        <v>5.5638000000000005</v>
      </c>
      <c r="E99" s="2">
        <f t="shared" si="9"/>
        <v>5.5321999999999996</v>
      </c>
      <c r="F99" s="2">
        <f t="shared" si="10"/>
        <v>5.4951999999999996</v>
      </c>
      <c r="G99" s="2">
        <f t="shared" si="5"/>
        <v>5.4055600000000004</v>
      </c>
      <c r="H99" s="2"/>
      <c r="I99" s="2">
        <f t="array" ref="I99">SUMPRODUCT(B83:B102, (ROW(B83:B102)-ROW(B83)+1)) / (20*21/2)</f>
        <v>5.5414857142857139</v>
      </c>
      <c r="J99" s="2">
        <f t="shared" si="11"/>
        <v>5.5017900728081157</v>
      </c>
      <c r="K99" s="2">
        <f t="shared" si="6"/>
        <v>5.4048320089802226</v>
      </c>
    </row>
    <row r="100" spans="1:11" ht="13.5" x14ac:dyDescent="0.25">
      <c r="A100" s="3">
        <f>TITRES_STAT!B103</f>
        <v>45063</v>
      </c>
      <c r="B100" s="5">
        <f>TITRES_STAT!D103</f>
        <v>5.5979999999999999</v>
      </c>
      <c r="C100" s="2">
        <f t="shared" si="7"/>
        <v>8.9999999999994529E-3</v>
      </c>
      <c r="D100" s="2">
        <f t="shared" si="8"/>
        <v>5.5739999999999998</v>
      </c>
      <c r="E100" s="2">
        <f t="shared" si="9"/>
        <v>5.5500999999999996</v>
      </c>
      <c r="F100" s="2">
        <f t="shared" si="10"/>
        <v>5.501599999999998</v>
      </c>
      <c r="G100" s="2">
        <f t="shared" si="5"/>
        <v>5.4149199999999995</v>
      </c>
      <c r="H100" s="2"/>
      <c r="I100" s="2">
        <f t="array" ref="I100">SUMPRODUCT(B84:B103, (ROW(B84:B103)-ROW(B84)+1)) / (20*21/2)</f>
        <v>5.5503333333333345</v>
      </c>
      <c r="J100" s="2">
        <f t="shared" si="11"/>
        <v>5.5109529230168661</v>
      </c>
      <c r="K100" s="2">
        <f t="shared" si="6"/>
        <v>5.4124072243143315</v>
      </c>
    </row>
    <row r="101" spans="1:11" ht="13.5" x14ac:dyDescent="0.25">
      <c r="A101" s="3">
        <f>TITRES_STAT!B104</f>
        <v>45064</v>
      </c>
      <c r="B101" s="5">
        <f>TITRES_STAT!D104</f>
        <v>5.5890000000000004</v>
      </c>
      <c r="C101" s="2">
        <f t="shared" si="7"/>
        <v>-8.9999999999994529E-3</v>
      </c>
      <c r="D101" s="2">
        <f t="shared" si="8"/>
        <v>5.5807999999999991</v>
      </c>
      <c r="E101" s="2">
        <f t="shared" si="9"/>
        <v>5.5568999999999997</v>
      </c>
      <c r="F101" s="2">
        <f t="shared" si="10"/>
        <v>5.5075499999999984</v>
      </c>
      <c r="G101" s="2">
        <f t="shared" si="5"/>
        <v>5.4247799999999993</v>
      </c>
      <c r="H101" s="2"/>
      <c r="I101" s="2">
        <f t="array" ref="I101">SUMPRODUCT(B85:B104, (ROW(B85:B104)-ROW(B85)+1)) / (20*21/2)</f>
        <v>5.5585333333333331</v>
      </c>
      <c r="J101" s="2">
        <f t="shared" si="11"/>
        <v>5.5183859779676405</v>
      </c>
      <c r="K101" s="2">
        <f t="shared" si="6"/>
        <v>5.4193324312039657</v>
      </c>
    </row>
    <row r="102" spans="1:11" ht="13.5" x14ac:dyDescent="0.25">
      <c r="A102" s="3">
        <f>TITRES_STAT!B105</f>
        <v>45065</v>
      </c>
      <c r="B102" s="5">
        <f>TITRES_STAT!D105</f>
        <v>5.5810000000000004</v>
      </c>
      <c r="C102" s="2">
        <f t="shared" si="7"/>
        <v>-8.0000000000000071E-3</v>
      </c>
      <c r="D102" s="2">
        <f t="shared" si="8"/>
        <v>5.5842000000000009</v>
      </c>
      <c r="E102" s="2">
        <f t="shared" si="9"/>
        <v>5.5629</v>
      </c>
      <c r="F102" s="2">
        <f t="shared" si="10"/>
        <v>5.5130999999999988</v>
      </c>
      <c r="G102" s="2">
        <f t="shared" si="5"/>
        <v>5.4344799999999998</v>
      </c>
      <c r="H102" s="2"/>
      <c r="I102" s="2">
        <f t="array" ref="I102">SUMPRODUCT(B86:B105, (ROW(B86:B105)-ROW(B86)+1)) / (20*21/2)</f>
        <v>5.570904761904762</v>
      </c>
      <c r="J102" s="2">
        <f t="shared" si="11"/>
        <v>5.5243492181611984</v>
      </c>
      <c r="K102" s="2">
        <f t="shared" si="6"/>
        <v>5.4256723358626333</v>
      </c>
    </row>
    <row r="103" spans="1:11" ht="13.5" x14ac:dyDescent="0.25">
      <c r="A103" s="3">
        <f>TITRES_STAT!B106</f>
        <v>45068</v>
      </c>
      <c r="B103" s="5">
        <f>TITRES_STAT!D106</f>
        <v>5.6059999999999999</v>
      </c>
      <c r="C103" s="2">
        <f t="shared" si="7"/>
        <v>2.4999999999999467E-2</v>
      </c>
      <c r="D103" s="2">
        <f t="shared" si="8"/>
        <v>5.5926</v>
      </c>
      <c r="E103" s="2">
        <f t="shared" si="9"/>
        <v>5.5713999999999997</v>
      </c>
      <c r="F103" s="2">
        <f t="shared" si="10"/>
        <v>5.519899999999998</v>
      </c>
      <c r="G103" s="2">
        <f t="shared" si="5"/>
        <v>5.4448400000000001</v>
      </c>
      <c r="H103" s="2"/>
      <c r="I103" s="2">
        <f t="array" ref="I103">SUMPRODUCT(B87:B106, (ROW(B87:B106)-ROW(B87)+1)) / (20*21/2)</f>
        <v>5.5831095238095241</v>
      </c>
      <c r="J103" s="2">
        <f t="shared" si="11"/>
        <v>5.5321254830982269</v>
      </c>
      <c r="K103" s="2">
        <f t="shared" si="6"/>
        <v>5.4327440089660595</v>
      </c>
    </row>
    <row r="104" spans="1:11" ht="13.5" x14ac:dyDescent="0.25">
      <c r="A104" s="3">
        <f>TITRES_STAT!B107</f>
        <v>45069</v>
      </c>
      <c r="B104" s="5">
        <f>TITRES_STAT!D107</f>
        <v>5.6059999999999999</v>
      </c>
      <c r="C104" s="2">
        <f t="shared" si="7"/>
        <v>0</v>
      </c>
      <c r="D104" s="2">
        <f t="shared" si="8"/>
        <v>5.596000000000001</v>
      </c>
      <c r="E104" s="2">
        <f t="shared" si="9"/>
        <v>5.5799000000000003</v>
      </c>
      <c r="F104" s="2">
        <f t="shared" si="10"/>
        <v>5.527099999999999</v>
      </c>
      <c r="G104" s="2">
        <f t="shared" si="5"/>
        <v>5.4507799999999982</v>
      </c>
      <c r="H104" s="2"/>
      <c r="I104" s="2">
        <f t="array" ref="I104">SUMPRODUCT(B88:B107, (ROW(B88:B107)-ROW(B88)+1)) / (20*21/2)</f>
        <v>5.5926857142857154</v>
      </c>
      <c r="J104" s="2">
        <f t="shared" si="11"/>
        <v>5.5391611513745866</v>
      </c>
      <c r="K104" s="2">
        <f t="shared" si="6"/>
        <v>5.4395383615556252</v>
      </c>
    </row>
    <row r="105" spans="1:11" ht="13.5" x14ac:dyDescent="0.25">
      <c r="A105" s="3">
        <f>TITRES_STAT!B108</f>
        <v>45070</v>
      </c>
      <c r="B105" s="5">
        <f>TITRES_STAT!D108</f>
        <v>5.657</v>
      </c>
      <c r="C105" s="2">
        <f t="shared" si="7"/>
        <v>5.1000000000000156E-2</v>
      </c>
      <c r="D105" s="2">
        <f t="shared" si="8"/>
        <v>5.607800000000001</v>
      </c>
      <c r="E105" s="2">
        <f t="shared" si="9"/>
        <v>5.5909000000000004</v>
      </c>
      <c r="F105" s="2">
        <f t="shared" si="10"/>
        <v>5.5368499999999994</v>
      </c>
      <c r="G105" s="2">
        <f t="shared" si="5"/>
        <v>5.4572399999999979</v>
      </c>
      <c r="H105" s="2"/>
      <c r="I105" s="2">
        <f t="array" ref="I105">SUMPRODUCT(B89:B108, (ROW(B89:B108)-ROW(B89)+1)) / (20*21/2)</f>
        <v>5.6223809523809516</v>
      </c>
      <c r="J105" s="2">
        <f t="shared" si="11"/>
        <v>5.5503838988627212</v>
      </c>
      <c r="K105" s="2">
        <f t="shared" si="6"/>
        <v>5.4480662689456016</v>
      </c>
    </row>
    <row r="106" spans="1:11" ht="13.5" x14ac:dyDescent="0.25">
      <c r="A106" s="3">
        <f>TITRES_STAT!B109</f>
        <v>45071</v>
      </c>
      <c r="B106" s="5">
        <f>TITRES_STAT!D109</f>
        <v>5.665</v>
      </c>
      <c r="C106" s="2">
        <f t="shared" si="7"/>
        <v>8.0000000000000071E-3</v>
      </c>
      <c r="D106" s="2">
        <f t="shared" si="8"/>
        <v>5.6229999999999993</v>
      </c>
      <c r="E106" s="2">
        <f t="shared" si="9"/>
        <v>5.6018999999999997</v>
      </c>
      <c r="F106" s="2">
        <f t="shared" si="10"/>
        <v>5.5474499999999995</v>
      </c>
      <c r="G106" s="2">
        <f t="shared" si="5"/>
        <v>5.4640199999999997</v>
      </c>
      <c r="H106" s="2"/>
      <c r="I106" s="2">
        <f t="array" ref="I106">SUMPRODUCT(B90:B109, (ROW(B90:B109)-ROW(B90)+1)) / (20*21/2)</f>
        <v>5.6460142857142861</v>
      </c>
      <c r="J106" s="2">
        <f t="shared" si="11"/>
        <v>5.5612997180186525</v>
      </c>
      <c r="K106" s="2">
        <f t="shared" si="6"/>
        <v>5.4565734740849905</v>
      </c>
    </row>
    <row r="107" spans="1:11" ht="13.5" x14ac:dyDescent="0.25">
      <c r="A107" s="3">
        <f>TITRES_STAT!B110</f>
        <v>45072</v>
      </c>
      <c r="B107" s="5">
        <f>TITRES_STAT!D110</f>
        <v>5.6479999999999997</v>
      </c>
      <c r="C107" s="2">
        <f t="shared" si="7"/>
        <v>-1.7000000000000348E-2</v>
      </c>
      <c r="D107" s="2">
        <f t="shared" si="8"/>
        <v>5.6364000000000001</v>
      </c>
      <c r="E107" s="2">
        <f t="shared" si="9"/>
        <v>5.6103000000000005</v>
      </c>
      <c r="F107" s="2">
        <f t="shared" si="10"/>
        <v>5.5571999999999999</v>
      </c>
      <c r="G107" s="2">
        <f t="shared" si="5"/>
        <v>5.4692799999999986</v>
      </c>
      <c r="H107" s="2"/>
      <c r="I107" s="2">
        <f t="array" ref="I107">SUMPRODUCT(B91:B110, (ROW(B91:B110)-ROW(B91)+1)) / (20*21/2)</f>
        <v>5.6788333333333325</v>
      </c>
      <c r="J107" s="2">
        <f t="shared" si="11"/>
        <v>5.5695568877311619</v>
      </c>
      <c r="K107" s="2">
        <f t="shared" si="6"/>
        <v>5.4640803966698925</v>
      </c>
    </row>
    <row r="108" spans="1:11" ht="13.5" x14ac:dyDescent="0.25">
      <c r="A108" s="3">
        <f>TITRES_STAT!B111</f>
        <v>45075</v>
      </c>
      <c r="B108" s="5">
        <f>TITRES_STAT!D111</f>
        <v>5.8689999999999998</v>
      </c>
      <c r="C108" s="2">
        <f t="shared" si="7"/>
        <v>0.22100000000000009</v>
      </c>
      <c r="D108" s="2">
        <f t="shared" si="8"/>
        <v>5.6890000000000001</v>
      </c>
      <c r="E108" s="2">
        <f t="shared" si="9"/>
        <v>5.6408000000000005</v>
      </c>
      <c r="F108" s="2">
        <f t="shared" si="10"/>
        <v>5.5788499999999992</v>
      </c>
      <c r="G108" s="2">
        <f t="shared" si="5"/>
        <v>5.4779399999999985</v>
      </c>
      <c r="H108" s="2"/>
      <c r="I108" s="2">
        <f t="array" ref="I108">SUMPRODUCT(B92:B111, (ROW(B92:B111)-ROW(B92)+1)) / (20*21/2)</f>
        <v>5.700680952380953</v>
      </c>
      <c r="J108" s="2">
        <f t="shared" si="11"/>
        <v>5.5980752793758128</v>
      </c>
      <c r="K108" s="2">
        <f t="shared" si="6"/>
        <v>5.4799595968004846</v>
      </c>
    </row>
    <row r="109" spans="1:11" ht="13.5" x14ac:dyDescent="0.25">
      <c r="A109" s="3">
        <f>TITRES_STAT!B112</f>
        <v>45076</v>
      </c>
      <c r="B109" s="5">
        <f>TITRES_STAT!D112</f>
        <v>5.827</v>
      </c>
      <c r="C109" s="2">
        <f t="shared" si="7"/>
        <v>-4.1999999999999815E-2</v>
      </c>
      <c r="D109" s="2">
        <f t="shared" si="8"/>
        <v>5.7331999999999992</v>
      </c>
      <c r="E109" s="2">
        <f t="shared" si="9"/>
        <v>5.6646000000000001</v>
      </c>
      <c r="F109" s="2">
        <f t="shared" si="10"/>
        <v>5.5983999999999998</v>
      </c>
      <c r="G109" s="2">
        <f t="shared" si="5"/>
        <v>5.48576</v>
      </c>
      <c r="H109" s="2"/>
      <c r="I109" s="2">
        <f t="array" ref="I109">SUMPRODUCT(B93:B112, (ROW(B93:B112)-ROW(B93)+1)) / (20*21/2)</f>
        <v>5.7277047619047607</v>
      </c>
      <c r="J109" s="2">
        <f t="shared" si="11"/>
        <v>5.6198776337209733</v>
      </c>
      <c r="K109" s="2">
        <f t="shared" si="6"/>
        <v>5.4935690243769359</v>
      </c>
    </row>
    <row r="110" spans="1:11" ht="13.5" x14ac:dyDescent="0.25">
      <c r="A110" s="3">
        <f>TITRES_STAT!B113</f>
        <v>45077</v>
      </c>
      <c r="B110" s="5">
        <f>TITRES_STAT!D113</f>
        <v>5.9429999999999996</v>
      </c>
      <c r="C110" s="2">
        <f t="shared" si="7"/>
        <v>0.11599999999999966</v>
      </c>
      <c r="D110" s="2">
        <f t="shared" si="8"/>
        <v>5.7904</v>
      </c>
      <c r="E110" s="2">
        <f t="shared" si="9"/>
        <v>5.6990999999999996</v>
      </c>
      <c r="F110" s="2">
        <f t="shared" si="10"/>
        <v>5.6245999999999992</v>
      </c>
      <c r="G110" s="2">
        <f t="shared" si="5"/>
        <v>5.4967399999999973</v>
      </c>
      <c r="H110" s="2"/>
      <c r="I110" s="2">
        <f t="array" ref="I110">SUMPRODUCT(B94:B113, (ROW(B94:B113)-ROW(B94)+1)) / (20*21/2)</f>
        <v>5.7503285714285717</v>
      </c>
      <c r="J110" s="2">
        <f t="shared" si="11"/>
        <v>5.6506511924142142</v>
      </c>
      <c r="K110" s="2">
        <f t="shared" si="6"/>
        <v>5.5111937685190169</v>
      </c>
    </row>
    <row r="111" spans="1:11" ht="13.5" x14ac:dyDescent="0.25">
      <c r="A111" s="3">
        <f>TITRES_STAT!B114</f>
        <v>45078</v>
      </c>
      <c r="B111" s="5">
        <f>TITRES_STAT!D114</f>
        <v>5.8540000000000001</v>
      </c>
      <c r="C111" s="2">
        <f t="shared" si="7"/>
        <v>-8.8999999999999524E-2</v>
      </c>
      <c r="D111" s="2">
        <f t="shared" si="8"/>
        <v>5.8281999999999998</v>
      </c>
      <c r="E111" s="2">
        <f t="shared" si="9"/>
        <v>5.7255999999999991</v>
      </c>
      <c r="F111" s="2">
        <f t="shared" si="10"/>
        <v>5.6412499999999994</v>
      </c>
      <c r="G111" s="2">
        <f t="shared" si="5"/>
        <v>5.5059399999999981</v>
      </c>
      <c r="H111" s="2"/>
      <c r="I111" s="2">
        <f t="array" ref="I111">SUMPRODUCT(B95:B114, (ROW(B95:B114)-ROW(B95)+1)) / (20*21/2)</f>
        <v>5.777914285714286</v>
      </c>
      <c r="J111" s="2">
        <f t="shared" si="11"/>
        <v>5.6700177455176224</v>
      </c>
      <c r="K111" s="2">
        <f t="shared" si="6"/>
        <v>5.5246371501457228</v>
      </c>
    </row>
    <row r="112" spans="1:11" ht="13.5" x14ac:dyDescent="0.25">
      <c r="A112" s="3">
        <f>TITRES_STAT!B115</f>
        <v>45079</v>
      </c>
      <c r="B112" s="5">
        <f>TITRES_STAT!D115</f>
        <v>5.9249999999999998</v>
      </c>
      <c r="C112" s="2">
        <f t="shared" si="7"/>
        <v>7.099999999999973E-2</v>
      </c>
      <c r="D112" s="2">
        <f t="shared" si="8"/>
        <v>5.8835999999999995</v>
      </c>
      <c r="E112" s="2">
        <f t="shared" si="9"/>
        <v>5.76</v>
      </c>
      <c r="F112" s="2">
        <f t="shared" si="10"/>
        <v>5.6614499999999994</v>
      </c>
      <c r="G112" s="2">
        <f t="shared" si="5"/>
        <v>5.5167399999999986</v>
      </c>
      <c r="H112" s="2"/>
      <c r="I112" s="2">
        <f t="array" ref="I112">SUMPRODUCT(B96:B115, (ROW(B96:B115)-ROW(B96)+1)) / (20*21/2)</f>
        <v>5.8025047619047623</v>
      </c>
      <c r="J112" s="2">
        <f t="shared" si="11"/>
        <v>5.6943017697540395</v>
      </c>
      <c r="K112" s="2">
        <f t="shared" si="6"/>
        <v>5.5403376540615774</v>
      </c>
    </row>
    <row r="113" spans="1:11" ht="13.5" x14ac:dyDescent="0.25">
      <c r="A113" s="3">
        <f>TITRES_STAT!B116</f>
        <v>45082</v>
      </c>
      <c r="B113" s="5">
        <f>TITRES_STAT!D116</f>
        <v>5.899</v>
      </c>
      <c r="C113" s="2">
        <f t="shared" si="7"/>
        <v>-2.5999999999999801E-2</v>
      </c>
      <c r="D113" s="2">
        <f t="shared" si="8"/>
        <v>5.8895999999999997</v>
      </c>
      <c r="E113" s="2">
        <f t="shared" si="9"/>
        <v>5.789299999999999</v>
      </c>
      <c r="F113" s="2">
        <f t="shared" si="10"/>
        <v>5.6803499999999998</v>
      </c>
      <c r="G113" s="2">
        <f t="shared" si="5"/>
        <v>5.5270199999999985</v>
      </c>
      <c r="H113" s="2"/>
      <c r="I113" s="2">
        <f t="array" ref="I113">SUMPRODUCT(B97:B116, (ROW(B97:B116)-ROW(B97)+1)) / (20*21/2)</f>
        <v>5.8242666666666656</v>
      </c>
      <c r="J113" s="2">
        <f t="shared" si="11"/>
        <v>5.7137968393012741</v>
      </c>
      <c r="K113" s="2">
        <f t="shared" si="6"/>
        <v>5.5544028440983784</v>
      </c>
    </row>
    <row r="114" spans="1:11" ht="13.5" x14ac:dyDescent="0.25">
      <c r="A114" s="3">
        <f>TITRES_STAT!B117</f>
        <v>45083</v>
      </c>
      <c r="B114" s="5">
        <f>TITRES_STAT!D117</f>
        <v>5.97</v>
      </c>
      <c r="C114" s="2">
        <f t="shared" si="7"/>
        <v>7.099999999999973E-2</v>
      </c>
      <c r="D114" s="2">
        <f t="shared" si="8"/>
        <v>5.9182000000000006</v>
      </c>
      <c r="E114" s="2">
        <f t="shared" si="9"/>
        <v>5.8256999999999994</v>
      </c>
      <c r="F114" s="2">
        <f t="shared" si="10"/>
        <v>5.7027999999999999</v>
      </c>
      <c r="G114" s="2">
        <f t="shared" ref="G114:G177" si="12">AVERAGE(B65:B114)</f>
        <v>5.5393999999999997</v>
      </c>
      <c r="H114" s="2"/>
      <c r="I114" s="2">
        <f t="array" ref="I114">SUMPRODUCT(B98:B117, (ROW(B98:B117)-ROW(B98)+1)) / (20*21/2)</f>
        <v>5.8441380952380957</v>
      </c>
      <c r="J114" s="2">
        <f t="shared" si="11"/>
        <v>5.7381971403202003</v>
      </c>
      <c r="K114" s="2">
        <f t="shared" si="6"/>
        <v>5.5707007717807953</v>
      </c>
    </row>
    <row r="115" spans="1:11" ht="13.5" x14ac:dyDescent="0.25">
      <c r="A115" s="3">
        <f>TITRES_STAT!B118</f>
        <v>45084</v>
      </c>
      <c r="B115" s="5">
        <f>TITRES_STAT!D118</f>
        <v>5.9610000000000003</v>
      </c>
      <c r="C115" s="2">
        <f t="shared" si="7"/>
        <v>-8.9999999999994529E-3</v>
      </c>
      <c r="D115" s="2">
        <f t="shared" si="8"/>
        <v>5.9218000000000002</v>
      </c>
      <c r="E115" s="2">
        <f t="shared" si="9"/>
        <v>5.8560999999999996</v>
      </c>
      <c r="F115" s="2">
        <f t="shared" si="10"/>
        <v>5.7234999999999996</v>
      </c>
      <c r="G115" s="2">
        <f t="shared" si="12"/>
        <v>5.5521000000000003</v>
      </c>
      <c r="H115" s="2"/>
      <c r="I115" s="2">
        <f t="array" ref="I115">SUMPRODUCT(B99:B118, (ROW(B99:B118)-ROW(B99)+1)) / (20*21/2)</f>
        <v>5.8604476190476191</v>
      </c>
      <c r="J115" s="2">
        <f t="shared" si="11"/>
        <v>5.7594164602897049</v>
      </c>
      <c r="K115" s="2">
        <f t="shared" ref="K115:K178" si="13">$K$4*B115+(1-$K$4)*K114</f>
        <v>5.5860066238678234</v>
      </c>
    </row>
    <row r="116" spans="1:11" ht="13.5" x14ac:dyDescent="0.25">
      <c r="A116" s="3">
        <f>TITRES_STAT!B119</f>
        <v>45085</v>
      </c>
      <c r="B116" s="5">
        <f>TITRES_STAT!D119</f>
        <v>5.952</v>
      </c>
      <c r="C116" s="2">
        <f t="shared" si="7"/>
        <v>-9.0000000000003411E-3</v>
      </c>
      <c r="D116" s="2">
        <f t="shared" si="8"/>
        <v>5.9413999999999998</v>
      </c>
      <c r="E116" s="2">
        <f t="shared" si="9"/>
        <v>5.8847999999999994</v>
      </c>
      <c r="F116" s="2">
        <f t="shared" si="10"/>
        <v>5.7433499999999995</v>
      </c>
      <c r="G116" s="2">
        <f t="shared" si="12"/>
        <v>5.5651400000000004</v>
      </c>
      <c r="H116" s="2"/>
      <c r="I116" s="2">
        <f t="array" ref="I116">SUMPRODUCT(B100:B119, (ROW(B100:B119)-ROW(B100)+1)) / (20*21/2)</f>
        <v>5.8767095238095237</v>
      </c>
      <c r="J116" s="2">
        <f t="shared" si="11"/>
        <v>5.7777577497859234</v>
      </c>
      <c r="K116" s="2">
        <f t="shared" si="13"/>
        <v>5.6003593052847709</v>
      </c>
    </row>
    <row r="117" spans="1:11" ht="13.5" x14ac:dyDescent="0.25">
      <c r="A117" s="3">
        <f>TITRES_STAT!B120</f>
        <v>45086</v>
      </c>
      <c r="B117" s="5">
        <f>TITRES_STAT!D120</f>
        <v>5.952</v>
      </c>
      <c r="C117" s="2">
        <f t="shared" si="7"/>
        <v>0</v>
      </c>
      <c r="D117" s="2">
        <f t="shared" si="8"/>
        <v>5.9467999999999988</v>
      </c>
      <c r="E117" s="2">
        <f t="shared" si="9"/>
        <v>5.9151999999999996</v>
      </c>
      <c r="F117" s="2">
        <f t="shared" si="10"/>
        <v>5.7627499999999996</v>
      </c>
      <c r="G117" s="2">
        <f t="shared" si="12"/>
        <v>5.5785200000000001</v>
      </c>
      <c r="H117" s="2"/>
      <c r="I117" s="2">
        <f t="array" ref="I117">SUMPRODUCT(B101:B120, (ROW(B101:B120)-ROW(B101)+1)) / (20*21/2)</f>
        <v>5.892100000000001</v>
      </c>
      <c r="J117" s="2">
        <f t="shared" si="11"/>
        <v>5.7943522498063116</v>
      </c>
      <c r="K117" s="2">
        <f t="shared" si="13"/>
        <v>5.6141491364500737</v>
      </c>
    </row>
    <row r="118" spans="1:11" ht="13.5" x14ac:dyDescent="0.25">
      <c r="A118" s="3">
        <f>TITRES_STAT!B121</f>
        <v>45089</v>
      </c>
      <c r="B118" s="5">
        <f>TITRES_STAT!D121</f>
        <v>5.9340000000000002</v>
      </c>
      <c r="C118" s="2">
        <f t="shared" si="7"/>
        <v>-1.7999999999999794E-2</v>
      </c>
      <c r="D118" s="2">
        <f t="shared" si="8"/>
        <v>5.9538000000000002</v>
      </c>
      <c r="E118" s="2">
        <f t="shared" si="9"/>
        <v>5.9216999999999995</v>
      </c>
      <c r="F118" s="2">
        <f t="shared" si="10"/>
        <v>5.7812499999999991</v>
      </c>
      <c r="G118" s="2">
        <f t="shared" si="12"/>
        <v>5.5908600000000002</v>
      </c>
      <c r="H118" s="2"/>
      <c r="I118" s="2">
        <f t="array" ref="I118">SUMPRODUCT(B102:B121, (ROW(B102:B121)-ROW(B102)+1)) / (20*21/2)</f>
        <v>5.9057619047619045</v>
      </c>
      <c r="J118" s="2">
        <f t="shared" si="11"/>
        <v>5.8076520355390437</v>
      </c>
      <c r="K118" s="2">
        <f t="shared" si="13"/>
        <v>5.6266923075696784</v>
      </c>
    </row>
    <row r="119" spans="1:11" ht="13.5" x14ac:dyDescent="0.25">
      <c r="A119" s="3">
        <f>TITRES_STAT!B122</f>
        <v>45090</v>
      </c>
      <c r="B119" s="5">
        <f>TITRES_STAT!D122</f>
        <v>5.952</v>
      </c>
      <c r="C119" s="2">
        <f t="shared" si="7"/>
        <v>1.7999999999999794E-2</v>
      </c>
      <c r="D119" s="2">
        <f t="shared" si="8"/>
        <v>5.9502000000000006</v>
      </c>
      <c r="E119" s="2">
        <f t="shared" si="9"/>
        <v>5.9341999999999988</v>
      </c>
      <c r="F119" s="2">
        <f t="shared" si="10"/>
        <v>5.7993999999999994</v>
      </c>
      <c r="G119" s="2">
        <f t="shared" si="12"/>
        <v>5.6028800000000016</v>
      </c>
      <c r="H119" s="2"/>
      <c r="I119" s="2">
        <f t="array" ref="I119">SUMPRODUCT(B103:B122, (ROW(B103:B122)-ROW(B103)+1)) / (20*21/2)</f>
        <v>5.9159380952380944</v>
      </c>
      <c r="J119" s="2">
        <f t="shared" si="11"/>
        <v>5.8213994607258011</v>
      </c>
      <c r="K119" s="2">
        <f t="shared" si="13"/>
        <v>5.6394494719787103</v>
      </c>
    </row>
    <row r="120" spans="1:11" ht="13.5" x14ac:dyDescent="0.25">
      <c r="A120" s="3">
        <f>TITRES_STAT!B123</f>
        <v>45091</v>
      </c>
      <c r="B120" s="5">
        <f>TITRES_STAT!D123</f>
        <v>5.9610000000000003</v>
      </c>
      <c r="C120" s="2">
        <f t="shared" si="7"/>
        <v>9.0000000000003411E-3</v>
      </c>
      <c r="D120" s="2">
        <f t="shared" si="8"/>
        <v>5.9501999999999997</v>
      </c>
      <c r="E120" s="2">
        <f t="shared" si="9"/>
        <v>5.9359999999999991</v>
      </c>
      <c r="F120" s="2">
        <f t="shared" si="10"/>
        <v>5.8175499999999989</v>
      </c>
      <c r="G120" s="2">
        <f t="shared" si="12"/>
        <v>5.6150800000000016</v>
      </c>
      <c r="H120" s="2"/>
      <c r="I120" s="2">
        <f t="array" ref="I120">SUMPRODUCT(B104:B123, (ROW(B104:B123)-ROW(B104)+1)) / (20*21/2)</f>
        <v>5.9243904761904753</v>
      </c>
      <c r="J120" s="2">
        <f t="shared" si="11"/>
        <v>5.8346947501804864</v>
      </c>
      <c r="K120" s="2">
        <f t="shared" si="13"/>
        <v>5.6520592966069962</v>
      </c>
    </row>
    <row r="121" spans="1:11" ht="13.5" x14ac:dyDescent="0.25">
      <c r="A121" s="3">
        <f>TITRES_STAT!B124</f>
        <v>45092</v>
      </c>
      <c r="B121" s="5">
        <f>TITRES_STAT!D124</f>
        <v>5.9610000000000003</v>
      </c>
      <c r="C121" s="2">
        <f t="shared" si="7"/>
        <v>0</v>
      </c>
      <c r="D121" s="2">
        <f t="shared" si="8"/>
        <v>5.952</v>
      </c>
      <c r="E121" s="2">
        <f t="shared" si="9"/>
        <v>5.946699999999999</v>
      </c>
      <c r="F121" s="2">
        <f t="shared" si="10"/>
        <v>5.8361499999999982</v>
      </c>
      <c r="G121" s="2">
        <f t="shared" si="12"/>
        <v>5.6272800000000025</v>
      </c>
      <c r="H121" s="2"/>
      <c r="I121" s="2">
        <f t="array" ref="I121">SUMPRODUCT(B105:B124, (ROW(B105:B124)-ROW(B105)+1)) / (20*21/2)</f>
        <v>5.9295238095238085</v>
      </c>
      <c r="J121" s="2">
        <f t="shared" si="11"/>
        <v>5.8467238215918682</v>
      </c>
      <c r="K121" s="2">
        <f t="shared" si="13"/>
        <v>5.6641746183086834</v>
      </c>
    </row>
    <row r="122" spans="1:11" ht="13.5" x14ac:dyDescent="0.25">
      <c r="A122" s="3">
        <f>TITRES_STAT!B125</f>
        <v>45093</v>
      </c>
      <c r="B122" s="5">
        <f>TITRES_STAT!D125</f>
        <v>5.9429999999999996</v>
      </c>
      <c r="C122" s="2">
        <f t="shared" si="7"/>
        <v>-1.8000000000000682E-2</v>
      </c>
      <c r="D122" s="2">
        <f t="shared" si="8"/>
        <v>5.9501999999999997</v>
      </c>
      <c r="E122" s="2">
        <f t="shared" si="9"/>
        <v>5.9484999999999983</v>
      </c>
      <c r="F122" s="2">
        <f t="shared" si="10"/>
        <v>5.8542499999999986</v>
      </c>
      <c r="G122" s="2">
        <f t="shared" si="12"/>
        <v>5.6391200000000001</v>
      </c>
      <c r="H122" s="2"/>
      <c r="I122" s="2">
        <f t="array" ref="I122">SUMPRODUCT(B106:B125, (ROW(B106:B125)-ROW(B106)+1)) / (20*21/2)</f>
        <v>5.9339952380952372</v>
      </c>
      <c r="J122" s="2">
        <f t="shared" si="11"/>
        <v>5.8558929814402614</v>
      </c>
      <c r="K122" s="2">
        <f t="shared" si="13"/>
        <v>5.6751089470024603</v>
      </c>
    </row>
    <row r="123" spans="1:11" ht="13.5" x14ac:dyDescent="0.25">
      <c r="A123" s="3">
        <f>TITRES_STAT!B126</f>
        <v>45096</v>
      </c>
      <c r="B123" s="5">
        <f>TITRES_STAT!D126</f>
        <v>5.9429999999999996</v>
      </c>
      <c r="C123" s="2">
        <f t="shared" si="7"/>
        <v>0</v>
      </c>
      <c r="D123" s="2">
        <f t="shared" si="8"/>
        <v>5.952</v>
      </c>
      <c r="E123" s="2">
        <f t="shared" si="9"/>
        <v>5.9528999999999996</v>
      </c>
      <c r="F123" s="2">
        <f t="shared" si="10"/>
        <v>5.8710999999999993</v>
      </c>
      <c r="G123" s="2">
        <f t="shared" si="12"/>
        <v>5.6501000000000001</v>
      </c>
      <c r="H123" s="2"/>
      <c r="I123" s="2">
        <f t="array" ref="I123">SUMPRODUCT(B107:B126, (ROW(B107:B126)-ROW(B107)+1)) / (20*21/2)</f>
        <v>5.9380047619047609</v>
      </c>
      <c r="J123" s="2">
        <f t="shared" si="11"/>
        <v>5.8641888879697603</v>
      </c>
      <c r="K123" s="2">
        <f t="shared" si="13"/>
        <v>5.6856144784925595</v>
      </c>
    </row>
    <row r="124" spans="1:11" ht="13.5" x14ac:dyDescent="0.25">
      <c r="A124" s="3">
        <f>TITRES_STAT!B127</f>
        <v>45097</v>
      </c>
      <c r="B124" s="5">
        <f>TITRES_STAT!D127</f>
        <v>5.9249999999999998</v>
      </c>
      <c r="C124" s="2">
        <f t="shared" si="7"/>
        <v>-1.7999999999999794E-2</v>
      </c>
      <c r="D124" s="2">
        <f t="shared" si="8"/>
        <v>5.9466000000000001</v>
      </c>
      <c r="E124" s="2">
        <f t="shared" si="9"/>
        <v>5.9483999999999995</v>
      </c>
      <c r="F124" s="2">
        <f t="shared" si="10"/>
        <v>5.8870499999999986</v>
      </c>
      <c r="G124" s="2">
        <f t="shared" si="12"/>
        <v>5.6607200000000004</v>
      </c>
      <c r="H124" s="2"/>
      <c r="I124" s="2">
        <f t="array" ref="I124">SUMPRODUCT(B108:B127, (ROW(B108:B127)-ROW(B108)+1)) / (20*21/2)</f>
        <v>5.9398333333333335</v>
      </c>
      <c r="J124" s="2">
        <f t="shared" si="11"/>
        <v>5.8699804224488306</v>
      </c>
      <c r="K124" s="2">
        <f t="shared" si="13"/>
        <v>5.6950021460026559</v>
      </c>
    </row>
    <row r="125" spans="1:11" ht="13.5" x14ac:dyDescent="0.25">
      <c r="A125" s="3">
        <f>TITRES_STAT!B128</f>
        <v>45098</v>
      </c>
      <c r="B125" s="5">
        <f>TITRES_STAT!D128</f>
        <v>5.9340000000000002</v>
      </c>
      <c r="C125" s="2">
        <f t="shared" si="7"/>
        <v>9.0000000000003411E-3</v>
      </c>
      <c r="D125" s="2">
        <f t="shared" si="8"/>
        <v>5.9412000000000003</v>
      </c>
      <c r="E125" s="2">
        <f t="shared" si="9"/>
        <v>5.9456999999999987</v>
      </c>
      <c r="F125" s="2">
        <f t="shared" si="10"/>
        <v>5.9008999999999983</v>
      </c>
      <c r="G125" s="2">
        <f t="shared" si="12"/>
        <v>5.6706800000000008</v>
      </c>
      <c r="H125" s="2"/>
      <c r="I125" s="2">
        <f t="array" ref="I125">SUMPRODUCT(B109:B128, (ROW(B109:B128)-ROW(B109)+1)) / (20*21/2)</f>
        <v>5.9394428571428577</v>
      </c>
      <c r="J125" s="2">
        <f t="shared" si="11"/>
        <v>5.8760775250727511</v>
      </c>
      <c r="K125" s="2">
        <f t="shared" si="13"/>
        <v>5.7043746108652966</v>
      </c>
    </row>
    <row r="126" spans="1:11" ht="13.5" x14ac:dyDescent="0.25">
      <c r="A126" s="3">
        <f>TITRES_STAT!B129</f>
        <v>45099</v>
      </c>
      <c r="B126" s="5">
        <f>TITRES_STAT!D129</f>
        <v>5.9429999999999996</v>
      </c>
      <c r="C126" s="2">
        <f t="shared" si="7"/>
        <v>8.9999999999994529E-3</v>
      </c>
      <c r="D126" s="2">
        <f t="shared" si="8"/>
        <v>5.9376000000000007</v>
      </c>
      <c r="E126" s="2">
        <f t="shared" si="9"/>
        <v>5.944799999999999</v>
      </c>
      <c r="F126" s="2">
        <f t="shared" si="10"/>
        <v>5.9147999999999987</v>
      </c>
      <c r="G126" s="2">
        <f t="shared" si="12"/>
        <v>5.6792800000000012</v>
      </c>
      <c r="H126" s="2"/>
      <c r="I126" s="2">
        <f t="array" ref="I126">SUMPRODUCT(B110:B129, (ROW(B110:B129)-ROW(B110)+1)) / (20*21/2)</f>
        <v>5.9387857142857143</v>
      </c>
      <c r="J126" s="2">
        <f t="shared" si="11"/>
        <v>5.8824510941134411</v>
      </c>
      <c r="K126" s="2">
        <f t="shared" si="13"/>
        <v>5.7137324692627356</v>
      </c>
    </row>
    <row r="127" spans="1:11" ht="13.5" x14ac:dyDescent="0.25">
      <c r="A127" s="3">
        <f>TITRES_STAT!B130</f>
        <v>45100</v>
      </c>
      <c r="B127" s="5">
        <f>TITRES_STAT!D130</f>
        <v>5.9340000000000002</v>
      </c>
      <c r="C127" s="2">
        <f t="shared" si="7"/>
        <v>-8.9999999999994529E-3</v>
      </c>
      <c r="D127" s="2">
        <f t="shared" si="8"/>
        <v>5.9357999999999995</v>
      </c>
      <c r="E127" s="2">
        <f t="shared" si="9"/>
        <v>5.9429999999999987</v>
      </c>
      <c r="F127" s="2">
        <f t="shared" si="10"/>
        <v>5.9290999999999991</v>
      </c>
      <c r="G127" s="2">
        <f t="shared" si="12"/>
        <v>5.6880400000000018</v>
      </c>
      <c r="H127" s="2"/>
      <c r="I127" s="2">
        <f t="array" ref="I127">SUMPRODUCT(B111:B130, (ROW(B111:B130)-ROW(B111)+1)) / (20*21/2)</f>
        <v>5.9343285714285718</v>
      </c>
      <c r="J127" s="2">
        <f t="shared" si="11"/>
        <v>5.8873605137216849</v>
      </c>
      <c r="K127" s="2">
        <f t="shared" si="13"/>
        <v>5.7223704116445893</v>
      </c>
    </row>
    <row r="128" spans="1:11" ht="13.5" x14ac:dyDescent="0.25">
      <c r="A128" s="3">
        <f>TITRES_STAT!B131</f>
        <v>45103</v>
      </c>
      <c r="B128" s="5">
        <f>TITRES_STAT!D131</f>
        <v>5.9249999999999998</v>
      </c>
      <c r="C128" s="2">
        <f t="shared" si="7"/>
        <v>-9.0000000000003411E-3</v>
      </c>
      <c r="D128" s="2">
        <f t="shared" si="8"/>
        <v>5.9321999999999999</v>
      </c>
      <c r="E128" s="2">
        <f t="shared" si="9"/>
        <v>5.9420999999999982</v>
      </c>
      <c r="F128" s="2">
        <f t="shared" si="10"/>
        <v>5.9318999999999988</v>
      </c>
      <c r="G128" s="2">
        <f t="shared" si="12"/>
        <v>5.6966200000000029</v>
      </c>
      <c r="H128" s="2"/>
      <c r="I128" s="2">
        <f t="array" ref="I128">SUMPRODUCT(B112:B131, (ROW(B112:B131)-ROW(B112)+1)) / (20*21/2)</f>
        <v>5.9301238095238098</v>
      </c>
      <c r="J128" s="2">
        <f t="shared" si="11"/>
        <v>5.8909452267005715</v>
      </c>
      <c r="K128" s="2">
        <f t="shared" si="13"/>
        <v>5.7303166700114687</v>
      </c>
    </row>
    <row r="129" spans="1:11" ht="13.5" x14ac:dyDescent="0.25">
      <c r="A129" s="3">
        <f>TITRES_STAT!B132</f>
        <v>45104</v>
      </c>
      <c r="B129" s="5">
        <f>TITRES_STAT!D132</f>
        <v>5.9249999999999998</v>
      </c>
      <c r="C129" s="2">
        <f t="shared" si="7"/>
        <v>0</v>
      </c>
      <c r="D129" s="2">
        <f t="shared" si="8"/>
        <v>5.9321999999999999</v>
      </c>
      <c r="E129" s="2">
        <f t="shared" si="9"/>
        <v>5.9393999999999991</v>
      </c>
      <c r="F129" s="2">
        <f t="shared" si="10"/>
        <v>5.936799999999999</v>
      </c>
      <c r="G129" s="2">
        <f t="shared" si="12"/>
        <v>5.7057200000000021</v>
      </c>
      <c r="H129" s="2"/>
      <c r="I129" s="2">
        <f t="array" ref="I129">SUMPRODUCT(B113:B132, (ROW(B113:B132)-ROW(B113)+1)) / (20*21/2)</f>
        <v>5.9231761904761902</v>
      </c>
      <c r="J129" s="2">
        <f t="shared" si="11"/>
        <v>5.8941885384433741</v>
      </c>
      <c r="K129" s="2">
        <f t="shared" si="13"/>
        <v>5.7379513104031759</v>
      </c>
    </row>
    <row r="130" spans="1:11" ht="13.5" x14ac:dyDescent="0.25">
      <c r="A130" s="3">
        <f>TITRES_STAT!B133</f>
        <v>45107</v>
      </c>
      <c r="B130" s="5">
        <f>TITRES_STAT!D133</f>
        <v>5.89</v>
      </c>
      <c r="C130" s="2">
        <f t="shared" si="7"/>
        <v>-3.5000000000000142E-2</v>
      </c>
      <c r="D130" s="2">
        <f t="shared" si="8"/>
        <v>5.9234</v>
      </c>
      <c r="E130" s="2">
        <f t="shared" si="9"/>
        <v>5.9322999999999997</v>
      </c>
      <c r="F130" s="2">
        <f t="shared" si="10"/>
        <v>5.9341499999999989</v>
      </c>
      <c r="G130" s="2">
        <f t="shared" si="12"/>
        <v>5.7141200000000012</v>
      </c>
      <c r="H130" s="2"/>
      <c r="I130" s="2">
        <f t="array" ref="I130">SUMPRODUCT(B114:B133, (ROW(B114:B133)-ROW(B114)+1)) / (20*21/2)</f>
        <v>5.907285714285714</v>
      </c>
      <c r="J130" s="2">
        <f t="shared" si="11"/>
        <v>5.893789630020196</v>
      </c>
      <c r="K130" s="2">
        <f t="shared" si="13"/>
        <v>5.743914004112856</v>
      </c>
    </row>
    <row r="131" spans="1:11" ht="13.5" x14ac:dyDescent="0.25">
      <c r="A131" s="3">
        <f>TITRES_STAT!B134</f>
        <v>45110</v>
      </c>
      <c r="B131" s="5">
        <f>TITRES_STAT!D134</f>
        <v>5.89</v>
      </c>
      <c r="C131" s="2">
        <f t="shared" si="7"/>
        <v>0</v>
      </c>
      <c r="D131" s="2">
        <f t="shared" si="8"/>
        <v>5.9127999999999998</v>
      </c>
      <c r="E131" s="2">
        <f t="shared" si="9"/>
        <v>5.9251999999999994</v>
      </c>
      <c r="F131" s="2">
        <f t="shared" si="10"/>
        <v>5.9359499999999992</v>
      </c>
      <c r="G131" s="2">
        <f t="shared" si="12"/>
        <v>5.722520000000002</v>
      </c>
      <c r="H131" s="2"/>
      <c r="I131" s="2">
        <f t="array" ref="I131">SUMPRODUCT(B115:B134, (ROW(B115:B134)-ROW(B115)+1)) / (20*21/2)</f>
        <v>5.8920285714285718</v>
      </c>
      <c r="J131" s="2">
        <f t="shared" si="11"/>
        <v>5.8934287128754157</v>
      </c>
      <c r="K131" s="2">
        <f t="shared" si="13"/>
        <v>5.7496428666966661</v>
      </c>
    </row>
    <row r="132" spans="1:11" ht="13.5" x14ac:dyDescent="0.25">
      <c r="A132" s="3">
        <f>TITRES_STAT!B135</f>
        <v>45111</v>
      </c>
      <c r="B132" s="5">
        <f>TITRES_STAT!D135</f>
        <v>5.8630000000000004</v>
      </c>
      <c r="C132" s="2">
        <f t="shared" ref="C132:C195" si="14">B132-B131</f>
        <v>-2.6999999999999247E-2</v>
      </c>
      <c r="D132" s="2">
        <f t="shared" si="8"/>
        <v>5.8986000000000001</v>
      </c>
      <c r="E132" s="2">
        <f t="shared" si="9"/>
        <v>5.9171999999999993</v>
      </c>
      <c r="F132" s="2">
        <f t="shared" si="10"/>
        <v>5.9328499999999984</v>
      </c>
      <c r="G132" s="2">
        <f t="shared" si="12"/>
        <v>5.7303800000000011</v>
      </c>
      <c r="H132" s="2"/>
      <c r="I132" s="2">
        <f t="array" ref="I132">SUMPRODUCT(B116:B135, (ROW(B116:B135)-ROW(B116)+1)) / (20*21/2)</f>
        <v>5.8777428571428576</v>
      </c>
      <c r="J132" s="2">
        <f t="shared" si="11"/>
        <v>5.8905307402206146</v>
      </c>
      <c r="K132" s="2">
        <f t="shared" si="13"/>
        <v>5.7540882444732677</v>
      </c>
    </row>
    <row r="133" spans="1:11" ht="13.5" x14ac:dyDescent="0.25">
      <c r="A133" s="3">
        <f>TITRES_STAT!B136</f>
        <v>45112</v>
      </c>
      <c r="B133" s="5">
        <f>TITRES_STAT!D136</f>
        <v>5.766</v>
      </c>
      <c r="C133" s="2">
        <f t="shared" si="14"/>
        <v>-9.7000000000000419E-2</v>
      </c>
      <c r="D133" s="2">
        <f t="shared" si="8"/>
        <v>5.8667999999999996</v>
      </c>
      <c r="E133" s="2">
        <f t="shared" si="9"/>
        <v>5.8994999999999997</v>
      </c>
      <c r="F133" s="2">
        <f t="shared" si="10"/>
        <v>5.9261999999999997</v>
      </c>
      <c r="G133" s="2">
        <f t="shared" si="12"/>
        <v>5.7363000000000008</v>
      </c>
      <c r="H133" s="2"/>
      <c r="I133" s="2">
        <f t="array" ref="I133">SUMPRODUCT(B117:B136, (ROW(B117:B136)-ROW(B117)+1)) / (20*21/2)</f>
        <v>5.8559095238095233</v>
      </c>
      <c r="J133" s="2">
        <f t="shared" si="11"/>
        <v>5.8786706697234132</v>
      </c>
      <c r="K133" s="2">
        <f t="shared" si="13"/>
        <v>5.7545553721409828</v>
      </c>
    </row>
    <row r="134" spans="1:11" ht="13.5" x14ac:dyDescent="0.25">
      <c r="A134" s="3">
        <f>TITRES_STAT!B137</f>
        <v>45113</v>
      </c>
      <c r="B134" s="5">
        <f>TITRES_STAT!D137</f>
        <v>5.766</v>
      </c>
      <c r="C134" s="2">
        <f t="shared" si="14"/>
        <v>0</v>
      </c>
      <c r="D134" s="2">
        <f t="shared" ref="D134:D197" si="15">AVERAGE(B130:B134)</f>
        <v>5.8349999999999991</v>
      </c>
      <c r="E134" s="2">
        <f t="shared" si="9"/>
        <v>5.8835999999999995</v>
      </c>
      <c r="F134" s="2">
        <f t="shared" si="10"/>
        <v>5.9159999999999995</v>
      </c>
      <c r="G134" s="2">
        <f t="shared" si="12"/>
        <v>5.7423800000000016</v>
      </c>
      <c r="H134" s="2"/>
      <c r="I134" s="2">
        <f t="array" ref="I134">SUMPRODUCT(B118:B137, (ROW(B118:B137)-ROW(B118)+1)) / (20*21/2)</f>
        <v>5.8353857142857146</v>
      </c>
      <c r="J134" s="2">
        <f t="shared" si="11"/>
        <v>5.8679401297497549</v>
      </c>
      <c r="K134" s="2">
        <f t="shared" si="13"/>
        <v>5.7550041810766306</v>
      </c>
    </row>
    <row r="135" spans="1:11" ht="13.5" x14ac:dyDescent="0.25">
      <c r="A135" s="3">
        <f>TITRES_STAT!B138</f>
        <v>45114</v>
      </c>
      <c r="B135" s="5">
        <f>TITRES_STAT!D138</f>
        <v>5.766</v>
      </c>
      <c r="C135" s="2">
        <f t="shared" si="14"/>
        <v>0</v>
      </c>
      <c r="D135" s="2">
        <f t="shared" si="15"/>
        <v>5.8101999999999991</v>
      </c>
      <c r="E135" s="2">
        <f t="shared" si="9"/>
        <v>5.8667999999999996</v>
      </c>
      <c r="F135" s="2">
        <f t="shared" si="10"/>
        <v>5.90625</v>
      </c>
      <c r="G135" s="2">
        <f t="shared" si="12"/>
        <v>5.7484600000000032</v>
      </c>
      <c r="H135" s="2"/>
      <c r="I135" s="2">
        <f t="array" ref="I135">SUMPRODUCT(B119:B138, (ROW(B119:B138)-ROW(B119)+1)) / (20*21/2)</f>
        <v>5.8161714285714288</v>
      </c>
      <c r="J135" s="2">
        <f t="shared" si="11"/>
        <v>5.8582315459640641</v>
      </c>
      <c r="K135" s="2">
        <f t="shared" si="13"/>
        <v>5.7554353896618613</v>
      </c>
    </row>
    <row r="136" spans="1:11" ht="13.5" x14ac:dyDescent="0.25">
      <c r="A136" s="3">
        <f>TITRES_STAT!B139</f>
        <v>45117</v>
      </c>
      <c r="B136" s="5">
        <f>TITRES_STAT!D139</f>
        <v>5.6769999999999996</v>
      </c>
      <c r="C136" s="2">
        <f t="shared" si="14"/>
        <v>-8.9000000000000412E-2</v>
      </c>
      <c r="D136" s="2">
        <f t="shared" si="15"/>
        <v>5.7675999999999998</v>
      </c>
      <c r="E136" s="2">
        <f t="shared" si="9"/>
        <v>5.8401999999999994</v>
      </c>
      <c r="F136" s="2">
        <f t="shared" si="10"/>
        <v>5.8925000000000001</v>
      </c>
      <c r="G136" s="2">
        <f t="shared" si="12"/>
        <v>5.7529400000000033</v>
      </c>
      <c r="H136" s="2"/>
      <c r="I136" s="2">
        <f t="array" ref="I136">SUMPRODUCT(B120:B139, (ROW(B120:B139)-ROW(B120)+1)) / (20*21/2)</f>
        <v>5.7981809523809531</v>
      </c>
      <c r="J136" s="2">
        <f t="shared" si="11"/>
        <v>5.8409713987293914</v>
      </c>
      <c r="K136" s="2">
        <f t="shared" si="13"/>
        <v>5.752359492028063</v>
      </c>
    </row>
    <row r="137" spans="1:11" ht="13.5" x14ac:dyDescent="0.25">
      <c r="A137" s="3">
        <f>TITRES_STAT!B140</f>
        <v>45118</v>
      </c>
      <c r="B137" s="5">
        <f>TITRES_STAT!D140</f>
        <v>5.6769999999999996</v>
      </c>
      <c r="C137" s="2">
        <f t="shared" si="14"/>
        <v>0</v>
      </c>
      <c r="D137" s="2">
        <f t="shared" si="15"/>
        <v>5.7304000000000004</v>
      </c>
      <c r="E137" s="2">
        <f t="shared" si="9"/>
        <v>5.8144999999999998</v>
      </c>
      <c r="F137" s="2">
        <f t="shared" si="10"/>
        <v>5.8787499999999993</v>
      </c>
      <c r="G137" s="2">
        <f t="shared" si="12"/>
        <v>5.7574200000000042</v>
      </c>
      <c r="H137" s="2"/>
      <c r="I137" s="2">
        <f t="array" ref="I137">SUMPRODUCT(B121:B140, (ROW(B121:B140)-ROW(B121)+1)) / (20*21/2)</f>
        <v>5.7815000000000003</v>
      </c>
      <c r="J137" s="2">
        <f t="shared" si="11"/>
        <v>5.8253550750408776</v>
      </c>
      <c r="K137" s="2">
        <f t="shared" si="13"/>
        <v>5.7494042178308842</v>
      </c>
    </row>
    <row r="138" spans="1:11" ht="13.5" x14ac:dyDescent="0.25">
      <c r="A138" s="3">
        <f>TITRES_STAT!B141</f>
        <v>45119</v>
      </c>
      <c r="B138" s="5">
        <f>TITRES_STAT!D141</f>
        <v>5.6769999999999996</v>
      </c>
      <c r="C138" s="2">
        <f t="shared" si="14"/>
        <v>0</v>
      </c>
      <c r="D138" s="2">
        <f t="shared" si="15"/>
        <v>5.7126000000000001</v>
      </c>
      <c r="E138" s="2">
        <f t="shared" si="9"/>
        <v>5.789699999999999</v>
      </c>
      <c r="F138" s="2">
        <f t="shared" si="10"/>
        <v>5.865899999999999</v>
      </c>
      <c r="G138" s="2">
        <f t="shared" si="12"/>
        <v>5.7622400000000038</v>
      </c>
      <c r="H138" s="2"/>
      <c r="I138" s="2">
        <f t="array" ref="I138">SUMPRODUCT(B122:B141, (ROW(B122:B141)-ROW(B122)+1)) / (20*21/2)</f>
        <v>5.7661714285714281</v>
      </c>
      <c r="J138" s="2">
        <f t="shared" si="11"/>
        <v>5.8112260202750798</v>
      </c>
      <c r="K138" s="2">
        <f t="shared" si="13"/>
        <v>5.746564836739477</v>
      </c>
    </row>
    <row r="139" spans="1:11" ht="13.5" x14ac:dyDescent="0.25">
      <c r="A139" s="3">
        <f>TITRES_STAT!B142</f>
        <v>45120</v>
      </c>
      <c r="B139" s="5">
        <f>TITRES_STAT!D142</f>
        <v>5.6769999999999996</v>
      </c>
      <c r="C139" s="2">
        <f t="shared" si="14"/>
        <v>0</v>
      </c>
      <c r="D139" s="2">
        <f t="shared" si="15"/>
        <v>5.694799999999999</v>
      </c>
      <c r="E139" s="2">
        <f t="shared" si="9"/>
        <v>5.764899999999999</v>
      </c>
      <c r="F139" s="2">
        <f t="shared" si="10"/>
        <v>5.8521499999999991</v>
      </c>
      <c r="G139" s="2">
        <f t="shared" si="12"/>
        <v>5.7670600000000034</v>
      </c>
      <c r="H139" s="2"/>
      <c r="I139" s="2">
        <f t="array" ref="I139">SUMPRODUCT(B123:B142, (ROW(B123:B142)-ROW(B123)+1)) / (20*21/2)</f>
        <v>5.7563857142857149</v>
      </c>
      <c r="J139" s="2">
        <f t="shared" si="11"/>
        <v>5.7984425897726917</v>
      </c>
      <c r="K139" s="2">
        <f t="shared" si="13"/>
        <v>5.7438368039261638</v>
      </c>
    </row>
    <row r="140" spans="1:11" ht="13.5" x14ac:dyDescent="0.25">
      <c r="A140" s="3">
        <f>TITRES_STAT!B143</f>
        <v>45121</v>
      </c>
      <c r="B140" s="5">
        <f>TITRES_STAT!D143</f>
        <v>5.6769999999999996</v>
      </c>
      <c r="C140" s="2">
        <f t="shared" si="14"/>
        <v>0</v>
      </c>
      <c r="D140" s="2">
        <f t="shared" si="15"/>
        <v>5.6769999999999996</v>
      </c>
      <c r="E140" s="2">
        <f t="shared" ref="E140:E203" si="16">AVERAGE(B131:B140)</f>
        <v>5.7435999999999989</v>
      </c>
      <c r="F140" s="2">
        <f t="shared" si="10"/>
        <v>5.8379499999999993</v>
      </c>
      <c r="G140" s="2">
        <f t="shared" si="12"/>
        <v>5.7722200000000017</v>
      </c>
      <c r="H140" s="2"/>
      <c r="I140" s="2">
        <f t="array" ref="I140">SUMPRODUCT(B124:B143, (ROW(B124:B143)-ROW(B124)+1)) / (20*21/2)</f>
        <v>5.7476571428571432</v>
      </c>
      <c r="J140" s="2">
        <f t="shared" si="11"/>
        <v>5.7868766288419593</v>
      </c>
      <c r="K140" s="2">
        <f t="shared" si="13"/>
        <v>5.7412157527918044</v>
      </c>
    </row>
    <row r="141" spans="1:11" ht="13.5" x14ac:dyDescent="0.25">
      <c r="A141" s="3">
        <f>TITRES_STAT!B144</f>
        <v>45124</v>
      </c>
      <c r="B141" s="5">
        <f>TITRES_STAT!D144</f>
        <v>5.6769999999999996</v>
      </c>
      <c r="C141" s="2">
        <f t="shared" si="14"/>
        <v>0</v>
      </c>
      <c r="D141" s="2">
        <f t="shared" si="15"/>
        <v>5.6769999999999996</v>
      </c>
      <c r="E141" s="2">
        <f t="shared" si="16"/>
        <v>5.7222999999999997</v>
      </c>
      <c r="F141" s="2">
        <f t="shared" si="10"/>
        <v>5.8237499999999986</v>
      </c>
      <c r="G141" s="2">
        <f t="shared" si="12"/>
        <v>5.7753400000000035</v>
      </c>
      <c r="H141" s="2"/>
      <c r="I141" s="2">
        <f t="array" ref="I141">SUMPRODUCT(B125:B144, (ROW(B125:B144)-ROW(B125)+1)) / (20*21/2)</f>
        <v>5.7399857142857149</v>
      </c>
      <c r="J141" s="2">
        <f t="shared" si="11"/>
        <v>5.7764121879998678</v>
      </c>
      <c r="K141" s="2">
        <f t="shared" si="13"/>
        <v>5.738697487976439</v>
      </c>
    </row>
    <row r="142" spans="1:11" ht="13.5" x14ac:dyDescent="0.25">
      <c r="A142" s="3">
        <f>TITRES_STAT!B145</f>
        <v>45125</v>
      </c>
      <c r="B142" s="5">
        <f>TITRES_STAT!D145</f>
        <v>5.7210000000000001</v>
      </c>
      <c r="C142" s="2">
        <f t="shared" si="14"/>
        <v>4.4000000000000483E-2</v>
      </c>
      <c r="D142" s="2">
        <f t="shared" si="15"/>
        <v>5.6857999999999995</v>
      </c>
      <c r="E142" s="2">
        <f t="shared" si="16"/>
        <v>5.7081</v>
      </c>
      <c r="F142" s="2">
        <f t="shared" si="10"/>
        <v>5.8126499999999997</v>
      </c>
      <c r="G142" s="2">
        <f t="shared" si="12"/>
        <v>5.7793400000000021</v>
      </c>
      <c r="H142" s="2"/>
      <c r="I142" s="2">
        <f t="array" ref="I142">SUMPRODUCT(B126:B145, (ROW(B126:B145)-ROW(B126)+1)) / (20*21/2)</f>
        <v>5.737571428571429</v>
      </c>
      <c r="J142" s="2">
        <f t="shared" si="11"/>
        <v>5.7711348367617852</v>
      </c>
      <c r="K142" s="2">
        <f t="shared" si="13"/>
        <v>5.738003468840108</v>
      </c>
    </row>
    <row r="143" spans="1:11" ht="13.5" x14ac:dyDescent="0.25">
      <c r="A143" s="3">
        <f>TITRES_STAT!B146</f>
        <v>45127</v>
      </c>
      <c r="B143" s="5">
        <f>TITRES_STAT!D146</f>
        <v>5.7210000000000001</v>
      </c>
      <c r="C143" s="2">
        <f t="shared" si="14"/>
        <v>0</v>
      </c>
      <c r="D143" s="2">
        <f t="shared" si="15"/>
        <v>5.6945999999999994</v>
      </c>
      <c r="E143" s="2">
        <f t="shared" si="16"/>
        <v>5.7035999999999998</v>
      </c>
      <c r="F143" s="2">
        <f t="shared" si="10"/>
        <v>5.8015499999999989</v>
      </c>
      <c r="G143" s="2">
        <f t="shared" si="12"/>
        <v>5.7833400000000017</v>
      </c>
      <c r="H143" s="2"/>
      <c r="I143" s="2">
        <f t="array" ref="I143">SUMPRODUCT(B127:B146, (ROW(B127:B146)-ROW(B127)+1)) / (20*21/2)</f>
        <v>5.7359571428571421</v>
      </c>
      <c r="J143" s="2">
        <f t="shared" si="11"/>
        <v>5.7663600904035199</v>
      </c>
      <c r="K143" s="2">
        <f t="shared" si="13"/>
        <v>5.7373366661404965</v>
      </c>
    </row>
    <row r="144" spans="1:11" ht="13.5" x14ac:dyDescent="0.25">
      <c r="A144" s="3">
        <f>TITRES_STAT!B147</f>
        <v>45128</v>
      </c>
      <c r="B144" s="5">
        <f>TITRES_STAT!D147</f>
        <v>5.7210000000000001</v>
      </c>
      <c r="C144" s="2">
        <f t="shared" si="14"/>
        <v>0</v>
      </c>
      <c r="D144" s="2">
        <f t="shared" si="15"/>
        <v>5.7034000000000002</v>
      </c>
      <c r="E144" s="2">
        <f t="shared" si="16"/>
        <v>5.6990999999999996</v>
      </c>
      <c r="F144" s="2">
        <f t="shared" si="10"/>
        <v>5.7913499999999987</v>
      </c>
      <c r="G144" s="2">
        <f t="shared" si="12"/>
        <v>5.7873400000000013</v>
      </c>
      <c r="H144" s="2"/>
      <c r="I144" s="2">
        <f t="array" ref="I144">SUMPRODUCT(B128:B147, (ROW(B128:B147)-ROW(B128)+1)) / (20*21/2)</f>
        <v>5.7351857142857146</v>
      </c>
      <c r="J144" s="2">
        <f t="shared" si="11"/>
        <v>5.7620400817936606</v>
      </c>
      <c r="K144" s="2">
        <f t="shared" si="13"/>
        <v>5.7366960125663597</v>
      </c>
    </row>
    <row r="145" spans="1:11" ht="13.5" x14ac:dyDescent="0.25">
      <c r="A145" s="3">
        <f>TITRES_STAT!B148</f>
        <v>45131</v>
      </c>
      <c r="B145" s="5">
        <f>TITRES_STAT!D148</f>
        <v>5.766</v>
      </c>
      <c r="C145" s="2">
        <f t="shared" si="14"/>
        <v>4.4999999999999929E-2</v>
      </c>
      <c r="D145" s="2">
        <f t="shared" si="15"/>
        <v>5.7212000000000005</v>
      </c>
      <c r="E145" s="2">
        <f t="shared" si="16"/>
        <v>5.6991000000000005</v>
      </c>
      <c r="F145" s="2">
        <f t="shared" si="10"/>
        <v>5.7829499999999987</v>
      </c>
      <c r="G145" s="2">
        <f t="shared" si="12"/>
        <v>5.7917200000000015</v>
      </c>
      <c r="H145" s="2"/>
      <c r="I145" s="2">
        <f t="array" ref="I145">SUMPRODUCT(B129:B148, (ROW(B129:B148)-ROW(B129)+1)) / (20*21/2)</f>
        <v>5.7352142857142869</v>
      </c>
      <c r="J145" s="2">
        <f t="shared" si="11"/>
        <v>5.7624172168609311</v>
      </c>
      <c r="K145" s="2">
        <f t="shared" si="13"/>
        <v>5.7378451885441502</v>
      </c>
    </row>
    <row r="146" spans="1:11" ht="13.5" x14ac:dyDescent="0.25">
      <c r="A146" s="3">
        <f>TITRES_STAT!B149</f>
        <v>45133</v>
      </c>
      <c r="B146" s="5">
        <f>TITRES_STAT!D149</f>
        <v>5.766</v>
      </c>
      <c r="C146" s="2">
        <f t="shared" si="14"/>
        <v>0</v>
      </c>
      <c r="D146" s="2">
        <f t="shared" si="15"/>
        <v>5.7389999999999999</v>
      </c>
      <c r="E146" s="2">
        <f t="shared" si="16"/>
        <v>5.7080000000000002</v>
      </c>
      <c r="F146" s="2">
        <f t="shared" si="10"/>
        <v>5.7740999999999998</v>
      </c>
      <c r="G146" s="2">
        <f t="shared" si="12"/>
        <v>5.7959400000000008</v>
      </c>
      <c r="H146" s="2"/>
      <c r="I146" s="2">
        <f t="array" ref="I146">SUMPRODUCT(B130:B149, (ROW(B130:B149)-ROW(B130)+1)) / (20*21/2)</f>
        <v>5.7360000000000007</v>
      </c>
      <c r="J146" s="2">
        <f t="shared" si="11"/>
        <v>5.7627584343027474</v>
      </c>
      <c r="K146" s="2">
        <f t="shared" si="13"/>
        <v>5.738949298797321</v>
      </c>
    </row>
    <row r="147" spans="1:11" ht="13.5" x14ac:dyDescent="0.25">
      <c r="A147" s="3">
        <f>TITRES_STAT!B150</f>
        <v>45134</v>
      </c>
      <c r="B147" s="5">
        <f>TITRES_STAT!D150</f>
        <v>5.766</v>
      </c>
      <c r="C147" s="2">
        <f t="shared" si="14"/>
        <v>0</v>
      </c>
      <c r="D147" s="2">
        <f t="shared" si="15"/>
        <v>5.7479999999999993</v>
      </c>
      <c r="E147" s="2">
        <f t="shared" si="16"/>
        <v>5.716899999999999</v>
      </c>
      <c r="F147" s="2">
        <f t="shared" si="10"/>
        <v>5.7657000000000007</v>
      </c>
      <c r="G147" s="2">
        <f t="shared" si="12"/>
        <v>5.7999800000000006</v>
      </c>
      <c r="H147" s="2"/>
      <c r="I147" s="2">
        <f t="array" ref="I147">SUMPRODUCT(B131:B150, (ROW(B131:B150)-ROW(B131)+1)) / (20*21/2)</f>
        <v>5.7375428571428575</v>
      </c>
      <c r="J147" s="2">
        <f t="shared" si="11"/>
        <v>5.7630671548453423</v>
      </c>
      <c r="K147" s="2">
        <f t="shared" si="13"/>
        <v>5.740010110609191</v>
      </c>
    </row>
    <row r="148" spans="1:11" ht="13.5" x14ac:dyDescent="0.25">
      <c r="A148" s="3">
        <f>TITRES_STAT!B151</f>
        <v>45135</v>
      </c>
      <c r="B148" s="5">
        <f>TITRES_STAT!D151</f>
        <v>5.766</v>
      </c>
      <c r="C148" s="2">
        <f t="shared" si="14"/>
        <v>0</v>
      </c>
      <c r="D148" s="2">
        <f t="shared" si="15"/>
        <v>5.7569999999999997</v>
      </c>
      <c r="E148" s="2">
        <f t="shared" si="16"/>
        <v>5.7257999999999996</v>
      </c>
      <c r="F148" s="2">
        <f t="shared" ref="F148:F211" si="17">AVERAGE(B129:B148)</f>
        <v>5.7577500000000015</v>
      </c>
      <c r="G148" s="2">
        <f t="shared" si="12"/>
        <v>5.8040200000000004</v>
      </c>
      <c r="H148" s="2"/>
      <c r="I148" s="2">
        <f t="array" ref="I148">SUMPRODUCT(B132:B151, (ROW(B132:B151)-ROW(B132)+1)) / (20*21/2)</f>
        <v>5.7396761904761906</v>
      </c>
      <c r="J148" s="2">
        <f t="shared" si="11"/>
        <v>5.7633464734314996</v>
      </c>
      <c r="K148" s="2">
        <f t="shared" si="13"/>
        <v>5.7410293219578508</v>
      </c>
    </row>
    <row r="149" spans="1:11" ht="13.5" x14ac:dyDescent="0.25">
      <c r="A149" s="3">
        <f>TITRES_STAT!B152</f>
        <v>45138</v>
      </c>
      <c r="B149" s="5">
        <f>TITRES_STAT!D152</f>
        <v>5.766</v>
      </c>
      <c r="C149" s="2">
        <f t="shared" si="14"/>
        <v>0</v>
      </c>
      <c r="D149" s="2">
        <f t="shared" si="15"/>
        <v>5.766</v>
      </c>
      <c r="E149" s="2">
        <f t="shared" si="16"/>
        <v>5.7346999999999992</v>
      </c>
      <c r="F149" s="2">
        <f t="shared" si="17"/>
        <v>5.7498000000000014</v>
      </c>
      <c r="G149" s="2">
        <f t="shared" si="12"/>
        <v>5.8075600000000005</v>
      </c>
      <c r="H149" s="2"/>
      <c r="I149" s="2">
        <f t="array" ref="I149">SUMPRODUCT(B133:B152, (ROW(B133:B152)-ROW(B133)+1)) / (20*21/2)</f>
        <v>5.7381142857142864</v>
      </c>
      <c r="J149" s="2">
        <f t="shared" ref="J149:J212" si="18">$J$4*B149+J148*(1-$J$4)</f>
        <v>5.7635991902475467</v>
      </c>
      <c r="K149" s="2">
        <f t="shared" si="13"/>
        <v>5.7420085642340135</v>
      </c>
    </row>
    <row r="150" spans="1:11" ht="13.5" x14ac:dyDescent="0.25">
      <c r="A150" s="3">
        <f>TITRES_STAT!B153</f>
        <v>45139</v>
      </c>
      <c r="B150" s="5">
        <f>TITRES_STAT!D153</f>
        <v>5.766</v>
      </c>
      <c r="C150" s="2">
        <f t="shared" si="14"/>
        <v>0</v>
      </c>
      <c r="D150" s="2">
        <f t="shared" si="15"/>
        <v>5.766</v>
      </c>
      <c r="E150" s="2">
        <f t="shared" si="16"/>
        <v>5.7435999999999989</v>
      </c>
      <c r="F150" s="2">
        <f t="shared" si="17"/>
        <v>5.7436000000000016</v>
      </c>
      <c r="G150" s="2">
        <f t="shared" si="12"/>
        <v>5.8109200000000012</v>
      </c>
      <c r="H150" s="2"/>
      <c r="I150" s="2">
        <f t="array" ref="I150">SUMPRODUCT(B134:B153, (ROW(B134:B153)-ROW(B134)+1)) / (20*21/2)</f>
        <v>5.737228571428572</v>
      </c>
      <c r="J150" s="2">
        <f t="shared" si="18"/>
        <v>5.7638278387953994</v>
      </c>
      <c r="K150" s="2">
        <f t="shared" si="13"/>
        <v>5.742949404852288</v>
      </c>
    </row>
    <row r="151" spans="1:11" ht="13.5" x14ac:dyDescent="0.25">
      <c r="A151" s="3">
        <f>TITRES_STAT!B154</f>
        <v>45140</v>
      </c>
      <c r="B151" s="5">
        <f>TITRES_STAT!D154</f>
        <v>5.766</v>
      </c>
      <c r="C151" s="2">
        <f t="shared" si="14"/>
        <v>0</v>
      </c>
      <c r="D151" s="2">
        <f t="shared" si="15"/>
        <v>5.766</v>
      </c>
      <c r="E151" s="2">
        <f t="shared" si="16"/>
        <v>5.7524999999999995</v>
      </c>
      <c r="F151" s="2">
        <f t="shared" si="17"/>
        <v>5.7374000000000027</v>
      </c>
      <c r="G151" s="2">
        <f t="shared" si="12"/>
        <v>5.8144600000000013</v>
      </c>
      <c r="H151" s="2"/>
      <c r="I151" s="2">
        <f t="array" ref="I151">SUMPRODUCT(B135:B154, (ROW(B135:B154)-ROW(B135)+1)) / (20*21/2)</f>
        <v>5.7365571428571434</v>
      </c>
      <c r="J151" s="2">
        <f t="shared" si="18"/>
        <v>5.7640347112910755</v>
      </c>
      <c r="K151" s="2">
        <f t="shared" si="13"/>
        <v>5.7438533497600419</v>
      </c>
    </row>
    <row r="152" spans="1:11" ht="13.5" x14ac:dyDescent="0.25">
      <c r="A152" s="3">
        <f>TITRES_STAT!B155</f>
        <v>45141</v>
      </c>
      <c r="B152" s="5">
        <f>TITRES_STAT!D155</f>
        <v>5.7210000000000001</v>
      </c>
      <c r="C152" s="2">
        <f t="shared" si="14"/>
        <v>-4.4999999999999929E-2</v>
      </c>
      <c r="D152" s="2">
        <f t="shared" si="15"/>
        <v>5.7569999999999997</v>
      </c>
      <c r="E152" s="2">
        <f t="shared" si="16"/>
        <v>5.7524999999999995</v>
      </c>
      <c r="F152" s="2">
        <f t="shared" si="17"/>
        <v>5.7303000000000024</v>
      </c>
      <c r="G152" s="2">
        <f t="shared" si="12"/>
        <v>5.8172600000000001</v>
      </c>
      <c r="H152" s="2"/>
      <c r="I152" s="2">
        <f t="array" ref="I152">SUMPRODUCT(B136:B155, (ROW(B136:B155)-ROW(B136)+1)) / (20*21/2)</f>
        <v>5.7403857142857158</v>
      </c>
      <c r="J152" s="2">
        <f t="shared" si="18"/>
        <v>5.7599361673585916</v>
      </c>
      <c r="K152" s="2">
        <f t="shared" si="13"/>
        <v>5.7429571399655304</v>
      </c>
    </row>
    <row r="153" spans="1:11" ht="13.5" x14ac:dyDescent="0.25">
      <c r="A153" s="3">
        <f>TITRES_STAT!B156</f>
        <v>45142</v>
      </c>
      <c r="B153" s="5">
        <f>TITRES_STAT!D156</f>
        <v>5.7210000000000001</v>
      </c>
      <c r="C153" s="2">
        <f t="shared" si="14"/>
        <v>0</v>
      </c>
      <c r="D153" s="2">
        <f t="shared" si="15"/>
        <v>5.7480000000000002</v>
      </c>
      <c r="E153" s="2">
        <f t="shared" si="16"/>
        <v>5.7524999999999995</v>
      </c>
      <c r="F153" s="2">
        <f t="shared" si="17"/>
        <v>5.7280500000000023</v>
      </c>
      <c r="G153" s="2">
        <f t="shared" si="12"/>
        <v>5.8195600000000001</v>
      </c>
      <c r="H153" s="2"/>
      <c r="I153" s="2">
        <f t="array" ref="I153">SUMPRODUCT(B137:B156, (ROW(B137:B156)-ROW(B137)+1)) / (20*21/2)</f>
        <v>5.7442142857142873</v>
      </c>
      <c r="J153" s="2">
        <f t="shared" si="18"/>
        <v>5.7562279609434874</v>
      </c>
      <c r="K153" s="2">
        <f t="shared" si="13"/>
        <v>5.7420960756531567</v>
      </c>
    </row>
    <row r="154" spans="1:11" ht="13.5" x14ac:dyDescent="0.25">
      <c r="A154" s="3">
        <f>TITRES_STAT!B157</f>
        <v>45145</v>
      </c>
      <c r="B154" s="5">
        <f>TITRES_STAT!D157</f>
        <v>5.7210000000000001</v>
      </c>
      <c r="C154" s="2">
        <f t="shared" si="14"/>
        <v>0</v>
      </c>
      <c r="D154" s="2">
        <f t="shared" si="15"/>
        <v>5.7389999999999999</v>
      </c>
      <c r="E154" s="2">
        <f t="shared" si="16"/>
        <v>5.7525000000000004</v>
      </c>
      <c r="F154" s="2">
        <f t="shared" si="17"/>
        <v>5.7258000000000013</v>
      </c>
      <c r="G154" s="2">
        <f t="shared" si="12"/>
        <v>5.8218599999999991</v>
      </c>
      <c r="H154" s="2"/>
      <c r="I154" s="2">
        <f t="array" ref="I154">SUMPRODUCT(B138:B157, (ROW(B138:B157)-ROW(B138)+1)) / (20*21/2)</f>
        <v>5.7476190476190485</v>
      </c>
      <c r="J154" s="2">
        <f t="shared" si="18"/>
        <v>5.7528729170441073</v>
      </c>
      <c r="K154" s="2">
        <f t="shared" si="13"/>
        <v>5.7412687785687195</v>
      </c>
    </row>
    <row r="155" spans="1:11" ht="13.5" x14ac:dyDescent="0.25">
      <c r="A155" s="3">
        <f>TITRES_STAT!B158</f>
        <v>45146</v>
      </c>
      <c r="B155" s="5">
        <f>TITRES_STAT!D158</f>
        <v>5.766</v>
      </c>
      <c r="C155" s="2">
        <f t="shared" si="14"/>
        <v>4.4999999999999929E-2</v>
      </c>
      <c r="D155" s="2">
        <f t="shared" si="15"/>
        <v>5.7389999999999999</v>
      </c>
      <c r="E155" s="2">
        <f t="shared" si="16"/>
        <v>5.7524999999999995</v>
      </c>
      <c r="F155" s="2">
        <f t="shared" si="17"/>
        <v>5.7258000000000022</v>
      </c>
      <c r="G155" s="2">
        <f t="shared" si="12"/>
        <v>5.8240399999999992</v>
      </c>
      <c r="H155" s="2"/>
      <c r="I155" s="2">
        <f t="array" ref="I155">SUMPRODUCT(B139:B158, (ROW(B139:B158)-ROW(B139)+1)) / (20*21/2)</f>
        <v>5.7506000000000013</v>
      </c>
      <c r="J155" s="2">
        <f t="shared" si="18"/>
        <v>5.7541231154208585</v>
      </c>
      <c r="K155" s="2">
        <f t="shared" si="13"/>
        <v>5.7422386303895543</v>
      </c>
    </row>
    <row r="156" spans="1:11" ht="13.5" x14ac:dyDescent="0.25">
      <c r="A156" s="3">
        <f>TITRES_STAT!B159</f>
        <v>45147</v>
      </c>
      <c r="B156" s="5">
        <f>TITRES_STAT!D159</f>
        <v>5.766</v>
      </c>
      <c r="C156" s="2">
        <f t="shared" si="14"/>
        <v>0</v>
      </c>
      <c r="D156" s="2">
        <f t="shared" si="15"/>
        <v>5.7389999999999999</v>
      </c>
      <c r="E156" s="2">
        <f t="shared" si="16"/>
        <v>5.7525000000000004</v>
      </c>
      <c r="F156" s="2">
        <f t="shared" si="17"/>
        <v>5.7302500000000016</v>
      </c>
      <c r="G156" s="2">
        <f t="shared" si="12"/>
        <v>5.8260599999999991</v>
      </c>
      <c r="H156" s="2"/>
      <c r="I156" s="2">
        <f t="array" ref="I156">SUMPRODUCT(B140:B159, (ROW(B140:B159)-ROW(B140)+1)) / (20*21/2)</f>
        <v>5.7531571428571429</v>
      </c>
      <c r="J156" s="2">
        <f t="shared" si="18"/>
        <v>5.7552542472855386</v>
      </c>
      <c r="K156" s="2">
        <f t="shared" si="13"/>
        <v>5.7431704488056505</v>
      </c>
    </row>
    <row r="157" spans="1:11" ht="13.5" x14ac:dyDescent="0.25">
      <c r="A157" s="3">
        <f>TITRES_STAT!B160</f>
        <v>45148</v>
      </c>
      <c r="B157" s="5">
        <f>TITRES_STAT!D160</f>
        <v>5.766</v>
      </c>
      <c r="C157" s="2">
        <f t="shared" si="14"/>
        <v>0</v>
      </c>
      <c r="D157" s="2">
        <f t="shared" si="15"/>
        <v>5.7479999999999993</v>
      </c>
      <c r="E157" s="2">
        <f t="shared" si="16"/>
        <v>5.7524999999999995</v>
      </c>
      <c r="F157" s="2">
        <f t="shared" si="17"/>
        <v>5.7347000000000019</v>
      </c>
      <c r="G157" s="2">
        <f t="shared" si="12"/>
        <v>5.8284199999999986</v>
      </c>
      <c r="H157" s="2"/>
      <c r="I157" s="2">
        <f t="array" ref="I157">SUMPRODUCT(B141:B160, (ROW(B141:B160)-ROW(B141)+1)) / (20*21/2)</f>
        <v>5.7552904761904768</v>
      </c>
      <c r="J157" s="2">
        <f t="shared" si="18"/>
        <v>5.7562776523059629</v>
      </c>
      <c r="K157" s="2">
        <f t="shared" si="13"/>
        <v>5.7440657253230762</v>
      </c>
    </row>
    <row r="158" spans="1:11" ht="13.5" x14ac:dyDescent="0.25">
      <c r="A158" s="3">
        <f>TITRES_STAT!B161</f>
        <v>45149</v>
      </c>
      <c r="B158" s="5">
        <f>TITRES_STAT!D161</f>
        <v>5.766</v>
      </c>
      <c r="C158" s="2">
        <f t="shared" si="14"/>
        <v>0</v>
      </c>
      <c r="D158" s="2">
        <f t="shared" si="15"/>
        <v>5.7569999999999997</v>
      </c>
      <c r="E158" s="2">
        <f t="shared" si="16"/>
        <v>5.7524999999999995</v>
      </c>
      <c r="F158" s="2">
        <f t="shared" si="17"/>
        <v>5.7391500000000013</v>
      </c>
      <c r="G158" s="2">
        <f t="shared" si="12"/>
        <v>5.8263599999999984</v>
      </c>
      <c r="H158" s="2"/>
      <c r="I158" s="2">
        <f t="array" ref="I158">SUMPRODUCT(B142:B161, (ROW(B142:B161)-ROW(B142)+1)) / (20*21/2)</f>
        <v>5.7570000000000006</v>
      </c>
      <c r="J158" s="2">
        <f t="shared" si="18"/>
        <v>5.757203590181585</v>
      </c>
      <c r="K158" s="2">
        <f t="shared" si="13"/>
        <v>5.7449258929574656</v>
      </c>
    </row>
    <row r="159" spans="1:11" ht="13.5" x14ac:dyDescent="0.25">
      <c r="A159" s="3">
        <f>TITRES_STAT!B162</f>
        <v>45152</v>
      </c>
      <c r="B159" s="5">
        <f>TITRES_STAT!D162</f>
        <v>5.766</v>
      </c>
      <c r="C159" s="2">
        <f t="shared" si="14"/>
        <v>0</v>
      </c>
      <c r="D159" s="2">
        <f t="shared" si="15"/>
        <v>5.766</v>
      </c>
      <c r="E159" s="2">
        <f t="shared" si="16"/>
        <v>5.7524999999999995</v>
      </c>
      <c r="F159" s="2">
        <f t="shared" si="17"/>
        <v>5.7436000000000016</v>
      </c>
      <c r="G159" s="2">
        <f t="shared" si="12"/>
        <v>5.8251399999999993</v>
      </c>
      <c r="H159" s="2"/>
      <c r="I159" s="2">
        <f t="array" ref="I159">SUMPRODUCT(B143:B162, (ROW(B143:B162)-ROW(B143)+1)) / (20*21/2)</f>
        <v>5.7574285714285711</v>
      </c>
      <c r="J159" s="2">
        <f t="shared" si="18"/>
        <v>5.7580413434976245</v>
      </c>
      <c r="K159" s="2">
        <f t="shared" si="13"/>
        <v>5.7457523285277619</v>
      </c>
    </row>
    <row r="160" spans="1:11" ht="13.5" x14ac:dyDescent="0.25">
      <c r="A160" s="3">
        <f>TITRES_STAT!B163</f>
        <v>45153</v>
      </c>
      <c r="B160" s="5">
        <f>TITRES_STAT!D163</f>
        <v>5.766</v>
      </c>
      <c r="C160" s="2">
        <f t="shared" si="14"/>
        <v>0</v>
      </c>
      <c r="D160" s="2">
        <f t="shared" si="15"/>
        <v>5.766</v>
      </c>
      <c r="E160" s="2">
        <f t="shared" si="16"/>
        <v>5.7524999999999995</v>
      </c>
      <c r="F160" s="2">
        <f t="shared" si="17"/>
        <v>5.748050000000001</v>
      </c>
      <c r="G160" s="2">
        <f t="shared" si="12"/>
        <v>5.8216000000000001</v>
      </c>
      <c r="H160" s="2"/>
      <c r="I160" s="2">
        <f t="array" ref="I160">SUMPRODUCT(B144:B163, (ROW(B144:B163)-ROW(B144)+1)) / (20*21/2)</f>
        <v>5.7585428571428565</v>
      </c>
      <c r="J160" s="2">
        <f t="shared" si="18"/>
        <v>5.7587993107835649</v>
      </c>
      <c r="K160" s="2">
        <f t="shared" si="13"/>
        <v>5.7465463548600066</v>
      </c>
    </row>
    <row r="161" spans="1:11" ht="13.5" x14ac:dyDescent="0.25">
      <c r="A161" s="3">
        <f>TITRES_STAT!B164</f>
        <v>45154</v>
      </c>
      <c r="B161" s="5">
        <f>TITRES_STAT!D164</f>
        <v>5.766</v>
      </c>
      <c r="C161" s="2">
        <f t="shared" si="14"/>
        <v>0</v>
      </c>
      <c r="D161" s="2">
        <f t="shared" si="15"/>
        <v>5.766</v>
      </c>
      <c r="E161" s="2">
        <f t="shared" si="16"/>
        <v>5.7524999999999995</v>
      </c>
      <c r="F161" s="2">
        <f t="shared" si="17"/>
        <v>5.7525000000000022</v>
      </c>
      <c r="G161" s="2">
        <f t="shared" si="12"/>
        <v>5.8198400000000001</v>
      </c>
      <c r="H161" s="2"/>
      <c r="I161" s="2">
        <f t="array" ref="I161">SUMPRODUCT(B145:B164, (ROW(B145:B164)-ROW(B145)+1)) / (20*21/2)</f>
        <v>5.7594428571428571</v>
      </c>
      <c r="J161" s="2">
        <f t="shared" si="18"/>
        <v>5.7594850907089397</v>
      </c>
      <c r="K161" s="2">
        <f t="shared" si="13"/>
        <v>5.7473092429047128</v>
      </c>
    </row>
    <row r="162" spans="1:11" ht="13.5" x14ac:dyDescent="0.25">
      <c r="A162" s="3">
        <f>TITRES_STAT!B165</f>
        <v>45155</v>
      </c>
      <c r="B162" s="5">
        <f>TITRES_STAT!D165</f>
        <v>5.7569999999999997</v>
      </c>
      <c r="C162" s="2">
        <f t="shared" si="14"/>
        <v>-9.0000000000003411E-3</v>
      </c>
      <c r="D162" s="2">
        <f t="shared" si="15"/>
        <v>5.7641999999999998</v>
      </c>
      <c r="E162" s="2">
        <f t="shared" si="16"/>
        <v>5.7560999999999982</v>
      </c>
      <c r="F162" s="2">
        <f t="shared" si="17"/>
        <v>5.7543000000000024</v>
      </c>
      <c r="G162" s="2">
        <f t="shared" si="12"/>
        <v>5.8164799999999994</v>
      </c>
      <c r="H162" s="2"/>
      <c r="I162" s="2">
        <f t="array" ref="I162">SUMPRODUCT(B146:B165, (ROW(B146:B165)-ROW(B146)+1)) / (20*21/2)</f>
        <v>5.760128571428571</v>
      </c>
      <c r="J162" s="2">
        <f t="shared" si="18"/>
        <v>5.7592484154033263</v>
      </c>
      <c r="K162" s="2">
        <f t="shared" si="13"/>
        <v>5.7476892725947248</v>
      </c>
    </row>
    <row r="163" spans="1:11" ht="13.5" x14ac:dyDescent="0.25">
      <c r="A163" s="3">
        <f>TITRES_STAT!B166</f>
        <v>45156</v>
      </c>
      <c r="B163" s="5">
        <f>TITRES_STAT!D166</f>
        <v>5.766</v>
      </c>
      <c r="C163" s="2">
        <f t="shared" si="14"/>
        <v>9.0000000000003411E-3</v>
      </c>
      <c r="D163" s="2">
        <f t="shared" si="15"/>
        <v>5.7641999999999998</v>
      </c>
      <c r="E163" s="2">
        <f t="shared" si="16"/>
        <v>5.7605999999999984</v>
      </c>
      <c r="F163" s="2">
        <f t="shared" si="17"/>
        <v>5.7565500000000025</v>
      </c>
      <c r="G163" s="2">
        <f t="shared" si="12"/>
        <v>5.8138199999999998</v>
      </c>
      <c r="H163" s="2"/>
      <c r="I163" s="2">
        <f t="array" ref="I163">SUMPRODUCT(B147:B166, (ROW(B147:B166)-ROW(B147)+1)) / (20*21/2)</f>
        <v>5.7641476190476189</v>
      </c>
      <c r="J163" s="2">
        <f t="shared" si="18"/>
        <v>5.7598914234601519</v>
      </c>
      <c r="K163" s="2">
        <f t="shared" si="13"/>
        <v>5.7484073403361089</v>
      </c>
    </row>
    <row r="164" spans="1:11" ht="13.5" x14ac:dyDescent="0.25">
      <c r="A164" s="3">
        <f>TITRES_STAT!B167</f>
        <v>45159</v>
      </c>
      <c r="B164" s="5">
        <f>TITRES_STAT!D167</f>
        <v>5.766</v>
      </c>
      <c r="C164" s="2">
        <f t="shared" si="14"/>
        <v>0</v>
      </c>
      <c r="D164" s="2">
        <f t="shared" si="15"/>
        <v>5.7641999999999998</v>
      </c>
      <c r="E164" s="2">
        <f t="shared" si="16"/>
        <v>5.7650999999999986</v>
      </c>
      <c r="F164" s="2">
        <f t="shared" si="17"/>
        <v>5.7588000000000026</v>
      </c>
      <c r="G164" s="2">
        <f t="shared" si="12"/>
        <v>5.8097399999999997</v>
      </c>
      <c r="H164" s="2"/>
      <c r="I164" s="2">
        <f t="array" ref="I164">SUMPRODUCT(B148:B167, (ROW(B148:B167)-ROW(B148)+1)) / (20*21/2)</f>
        <v>5.7680000000000007</v>
      </c>
      <c r="J164" s="2">
        <f t="shared" si="18"/>
        <v>5.7604731926544233</v>
      </c>
      <c r="K164" s="2">
        <f t="shared" si="13"/>
        <v>5.7490972485582228</v>
      </c>
    </row>
    <row r="165" spans="1:11" ht="13.5" x14ac:dyDescent="0.25">
      <c r="A165" s="3">
        <f>TITRES_STAT!B168</f>
        <v>45160</v>
      </c>
      <c r="B165" s="5">
        <f>TITRES_STAT!D168</f>
        <v>5.766</v>
      </c>
      <c r="C165" s="2">
        <f t="shared" si="14"/>
        <v>0</v>
      </c>
      <c r="D165" s="2">
        <f t="shared" si="15"/>
        <v>5.7641999999999998</v>
      </c>
      <c r="E165" s="2">
        <f t="shared" si="16"/>
        <v>5.7650999999999986</v>
      </c>
      <c r="F165" s="2">
        <f t="shared" si="17"/>
        <v>5.7588000000000026</v>
      </c>
      <c r="G165" s="2">
        <f t="shared" si="12"/>
        <v>5.8058399999999999</v>
      </c>
      <c r="H165" s="2"/>
      <c r="I165" s="2">
        <f t="array" ref="I165">SUMPRODUCT(B149:B168, (ROW(B149:B168)-ROW(B149)+1)) / (20*21/2)</f>
        <v>5.7716857142857148</v>
      </c>
      <c r="J165" s="2">
        <f t="shared" si="18"/>
        <v>5.7609995552587634</v>
      </c>
      <c r="K165" s="2">
        <f t="shared" si="13"/>
        <v>5.7497601015559399</v>
      </c>
    </row>
    <row r="166" spans="1:11" ht="13.5" x14ac:dyDescent="0.25">
      <c r="A166" s="3">
        <f>TITRES_STAT!B169</f>
        <v>45161</v>
      </c>
      <c r="B166" s="5">
        <f>TITRES_STAT!D169</f>
        <v>5.8010000000000002</v>
      </c>
      <c r="C166" s="2">
        <f t="shared" si="14"/>
        <v>3.5000000000000142E-2</v>
      </c>
      <c r="D166" s="2">
        <f t="shared" si="15"/>
        <v>5.7712000000000003</v>
      </c>
      <c r="E166" s="2">
        <f t="shared" si="16"/>
        <v>5.7685999999999993</v>
      </c>
      <c r="F166" s="2">
        <f t="shared" si="17"/>
        <v>5.7605500000000021</v>
      </c>
      <c r="G166" s="2">
        <f t="shared" si="12"/>
        <v>5.8028199999999979</v>
      </c>
      <c r="H166" s="2"/>
      <c r="I166" s="2">
        <f t="array" ref="I166">SUMPRODUCT(B150:B169, (ROW(B150:B169)-ROW(B150)+1)) / (20*21/2)</f>
        <v>5.7752047619047611</v>
      </c>
      <c r="J166" s="2">
        <f t="shared" si="18"/>
        <v>5.7648091214245962</v>
      </c>
      <c r="K166" s="2">
        <f t="shared" si="13"/>
        <v>5.7517695093380601</v>
      </c>
    </row>
    <row r="167" spans="1:11" ht="13.5" x14ac:dyDescent="0.25">
      <c r="A167" s="3">
        <f>TITRES_STAT!B170</f>
        <v>45162</v>
      </c>
      <c r="B167" s="5">
        <f>TITRES_STAT!D170</f>
        <v>5.8010000000000002</v>
      </c>
      <c r="C167" s="2">
        <f t="shared" si="14"/>
        <v>0</v>
      </c>
      <c r="D167" s="2">
        <f t="shared" si="15"/>
        <v>5.7800000000000011</v>
      </c>
      <c r="E167" s="2">
        <f t="shared" si="16"/>
        <v>5.7721</v>
      </c>
      <c r="F167" s="2">
        <f t="shared" si="17"/>
        <v>5.7623000000000015</v>
      </c>
      <c r="G167" s="2">
        <f t="shared" si="12"/>
        <v>5.7997999999999976</v>
      </c>
      <c r="H167" s="2"/>
      <c r="I167" s="2">
        <f t="array" ref="I167">SUMPRODUCT(B151:B170, (ROW(B151:B170)-ROW(B151)+1)) / (20*21/2)</f>
        <v>5.7768428571428583</v>
      </c>
      <c r="J167" s="2">
        <f t="shared" si="18"/>
        <v>5.7682558717651116</v>
      </c>
      <c r="K167" s="2">
        <f t="shared" si="13"/>
        <v>5.7537001168149988</v>
      </c>
    </row>
    <row r="168" spans="1:11" ht="13.5" x14ac:dyDescent="0.25">
      <c r="A168" s="3">
        <f>TITRES_STAT!B171</f>
        <v>45163</v>
      </c>
      <c r="B168" s="5">
        <f>TITRES_STAT!D171</f>
        <v>5.8010000000000002</v>
      </c>
      <c r="C168" s="2">
        <f t="shared" si="14"/>
        <v>0</v>
      </c>
      <c r="D168" s="2">
        <f t="shared" si="15"/>
        <v>5.7870000000000008</v>
      </c>
      <c r="E168" s="2">
        <f t="shared" si="16"/>
        <v>5.7755999999999998</v>
      </c>
      <c r="F168" s="2">
        <f t="shared" si="17"/>
        <v>5.764050000000001</v>
      </c>
      <c r="G168" s="2">
        <f t="shared" si="12"/>
        <v>5.7971399999999971</v>
      </c>
      <c r="H168" s="2"/>
      <c r="I168" s="2">
        <f t="array" ref="I168">SUMPRODUCT(B152:B171, (ROW(B152:B171)-ROW(B152)+1)) / (20*21/2)</f>
        <v>5.7784000000000004</v>
      </c>
      <c r="J168" s="2">
        <f t="shared" si="18"/>
        <v>5.7713743601684344</v>
      </c>
      <c r="K168" s="2">
        <f t="shared" si="13"/>
        <v>5.7555550141948029</v>
      </c>
    </row>
    <row r="169" spans="1:11" ht="13.5" x14ac:dyDescent="0.25">
      <c r="A169" s="3">
        <f>TITRES_STAT!B172</f>
        <v>45166</v>
      </c>
      <c r="B169" s="5">
        <f>TITRES_STAT!D172</f>
        <v>5.8010000000000002</v>
      </c>
      <c r="C169" s="2">
        <f t="shared" si="14"/>
        <v>0</v>
      </c>
      <c r="D169" s="2">
        <f t="shared" si="15"/>
        <v>5.7940000000000014</v>
      </c>
      <c r="E169" s="2">
        <f t="shared" si="16"/>
        <v>5.7791000000000006</v>
      </c>
      <c r="F169" s="2">
        <f t="shared" si="17"/>
        <v>5.7658000000000005</v>
      </c>
      <c r="G169" s="2">
        <f t="shared" si="12"/>
        <v>5.7941199999999968</v>
      </c>
      <c r="H169" s="2"/>
      <c r="I169" s="2">
        <f t="array" ref="I169">SUMPRODUCT(B153:B172, (ROW(B153:B172)-ROW(B153)+1)) / (20*21/2)</f>
        <v>5.778257142857143</v>
      </c>
      <c r="J169" s="2">
        <f t="shared" si="18"/>
        <v>5.7741958496762029</v>
      </c>
      <c r="K169" s="2">
        <f t="shared" si="13"/>
        <v>5.7573371705008887</v>
      </c>
    </row>
    <row r="170" spans="1:11" ht="13.5" x14ac:dyDescent="0.25">
      <c r="A170" s="3">
        <f>TITRES_STAT!B173</f>
        <v>45167</v>
      </c>
      <c r="B170" s="5">
        <f>TITRES_STAT!D173</f>
        <v>5.7830000000000004</v>
      </c>
      <c r="C170" s="2">
        <f t="shared" si="14"/>
        <v>-1.7999999999999794E-2</v>
      </c>
      <c r="D170" s="2">
        <f t="shared" si="15"/>
        <v>5.7974000000000006</v>
      </c>
      <c r="E170" s="2">
        <f t="shared" si="16"/>
        <v>5.780800000000001</v>
      </c>
      <c r="F170" s="2">
        <f t="shared" si="17"/>
        <v>5.7666500000000003</v>
      </c>
      <c r="G170" s="2">
        <f t="shared" si="12"/>
        <v>5.7905599999999966</v>
      </c>
      <c r="H170" s="2"/>
      <c r="I170" s="2">
        <f t="array" ref="I170">SUMPRODUCT(B154:B173, (ROW(B154:B173)-ROW(B154)+1)) / (20*21/2)</f>
        <v>5.7779000000000007</v>
      </c>
      <c r="J170" s="2">
        <f t="shared" si="18"/>
        <v>5.7750343401832316</v>
      </c>
      <c r="K170" s="2">
        <f t="shared" si="13"/>
        <v>5.7583435559714422</v>
      </c>
    </row>
    <row r="171" spans="1:11" ht="13.5" x14ac:dyDescent="0.25">
      <c r="A171" s="3">
        <f>TITRES_STAT!B174</f>
        <v>45168</v>
      </c>
      <c r="B171" s="5">
        <f>TITRES_STAT!D174</f>
        <v>5.7830000000000004</v>
      </c>
      <c r="C171" s="2">
        <f t="shared" si="14"/>
        <v>0</v>
      </c>
      <c r="D171" s="2">
        <f t="shared" si="15"/>
        <v>5.7938000000000001</v>
      </c>
      <c r="E171" s="2">
        <f t="shared" si="16"/>
        <v>5.7825000000000006</v>
      </c>
      <c r="F171" s="2">
        <f t="shared" si="17"/>
        <v>5.7675000000000001</v>
      </c>
      <c r="G171" s="2">
        <f t="shared" si="12"/>
        <v>5.7869999999999973</v>
      </c>
      <c r="H171" s="2"/>
      <c r="I171" s="2">
        <f t="array" ref="I171">SUMPRODUCT(B155:B174, (ROW(B155:B174)-ROW(B155)+1)) / (20*21/2)</f>
        <v>5.7764714285714298</v>
      </c>
      <c r="J171" s="2">
        <f t="shared" si="18"/>
        <v>5.7757929744514955</v>
      </c>
      <c r="K171" s="2">
        <f t="shared" si="13"/>
        <v>5.7593104753451119</v>
      </c>
    </row>
    <row r="172" spans="1:11" ht="13.5" x14ac:dyDescent="0.25">
      <c r="A172" s="3">
        <f>TITRES_STAT!B175</f>
        <v>45169</v>
      </c>
      <c r="B172" s="5">
        <f>TITRES_STAT!D175</f>
        <v>5.766</v>
      </c>
      <c r="C172" s="2">
        <f t="shared" si="14"/>
        <v>-1.7000000000000348E-2</v>
      </c>
      <c r="D172" s="2">
        <f t="shared" si="15"/>
        <v>5.7868000000000013</v>
      </c>
      <c r="E172" s="2">
        <f t="shared" si="16"/>
        <v>5.7834000000000012</v>
      </c>
      <c r="F172" s="2">
        <f t="shared" si="17"/>
        <v>5.7697500000000002</v>
      </c>
      <c r="G172" s="2">
        <f t="shared" si="12"/>
        <v>5.783459999999998</v>
      </c>
      <c r="H172" s="2"/>
      <c r="I172" s="2">
        <f t="array" ref="I172">SUMPRODUCT(B156:B175, (ROW(B156:B175)-ROW(B156)+1)) / (20*21/2)</f>
        <v>5.7748714285714282</v>
      </c>
      <c r="J172" s="2">
        <f t="shared" si="18"/>
        <v>5.7748603102180196</v>
      </c>
      <c r="K172" s="2">
        <f t="shared" si="13"/>
        <v>5.759572809645304</v>
      </c>
    </row>
    <row r="173" spans="1:11" ht="13.5" x14ac:dyDescent="0.25">
      <c r="A173" s="3">
        <f>TITRES_STAT!B176</f>
        <v>45170</v>
      </c>
      <c r="B173" s="5">
        <f>TITRES_STAT!D176</f>
        <v>5.766</v>
      </c>
      <c r="C173" s="2">
        <f t="shared" si="14"/>
        <v>0</v>
      </c>
      <c r="D173" s="2">
        <f t="shared" si="15"/>
        <v>5.7797999999999998</v>
      </c>
      <c r="E173" s="2">
        <f t="shared" si="16"/>
        <v>5.7834000000000003</v>
      </c>
      <c r="F173" s="2">
        <f t="shared" si="17"/>
        <v>5.7720000000000002</v>
      </c>
      <c r="G173" s="2">
        <f t="shared" si="12"/>
        <v>5.7799199999999988</v>
      </c>
      <c r="H173" s="2"/>
      <c r="I173" s="2">
        <f t="array" ref="I173">SUMPRODUCT(B157:B176, (ROW(B157:B176)-ROW(B157)+1)) / (20*21/2)</f>
        <v>5.7733142857142843</v>
      </c>
      <c r="J173" s="2">
        <f t="shared" si="18"/>
        <v>5.7740164711496362</v>
      </c>
      <c r="K173" s="2">
        <f t="shared" si="13"/>
        <v>5.7598248563258805</v>
      </c>
    </row>
    <row r="174" spans="1:11" ht="13.5" x14ac:dyDescent="0.25">
      <c r="A174" s="3">
        <f>TITRES_STAT!B177</f>
        <v>45173</v>
      </c>
      <c r="B174" s="5">
        <f>TITRES_STAT!D177</f>
        <v>5.7569999999999997</v>
      </c>
      <c r="C174" s="2">
        <f t="shared" si="14"/>
        <v>-9.0000000000003411E-3</v>
      </c>
      <c r="D174" s="2">
        <f t="shared" si="15"/>
        <v>5.770999999999999</v>
      </c>
      <c r="E174" s="2">
        <f t="shared" si="16"/>
        <v>5.7825000000000006</v>
      </c>
      <c r="F174" s="2">
        <f t="shared" si="17"/>
        <v>5.7738000000000005</v>
      </c>
      <c r="G174" s="2">
        <f t="shared" si="12"/>
        <v>5.7765599999999981</v>
      </c>
      <c r="H174" s="2"/>
      <c r="I174" s="2">
        <f t="array" ref="I174">SUMPRODUCT(B158:B177, (ROW(B158:B177)-ROW(B158)+1)) / (20*21/2)</f>
        <v>5.7717999999999998</v>
      </c>
      <c r="J174" s="2">
        <f t="shared" si="18"/>
        <v>5.7723958548496705</v>
      </c>
      <c r="K174" s="2">
        <f t="shared" si="13"/>
        <v>5.7597140776464348</v>
      </c>
    </row>
    <row r="175" spans="1:11" ht="13.5" x14ac:dyDescent="0.25">
      <c r="A175" s="3">
        <f>TITRES_STAT!B178</f>
        <v>45174</v>
      </c>
      <c r="B175" s="5">
        <f>TITRES_STAT!D178</f>
        <v>5.7569999999999997</v>
      </c>
      <c r="C175" s="2">
        <f t="shared" si="14"/>
        <v>0</v>
      </c>
      <c r="D175" s="2">
        <f t="shared" si="15"/>
        <v>5.7657999999999987</v>
      </c>
      <c r="E175" s="2">
        <f t="shared" si="16"/>
        <v>5.7815999999999992</v>
      </c>
      <c r="F175" s="2">
        <f t="shared" si="17"/>
        <v>5.7733500000000006</v>
      </c>
      <c r="G175" s="2">
        <f t="shared" si="12"/>
        <v>5.773019999999998</v>
      </c>
      <c r="H175" s="2"/>
      <c r="I175" s="2">
        <f t="array" ref="I175">SUMPRODUCT(B159:B178, (ROW(B159:B178)-ROW(B159)+1)) / (20*21/2)</f>
        <v>5.7703285714285704</v>
      </c>
      <c r="J175" s="2">
        <f t="shared" si="18"/>
        <v>5.7709295829592255</v>
      </c>
      <c r="K175" s="2">
        <f t="shared" si="13"/>
        <v>5.7596076432289278</v>
      </c>
    </row>
    <row r="176" spans="1:11" ht="13.5" x14ac:dyDescent="0.25">
      <c r="A176" s="3">
        <f>TITRES_STAT!B179</f>
        <v>45175</v>
      </c>
      <c r="B176" s="5">
        <f>TITRES_STAT!D179</f>
        <v>5.7569999999999997</v>
      </c>
      <c r="C176" s="2">
        <f t="shared" si="14"/>
        <v>0</v>
      </c>
      <c r="D176" s="2">
        <f t="shared" si="15"/>
        <v>5.7605999999999993</v>
      </c>
      <c r="E176" s="2">
        <f t="shared" si="16"/>
        <v>5.7771999999999988</v>
      </c>
      <c r="F176" s="2">
        <f t="shared" si="17"/>
        <v>5.7729000000000017</v>
      </c>
      <c r="G176" s="2">
        <f t="shared" si="12"/>
        <v>5.7692999999999985</v>
      </c>
      <c r="H176" s="2"/>
      <c r="I176" s="2">
        <f t="array" ref="I176">SUMPRODUCT(B160:B179, (ROW(B160:B179)-ROW(B160)+1)) / (20*21/2)</f>
        <v>5.7689000000000004</v>
      </c>
      <c r="J176" s="2">
        <f t="shared" si="18"/>
        <v>5.7696029560107274</v>
      </c>
      <c r="K176" s="2">
        <f t="shared" si="13"/>
        <v>5.759505382710147</v>
      </c>
    </row>
    <row r="177" spans="1:11" ht="13.5" x14ac:dyDescent="0.25">
      <c r="A177" s="3">
        <f>TITRES_STAT!B180</f>
        <v>45176</v>
      </c>
      <c r="B177" s="5">
        <f>TITRES_STAT!D180</f>
        <v>5.7569999999999997</v>
      </c>
      <c r="C177" s="2">
        <f t="shared" si="14"/>
        <v>0</v>
      </c>
      <c r="D177" s="2">
        <f t="shared" si="15"/>
        <v>5.758799999999999</v>
      </c>
      <c r="E177" s="2">
        <f t="shared" si="16"/>
        <v>5.7727999999999993</v>
      </c>
      <c r="F177" s="2">
        <f t="shared" si="17"/>
        <v>5.772450000000001</v>
      </c>
      <c r="G177" s="2">
        <f t="shared" si="12"/>
        <v>5.7657599999999976</v>
      </c>
      <c r="H177" s="2"/>
      <c r="I177" s="2">
        <f t="array" ref="I177">SUMPRODUCT(B161:B180, (ROW(B161:B180)-ROW(B161)+1)) / (20*21/2)</f>
        <v>5.7675142857142854</v>
      </c>
      <c r="J177" s="2">
        <f t="shared" si="18"/>
        <v>5.7684026744858956</v>
      </c>
      <c r="K177" s="2">
        <f t="shared" si="13"/>
        <v>5.7594071324077891</v>
      </c>
    </row>
    <row r="178" spans="1:11" ht="13.5" x14ac:dyDescent="0.25">
      <c r="A178" s="3">
        <f>TITRES_STAT!B181</f>
        <v>45177</v>
      </c>
      <c r="B178" s="5">
        <f>TITRES_STAT!D181</f>
        <v>5.7569999999999997</v>
      </c>
      <c r="C178" s="2">
        <f t="shared" si="14"/>
        <v>0</v>
      </c>
      <c r="D178" s="2">
        <f t="shared" si="15"/>
        <v>5.7569999999999997</v>
      </c>
      <c r="E178" s="2">
        <f t="shared" si="16"/>
        <v>5.7683999999999989</v>
      </c>
      <c r="F178" s="2">
        <f t="shared" si="17"/>
        <v>5.772000000000002</v>
      </c>
      <c r="G178" s="2">
        <f t="shared" ref="G178:G241" si="19">AVERAGE(B129:B178)</f>
        <v>5.7623999999999977</v>
      </c>
      <c r="H178" s="2"/>
      <c r="I178" s="2">
        <f t="array" ref="I178">SUMPRODUCT(B162:B181, (ROW(B162:B181)-ROW(B162)+1)) / (20*21/2)</f>
        <v>5.7653142857142852</v>
      </c>
      <c r="J178" s="2">
        <f t="shared" si="18"/>
        <v>5.7673167054872385</v>
      </c>
      <c r="K178" s="2">
        <f t="shared" si="13"/>
        <v>5.7593127350584643</v>
      </c>
    </row>
    <row r="179" spans="1:11" ht="13.5" x14ac:dyDescent="0.25">
      <c r="A179" s="3">
        <f>TITRES_STAT!B182</f>
        <v>45180</v>
      </c>
      <c r="B179" s="5">
        <f>TITRES_STAT!D182</f>
        <v>5.7569999999999997</v>
      </c>
      <c r="C179" s="2">
        <f t="shared" si="14"/>
        <v>0</v>
      </c>
      <c r="D179" s="2">
        <f t="shared" si="15"/>
        <v>5.7569999999999997</v>
      </c>
      <c r="E179" s="2">
        <f t="shared" si="16"/>
        <v>5.7639999999999985</v>
      </c>
      <c r="F179" s="2">
        <f t="shared" si="17"/>
        <v>5.7715500000000022</v>
      </c>
      <c r="G179" s="2">
        <f t="shared" si="19"/>
        <v>5.7590399999999979</v>
      </c>
      <c r="H179" s="2"/>
      <c r="I179" s="2">
        <f t="array" ref="I179">SUMPRODUCT(B163:B182, (ROW(B163:B182)-ROW(B163)+1)) / (20*21/2)</f>
        <v>5.7623428571428574</v>
      </c>
      <c r="J179" s="2">
        <f t="shared" si="18"/>
        <v>5.7663341621075013</v>
      </c>
      <c r="K179" s="2">
        <f t="shared" ref="K179:K242" si="20">$K$4*B179+(1-$K$4)*K178</f>
        <v>5.7592220395659757</v>
      </c>
    </row>
    <row r="180" spans="1:11" ht="13.5" x14ac:dyDescent="0.25">
      <c r="A180" s="3">
        <f>TITRES_STAT!B183</f>
        <v>45181</v>
      </c>
      <c r="B180" s="5">
        <f>TITRES_STAT!D183</f>
        <v>5.7569999999999997</v>
      </c>
      <c r="C180" s="2">
        <f t="shared" si="14"/>
        <v>0</v>
      </c>
      <c r="D180" s="2">
        <f t="shared" si="15"/>
        <v>5.7569999999999997</v>
      </c>
      <c r="E180" s="2">
        <f t="shared" si="16"/>
        <v>5.7613999999999983</v>
      </c>
      <c r="F180" s="2">
        <f t="shared" si="17"/>
        <v>5.7711000000000023</v>
      </c>
      <c r="G180" s="2">
        <f t="shared" si="19"/>
        <v>5.7563799999999983</v>
      </c>
      <c r="H180" s="2"/>
      <c r="I180" s="2">
        <f t="array" ref="I180">SUMPRODUCT(B164:B183, (ROW(B164:B183)-ROW(B164)+1)) / (20*21/2)</f>
        <v>5.7594571428571424</v>
      </c>
      <c r="J180" s="2">
        <f t="shared" si="18"/>
        <v>5.7654451942877394</v>
      </c>
      <c r="K180" s="2">
        <f t="shared" si="20"/>
        <v>5.7591349007594674</v>
      </c>
    </row>
    <row r="181" spans="1:11" ht="13.5" x14ac:dyDescent="0.25">
      <c r="A181" s="3">
        <f>TITRES_STAT!B184</f>
        <v>45182</v>
      </c>
      <c r="B181" s="5">
        <f>TITRES_STAT!D184</f>
        <v>5.7480000000000002</v>
      </c>
      <c r="C181" s="2">
        <f t="shared" si="14"/>
        <v>-8.9999999999994529E-3</v>
      </c>
      <c r="D181" s="2">
        <f t="shared" si="15"/>
        <v>5.7552000000000003</v>
      </c>
      <c r="E181" s="2">
        <f t="shared" si="16"/>
        <v>5.7578999999999985</v>
      </c>
      <c r="F181" s="2">
        <f t="shared" si="17"/>
        <v>5.7702000000000027</v>
      </c>
      <c r="G181" s="2">
        <f t="shared" si="19"/>
        <v>5.7535399999999983</v>
      </c>
      <c r="H181" s="2"/>
      <c r="I181" s="2">
        <f t="array" ref="I181">SUMPRODUCT(B165:B184, (ROW(B165:B184)-ROW(B165)+1)) / (20*21/2)</f>
        <v>5.7541285714285708</v>
      </c>
      <c r="J181" s="2">
        <f t="shared" si="18"/>
        <v>5.7637837472127167</v>
      </c>
      <c r="K181" s="2">
        <f t="shared" si="20"/>
        <v>5.7586982379845866</v>
      </c>
    </row>
    <row r="182" spans="1:11" ht="13.5" x14ac:dyDescent="0.25">
      <c r="A182" s="3">
        <f>TITRES_STAT!B185</f>
        <v>45183</v>
      </c>
      <c r="B182" s="5">
        <f>TITRES_STAT!D185</f>
        <v>5.7389999999999999</v>
      </c>
      <c r="C182" s="2">
        <f t="shared" si="14"/>
        <v>-9.0000000000003411E-3</v>
      </c>
      <c r="D182" s="2">
        <f t="shared" si="15"/>
        <v>5.7516000000000007</v>
      </c>
      <c r="E182" s="2">
        <f t="shared" si="16"/>
        <v>5.7551999999999985</v>
      </c>
      <c r="F182" s="2">
        <f t="shared" si="17"/>
        <v>5.769300000000003</v>
      </c>
      <c r="G182" s="2">
        <f t="shared" si="19"/>
        <v>5.7510599999999981</v>
      </c>
      <c r="H182" s="2"/>
      <c r="I182" s="2">
        <f t="array" ref="I182">SUMPRODUCT(B166:B185, (ROW(B166:B185)-ROW(B166)+1)) / (20*21/2)</f>
        <v>5.7499142857142855</v>
      </c>
      <c r="J182" s="2">
        <f t="shared" si="18"/>
        <v>5.7614233903353149</v>
      </c>
      <c r="K182" s="2">
        <f t="shared" si="20"/>
        <v>5.7579257580636227</v>
      </c>
    </row>
    <row r="183" spans="1:11" ht="13.5" x14ac:dyDescent="0.25">
      <c r="A183" s="3">
        <f>TITRES_STAT!B186</f>
        <v>45184</v>
      </c>
      <c r="B183" s="5">
        <f>TITRES_STAT!D186</f>
        <v>5.7389999999999999</v>
      </c>
      <c r="C183" s="2">
        <f t="shared" si="14"/>
        <v>0</v>
      </c>
      <c r="D183" s="2">
        <f t="shared" si="15"/>
        <v>5.7480000000000002</v>
      </c>
      <c r="E183" s="2">
        <f t="shared" si="16"/>
        <v>5.7524999999999986</v>
      </c>
      <c r="F183" s="2">
        <f t="shared" si="17"/>
        <v>5.7679500000000017</v>
      </c>
      <c r="G183" s="2">
        <f t="shared" si="19"/>
        <v>5.7505199999999972</v>
      </c>
      <c r="H183" s="2"/>
      <c r="I183" s="2">
        <f t="array" ref="I183">SUMPRODUCT(B167:B186, (ROW(B167:B186)-ROW(B167)+1)) / (20*21/2)</f>
        <v>5.745914285714286</v>
      </c>
      <c r="J183" s="2">
        <f t="shared" si="18"/>
        <v>5.759287829350999</v>
      </c>
      <c r="K183" s="2">
        <f t="shared" si="20"/>
        <v>5.7571835714728925</v>
      </c>
    </row>
    <row r="184" spans="1:11" ht="13.5" x14ac:dyDescent="0.25">
      <c r="A184" s="3">
        <f>TITRES_STAT!B187</f>
        <v>45187</v>
      </c>
      <c r="B184" s="5">
        <f>TITRES_STAT!D187</f>
        <v>5.7119999999999997</v>
      </c>
      <c r="C184" s="2">
        <f t="shared" si="14"/>
        <v>-2.7000000000000135E-2</v>
      </c>
      <c r="D184" s="2">
        <f t="shared" si="15"/>
        <v>5.7389999999999999</v>
      </c>
      <c r="E184" s="2">
        <f t="shared" si="16"/>
        <v>5.7479999999999993</v>
      </c>
      <c r="F184" s="2">
        <f t="shared" si="17"/>
        <v>5.7652500000000018</v>
      </c>
      <c r="G184" s="2">
        <f t="shared" si="19"/>
        <v>5.7494399999999972</v>
      </c>
      <c r="H184" s="2"/>
      <c r="I184" s="2">
        <f t="array" ref="I184">SUMPRODUCT(B168:B187, (ROW(B168:B187)-ROW(B168)+1)) / (20*21/2)</f>
        <v>5.7440095238095239</v>
      </c>
      <c r="J184" s="2">
        <f t="shared" si="18"/>
        <v>5.7547842265556657</v>
      </c>
      <c r="K184" s="2">
        <f t="shared" si="20"/>
        <v>5.7554116667092501</v>
      </c>
    </row>
    <row r="185" spans="1:11" ht="13.5" x14ac:dyDescent="0.25">
      <c r="A185" s="3">
        <f>TITRES_STAT!B188</f>
        <v>45188</v>
      </c>
      <c r="B185" s="5">
        <f>TITRES_STAT!D188</f>
        <v>5.7210000000000001</v>
      </c>
      <c r="C185" s="2">
        <f t="shared" si="14"/>
        <v>9.0000000000003411E-3</v>
      </c>
      <c r="D185" s="2">
        <f t="shared" si="15"/>
        <v>5.7317999999999998</v>
      </c>
      <c r="E185" s="2">
        <f t="shared" si="16"/>
        <v>5.7443999999999988</v>
      </c>
      <c r="F185" s="2">
        <f t="shared" si="17"/>
        <v>5.7630000000000017</v>
      </c>
      <c r="G185" s="2">
        <f t="shared" si="19"/>
        <v>5.7485399999999967</v>
      </c>
      <c r="H185" s="2"/>
      <c r="I185" s="2">
        <f t="array" ref="I185">SUMPRODUCT(B169:B188, (ROW(B169:B188)-ROW(B169)+1)) / (20*21/2)</f>
        <v>5.7423999999999999</v>
      </c>
      <c r="J185" s="2">
        <f t="shared" si="18"/>
        <v>5.7515666811694111</v>
      </c>
      <c r="K185" s="2">
        <f t="shared" si="20"/>
        <v>5.7540621895833972</v>
      </c>
    </row>
    <row r="186" spans="1:11" ht="13.5" x14ac:dyDescent="0.25">
      <c r="A186" s="3">
        <f>TITRES_STAT!B189</f>
        <v>45189</v>
      </c>
      <c r="B186" s="5">
        <f>TITRES_STAT!D189</f>
        <v>5.7210000000000001</v>
      </c>
      <c r="C186" s="2">
        <f t="shared" si="14"/>
        <v>0</v>
      </c>
      <c r="D186" s="2">
        <f t="shared" si="15"/>
        <v>5.7263999999999999</v>
      </c>
      <c r="E186" s="2">
        <f t="shared" si="16"/>
        <v>5.7408000000000001</v>
      </c>
      <c r="F186" s="2">
        <f t="shared" si="17"/>
        <v>5.7590000000000012</v>
      </c>
      <c r="G186" s="2">
        <f t="shared" si="19"/>
        <v>5.749419999999998</v>
      </c>
      <c r="H186" s="2"/>
      <c r="I186" s="2">
        <f t="array" ref="I186">SUMPRODUCT(B170:B189, (ROW(B170:B189)-ROW(B170)+1)) / (20*21/2)</f>
        <v>5.7402285714285721</v>
      </c>
      <c r="J186" s="2">
        <f t="shared" si="18"/>
        <v>5.7486555686770862</v>
      </c>
      <c r="K186" s="2">
        <f t="shared" si="20"/>
        <v>5.7527656331291466</v>
      </c>
    </row>
    <row r="187" spans="1:11" ht="13.5" x14ac:dyDescent="0.25">
      <c r="A187" s="3">
        <f>TITRES_STAT!B190</f>
        <v>45190</v>
      </c>
      <c r="B187" s="5">
        <f>TITRES_STAT!D190</f>
        <v>5.7389999999999999</v>
      </c>
      <c r="C187" s="2">
        <f t="shared" si="14"/>
        <v>1.7999999999999794E-2</v>
      </c>
      <c r="D187" s="2">
        <f t="shared" si="15"/>
        <v>5.7263999999999999</v>
      </c>
      <c r="E187" s="2">
        <f t="shared" si="16"/>
        <v>5.7390000000000008</v>
      </c>
      <c r="F187" s="2">
        <f t="shared" si="17"/>
        <v>5.7559000000000013</v>
      </c>
      <c r="G187" s="2">
        <f t="shared" si="19"/>
        <v>5.7506599999999981</v>
      </c>
      <c r="H187" s="2"/>
      <c r="I187" s="2">
        <f t="array" ref="I187">SUMPRODUCT(B171:B190, (ROW(B171:B190)-ROW(B171)+1)) / (20*21/2)</f>
        <v>5.7383952380952383</v>
      </c>
      <c r="J187" s="2">
        <f t="shared" si="18"/>
        <v>5.7477359907078398</v>
      </c>
      <c r="K187" s="2">
        <f t="shared" si="20"/>
        <v>5.752225804378984</v>
      </c>
    </row>
    <row r="188" spans="1:11" ht="13.5" x14ac:dyDescent="0.25">
      <c r="A188" s="3">
        <f>TITRES_STAT!B191</f>
        <v>45191</v>
      </c>
      <c r="B188" s="5">
        <f>TITRES_STAT!D191</f>
        <v>5.7389999999999999</v>
      </c>
      <c r="C188" s="2">
        <f t="shared" si="14"/>
        <v>0</v>
      </c>
      <c r="D188" s="2">
        <f t="shared" si="15"/>
        <v>5.7263999999999999</v>
      </c>
      <c r="E188" s="2">
        <f t="shared" si="16"/>
        <v>5.7371999999999996</v>
      </c>
      <c r="F188" s="2">
        <f t="shared" si="17"/>
        <v>5.7528000000000015</v>
      </c>
      <c r="G188" s="2">
        <f t="shared" si="19"/>
        <v>5.7518999999999982</v>
      </c>
      <c r="H188" s="2"/>
      <c r="I188" s="2">
        <f t="array" ref="I188">SUMPRODUCT(B172:B191, (ROW(B172:B191)-ROW(B172)+1)) / (20*21/2)</f>
        <v>5.7359571428571439</v>
      </c>
      <c r="J188" s="2">
        <f t="shared" si="18"/>
        <v>5.7469039915928075</v>
      </c>
      <c r="K188" s="2">
        <f t="shared" si="20"/>
        <v>5.7517071453837296</v>
      </c>
    </row>
    <row r="189" spans="1:11" ht="13.5" x14ac:dyDescent="0.25">
      <c r="A189" s="3">
        <f>TITRES_STAT!B192</f>
        <v>45194</v>
      </c>
      <c r="B189" s="5">
        <f>TITRES_STAT!D192</f>
        <v>5.73</v>
      </c>
      <c r="C189" s="2">
        <f t="shared" si="14"/>
        <v>-8.9999999999994529E-3</v>
      </c>
      <c r="D189" s="2">
        <f t="shared" si="15"/>
        <v>5.73</v>
      </c>
      <c r="E189" s="2">
        <f t="shared" si="16"/>
        <v>5.7344999999999997</v>
      </c>
      <c r="F189" s="2">
        <f t="shared" si="17"/>
        <v>5.7492500000000009</v>
      </c>
      <c r="G189" s="2">
        <f t="shared" si="19"/>
        <v>5.7529599999999981</v>
      </c>
      <c r="H189" s="2"/>
      <c r="I189" s="2">
        <f t="array" ref="I189">SUMPRODUCT(B173:B192, (ROW(B173:B192)-ROW(B173)+1)) / (20*21/2)</f>
        <v>5.7321952380952377</v>
      </c>
      <c r="J189" s="2">
        <f t="shared" si="18"/>
        <v>5.7452940876315877</v>
      </c>
      <c r="K189" s="2">
        <f t="shared" si="20"/>
        <v>5.7508558847804458</v>
      </c>
    </row>
    <row r="190" spans="1:11" ht="13.5" x14ac:dyDescent="0.25">
      <c r="A190" s="3">
        <f>TITRES_STAT!B193</f>
        <v>45195</v>
      </c>
      <c r="B190" s="5">
        <f>TITRES_STAT!D193</f>
        <v>5.73</v>
      </c>
      <c r="C190" s="2">
        <f t="shared" si="14"/>
        <v>0</v>
      </c>
      <c r="D190" s="2">
        <f t="shared" si="15"/>
        <v>5.7318000000000007</v>
      </c>
      <c r="E190" s="2">
        <f t="shared" si="16"/>
        <v>5.7317999999999998</v>
      </c>
      <c r="F190" s="2">
        <f t="shared" si="17"/>
        <v>5.7466000000000008</v>
      </c>
      <c r="G190" s="2">
        <f t="shared" si="19"/>
        <v>5.7540199999999979</v>
      </c>
      <c r="H190" s="2"/>
      <c r="I190" s="2">
        <f t="array" ref="I190">SUMPRODUCT(B174:B193, (ROW(B174:B193)-ROW(B174)+1)) / (20*21/2)</f>
        <v>5.7294904761904757</v>
      </c>
      <c r="J190" s="2">
        <f t="shared" si="18"/>
        <v>5.7438375078571502</v>
      </c>
      <c r="K190" s="2">
        <f t="shared" si="20"/>
        <v>5.7500380069459185</v>
      </c>
    </row>
    <row r="191" spans="1:11" ht="13.5" x14ac:dyDescent="0.25">
      <c r="A191" s="3">
        <f>TITRES_STAT!B194</f>
        <v>45197</v>
      </c>
      <c r="B191" s="5">
        <f>TITRES_STAT!D194</f>
        <v>5.7210000000000001</v>
      </c>
      <c r="C191" s="2">
        <f t="shared" si="14"/>
        <v>-9.0000000000003411E-3</v>
      </c>
      <c r="D191" s="2">
        <f t="shared" si="15"/>
        <v>5.7317999999999998</v>
      </c>
      <c r="E191" s="2">
        <f t="shared" si="16"/>
        <v>5.7290999999999999</v>
      </c>
      <c r="F191" s="2">
        <f t="shared" si="17"/>
        <v>5.7435000000000009</v>
      </c>
      <c r="G191" s="2">
        <f t="shared" si="19"/>
        <v>5.7548999999999992</v>
      </c>
      <c r="H191" s="2"/>
      <c r="I191" s="2">
        <f t="array" ref="I191">SUMPRODUCT(B175:B194, (ROW(B175:B194)-ROW(B175)+1)) / (20*21/2)</f>
        <v>5.7262809523809528</v>
      </c>
      <c r="J191" s="2">
        <f t="shared" si="18"/>
        <v>5.7416625071088498</v>
      </c>
      <c r="K191" s="2">
        <f t="shared" si="20"/>
        <v>5.7488992615754908</v>
      </c>
    </row>
    <row r="192" spans="1:11" ht="13.5" x14ac:dyDescent="0.25">
      <c r="A192" s="3">
        <f>TITRES_STAT!B195</f>
        <v>45198</v>
      </c>
      <c r="B192" s="5">
        <f>TITRES_STAT!D195</f>
        <v>5.7039999999999997</v>
      </c>
      <c r="C192" s="2">
        <f t="shared" si="14"/>
        <v>-1.7000000000000348E-2</v>
      </c>
      <c r="D192" s="2">
        <f t="shared" si="15"/>
        <v>5.7248000000000001</v>
      </c>
      <c r="E192" s="2">
        <f t="shared" si="16"/>
        <v>5.7256000000000009</v>
      </c>
      <c r="F192" s="2">
        <f t="shared" si="17"/>
        <v>5.7404000000000002</v>
      </c>
      <c r="G192" s="2">
        <f t="shared" si="19"/>
        <v>5.7545600000000006</v>
      </c>
      <c r="H192" s="2"/>
      <c r="I192" s="2">
        <f t="array" ref="I192">SUMPRODUCT(B176:B195, (ROW(B176:B195)-ROW(B176)+1)) / (20*21/2)</f>
        <v>5.7233238095238104</v>
      </c>
      <c r="J192" s="2">
        <f t="shared" si="18"/>
        <v>5.7380756016699115</v>
      </c>
      <c r="K192" s="2">
        <f t="shared" si="20"/>
        <v>5.7471385062195894</v>
      </c>
    </row>
    <row r="193" spans="1:11" ht="13.5" x14ac:dyDescent="0.25">
      <c r="A193" s="3">
        <f>TITRES_STAT!B196</f>
        <v>45201</v>
      </c>
      <c r="B193" s="5">
        <f>TITRES_STAT!D196</f>
        <v>5.7119999999999997</v>
      </c>
      <c r="C193" s="2">
        <f t="shared" si="14"/>
        <v>8.0000000000000071E-3</v>
      </c>
      <c r="D193" s="2">
        <f t="shared" si="15"/>
        <v>5.7194000000000003</v>
      </c>
      <c r="E193" s="2">
        <f t="shared" si="16"/>
        <v>5.7229000000000001</v>
      </c>
      <c r="F193" s="2">
        <f t="shared" si="17"/>
        <v>5.7377000000000002</v>
      </c>
      <c r="G193" s="2">
        <f t="shared" si="19"/>
        <v>5.7543800000000012</v>
      </c>
      <c r="H193" s="2"/>
      <c r="I193" s="2">
        <f t="array" ref="I193">SUMPRODUCT(B177:B196, (ROW(B177:B196)-ROW(B177)+1)) / (20*21/2)</f>
        <v>5.7206190476190484</v>
      </c>
      <c r="J193" s="2">
        <f t="shared" si="18"/>
        <v>5.7355922110346818</v>
      </c>
      <c r="K193" s="2">
        <f t="shared" si="20"/>
        <v>5.7457605255835276</v>
      </c>
    </row>
    <row r="194" spans="1:11" ht="13.5" x14ac:dyDescent="0.25">
      <c r="A194" s="3">
        <f>TITRES_STAT!B197</f>
        <v>45202</v>
      </c>
      <c r="B194" s="5">
        <f>TITRES_STAT!D197</f>
        <v>5.7039999999999997</v>
      </c>
      <c r="C194" s="2">
        <f t="shared" si="14"/>
        <v>-8.0000000000000071E-3</v>
      </c>
      <c r="D194" s="2">
        <f t="shared" si="15"/>
        <v>5.7141999999999999</v>
      </c>
      <c r="E194" s="2">
        <f t="shared" si="16"/>
        <v>5.7220999999999993</v>
      </c>
      <c r="F194" s="2">
        <f t="shared" si="17"/>
        <v>5.7350500000000002</v>
      </c>
      <c r="G194" s="2">
        <f t="shared" si="19"/>
        <v>5.7540400000000007</v>
      </c>
      <c r="H194" s="2"/>
      <c r="I194" s="2">
        <f t="array" ref="I194">SUMPRODUCT(B178:B197, (ROW(B178:B197)-ROW(B178)+1)) / (20*21/2)</f>
        <v>5.7181666666666668</v>
      </c>
      <c r="J194" s="2">
        <f t="shared" si="18"/>
        <v>5.7325834290313784</v>
      </c>
      <c r="K194" s="2">
        <f t="shared" si="20"/>
        <v>5.7441228579135855</v>
      </c>
    </row>
    <row r="195" spans="1:11" ht="13.5" x14ac:dyDescent="0.25">
      <c r="A195" s="3">
        <f>TITRES_STAT!B198</f>
        <v>45203</v>
      </c>
      <c r="B195" s="5">
        <f>TITRES_STAT!D198</f>
        <v>5.7039999999999997</v>
      </c>
      <c r="C195" s="2">
        <f t="shared" si="14"/>
        <v>0</v>
      </c>
      <c r="D195" s="2">
        <f t="shared" si="15"/>
        <v>5.7090000000000005</v>
      </c>
      <c r="E195" s="2">
        <f t="shared" si="16"/>
        <v>5.7204000000000006</v>
      </c>
      <c r="F195" s="2">
        <f t="shared" si="17"/>
        <v>5.7324000000000002</v>
      </c>
      <c r="G195" s="2">
        <f t="shared" si="19"/>
        <v>5.7528000000000006</v>
      </c>
      <c r="H195" s="2"/>
      <c r="I195" s="2">
        <f t="array" ref="I195">SUMPRODUCT(B179:B198, (ROW(B179:B198)-ROW(B179)+1)) / (20*21/2)</f>
        <v>5.7175857142857138</v>
      </c>
      <c r="J195" s="2">
        <f t="shared" si="18"/>
        <v>5.7298611976950564</v>
      </c>
      <c r="K195" s="2">
        <f t="shared" si="20"/>
        <v>5.7425494125052099</v>
      </c>
    </row>
    <row r="196" spans="1:11" ht="13.5" x14ac:dyDescent="0.25">
      <c r="A196" s="3">
        <f>TITRES_STAT!B199</f>
        <v>45204</v>
      </c>
      <c r="B196" s="5">
        <f>TITRES_STAT!D199</f>
        <v>5.7039999999999997</v>
      </c>
      <c r="C196" s="2">
        <f t="shared" ref="C196:C259" si="21">B196-B195</f>
        <v>0</v>
      </c>
      <c r="D196" s="2">
        <f t="shared" si="15"/>
        <v>5.7056000000000004</v>
      </c>
      <c r="E196" s="2">
        <f t="shared" si="16"/>
        <v>5.7187000000000001</v>
      </c>
      <c r="F196" s="2">
        <f t="shared" si="17"/>
        <v>5.7297499999999992</v>
      </c>
      <c r="G196" s="2">
        <f t="shared" si="19"/>
        <v>5.7515600000000004</v>
      </c>
      <c r="H196" s="2"/>
      <c r="I196" s="2">
        <f t="array" ref="I196">SUMPRODUCT(B180:B199, (ROW(B180:B199)-ROW(B180)+1)) / (20*21/2)</f>
        <v>5.7138428571428577</v>
      </c>
      <c r="J196" s="2">
        <f t="shared" si="18"/>
        <v>5.7273982264860033</v>
      </c>
      <c r="K196" s="2">
        <f t="shared" si="20"/>
        <v>5.741037670838339</v>
      </c>
    </row>
    <row r="197" spans="1:11" ht="13.5" x14ac:dyDescent="0.25">
      <c r="A197" s="3">
        <f>TITRES_STAT!B200</f>
        <v>45205</v>
      </c>
      <c r="B197" s="5">
        <f>TITRES_STAT!D200</f>
        <v>5.7039999999999997</v>
      </c>
      <c r="C197" s="2">
        <f t="shared" si="21"/>
        <v>0</v>
      </c>
      <c r="D197" s="2">
        <f t="shared" si="15"/>
        <v>5.7056000000000004</v>
      </c>
      <c r="E197" s="2">
        <f t="shared" si="16"/>
        <v>5.7152000000000003</v>
      </c>
      <c r="F197" s="2">
        <f t="shared" si="17"/>
        <v>5.7270999999999992</v>
      </c>
      <c r="G197" s="2">
        <f t="shared" si="19"/>
        <v>5.7503200000000003</v>
      </c>
      <c r="H197" s="2"/>
      <c r="I197" s="2">
        <f t="array" ref="I197">SUMPRODUCT(B181:B200, (ROW(B181:B200)-ROW(B181)+1)) / (20*21/2)</f>
        <v>5.7104380952380964</v>
      </c>
      <c r="J197" s="2">
        <f t="shared" si="18"/>
        <v>5.7251698239635269</v>
      </c>
      <c r="K197" s="2">
        <f t="shared" si="20"/>
        <v>5.7395852131584046</v>
      </c>
    </row>
    <row r="198" spans="1:11" ht="13.5" x14ac:dyDescent="0.25">
      <c r="A198" s="3">
        <f>TITRES_STAT!B201</f>
        <v>45208</v>
      </c>
      <c r="B198" s="5">
        <f>TITRES_STAT!D201</f>
        <v>5.7210000000000001</v>
      </c>
      <c r="C198" s="2">
        <f t="shared" si="21"/>
        <v>1.7000000000000348E-2</v>
      </c>
      <c r="D198" s="2">
        <f t="shared" ref="D198:D261" si="22">AVERAGE(B194:B198)</f>
        <v>5.7073999999999998</v>
      </c>
      <c r="E198" s="2">
        <f t="shared" si="16"/>
        <v>5.7134</v>
      </c>
      <c r="F198" s="2">
        <f t="shared" si="17"/>
        <v>5.7252999999999989</v>
      </c>
      <c r="G198" s="2">
        <f t="shared" si="19"/>
        <v>5.7494200000000015</v>
      </c>
      <c r="H198" s="2"/>
      <c r="I198" s="2">
        <f t="array" ref="I198">SUMPRODUCT(B182:B201, (ROW(B182:B201)-ROW(B182)+1)) / (20*21/2)</f>
        <v>5.7073714285714283</v>
      </c>
      <c r="J198" s="2">
        <f t="shared" si="18"/>
        <v>5.7247726978717619</v>
      </c>
      <c r="K198" s="2">
        <f t="shared" si="20"/>
        <v>5.7388563812698399</v>
      </c>
    </row>
    <row r="199" spans="1:11" ht="13.5" x14ac:dyDescent="0.25">
      <c r="A199" s="3">
        <f>TITRES_STAT!B202</f>
        <v>45209</v>
      </c>
      <c r="B199" s="5">
        <f>TITRES_STAT!D202</f>
        <v>5.6859999999999999</v>
      </c>
      <c r="C199" s="2">
        <f t="shared" si="21"/>
        <v>-3.5000000000000142E-2</v>
      </c>
      <c r="D199" s="2">
        <f t="shared" si="22"/>
        <v>5.7037999999999993</v>
      </c>
      <c r="E199" s="2">
        <f t="shared" si="16"/>
        <v>5.7089999999999996</v>
      </c>
      <c r="F199" s="2">
        <f t="shared" si="17"/>
        <v>5.7217499999999983</v>
      </c>
      <c r="G199" s="2">
        <f t="shared" si="19"/>
        <v>5.7478200000000008</v>
      </c>
      <c r="H199" s="2"/>
      <c r="I199" s="2">
        <f t="array" ref="I199">SUMPRODUCT(B183:B202, (ROW(B183:B202)-ROW(B183)+1)) / (20*21/2)</f>
        <v>5.7054571428571439</v>
      </c>
      <c r="J199" s="2">
        <f t="shared" si="18"/>
        <v>5.7210800599792133</v>
      </c>
      <c r="K199" s="2">
        <f t="shared" si="20"/>
        <v>5.7367835820043567</v>
      </c>
    </row>
    <row r="200" spans="1:11" ht="13.5" x14ac:dyDescent="0.25">
      <c r="A200" s="3">
        <f>TITRES_STAT!B203</f>
        <v>45210</v>
      </c>
      <c r="B200" s="5">
        <f>TITRES_STAT!D203</f>
        <v>5.6859999999999999</v>
      </c>
      <c r="C200" s="2">
        <f t="shared" si="21"/>
        <v>0</v>
      </c>
      <c r="D200" s="2">
        <f t="shared" si="22"/>
        <v>5.7001999999999997</v>
      </c>
      <c r="E200" s="2">
        <f t="shared" si="16"/>
        <v>5.704600000000001</v>
      </c>
      <c r="F200" s="2">
        <f t="shared" si="17"/>
        <v>5.7181999999999986</v>
      </c>
      <c r="G200" s="2">
        <f t="shared" si="19"/>
        <v>5.746220000000001</v>
      </c>
      <c r="H200" s="2"/>
      <c r="I200" s="2">
        <f t="array" ref="I200">SUMPRODUCT(B184:B203, (ROW(B184:B203)-ROW(B184)+1)) / (20*21/2)</f>
        <v>5.7037523809523814</v>
      </c>
      <c r="J200" s="2">
        <f t="shared" si="18"/>
        <v>5.7177391018859547</v>
      </c>
      <c r="K200" s="2">
        <f t="shared" si="20"/>
        <v>5.7347920689845786</v>
      </c>
    </row>
    <row r="201" spans="1:11" ht="13.5" x14ac:dyDescent="0.25">
      <c r="A201" s="3">
        <f>TITRES_STAT!B204</f>
        <v>45211</v>
      </c>
      <c r="B201" s="5">
        <f>TITRES_STAT!D204</f>
        <v>5.6859999999999999</v>
      </c>
      <c r="C201" s="2">
        <f t="shared" si="21"/>
        <v>0</v>
      </c>
      <c r="D201" s="2">
        <f t="shared" si="22"/>
        <v>5.6966000000000001</v>
      </c>
      <c r="E201" s="2">
        <f t="shared" si="16"/>
        <v>5.7011000000000003</v>
      </c>
      <c r="F201" s="2">
        <f t="shared" si="17"/>
        <v>5.7150999999999996</v>
      </c>
      <c r="G201" s="2">
        <f t="shared" si="19"/>
        <v>5.7446200000000003</v>
      </c>
      <c r="H201" s="2">
        <f>AVERAGE(B2:B201)</f>
        <v>5.5155449999999941</v>
      </c>
      <c r="I201" s="2">
        <f t="array" ref="I201">SUMPRODUCT(B185:B204, (ROW(B185:B204)-ROW(B185)+1)) / (20*21/2)</f>
        <v>5.7022571428571434</v>
      </c>
      <c r="J201" s="2">
        <f t="shared" si="18"/>
        <v>5.7147163302777688</v>
      </c>
      <c r="K201" s="2">
        <f t="shared" si="20"/>
        <v>5.7328786545145958</v>
      </c>
    </row>
    <row r="202" spans="1:11" ht="13.5" x14ac:dyDescent="0.25">
      <c r="A202" s="3">
        <f>TITRES_STAT!B205</f>
        <v>45212</v>
      </c>
      <c r="B202" s="5">
        <f>TITRES_STAT!D205</f>
        <v>5.6950000000000003</v>
      </c>
      <c r="C202" s="2">
        <f t="shared" si="21"/>
        <v>9.0000000000003411E-3</v>
      </c>
      <c r="D202" s="2">
        <f t="shared" si="22"/>
        <v>5.6947999999999999</v>
      </c>
      <c r="E202" s="2">
        <f t="shared" si="16"/>
        <v>5.7002000000000006</v>
      </c>
      <c r="F202" s="2">
        <f t="shared" si="17"/>
        <v>5.7128999999999994</v>
      </c>
      <c r="G202" s="2">
        <f t="shared" si="19"/>
        <v>5.7440999999999995</v>
      </c>
      <c r="H202" s="2">
        <f t="shared" ref="H202:H265" si="23">AVERAGE(B3:B202)</f>
        <v>5.5440199999999935</v>
      </c>
      <c r="I202" s="2">
        <f t="array" ref="I202">SUMPRODUCT(B186:B205, (ROW(B186:B205)-ROW(B186)+1)) / (20*21/2)</f>
        <v>5.6991285714285711</v>
      </c>
      <c r="J202" s="2">
        <f t="shared" si="18"/>
        <v>5.7128385845370291</v>
      </c>
      <c r="K202" s="2">
        <f t="shared" si="20"/>
        <v>5.7313932170826511</v>
      </c>
    </row>
    <row r="203" spans="1:11" ht="13.5" x14ac:dyDescent="0.25">
      <c r="A203" s="3">
        <f>TITRES_STAT!B206</f>
        <v>45215</v>
      </c>
      <c r="B203" s="5">
        <f>TITRES_STAT!D206</f>
        <v>5.6950000000000003</v>
      </c>
      <c r="C203" s="2">
        <f t="shared" si="21"/>
        <v>0</v>
      </c>
      <c r="D203" s="2">
        <f t="shared" si="22"/>
        <v>5.6896000000000004</v>
      </c>
      <c r="E203" s="2">
        <f t="shared" si="16"/>
        <v>5.6985000000000001</v>
      </c>
      <c r="F203" s="2">
        <f t="shared" si="17"/>
        <v>5.7107000000000001</v>
      </c>
      <c r="G203" s="2">
        <f t="shared" si="19"/>
        <v>5.7435799999999997</v>
      </c>
      <c r="H203" s="2">
        <f t="shared" si="23"/>
        <v>5.5724949999999929</v>
      </c>
      <c r="I203" s="2">
        <f t="array" ref="I203">SUMPRODUCT(B187:B206, (ROW(B187:B206)-ROW(B187)+1)) / (20*21/2)</f>
        <v>5.6962095238095234</v>
      </c>
      <c r="J203" s="2">
        <f t="shared" si="18"/>
        <v>5.7111396717239789</v>
      </c>
      <c r="K203" s="2">
        <f t="shared" si="20"/>
        <v>5.7299660320990178</v>
      </c>
    </row>
    <row r="204" spans="1:11" ht="13.5" x14ac:dyDescent="0.25">
      <c r="A204" s="3">
        <f>TITRES_STAT!B207</f>
        <v>45216</v>
      </c>
      <c r="B204" s="5">
        <f>TITRES_STAT!D207</f>
        <v>5.6950000000000003</v>
      </c>
      <c r="C204" s="2">
        <f t="shared" si="21"/>
        <v>0</v>
      </c>
      <c r="D204" s="2">
        <f t="shared" si="22"/>
        <v>5.6913999999999998</v>
      </c>
      <c r="E204" s="2">
        <f t="shared" ref="E204:E267" si="24">AVERAGE(B195:B204)</f>
        <v>5.6975999999999996</v>
      </c>
      <c r="F204" s="2">
        <f t="shared" si="17"/>
        <v>5.7098499999999985</v>
      </c>
      <c r="G204" s="2">
        <f t="shared" si="19"/>
        <v>5.7430599999999989</v>
      </c>
      <c r="H204" s="2">
        <f t="shared" si="23"/>
        <v>5.5746399999999925</v>
      </c>
      <c r="I204" s="2">
        <f t="array" ref="I204">SUMPRODUCT(B188:B207, (ROW(B188:B207)-ROW(B188)+1)) / (20*21/2)</f>
        <v>5.695214285714286</v>
      </c>
      <c r="J204" s="2">
        <f t="shared" si="18"/>
        <v>5.709602560131219</v>
      </c>
      <c r="K204" s="2">
        <f t="shared" si="20"/>
        <v>5.7285948151539587</v>
      </c>
    </row>
    <row r="205" spans="1:11" ht="13.5" x14ac:dyDescent="0.25">
      <c r="A205" s="3">
        <f>TITRES_STAT!B208</f>
        <v>45217</v>
      </c>
      <c r="B205" s="5">
        <f>TITRES_STAT!D208</f>
        <v>5.6769999999999996</v>
      </c>
      <c r="C205" s="2">
        <f t="shared" si="21"/>
        <v>-1.8000000000000682E-2</v>
      </c>
      <c r="D205" s="2">
        <f t="shared" si="22"/>
        <v>5.6896000000000004</v>
      </c>
      <c r="E205" s="2">
        <f t="shared" si="24"/>
        <v>5.6948999999999996</v>
      </c>
      <c r="F205" s="2">
        <f t="shared" si="17"/>
        <v>5.7076499999999992</v>
      </c>
      <c r="G205" s="2">
        <f t="shared" si="19"/>
        <v>5.7412800000000006</v>
      </c>
      <c r="H205" s="2">
        <f t="shared" si="23"/>
        <v>5.576014999999992</v>
      </c>
      <c r="I205" s="2">
        <f t="array" ref="I205">SUMPRODUCT(B189:B208, (ROW(B189:B208)-ROW(B189)+1)) / (20*21/2)</f>
        <v>5.6927142857142856</v>
      </c>
      <c r="J205" s="2">
        <f t="shared" si="18"/>
        <v>5.7064975544044358</v>
      </c>
      <c r="K205" s="2">
        <f t="shared" si="20"/>
        <v>5.7265714890694897</v>
      </c>
    </row>
    <row r="206" spans="1:11" ht="13.5" x14ac:dyDescent="0.25">
      <c r="A206" s="3">
        <f>TITRES_STAT!B209</f>
        <v>45218</v>
      </c>
      <c r="B206" s="5">
        <f>TITRES_STAT!D209</f>
        <v>5.6769999999999996</v>
      </c>
      <c r="C206" s="2">
        <f t="shared" si="21"/>
        <v>0</v>
      </c>
      <c r="D206" s="2">
        <f t="shared" si="22"/>
        <v>5.6878000000000002</v>
      </c>
      <c r="E206" s="2">
        <f t="shared" si="24"/>
        <v>5.6921999999999997</v>
      </c>
      <c r="F206" s="2">
        <f t="shared" si="17"/>
        <v>5.705449999999999</v>
      </c>
      <c r="G206" s="2">
        <f t="shared" si="19"/>
        <v>5.7395000000000014</v>
      </c>
      <c r="H206" s="2">
        <f t="shared" si="23"/>
        <v>5.5775599999999921</v>
      </c>
      <c r="I206" s="2">
        <f t="array" ref="I206">SUMPRODUCT(B190:B209, (ROW(B190:B209)-ROW(B190)+1)) / (20*21/2)</f>
        <v>5.6905095238095234</v>
      </c>
      <c r="J206" s="2">
        <f t="shared" si="18"/>
        <v>5.7036882635087753</v>
      </c>
      <c r="K206" s="2">
        <f t="shared" si="20"/>
        <v>5.7246275091059804</v>
      </c>
    </row>
    <row r="207" spans="1:11" ht="13.5" x14ac:dyDescent="0.25">
      <c r="A207" s="3">
        <f>TITRES_STAT!B210</f>
        <v>45219</v>
      </c>
      <c r="B207" s="5">
        <f>TITRES_STAT!D210</f>
        <v>5.6950000000000003</v>
      </c>
      <c r="C207" s="2">
        <f t="shared" si="21"/>
        <v>1.8000000000000682E-2</v>
      </c>
      <c r="D207" s="2">
        <f t="shared" si="22"/>
        <v>5.6878000000000002</v>
      </c>
      <c r="E207" s="2">
        <f t="shared" si="24"/>
        <v>5.6913</v>
      </c>
      <c r="F207" s="2">
        <f t="shared" si="17"/>
        <v>5.7032499999999988</v>
      </c>
      <c r="G207" s="2">
        <f t="shared" si="19"/>
        <v>5.7380800000000018</v>
      </c>
      <c r="H207" s="2">
        <f t="shared" si="23"/>
        <v>5.5790649999999911</v>
      </c>
      <c r="I207" s="2">
        <f t="array" ref="I207">SUMPRODUCT(B191:B210, (ROW(B191:B210)-ROW(B191)+1)) / (20*21/2)</f>
        <v>5.6885571428571424</v>
      </c>
      <c r="J207" s="2">
        <f t="shared" si="18"/>
        <v>5.7028608098412734</v>
      </c>
      <c r="K207" s="2">
        <f t="shared" si="20"/>
        <v>5.7234656460037856</v>
      </c>
    </row>
    <row r="208" spans="1:11" ht="13.5" x14ac:dyDescent="0.25">
      <c r="A208" s="3">
        <f>TITRES_STAT!B211</f>
        <v>45222</v>
      </c>
      <c r="B208" s="5">
        <f>TITRES_STAT!D211</f>
        <v>5.6769999999999996</v>
      </c>
      <c r="C208" s="2">
        <f t="shared" si="21"/>
        <v>-1.8000000000000682E-2</v>
      </c>
      <c r="D208" s="2">
        <f t="shared" si="22"/>
        <v>5.6841999999999997</v>
      </c>
      <c r="E208" s="2">
        <f t="shared" si="24"/>
        <v>5.6868999999999996</v>
      </c>
      <c r="F208" s="2">
        <f t="shared" si="17"/>
        <v>5.7001499999999981</v>
      </c>
      <c r="G208" s="2">
        <f t="shared" si="19"/>
        <v>5.7363000000000035</v>
      </c>
      <c r="H208" s="2">
        <f t="shared" si="23"/>
        <v>5.5811199999999914</v>
      </c>
      <c r="I208" s="2">
        <f t="array" ref="I208">SUMPRODUCT(B192:B211, (ROW(B192:B211)-ROW(B192)+1)) / (20*21/2)</f>
        <v>5.6868571428571419</v>
      </c>
      <c r="J208" s="2">
        <f t="shared" si="18"/>
        <v>5.7003978755706761</v>
      </c>
      <c r="K208" s="2">
        <f t="shared" si="20"/>
        <v>5.7216434638075588</v>
      </c>
    </row>
    <row r="209" spans="1:11" ht="13.5" x14ac:dyDescent="0.25">
      <c r="A209" s="3">
        <f>TITRES_STAT!B212</f>
        <v>45223</v>
      </c>
      <c r="B209" s="5">
        <f>TITRES_STAT!D212</f>
        <v>5.6769999999999996</v>
      </c>
      <c r="C209" s="2">
        <f t="shared" si="21"/>
        <v>0</v>
      </c>
      <c r="D209" s="2">
        <f t="shared" si="22"/>
        <v>5.6806000000000001</v>
      </c>
      <c r="E209" s="2">
        <f t="shared" si="24"/>
        <v>5.6859999999999999</v>
      </c>
      <c r="F209" s="2">
        <f t="shared" si="17"/>
        <v>5.6974999999999962</v>
      </c>
      <c r="G209" s="2">
        <f t="shared" si="19"/>
        <v>5.7345200000000034</v>
      </c>
      <c r="H209" s="2">
        <f t="shared" si="23"/>
        <v>5.582749999999991</v>
      </c>
      <c r="I209" s="2">
        <f t="array" ref="I209">SUMPRODUCT(B193:B212, (ROW(B193:B212)-ROW(B193)+1)) / (20*21/2)</f>
        <v>5.6853666666666669</v>
      </c>
      <c r="J209" s="2">
        <f t="shared" si="18"/>
        <v>5.698169506468707</v>
      </c>
      <c r="K209" s="2">
        <f t="shared" si="20"/>
        <v>5.7198927397366743</v>
      </c>
    </row>
    <row r="210" spans="1:11" ht="13.5" x14ac:dyDescent="0.25">
      <c r="A210" s="3">
        <f>TITRES_STAT!B213</f>
        <v>45224</v>
      </c>
      <c r="B210" s="5">
        <f>TITRES_STAT!D213</f>
        <v>5.6769999999999996</v>
      </c>
      <c r="C210" s="2">
        <f t="shared" si="21"/>
        <v>0</v>
      </c>
      <c r="D210" s="2">
        <f t="shared" si="22"/>
        <v>5.6806000000000001</v>
      </c>
      <c r="E210" s="2">
        <f t="shared" si="24"/>
        <v>5.6851000000000003</v>
      </c>
      <c r="F210" s="2">
        <f t="shared" si="17"/>
        <v>5.694849999999998</v>
      </c>
      <c r="G210" s="2">
        <f t="shared" si="19"/>
        <v>5.7327400000000033</v>
      </c>
      <c r="H210" s="2">
        <f t="shared" si="23"/>
        <v>5.5843799999999906</v>
      </c>
      <c r="I210" s="2">
        <f t="array" ref="I210">SUMPRODUCT(B194:B213, (ROW(B194:B213)-ROW(B194)+1)) / (20*21/2)</f>
        <v>5.6840047619047622</v>
      </c>
      <c r="J210" s="2">
        <f t="shared" si="18"/>
        <v>5.6961533629954966</v>
      </c>
      <c r="K210" s="2">
        <f t="shared" si="20"/>
        <v>5.7182106715117067</v>
      </c>
    </row>
    <row r="211" spans="1:11" ht="13.5" x14ac:dyDescent="0.25">
      <c r="A211" s="3">
        <f>TITRES_STAT!B214</f>
        <v>45225</v>
      </c>
      <c r="B211" s="5">
        <f>TITRES_STAT!D214</f>
        <v>5.6769999999999996</v>
      </c>
      <c r="C211" s="2">
        <f t="shared" si="21"/>
        <v>0</v>
      </c>
      <c r="D211" s="2">
        <f t="shared" si="22"/>
        <v>5.6806000000000001</v>
      </c>
      <c r="E211" s="2">
        <f t="shared" si="24"/>
        <v>5.6841999999999997</v>
      </c>
      <c r="F211" s="2">
        <f t="shared" si="17"/>
        <v>5.6926499999999978</v>
      </c>
      <c r="G211" s="2">
        <f t="shared" si="19"/>
        <v>5.7309600000000032</v>
      </c>
      <c r="H211" s="2">
        <f t="shared" si="23"/>
        <v>5.5861799999999899</v>
      </c>
      <c r="I211" s="2">
        <f t="array" ref="I211">SUMPRODUCT(B195:B214, (ROW(B195:B214)-ROW(B195)+1)) / (20*21/2)</f>
        <v>5.6828095238095235</v>
      </c>
      <c r="J211" s="2">
        <f t="shared" si="18"/>
        <v>5.6943292331864015</v>
      </c>
      <c r="K211" s="2">
        <f t="shared" si="20"/>
        <v>5.7165945667465419</v>
      </c>
    </row>
    <row r="212" spans="1:11" ht="13.5" x14ac:dyDescent="0.25">
      <c r="A212" s="3">
        <f>TITRES_STAT!B215</f>
        <v>45226</v>
      </c>
      <c r="B212" s="5">
        <f>TITRES_STAT!D215</f>
        <v>5.6769999999999996</v>
      </c>
      <c r="C212" s="2">
        <f t="shared" si="21"/>
        <v>0</v>
      </c>
      <c r="D212" s="2">
        <f t="shared" si="22"/>
        <v>5.6769999999999996</v>
      </c>
      <c r="E212" s="2">
        <f t="shared" si="24"/>
        <v>5.6823999999999995</v>
      </c>
      <c r="F212" s="2">
        <f t="shared" ref="F212:F275" si="25">AVERAGE(B193:B212)</f>
        <v>5.6912999999999965</v>
      </c>
      <c r="G212" s="2">
        <f t="shared" si="19"/>
        <v>5.7293600000000033</v>
      </c>
      <c r="H212" s="2">
        <f t="shared" si="23"/>
        <v>5.5882349999999894</v>
      </c>
      <c r="I212" s="2">
        <f t="array" ref="I212">SUMPRODUCT(B196:B215, (ROW(B196:B215)-ROW(B196)+1)) / (20*21/2)</f>
        <v>5.6766952380952382</v>
      </c>
      <c r="J212" s="2">
        <f t="shared" si="18"/>
        <v>5.692678830025792</v>
      </c>
      <c r="K212" s="2">
        <f t="shared" si="20"/>
        <v>5.7150418386388342</v>
      </c>
    </row>
    <row r="213" spans="1:11" ht="13.5" x14ac:dyDescent="0.25">
      <c r="A213" s="3">
        <f>TITRES_STAT!B216</f>
        <v>45229</v>
      </c>
      <c r="B213" s="5">
        <f>TITRES_STAT!D216</f>
        <v>5.6769999999999996</v>
      </c>
      <c r="C213" s="2">
        <f t="shared" si="21"/>
        <v>0</v>
      </c>
      <c r="D213" s="2">
        <f t="shared" si="22"/>
        <v>5.6769999999999996</v>
      </c>
      <c r="E213" s="2">
        <f t="shared" si="24"/>
        <v>5.6806000000000001</v>
      </c>
      <c r="F213" s="2">
        <f t="shared" si="25"/>
        <v>5.689549999999997</v>
      </c>
      <c r="G213" s="2">
        <f t="shared" si="19"/>
        <v>5.7275800000000023</v>
      </c>
      <c r="H213" s="2">
        <f t="shared" si="23"/>
        <v>5.590074999999989</v>
      </c>
      <c r="I213" s="2">
        <f t="array" ref="I213">SUMPRODUCT(B197:B216, (ROW(B197:B216)-ROW(B197)+1)) / (20*21/2)</f>
        <v>5.6718190476190484</v>
      </c>
      <c r="J213" s="2">
        <f t="shared" ref="J213:J276" si="26">$J$4*B213+J212*(1-$J$4)</f>
        <v>5.6911856081185741</v>
      </c>
      <c r="K213" s="2">
        <f t="shared" si="20"/>
        <v>5.7135500018294678</v>
      </c>
    </row>
    <row r="214" spans="1:11" ht="13.5" x14ac:dyDescent="0.25">
      <c r="A214" s="3">
        <f>TITRES_STAT!B217</f>
        <v>45230</v>
      </c>
      <c r="B214" s="5">
        <f>TITRES_STAT!D217</f>
        <v>5.6769999999999996</v>
      </c>
      <c r="C214" s="2">
        <f t="shared" si="21"/>
        <v>0</v>
      </c>
      <c r="D214" s="2">
        <f t="shared" si="22"/>
        <v>5.6769999999999996</v>
      </c>
      <c r="E214" s="2">
        <f t="shared" si="24"/>
        <v>5.6787999999999998</v>
      </c>
      <c r="F214" s="2">
        <f t="shared" si="25"/>
        <v>5.6881999999999975</v>
      </c>
      <c r="G214" s="2">
        <f t="shared" si="19"/>
        <v>5.7258000000000031</v>
      </c>
      <c r="H214" s="2">
        <f t="shared" si="23"/>
        <v>5.5925549999999884</v>
      </c>
      <c r="I214" s="2">
        <f t="array" ref="I214">SUMPRODUCT(B198:B217, (ROW(B198:B217)-ROW(B198)+1)) / (20*21/2)</f>
        <v>5.665566666666666</v>
      </c>
      <c r="J214" s="2">
        <f t="shared" si="26"/>
        <v>5.6898345978215668</v>
      </c>
      <c r="K214" s="2">
        <f t="shared" si="20"/>
        <v>5.7121166684243905</v>
      </c>
    </row>
    <row r="215" spans="1:11" ht="13.5" x14ac:dyDescent="0.25">
      <c r="A215" s="3">
        <f>TITRES_STAT!B218</f>
        <v>45231</v>
      </c>
      <c r="B215" s="5">
        <f>TITRES_STAT!D218</f>
        <v>5.6239999999999997</v>
      </c>
      <c r="C215" s="2">
        <f t="shared" si="21"/>
        <v>-5.2999999999999936E-2</v>
      </c>
      <c r="D215" s="2">
        <f t="shared" si="22"/>
        <v>5.6663999999999994</v>
      </c>
      <c r="E215" s="2">
        <f t="shared" si="24"/>
        <v>5.6734999999999998</v>
      </c>
      <c r="F215" s="2">
        <f t="shared" si="25"/>
        <v>5.684199999999997</v>
      </c>
      <c r="G215" s="2">
        <f t="shared" si="19"/>
        <v>5.7229600000000032</v>
      </c>
      <c r="H215" s="2">
        <f t="shared" si="23"/>
        <v>5.5935799999999896</v>
      </c>
      <c r="I215" s="2">
        <f t="array" ref="I215">SUMPRODUCT(B199:B218, (ROW(B199:B218)-ROW(B199)+1)) / (20*21/2)</f>
        <v>5.6597380952380947</v>
      </c>
      <c r="J215" s="2">
        <f t="shared" si="26"/>
        <v>5.6835646361242746</v>
      </c>
      <c r="K215" s="2">
        <f t="shared" si="20"/>
        <v>5.7086611127999047</v>
      </c>
    </row>
    <row r="216" spans="1:11" ht="13.5" x14ac:dyDescent="0.25">
      <c r="A216" s="3">
        <f>TITRES_STAT!B219</f>
        <v>45232</v>
      </c>
      <c r="B216" s="5">
        <f>TITRES_STAT!D219</f>
        <v>5.633</v>
      </c>
      <c r="C216" s="2">
        <f t="shared" si="21"/>
        <v>9.0000000000003411E-3</v>
      </c>
      <c r="D216" s="2">
        <f t="shared" si="22"/>
        <v>5.6575999999999995</v>
      </c>
      <c r="E216" s="2">
        <f t="shared" si="24"/>
        <v>5.6691000000000003</v>
      </c>
      <c r="F216" s="2">
        <f t="shared" si="25"/>
        <v>5.6806499999999982</v>
      </c>
      <c r="G216" s="2">
        <f t="shared" si="19"/>
        <v>5.7196000000000016</v>
      </c>
      <c r="H216" s="2">
        <f t="shared" si="23"/>
        <v>5.5943949999999889</v>
      </c>
      <c r="I216" s="2">
        <f t="array" ref="I216">SUMPRODUCT(B200:B219, (ROW(B200:B219)-ROW(B200)+1)) / (20*21/2)</f>
        <v>5.6518428571428565</v>
      </c>
      <c r="J216" s="2">
        <f t="shared" si="26"/>
        <v>5.6787489564933917</v>
      </c>
      <c r="K216" s="2">
        <f t="shared" si="20"/>
        <v>5.7056940103371634</v>
      </c>
    </row>
    <row r="217" spans="1:11" ht="13.5" x14ac:dyDescent="0.25">
      <c r="A217" s="3">
        <f>TITRES_STAT!B220</f>
        <v>45233</v>
      </c>
      <c r="B217" s="5">
        <f>TITRES_STAT!D220</f>
        <v>5.6150000000000002</v>
      </c>
      <c r="C217" s="2">
        <f t="shared" si="21"/>
        <v>-1.7999999999999794E-2</v>
      </c>
      <c r="D217" s="2">
        <f t="shared" si="22"/>
        <v>5.6452</v>
      </c>
      <c r="E217" s="2">
        <f t="shared" si="24"/>
        <v>5.6611000000000002</v>
      </c>
      <c r="F217" s="2">
        <f t="shared" si="25"/>
        <v>5.676199999999997</v>
      </c>
      <c r="G217" s="2">
        <f t="shared" si="19"/>
        <v>5.7158800000000021</v>
      </c>
      <c r="H217" s="2">
        <f t="shared" si="23"/>
        <v>5.5952899999999897</v>
      </c>
      <c r="I217" s="2">
        <f t="array" ref="I217">SUMPRODUCT(B201:B220, (ROW(B201:B220)-ROW(B201)+1)) / (20*21/2)</f>
        <v>5.6444142857142854</v>
      </c>
      <c r="J217" s="2">
        <f t="shared" si="26"/>
        <v>5.6726776273035453</v>
      </c>
      <c r="K217" s="2">
        <f t="shared" si="20"/>
        <v>5.7021373824808048</v>
      </c>
    </row>
    <row r="218" spans="1:11" ht="13.5" x14ac:dyDescent="0.25">
      <c r="A218" s="3">
        <f>TITRES_STAT!B221</f>
        <v>45236</v>
      </c>
      <c r="B218" s="5">
        <f>TITRES_STAT!D221</f>
        <v>5.6150000000000002</v>
      </c>
      <c r="C218" s="2">
        <f t="shared" si="21"/>
        <v>0</v>
      </c>
      <c r="D218" s="2">
        <f t="shared" si="22"/>
        <v>5.6328000000000005</v>
      </c>
      <c r="E218" s="2">
        <f t="shared" si="24"/>
        <v>5.6549000000000005</v>
      </c>
      <c r="F218" s="2">
        <f t="shared" si="25"/>
        <v>5.6708999999999978</v>
      </c>
      <c r="G218" s="2">
        <f t="shared" si="19"/>
        <v>5.7121600000000008</v>
      </c>
      <c r="H218" s="2">
        <f t="shared" si="23"/>
        <v>5.5960549999999909</v>
      </c>
      <c r="I218" s="2">
        <f t="array" ref="I218">SUMPRODUCT(B202:B221, (ROW(B202:B221)-ROW(B202)+1)) / (20*21/2)</f>
        <v>5.6374523809523813</v>
      </c>
      <c r="J218" s="2">
        <f t="shared" si="26"/>
        <v>5.6671845199413031</v>
      </c>
      <c r="K218" s="2">
        <f t="shared" si="20"/>
        <v>5.6987202302266553</v>
      </c>
    </row>
    <row r="219" spans="1:11" ht="13.5" x14ac:dyDescent="0.25">
      <c r="A219" s="3">
        <f>TITRES_STAT!B222</f>
        <v>45237</v>
      </c>
      <c r="B219" s="5">
        <f>TITRES_STAT!D222</f>
        <v>5.5880000000000001</v>
      </c>
      <c r="C219" s="2">
        <f t="shared" si="21"/>
        <v>-2.7000000000000135E-2</v>
      </c>
      <c r="D219" s="2">
        <f t="shared" si="22"/>
        <v>5.6150000000000002</v>
      </c>
      <c r="E219" s="2">
        <f t="shared" si="24"/>
        <v>5.6460000000000008</v>
      </c>
      <c r="F219" s="2">
        <f t="shared" si="25"/>
        <v>5.6659999999999977</v>
      </c>
      <c r="G219" s="2">
        <f t="shared" si="19"/>
        <v>5.7079000000000004</v>
      </c>
      <c r="H219" s="2">
        <f t="shared" si="23"/>
        <v>5.596684999999991</v>
      </c>
      <c r="I219" s="2">
        <f t="array" ref="I219">SUMPRODUCT(B203:B222, (ROW(B203:B222)-ROW(B203)+1)) / (20*21/2)</f>
        <v>5.6309571428571425</v>
      </c>
      <c r="J219" s="2">
        <f t="shared" si="26"/>
        <v>5.6596431370897502</v>
      </c>
      <c r="K219" s="2">
        <f t="shared" si="20"/>
        <v>5.6943782604138455</v>
      </c>
    </row>
    <row r="220" spans="1:11" ht="13.5" x14ac:dyDescent="0.25">
      <c r="A220" s="3">
        <f>TITRES_STAT!B223</f>
        <v>45238</v>
      </c>
      <c r="B220" s="5">
        <f>TITRES_STAT!D223</f>
        <v>5.5880000000000001</v>
      </c>
      <c r="C220" s="2">
        <f t="shared" si="21"/>
        <v>0</v>
      </c>
      <c r="D220" s="2">
        <f t="shared" si="22"/>
        <v>5.6078000000000001</v>
      </c>
      <c r="E220" s="2">
        <f t="shared" si="24"/>
        <v>5.6371000000000002</v>
      </c>
      <c r="F220" s="2">
        <f t="shared" si="25"/>
        <v>5.6610999999999985</v>
      </c>
      <c r="G220" s="2">
        <f t="shared" si="19"/>
        <v>5.7040000000000006</v>
      </c>
      <c r="H220" s="2">
        <f t="shared" si="23"/>
        <v>5.5974449999999907</v>
      </c>
      <c r="I220" s="2">
        <f t="array" ref="I220">SUMPRODUCT(B204:B223, (ROW(B204:B223)-ROW(B204)+1)) / (20*21/2)</f>
        <v>5.6241142857142865</v>
      </c>
      <c r="J220" s="2">
        <f t="shared" si="26"/>
        <v>5.6528199811764406</v>
      </c>
      <c r="K220" s="2">
        <f t="shared" si="20"/>
        <v>5.6902065639270285</v>
      </c>
    </row>
    <row r="221" spans="1:11" ht="13.5" x14ac:dyDescent="0.25">
      <c r="A221" s="3">
        <f>TITRES_STAT!B224</f>
        <v>45239</v>
      </c>
      <c r="B221" s="5">
        <f>TITRES_STAT!D224</f>
        <v>5.5880000000000001</v>
      </c>
      <c r="C221" s="2">
        <f t="shared" si="21"/>
        <v>0</v>
      </c>
      <c r="D221" s="2">
        <f t="shared" si="22"/>
        <v>5.5988000000000007</v>
      </c>
      <c r="E221" s="2">
        <f t="shared" si="24"/>
        <v>5.6282000000000005</v>
      </c>
      <c r="F221" s="2">
        <f t="shared" si="25"/>
        <v>5.6561999999999975</v>
      </c>
      <c r="G221" s="2">
        <f t="shared" si="19"/>
        <v>5.7001000000000008</v>
      </c>
      <c r="H221" s="2">
        <f t="shared" si="23"/>
        <v>5.5984149999999921</v>
      </c>
      <c r="I221" s="2">
        <f t="array" ref="I221">SUMPRODUCT(B205:B224, (ROW(B205:B224)-ROW(B205)+1)) / (20*21/2)</f>
        <v>5.6178238095238093</v>
      </c>
      <c r="J221" s="2">
        <f t="shared" si="26"/>
        <v>5.6466466496358274</v>
      </c>
      <c r="K221" s="2">
        <f t="shared" si="20"/>
        <v>5.6861984633808706</v>
      </c>
    </row>
    <row r="222" spans="1:11" ht="13.5" x14ac:dyDescent="0.25">
      <c r="A222" s="3">
        <f>TITRES_STAT!B225</f>
        <v>45240</v>
      </c>
      <c r="B222" s="5">
        <f>TITRES_STAT!D225</f>
        <v>5.5880000000000001</v>
      </c>
      <c r="C222" s="2">
        <f t="shared" si="21"/>
        <v>0</v>
      </c>
      <c r="D222" s="2">
        <f t="shared" si="22"/>
        <v>5.5934000000000008</v>
      </c>
      <c r="E222" s="2">
        <f t="shared" si="24"/>
        <v>5.6193000000000008</v>
      </c>
      <c r="F222" s="2">
        <f t="shared" si="25"/>
        <v>5.6508499999999975</v>
      </c>
      <c r="G222" s="2">
        <f t="shared" si="19"/>
        <v>5.6965400000000015</v>
      </c>
      <c r="H222" s="2">
        <f t="shared" si="23"/>
        <v>5.5992599999999921</v>
      </c>
      <c r="I222" s="2">
        <f t="array" ref="I222">SUMPRODUCT(B206:B225, (ROW(B206:B225)-ROW(B206)+1)) / (20*21/2)</f>
        <v>5.6120857142857146</v>
      </c>
      <c r="J222" s="2">
        <f t="shared" si="26"/>
        <v>5.6410612544324152</v>
      </c>
      <c r="K222" s="2">
        <f t="shared" si="20"/>
        <v>5.6823475432482873</v>
      </c>
    </row>
    <row r="223" spans="1:11" ht="13.5" x14ac:dyDescent="0.25">
      <c r="A223" s="3">
        <f>TITRES_STAT!B226</f>
        <v>45243</v>
      </c>
      <c r="B223" s="5">
        <f>TITRES_STAT!D226</f>
        <v>5.5789999999999997</v>
      </c>
      <c r="C223" s="2">
        <f t="shared" si="21"/>
        <v>-9.0000000000003411E-3</v>
      </c>
      <c r="D223" s="2">
        <f t="shared" si="22"/>
        <v>5.5861999999999998</v>
      </c>
      <c r="E223" s="2">
        <f t="shared" si="24"/>
        <v>5.6095000000000006</v>
      </c>
      <c r="F223" s="2">
        <f t="shared" si="25"/>
        <v>5.6450499999999977</v>
      </c>
      <c r="G223" s="2">
        <f t="shared" si="19"/>
        <v>5.692800000000001</v>
      </c>
      <c r="H223" s="2">
        <f t="shared" si="23"/>
        <v>5.6005249999999922</v>
      </c>
      <c r="I223" s="2">
        <f t="array" ref="I223">SUMPRODUCT(B207:B226, (ROW(B207:B226)-ROW(B207)+1)) / (20*21/2)</f>
        <v>5.6076714285714289</v>
      </c>
      <c r="J223" s="2">
        <f t="shared" si="26"/>
        <v>5.6351506587721856</v>
      </c>
      <c r="K223" s="2">
        <f t="shared" si="20"/>
        <v>5.6782946984150211</v>
      </c>
    </row>
    <row r="224" spans="1:11" ht="13.5" x14ac:dyDescent="0.25">
      <c r="A224" s="3">
        <f>TITRES_STAT!B227</f>
        <v>45244</v>
      </c>
      <c r="B224" s="5">
        <f>TITRES_STAT!D227</f>
        <v>5.5789999999999997</v>
      </c>
      <c r="C224" s="2">
        <f t="shared" si="21"/>
        <v>0</v>
      </c>
      <c r="D224" s="2">
        <f t="shared" si="22"/>
        <v>5.5844000000000005</v>
      </c>
      <c r="E224" s="2">
        <f t="shared" si="24"/>
        <v>5.5997000000000003</v>
      </c>
      <c r="F224" s="2">
        <f t="shared" si="25"/>
        <v>5.6392499999999979</v>
      </c>
      <c r="G224" s="2">
        <f t="shared" si="19"/>
        <v>5.6892400000000007</v>
      </c>
      <c r="H224" s="2">
        <f t="shared" si="23"/>
        <v>5.6016649999999926</v>
      </c>
      <c r="I224" s="2">
        <f t="array" ref="I224">SUMPRODUCT(B208:B227, (ROW(B208:B227)-ROW(B208)+1)) / (20*21/2)</f>
        <v>5.6036809523809517</v>
      </c>
      <c r="J224" s="2">
        <f t="shared" si="26"/>
        <v>5.6298029769843589</v>
      </c>
      <c r="K224" s="2">
        <f t="shared" si="20"/>
        <v>5.6744007886732559</v>
      </c>
    </row>
    <row r="225" spans="1:11" ht="13.5" x14ac:dyDescent="0.25">
      <c r="A225" s="3">
        <f>TITRES_STAT!B228</f>
        <v>45245</v>
      </c>
      <c r="B225" s="5">
        <f>TITRES_STAT!D228</f>
        <v>5.5789999999999997</v>
      </c>
      <c r="C225" s="2">
        <f t="shared" si="21"/>
        <v>0</v>
      </c>
      <c r="D225" s="2">
        <f t="shared" si="22"/>
        <v>5.5826000000000002</v>
      </c>
      <c r="E225" s="2">
        <f t="shared" si="24"/>
        <v>5.5952000000000002</v>
      </c>
      <c r="F225" s="2">
        <f t="shared" si="25"/>
        <v>5.6343499999999977</v>
      </c>
      <c r="G225" s="2">
        <f t="shared" si="19"/>
        <v>5.6856799999999996</v>
      </c>
      <c r="H225" s="2">
        <f t="shared" si="23"/>
        <v>5.6025499999999928</v>
      </c>
      <c r="I225" s="2">
        <f t="array" ref="I225">SUMPRODUCT(B209:B228, (ROW(B209:B228)-ROW(B209)+1)) / (20*21/2)</f>
        <v>5.6001999999999992</v>
      </c>
      <c r="J225" s="2">
        <f t="shared" si="26"/>
        <v>5.6249645982239436</v>
      </c>
      <c r="K225" s="2">
        <f t="shared" si="20"/>
        <v>5.6706595812743048</v>
      </c>
    </row>
    <row r="226" spans="1:11" ht="13.5" x14ac:dyDescent="0.25">
      <c r="A226" s="3">
        <f>TITRES_STAT!B229</f>
        <v>45246</v>
      </c>
      <c r="B226" s="5">
        <f>TITRES_STAT!D229</f>
        <v>5.5880000000000001</v>
      </c>
      <c r="C226" s="2">
        <f t="shared" si="21"/>
        <v>9.0000000000003411E-3</v>
      </c>
      <c r="D226" s="2">
        <f t="shared" si="22"/>
        <v>5.5826000000000002</v>
      </c>
      <c r="E226" s="2">
        <f t="shared" si="24"/>
        <v>5.5907</v>
      </c>
      <c r="F226" s="2">
        <f t="shared" si="25"/>
        <v>5.6298999999999975</v>
      </c>
      <c r="G226" s="2">
        <f t="shared" si="19"/>
        <v>5.6823000000000006</v>
      </c>
      <c r="H226" s="2">
        <f t="shared" si="23"/>
        <v>5.6033499999999936</v>
      </c>
      <c r="I226" s="2">
        <f t="array" ref="I226">SUMPRODUCT(B210:B229, (ROW(B210:B229)-ROW(B210)+1)) / (20*21/2)</f>
        <v>5.5955238095238107</v>
      </c>
      <c r="J226" s="2">
        <f t="shared" si="26"/>
        <v>5.6214441602978535</v>
      </c>
      <c r="K226" s="2">
        <f t="shared" si="20"/>
        <v>5.6674180290674698</v>
      </c>
    </row>
    <row r="227" spans="1:11" ht="13.5" x14ac:dyDescent="0.25">
      <c r="A227" s="3">
        <f>TITRES_STAT!B230</f>
        <v>45247</v>
      </c>
      <c r="B227" s="5">
        <f>TITRES_STAT!D230</f>
        <v>5.5880000000000001</v>
      </c>
      <c r="C227" s="2">
        <f t="shared" si="21"/>
        <v>0</v>
      </c>
      <c r="D227" s="2">
        <f t="shared" si="22"/>
        <v>5.5826000000000002</v>
      </c>
      <c r="E227" s="2">
        <f t="shared" si="24"/>
        <v>5.5880000000000001</v>
      </c>
      <c r="F227" s="2">
        <f t="shared" si="25"/>
        <v>5.6245499999999975</v>
      </c>
      <c r="G227" s="2">
        <f t="shared" si="19"/>
        <v>5.6789199999999997</v>
      </c>
      <c r="H227" s="2">
        <f t="shared" si="23"/>
        <v>5.6041499999999935</v>
      </c>
      <c r="I227" s="2">
        <f t="array" ref="I227">SUMPRODUCT(B211:B230, (ROW(B211:B230)-ROW(B211)+1)) / (20*21/2)</f>
        <v>5.5921142857142847</v>
      </c>
      <c r="J227" s="2">
        <f t="shared" si="26"/>
        <v>5.6182590021742485</v>
      </c>
      <c r="K227" s="2">
        <f t="shared" si="20"/>
        <v>5.6643035965550199</v>
      </c>
    </row>
    <row r="228" spans="1:11" ht="13.5" x14ac:dyDescent="0.25">
      <c r="A228" s="3">
        <f>TITRES_STAT!B231</f>
        <v>45250</v>
      </c>
      <c r="B228" s="5">
        <f>TITRES_STAT!D231</f>
        <v>5.5880000000000001</v>
      </c>
      <c r="C228" s="2">
        <f t="shared" si="21"/>
        <v>0</v>
      </c>
      <c r="D228" s="2">
        <f t="shared" si="22"/>
        <v>5.5844000000000005</v>
      </c>
      <c r="E228" s="2">
        <f t="shared" si="24"/>
        <v>5.5853000000000002</v>
      </c>
      <c r="F228" s="2">
        <f t="shared" si="25"/>
        <v>5.6200999999999981</v>
      </c>
      <c r="G228" s="2">
        <f t="shared" si="19"/>
        <v>5.6755399999999998</v>
      </c>
      <c r="H228" s="2">
        <f t="shared" si="23"/>
        <v>5.6049499999999943</v>
      </c>
      <c r="I228" s="2">
        <f t="array" ref="I228">SUMPRODUCT(B212:B231, (ROW(B212:B231)-ROW(B212)+1)) / (20*21/2)</f>
        <v>5.588409523809525</v>
      </c>
      <c r="J228" s="2">
        <f t="shared" si="26"/>
        <v>5.6153771924433675</v>
      </c>
      <c r="K228" s="2">
        <f t="shared" si="20"/>
        <v>5.6613112986509018</v>
      </c>
    </row>
    <row r="229" spans="1:11" ht="13.5" x14ac:dyDescent="0.25">
      <c r="A229" s="3">
        <f>TITRES_STAT!B232</f>
        <v>45251</v>
      </c>
      <c r="B229" s="5">
        <f>TITRES_STAT!D232</f>
        <v>5.5709999999999997</v>
      </c>
      <c r="C229" s="2">
        <f t="shared" si="21"/>
        <v>-1.7000000000000348E-2</v>
      </c>
      <c r="D229" s="2">
        <f t="shared" si="22"/>
        <v>5.5828000000000007</v>
      </c>
      <c r="E229" s="2">
        <f t="shared" si="24"/>
        <v>5.5835999999999997</v>
      </c>
      <c r="F229" s="2">
        <f t="shared" si="25"/>
        <v>5.614799999999998</v>
      </c>
      <c r="G229" s="2">
        <f t="shared" si="19"/>
        <v>5.6718200000000003</v>
      </c>
      <c r="H229" s="2">
        <f t="shared" si="23"/>
        <v>5.6056649999999957</v>
      </c>
      <c r="I229" s="2">
        <f t="array" ref="I229">SUMPRODUCT(B213:B232, (ROW(B213:B232)-ROW(B213)+1)) / (20*21/2)</f>
        <v>5.5843523809523816</v>
      </c>
      <c r="J229" s="2">
        <f t="shared" si="26"/>
        <v>5.6111507931630467</v>
      </c>
      <c r="K229" s="2">
        <f t="shared" si="20"/>
        <v>5.6577696790959644</v>
      </c>
    </row>
    <row r="230" spans="1:11" ht="13.5" x14ac:dyDescent="0.25">
      <c r="A230" s="3">
        <f>TITRES_STAT!B233</f>
        <v>45252</v>
      </c>
      <c r="B230" s="5">
        <f>TITRES_STAT!D233</f>
        <v>5.5789999999999997</v>
      </c>
      <c r="C230" s="2">
        <f t="shared" si="21"/>
        <v>8.0000000000000071E-3</v>
      </c>
      <c r="D230" s="2">
        <f t="shared" si="22"/>
        <v>5.5828000000000007</v>
      </c>
      <c r="E230" s="2">
        <f t="shared" si="24"/>
        <v>5.5827</v>
      </c>
      <c r="F230" s="2">
        <f t="shared" si="25"/>
        <v>5.6098999999999979</v>
      </c>
      <c r="G230" s="2">
        <f t="shared" si="19"/>
        <v>5.6682600000000001</v>
      </c>
      <c r="H230" s="2">
        <f t="shared" si="23"/>
        <v>5.6065899999999953</v>
      </c>
      <c r="I230" s="2">
        <f t="array" ref="I230">SUMPRODUCT(B214:B233, (ROW(B214:B233)-ROW(B214)+1)) / (20*21/2)</f>
        <v>5.5808428571428577</v>
      </c>
      <c r="J230" s="2">
        <f t="shared" si="26"/>
        <v>5.6080888128618041</v>
      </c>
      <c r="K230" s="2">
        <f t="shared" si="20"/>
        <v>5.6546806720725939</v>
      </c>
    </row>
    <row r="231" spans="1:11" ht="13.5" x14ac:dyDescent="0.25">
      <c r="A231" s="3">
        <f>TITRES_STAT!B234</f>
        <v>45253</v>
      </c>
      <c r="B231" s="5">
        <f>TITRES_STAT!D234</f>
        <v>5.5709999999999997</v>
      </c>
      <c r="C231" s="2">
        <f t="shared" si="21"/>
        <v>-8.0000000000000071E-3</v>
      </c>
      <c r="D231" s="2">
        <f t="shared" si="22"/>
        <v>5.5793999999999997</v>
      </c>
      <c r="E231" s="2">
        <f t="shared" si="24"/>
        <v>5.5809999999999995</v>
      </c>
      <c r="F231" s="2">
        <f t="shared" si="25"/>
        <v>5.6045999999999978</v>
      </c>
      <c r="G231" s="2">
        <f t="shared" si="19"/>
        <v>5.66472</v>
      </c>
      <c r="H231" s="2">
        <f t="shared" si="23"/>
        <v>5.6075199999999947</v>
      </c>
      <c r="I231" s="2">
        <f t="array" ref="I231">SUMPRODUCT(B215:B234, (ROW(B215:B234)-ROW(B215)+1)) / (20*21/2)</f>
        <v>5.5770238095238103</v>
      </c>
      <c r="J231" s="2">
        <f t="shared" si="26"/>
        <v>5.6045565449702037</v>
      </c>
      <c r="K231" s="2">
        <f t="shared" si="20"/>
        <v>5.651399077089355</v>
      </c>
    </row>
    <row r="232" spans="1:11" ht="13.5" x14ac:dyDescent="0.25">
      <c r="A232" s="3">
        <f>TITRES_STAT!B235</f>
        <v>45254</v>
      </c>
      <c r="B232" s="5">
        <f>TITRES_STAT!D235</f>
        <v>5.5620000000000003</v>
      </c>
      <c r="C232" s="2">
        <f t="shared" si="21"/>
        <v>-8.9999999999994529E-3</v>
      </c>
      <c r="D232" s="2">
        <f t="shared" si="22"/>
        <v>5.5741999999999994</v>
      </c>
      <c r="E232" s="2">
        <f t="shared" si="24"/>
        <v>5.5783999999999994</v>
      </c>
      <c r="F232" s="2">
        <f t="shared" si="25"/>
        <v>5.5988499999999979</v>
      </c>
      <c r="G232" s="2">
        <f t="shared" si="19"/>
        <v>5.661179999999999</v>
      </c>
      <c r="H232" s="2">
        <f t="shared" si="23"/>
        <v>5.6088299999999958</v>
      </c>
      <c r="I232" s="2">
        <f t="array" ref="I232">SUMPRODUCT(B216:B235, (ROW(B216:B235)-ROW(B216)+1)) / (20*21/2)</f>
        <v>5.5746523809523802</v>
      </c>
      <c r="J232" s="2">
        <f t="shared" si="26"/>
        <v>5.6005035406873267</v>
      </c>
      <c r="K232" s="2">
        <f t="shared" si="20"/>
        <v>5.6478932309289887</v>
      </c>
    </row>
    <row r="233" spans="1:11" ht="13.5" x14ac:dyDescent="0.25">
      <c r="A233" s="3">
        <f>TITRES_STAT!B236</f>
        <v>45257</v>
      </c>
      <c r="B233" s="5">
        <f>TITRES_STAT!D236</f>
        <v>5.5620000000000003</v>
      </c>
      <c r="C233" s="2">
        <f t="shared" si="21"/>
        <v>0</v>
      </c>
      <c r="D233" s="2">
        <f t="shared" si="22"/>
        <v>5.569</v>
      </c>
      <c r="E233" s="2">
        <f t="shared" si="24"/>
        <v>5.5766999999999998</v>
      </c>
      <c r="F233" s="2">
        <f t="shared" si="25"/>
        <v>5.593099999999998</v>
      </c>
      <c r="G233" s="2">
        <f t="shared" si="19"/>
        <v>5.6576399999999998</v>
      </c>
      <c r="H233" s="2">
        <f t="shared" si="23"/>
        <v>5.6107349999999947</v>
      </c>
      <c r="I233" s="2">
        <f t="array" ref="I233">SUMPRODUCT(B217:B236, (ROW(B217:B236)-ROW(B217)+1)) / (20*21/2)</f>
        <v>5.5708619047619043</v>
      </c>
      <c r="J233" s="2">
        <f t="shared" si="26"/>
        <v>5.5968365368123427</v>
      </c>
      <c r="K233" s="2">
        <f t="shared" si="20"/>
        <v>5.6445248689317742</v>
      </c>
    </row>
    <row r="234" spans="1:11" ht="13.5" x14ac:dyDescent="0.25">
      <c r="A234" s="3">
        <f>TITRES_STAT!B237</f>
        <v>45258</v>
      </c>
      <c r="B234" s="5">
        <f>TITRES_STAT!D237</f>
        <v>5.5529999999999999</v>
      </c>
      <c r="C234" s="2">
        <f t="shared" si="21"/>
        <v>-9.0000000000003411E-3</v>
      </c>
      <c r="D234" s="2">
        <f t="shared" si="22"/>
        <v>5.5654000000000003</v>
      </c>
      <c r="E234" s="2">
        <f t="shared" si="24"/>
        <v>5.5740999999999996</v>
      </c>
      <c r="F234" s="2">
        <f t="shared" si="25"/>
        <v>5.5868999999999982</v>
      </c>
      <c r="G234" s="2">
        <f t="shared" si="19"/>
        <v>5.6544599999999994</v>
      </c>
      <c r="H234" s="2">
        <f t="shared" si="23"/>
        <v>5.6124249999999947</v>
      </c>
      <c r="I234" s="2">
        <f t="array" ref="I234">SUMPRODUCT(B218:B237, (ROW(B218:B237)-ROW(B218)+1)) / (20*21/2)</f>
        <v>5.5666380952380949</v>
      </c>
      <c r="J234" s="2">
        <f t="shared" si="26"/>
        <v>5.5926616285445006</v>
      </c>
      <c r="K234" s="2">
        <f t="shared" si="20"/>
        <v>5.6409356583854304</v>
      </c>
    </row>
    <row r="235" spans="1:11" ht="13.5" x14ac:dyDescent="0.25">
      <c r="A235" s="3">
        <f>TITRES_STAT!B238</f>
        <v>45259</v>
      </c>
      <c r="B235" s="5">
        <f>TITRES_STAT!D238</f>
        <v>5.5620000000000003</v>
      </c>
      <c r="C235" s="2">
        <f t="shared" si="21"/>
        <v>9.0000000000003411E-3</v>
      </c>
      <c r="D235" s="2">
        <f t="shared" si="22"/>
        <v>5.5620000000000003</v>
      </c>
      <c r="E235" s="2">
        <f t="shared" si="24"/>
        <v>5.5723999999999991</v>
      </c>
      <c r="F235" s="2">
        <f t="shared" si="25"/>
        <v>5.5837999999999983</v>
      </c>
      <c r="G235" s="2">
        <f t="shared" si="19"/>
        <v>5.651279999999999</v>
      </c>
      <c r="H235" s="2">
        <f t="shared" si="23"/>
        <v>5.614199999999995</v>
      </c>
      <c r="I235" s="2">
        <f t="array" ref="I235">SUMPRODUCT(B219:B238, (ROW(B219:B238)-ROW(B219)+1)) / (20*21/2)</f>
        <v>5.5627952380952372</v>
      </c>
      <c r="J235" s="2">
        <f t="shared" si="26"/>
        <v>5.5897414734450237</v>
      </c>
      <c r="K235" s="2">
        <f t="shared" si="20"/>
        <v>5.6378401423703162</v>
      </c>
    </row>
    <row r="236" spans="1:11" ht="13.5" x14ac:dyDescent="0.25">
      <c r="A236" s="3">
        <f>TITRES_STAT!B239</f>
        <v>45260</v>
      </c>
      <c r="B236" s="5">
        <f>TITRES_STAT!D239</f>
        <v>5.5439999999999996</v>
      </c>
      <c r="C236" s="2">
        <f t="shared" si="21"/>
        <v>-1.8000000000000682E-2</v>
      </c>
      <c r="D236" s="2">
        <f t="shared" si="22"/>
        <v>5.5566000000000004</v>
      </c>
      <c r="E236" s="2">
        <f t="shared" si="24"/>
        <v>5.5679999999999987</v>
      </c>
      <c r="F236" s="2">
        <f t="shared" si="25"/>
        <v>5.5793499999999989</v>
      </c>
      <c r="G236" s="2">
        <f t="shared" si="19"/>
        <v>5.6477399999999989</v>
      </c>
      <c r="H236" s="2">
        <f t="shared" si="23"/>
        <v>5.6160149999999964</v>
      </c>
      <c r="I236" s="2">
        <f t="array" ref="I236">SUMPRODUCT(B220:B239, (ROW(B220:B239)-ROW(B220)+1)) / (20*21/2)</f>
        <v>5.5584761904761901</v>
      </c>
      <c r="J236" s="2">
        <f t="shared" si="26"/>
        <v>5.5853851426407353</v>
      </c>
      <c r="K236" s="2">
        <f t="shared" si="20"/>
        <v>5.6341601367871661</v>
      </c>
    </row>
    <row r="237" spans="1:11" ht="13.5" x14ac:dyDescent="0.25">
      <c r="A237" s="3">
        <f>TITRES_STAT!B240</f>
        <v>45261</v>
      </c>
      <c r="B237" s="5">
        <f>TITRES_STAT!D240</f>
        <v>5.5350000000000001</v>
      </c>
      <c r="C237" s="2">
        <f t="shared" si="21"/>
        <v>-8.9999999999994529E-3</v>
      </c>
      <c r="D237" s="2">
        <f t="shared" si="22"/>
        <v>5.5511999999999997</v>
      </c>
      <c r="E237" s="2">
        <f t="shared" si="24"/>
        <v>5.5626999999999995</v>
      </c>
      <c r="F237" s="2">
        <f t="shared" si="25"/>
        <v>5.5753499999999985</v>
      </c>
      <c r="G237" s="2">
        <f t="shared" si="19"/>
        <v>5.6436599999999988</v>
      </c>
      <c r="H237" s="2">
        <f t="shared" si="23"/>
        <v>5.6178249999999972</v>
      </c>
      <c r="I237" s="2">
        <f t="array" ref="I237">SUMPRODUCT(B221:B240, (ROW(B221:B240)-ROW(B221)+1)) / (20*21/2)</f>
        <v>5.5544523809523803</v>
      </c>
      <c r="J237" s="2">
        <f t="shared" si="26"/>
        <v>5.5805865576273312</v>
      </c>
      <c r="K237" s="2">
        <f t="shared" si="20"/>
        <v>5.6302715039719828</v>
      </c>
    </row>
    <row r="238" spans="1:11" ht="13.5" x14ac:dyDescent="0.25">
      <c r="A238" s="3">
        <f>TITRES_STAT!B241</f>
        <v>45264</v>
      </c>
      <c r="B238" s="5">
        <f>TITRES_STAT!D241</f>
        <v>5.5350000000000001</v>
      </c>
      <c r="C238" s="2">
        <f t="shared" si="21"/>
        <v>0</v>
      </c>
      <c r="D238" s="2">
        <f t="shared" si="22"/>
        <v>5.5457999999999998</v>
      </c>
      <c r="E238" s="2">
        <f t="shared" si="24"/>
        <v>5.5573999999999986</v>
      </c>
      <c r="F238" s="2">
        <f t="shared" si="25"/>
        <v>5.5713499999999989</v>
      </c>
      <c r="G238" s="2">
        <f t="shared" si="19"/>
        <v>5.6395799999999996</v>
      </c>
      <c r="H238" s="2">
        <f t="shared" si="23"/>
        <v>5.6196799999999971</v>
      </c>
      <c r="I238" s="2">
        <f t="array" ref="I238">SUMPRODUCT(B222:B241, (ROW(B222:B241)-ROW(B222)+1)) / (20*21/2)</f>
        <v>5.5507238095238094</v>
      </c>
      <c r="J238" s="2">
        <f t="shared" si="26"/>
        <v>5.5762449807104417</v>
      </c>
      <c r="K238" s="2">
        <f t="shared" si="20"/>
        <v>5.6265353665613169</v>
      </c>
    </row>
    <row r="239" spans="1:11" ht="13.5" x14ac:dyDescent="0.25">
      <c r="A239" s="3">
        <f>TITRES_STAT!B242</f>
        <v>45265</v>
      </c>
      <c r="B239" s="5">
        <f>TITRES_STAT!D242</f>
        <v>5.5259999999999998</v>
      </c>
      <c r="C239" s="2">
        <f t="shared" si="21"/>
        <v>-9.0000000000003411E-3</v>
      </c>
      <c r="D239" s="2">
        <f t="shared" si="22"/>
        <v>5.5404</v>
      </c>
      <c r="E239" s="2">
        <f t="shared" si="24"/>
        <v>5.5528999999999993</v>
      </c>
      <c r="F239" s="2">
        <f t="shared" si="25"/>
        <v>5.568249999999999</v>
      </c>
      <c r="G239" s="2">
        <f t="shared" si="19"/>
        <v>5.6354999999999995</v>
      </c>
      <c r="H239" s="2">
        <f t="shared" si="23"/>
        <v>5.6214049999999975</v>
      </c>
      <c r="I239" s="2">
        <f t="array" ref="I239">SUMPRODUCT(B223:B242, (ROW(B223:B242)-ROW(B223)+1)) / (20*21/2)</f>
        <v>5.5472904761904767</v>
      </c>
      <c r="J239" s="2">
        <f t="shared" si="26"/>
        <v>5.5714597444523051</v>
      </c>
      <c r="K239" s="2">
        <f t="shared" si="20"/>
        <v>5.6225928031667554</v>
      </c>
    </row>
    <row r="240" spans="1:11" ht="13.5" x14ac:dyDescent="0.25">
      <c r="A240" s="3">
        <f>TITRES_STAT!B243</f>
        <v>45266</v>
      </c>
      <c r="B240" s="5">
        <f>TITRES_STAT!D243</f>
        <v>5.5259999999999998</v>
      </c>
      <c r="C240" s="2">
        <f t="shared" si="21"/>
        <v>0</v>
      </c>
      <c r="D240" s="2">
        <f t="shared" si="22"/>
        <v>5.5331999999999999</v>
      </c>
      <c r="E240" s="2">
        <f t="shared" si="24"/>
        <v>5.5475999999999983</v>
      </c>
      <c r="F240" s="2">
        <f t="shared" si="25"/>
        <v>5.5651499999999983</v>
      </c>
      <c r="G240" s="2">
        <f t="shared" si="19"/>
        <v>5.6314200000000003</v>
      </c>
      <c r="H240" s="2">
        <f t="shared" si="23"/>
        <v>5.6232149999999983</v>
      </c>
      <c r="I240" s="2">
        <f t="array" ref="I240">SUMPRODUCT(B224:B243, (ROW(B224:B243)-ROW(B224)+1)) / (20*21/2)</f>
        <v>5.5416761904761902</v>
      </c>
      <c r="J240" s="2">
        <f t="shared" si="26"/>
        <v>5.5671302449806568</v>
      </c>
      <c r="K240" s="2">
        <f t="shared" si="20"/>
        <v>5.6188048501013927</v>
      </c>
    </row>
    <row r="241" spans="1:11" ht="13.5" x14ac:dyDescent="0.25">
      <c r="A241" s="3">
        <f>TITRES_STAT!B244</f>
        <v>45267</v>
      </c>
      <c r="B241" s="5">
        <f>TITRES_STAT!D244</f>
        <v>5.5259999999999998</v>
      </c>
      <c r="C241" s="2">
        <f t="shared" si="21"/>
        <v>0</v>
      </c>
      <c r="D241" s="2">
        <f t="shared" si="22"/>
        <v>5.5296000000000003</v>
      </c>
      <c r="E241" s="2">
        <f t="shared" si="24"/>
        <v>5.5430999999999981</v>
      </c>
      <c r="F241" s="2">
        <f t="shared" si="25"/>
        <v>5.5620499999999984</v>
      </c>
      <c r="G241" s="2">
        <f t="shared" si="19"/>
        <v>5.6275200000000005</v>
      </c>
      <c r="H241" s="2">
        <f t="shared" si="23"/>
        <v>5.6250249999999982</v>
      </c>
      <c r="I241" s="2">
        <f t="array" ref="I241">SUMPRODUCT(B225:B244, (ROW(B225:B244)-ROW(B225)+1)) / (20*21/2)</f>
        <v>5.5279619047619049</v>
      </c>
      <c r="J241" s="2">
        <f t="shared" si="26"/>
        <v>5.5632130787920229</v>
      </c>
      <c r="K241" s="2">
        <f t="shared" si="20"/>
        <v>5.615165444215064</v>
      </c>
    </row>
    <row r="242" spans="1:11" ht="13.5" x14ac:dyDescent="0.25">
      <c r="A242" s="3">
        <f>TITRES_STAT!B245</f>
        <v>45268</v>
      </c>
      <c r="B242" s="5">
        <f>TITRES_STAT!D245</f>
        <v>5.5259999999999998</v>
      </c>
      <c r="C242" s="2">
        <f t="shared" si="21"/>
        <v>0</v>
      </c>
      <c r="D242" s="2">
        <f t="shared" si="22"/>
        <v>5.5278</v>
      </c>
      <c r="E242" s="2">
        <f t="shared" si="24"/>
        <v>5.5394999999999985</v>
      </c>
      <c r="F242" s="2">
        <f t="shared" si="25"/>
        <v>5.5589499999999976</v>
      </c>
      <c r="G242" s="2">
        <f t="shared" ref="G242:G305" si="27">AVERAGE(B193:B242)</f>
        <v>5.6239600000000003</v>
      </c>
      <c r="H242" s="2">
        <f t="shared" si="23"/>
        <v>5.6268349999999998</v>
      </c>
      <c r="I242" s="2">
        <f t="array" ref="I242">SUMPRODUCT(B226:B245, (ROW(B226:B245)-ROW(B226)+1)) / (20*21/2)</f>
        <v>5.5141904761904765</v>
      </c>
      <c r="J242" s="2">
        <f t="shared" si="26"/>
        <v>5.5596689760499256</v>
      </c>
      <c r="K242" s="2">
        <f t="shared" si="20"/>
        <v>5.6116687601281985</v>
      </c>
    </row>
    <row r="243" spans="1:11" ht="13.5" x14ac:dyDescent="0.25">
      <c r="A243" s="3">
        <f>TITRES_STAT!B246</f>
        <v>45271</v>
      </c>
      <c r="B243" s="5">
        <f>TITRES_STAT!D246</f>
        <v>5.5</v>
      </c>
      <c r="C243" s="2">
        <f t="shared" si="21"/>
        <v>-2.5999999999999801E-2</v>
      </c>
      <c r="D243" s="2">
        <f t="shared" si="22"/>
        <v>5.5207999999999995</v>
      </c>
      <c r="E243" s="2">
        <f t="shared" si="24"/>
        <v>5.5332999999999988</v>
      </c>
      <c r="F243" s="2">
        <f t="shared" si="25"/>
        <v>5.5549999999999979</v>
      </c>
      <c r="G243" s="2">
        <f t="shared" si="27"/>
        <v>5.61972</v>
      </c>
      <c r="H243" s="2">
        <f t="shared" si="23"/>
        <v>5.6285150000000002</v>
      </c>
      <c r="I243" s="2">
        <f t="array" ref="I243">SUMPRODUCT(B227:B246, (ROW(B227:B246)-ROW(B227)+1)) / (20*21/2)</f>
        <v>5.5054523809523817</v>
      </c>
      <c r="J243" s="2">
        <f t="shared" si="26"/>
        <v>5.5539862164261233</v>
      </c>
      <c r="K243" s="2">
        <f t="shared" ref="K243:K306" si="28">$K$4*B243+(1-$K$4)*K242</f>
        <v>5.6072895930643476</v>
      </c>
    </row>
    <row r="244" spans="1:11" ht="13.5" x14ac:dyDescent="0.25">
      <c r="A244" s="3">
        <f>TITRES_STAT!B247</f>
        <v>45272</v>
      </c>
      <c r="B244" s="5">
        <f>TITRES_STAT!D247</f>
        <v>5.4109999999999996</v>
      </c>
      <c r="C244" s="2">
        <f t="shared" si="21"/>
        <v>-8.9000000000000412E-2</v>
      </c>
      <c r="D244" s="2">
        <f t="shared" si="22"/>
        <v>5.4977999999999998</v>
      </c>
      <c r="E244" s="2">
        <f t="shared" si="24"/>
        <v>5.519099999999999</v>
      </c>
      <c r="F244" s="2">
        <f t="shared" si="25"/>
        <v>5.5465999999999989</v>
      </c>
      <c r="G244" s="2">
        <f t="shared" si="27"/>
        <v>5.6138599999999999</v>
      </c>
      <c r="H244" s="2">
        <f t="shared" si="23"/>
        <v>5.629789999999999</v>
      </c>
      <c r="I244" s="2">
        <f t="array" ref="I244">SUMPRODUCT(B228:B247, (ROW(B228:B247)-ROW(B228)+1)) / (20*21/2)</f>
        <v>5.4957714285714276</v>
      </c>
      <c r="J244" s="2">
        <f t="shared" si="26"/>
        <v>5.5403684815283976</v>
      </c>
      <c r="K244" s="2">
        <f t="shared" si="28"/>
        <v>5.5995919619637844</v>
      </c>
    </row>
    <row r="245" spans="1:11" ht="13.5" x14ac:dyDescent="0.25">
      <c r="A245" s="3">
        <f>TITRES_STAT!B248</f>
        <v>45273</v>
      </c>
      <c r="B245" s="5">
        <f>TITRES_STAT!D248</f>
        <v>5.4020000000000001</v>
      </c>
      <c r="C245" s="2">
        <f t="shared" si="21"/>
        <v>-8.9999999999994529E-3</v>
      </c>
      <c r="D245" s="2">
        <f t="shared" si="22"/>
        <v>5.4730000000000008</v>
      </c>
      <c r="E245" s="2">
        <f t="shared" si="24"/>
        <v>5.5031000000000008</v>
      </c>
      <c r="F245" s="2">
        <f t="shared" si="25"/>
        <v>5.5377499999999982</v>
      </c>
      <c r="G245" s="2">
        <f t="shared" si="27"/>
        <v>5.6078199999999994</v>
      </c>
      <c r="H245" s="2">
        <f t="shared" si="23"/>
        <v>5.6310199999999995</v>
      </c>
      <c r="I245" s="2">
        <f t="array" ref="I245">SUMPRODUCT(B229:B248, (ROW(B229:B248)-ROW(B229)+1)) / (20*21/2)</f>
        <v>5.4851333333333336</v>
      </c>
      <c r="J245" s="2">
        <f t="shared" si="26"/>
        <v>5.5271905309066458</v>
      </c>
      <c r="K245" s="2">
        <f t="shared" si="28"/>
        <v>5.5918432575730472</v>
      </c>
    </row>
    <row r="246" spans="1:11" ht="13.5" x14ac:dyDescent="0.25">
      <c r="A246" s="3">
        <f>TITRES_STAT!B249</f>
        <v>45274</v>
      </c>
      <c r="B246" s="5">
        <f>TITRES_STAT!D249</f>
        <v>5.4459999999999997</v>
      </c>
      <c r="C246" s="2">
        <f t="shared" si="21"/>
        <v>4.3999999999999595E-2</v>
      </c>
      <c r="D246" s="2">
        <f t="shared" si="22"/>
        <v>5.456999999999999</v>
      </c>
      <c r="E246" s="2">
        <f t="shared" si="24"/>
        <v>5.4932999999999996</v>
      </c>
      <c r="F246" s="2">
        <f t="shared" si="25"/>
        <v>5.5306499999999987</v>
      </c>
      <c r="G246" s="2">
        <f t="shared" si="27"/>
        <v>5.6026600000000011</v>
      </c>
      <c r="H246" s="2">
        <f t="shared" si="23"/>
        <v>5.6324699999999996</v>
      </c>
      <c r="I246" s="2">
        <f t="array" ref="I246">SUMPRODUCT(B230:B249, (ROW(B230:B249)-ROW(B230)+1)) / (20*21/2)</f>
        <v>5.4761952380952383</v>
      </c>
      <c r="J246" s="2">
        <f t="shared" si="26"/>
        <v>5.519458099391727</v>
      </c>
      <c r="K246" s="2">
        <f t="shared" si="28"/>
        <v>5.5861239141388106</v>
      </c>
    </row>
    <row r="247" spans="1:11" ht="13.5" x14ac:dyDescent="0.25">
      <c r="A247" s="3">
        <f>TITRES_STAT!B250</f>
        <v>45275</v>
      </c>
      <c r="B247" s="5">
        <f>TITRES_STAT!D250</f>
        <v>5.4290000000000003</v>
      </c>
      <c r="C247" s="2">
        <f t="shared" si="21"/>
        <v>-1.699999999999946E-2</v>
      </c>
      <c r="D247" s="2">
        <f t="shared" si="22"/>
        <v>5.4376000000000007</v>
      </c>
      <c r="E247" s="2">
        <f t="shared" si="24"/>
        <v>5.4826999999999995</v>
      </c>
      <c r="F247" s="2">
        <f t="shared" si="25"/>
        <v>5.5226999999999986</v>
      </c>
      <c r="G247" s="2">
        <f t="shared" si="27"/>
        <v>5.5971599999999997</v>
      </c>
      <c r="H247" s="2">
        <f t="shared" si="23"/>
        <v>5.6338799999999996</v>
      </c>
      <c r="I247" s="2">
        <f t="array" ref="I247">SUMPRODUCT(B231:B250, (ROW(B231:B250)-ROW(B231)+1)) / (20*21/2)</f>
        <v>5.4662619047619048</v>
      </c>
      <c r="J247" s="2">
        <f t="shared" si="26"/>
        <v>5.5108430423068011</v>
      </c>
      <c r="K247" s="2">
        <f t="shared" si="28"/>
        <v>5.5799621920157207</v>
      </c>
    </row>
    <row r="248" spans="1:11" ht="13.5" x14ac:dyDescent="0.25">
      <c r="A248" s="3">
        <f>TITRES_STAT!B251</f>
        <v>45278</v>
      </c>
      <c r="B248" s="5">
        <f>TITRES_STAT!D251</f>
        <v>5.4109999999999996</v>
      </c>
      <c r="C248" s="2">
        <f t="shared" si="21"/>
        <v>-1.8000000000000682E-2</v>
      </c>
      <c r="D248" s="2">
        <f t="shared" si="22"/>
        <v>5.4198000000000004</v>
      </c>
      <c r="E248" s="2">
        <f t="shared" si="24"/>
        <v>5.4702999999999999</v>
      </c>
      <c r="F248" s="2">
        <f t="shared" si="25"/>
        <v>5.5138499999999988</v>
      </c>
      <c r="G248" s="2">
        <f t="shared" si="27"/>
        <v>5.5909599999999999</v>
      </c>
      <c r="H248" s="2">
        <f t="shared" si="23"/>
        <v>5.6352399999999996</v>
      </c>
      <c r="I248" s="2">
        <f t="array" ref="I248">SUMPRODUCT(B232:B251, (ROW(B232:B251)-ROW(B232)+1)) / (20*21/2)</f>
        <v>5.456314285714285</v>
      </c>
      <c r="J248" s="2">
        <f t="shared" si="26"/>
        <v>5.5013341811347249</v>
      </c>
      <c r="K248" s="2">
        <f t="shared" si="28"/>
        <v>5.5733362237013786</v>
      </c>
    </row>
    <row r="249" spans="1:11" ht="13.5" x14ac:dyDescent="0.25">
      <c r="A249" s="3">
        <f>TITRES_STAT!B252</f>
        <v>45279</v>
      </c>
      <c r="B249" s="5">
        <f>TITRES_STAT!D252</f>
        <v>5.42</v>
      </c>
      <c r="C249" s="2">
        <f t="shared" si="21"/>
        <v>9.0000000000003411E-3</v>
      </c>
      <c r="D249" s="2">
        <f t="shared" si="22"/>
        <v>5.4216000000000006</v>
      </c>
      <c r="E249" s="2">
        <f t="shared" si="24"/>
        <v>5.4596999999999998</v>
      </c>
      <c r="F249" s="2">
        <f t="shared" si="25"/>
        <v>5.5062999999999995</v>
      </c>
      <c r="G249" s="2">
        <f t="shared" si="27"/>
        <v>5.5856400000000006</v>
      </c>
      <c r="H249" s="2">
        <f t="shared" si="23"/>
        <v>5.6366450000000006</v>
      </c>
      <c r="I249" s="2">
        <f t="array" ref="I249">SUMPRODUCT(B233:B252, (ROW(B233:B252)-ROW(B233)+1)) / (20*21/2)</f>
        <v>5.4472142857142858</v>
      </c>
      <c r="J249" s="2">
        <f t="shared" si="26"/>
        <v>5.4935880686457033</v>
      </c>
      <c r="K249" s="2">
        <f t="shared" si="28"/>
        <v>5.5673230384581878</v>
      </c>
    </row>
    <row r="250" spans="1:11" ht="13.5" x14ac:dyDescent="0.25">
      <c r="A250" s="3">
        <f>TITRES_STAT!B253</f>
        <v>45280</v>
      </c>
      <c r="B250" s="5">
        <f>TITRES_STAT!D253</f>
        <v>5.4020000000000001</v>
      </c>
      <c r="C250" s="2">
        <f t="shared" si="21"/>
        <v>-1.7999999999999794E-2</v>
      </c>
      <c r="D250" s="2">
        <f t="shared" si="22"/>
        <v>5.4216000000000006</v>
      </c>
      <c r="E250" s="2">
        <f t="shared" si="24"/>
        <v>5.4473000000000003</v>
      </c>
      <c r="F250" s="2">
        <f t="shared" si="25"/>
        <v>5.4974499999999988</v>
      </c>
      <c r="G250" s="2">
        <f t="shared" si="27"/>
        <v>5.5799599999999998</v>
      </c>
      <c r="H250" s="2">
        <f t="shared" si="23"/>
        <v>5.6380050000000006</v>
      </c>
      <c r="I250" s="2">
        <f t="array" ref="I250">SUMPRODUCT(B234:B253, (ROW(B234:B253)-ROW(B234)+1)) / (20*21/2)</f>
        <v>5.4389190476190468</v>
      </c>
      <c r="J250" s="2">
        <f t="shared" si="26"/>
        <v>5.4848653954413509</v>
      </c>
      <c r="K250" s="2">
        <f t="shared" si="28"/>
        <v>5.5608397820480624</v>
      </c>
    </row>
    <row r="251" spans="1:11" ht="13.5" x14ac:dyDescent="0.25">
      <c r="A251" s="3">
        <f>TITRES_STAT!B254</f>
        <v>45281</v>
      </c>
      <c r="B251" s="5">
        <f>TITRES_STAT!D254</f>
        <v>5.3929999999999998</v>
      </c>
      <c r="C251" s="2">
        <f t="shared" si="21"/>
        <v>-9.0000000000003411E-3</v>
      </c>
      <c r="D251" s="2">
        <f t="shared" si="22"/>
        <v>5.4109999999999996</v>
      </c>
      <c r="E251" s="2">
        <f t="shared" si="24"/>
        <v>5.4340000000000002</v>
      </c>
      <c r="F251" s="2">
        <f t="shared" si="25"/>
        <v>5.4885499999999992</v>
      </c>
      <c r="G251" s="2">
        <f t="shared" si="27"/>
        <v>5.5740999999999996</v>
      </c>
      <c r="H251" s="2">
        <f t="shared" si="23"/>
        <v>5.6394900000000021</v>
      </c>
      <c r="I251" s="2">
        <f t="array" ref="I251">SUMPRODUCT(B235:B254, (ROW(B235:B254)-ROW(B235)+1)) / (20*21/2)</f>
        <v>5.4314285714285706</v>
      </c>
      <c r="J251" s="2">
        <f t="shared" si="26"/>
        <v>5.4761163101612222</v>
      </c>
      <c r="K251" s="2">
        <f t="shared" si="28"/>
        <v>5.5542578298108838</v>
      </c>
    </row>
    <row r="252" spans="1:11" ht="13.5" x14ac:dyDescent="0.25">
      <c r="A252" s="3">
        <f>TITRES_STAT!B255</f>
        <v>45282</v>
      </c>
      <c r="B252" s="5">
        <f>TITRES_STAT!D255</f>
        <v>5.3929999999999998</v>
      </c>
      <c r="C252" s="2">
        <f t="shared" si="21"/>
        <v>0</v>
      </c>
      <c r="D252" s="2">
        <f t="shared" si="22"/>
        <v>5.4038000000000004</v>
      </c>
      <c r="E252" s="2">
        <f t="shared" si="24"/>
        <v>5.420700000000001</v>
      </c>
      <c r="F252" s="2">
        <f t="shared" si="25"/>
        <v>5.4800999999999993</v>
      </c>
      <c r="G252" s="2">
        <f t="shared" si="27"/>
        <v>5.5680599999999982</v>
      </c>
      <c r="H252" s="2">
        <f t="shared" si="23"/>
        <v>5.6409750000000018</v>
      </c>
      <c r="I252" s="2">
        <f t="array" ref="I252">SUMPRODUCT(B236:B255, (ROW(B236:B255)-ROW(B236)+1)) / (20*21/2)</f>
        <v>5.4179380952380951</v>
      </c>
      <c r="J252" s="2">
        <f t="shared" si="26"/>
        <v>5.4682004710982488</v>
      </c>
      <c r="K252" s="2">
        <f t="shared" si="28"/>
        <v>5.5479339933477121</v>
      </c>
    </row>
    <row r="253" spans="1:11" ht="13.5" x14ac:dyDescent="0.25">
      <c r="A253" s="3">
        <f>TITRES_STAT!B256</f>
        <v>45285</v>
      </c>
      <c r="B253" s="5">
        <f>TITRES_STAT!D256</f>
        <v>5.3929999999999998</v>
      </c>
      <c r="C253" s="2">
        <f t="shared" si="21"/>
        <v>0</v>
      </c>
      <c r="D253" s="2">
        <f t="shared" si="22"/>
        <v>5.4001999999999999</v>
      </c>
      <c r="E253" s="2">
        <f t="shared" si="24"/>
        <v>5.410000000000001</v>
      </c>
      <c r="F253" s="2">
        <f t="shared" si="25"/>
        <v>5.4716499999999995</v>
      </c>
      <c r="G253" s="2">
        <f t="shared" si="27"/>
        <v>5.5620199999999977</v>
      </c>
      <c r="H253" s="2">
        <f t="shared" si="23"/>
        <v>5.6425000000000018</v>
      </c>
      <c r="I253" s="2">
        <f t="array" ref="I253">SUMPRODUCT(B237:B256, (ROW(B237:B256)-ROW(B237)+1)) / (20*21/2)</f>
        <v>5.4090190476190481</v>
      </c>
      <c r="J253" s="2">
        <f t="shared" si="26"/>
        <v>5.4610385214698445</v>
      </c>
      <c r="K253" s="2">
        <f t="shared" si="28"/>
        <v>5.5418581504713309</v>
      </c>
    </row>
    <row r="254" spans="1:11" ht="13.5" x14ac:dyDescent="0.25">
      <c r="A254" s="3">
        <f>TITRES_STAT!B257</f>
        <v>45286</v>
      </c>
      <c r="B254" s="5">
        <f>TITRES_STAT!D257</f>
        <v>5.3929999999999998</v>
      </c>
      <c r="C254" s="2">
        <f t="shared" si="21"/>
        <v>0</v>
      </c>
      <c r="D254" s="2">
        <f t="shared" si="22"/>
        <v>5.3948</v>
      </c>
      <c r="E254" s="2">
        <f t="shared" si="24"/>
        <v>5.4082000000000008</v>
      </c>
      <c r="F254" s="2">
        <f t="shared" si="25"/>
        <v>5.4636499999999995</v>
      </c>
      <c r="G254" s="2">
        <f t="shared" si="27"/>
        <v>5.5559799999999973</v>
      </c>
      <c r="H254" s="2">
        <f t="shared" si="23"/>
        <v>5.6429200000000028</v>
      </c>
      <c r="I254" s="2">
        <f t="array" ref="I254">SUMPRODUCT(B238:B257, (ROW(B238:B257)-ROW(B238)+1)) / (20*21/2)</f>
        <v>5.4009857142857145</v>
      </c>
      <c r="J254" s="2">
        <f t="shared" si="26"/>
        <v>5.4545586622822402</v>
      </c>
      <c r="K254" s="2">
        <f t="shared" si="28"/>
        <v>5.5360205759430432</v>
      </c>
    </row>
    <row r="255" spans="1:11" ht="13.5" x14ac:dyDescent="0.25">
      <c r="A255" s="3">
        <f>TITRES_STAT!B258</f>
        <v>45287</v>
      </c>
      <c r="B255" s="5">
        <f>TITRES_STAT!D258</f>
        <v>5.3220000000000001</v>
      </c>
      <c r="C255" s="2">
        <f t="shared" si="21"/>
        <v>-7.099999999999973E-2</v>
      </c>
      <c r="D255" s="2">
        <f t="shared" si="22"/>
        <v>5.3788</v>
      </c>
      <c r="E255" s="2">
        <f t="shared" si="24"/>
        <v>5.4002000000000008</v>
      </c>
      <c r="F255" s="2">
        <f t="shared" si="25"/>
        <v>5.4516500000000008</v>
      </c>
      <c r="G255" s="2">
        <f t="shared" si="27"/>
        <v>5.5488799999999978</v>
      </c>
      <c r="H255" s="2">
        <f t="shared" si="23"/>
        <v>5.6428600000000015</v>
      </c>
      <c r="I255" s="2">
        <f t="array" ref="I255">SUMPRODUCT(B239:B258, (ROW(B239:B258)-ROW(B239)+1)) / (20*21/2)</f>
        <v>5.3735095238095241</v>
      </c>
      <c r="J255" s="2">
        <f t="shared" si="26"/>
        <v>5.4419340277791699</v>
      </c>
      <c r="K255" s="2">
        <f t="shared" si="28"/>
        <v>5.527627612180571</v>
      </c>
    </row>
    <row r="256" spans="1:11" ht="13.5" x14ac:dyDescent="0.25">
      <c r="A256" s="3">
        <f>TITRES_STAT!B259</f>
        <v>45288</v>
      </c>
      <c r="B256" s="5">
        <f>TITRES_STAT!D259</f>
        <v>5.3579999999999997</v>
      </c>
      <c r="C256" s="2">
        <f t="shared" si="21"/>
        <v>3.5999999999999588E-2</v>
      </c>
      <c r="D256" s="2">
        <f t="shared" si="22"/>
        <v>5.3717999999999995</v>
      </c>
      <c r="E256" s="2">
        <f t="shared" si="24"/>
        <v>5.3914</v>
      </c>
      <c r="F256" s="2">
        <f t="shared" si="25"/>
        <v>5.4423500000000002</v>
      </c>
      <c r="G256" s="2">
        <f t="shared" si="27"/>
        <v>5.5424999999999986</v>
      </c>
      <c r="H256" s="2">
        <f t="shared" si="23"/>
        <v>5.6430200000000017</v>
      </c>
      <c r="I256" s="2">
        <f t="array" ref="I256">SUMPRODUCT(B240:B259, (ROW(B240:B259)-ROW(B240)+1)) / (20*21/2)</f>
        <v>5.3428428571428572</v>
      </c>
      <c r="J256" s="2">
        <f t="shared" si="26"/>
        <v>5.4339403108478201</v>
      </c>
      <c r="K256" s="2">
        <f t="shared" si="28"/>
        <v>5.5209755489578036</v>
      </c>
    </row>
    <row r="257" spans="1:11" ht="13.5" x14ac:dyDescent="0.25">
      <c r="A257" s="3">
        <f>TITRES_STAT!B260</f>
        <v>45289</v>
      </c>
      <c r="B257" s="5">
        <f>TITRES_STAT!D260</f>
        <v>5.3579999999999997</v>
      </c>
      <c r="C257" s="2">
        <f t="shared" si="21"/>
        <v>0</v>
      </c>
      <c r="D257" s="2">
        <f t="shared" si="22"/>
        <v>5.3648000000000007</v>
      </c>
      <c r="E257" s="2">
        <f t="shared" si="24"/>
        <v>5.3842999999999996</v>
      </c>
      <c r="F257" s="2">
        <f t="shared" si="25"/>
        <v>5.4335000000000004</v>
      </c>
      <c r="G257" s="2">
        <f t="shared" si="27"/>
        <v>5.5357599999999998</v>
      </c>
      <c r="H257" s="2">
        <f t="shared" si="23"/>
        <v>5.6428850000000015</v>
      </c>
      <c r="I257" s="2">
        <f t="array" ref="I257">SUMPRODUCT(B241:B260, (ROW(B241:B260)-ROW(B241)+1)) / (20*21/2)</f>
        <v>5.3108142857142866</v>
      </c>
      <c r="J257" s="2">
        <f t="shared" si="26"/>
        <v>5.426707900290884</v>
      </c>
      <c r="K257" s="2">
        <f t="shared" si="28"/>
        <v>5.514584350959459</v>
      </c>
    </row>
    <row r="258" spans="1:11" ht="13.5" x14ac:dyDescent="0.25">
      <c r="A258" s="3">
        <f>TITRES_STAT!B261</f>
        <v>45293</v>
      </c>
      <c r="B258" s="5">
        <f>TITRES_STAT!D261</f>
        <v>5.1449999999999996</v>
      </c>
      <c r="C258" s="2">
        <f t="shared" si="21"/>
        <v>-0.21300000000000008</v>
      </c>
      <c r="D258" s="2">
        <f t="shared" si="22"/>
        <v>5.3151999999999999</v>
      </c>
      <c r="E258" s="2">
        <f t="shared" si="24"/>
        <v>5.3576999999999995</v>
      </c>
      <c r="F258" s="2">
        <f t="shared" si="25"/>
        <v>5.4140000000000006</v>
      </c>
      <c r="G258" s="2">
        <f t="shared" si="27"/>
        <v>5.5251199999999994</v>
      </c>
      <c r="H258" s="2">
        <f t="shared" si="23"/>
        <v>5.6414300000000006</v>
      </c>
      <c r="I258" s="2">
        <f t="array" ref="I258">SUMPRODUCT(B242:B261, (ROW(B242:B261)-ROW(B242)+1)) / (20*21/2)</f>
        <v>5.2810238095238091</v>
      </c>
      <c r="J258" s="2">
        <f t="shared" si="26"/>
        <v>5.3998785764536574</v>
      </c>
      <c r="K258" s="2">
        <f t="shared" si="28"/>
        <v>5.5000908470002647</v>
      </c>
    </row>
    <row r="259" spans="1:11" ht="13.5" x14ac:dyDescent="0.25">
      <c r="A259" s="3">
        <f>TITRES_STAT!B262</f>
        <v>45294</v>
      </c>
      <c r="B259" s="5">
        <f>TITRES_STAT!D262</f>
        <v>5.0919999999999996</v>
      </c>
      <c r="C259" s="2">
        <f t="shared" si="21"/>
        <v>-5.2999999999999936E-2</v>
      </c>
      <c r="D259" s="2">
        <f t="shared" si="22"/>
        <v>5.2549999999999999</v>
      </c>
      <c r="E259" s="2">
        <f t="shared" si="24"/>
        <v>5.3248999999999995</v>
      </c>
      <c r="F259" s="2">
        <f t="shared" si="25"/>
        <v>5.3923000000000005</v>
      </c>
      <c r="G259" s="2">
        <f t="shared" si="27"/>
        <v>5.5134199999999991</v>
      </c>
      <c r="H259" s="2">
        <f t="shared" si="23"/>
        <v>5.6397100000000009</v>
      </c>
      <c r="I259" s="2">
        <f t="array" ref="I259">SUMPRODUCT(B243:B262, (ROW(B243:B262)-ROW(B243)+1)) / (20*21/2)</f>
        <v>5.2526142857142855</v>
      </c>
      <c r="J259" s="2">
        <f t="shared" si="26"/>
        <v>5.3705568072675947</v>
      </c>
      <c r="K259" s="2">
        <f t="shared" si="28"/>
        <v>5.4840872843728032</v>
      </c>
    </row>
    <row r="260" spans="1:11" ht="13.5" x14ac:dyDescent="0.25">
      <c r="A260" s="3">
        <f>TITRES_STAT!B263</f>
        <v>45295</v>
      </c>
      <c r="B260" s="5">
        <f>TITRES_STAT!D263</f>
        <v>5.056</v>
      </c>
      <c r="C260" s="2">
        <f t="shared" ref="C260:C323" si="29">B260-B259</f>
        <v>-3.5999999999999588E-2</v>
      </c>
      <c r="D260" s="2">
        <f t="shared" si="22"/>
        <v>5.2018000000000004</v>
      </c>
      <c r="E260" s="2">
        <f t="shared" si="24"/>
        <v>5.2902999999999993</v>
      </c>
      <c r="F260" s="2">
        <f t="shared" si="25"/>
        <v>5.3688000000000002</v>
      </c>
      <c r="G260" s="2">
        <f t="shared" si="27"/>
        <v>5.5009999999999977</v>
      </c>
      <c r="H260" s="2">
        <f t="shared" si="23"/>
        <v>5.63802</v>
      </c>
      <c r="I260" s="2">
        <f t="array" ref="I260">SUMPRODUCT(B244:B263, (ROW(B244:B263)-ROW(B244)+1)) / (20*21/2)</f>
        <v>5.2104857142857144</v>
      </c>
      <c r="J260" s="2">
        <f t="shared" si="26"/>
        <v>5.3405990160992527</v>
      </c>
      <c r="K260" s="2">
        <f t="shared" si="28"/>
        <v>5.4672995477307325</v>
      </c>
    </row>
    <row r="261" spans="1:11" ht="13.5" x14ac:dyDescent="0.25">
      <c r="A261" s="3">
        <f>TITRES_STAT!B264</f>
        <v>45296</v>
      </c>
      <c r="B261" s="5">
        <f>TITRES_STAT!D264</f>
        <v>5.056</v>
      </c>
      <c r="C261" s="2">
        <f t="shared" si="29"/>
        <v>0</v>
      </c>
      <c r="D261" s="2">
        <f t="shared" si="22"/>
        <v>5.1414</v>
      </c>
      <c r="E261" s="2">
        <f t="shared" si="24"/>
        <v>5.2565999999999988</v>
      </c>
      <c r="F261" s="2">
        <f t="shared" si="25"/>
        <v>5.3452999999999999</v>
      </c>
      <c r="G261" s="2">
        <f t="shared" si="27"/>
        <v>5.488579999999998</v>
      </c>
      <c r="H261" s="2">
        <f t="shared" si="23"/>
        <v>5.6363300000000001</v>
      </c>
      <c r="I261" s="2">
        <f t="array" ref="I261">SUMPRODUCT(B245:B264, (ROW(B245:B264)-ROW(B245)+1)) / (20*21/2)</f>
        <v>5.1796952380952375</v>
      </c>
      <c r="J261" s="2">
        <f t="shared" si="26"/>
        <v>5.313494347899324</v>
      </c>
      <c r="K261" s="2">
        <f t="shared" si="28"/>
        <v>5.4511701537020762</v>
      </c>
    </row>
    <row r="262" spans="1:11" ht="13.5" x14ac:dyDescent="0.25">
      <c r="A262" s="3">
        <f>TITRES_STAT!B265</f>
        <v>45299</v>
      </c>
      <c r="B262" s="5">
        <f>TITRES_STAT!D265</f>
        <v>5.0469999999999997</v>
      </c>
      <c r="C262" s="2">
        <f t="shared" si="29"/>
        <v>-9.0000000000003411E-3</v>
      </c>
      <c r="D262" s="2">
        <f t="shared" ref="D262:D325" si="30">AVERAGE(B258:B262)</f>
        <v>5.0792000000000002</v>
      </c>
      <c r="E262" s="2">
        <f t="shared" si="24"/>
        <v>5.2219999999999995</v>
      </c>
      <c r="F262" s="2">
        <f t="shared" si="25"/>
        <v>5.3213500000000007</v>
      </c>
      <c r="G262" s="2">
        <f t="shared" si="27"/>
        <v>5.4759799999999998</v>
      </c>
      <c r="H262" s="2">
        <f t="shared" si="23"/>
        <v>5.634640000000001</v>
      </c>
      <c r="I262" s="2">
        <f t="array" ref="I262">SUMPRODUCT(B246:B265, (ROW(B246:B265)-ROW(B246)+1)) / (20*21/2)</f>
        <v>5.1586380952380955</v>
      </c>
      <c r="J262" s="2">
        <f t="shared" si="26"/>
        <v>5.2881139338136744</v>
      </c>
      <c r="K262" s="2">
        <f t="shared" si="28"/>
        <v>5.4353203437529753</v>
      </c>
    </row>
    <row r="263" spans="1:11" ht="13.5" x14ac:dyDescent="0.25">
      <c r="A263" s="3">
        <f>TITRES_STAT!B266</f>
        <v>45300</v>
      </c>
      <c r="B263" s="5">
        <f>TITRES_STAT!D266</f>
        <v>4.8789999999999996</v>
      </c>
      <c r="C263" s="2">
        <f t="shared" si="29"/>
        <v>-0.16800000000000015</v>
      </c>
      <c r="D263" s="2">
        <f t="shared" si="30"/>
        <v>5.0260000000000007</v>
      </c>
      <c r="E263" s="2">
        <f t="shared" si="24"/>
        <v>5.1705999999999985</v>
      </c>
      <c r="F263" s="2">
        <f t="shared" si="25"/>
        <v>5.2903000000000002</v>
      </c>
      <c r="G263" s="2">
        <f t="shared" si="27"/>
        <v>5.460020000000001</v>
      </c>
      <c r="H263" s="2">
        <f t="shared" si="23"/>
        <v>5.6321099999999991</v>
      </c>
      <c r="I263" s="2">
        <f t="array" ref="I263">SUMPRODUCT(B247:B266, (ROW(B247:B266)-ROW(B247)+1)) / (20*21/2)</f>
        <v>5.1283190476190468</v>
      </c>
      <c r="J263" s="2">
        <f t="shared" si="26"/>
        <v>5.2491507020218959</v>
      </c>
      <c r="K263" s="2">
        <f t="shared" si="28"/>
        <v>5.4135038596842318</v>
      </c>
    </row>
    <row r="264" spans="1:11" ht="13.5" x14ac:dyDescent="0.25">
      <c r="A264" s="3">
        <f>TITRES_STAT!B267</f>
        <v>45301</v>
      </c>
      <c r="B264" s="5">
        <f>TITRES_STAT!D267</f>
        <v>4.9669999999999996</v>
      </c>
      <c r="C264" s="2">
        <f t="shared" si="29"/>
        <v>8.8000000000000078E-2</v>
      </c>
      <c r="D264" s="2">
        <f t="shared" si="30"/>
        <v>5.0009999999999994</v>
      </c>
      <c r="E264" s="2">
        <f t="shared" si="24"/>
        <v>5.1279999999999992</v>
      </c>
      <c r="F264" s="2">
        <f t="shared" si="25"/>
        <v>5.2681000000000004</v>
      </c>
      <c r="G264" s="2">
        <f t="shared" si="27"/>
        <v>5.4458200000000012</v>
      </c>
      <c r="H264" s="2">
        <f t="shared" si="23"/>
        <v>5.6301899999999989</v>
      </c>
      <c r="I264" s="2">
        <f t="array" ref="I264">SUMPRODUCT(B248:B267, (ROW(B248:B267)-ROW(B248)+1)) / (20*21/2)</f>
        <v>5.1037809523809514</v>
      </c>
      <c r="J264" s="2">
        <f t="shared" si="26"/>
        <v>5.2222792065912387</v>
      </c>
      <c r="K264" s="2">
        <f t="shared" si="28"/>
        <v>5.3959939044024976</v>
      </c>
    </row>
    <row r="265" spans="1:11" ht="13.5" x14ac:dyDescent="0.25">
      <c r="A265" s="3">
        <f>TITRES_STAT!B268</f>
        <v>45302</v>
      </c>
      <c r="B265" s="5">
        <f>TITRES_STAT!D268</f>
        <v>5.0469999999999997</v>
      </c>
      <c r="C265" s="2">
        <f t="shared" si="29"/>
        <v>8.0000000000000071E-2</v>
      </c>
      <c r="D265" s="2">
        <f t="shared" si="30"/>
        <v>4.9992000000000001</v>
      </c>
      <c r="E265" s="2">
        <f t="shared" si="24"/>
        <v>5.1004999999999994</v>
      </c>
      <c r="F265" s="2">
        <f t="shared" si="25"/>
        <v>5.2503499999999992</v>
      </c>
      <c r="G265" s="2">
        <f t="shared" si="27"/>
        <v>5.4342800000000011</v>
      </c>
      <c r="H265" s="2">
        <f t="shared" si="23"/>
        <v>5.6287950000000002</v>
      </c>
      <c r="I265" s="2">
        <f t="array" ref="I265">SUMPRODUCT(B249:B268, (ROW(B249:B268)-ROW(B249)+1)) / (20*21/2)</f>
        <v>5.0814428571428563</v>
      </c>
      <c r="J265" s="2">
        <f t="shared" si="26"/>
        <v>5.2055859488206453</v>
      </c>
      <c r="K265" s="2">
        <f t="shared" si="28"/>
        <v>5.3823078689357331</v>
      </c>
    </row>
    <row r="266" spans="1:11" ht="13.5" x14ac:dyDescent="0.25">
      <c r="A266" s="3">
        <f>TITRES_STAT!B269</f>
        <v>45303</v>
      </c>
      <c r="B266" s="5">
        <f>TITRES_STAT!D269</f>
        <v>4.9320000000000004</v>
      </c>
      <c r="C266" s="2">
        <f t="shared" si="29"/>
        <v>-0.11499999999999932</v>
      </c>
      <c r="D266" s="2">
        <f t="shared" si="30"/>
        <v>4.9744000000000002</v>
      </c>
      <c r="E266" s="2">
        <f t="shared" si="24"/>
        <v>5.0579000000000001</v>
      </c>
      <c r="F266" s="2">
        <f t="shared" si="25"/>
        <v>5.2246499999999996</v>
      </c>
      <c r="G266" s="2">
        <f t="shared" si="27"/>
        <v>5.4202600000000007</v>
      </c>
      <c r="H266" s="2">
        <f t="shared" ref="H266:H329" si="31">AVERAGE(B67:B266)</f>
        <v>5.6269550000000006</v>
      </c>
      <c r="I266" s="2">
        <f t="array" ref="I266">SUMPRODUCT(B250:B269, (ROW(B250:B269)-ROW(B250)+1)) / (20*21/2)</f>
        <v>5.0578857142857139</v>
      </c>
      <c r="J266" s="2">
        <f t="shared" si="26"/>
        <v>5.1795301441710597</v>
      </c>
      <c r="K266" s="2">
        <f t="shared" si="28"/>
        <v>5.3646487368206062</v>
      </c>
    </row>
    <row r="267" spans="1:11" ht="13.5" x14ac:dyDescent="0.25">
      <c r="A267" s="3">
        <f>TITRES_STAT!B270</f>
        <v>45306</v>
      </c>
      <c r="B267" s="5">
        <f>TITRES_STAT!D270</f>
        <v>4.9669999999999996</v>
      </c>
      <c r="C267" s="2">
        <f t="shared" si="29"/>
        <v>3.4999999999999254E-2</v>
      </c>
      <c r="D267" s="2">
        <f t="shared" si="30"/>
        <v>4.9584000000000001</v>
      </c>
      <c r="E267" s="2">
        <f t="shared" si="24"/>
        <v>5.0187999999999997</v>
      </c>
      <c r="F267" s="2">
        <f t="shared" si="25"/>
        <v>5.2015499999999992</v>
      </c>
      <c r="G267" s="2">
        <f t="shared" si="27"/>
        <v>5.4073000000000002</v>
      </c>
      <c r="H267" s="2">
        <f t="shared" si="31"/>
        <v>5.6253750000000018</v>
      </c>
      <c r="I267" s="2">
        <f t="array" ref="I267">SUMPRODUCT(B251:B270, (ROW(B251:B270)-ROW(B251)+1)) / (20*21/2)</f>
        <v>5.0399857142857138</v>
      </c>
      <c r="J267" s="2">
        <f t="shared" si="26"/>
        <v>5.15928917805953</v>
      </c>
      <c r="K267" s="2">
        <f t="shared" si="28"/>
        <v>5.3490546687099947</v>
      </c>
    </row>
    <row r="268" spans="1:11" ht="13.5" x14ac:dyDescent="0.25">
      <c r="A268" s="3">
        <f>TITRES_STAT!B271</f>
        <v>45307</v>
      </c>
      <c r="B268" s="5">
        <f>TITRES_STAT!D271</f>
        <v>4.9669999999999996</v>
      </c>
      <c r="C268" s="2">
        <f t="shared" si="29"/>
        <v>0</v>
      </c>
      <c r="D268" s="2">
        <f t="shared" si="30"/>
        <v>4.976</v>
      </c>
      <c r="E268" s="2">
        <f t="shared" ref="E268:E331" si="32">AVERAGE(B259:B268)</f>
        <v>5.0009999999999994</v>
      </c>
      <c r="F268" s="2">
        <f t="shared" si="25"/>
        <v>5.1793499999999995</v>
      </c>
      <c r="G268" s="2">
        <f t="shared" si="27"/>
        <v>5.3943399999999997</v>
      </c>
      <c r="H268" s="2">
        <f t="shared" si="31"/>
        <v>5.6236250000000005</v>
      </c>
      <c r="I268" s="2">
        <f t="array" ref="I268">SUMPRODUCT(B252:B271, (ROW(B252:B271)-ROW(B252)+1)) / (20*21/2)</f>
        <v>5.0241571428571419</v>
      </c>
      <c r="J268" s="2">
        <f t="shared" si="26"/>
        <v>5.1409759230062413</v>
      </c>
      <c r="K268" s="2">
        <f t="shared" si="28"/>
        <v>5.3340721326821523</v>
      </c>
    </row>
    <row r="269" spans="1:11" ht="13.5" x14ac:dyDescent="0.25">
      <c r="A269" s="3">
        <f>TITRES_STAT!B272</f>
        <v>45308</v>
      </c>
      <c r="B269" s="5">
        <f>TITRES_STAT!D272</f>
        <v>4.9320000000000004</v>
      </c>
      <c r="C269" s="2">
        <f t="shared" si="29"/>
        <v>-3.4999999999999254E-2</v>
      </c>
      <c r="D269" s="2">
        <f t="shared" si="30"/>
        <v>4.9689999999999994</v>
      </c>
      <c r="E269" s="2">
        <f t="shared" si="32"/>
        <v>4.9849999999999994</v>
      </c>
      <c r="F269" s="2">
        <f t="shared" si="25"/>
        <v>5.1549499999999995</v>
      </c>
      <c r="G269" s="2">
        <f t="shared" si="27"/>
        <v>5.3812199999999999</v>
      </c>
      <c r="H269" s="2">
        <f t="shared" si="31"/>
        <v>5.6215300000000017</v>
      </c>
      <c r="I269" s="2">
        <f t="array" ref="I269">SUMPRODUCT(B253:B272, (ROW(B253:B272)-ROW(B253)+1)) / (20*21/2)</f>
        <v>5.0171190476190466</v>
      </c>
      <c r="J269" s="2">
        <f t="shared" si="26"/>
        <v>5.1210734541485037</v>
      </c>
      <c r="K269" s="2">
        <f t="shared" si="28"/>
        <v>5.3183045980671659</v>
      </c>
    </row>
    <row r="270" spans="1:11" ht="13.5" x14ac:dyDescent="0.25">
      <c r="A270" s="3">
        <f>TITRES_STAT!B273</f>
        <v>45309</v>
      </c>
      <c r="B270" s="5">
        <f>TITRES_STAT!D273</f>
        <v>4.9669999999999996</v>
      </c>
      <c r="C270" s="2">
        <f t="shared" si="29"/>
        <v>3.4999999999999254E-2</v>
      </c>
      <c r="D270" s="2">
        <f t="shared" si="30"/>
        <v>4.9530000000000003</v>
      </c>
      <c r="E270" s="2">
        <f t="shared" si="32"/>
        <v>4.9760999999999997</v>
      </c>
      <c r="F270" s="2">
        <f t="shared" si="25"/>
        <v>5.1331999999999995</v>
      </c>
      <c r="G270" s="2">
        <f t="shared" si="27"/>
        <v>5.3688000000000002</v>
      </c>
      <c r="H270" s="2">
        <f t="shared" si="31"/>
        <v>5.6196100000000015</v>
      </c>
      <c r="I270" s="2">
        <f t="array" ref="I270">SUMPRODUCT(B254:B273, (ROW(B254:B273)-ROW(B254)+1)) / (20*21/2)</f>
        <v>5.0050095238095231</v>
      </c>
      <c r="J270" s="2">
        <f t="shared" si="26"/>
        <v>5.1063997918486459</v>
      </c>
      <c r="K270" s="2">
        <f t="shared" si="28"/>
        <v>5.3045279471625717</v>
      </c>
    </row>
    <row r="271" spans="1:11" ht="13.5" x14ac:dyDescent="0.25">
      <c r="A271" s="3">
        <f>TITRES_STAT!B274</f>
        <v>45310</v>
      </c>
      <c r="B271" s="5">
        <f>TITRES_STAT!D274</f>
        <v>4.9669999999999996</v>
      </c>
      <c r="C271" s="2">
        <f t="shared" si="29"/>
        <v>0</v>
      </c>
      <c r="D271" s="2">
        <f t="shared" si="30"/>
        <v>4.9599999999999991</v>
      </c>
      <c r="E271" s="2">
        <f t="shared" si="32"/>
        <v>4.9672000000000001</v>
      </c>
      <c r="F271" s="2">
        <f t="shared" si="25"/>
        <v>5.1118999999999994</v>
      </c>
      <c r="G271" s="2">
        <f t="shared" si="27"/>
        <v>5.3563799999999988</v>
      </c>
      <c r="H271" s="2">
        <f t="shared" si="31"/>
        <v>5.6176900000000023</v>
      </c>
      <c r="I271" s="2">
        <f t="array" ref="I271">SUMPRODUCT(B255:B274, (ROW(B255:B274)-ROW(B255)+1)) / (20*21/2)</f>
        <v>4.9865476190476192</v>
      </c>
      <c r="J271" s="2">
        <f t="shared" si="26"/>
        <v>5.0931236211963933</v>
      </c>
      <c r="K271" s="2">
        <f t="shared" si="28"/>
        <v>5.2912915570777654</v>
      </c>
    </row>
    <row r="272" spans="1:11" ht="13.5" x14ac:dyDescent="0.25">
      <c r="A272" s="3">
        <f>TITRES_STAT!B275</f>
        <v>45313</v>
      </c>
      <c r="B272" s="5">
        <f>TITRES_STAT!D275</f>
        <v>5.0380000000000003</v>
      </c>
      <c r="C272" s="2">
        <f t="shared" si="29"/>
        <v>7.1000000000000618E-2</v>
      </c>
      <c r="D272" s="2">
        <f t="shared" si="30"/>
        <v>4.9741999999999997</v>
      </c>
      <c r="E272" s="2">
        <f t="shared" si="32"/>
        <v>4.9662999999999995</v>
      </c>
      <c r="F272" s="2">
        <f t="shared" si="25"/>
        <v>5.0941499999999991</v>
      </c>
      <c r="G272" s="2">
        <f t="shared" si="27"/>
        <v>5.3453800000000005</v>
      </c>
      <c r="H272" s="2">
        <f t="shared" si="31"/>
        <v>5.6161250000000029</v>
      </c>
      <c r="I272" s="2">
        <f t="array" ref="I272">SUMPRODUCT(B256:B275, (ROW(B256:B275)-ROW(B256)+1)) / (20*21/2)</f>
        <v>4.9789142857142856</v>
      </c>
      <c r="J272" s="2">
        <f t="shared" si="26"/>
        <v>5.0878737525110225</v>
      </c>
      <c r="K272" s="2">
        <f t="shared" si="28"/>
        <v>5.2813585548394215</v>
      </c>
    </row>
    <row r="273" spans="1:11" ht="13.5" x14ac:dyDescent="0.25">
      <c r="A273" s="3">
        <f>TITRES_STAT!B276</f>
        <v>45314</v>
      </c>
      <c r="B273" s="5">
        <f>TITRES_STAT!D276</f>
        <v>4.9669999999999996</v>
      </c>
      <c r="C273" s="2">
        <f t="shared" si="29"/>
        <v>-7.1000000000000618E-2</v>
      </c>
      <c r="D273" s="2">
        <f t="shared" si="30"/>
        <v>4.9741999999999997</v>
      </c>
      <c r="E273" s="2">
        <f t="shared" si="32"/>
        <v>4.9750999999999994</v>
      </c>
      <c r="F273" s="2">
        <f t="shared" si="25"/>
        <v>5.072849999999999</v>
      </c>
      <c r="G273" s="2">
        <f t="shared" si="27"/>
        <v>5.3331399999999993</v>
      </c>
      <c r="H273" s="2">
        <f t="shared" si="31"/>
        <v>5.6139900000000038</v>
      </c>
      <c r="I273" s="2">
        <f t="array" ref="I273">SUMPRODUCT(B257:B276, (ROW(B257:B276)-ROW(B257)+1)) / (20*21/2)</f>
        <v>4.9543999999999997</v>
      </c>
      <c r="J273" s="2">
        <f t="shared" si="26"/>
        <v>5.0763619665575916</v>
      </c>
      <c r="K273" s="2">
        <f t="shared" si="28"/>
        <v>5.2690307683751305</v>
      </c>
    </row>
    <row r="274" spans="1:11" ht="13.5" x14ac:dyDescent="0.25">
      <c r="A274" s="3">
        <f>TITRES_STAT!B277</f>
        <v>45315</v>
      </c>
      <c r="B274" s="5">
        <f>TITRES_STAT!D277</f>
        <v>4.8789999999999996</v>
      </c>
      <c r="C274" s="2">
        <f t="shared" si="29"/>
        <v>-8.8000000000000078E-2</v>
      </c>
      <c r="D274" s="2">
        <f t="shared" si="30"/>
        <v>4.9635999999999996</v>
      </c>
      <c r="E274" s="2">
        <f t="shared" si="32"/>
        <v>4.9662999999999986</v>
      </c>
      <c r="F274" s="2">
        <f t="shared" si="25"/>
        <v>5.0471500000000002</v>
      </c>
      <c r="G274" s="2">
        <f t="shared" si="27"/>
        <v>5.3191400000000009</v>
      </c>
      <c r="H274" s="2">
        <f t="shared" si="31"/>
        <v>5.6114150000000045</v>
      </c>
      <c r="I274" s="2">
        <f t="array" ref="I274">SUMPRODUCT(B258:B277, (ROW(B258:B277)-ROW(B258)+1)) / (20*21/2)</f>
        <v>4.947057142857143</v>
      </c>
      <c r="J274" s="2">
        <f t="shared" si="26"/>
        <v>5.0575655887902027</v>
      </c>
      <c r="K274" s="2">
        <f t="shared" si="28"/>
        <v>5.2537354441251258</v>
      </c>
    </row>
    <row r="275" spans="1:11" ht="13.5" x14ac:dyDescent="0.25">
      <c r="A275" s="3">
        <f>TITRES_STAT!B278</f>
        <v>45316</v>
      </c>
      <c r="B275" s="5">
        <f>TITRES_STAT!D278</f>
        <v>4.9669999999999996</v>
      </c>
      <c r="C275" s="2">
        <f t="shared" si="29"/>
        <v>8.8000000000000078E-2</v>
      </c>
      <c r="D275" s="2">
        <f t="shared" si="30"/>
        <v>4.9635999999999996</v>
      </c>
      <c r="E275" s="2">
        <f t="shared" si="32"/>
        <v>4.9582999999999995</v>
      </c>
      <c r="F275" s="2">
        <f t="shared" si="25"/>
        <v>5.0293999999999999</v>
      </c>
      <c r="G275" s="2">
        <f t="shared" si="27"/>
        <v>5.3069000000000006</v>
      </c>
      <c r="H275" s="2">
        <f t="shared" si="31"/>
        <v>5.6090700000000053</v>
      </c>
      <c r="I275" s="2">
        <f t="array" ref="I275">SUMPRODUCT(B259:B278, (ROW(B259:B278)-ROW(B259)+1)) / (20*21/2)</f>
        <v>4.9459761904761903</v>
      </c>
      <c r="J275" s="2">
        <f t="shared" si="26"/>
        <v>5.0489402946197073</v>
      </c>
      <c r="K275" s="2">
        <f t="shared" si="28"/>
        <v>5.2424909169045328</v>
      </c>
    </row>
    <row r="276" spans="1:11" ht="13.5" x14ac:dyDescent="0.25">
      <c r="A276" s="3">
        <f>TITRES_STAT!B279</f>
        <v>45317</v>
      </c>
      <c r="B276" s="5">
        <f>TITRES_STAT!D279</f>
        <v>4.7720000000000002</v>
      </c>
      <c r="C276" s="2">
        <f t="shared" si="29"/>
        <v>-0.1949999999999994</v>
      </c>
      <c r="D276" s="2">
        <f t="shared" si="30"/>
        <v>4.9245999999999999</v>
      </c>
      <c r="E276" s="2">
        <f t="shared" si="32"/>
        <v>4.9422999999999995</v>
      </c>
      <c r="F276" s="2">
        <f t="shared" ref="F276:F339" si="33">AVERAGE(B257:B276)</f>
        <v>5.0000999999999998</v>
      </c>
      <c r="G276" s="2">
        <f t="shared" si="27"/>
        <v>5.2905800000000012</v>
      </c>
      <c r="H276" s="2">
        <f t="shared" si="31"/>
        <v>5.6053650000000053</v>
      </c>
      <c r="I276" s="2">
        <f t="array" ref="I276">SUMPRODUCT(B260:B279, (ROW(B260:B279)-ROW(B260)+1)) / (20*21/2)</f>
        <v>4.9330761904761911</v>
      </c>
      <c r="J276" s="2">
        <f t="shared" si="26"/>
        <v>5.0225650284654488</v>
      </c>
      <c r="K276" s="2">
        <f t="shared" si="28"/>
        <v>5.2240402927121981</v>
      </c>
    </row>
    <row r="277" spans="1:11" ht="13.5" x14ac:dyDescent="0.25">
      <c r="A277" s="3">
        <f>TITRES_STAT!B280</f>
        <v>45320</v>
      </c>
      <c r="B277" s="5">
        <f>TITRES_STAT!D280</f>
        <v>4.923</v>
      </c>
      <c r="C277" s="2">
        <f t="shared" si="29"/>
        <v>0.1509999999999998</v>
      </c>
      <c r="D277" s="2">
        <f t="shared" si="30"/>
        <v>4.9016000000000002</v>
      </c>
      <c r="E277" s="2">
        <f t="shared" si="32"/>
        <v>4.9379</v>
      </c>
      <c r="F277" s="2">
        <f t="shared" si="33"/>
        <v>4.9783500000000007</v>
      </c>
      <c r="G277" s="2">
        <f t="shared" si="27"/>
        <v>5.277280000000002</v>
      </c>
      <c r="H277" s="2">
        <f t="shared" si="31"/>
        <v>5.6025000000000045</v>
      </c>
      <c r="I277" s="2">
        <f t="array" ref="I277">SUMPRODUCT(B261:B280, (ROW(B261:B280)-ROW(B261)+1)) / (20*21/2)</f>
        <v>4.9256904761904758</v>
      </c>
      <c r="J277" s="2">
        <f t="shared" ref="J277:J340" si="34">$J$4*B277+J276*(1-$J$4)</f>
        <v>5.0130826448020729</v>
      </c>
      <c r="K277" s="2">
        <f t="shared" si="28"/>
        <v>5.2122347910372095</v>
      </c>
    </row>
    <row r="278" spans="1:11" ht="13.5" x14ac:dyDescent="0.25">
      <c r="A278" s="3">
        <f>TITRES_STAT!B281</f>
        <v>45321</v>
      </c>
      <c r="B278" s="5">
        <f>TITRES_STAT!D281</f>
        <v>4.9669999999999996</v>
      </c>
      <c r="C278" s="2">
        <f t="shared" si="29"/>
        <v>4.3999999999999595E-2</v>
      </c>
      <c r="D278" s="2">
        <f t="shared" si="30"/>
        <v>4.9016000000000002</v>
      </c>
      <c r="E278" s="2">
        <f t="shared" si="32"/>
        <v>4.9379</v>
      </c>
      <c r="F278" s="2">
        <f t="shared" si="33"/>
        <v>4.9694500000000001</v>
      </c>
      <c r="G278" s="2">
        <f t="shared" si="27"/>
        <v>5.2648600000000014</v>
      </c>
      <c r="H278" s="2">
        <f t="shared" si="31"/>
        <v>5.5998550000000042</v>
      </c>
      <c r="I278" s="2">
        <f t="array" ref="I278">SUMPRODUCT(B262:B281, (ROW(B262:B281)-ROW(B262)+1)) / (20*21/2)</f>
        <v>4.9182904761904771</v>
      </c>
      <c r="J278" s="2">
        <f t="shared" si="34"/>
        <v>5.0086938214875891</v>
      </c>
      <c r="K278" s="2">
        <f t="shared" si="28"/>
        <v>5.2026177404083001</v>
      </c>
    </row>
    <row r="279" spans="1:11" ht="13.5" x14ac:dyDescent="0.25">
      <c r="A279" s="3">
        <f>TITRES_STAT!B282</f>
        <v>45322</v>
      </c>
      <c r="B279" s="5">
        <f>TITRES_STAT!D282</f>
        <v>4.8339999999999996</v>
      </c>
      <c r="C279" s="2">
        <f t="shared" si="29"/>
        <v>-0.13300000000000001</v>
      </c>
      <c r="D279" s="2">
        <f t="shared" si="30"/>
        <v>4.8925999999999998</v>
      </c>
      <c r="E279" s="2">
        <f t="shared" si="32"/>
        <v>4.9280999999999988</v>
      </c>
      <c r="F279" s="2">
        <f t="shared" si="33"/>
        <v>4.95655</v>
      </c>
      <c r="G279" s="2">
        <f t="shared" si="27"/>
        <v>5.2501200000000017</v>
      </c>
      <c r="H279" s="2">
        <f t="shared" si="31"/>
        <v>5.5966750000000038</v>
      </c>
      <c r="I279" s="2">
        <f t="array" ref="I279">SUMPRODUCT(B263:B282, (ROW(B263:B282)-ROW(B263)+1)) / (20*21/2)</f>
        <v>4.8948238095238095</v>
      </c>
      <c r="J279" s="2">
        <f t="shared" si="34"/>
        <v>4.9920563146792478</v>
      </c>
      <c r="K279" s="2">
        <f t="shared" si="28"/>
        <v>5.18816214274523</v>
      </c>
    </row>
    <row r="280" spans="1:11" ht="13.5" x14ac:dyDescent="0.25">
      <c r="A280" s="3">
        <f>TITRES_STAT!B283</f>
        <v>45323</v>
      </c>
      <c r="B280" s="5">
        <f>TITRES_STAT!D283</f>
        <v>4.8789999999999996</v>
      </c>
      <c r="C280" s="2">
        <f t="shared" si="29"/>
        <v>4.4999999999999929E-2</v>
      </c>
      <c r="D280" s="2">
        <f t="shared" si="30"/>
        <v>4.875</v>
      </c>
      <c r="E280" s="2">
        <f t="shared" si="32"/>
        <v>4.9192999999999989</v>
      </c>
      <c r="F280" s="2">
        <f t="shared" si="33"/>
        <v>4.9477000000000002</v>
      </c>
      <c r="G280" s="2">
        <f t="shared" si="27"/>
        <v>5.2361200000000023</v>
      </c>
      <c r="H280" s="2">
        <f t="shared" si="31"/>
        <v>5.5937200000000029</v>
      </c>
      <c r="I280" s="2">
        <f t="array" ref="I280">SUMPRODUCT(B264:B283, (ROW(B264:B283)-ROW(B264)+1)) / (20*21/2)</f>
        <v>4.8806666666666665</v>
      </c>
      <c r="J280" s="2">
        <f t="shared" si="34"/>
        <v>4.9812890466145578</v>
      </c>
      <c r="K280" s="2">
        <f t="shared" si="28"/>
        <v>5.176038137147378</v>
      </c>
    </row>
    <row r="281" spans="1:11" ht="13.5" x14ac:dyDescent="0.25">
      <c r="A281" s="3">
        <f>TITRES_STAT!B284</f>
        <v>45324</v>
      </c>
      <c r="B281" s="5">
        <f>TITRES_STAT!D284</f>
        <v>4.87</v>
      </c>
      <c r="C281" s="2">
        <f t="shared" si="29"/>
        <v>-8.9999999999994529E-3</v>
      </c>
      <c r="D281" s="2">
        <f t="shared" si="30"/>
        <v>4.8946000000000005</v>
      </c>
      <c r="E281" s="2">
        <f t="shared" si="32"/>
        <v>4.9095999999999993</v>
      </c>
      <c r="F281" s="2">
        <f t="shared" si="33"/>
        <v>4.9384000000000006</v>
      </c>
      <c r="G281" s="2">
        <f t="shared" si="27"/>
        <v>5.2221000000000029</v>
      </c>
      <c r="H281" s="2">
        <f t="shared" si="31"/>
        <v>5.5907200000000019</v>
      </c>
      <c r="I281" s="2">
        <f t="array" ref="I281">SUMPRODUCT(B265:B284, (ROW(B265:B284)-ROW(B265)+1)) / (20*21/2)</f>
        <v>4.8602571428571419</v>
      </c>
      <c r="J281" s="2">
        <f t="shared" si="34"/>
        <v>4.9706900897941244</v>
      </c>
      <c r="K281" s="2">
        <f t="shared" si="28"/>
        <v>5.1640366415729719</v>
      </c>
    </row>
    <row r="282" spans="1:11" ht="13.5" x14ac:dyDescent="0.25">
      <c r="A282" s="3">
        <f>TITRES_STAT!B285</f>
        <v>45327</v>
      </c>
      <c r="B282" s="5">
        <f>TITRES_STAT!D285</f>
        <v>4.6920000000000002</v>
      </c>
      <c r="C282" s="2">
        <f t="shared" si="29"/>
        <v>-0.17799999999999994</v>
      </c>
      <c r="D282" s="2">
        <f t="shared" si="30"/>
        <v>4.8483999999999998</v>
      </c>
      <c r="E282" s="2">
        <f t="shared" si="32"/>
        <v>4.8749999999999991</v>
      </c>
      <c r="F282" s="2">
        <f t="shared" si="33"/>
        <v>4.9206500000000002</v>
      </c>
      <c r="G282" s="2">
        <f t="shared" si="27"/>
        <v>5.2047000000000017</v>
      </c>
      <c r="H282" s="2">
        <f t="shared" si="31"/>
        <v>5.5868300000000035</v>
      </c>
      <c r="I282" s="2">
        <f t="array" ref="I282">SUMPRODUCT(B266:B285, (ROW(B266:B285)-ROW(B266)+1)) / (20*21/2)</f>
        <v>4.8487333333333327</v>
      </c>
      <c r="J282" s="2">
        <f t="shared" si="34"/>
        <v>4.9441481764803985</v>
      </c>
      <c r="K282" s="2">
        <f t="shared" si="28"/>
        <v>5.1455254007269735</v>
      </c>
    </row>
    <row r="283" spans="1:11" ht="13.5" x14ac:dyDescent="0.25">
      <c r="A283" s="3">
        <f>TITRES_STAT!B286</f>
        <v>45328</v>
      </c>
      <c r="B283" s="5">
        <f>TITRES_STAT!D286</f>
        <v>4.7720000000000002</v>
      </c>
      <c r="C283" s="2">
        <f t="shared" si="29"/>
        <v>8.0000000000000071E-2</v>
      </c>
      <c r="D283" s="2">
        <f t="shared" si="30"/>
        <v>4.8093999999999992</v>
      </c>
      <c r="E283" s="2">
        <f t="shared" si="32"/>
        <v>4.8554999999999993</v>
      </c>
      <c r="F283" s="2">
        <f t="shared" si="33"/>
        <v>4.9153000000000002</v>
      </c>
      <c r="G283" s="2">
        <f t="shared" si="27"/>
        <v>5.1889000000000021</v>
      </c>
      <c r="H283" s="2">
        <f t="shared" si="31"/>
        <v>5.5833400000000033</v>
      </c>
      <c r="I283" s="2">
        <f t="array" ref="I283">SUMPRODUCT(B267:B286, (ROW(B267:B286)-ROW(B267)+1)) / (20*21/2)</f>
        <v>4.8384761904761895</v>
      </c>
      <c r="J283" s="2">
        <f t="shared" si="34"/>
        <v>4.9277531120536935</v>
      </c>
      <c r="K283" s="2">
        <f t="shared" si="28"/>
        <v>5.1308773457965042</v>
      </c>
    </row>
    <row r="284" spans="1:11" ht="13.5" x14ac:dyDescent="0.25">
      <c r="A284" s="3">
        <f>TITRES_STAT!B287</f>
        <v>45329</v>
      </c>
      <c r="B284" s="5">
        <f>TITRES_STAT!D287</f>
        <v>4.7009999999999996</v>
      </c>
      <c r="C284" s="2">
        <f t="shared" si="29"/>
        <v>-7.1000000000000618E-2</v>
      </c>
      <c r="D284" s="2">
        <f t="shared" si="30"/>
        <v>4.7827999999999999</v>
      </c>
      <c r="E284" s="2">
        <f t="shared" si="32"/>
        <v>4.8376999999999999</v>
      </c>
      <c r="F284" s="2">
        <f t="shared" si="33"/>
        <v>4.9020000000000001</v>
      </c>
      <c r="G284" s="2">
        <f t="shared" si="27"/>
        <v>5.1718600000000023</v>
      </c>
      <c r="H284" s="2">
        <f t="shared" si="31"/>
        <v>5.5795350000000035</v>
      </c>
      <c r="I284" s="2">
        <f t="array" ref="I284">SUMPRODUCT(B268:B287, (ROW(B268:B287)-ROW(B268)+1)) / (20*21/2)</f>
        <v>4.8213190476190482</v>
      </c>
      <c r="J284" s="2">
        <f t="shared" si="34"/>
        <v>4.9061575775723893</v>
      </c>
      <c r="K284" s="2">
        <f t="shared" si="28"/>
        <v>5.1140194106672299</v>
      </c>
    </row>
    <row r="285" spans="1:11" ht="13.5" x14ac:dyDescent="0.25">
      <c r="A285" s="3">
        <f>TITRES_STAT!B288</f>
        <v>45330</v>
      </c>
      <c r="B285" s="5">
        <f>TITRES_STAT!D288</f>
        <v>4.7809999999999997</v>
      </c>
      <c r="C285" s="2">
        <f t="shared" si="29"/>
        <v>8.0000000000000071E-2</v>
      </c>
      <c r="D285" s="2">
        <f t="shared" si="30"/>
        <v>4.7631999999999994</v>
      </c>
      <c r="E285" s="2">
        <f t="shared" si="32"/>
        <v>4.8190999999999997</v>
      </c>
      <c r="F285" s="2">
        <f t="shared" si="33"/>
        <v>4.8887000000000009</v>
      </c>
      <c r="G285" s="2">
        <f t="shared" si="27"/>
        <v>5.1562400000000013</v>
      </c>
      <c r="H285" s="2">
        <f t="shared" si="31"/>
        <v>5.5761300000000027</v>
      </c>
      <c r="I285" s="2">
        <f t="array" ref="I285">SUMPRODUCT(B269:B288, (ROW(B269:B288)-ROW(B269)+1)) / (20*21/2)</f>
        <v>4.8054285714285712</v>
      </c>
      <c r="J285" s="2">
        <f t="shared" si="34"/>
        <v>4.8942378082797804</v>
      </c>
      <c r="K285" s="2">
        <f t="shared" si="28"/>
        <v>5.100959825935182</v>
      </c>
    </row>
    <row r="286" spans="1:11" ht="13.5" x14ac:dyDescent="0.25">
      <c r="A286" s="3">
        <f>TITRES_STAT!B289</f>
        <v>45331</v>
      </c>
      <c r="B286" s="5">
        <f>TITRES_STAT!D289</f>
        <v>4.7809999999999997</v>
      </c>
      <c r="C286" s="2">
        <f t="shared" si="29"/>
        <v>0</v>
      </c>
      <c r="D286" s="2">
        <f t="shared" si="30"/>
        <v>4.7453999999999992</v>
      </c>
      <c r="E286" s="2">
        <f t="shared" si="32"/>
        <v>4.82</v>
      </c>
      <c r="F286" s="2">
        <f t="shared" si="33"/>
        <v>4.8811499999999999</v>
      </c>
      <c r="G286" s="2">
        <f t="shared" si="27"/>
        <v>5.1409800000000017</v>
      </c>
      <c r="H286" s="2">
        <f t="shared" si="31"/>
        <v>5.5727700000000029</v>
      </c>
      <c r="I286" s="2">
        <f t="array" ref="I286">SUMPRODUCT(B270:B289, (ROW(B270:B289)-ROW(B270)+1)) / (20*21/2)</f>
        <v>4.7899476190476191</v>
      </c>
      <c r="J286" s="2">
        <f t="shared" si="34"/>
        <v>4.8834532551102772</v>
      </c>
      <c r="K286" s="2">
        <f t="shared" si="28"/>
        <v>5.0884123817808611</v>
      </c>
    </row>
    <row r="287" spans="1:11" ht="13.5" x14ac:dyDescent="0.25">
      <c r="A287" s="3">
        <f>TITRES_STAT!B290</f>
        <v>45334</v>
      </c>
      <c r="B287" s="5">
        <f>TITRES_STAT!D290</f>
        <v>4.7009999999999996</v>
      </c>
      <c r="C287" s="2">
        <f t="shared" si="29"/>
        <v>-8.0000000000000071E-2</v>
      </c>
      <c r="D287" s="2">
        <f t="shared" si="30"/>
        <v>4.7471999999999994</v>
      </c>
      <c r="E287" s="2">
        <f t="shared" si="32"/>
        <v>4.7977999999999996</v>
      </c>
      <c r="F287" s="2">
        <f t="shared" si="33"/>
        <v>4.8678500000000007</v>
      </c>
      <c r="G287" s="2">
        <f t="shared" si="27"/>
        <v>5.1243000000000016</v>
      </c>
      <c r="H287" s="2">
        <f t="shared" si="31"/>
        <v>5.5690100000000022</v>
      </c>
      <c r="I287" s="2">
        <f t="array" ref="I287">SUMPRODUCT(B271:B290, (ROW(B271:B290)-ROW(B271)+1)) / (20*21/2)</f>
        <v>4.7756095238095249</v>
      </c>
      <c r="J287" s="2">
        <f t="shared" si="34"/>
        <v>4.8660767546235837</v>
      </c>
      <c r="K287" s="2">
        <f t="shared" si="28"/>
        <v>5.0732197393580822</v>
      </c>
    </row>
    <row r="288" spans="1:11" ht="13.5" x14ac:dyDescent="0.25">
      <c r="A288" s="3">
        <f>TITRES_STAT!B291</f>
        <v>45335</v>
      </c>
      <c r="B288" s="5">
        <f>TITRES_STAT!D291</f>
        <v>4.7009999999999996</v>
      </c>
      <c r="C288" s="2">
        <f t="shared" si="29"/>
        <v>0</v>
      </c>
      <c r="D288" s="2">
        <f t="shared" si="30"/>
        <v>4.7329999999999997</v>
      </c>
      <c r="E288" s="2">
        <f t="shared" si="32"/>
        <v>4.7711999999999994</v>
      </c>
      <c r="F288" s="2">
        <f t="shared" si="33"/>
        <v>4.8545499999999997</v>
      </c>
      <c r="G288" s="2">
        <f t="shared" si="27"/>
        <v>5.1076200000000007</v>
      </c>
      <c r="H288" s="2">
        <f t="shared" si="31"/>
        <v>5.5653350000000019</v>
      </c>
      <c r="I288" s="2">
        <f t="array" ref="I288">SUMPRODUCT(B272:B291, (ROW(B272:B291)-ROW(B272)+1)) / (20*21/2)</f>
        <v>4.7634380952380955</v>
      </c>
      <c r="J288" s="2">
        <f t="shared" si="34"/>
        <v>4.8503551589451472</v>
      </c>
      <c r="K288" s="2">
        <f t="shared" si="28"/>
        <v>5.058622886834236</v>
      </c>
    </row>
    <row r="289" spans="1:11" ht="13.5" x14ac:dyDescent="0.25">
      <c r="A289" s="3">
        <f>TITRES_STAT!B292</f>
        <v>45336</v>
      </c>
      <c r="B289" s="5">
        <f>TITRES_STAT!D292</f>
        <v>4.6920000000000002</v>
      </c>
      <c r="C289" s="2">
        <f t="shared" si="29"/>
        <v>-8.9999999999994529E-3</v>
      </c>
      <c r="D289" s="2">
        <f t="shared" si="30"/>
        <v>4.7311999999999994</v>
      </c>
      <c r="E289" s="2">
        <f t="shared" si="32"/>
        <v>4.7569999999999997</v>
      </c>
      <c r="F289" s="2">
        <f t="shared" si="33"/>
        <v>4.8425499999999984</v>
      </c>
      <c r="G289" s="2">
        <f t="shared" si="27"/>
        <v>5.0909400000000007</v>
      </c>
      <c r="H289" s="2">
        <f t="shared" si="31"/>
        <v>5.5616150000000015</v>
      </c>
      <c r="I289" s="2">
        <f t="array" ref="I289">SUMPRODUCT(B273:B292, (ROW(B273:B292)-ROW(B273)+1)) / (20*21/2)</f>
        <v>4.7762476190476191</v>
      </c>
      <c r="J289" s="2">
        <f t="shared" si="34"/>
        <v>4.8352737152360854</v>
      </c>
      <c r="K289" s="2">
        <f t="shared" si="28"/>
        <v>5.0442455187230895</v>
      </c>
    </row>
    <row r="290" spans="1:11" ht="13.5" x14ac:dyDescent="0.25">
      <c r="A290" s="3">
        <f>TITRES_STAT!B293</f>
        <v>45337</v>
      </c>
      <c r="B290" s="5">
        <f>TITRES_STAT!D293</f>
        <v>4.6920000000000002</v>
      </c>
      <c r="C290" s="2">
        <f t="shared" si="29"/>
        <v>0</v>
      </c>
      <c r="D290" s="2">
        <f t="shared" si="30"/>
        <v>4.7134</v>
      </c>
      <c r="E290" s="2">
        <f t="shared" si="32"/>
        <v>4.7382999999999997</v>
      </c>
      <c r="F290" s="2">
        <f t="shared" si="33"/>
        <v>4.8287999999999993</v>
      </c>
      <c r="G290" s="2">
        <f t="shared" si="27"/>
        <v>5.0742600000000015</v>
      </c>
      <c r="H290" s="2">
        <f t="shared" si="31"/>
        <v>5.5579800000000015</v>
      </c>
      <c r="I290" s="2">
        <f t="array" ref="I290">SUMPRODUCT(B274:B293, (ROW(B274:B293)-ROW(B274)+1)) / (20*21/2)</f>
        <v>4.78947619047619</v>
      </c>
      <c r="J290" s="2">
        <f t="shared" si="34"/>
        <v>4.8216285994993155</v>
      </c>
      <c r="K290" s="2">
        <f t="shared" si="28"/>
        <v>5.0304319689692427</v>
      </c>
    </row>
    <row r="291" spans="1:11" ht="13.5" x14ac:dyDescent="0.25">
      <c r="A291" s="3">
        <f>TITRES_STAT!B294</f>
        <v>45338</v>
      </c>
      <c r="B291" s="5">
        <f>TITRES_STAT!D294</f>
        <v>4.7009999999999996</v>
      </c>
      <c r="C291" s="2">
        <f t="shared" si="29"/>
        <v>8.9999999999994529E-3</v>
      </c>
      <c r="D291" s="2">
        <f t="shared" si="30"/>
        <v>4.6974</v>
      </c>
      <c r="E291" s="2">
        <f t="shared" si="32"/>
        <v>4.7214</v>
      </c>
      <c r="F291" s="2">
        <f t="shared" si="33"/>
        <v>4.8154999999999983</v>
      </c>
      <c r="G291" s="2">
        <f t="shared" si="27"/>
        <v>5.0577600000000009</v>
      </c>
      <c r="H291" s="2">
        <f t="shared" si="31"/>
        <v>5.5538800000000013</v>
      </c>
      <c r="I291" s="2">
        <f t="array" ref="I291">SUMPRODUCT(B275:B294, (ROW(B275:B294)-ROW(B275)+1)) / (20*21/2)</f>
        <v>4.8002142857142864</v>
      </c>
      <c r="J291" s="2">
        <f t="shared" si="34"/>
        <v>4.8101401614517618</v>
      </c>
      <c r="K291" s="2">
        <f t="shared" si="28"/>
        <v>5.0175130682253508</v>
      </c>
    </row>
    <row r="292" spans="1:11" ht="13.5" x14ac:dyDescent="0.25">
      <c r="A292" s="3">
        <f>TITRES_STAT!B295</f>
        <v>45341</v>
      </c>
      <c r="B292" s="5">
        <f>TITRES_STAT!D295</f>
        <v>4.95</v>
      </c>
      <c r="C292" s="2">
        <f t="shared" si="29"/>
        <v>0.24900000000000055</v>
      </c>
      <c r="D292" s="2">
        <f t="shared" si="30"/>
        <v>4.7472000000000003</v>
      </c>
      <c r="E292" s="2">
        <f t="shared" si="32"/>
        <v>4.7472000000000003</v>
      </c>
      <c r="F292" s="2">
        <f t="shared" si="33"/>
        <v>4.8110999999999997</v>
      </c>
      <c r="G292" s="2">
        <f t="shared" si="27"/>
        <v>5.0462400000000009</v>
      </c>
      <c r="H292" s="2">
        <f t="shared" si="31"/>
        <v>5.5510250000000019</v>
      </c>
      <c r="I292" s="2">
        <f t="array" ref="I292">SUMPRODUCT(B276:B295, (ROW(B276:B295)-ROW(B276)+1)) / (20*21/2)</f>
        <v>4.8133142857142852</v>
      </c>
      <c r="J292" s="2">
        <f t="shared" si="34"/>
        <v>4.8234601460754041</v>
      </c>
      <c r="K292" s="2">
        <f t="shared" si="28"/>
        <v>5.014865496922396</v>
      </c>
    </row>
    <row r="293" spans="1:11" ht="13.5" x14ac:dyDescent="0.25">
      <c r="A293" s="3">
        <f>TITRES_STAT!B296</f>
        <v>45342</v>
      </c>
      <c r="B293" s="5">
        <f>TITRES_STAT!D296</f>
        <v>4.95</v>
      </c>
      <c r="C293" s="2">
        <f t="shared" si="29"/>
        <v>0</v>
      </c>
      <c r="D293" s="2">
        <f t="shared" si="30"/>
        <v>4.7969999999999997</v>
      </c>
      <c r="E293" s="2">
        <f t="shared" si="32"/>
        <v>4.7650000000000006</v>
      </c>
      <c r="F293" s="2">
        <f t="shared" si="33"/>
        <v>4.810249999999999</v>
      </c>
      <c r="G293" s="2">
        <f t="shared" si="27"/>
        <v>5.0352400000000008</v>
      </c>
      <c r="H293" s="2">
        <f t="shared" si="31"/>
        <v>5.5481700000000016</v>
      </c>
      <c r="I293" s="2">
        <f t="array" ref="I293">SUMPRODUCT(B277:B296, (ROW(B277:B296)-ROW(B277)+1)) / (20*21/2)</f>
        <v>4.8264952380952382</v>
      </c>
      <c r="J293" s="2">
        <f t="shared" si="34"/>
        <v>4.83551156073489</v>
      </c>
      <c r="K293" s="2">
        <f t="shared" si="28"/>
        <v>5.0123217519450476</v>
      </c>
    </row>
    <row r="294" spans="1:11" ht="13.5" x14ac:dyDescent="0.25">
      <c r="A294" s="3">
        <f>TITRES_STAT!B297</f>
        <v>45343</v>
      </c>
      <c r="B294" s="5">
        <f>TITRES_STAT!D297</f>
        <v>4.923</v>
      </c>
      <c r="C294" s="2">
        <f t="shared" si="29"/>
        <v>-2.7000000000000135E-2</v>
      </c>
      <c r="D294" s="2">
        <f t="shared" si="30"/>
        <v>4.8432000000000004</v>
      </c>
      <c r="E294" s="2">
        <f t="shared" si="32"/>
        <v>4.7872000000000003</v>
      </c>
      <c r="F294" s="2">
        <f t="shared" si="33"/>
        <v>4.8124500000000001</v>
      </c>
      <c r="G294" s="2">
        <f t="shared" si="27"/>
        <v>5.0254800000000008</v>
      </c>
      <c r="H294" s="2">
        <f t="shared" si="31"/>
        <v>5.5451800000000011</v>
      </c>
      <c r="I294" s="2">
        <f t="array" ref="I294">SUMPRODUCT(B278:B297, (ROW(B278:B297)-ROW(B278)+1)) / (20*21/2)</f>
        <v>4.8379714285714286</v>
      </c>
      <c r="J294" s="2">
        <f t="shared" si="34"/>
        <v>4.8438437930458527</v>
      </c>
      <c r="K294" s="2">
        <f t="shared" si="28"/>
        <v>5.0088189381432811</v>
      </c>
    </row>
    <row r="295" spans="1:11" ht="13.5" x14ac:dyDescent="0.25">
      <c r="A295" s="3">
        <f>TITRES_STAT!B298</f>
        <v>45344</v>
      </c>
      <c r="B295" s="5">
        <f>TITRES_STAT!D298</f>
        <v>4.95</v>
      </c>
      <c r="C295" s="2">
        <f t="shared" si="29"/>
        <v>2.7000000000000135E-2</v>
      </c>
      <c r="D295" s="2">
        <f t="shared" si="30"/>
        <v>4.8948</v>
      </c>
      <c r="E295" s="2">
        <f t="shared" si="32"/>
        <v>4.8041000000000009</v>
      </c>
      <c r="F295" s="2">
        <f t="shared" si="33"/>
        <v>4.8116000000000003</v>
      </c>
      <c r="G295" s="2">
        <f t="shared" si="27"/>
        <v>5.0164400000000002</v>
      </c>
      <c r="H295" s="2">
        <f t="shared" si="31"/>
        <v>5.5421950000000013</v>
      </c>
      <c r="I295" s="2">
        <f t="array" ref="I295">SUMPRODUCT(B279:B298, (ROW(B279:B298)-ROW(B279)+1)) / (20*21/2)</f>
        <v>4.8586</v>
      </c>
      <c r="J295" s="2">
        <f t="shared" si="34"/>
        <v>4.8539539079938665</v>
      </c>
      <c r="K295" s="2">
        <f t="shared" si="28"/>
        <v>5.0065123131180549</v>
      </c>
    </row>
    <row r="296" spans="1:11" ht="13.5" x14ac:dyDescent="0.25">
      <c r="A296" s="3">
        <f>TITRES_STAT!B299</f>
        <v>45345</v>
      </c>
      <c r="B296" s="5">
        <f>TITRES_STAT!D299</f>
        <v>4.95</v>
      </c>
      <c r="C296" s="2">
        <f t="shared" si="29"/>
        <v>0</v>
      </c>
      <c r="D296" s="2">
        <f t="shared" si="30"/>
        <v>4.9445999999999994</v>
      </c>
      <c r="E296" s="2">
        <f t="shared" si="32"/>
        <v>4.8210000000000006</v>
      </c>
      <c r="F296" s="2">
        <f t="shared" si="33"/>
        <v>4.8205000000000009</v>
      </c>
      <c r="G296" s="2">
        <f t="shared" si="27"/>
        <v>5.0065200000000001</v>
      </c>
      <c r="H296" s="2">
        <f t="shared" si="31"/>
        <v>5.5391700000000004</v>
      </c>
      <c r="I296" s="2">
        <f t="array" ref="I296">SUMPRODUCT(B280:B299, (ROW(B280:B299)-ROW(B280)+1)) / (20*21/2)</f>
        <v>4.8788904761904766</v>
      </c>
      <c r="J296" s="2">
        <f t="shared" si="34"/>
        <v>4.8631011548515932</v>
      </c>
      <c r="K296" s="2">
        <f t="shared" si="28"/>
        <v>5.0042961439761706</v>
      </c>
    </row>
    <row r="297" spans="1:11" ht="13.5" x14ac:dyDescent="0.25">
      <c r="A297" s="3">
        <f>TITRES_STAT!B300</f>
        <v>45348</v>
      </c>
      <c r="B297" s="5">
        <f>TITRES_STAT!D300</f>
        <v>4.9409999999999998</v>
      </c>
      <c r="C297" s="2">
        <f t="shared" si="29"/>
        <v>-9.0000000000003411E-3</v>
      </c>
      <c r="D297" s="2">
        <f t="shared" si="30"/>
        <v>4.9428000000000001</v>
      </c>
      <c r="E297" s="2">
        <f t="shared" si="32"/>
        <v>4.8450000000000006</v>
      </c>
      <c r="F297" s="2">
        <f t="shared" si="33"/>
        <v>4.8214000000000006</v>
      </c>
      <c r="G297" s="2">
        <f t="shared" si="27"/>
        <v>4.9967599999999992</v>
      </c>
      <c r="H297" s="2">
        <f t="shared" si="31"/>
        <v>5.5360550000000002</v>
      </c>
      <c r="I297" s="2">
        <f t="array" ref="I297">SUMPRODUCT(B281:B300, (ROW(B281:B300)-ROW(B281)+1)) / (20*21/2)</f>
        <v>4.9041142857142859</v>
      </c>
      <c r="J297" s="2">
        <f t="shared" si="34"/>
        <v>4.8705200924847754</v>
      </c>
      <c r="K297" s="2">
        <f t="shared" si="28"/>
        <v>5.0018139422516157</v>
      </c>
    </row>
    <row r="298" spans="1:11" ht="13.5" x14ac:dyDescent="0.25">
      <c r="A298" s="3">
        <f>TITRES_STAT!B301</f>
        <v>45349</v>
      </c>
      <c r="B298" s="5">
        <f>TITRES_STAT!D301</f>
        <v>5.0380000000000003</v>
      </c>
      <c r="C298" s="2">
        <f t="shared" si="29"/>
        <v>9.7000000000000419E-2</v>
      </c>
      <c r="D298" s="2">
        <f t="shared" si="30"/>
        <v>4.9603999999999999</v>
      </c>
      <c r="E298" s="2">
        <f t="shared" si="32"/>
        <v>4.8787000000000003</v>
      </c>
      <c r="F298" s="2">
        <f t="shared" si="33"/>
        <v>4.8249500000000003</v>
      </c>
      <c r="G298" s="2">
        <f t="shared" si="27"/>
        <v>4.9892999999999992</v>
      </c>
      <c r="H298" s="2">
        <f t="shared" si="31"/>
        <v>5.5334250000000011</v>
      </c>
      <c r="I298" s="2">
        <f t="array" ref="I298">SUMPRODUCT(B282:B301, (ROW(B282:B301)-ROW(B282)+1)) / (20*21/2)</f>
        <v>4.9199047619047613</v>
      </c>
      <c r="J298" s="2">
        <f t="shared" si="34"/>
        <v>4.8864705598671785</v>
      </c>
      <c r="K298" s="2">
        <f t="shared" si="28"/>
        <v>5.0032330033397878</v>
      </c>
    </row>
    <row r="299" spans="1:11" ht="13.5" x14ac:dyDescent="0.25">
      <c r="A299" s="3">
        <f>TITRES_STAT!B302</f>
        <v>45350</v>
      </c>
      <c r="B299" s="5">
        <f>TITRES_STAT!D302</f>
        <v>5.0380000000000003</v>
      </c>
      <c r="C299" s="2">
        <f t="shared" si="29"/>
        <v>0</v>
      </c>
      <c r="D299" s="2">
        <f t="shared" si="30"/>
        <v>4.9834000000000005</v>
      </c>
      <c r="E299" s="2">
        <f t="shared" si="32"/>
        <v>4.9132999999999996</v>
      </c>
      <c r="F299" s="2">
        <f t="shared" si="33"/>
        <v>4.8351500000000005</v>
      </c>
      <c r="G299" s="2">
        <f t="shared" si="27"/>
        <v>4.9816599999999998</v>
      </c>
      <c r="H299" s="2">
        <f t="shared" si="31"/>
        <v>5.5306700000000015</v>
      </c>
      <c r="I299" s="2">
        <f t="array" ref="I299">SUMPRODUCT(B283:B302, (ROW(B283:B302)-ROW(B283)+1)) / (20*21/2)</f>
        <v>4.9501619047619041</v>
      </c>
      <c r="J299" s="2">
        <f t="shared" si="34"/>
        <v>4.9009019351179237</v>
      </c>
      <c r="K299" s="2">
        <f t="shared" si="28"/>
        <v>5.0045964149735216</v>
      </c>
    </row>
    <row r="300" spans="1:11" ht="13.5" x14ac:dyDescent="0.25">
      <c r="A300" s="3">
        <f>TITRES_STAT!B303</f>
        <v>45351</v>
      </c>
      <c r="B300" s="5">
        <f>TITRES_STAT!D303</f>
        <v>5.0999999999999996</v>
      </c>
      <c r="C300" s="2">
        <f t="shared" si="29"/>
        <v>6.1999999999999389E-2</v>
      </c>
      <c r="D300" s="2">
        <f t="shared" si="30"/>
        <v>5.0133999999999999</v>
      </c>
      <c r="E300" s="2">
        <f t="shared" si="32"/>
        <v>4.9541000000000004</v>
      </c>
      <c r="F300" s="2">
        <f t="shared" si="33"/>
        <v>4.8461999999999996</v>
      </c>
      <c r="G300" s="2">
        <f t="shared" si="27"/>
        <v>4.9756199999999993</v>
      </c>
      <c r="H300" s="2">
        <f t="shared" si="31"/>
        <v>5.5281800000000008</v>
      </c>
      <c r="I300" s="2">
        <f t="array" ref="I300">SUMPRODUCT(B284:B303, (ROW(B284:B303)-ROW(B284)+1)) / (20*21/2)</f>
        <v>4.992519047619048</v>
      </c>
      <c r="J300" s="2">
        <f t="shared" si="34"/>
        <v>4.9198636555828834</v>
      </c>
      <c r="K300" s="2">
        <f t="shared" si="28"/>
        <v>5.0083377320333842</v>
      </c>
    </row>
    <row r="301" spans="1:11" ht="13.5" x14ac:dyDescent="0.25">
      <c r="A301" s="3">
        <f>TITRES_STAT!B304</f>
        <v>45352</v>
      </c>
      <c r="B301" s="5">
        <f>TITRES_STAT!D304</f>
        <v>5.0119999999999996</v>
      </c>
      <c r="C301" s="2">
        <f t="shared" si="29"/>
        <v>-8.8000000000000078E-2</v>
      </c>
      <c r="D301" s="2">
        <f t="shared" si="30"/>
        <v>5.0257999999999994</v>
      </c>
      <c r="E301" s="2">
        <f t="shared" si="32"/>
        <v>4.9851999999999999</v>
      </c>
      <c r="F301" s="2">
        <f t="shared" si="33"/>
        <v>4.8532999999999999</v>
      </c>
      <c r="G301" s="2">
        <f t="shared" si="27"/>
        <v>4.968</v>
      </c>
      <c r="H301" s="2">
        <f t="shared" si="31"/>
        <v>5.5252950000000007</v>
      </c>
      <c r="I301" s="2">
        <f t="array" ref="I301">SUMPRODUCT(B285:B304, (ROW(B285:B304)-ROW(B285)+1)) / (20*21/2)</f>
        <v>5.0364476190476193</v>
      </c>
      <c r="J301" s="2">
        <f t="shared" si="34"/>
        <v>4.9286385455273702</v>
      </c>
      <c r="K301" s="2">
        <f t="shared" si="28"/>
        <v>5.0084813503850167</v>
      </c>
    </row>
    <row r="302" spans="1:11" ht="13.5" x14ac:dyDescent="0.25">
      <c r="A302" s="3">
        <f>TITRES_STAT!B305</f>
        <v>45355</v>
      </c>
      <c r="B302" s="5">
        <f>TITRES_STAT!D305</f>
        <v>5.1710000000000003</v>
      </c>
      <c r="C302" s="2">
        <f t="shared" si="29"/>
        <v>0.1590000000000007</v>
      </c>
      <c r="D302" s="2">
        <f t="shared" si="30"/>
        <v>5.0717999999999996</v>
      </c>
      <c r="E302" s="2">
        <f t="shared" si="32"/>
        <v>5.0072999999999999</v>
      </c>
      <c r="F302" s="2">
        <f t="shared" si="33"/>
        <v>4.8772500000000001</v>
      </c>
      <c r="G302" s="2">
        <f t="shared" si="27"/>
        <v>4.9635599999999993</v>
      </c>
      <c r="H302" s="2">
        <f t="shared" si="31"/>
        <v>5.5232450000000002</v>
      </c>
      <c r="I302" s="2">
        <f t="array" ref="I302">SUMPRODUCT(B286:B305, (ROW(B286:B305)-ROW(B286)+1)) / (20*21/2)</f>
        <v>5.0730190476190478</v>
      </c>
      <c r="J302" s="2">
        <f t="shared" si="34"/>
        <v>4.9517205888104776</v>
      </c>
      <c r="K302" s="2">
        <f t="shared" si="28"/>
        <v>5.0148546307620752</v>
      </c>
    </row>
    <row r="303" spans="1:11" ht="13.5" x14ac:dyDescent="0.25">
      <c r="A303" s="3">
        <f>TITRES_STAT!B306</f>
        <v>45356</v>
      </c>
      <c r="B303" s="5">
        <f>TITRES_STAT!D306</f>
        <v>5.3220000000000001</v>
      </c>
      <c r="C303" s="2">
        <f t="shared" si="29"/>
        <v>0.1509999999999998</v>
      </c>
      <c r="D303" s="2">
        <f t="shared" si="30"/>
        <v>5.1285999999999996</v>
      </c>
      <c r="E303" s="2">
        <f t="shared" si="32"/>
        <v>5.0445000000000002</v>
      </c>
      <c r="F303" s="2">
        <f t="shared" si="33"/>
        <v>4.9047500000000008</v>
      </c>
      <c r="G303" s="2">
        <f t="shared" si="27"/>
        <v>4.9621399999999989</v>
      </c>
      <c r="H303" s="2">
        <f t="shared" si="31"/>
        <v>5.5218249999999998</v>
      </c>
      <c r="I303" s="2">
        <f t="array" ref="I303">SUMPRODUCT(B287:B306, (ROW(B287:B306)-ROW(B287)+1)) / (20*21/2)</f>
        <v>5.1061571428571426</v>
      </c>
      <c r="J303" s="2">
        <f t="shared" si="34"/>
        <v>4.9869852946380515</v>
      </c>
      <c r="K303" s="2">
        <f t="shared" si="28"/>
        <v>5.0268995472027784</v>
      </c>
    </row>
    <row r="304" spans="1:11" ht="13.5" x14ac:dyDescent="0.25">
      <c r="A304" s="3">
        <f>TITRES_STAT!B307</f>
        <v>45357</v>
      </c>
      <c r="B304" s="5">
        <f>TITRES_STAT!D307</f>
        <v>5.3659999999999997</v>
      </c>
      <c r="C304" s="2">
        <f t="shared" si="29"/>
        <v>4.3999999999999595E-2</v>
      </c>
      <c r="D304" s="2">
        <f t="shared" si="30"/>
        <v>5.1941999999999995</v>
      </c>
      <c r="E304" s="2">
        <f t="shared" si="32"/>
        <v>5.0888000000000009</v>
      </c>
      <c r="F304" s="2">
        <f t="shared" si="33"/>
        <v>4.9380000000000006</v>
      </c>
      <c r="G304" s="2">
        <f t="shared" si="27"/>
        <v>4.9615999999999998</v>
      </c>
      <c r="H304" s="2">
        <f t="shared" si="31"/>
        <v>5.5206249999999999</v>
      </c>
      <c r="I304" s="2">
        <f t="array" ref="I304">SUMPRODUCT(B288:B307, (ROW(B288:B307)-ROW(B288)+1)) / (20*21/2)</f>
        <v>5.1351428571428572</v>
      </c>
      <c r="J304" s="2">
        <f t="shared" si="34"/>
        <v>5.0230819332439509</v>
      </c>
      <c r="K304" s="2">
        <f t="shared" si="28"/>
        <v>5.0401976041752192</v>
      </c>
    </row>
    <row r="305" spans="1:11" ht="13.5" x14ac:dyDescent="0.25">
      <c r="A305" s="3">
        <f>TITRES_STAT!B308</f>
        <v>45358</v>
      </c>
      <c r="B305" s="5">
        <f>TITRES_STAT!D308</f>
        <v>5.3220000000000001</v>
      </c>
      <c r="C305" s="2">
        <f t="shared" si="29"/>
        <v>-4.3999999999999595E-2</v>
      </c>
      <c r="D305" s="2">
        <f t="shared" si="30"/>
        <v>5.2385999999999999</v>
      </c>
      <c r="E305" s="2">
        <f t="shared" si="32"/>
        <v>5.1260000000000003</v>
      </c>
      <c r="F305" s="2">
        <f t="shared" si="33"/>
        <v>4.9650500000000006</v>
      </c>
      <c r="G305" s="2">
        <f t="shared" si="27"/>
        <v>4.9615999999999998</v>
      </c>
      <c r="H305" s="2">
        <f t="shared" si="31"/>
        <v>5.5189499999999985</v>
      </c>
      <c r="I305" s="2">
        <f t="array" ref="I305">SUMPRODUCT(B289:B308, (ROW(B289:B308)-ROW(B289)+1)) / (20*21/2)</f>
        <v>5.1672000000000002</v>
      </c>
      <c r="J305" s="2">
        <f t="shared" si="34"/>
        <v>5.0515503205540515</v>
      </c>
      <c r="K305" s="2">
        <f t="shared" si="28"/>
        <v>5.0512486785212891</v>
      </c>
    </row>
    <row r="306" spans="1:11" ht="13.5" x14ac:dyDescent="0.25">
      <c r="A306" s="3">
        <f>TITRES_STAT!B309</f>
        <v>45359</v>
      </c>
      <c r="B306" s="5">
        <f>TITRES_STAT!D309</f>
        <v>5.3129999999999997</v>
      </c>
      <c r="C306" s="2">
        <f t="shared" si="29"/>
        <v>-9.0000000000003411E-3</v>
      </c>
      <c r="D306" s="2">
        <f t="shared" si="30"/>
        <v>5.2988</v>
      </c>
      <c r="E306" s="2">
        <f t="shared" si="32"/>
        <v>5.1623000000000001</v>
      </c>
      <c r="F306" s="2">
        <f t="shared" si="33"/>
        <v>4.9916500000000008</v>
      </c>
      <c r="G306" s="2">
        <f t="shared" ref="G306:G369" si="35">AVERAGE(B257:B306)</f>
        <v>4.9606999999999992</v>
      </c>
      <c r="H306" s="2">
        <f t="shared" si="31"/>
        <v>5.5171899999999994</v>
      </c>
      <c r="I306" s="2">
        <f t="array" ref="I306">SUMPRODUCT(B290:B309, (ROW(B290:B309)-ROW(B290)+1)) / (20*21/2)</f>
        <v>5.1961285714285719</v>
      </c>
      <c r="J306" s="2">
        <f t="shared" si="34"/>
        <v>5.0764502900250941</v>
      </c>
      <c r="K306" s="2">
        <f t="shared" si="28"/>
        <v>5.0615134362263365</v>
      </c>
    </row>
    <row r="307" spans="1:11" ht="13.5" x14ac:dyDescent="0.25">
      <c r="A307" s="3">
        <f>TITRES_STAT!B310</f>
        <v>45362</v>
      </c>
      <c r="B307" s="5">
        <f>TITRES_STAT!D310</f>
        <v>5.2960000000000003</v>
      </c>
      <c r="C307" s="2">
        <f t="shared" si="29"/>
        <v>-1.699999999999946E-2</v>
      </c>
      <c r="D307" s="2">
        <f t="shared" si="30"/>
        <v>5.3237999999999994</v>
      </c>
      <c r="E307" s="2">
        <f t="shared" si="32"/>
        <v>5.1978</v>
      </c>
      <c r="F307" s="2">
        <f t="shared" si="33"/>
        <v>5.0214000000000016</v>
      </c>
      <c r="G307" s="2">
        <f t="shared" si="35"/>
        <v>4.9594599999999991</v>
      </c>
      <c r="H307" s="2">
        <f t="shared" si="31"/>
        <v>5.5154300000000003</v>
      </c>
      <c r="I307" s="2">
        <f t="array" ref="I307">SUMPRODUCT(B291:B310, (ROW(B291:B310)-ROW(B291)+1)) / (20*21/2)</f>
        <v>5.2218857142857154</v>
      </c>
      <c r="J307" s="2">
        <f t="shared" si="34"/>
        <v>5.0973597862131799</v>
      </c>
      <c r="K307" s="2">
        <f t="shared" ref="K307:K370" si="36">$K$4*B307+(1-$K$4)*K306</f>
        <v>5.0707089877468725</v>
      </c>
    </row>
    <row r="308" spans="1:11" ht="13.5" x14ac:dyDescent="0.25">
      <c r="A308" s="3">
        <f>TITRES_STAT!B311</f>
        <v>45363</v>
      </c>
      <c r="B308" s="5">
        <f>TITRES_STAT!D311</f>
        <v>5.3579999999999997</v>
      </c>
      <c r="C308" s="2">
        <f t="shared" si="29"/>
        <v>6.1999999999999389E-2</v>
      </c>
      <c r="D308" s="2">
        <f t="shared" si="30"/>
        <v>5.3309999999999995</v>
      </c>
      <c r="E308" s="2">
        <f t="shared" si="32"/>
        <v>5.2297999999999991</v>
      </c>
      <c r="F308" s="2">
        <f t="shared" si="33"/>
        <v>5.0542500000000015</v>
      </c>
      <c r="G308" s="2">
        <f t="shared" si="35"/>
        <v>4.9637199999999995</v>
      </c>
      <c r="H308" s="2">
        <f t="shared" si="31"/>
        <v>5.5128750000000002</v>
      </c>
      <c r="I308" s="2">
        <f t="array" ref="I308">SUMPRODUCT(B292:B311, (ROW(B292:B311)-ROW(B292)+1)) / (20*21/2)</f>
        <v>5.2444714285714298</v>
      </c>
      <c r="J308" s="2">
        <f t="shared" si="34"/>
        <v>5.1221826637166874</v>
      </c>
      <c r="K308" s="2">
        <f t="shared" si="36"/>
        <v>5.0819753019528777</v>
      </c>
    </row>
    <row r="309" spans="1:11" ht="13.5" x14ac:dyDescent="0.25">
      <c r="A309" s="3">
        <f>TITRES_STAT!B312</f>
        <v>45364</v>
      </c>
      <c r="B309" s="5">
        <f>TITRES_STAT!D312</f>
        <v>5.3579999999999997</v>
      </c>
      <c r="C309" s="2">
        <f t="shared" si="29"/>
        <v>0</v>
      </c>
      <c r="D309" s="2">
        <f t="shared" si="30"/>
        <v>5.3294000000000006</v>
      </c>
      <c r="E309" s="2">
        <f t="shared" si="32"/>
        <v>5.2617999999999991</v>
      </c>
      <c r="F309" s="2">
        <f t="shared" si="33"/>
        <v>5.0875500000000011</v>
      </c>
      <c r="G309" s="2">
        <f t="shared" si="35"/>
        <v>4.9690399999999988</v>
      </c>
      <c r="H309" s="2">
        <f t="shared" si="31"/>
        <v>5.5105300000000002</v>
      </c>
      <c r="I309" s="2">
        <f t="array" ref="I309">SUMPRODUCT(B293:B312, (ROW(B293:B312)-ROW(B293)+1)) / (20*21/2)</f>
        <v>5.2639285714285711</v>
      </c>
      <c r="J309" s="2">
        <f t="shared" si="34"/>
        <v>5.1446414576484312</v>
      </c>
      <c r="K309" s="2">
        <f t="shared" si="36"/>
        <v>5.0927997999155101</v>
      </c>
    </row>
    <row r="310" spans="1:11" ht="13.5" x14ac:dyDescent="0.25">
      <c r="A310" s="3">
        <f>TITRES_STAT!B313</f>
        <v>45365</v>
      </c>
      <c r="B310" s="5">
        <f>TITRES_STAT!D313</f>
        <v>5.3579999999999997</v>
      </c>
      <c r="C310" s="2">
        <f t="shared" si="29"/>
        <v>0</v>
      </c>
      <c r="D310" s="2">
        <f t="shared" si="30"/>
        <v>5.3365999999999998</v>
      </c>
      <c r="E310" s="2">
        <f t="shared" si="32"/>
        <v>5.2875999999999994</v>
      </c>
      <c r="F310" s="2">
        <f t="shared" si="33"/>
        <v>5.1208500000000017</v>
      </c>
      <c r="G310" s="2">
        <f t="shared" si="35"/>
        <v>4.9750800000000002</v>
      </c>
      <c r="H310" s="2">
        <f t="shared" si="31"/>
        <v>5.5076049999999999</v>
      </c>
      <c r="I310" s="2">
        <f t="array" ref="I310">SUMPRODUCT(B294:B313, (ROW(B294:B313)-ROW(B294)+1)) / (20*21/2)</f>
        <v>5.2814428571428564</v>
      </c>
      <c r="J310" s="2">
        <f t="shared" si="34"/>
        <v>5.1649613188247709</v>
      </c>
      <c r="K310" s="2">
        <f t="shared" si="36"/>
        <v>5.1031998077619614</v>
      </c>
    </row>
    <row r="311" spans="1:11" ht="13.5" x14ac:dyDescent="0.25">
      <c r="A311" s="3">
        <f>TITRES_STAT!B314</f>
        <v>45366</v>
      </c>
      <c r="B311" s="5">
        <f>TITRES_STAT!D314</f>
        <v>5.3579999999999997</v>
      </c>
      <c r="C311" s="2">
        <f t="shared" si="29"/>
        <v>0</v>
      </c>
      <c r="D311" s="2">
        <f t="shared" si="30"/>
        <v>5.3456000000000001</v>
      </c>
      <c r="E311" s="2">
        <f t="shared" si="32"/>
        <v>5.3221999999999987</v>
      </c>
      <c r="F311" s="2">
        <f t="shared" si="33"/>
        <v>5.1537000000000015</v>
      </c>
      <c r="G311" s="2">
        <f t="shared" si="35"/>
        <v>4.9811199999999998</v>
      </c>
      <c r="H311" s="2">
        <f t="shared" si="31"/>
        <v>5.5051249999999996</v>
      </c>
      <c r="I311" s="2">
        <f t="array" ref="I311">SUMPRODUCT(B295:B314, (ROW(B295:B314)-ROW(B295)+1)) / (20*21/2)</f>
        <v>5.2927285714285714</v>
      </c>
      <c r="J311" s="2">
        <f t="shared" si="34"/>
        <v>5.183345955127173</v>
      </c>
      <c r="K311" s="2">
        <f t="shared" si="36"/>
        <v>5.1131919721634533</v>
      </c>
    </row>
    <row r="312" spans="1:11" ht="13.5" x14ac:dyDescent="0.25">
      <c r="A312" s="3">
        <f>TITRES_STAT!B315</f>
        <v>45369</v>
      </c>
      <c r="B312" s="5">
        <f>TITRES_STAT!D315</f>
        <v>5.3579999999999997</v>
      </c>
      <c r="C312" s="2">
        <f t="shared" si="29"/>
        <v>0</v>
      </c>
      <c r="D312" s="2">
        <f t="shared" si="30"/>
        <v>5.3579999999999997</v>
      </c>
      <c r="E312" s="2">
        <f t="shared" si="32"/>
        <v>5.3408999999999986</v>
      </c>
      <c r="F312" s="2">
        <f t="shared" si="33"/>
        <v>5.174100000000001</v>
      </c>
      <c r="G312" s="2">
        <f t="shared" si="35"/>
        <v>4.9873399999999997</v>
      </c>
      <c r="H312" s="2">
        <f t="shared" si="31"/>
        <v>5.5022899999999986</v>
      </c>
      <c r="I312" s="2">
        <f t="array" ref="I312">SUMPRODUCT(B296:B315, (ROW(B296:B315)-ROW(B296)+1)) / (20*21/2)</f>
        <v>5.304728571428571</v>
      </c>
      <c r="J312" s="2">
        <f t="shared" si="34"/>
        <v>5.1999796736864905</v>
      </c>
      <c r="K312" s="2">
        <f t="shared" si="36"/>
        <v>5.1227922869805731</v>
      </c>
    </row>
    <row r="313" spans="1:11" ht="13.5" x14ac:dyDescent="0.25">
      <c r="A313" s="3">
        <f>TITRES_STAT!B316</f>
        <v>45370</v>
      </c>
      <c r="B313" s="5">
        <f>TITRES_STAT!D316</f>
        <v>5.3579999999999997</v>
      </c>
      <c r="C313" s="2">
        <f t="shared" si="29"/>
        <v>0</v>
      </c>
      <c r="D313" s="2">
        <f t="shared" si="30"/>
        <v>5.3579999999999997</v>
      </c>
      <c r="E313" s="2">
        <f t="shared" si="32"/>
        <v>5.3444999999999983</v>
      </c>
      <c r="F313" s="2">
        <f t="shared" si="33"/>
        <v>5.1945000000000014</v>
      </c>
      <c r="G313" s="2">
        <f t="shared" si="35"/>
        <v>4.9969199999999994</v>
      </c>
      <c r="H313" s="2">
        <f t="shared" si="31"/>
        <v>5.4995849999999971</v>
      </c>
      <c r="I313" s="2">
        <f t="array" ref="I313">SUMPRODUCT(B297:B316, (ROW(B297:B316)-ROW(B297)+1)) / (20*21/2)</f>
        <v>5.3148714285714291</v>
      </c>
      <c r="J313" s="2">
        <f t="shared" si="34"/>
        <v>5.215029228573492</v>
      </c>
      <c r="K313" s="2">
        <f t="shared" si="36"/>
        <v>5.1320161188636879</v>
      </c>
    </row>
    <row r="314" spans="1:11" ht="13.5" x14ac:dyDescent="0.25">
      <c r="A314" s="3">
        <f>TITRES_STAT!B317</f>
        <v>45372</v>
      </c>
      <c r="B314" s="5">
        <f>TITRES_STAT!D317</f>
        <v>5.3129999999999997</v>
      </c>
      <c r="C314" s="2">
        <f t="shared" si="29"/>
        <v>-4.4999999999999929E-2</v>
      </c>
      <c r="D314" s="2">
        <f t="shared" si="30"/>
        <v>5.3489999999999993</v>
      </c>
      <c r="E314" s="2">
        <f t="shared" si="32"/>
        <v>5.3391999999999999</v>
      </c>
      <c r="F314" s="2">
        <f t="shared" si="33"/>
        <v>5.2140000000000022</v>
      </c>
      <c r="G314" s="2">
        <f t="shared" si="35"/>
        <v>5.0038399999999994</v>
      </c>
      <c r="H314" s="2">
        <f t="shared" si="31"/>
        <v>5.4962999999999989</v>
      </c>
      <c r="I314" s="2">
        <f t="array" ref="I314">SUMPRODUCT(B298:B317, (ROW(B298:B317)-ROW(B298)+1)) / (20*21/2)</f>
        <v>5.3231571428571431</v>
      </c>
      <c r="J314" s="2">
        <f t="shared" si="34"/>
        <v>5.2243597782331594</v>
      </c>
      <c r="K314" s="2">
        <f t="shared" si="36"/>
        <v>5.1391135259670726</v>
      </c>
    </row>
    <row r="315" spans="1:11" ht="13.5" x14ac:dyDescent="0.25">
      <c r="A315" s="3">
        <f>TITRES_STAT!B318</f>
        <v>45373</v>
      </c>
      <c r="B315" s="5">
        <f>TITRES_STAT!D318</f>
        <v>5.34</v>
      </c>
      <c r="C315" s="2">
        <f t="shared" si="29"/>
        <v>2.7000000000000135E-2</v>
      </c>
      <c r="D315" s="2">
        <f t="shared" si="30"/>
        <v>5.3453999999999997</v>
      </c>
      <c r="E315" s="2">
        <f t="shared" si="32"/>
        <v>5.3409999999999993</v>
      </c>
      <c r="F315" s="2">
        <f t="shared" si="33"/>
        <v>5.2335000000000012</v>
      </c>
      <c r="G315" s="2">
        <f t="shared" si="35"/>
        <v>5.0096999999999996</v>
      </c>
      <c r="H315" s="2">
        <f t="shared" si="31"/>
        <v>5.4931949999999983</v>
      </c>
      <c r="I315" s="2">
        <f t="array" ref="I315">SUMPRODUCT(B299:B318, (ROW(B299:B318)-ROW(B299)+1)) / (20*21/2)</f>
        <v>5.3295428571428571</v>
      </c>
      <c r="J315" s="2">
        <f t="shared" si="34"/>
        <v>5.2353731326871449</v>
      </c>
      <c r="K315" s="2">
        <f t="shared" si="36"/>
        <v>5.1469914269095405</v>
      </c>
    </row>
    <row r="316" spans="1:11" ht="13.5" x14ac:dyDescent="0.25">
      <c r="A316" s="3">
        <f>TITRES_STAT!B319</f>
        <v>45376</v>
      </c>
      <c r="B316" s="5">
        <f>TITRES_STAT!D319</f>
        <v>5.34</v>
      </c>
      <c r="C316" s="2">
        <f t="shared" si="29"/>
        <v>0</v>
      </c>
      <c r="D316" s="2">
        <f t="shared" si="30"/>
        <v>5.3418000000000001</v>
      </c>
      <c r="E316" s="2">
        <f t="shared" si="32"/>
        <v>5.3437000000000001</v>
      </c>
      <c r="F316" s="2">
        <f t="shared" si="33"/>
        <v>5.2530000000000019</v>
      </c>
      <c r="G316" s="2">
        <f t="shared" si="35"/>
        <v>5.0178599999999998</v>
      </c>
      <c r="H316" s="2">
        <f t="shared" si="31"/>
        <v>5.4901349999999969</v>
      </c>
      <c r="I316" s="2">
        <f t="array" ref="I316">SUMPRODUCT(B300:B319, (ROW(B300:B319)-ROW(B300)+1)) / (20*21/2)</f>
        <v>5.3336333333333323</v>
      </c>
      <c r="J316" s="2">
        <f t="shared" si="34"/>
        <v>5.2453375962407502</v>
      </c>
      <c r="K316" s="2">
        <f t="shared" si="36"/>
        <v>5.1545603905601469</v>
      </c>
    </row>
    <row r="317" spans="1:11" ht="13.5" x14ac:dyDescent="0.25">
      <c r="A317" s="3">
        <f>TITRES_STAT!B320</f>
        <v>45377</v>
      </c>
      <c r="B317" s="5">
        <f>TITRES_STAT!D320</f>
        <v>5.34</v>
      </c>
      <c r="C317" s="2">
        <f t="shared" si="29"/>
        <v>0</v>
      </c>
      <c r="D317" s="2">
        <f t="shared" si="30"/>
        <v>5.3381999999999996</v>
      </c>
      <c r="E317" s="2">
        <f t="shared" si="32"/>
        <v>5.3481000000000005</v>
      </c>
      <c r="F317" s="2">
        <f t="shared" si="33"/>
        <v>5.2729500000000007</v>
      </c>
      <c r="G317" s="2">
        <f t="shared" si="35"/>
        <v>5.0253199999999998</v>
      </c>
      <c r="H317" s="2">
        <f t="shared" si="31"/>
        <v>5.4870749999999973</v>
      </c>
      <c r="I317" s="2">
        <f t="array" ref="I317">SUMPRODUCT(B301:B320, (ROW(B301:B320)-ROW(B301)+1)) / (20*21/2)</f>
        <v>5.3354714285714282</v>
      </c>
      <c r="J317" s="2">
        <f t="shared" si="34"/>
        <v>5.2543530632654409</v>
      </c>
      <c r="K317" s="2">
        <f t="shared" si="36"/>
        <v>5.1618325321068079</v>
      </c>
    </row>
    <row r="318" spans="1:11" ht="13.5" x14ac:dyDescent="0.25">
      <c r="A318" s="3">
        <f>TITRES_STAT!B321</f>
        <v>45378</v>
      </c>
      <c r="B318" s="5">
        <f>TITRES_STAT!D321</f>
        <v>5.34</v>
      </c>
      <c r="C318" s="2">
        <f t="shared" si="29"/>
        <v>0</v>
      </c>
      <c r="D318" s="2">
        <f t="shared" si="30"/>
        <v>5.3346</v>
      </c>
      <c r="E318" s="2">
        <f t="shared" si="32"/>
        <v>5.3463000000000012</v>
      </c>
      <c r="F318" s="2">
        <f t="shared" si="33"/>
        <v>5.2880500000000001</v>
      </c>
      <c r="G318" s="2">
        <f t="shared" si="35"/>
        <v>5.0327799999999998</v>
      </c>
      <c r="H318" s="2">
        <f t="shared" si="31"/>
        <v>5.4841049999999969</v>
      </c>
      <c r="I318" s="2">
        <f t="array" ref="I318">SUMPRODUCT(B302:B321, (ROW(B302:B321)-ROW(B302)+1)) / (20*21/2)</f>
        <v>5.3371095238095245</v>
      </c>
      <c r="J318" s="2">
        <f t="shared" si="34"/>
        <v>5.2625099143830187</v>
      </c>
      <c r="K318" s="2">
        <f t="shared" si="36"/>
        <v>5.1688194916320311</v>
      </c>
    </row>
    <row r="319" spans="1:11" ht="13.5" x14ac:dyDescent="0.25">
      <c r="A319" s="3">
        <f>TITRES_STAT!B322</f>
        <v>45379</v>
      </c>
      <c r="B319" s="5">
        <f>TITRES_STAT!D322</f>
        <v>5.3310000000000004</v>
      </c>
      <c r="C319" s="2">
        <f t="shared" si="29"/>
        <v>-8.9999999999994529E-3</v>
      </c>
      <c r="D319" s="2">
        <f t="shared" si="30"/>
        <v>5.3381999999999996</v>
      </c>
      <c r="E319" s="2">
        <f t="shared" si="32"/>
        <v>5.3436000000000003</v>
      </c>
      <c r="F319" s="2">
        <f t="shared" si="33"/>
        <v>5.3026999999999997</v>
      </c>
      <c r="G319" s="2">
        <f t="shared" si="35"/>
        <v>5.0407599999999997</v>
      </c>
      <c r="H319" s="2">
        <f t="shared" si="31"/>
        <v>5.4809999999999954</v>
      </c>
      <c r="I319" s="2">
        <f t="array" ref="I319">SUMPRODUCT(B303:B322, (ROW(B303:B322)-ROW(B303)+1)) / (20*21/2)</f>
        <v>5.3372285714285699</v>
      </c>
      <c r="J319" s="2">
        <f t="shared" si="34"/>
        <v>5.2690327796798746</v>
      </c>
      <c r="K319" s="2">
        <f t="shared" si="36"/>
        <v>5.1751795115680297</v>
      </c>
    </row>
    <row r="320" spans="1:11" ht="13.5" x14ac:dyDescent="0.25">
      <c r="A320" s="3">
        <f>TITRES_STAT!B323</f>
        <v>45380</v>
      </c>
      <c r="B320" s="5">
        <f>TITRES_STAT!D323</f>
        <v>5.3220000000000001</v>
      </c>
      <c r="C320" s="2">
        <f t="shared" si="29"/>
        <v>-9.0000000000003411E-3</v>
      </c>
      <c r="D320" s="2">
        <f t="shared" si="30"/>
        <v>5.3346</v>
      </c>
      <c r="E320" s="2">
        <f t="shared" si="32"/>
        <v>5.3400000000000007</v>
      </c>
      <c r="F320" s="2">
        <f t="shared" si="33"/>
        <v>5.3138000000000005</v>
      </c>
      <c r="G320" s="2">
        <f t="shared" si="35"/>
        <v>5.04786</v>
      </c>
      <c r="H320" s="2">
        <f t="shared" si="31"/>
        <v>5.4778049999999947</v>
      </c>
      <c r="I320" s="2">
        <f t="array" ref="I320">SUMPRODUCT(B304:B323, (ROW(B304:B323)-ROW(B304)+1)) / (20*21/2)</f>
        <v>5.3391571428571423</v>
      </c>
      <c r="J320" s="2">
        <f t="shared" si="34"/>
        <v>5.2740772768532205</v>
      </c>
      <c r="K320" s="2">
        <f t="shared" si="36"/>
        <v>5.1809371777810478</v>
      </c>
    </row>
    <row r="321" spans="1:11" ht="13.5" x14ac:dyDescent="0.25">
      <c r="A321" s="3">
        <f>TITRES_STAT!B324</f>
        <v>45383</v>
      </c>
      <c r="B321" s="5">
        <f>TITRES_STAT!D324</f>
        <v>5.3310000000000004</v>
      </c>
      <c r="C321" s="2">
        <f t="shared" si="29"/>
        <v>9.0000000000003411E-3</v>
      </c>
      <c r="D321" s="2">
        <f t="shared" si="30"/>
        <v>5.3327999999999998</v>
      </c>
      <c r="E321" s="2">
        <f t="shared" si="32"/>
        <v>5.3373000000000008</v>
      </c>
      <c r="F321" s="2">
        <f t="shared" si="33"/>
        <v>5.3297499999999998</v>
      </c>
      <c r="G321" s="2">
        <f t="shared" si="35"/>
        <v>5.0551399999999997</v>
      </c>
      <c r="H321" s="2">
        <f t="shared" si="31"/>
        <v>5.4746549999999949</v>
      </c>
      <c r="I321" s="2">
        <f t="array" ref="I321">SUMPRODUCT(B305:B324, (ROW(B305:B324)-ROW(B305)+1)) / (20*21/2)</f>
        <v>5.3409142857142866</v>
      </c>
      <c r="J321" s="2">
        <f t="shared" si="34"/>
        <v>5.2794984885814857</v>
      </c>
      <c r="K321" s="2">
        <f t="shared" si="36"/>
        <v>5.1868219943386533</v>
      </c>
    </row>
    <row r="322" spans="1:11" ht="13.5" x14ac:dyDescent="0.25">
      <c r="A322" s="3">
        <f>TITRES_STAT!B325</f>
        <v>45384</v>
      </c>
      <c r="B322" s="5">
        <f>TITRES_STAT!D325</f>
        <v>5.3310000000000004</v>
      </c>
      <c r="C322" s="2">
        <f t="shared" si="29"/>
        <v>0</v>
      </c>
      <c r="D322" s="2">
        <f t="shared" si="30"/>
        <v>5.3309999999999995</v>
      </c>
      <c r="E322" s="2">
        <f t="shared" si="32"/>
        <v>5.3346000000000009</v>
      </c>
      <c r="F322" s="2">
        <f t="shared" si="33"/>
        <v>5.3377500000000007</v>
      </c>
      <c r="G322" s="2">
        <f t="shared" si="35"/>
        <v>5.0609999999999999</v>
      </c>
      <c r="H322" s="2">
        <f t="shared" si="31"/>
        <v>5.4715949999999944</v>
      </c>
      <c r="I322" s="2">
        <f t="array" ref="I322">SUMPRODUCT(B306:B325, (ROW(B306:B325)-ROW(B306)+1)) / (20*21/2)</f>
        <v>5.3392809523809523</v>
      </c>
      <c r="J322" s="2">
        <f t="shared" si="34"/>
        <v>5.2844033944308686</v>
      </c>
      <c r="K322" s="2">
        <f t="shared" si="36"/>
        <v>5.1924760337763534</v>
      </c>
    </row>
    <row r="323" spans="1:11" ht="13.5" x14ac:dyDescent="0.25">
      <c r="A323" s="3">
        <f>TITRES_STAT!B326</f>
        <v>45385</v>
      </c>
      <c r="B323" s="5">
        <f>TITRES_STAT!D326</f>
        <v>5.3579999999999997</v>
      </c>
      <c r="C323" s="2">
        <f t="shared" si="29"/>
        <v>2.6999999999999247E-2</v>
      </c>
      <c r="D323" s="2">
        <f t="shared" si="30"/>
        <v>5.3346</v>
      </c>
      <c r="E323" s="2">
        <f t="shared" si="32"/>
        <v>5.3346</v>
      </c>
      <c r="F323" s="2">
        <f t="shared" si="33"/>
        <v>5.3395500000000009</v>
      </c>
      <c r="G323" s="2">
        <f t="shared" si="35"/>
        <v>5.0688199999999988</v>
      </c>
      <c r="H323" s="2">
        <f t="shared" si="31"/>
        <v>5.4686699999999941</v>
      </c>
      <c r="I323" s="2">
        <f t="array" ref="I323">SUMPRODUCT(B307:B326, (ROW(B307:B326)-ROW(B307)+1)) / (20*21/2)</f>
        <v>5.3376476190476199</v>
      </c>
      <c r="J323" s="2">
        <f t="shared" si="34"/>
        <v>5.2914125949612618</v>
      </c>
      <c r="K323" s="2">
        <f t="shared" si="36"/>
        <v>5.1989671697066928</v>
      </c>
    </row>
    <row r="324" spans="1:11" ht="13.5" x14ac:dyDescent="0.25">
      <c r="A324" s="3">
        <f>TITRES_STAT!B327</f>
        <v>45386</v>
      </c>
      <c r="B324" s="5">
        <f>TITRES_STAT!D327</f>
        <v>5.3579999999999997</v>
      </c>
      <c r="C324" s="2">
        <f t="shared" ref="C324:C387" si="37">B324-B323</f>
        <v>0</v>
      </c>
      <c r="D324" s="2">
        <f t="shared" si="30"/>
        <v>5.3400000000000007</v>
      </c>
      <c r="E324" s="2">
        <f t="shared" si="32"/>
        <v>5.3391000000000002</v>
      </c>
      <c r="F324" s="2">
        <f t="shared" si="33"/>
        <v>5.3391500000000018</v>
      </c>
      <c r="G324" s="2">
        <f t="shared" si="35"/>
        <v>5.0783999999999994</v>
      </c>
      <c r="H324" s="2">
        <f t="shared" si="31"/>
        <v>5.465834999999994</v>
      </c>
      <c r="I324" s="2">
        <f t="array" ref="I324">SUMPRODUCT(B308:B327, (ROW(B308:B327)-ROW(B308)+1)) / (20*21/2)</f>
        <v>5.3351142857142859</v>
      </c>
      <c r="J324" s="2">
        <f t="shared" si="34"/>
        <v>5.2977542525839993</v>
      </c>
      <c r="K324" s="2">
        <f t="shared" si="36"/>
        <v>5.205203751286823</v>
      </c>
    </row>
    <row r="325" spans="1:11" ht="13.5" x14ac:dyDescent="0.25">
      <c r="A325" s="3">
        <f>TITRES_STAT!B328</f>
        <v>45387</v>
      </c>
      <c r="B325" s="5">
        <f>TITRES_STAT!D328</f>
        <v>5.3220000000000001</v>
      </c>
      <c r="C325" s="2">
        <f t="shared" si="37"/>
        <v>-3.5999999999999588E-2</v>
      </c>
      <c r="D325" s="2">
        <f t="shared" si="30"/>
        <v>5.34</v>
      </c>
      <c r="E325" s="2">
        <f t="shared" si="32"/>
        <v>5.3372999999999999</v>
      </c>
      <c r="F325" s="2">
        <f t="shared" si="33"/>
        <v>5.3391500000000018</v>
      </c>
      <c r="G325" s="2">
        <f t="shared" si="35"/>
        <v>5.0854999999999997</v>
      </c>
      <c r="H325" s="2">
        <f t="shared" si="31"/>
        <v>5.4627749999999935</v>
      </c>
      <c r="I325" s="2">
        <f t="array" ref="I325">SUMPRODUCT(B309:B328, (ROW(B309:B328)-ROW(B309)+1)) / (20*21/2)</f>
        <v>5.3325000000000005</v>
      </c>
      <c r="J325" s="2">
        <f t="shared" si="34"/>
        <v>5.3000633713855239</v>
      </c>
      <c r="K325" s="2">
        <f t="shared" si="36"/>
        <v>5.2097839963343988</v>
      </c>
    </row>
    <row r="326" spans="1:11" ht="13.5" x14ac:dyDescent="0.25">
      <c r="A326" s="3">
        <f>TITRES_STAT!B329</f>
        <v>45390</v>
      </c>
      <c r="B326" s="5">
        <f>TITRES_STAT!D329</f>
        <v>5.3220000000000001</v>
      </c>
      <c r="C326" s="2">
        <f t="shared" si="37"/>
        <v>0</v>
      </c>
      <c r="D326" s="2">
        <f t="shared" ref="D326:D389" si="38">AVERAGE(B322:B326)</f>
        <v>5.3381999999999996</v>
      </c>
      <c r="E326" s="2">
        <f t="shared" si="32"/>
        <v>5.3354999999999997</v>
      </c>
      <c r="F326" s="2">
        <f t="shared" si="33"/>
        <v>5.3396000000000017</v>
      </c>
      <c r="G326" s="2">
        <f t="shared" si="35"/>
        <v>5.0965000000000007</v>
      </c>
      <c r="H326" s="2">
        <f t="shared" si="31"/>
        <v>5.459669999999992</v>
      </c>
      <c r="I326" s="2">
        <f t="array" ref="I326">SUMPRODUCT(B310:B329, (ROW(B310:B329)-ROW(B310)+1)) / (20*21/2)</f>
        <v>5.3300999999999998</v>
      </c>
      <c r="J326" s="2">
        <f t="shared" si="34"/>
        <v>5.3021525741107123</v>
      </c>
      <c r="K326" s="2">
        <f t="shared" si="36"/>
        <v>5.2141846239291283</v>
      </c>
    </row>
    <row r="327" spans="1:11" ht="13.5" x14ac:dyDescent="0.25">
      <c r="A327" s="3">
        <f>TITRES_STAT!B330</f>
        <v>45394</v>
      </c>
      <c r="B327" s="5">
        <f>TITRES_STAT!D330</f>
        <v>5.3129999999999997</v>
      </c>
      <c r="C327" s="2">
        <f t="shared" si="37"/>
        <v>-9.0000000000003411E-3</v>
      </c>
      <c r="D327" s="2">
        <f t="shared" si="38"/>
        <v>5.3346</v>
      </c>
      <c r="E327" s="2">
        <f t="shared" si="32"/>
        <v>5.3328000000000007</v>
      </c>
      <c r="F327" s="2">
        <f t="shared" si="33"/>
        <v>5.3404500000000024</v>
      </c>
      <c r="G327" s="2">
        <f t="shared" si="35"/>
        <v>5.1043000000000003</v>
      </c>
      <c r="H327" s="2">
        <f t="shared" si="31"/>
        <v>5.4565649999999923</v>
      </c>
      <c r="I327" s="2">
        <f t="array" ref="I327">SUMPRODUCT(B311:B330, (ROW(B311:B330)-ROW(B311)+1)) / (20*21/2)</f>
        <v>5.3279142857142858</v>
      </c>
      <c r="J327" s="2">
        <f t="shared" si="34"/>
        <v>5.3031856622906446</v>
      </c>
      <c r="K327" s="2">
        <f t="shared" si="36"/>
        <v>5.2180597367162216</v>
      </c>
    </row>
    <row r="328" spans="1:11" ht="13.5" x14ac:dyDescent="0.25">
      <c r="A328" s="3">
        <f>TITRES_STAT!B331</f>
        <v>45397</v>
      </c>
      <c r="B328" s="5">
        <f>TITRES_STAT!D331</f>
        <v>5.3129999999999997</v>
      </c>
      <c r="C328" s="2">
        <f t="shared" si="37"/>
        <v>0</v>
      </c>
      <c r="D328" s="2">
        <f t="shared" si="38"/>
        <v>5.3255999999999997</v>
      </c>
      <c r="E328" s="2">
        <f t="shared" si="32"/>
        <v>5.3301000000000007</v>
      </c>
      <c r="F328" s="2">
        <f t="shared" si="33"/>
        <v>5.3382000000000023</v>
      </c>
      <c r="G328" s="2">
        <f t="shared" si="35"/>
        <v>5.1112199999999994</v>
      </c>
      <c r="H328" s="2">
        <f t="shared" si="31"/>
        <v>5.4535049999999936</v>
      </c>
      <c r="I328" s="2">
        <f t="array" ref="I328">SUMPRODUCT(B312:B331, (ROW(B312:B331)-ROW(B312)+1)) / (20*21/2)</f>
        <v>5.3183238095238101</v>
      </c>
      <c r="J328" s="2">
        <f t="shared" si="34"/>
        <v>5.3041203611201073</v>
      </c>
      <c r="K328" s="2">
        <f t="shared" si="36"/>
        <v>5.2217828842959779</v>
      </c>
    </row>
    <row r="329" spans="1:11" ht="13.5" x14ac:dyDescent="0.25">
      <c r="A329" s="3">
        <f>TITRES_STAT!B332</f>
        <v>45398</v>
      </c>
      <c r="B329" s="5">
        <f>TITRES_STAT!D332</f>
        <v>5.3129999999999997</v>
      </c>
      <c r="C329" s="2">
        <f t="shared" si="37"/>
        <v>0</v>
      </c>
      <c r="D329" s="2">
        <f t="shared" si="38"/>
        <v>5.3165999999999993</v>
      </c>
      <c r="E329" s="2">
        <f t="shared" si="32"/>
        <v>5.3283000000000014</v>
      </c>
      <c r="F329" s="2">
        <f t="shared" si="33"/>
        <v>5.3359500000000022</v>
      </c>
      <c r="G329" s="2">
        <f t="shared" si="35"/>
        <v>5.1207999999999991</v>
      </c>
      <c r="H329" s="2">
        <f t="shared" si="31"/>
        <v>5.4504449999999949</v>
      </c>
      <c r="I329" s="2">
        <f t="array" ref="I329">SUMPRODUCT(B313:B332, (ROW(B313:B332)-ROW(B313)+1)) / (20*21/2)</f>
        <v>5.3093285714285727</v>
      </c>
      <c r="J329" s="2">
        <f t="shared" si="34"/>
        <v>5.3049660410134303</v>
      </c>
      <c r="K329" s="2">
        <f t="shared" si="36"/>
        <v>5.2253600260882926</v>
      </c>
    </row>
    <row r="330" spans="1:11" ht="13.5" x14ac:dyDescent="0.25">
      <c r="A330" s="3">
        <f>TITRES_STAT!B333</f>
        <v>45399</v>
      </c>
      <c r="B330" s="5">
        <f>TITRES_STAT!D333</f>
        <v>5.3129999999999997</v>
      </c>
      <c r="C330" s="2">
        <f t="shared" si="37"/>
        <v>0</v>
      </c>
      <c r="D330" s="2">
        <f t="shared" si="38"/>
        <v>5.3148</v>
      </c>
      <c r="E330" s="2">
        <f t="shared" si="32"/>
        <v>5.3274000000000008</v>
      </c>
      <c r="F330" s="2">
        <f t="shared" si="33"/>
        <v>5.3337000000000021</v>
      </c>
      <c r="G330" s="2">
        <f t="shared" si="35"/>
        <v>5.12948</v>
      </c>
      <c r="H330" s="2">
        <f t="shared" ref="H330:H393" si="39">AVERAGE(B131:B330)</f>
        <v>5.4475599999999966</v>
      </c>
      <c r="I330" s="2">
        <f t="array" ref="I330">SUMPRODUCT(B314:B333, (ROW(B314:B333)-ROW(B314)+1)) / (20*21/2)</f>
        <v>5.3009285714285719</v>
      </c>
      <c r="J330" s="2">
        <f t="shared" si="34"/>
        <v>5.3057311799645328</v>
      </c>
      <c r="K330" s="2">
        <f t="shared" si="36"/>
        <v>5.2287968878103204</v>
      </c>
    </row>
    <row r="331" spans="1:11" ht="13.5" x14ac:dyDescent="0.25">
      <c r="A331" s="3">
        <f>TITRES_STAT!B334</f>
        <v>45400</v>
      </c>
      <c r="B331" s="5">
        <f>TITRES_STAT!D334</f>
        <v>5.2329999999999997</v>
      </c>
      <c r="C331" s="2">
        <f t="shared" si="37"/>
        <v>-8.0000000000000071E-2</v>
      </c>
      <c r="D331" s="2">
        <f t="shared" si="38"/>
        <v>5.2969999999999997</v>
      </c>
      <c r="E331" s="2">
        <f t="shared" si="32"/>
        <v>5.3176000000000005</v>
      </c>
      <c r="F331" s="2">
        <f t="shared" si="33"/>
        <v>5.3274500000000016</v>
      </c>
      <c r="G331" s="2">
        <f t="shared" si="35"/>
        <v>5.1367399999999996</v>
      </c>
      <c r="H331" s="2">
        <f t="shared" si="39"/>
        <v>5.4442749999999966</v>
      </c>
      <c r="I331" s="2">
        <f t="array" ref="I331">SUMPRODUCT(B315:B334, (ROW(B315:B334)-ROW(B315)+1)) / (20*21/2)</f>
        <v>5.2931238095238093</v>
      </c>
      <c r="J331" s="2">
        <f t="shared" si="34"/>
        <v>5.2988044009202913</v>
      </c>
      <c r="K331" s="2">
        <f t="shared" si="36"/>
        <v>5.2289617157393282</v>
      </c>
    </row>
    <row r="332" spans="1:11" ht="13.5" x14ac:dyDescent="0.25">
      <c r="A332" s="3">
        <f>TITRES_STAT!B335</f>
        <v>45401</v>
      </c>
      <c r="B332" s="5">
        <f>TITRES_STAT!D335</f>
        <v>5.2329999999999997</v>
      </c>
      <c r="C332" s="2">
        <f t="shared" si="37"/>
        <v>0</v>
      </c>
      <c r="D332" s="2">
        <f t="shared" si="38"/>
        <v>5.2810000000000006</v>
      </c>
      <c r="E332" s="2">
        <f t="shared" ref="E332:E395" si="40">AVERAGE(B323:B332)</f>
        <v>5.3077999999999994</v>
      </c>
      <c r="F332" s="2">
        <f t="shared" si="33"/>
        <v>5.3212000000000019</v>
      </c>
      <c r="G332" s="2">
        <f t="shared" si="35"/>
        <v>5.1475599999999995</v>
      </c>
      <c r="H332" s="2">
        <f t="shared" si="39"/>
        <v>5.4411249999999969</v>
      </c>
      <c r="I332" s="2">
        <f t="array" ref="I332">SUMPRODUCT(B316:B335, (ROW(B316:B335)-ROW(B316)+1)) / (20*21/2)</f>
        <v>5.2857000000000003</v>
      </c>
      <c r="J332" s="2">
        <f t="shared" si="34"/>
        <v>5.2925373151183583</v>
      </c>
      <c r="K332" s="2">
        <f t="shared" si="36"/>
        <v>5.2291200798279824</v>
      </c>
    </row>
    <row r="333" spans="1:11" ht="13.5" x14ac:dyDescent="0.25">
      <c r="A333" s="3">
        <f>TITRES_STAT!B336</f>
        <v>45404</v>
      </c>
      <c r="B333" s="5">
        <f>TITRES_STAT!D336</f>
        <v>5.2329999999999997</v>
      </c>
      <c r="C333" s="2">
        <f t="shared" si="37"/>
        <v>0</v>
      </c>
      <c r="D333" s="2">
        <f t="shared" si="38"/>
        <v>5.2649999999999997</v>
      </c>
      <c r="E333" s="2">
        <f t="shared" si="40"/>
        <v>5.2952999999999992</v>
      </c>
      <c r="F333" s="2">
        <f t="shared" si="33"/>
        <v>5.3149500000000014</v>
      </c>
      <c r="G333" s="2">
        <f t="shared" si="35"/>
        <v>5.1567800000000004</v>
      </c>
      <c r="H333" s="2">
        <f t="shared" si="39"/>
        <v>5.4384599999999974</v>
      </c>
      <c r="I333" s="2">
        <f t="array" ref="I333">SUMPRODUCT(B317:B336, (ROW(B317:B336)-ROW(B317)+1)) / (20*21/2)</f>
        <v>5.2745952380952383</v>
      </c>
      <c r="J333" s="2">
        <f t="shared" si="34"/>
        <v>5.2868670946308951</v>
      </c>
      <c r="K333" s="2">
        <f t="shared" si="36"/>
        <v>5.2292722335602191</v>
      </c>
    </row>
    <row r="334" spans="1:11" ht="13.5" x14ac:dyDescent="0.25">
      <c r="A334" s="3">
        <f>TITRES_STAT!B337</f>
        <v>45405</v>
      </c>
      <c r="B334" s="5">
        <f>TITRES_STAT!D337</f>
        <v>5.2329999999999997</v>
      </c>
      <c r="C334" s="2">
        <f t="shared" si="37"/>
        <v>0</v>
      </c>
      <c r="D334" s="2">
        <f t="shared" si="38"/>
        <v>5.2490000000000006</v>
      </c>
      <c r="E334" s="2">
        <f t="shared" si="40"/>
        <v>5.2827999999999991</v>
      </c>
      <c r="F334" s="2">
        <f t="shared" si="33"/>
        <v>5.3109500000000009</v>
      </c>
      <c r="G334" s="2">
        <f t="shared" si="35"/>
        <v>5.1674199999999999</v>
      </c>
      <c r="H334" s="2">
        <f t="shared" si="39"/>
        <v>5.4357949999999997</v>
      </c>
      <c r="I334" s="2">
        <f t="array" ref="I334">SUMPRODUCT(B318:B337, (ROW(B318:B337)-ROW(B318)+1)) / (20*21/2)</f>
        <v>5.2768761904761909</v>
      </c>
      <c r="J334" s="2">
        <f t="shared" si="34"/>
        <v>5.2817368951422381</v>
      </c>
      <c r="K334" s="2">
        <f t="shared" si="36"/>
        <v>5.2294184204794263</v>
      </c>
    </row>
    <row r="335" spans="1:11" ht="13.5" x14ac:dyDescent="0.25">
      <c r="A335" s="3">
        <f>TITRES_STAT!B338</f>
        <v>45406</v>
      </c>
      <c r="B335" s="5">
        <f>TITRES_STAT!D338</f>
        <v>5.2329999999999997</v>
      </c>
      <c r="C335" s="2">
        <f t="shared" si="37"/>
        <v>0</v>
      </c>
      <c r="D335" s="2">
        <f t="shared" si="38"/>
        <v>5.2329999999999997</v>
      </c>
      <c r="E335" s="2">
        <f t="shared" si="40"/>
        <v>5.2738999999999994</v>
      </c>
      <c r="F335" s="2">
        <f t="shared" si="33"/>
        <v>5.305600000000001</v>
      </c>
      <c r="G335" s="2">
        <f t="shared" si="35"/>
        <v>5.1764599999999996</v>
      </c>
      <c r="H335" s="2">
        <f t="shared" si="39"/>
        <v>5.4331299999999985</v>
      </c>
      <c r="I335" s="2">
        <f t="array" ref="I335">SUMPRODUCT(B319:B338, (ROW(B319:B338)-ROW(B319)+1)) / (20*21/2)</f>
        <v>5.2792428571428562</v>
      </c>
      <c r="J335" s="2">
        <f t="shared" si="34"/>
        <v>5.2770952860810718</v>
      </c>
      <c r="K335" s="2">
        <f t="shared" si="36"/>
        <v>5.2295588745782728</v>
      </c>
    </row>
    <row r="336" spans="1:11" ht="13.5" x14ac:dyDescent="0.25">
      <c r="A336" s="3">
        <f>TITRES_STAT!B339</f>
        <v>45407</v>
      </c>
      <c r="B336" s="5">
        <f>TITRES_STAT!D339</f>
        <v>5.1890000000000001</v>
      </c>
      <c r="C336" s="2">
        <f t="shared" si="37"/>
        <v>-4.3999999999999595E-2</v>
      </c>
      <c r="D336" s="2">
        <f t="shared" si="38"/>
        <v>5.2241999999999997</v>
      </c>
      <c r="E336" s="2">
        <f t="shared" si="40"/>
        <v>5.2605999999999993</v>
      </c>
      <c r="F336" s="2">
        <f t="shared" si="33"/>
        <v>5.2980500000000008</v>
      </c>
      <c r="G336" s="2">
        <f t="shared" si="35"/>
        <v>5.1846199999999998</v>
      </c>
      <c r="H336" s="2">
        <f t="shared" si="39"/>
        <v>5.4306899999999994</v>
      </c>
      <c r="I336" s="2">
        <f t="array" ref="I336">SUMPRODUCT(B320:B339, (ROW(B320:B339)-ROW(B320)+1)) / (20*21/2)</f>
        <v>5.2816952380952378</v>
      </c>
      <c r="J336" s="2">
        <f t="shared" si="34"/>
        <v>5.2687052588352552</v>
      </c>
      <c r="K336" s="2">
        <f t="shared" si="36"/>
        <v>5.2279683304771645</v>
      </c>
    </row>
    <row r="337" spans="1:11" ht="13.5" x14ac:dyDescent="0.25">
      <c r="A337" s="3">
        <f>TITRES_STAT!B340</f>
        <v>45408</v>
      </c>
      <c r="B337" s="5">
        <f>TITRES_STAT!D340</f>
        <v>5.3220000000000001</v>
      </c>
      <c r="C337" s="2">
        <f t="shared" si="37"/>
        <v>0.13300000000000001</v>
      </c>
      <c r="D337" s="2">
        <f t="shared" si="38"/>
        <v>5.2419999999999991</v>
      </c>
      <c r="E337" s="2">
        <f t="shared" si="40"/>
        <v>5.2614999999999998</v>
      </c>
      <c r="F337" s="2">
        <f t="shared" si="33"/>
        <v>5.297150000000002</v>
      </c>
      <c r="G337" s="2">
        <f t="shared" si="35"/>
        <v>5.1970399999999994</v>
      </c>
      <c r="H337" s="2">
        <f t="shared" si="39"/>
        <v>5.4289150000000008</v>
      </c>
      <c r="I337" s="2">
        <f t="array" ref="I337">SUMPRODUCT(B321:B340, (ROW(B321:B340)-ROW(B321)+1)) / (20*21/2)</f>
        <v>5.2841904761904761</v>
      </c>
      <c r="J337" s="2">
        <f t="shared" si="34"/>
        <v>5.2737809484699927</v>
      </c>
      <c r="K337" s="2">
        <f t="shared" si="36"/>
        <v>5.2316558469290406</v>
      </c>
    </row>
    <row r="338" spans="1:11" ht="13.5" x14ac:dyDescent="0.25">
      <c r="A338" s="3">
        <f>TITRES_STAT!B341</f>
        <v>45411</v>
      </c>
      <c r="B338" s="5">
        <f>TITRES_STAT!D341</f>
        <v>5.3220000000000001</v>
      </c>
      <c r="C338" s="2">
        <f t="shared" si="37"/>
        <v>0</v>
      </c>
      <c r="D338" s="2">
        <f t="shared" si="38"/>
        <v>5.2598000000000003</v>
      </c>
      <c r="E338" s="2">
        <f t="shared" si="40"/>
        <v>5.2624000000000004</v>
      </c>
      <c r="F338" s="2">
        <f t="shared" si="33"/>
        <v>5.2962500000000023</v>
      </c>
      <c r="G338" s="2">
        <f t="shared" si="35"/>
        <v>5.20946</v>
      </c>
      <c r="H338" s="2">
        <f t="shared" si="39"/>
        <v>5.4271400000000005</v>
      </c>
      <c r="I338" s="2">
        <f t="array" ref="I338">SUMPRODUCT(B322:B341, (ROW(B322:B341)-ROW(B322)+1)) / (20*21/2)</f>
        <v>5.2892571428571431</v>
      </c>
      <c r="J338" s="2">
        <f t="shared" si="34"/>
        <v>5.2783732390918985</v>
      </c>
      <c r="K338" s="2">
        <f t="shared" si="36"/>
        <v>5.2351987548926076</v>
      </c>
    </row>
    <row r="339" spans="1:11" ht="13.5" x14ac:dyDescent="0.25">
      <c r="A339" s="3">
        <f>TITRES_STAT!B342</f>
        <v>45412</v>
      </c>
      <c r="B339" s="5">
        <f>TITRES_STAT!D342</f>
        <v>5.3220000000000001</v>
      </c>
      <c r="C339" s="2">
        <f t="shared" si="37"/>
        <v>0</v>
      </c>
      <c r="D339" s="2">
        <f t="shared" si="38"/>
        <v>5.2775999999999996</v>
      </c>
      <c r="E339" s="2">
        <f t="shared" si="40"/>
        <v>5.263300000000001</v>
      </c>
      <c r="F339" s="2">
        <f t="shared" si="33"/>
        <v>5.2958000000000016</v>
      </c>
      <c r="G339" s="2">
        <f t="shared" si="35"/>
        <v>5.2220599999999999</v>
      </c>
      <c r="H339" s="2">
        <f t="shared" si="39"/>
        <v>5.4253649999999993</v>
      </c>
      <c r="I339" s="2">
        <f t="array" ref="I339">SUMPRODUCT(B323:B342, (ROW(B323:B342)-ROW(B323)+1)) / (20*21/2)</f>
        <v>5.2942380952380947</v>
      </c>
      <c r="J339" s="2">
        <f t="shared" si="34"/>
        <v>5.2825281687021945</v>
      </c>
      <c r="K339" s="2">
        <f t="shared" si="36"/>
        <v>5.2386027252889757</v>
      </c>
    </row>
    <row r="340" spans="1:11" ht="13.5" x14ac:dyDescent="0.25">
      <c r="A340" s="3">
        <f>TITRES_STAT!B343</f>
        <v>45414</v>
      </c>
      <c r="B340" s="5">
        <f>TITRES_STAT!D343</f>
        <v>5.3220000000000001</v>
      </c>
      <c r="C340" s="2">
        <f t="shared" si="37"/>
        <v>0</v>
      </c>
      <c r="D340" s="2">
        <f t="shared" si="38"/>
        <v>5.295399999999999</v>
      </c>
      <c r="E340" s="2">
        <f t="shared" si="40"/>
        <v>5.2642000000000007</v>
      </c>
      <c r="F340" s="2">
        <f t="shared" ref="F340:F403" si="41">AVERAGE(B321:B340)</f>
        <v>5.2958000000000016</v>
      </c>
      <c r="G340" s="2">
        <f t="shared" si="35"/>
        <v>5.2346599999999999</v>
      </c>
      <c r="H340" s="2">
        <f t="shared" si="39"/>
        <v>5.4235899999999981</v>
      </c>
      <c r="I340" s="2">
        <f t="array" ref="I340">SUMPRODUCT(B324:B343, (ROW(B324:B343)-ROW(B324)+1)) / (20*21/2)</f>
        <v>5.2957047619047621</v>
      </c>
      <c r="J340" s="2">
        <f t="shared" si="34"/>
        <v>5.286287390730557</v>
      </c>
      <c r="K340" s="2">
        <f t="shared" si="36"/>
        <v>5.2418732066501921</v>
      </c>
    </row>
    <row r="341" spans="1:11" ht="13.5" x14ac:dyDescent="0.25">
      <c r="A341" s="3">
        <f>TITRES_STAT!B344</f>
        <v>45415</v>
      </c>
      <c r="B341" s="5">
        <f>TITRES_STAT!D344</f>
        <v>5.3490000000000002</v>
      </c>
      <c r="C341" s="2">
        <f t="shared" si="37"/>
        <v>2.7000000000000135E-2</v>
      </c>
      <c r="D341" s="2">
        <f t="shared" si="38"/>
        <v>5.3273999999999999</v>
      </c>
      <c r="E341" s="2">
        <f t="shared" si="40"/>
        <v>5.2758000000000012</v>
      </c>
      <c r="F341" s="2">
        <f t="shared" si="41"/>
        <v>5.2967000000000004</v>
      </c>
      <c r="G341" s="2">
        <f t="shared" si="35"/>
        <v>5.2476199999999995</v>
      </c>
      <c r="H341" s="2">
        <f t="shared" si="39"/>
        <v>5.4219499999999972</v>
      </c>
      <c r="I341" s="2">
        <f t="array" ref="I341">SUMPRODUCT(B325:B344, (ROW(B325:B344)-ROW(B325)+1)) / (20*21/2)</f>
        <v>5.2973857142857144</v>
      </c>
      <c r="J341" s="2">
        <f t="shared" ref="J341:J404" si="42">$J$4*B341+J340*(1-$J$4)</f>
        <v>5.2922600201847905</v>
      </c>
      <c r="K341" s="2">
        <f t="shared" si="36"/>
        <v>5.2460742573697932</v>
      </c>
    </row>
    <row r="342" spans="1:11" ht="13.5" x14ac:dyDescent="0.25">
      <c r="A342" s="3">
        <f>TITRES_STAT!B345</f>
        <v>45418</v>
      </c>
      <c r="B342" s="5">
        <f>TITRES_STAT!D345</f>
        <v>5.3490000000000002</v>
      </c>
      <c r="C342" s="2">
        <f t="shared" si="37"/>
        <v>0</v>
      </c>
      <c r="D342" s="2">
        <f t="shared" si="38"/>
        <v>5.3328000000000007</v>
      </c>
      <c r="E342" s="2">
        <f t="shared" si="40"/>
        <v>5.2874000000000008</v>
      </c>
      <c r="F342" s="2">
        <f t="shared" si="41"/>
        <v>5.2976000000000001</v>
      </c>
      <c r="G342" s="2">
        <f t="shared" si="35"/>
        <v>5.2555999999999994</v>
      </c>
      <c r="H342" s="2">
        <f t="shared" si="39"/>
        <v>5.4200899999999983</v>
      </c>
      <c r="I342" s="2">
        <f t="array" ref="I342">SUMPRODUCT(B326:B345, (ROW(B326:B345)-ROW(B326)+1)) / (20*21/2)</f>
        <v>5.2992809523809532</v>
      </c>
      <c r="J342" s="2">
        <f t="shared" si="42"/>
        <v>5.2976638277862396</v>
      </c>
      <c r="K342" s="2">
        <f t="shared" si="36"/>
        <v>5.2501105610023506</v>
      </c>
    </row>
    <row r="343" spans="1:11" ht="13.5" x14ac:dyDescent="0.25">
      <c r="A343" s="3">
        <f>TITRES_STAT!B346</f>
        <v>45419</v>
      </c>
      <c r="B343" s="5">
        <f>TITRES_STAT!D346</f>
        <v>5.3129999999999997</v>
      </c>
      <c r="C343" s="2">
        <f t="shared" si="37"/>
        <v>-3.6000000000000476E-2</v>
      </c>
      <c r="D343" s="2">
        <f t="shared" si="38"/>
        <v>5.3309999999999995</v>
      </c>
      <c r="E343" s="2">
        <f t="shared" si="40"/>
        <v>5.2954000000000008</v>
      </c>
      <c r="F343" s="2">
        <f t="shared" si="41"/>
        <v>5.29535</v>
      </c>
      <c r="G343" s="2">
        <f t="shared" si="35"/>
        <v>5.2628599999999999</v>
      </c>
      <c r="H343" s="2">
        <f t="shared" si="39"/>
        <v>5.4180499999999983</v>
      </c>
      <c r="I343" s="2">
        <f t="array" ref="I343">SUMPRODUCT(B327:B346, (ROW(B327:B346)-ROW(B327)+1)) / (20*21/2)</f>
        <v>5.3012190476190479</v>
      </c>
      <c r="J343" s="2">
        <f t="shared" si="42"/>
        <v>5.2991244156161219</v>
      </c>
      <c r="K343" s="2">
        <f t="shared" si="36"/>
        <v>5.2525768135120625</v>
      </c>
    </row>
    <row r="344" spans="1:11" ht="13.5" x14ac:dyDescent="0.25">
      <c r="A344" s="3">
        <f>TITRES_STAT!B347</f>
        <v>45420</v>
      </c>
      <c r="B344" s="5">
        <f>TITRES_STAT!D347</f>
        <v>5.3129999999999997</v>
      </c>
      <c r="C344" s="2">
        <f t="shared" si="37"/>
        <v>0</v>
      </c>
      <c r="D344" s="2">
        <f t="shared" si="38"/>
        <v>5.3291999999999993</v>
      </c>
      <c r="E344" s="2">
        <f t="shared" si="40"/>
        <v>5.3034000000000008</v>
      </c>
      <c r="F344" s="2">
        <f t="shared" si="41"/>
        <v>5.2931000000000008</v>
      </c>
      <c r="G344" s="2">
        <f t="shared" si="35"/>
        <v>5.2706600000000003</v>
      </c>
      <c r="H344" s="2">
        <f t="shared" si="39"/>
        <v>5.4160099999999991</v>
      </c>
      <c r="I344" s="2">
        <f t="array" ref="I344">SUMPRODUCT(B328:B347, (ROW(B328:B347)-ROW(B328)+1)) / (20*21/2)</f>
        <v>5.3032000000000004</v>
      </c>
      <c r="J344" s="2">
        <f t="shared" si="42"/>
        <v>5.3004458998431581</v>
      </c>
      <c r="K344" s="2">
        <f t="shared" si="36"/>
        <v>5.2549463502370797</v>
      </c>
    </row>
    <row r="345" spans="1:11" ht="13.5" x14ac:dyDescent="0.25">
      <c r="A345" s="3">
        <f>TITRES_STAT!B348</f>
        <v>45421</v>
      </c>
      <c r="B345" s="5">
        <f>TITRES_STAT!D348</f>
        <v>5.3129999999999997</v>
      </c>
      <c r="C345" s="2">
        <f t="shared" si="37"/>
        <v>0</v>
      </c>
      <c r="D345" s="2">
        <f t="shared" si="38"/>
        <v>5.327399999999999</v>
      </c>
      <c r="E345" s="2">
        <f t="shared" si="40"/>
        <v>5.3114000000000008</v>
      </c>
      <c r="F345" s="2">
        <f t="shared" si="41"/>
        <v>5.2926500000000001</v>
      </c>
      <c r="G345" s="2">
        <f t="shared" si="35"/>
        <v>5.2779199999999991</v>
      </c>
      <c r="H345" s="2">
        <f t="shared" si="39"/>
        <v>5.4137449999999987</v>
      </c>
      <c r="I345" s="2">
        <f t="array" ref="I345">SUMPRODUCT(B329:B348, (ROW(B329:B348)-ROW(B329)+1)) / (20*21/2)</f>
        <v>5.2942285714285724</v>
      </c>
      <c r="J345" s="2">
        <f t="shared" si="42"/>
        <v>5.3016415284295242</v>
      </c>
      <c r="K345" s="2">
        <f t="shared" si="36"/>
        <v>5.2572229639532733</v>
      </c>
    </row>
    <row r="346" spans="1:11" ht="13.5" x14ac:dyDescent="0.25">
      <c r="A346" s="3">
        <f>TITRES_STAT!B349</f>
        <v>45422</v>
      </c>
      <c r="B346" s="5">
        <f>TITRES_STAT!D349</f>
        <v>5.3129999999999997</v>
      </c>
      <c r="C346" s="2">
        <f t="shared" si="37"/>
        <v>0</v>
      </c>
      <c r="D346" s="2">
        <f t="shared" si="38"/>
        <v>5.3201999999999989</v>
      </c>
      <c r="E346" s="2">
        <f t="shared" si="40"/>
        <v>5.3238000000000003</v>
      </c>
      <c r="F346" s="2">
        <f t="shared" si="41"/>
        <v>5.2922000000000011</v>
      </c>
      <c r="G346" s="2">
        <f t="shared" si="35"/>
        <v>5.2851799999999995</v>
      </c>
      <c r="H346" s="2">
        <f t="shared" si="39"/>
        <v>5.4114799999999992</v>
      </c>
      <c r="I346" s="2">
        <f t="array" ref="I346">SUMPRODUCT(B330:B349, (ROW(B330:B349)-ROW(B330)+1)) / (20*21/2)</f>
        <v>5.2764714285714298</v>
      </c>
      <c r="J346" s="2">
        <f t="shared" si="42"/>
        <v>5.302723287626713</v>
      </c>
      <c r="K346" s="2">
        <f t="shared" si="36"/>
        <v>5.259410298700204</v>
      </c>
    </row>
    <row r="347" spans="1:11" ht="13.5" x14ac:dyDescent="0.25">
      <c r="A347" s="3">
        <f>TITRES_STAT!B350</f>
        <v>45425</v>
      </c>
      <c r="B347" s="5">
        <f>TITRES_STAT!D350</f>
        <v>5.3129999999999997</v>
      </c>
      <c r="C347" s="2">
        <f t="shared" si="37"/>
        <v>0</v>
      </c>
      <c r="D347" s="2">
        <f t="shared" si="38"/>
        <v>5.3129999999999997</v>
      </c>
      <c r="E347" s="2">
        <f t="shared" si="40"/>
        <v>5.3229000000000006</v>
      </c>
      <c r="F347" s="2">
        <f t="shared" si="41"/>
        <v>5.2922000000000011</v>
      </c>
      <c r="G347" s="2">
        <f t="shared" si="35"/>
        <v>5.2926199999999994</v>
      </c>
      <c r="H347" s="2">
        <f t="shared" si="39"/>
        <v>5.4092149999999997</v>
      </c>
      <c r="I347" s="2">
        <f t="array" ref="I347">SUMPRODUCT(B331:B350, (ROW(B331:B350)-ROW(B331)+1)) / (20*21/2)</f>
        <v>5.2808714285714284</v>
      </c>
      <c r="J347" s="2">
        <f t="shared" si="42"/>
        <v>5.303702022138455</v>
      </c>
      <c r="K347" s="2">
        <f t="shared" si="36"/>
        <v>5.2615118556139215</v>
      </c>
    </row>
    <row r="348" spans="1:11" ht="13.5" x14ac:dyDescent="0.25">
      <c r="A348" s="3">
        <f>TITRES_STAT!B351</f>
        <v>45426</v>
      </c>
      <c r="B348" s="5">
        <f>TITRES_STAT!D351</f>
        <v>5.1980000000000004</v>
      </c>
      <c r="C348" s="2">
        <f t="shared" si="37"/>
        <v>-0.11499999999999932</v>
      </c>
      <c r="D348" s="2">
        <f t="shared" si="38"/>
        <v>5.29</v>
      </c>
      <c r="E348" s="2">
        <f t="shared" si="40"/>
        <v>5.3105000000000002</v>
      </c>
      <c r="F348" s="2">
        <f t="shared" si="41"/>
        <v>5.2864500000000003</v>
      </c>
      <c r="G348" s="2">
        <f t="shared" si="35"/>
        <v>5.2958199999999991</v>
      </c>
      <c r="H348" s="2">
        <f t="shared" si="39"/>
        <v>5.4063750000000015</v>
      </c>
      <c r="I348" s="2">
        <f t="array" ref="I348">SUMPRODUCT(B332:B351, (ROW(B332:B351)-ROW(B332)+1)) / (20*21/2)</f>
        <v>5.2877999999999998</v>
      </c>
      <c r="J348" s="2">
        <f t="shared" si="42"/>
        <v>5.2936351628871732</v>
      </c>
      <c r="K348" s="2">
        <f t="shared" si="36"/>
        <v>5.2590211946094536</v>
      </c>
    </row>
    <row r="349" spans="1:11" ht="13.5" x14ac:dyDescent="0.25">
      <c r="A349" s="3">
        <f>TITRES_STAT!B352</f>
        <v>45427</v>
      </c>
      <c r="B349" s="5">
        <f>TITRES_STAT!D352</f>
        <v>5.0999999999999996</v>
      </c>
      <c r="C349" s="2">
        <f t="shared" si="37"/>
        <v>-9.8000000000000753E-2</v>
      </c>
      <c r="D349" s="2">
        <f t="shared" si="38"/>
        <v>5.2474000000000007</v>
      </c>
      <c r="E349" s="2">
        <f t="shared" si="40"/>
        <v>5.2883000000000004</v>
      </c>
      <c r="F349" s="2">
        <f t="shared" si="41"/>
        <v>5.2758000000000012</v>
      </c>
      <c r="G349" s="2">
        <f t="shared" si="35"/>
        <v>5.2970599999999992</v>
      </c>
      <c r="H349" s="2">
        <f t="shared" si="39"/>
        <v>5.4030450000000023</v>
      </c>
      <c r="I349" s="2">
        <f t="array" ref="I349">SUMPRODUCT(B333:B352, (ROW(B333:B352)-ROW(B333)+1)) / (20*21/2)</f>
        <v>5.2933190476190477</v>
      </c>
      <c r="J349" s="2">
        <f t="shared" si="42"/>
        <v>5.2751937188026803</v>
      </c>
      <c r="K349" s="2">
        <f t="shared" si="36"/>
        <v>5.2527850693306517</v>
      </c>
    </row>
    <row r="350" spans="1:11" ht="13.5" x14ac:dyDescent="0.25">
      <c r="A350" s="3">
        <f>TITRES_STAT!B353</f>
        <v>45428</v>
      </c>
      <c r="B350" s="5">
        <f>TITRES_STAT!D353</f>
        <v>5.3220000000000001</v>
      </c>
      <c r="C350" s="2">
        <f t="shared" si="37"/>
        <v>0.22200000000000042</v>
      </c>
      <c r="D350" s="2">
        <f t="shared" si="38"/>
        <v>5.2492000000000001</v>
      </c>
      <c r="E350" s="2">
        <f t="shared" si="40"/>
        <v>5.2883000000000004</v>
      </c>
      <c r="F350" s="2">
        <f t="shared" si="41"/>
        <v>5.2762500000000019</v>
      </c>
      <c r="G350" s="2">
        <f t="shared" si="35"/>
        <v>5.301499999999999</v>
      </c>
      <c r="H350" s="2">
        <f t="shared" si="39"/>
        <v>5.400825000000002</v>
      </c>
      <c r="I350" s="2">
        <f t="array" ref="I350">SUMPRODUCT(B334:B353, (ROW(B334:B353)-ROW(B334)+1)) / (20*21/2)</f>
        <v>5.2983285714285717</v>
      </c>
      <c r="J350" s="2">
        <f t="shared" si="42"/>
        <v>5.2796514598690916</v>
      </c>
      <c r="K350" s="2">
        <f t="shared" si="36"/>
        <v>5.2554993803372927</v>
      </c>
    </row>
    <row r="351" spans="1:11" ht="13.5" x14ac:dyDescent="0.25">
      <c r="A351" s="3">
        <f>TITRES_STAT!B354</f>
        <v>45429</v>
      </c>
      <c r="B351" s="5">
        <f>TITRES_STAT!D354</f>
        <v>5.3490000000000002</v>
      </c>
      <c r="C351" s="2">
        <f t="shared" si="37"/>
        <v>2.7000000000000135E-2</v>
      </c>
      <c r="D351" s="2">
        <f t="shared" si="38"/>
        <v>5.2564000000000002</v>
      </c>
      <c r="E351" s="2">
        <f t="shared" si="40"/>
        <v>5.2882999999999996</v>
      </c>
      <c r="F351" s="2">
        <f t="shared" si="41"/>
        <v>5.2820500000000017</v>
      </c>
      <c r="G351" s="2">
        <f t="shared" si="35"/>
        <v>5.308239999999997</v>
      </c>
      <c r="H351" s="2">
        <f t="shared" si="39"/>
        <v>5.3987400000000028</v>
      </c>
      <c r="I351" s="2">
        <f t="array" ref="I351">SUMPRODUCT(B335:B354, (ROW(B335:B354)-ROW(B335)+1)) / (20*21/2)</f>
        <v>5.3011142857142861</v>
      </c>
      <c r="J351" s="2">
        <f t="shared" si="42"/>
        <v>5.286256082738702</v>
      </c>
      <c r="K351" s="2">
        <f t="shared" si="36"/>
        <v>5.2591660713044579</v>
      </c>
    </row>
    <row r="352" spans="1:11" ht="13.5" x14ac:dyDescent="0.25">
      <c r="A352" s="3">
        <f>TITRES_STAT!B355</f>
        <v>45432</v>
      </c>
      <c r="B352" s="5">
        <f>TITRES_STAT!D355</f>
        <v>5.34</v>
      </c>
      <c r="C352" s="2">
        <f t="shared" si="37"/>
        <v>-9.0000000000003411E-3</v>
      </c>
      <c r="D352" s="2">
        <f t="shared" si="38"/>
        <v>5.2618</v>
      </c>
      <c r="E352" s="2">
        <f t="shared" si="40"/>
        <v>5.2874000000000008</v>
      </c>
      <c r="F352" s="2">
        <f t="shared" si="41"/>
        <v>5.2874000000000017</v>
      </c>
      <c r="G352" s="2">
        <f t="shared" si="35"/>
        <v>5.3116199999999978</v>
      </c>
      <c r="H352" s="2">
        <f t="shared" si="39"/>
        <v>5.3968350000000029</v>
      </c>
      <c r="I352" s="2">
        <f t="array" ref="I352">SUMPRODUCT(B336:B355, (ROW(B336:B355)-ROW(B336)+1)) / (20*21/2)</f>
        <v>5.3034761904761902</v>
      </c>
      <c r="J352" s="2">
        <f t="shared" si="42"/>
        <v>5.2913745510493024</v>
      </c>
      <c r="K352" s="2">
        <f t="shared" si="36"/>
        <v>5.2623360292925181</v>
      </c>
    </row>
    <row r="353" spans="1:11" ht="13.5" x14ac:dyDescent="0.25">
      <c r="A353" s="3">
        <f>TITRES_STAT!B356</f>
        <v>45433</v>
      </c>
      <c r="B353" s="5">
        <f>TITRES_STAT!D356</f>
        <v>5.34</v>
      </c>
      <c r="C353" s="2">
        <f t="shared" si="37"/>
        <v>0</v>
      </c>
      <c r="D353" s="2">
        <f t="shared" si="38"/>
        <v>5.2902000000000005</v>
      </c>
      <c r="E353" s="2">
        <f t="shared" si="40"/>
        <v>5.2901000000000007</v>
      </c>
      <c r="F353" s="2">
        <f t="shared" si="41"/>
        <v>5.2927500000000016</v>
      </c>
      <c r="G353" s="2">
        <f t="shared" si="35"/>
        <v>5.3119799999999975</v>
      </c>
      <c r="H353" s="2">
        <f t="shared" si="39"/>
        <v>5.3949300000000031</v>
      </c>
      <c r="I353" s="2">
        <f t="array" ref="I353">SUMPRODUCT(B337:B356, (ROW(B337:B356)-ROW(B337)+1)) / (20*21/2)</f>
        <v>5.2969380952380947</v>
      </c>
      <c r="J353" s="2">
        <f t="shared" si="42"/>
        <v>5.2960055461874642</v>
      </c>
      <c r="K353" s="2">
        <f t="shared" si="36"/>
        <v>5.2653816752026152</v>
      </c>
    </row>
    <row r="354" spans="1:11" ht="13.5" x14ac:dyDescent="0.25">
      <c r="A354" s="3">
        <f>TITRES_STAT!B357</f>
        <v>45434</v>
      </c>
      <c r="B354" s="5">
        <f>TITRES_STAT!D357</f>
        <v>5.3220000000000001</v>
      </c>
      <c r="C354" s="2">
        <f t="shared" si="37"/>
        <v>-1.7999999999999794E-2</v>
      </c>
      <c r="D354" s="2">
        <f t="shared" si="38"/>
        <v>5.3346</v>
      </c>
      <c r="E354" s="2">
        <f t="shared" si="40"/>
        <v>5.2910000000000013</v>
      </c>
      <c r="F354" s="2">
        <f t="shared" si="41"/>
        <v>5.2972000000000019</v>
      </c>
      <c r="G354" s="2">
        <f t="shared" si="35"/>
        <v>5.3110999999999988</v>
      </c>
      <c r="H354" s="2">
        <f t="shared" si="39"/>
        <v>5.3929350000000014</v>
      </c>
      <c r="I354" s="2">
        <f t="array" ref="I354">SUMPRODUCT(B338:B357, (ROW(B338:B357)-ROW(B338)+1)) / (20*21/2)</f>
        <v>5.2901904761904763</v>
      </c>
      <c r="J354" s="2">
        <f t="shared" si="42"/>
        <v>5.2984812084553248</v>
      </c>
      <c r="K354" s="2">
        <f t="shared" si="36"/>
        <v>5.2676020016652583</v>
      </c>
    </row>
    <row r="355" spans="1:11" ht="13.5" x14ac:dyDescent="0.25">
      <c r="A355" s="3">
        <f>TITRES_STAT!B358</f>
        <v>45435</v>
      </c>
      <c r="B355" s="5">
        <f>TITRES_STAT!D358</f>
        <v>5.3220000000000001</v>
      </c>
      <c r="C355" s="2">
        <f t="shared" si="37"/>
        <v>0</v>
      </c>
      <c r="D355" s="2">
        <f t="shared" si="38"/>
        <v>5.3346</v>
      </c>
      <c r="E355" s="2">
        <f t="shared" si="40"/>
        <v>5.2919000000000009</v>
      </c>
      <c r="F355" s="2">
        <f t="shared" si="41"/>
        <v>5.3016500000000013</v>
      </c>
      <c r="G355" s="2">
        <f t="shared" si="35"/>
        <v>5.3110999999999988</v>
      </c>
      <c r="H355" s="2">
        <f t="shared" si="39"/>
        <v>5.3907150000000001</v>
      </c>
      <c r="I355" s="2">
        <f t="array" ref="I355">SUMPRODUCT(B339:B358, (ROW(B339:B358)-ROW(B339)+1)) / (20*21/2)</f>
        <v>5.2838666666666674</v>
      </c>
      <c r="J355" s="2">
        <f t="shared" si="42"/>
        <v>5.3007210933643414</v>
      </c>
      <c r="K355" s="2">
        <f t="shared" si="36"/>
        <v>5.2697352565019147</v>
      </c>
    </row>
    <row r="356" spans="1:11" ht="13.5" x14ac:dyDescent="0.25">
      <c r="A356" s="3">
        <f>TITRES_STAT!B359</f>
        <v>45436</v>
      </c>
      <c r="B356" s="5">
        <f>TITRES_STAT!D359</f>
        <v>5.2329999999999997</v>
      </c>
      <c r="C356" s="2">
        <f t="shared" si="37"/>
        <v>-8.9000000000000412E-2</v>
      </c>
      <c r="D356" s="2">
        <f t="shared" si="38"/>
        <v>5.3113999999999999</v>
      </c>
      <c r="E356" s="2">
        <f t="shared" si="40"/>
        <v>5.2839000000000009</v>
      </c>
      <c r="F356" s="2">
        <f t="shared" si="41"/>
        <v>5.3038500000000015</v>
      </c>
      <c r="G356" s="2">
        <f t="shared" si="35"/>
        <v>5.309499999999999</v>
      </c>
      <c r="H356" s="2">
        <f t="shared" si="39"/>
        <v>5.3880499999999998</v>
      </c>
      <c r="I356" s="2">
        <f t="array" ref="I356">SUMPRODUCT(B340:B359, (ROW(B340:B359)-ROW(B340)+1)) / (20*21/2)</f>
        <v>5.261109523809524</v>
      </c>
      <c r="J356" s="2">
        <f t="shared" si="42"/>
        <v>5.2942714654248801</v>
      </c>
      <c r="K356" s="2">
        <f t="shared" si="36"/>
        <v>5.2682946582077221</v>
      </c>
    </row>
    <row r="357" spans="1:11" ht="13.5" x14ac:dyDescent="0.25">
      <c r="A357" s="3">
        <f>TITRES_STAT!B360</f>
        <v>45439</v>
      </c>
      <c r="B357" s="5">
        <f>TITRES_STAT!D360</f>
        <v>5.2329999999999997</v>
      </c>
      <c r="C357" s="2">
        <f t="shared" si="37"/>
        <v>0</v>
      </c>
      <c r="D357" s="2">
        <f t="shared" si="38"/>
        <v>5.29</v>
      </c>
      <c r="E357" s="2">
        <f t="shared" si="40"/>
        <v>5.2759</v>
      </c>
      <c r="F357" s="2">
        <f t="shared" si="41"/>
        <v>5.2994000000000012</v>
      </c>
      <c r="G357" s="2">
        <f t="shared" si="35"/>
        <v>5.3082399999999996</v>
      </c>
      <c r="H357" s="2">
        <f t="shared" si="39"/>
        <v>5.3853849999999985</v>
      </c>
      <c r="I357" s="2">
        <f t="array" ref="I357">SUMPRODUCT(B341:B360, (ROW(B341:B360)-ROW(B341)+1)) / (20*21/2)</f>
        <v>5.2480952380952379</v>
      </c>
      <c r="J357" s="2">
        <f t="shared" si="42"/>
        <v>5.2884360877653673</v>
      </c>
      <c r="K357" s="2">
        <f t="shared" si="36"/>
        <v>5.2669105539642826</v>
      </c>
    </row>
    <row r="358" spans="1:11" ht="13.5" x14ac:dyDescent="0.25">
      <c r="A358" s="3">
        <f>TITRES_STAT!B361</f>
        <v>45440</v>
      </c>
      <c r="B358" s="5">
        <f>TITRES_STAT!D361</f>
        <v>5.2329999999999997</v>
      </c>
      <c r="C358" s="2">
        <f t="shared" si="37"/>
        <v>0</v>
      </c>
      <c r="D358" s="2">
        <f t="shared" si="38"/>
        <v>5.2686000000000002</v>
      </c>
      <c r="E358" s="2">
        <f t="shared" si="40"/>
        <v>5.279399999999999</v>
      </c>
      <c r="F358" s="2">
        <f t="shared" si="41"/>
        <v>5.2949500000000018</v>
      </c>
      <c r="G358" s="2">
        <f t="shared" si="35"/>
        <v>5.3057399999999992</v>
      </c>
      <c r="H358" s="2">
        <f t="shared" si="39"/>
        <v>5.3827199999999991</v>
      </c>
      <c r="I358" s="2">
        <f t="array" ref="I358">SUMPRODUCT(B342:B361, (ROW(B342:B361)-ROW(B342)+1)) / (20*21/2)</f>
        <v>5.22744761904762</v>
      </c>
      <c r="J358" s="2">
        <f t="shared" si="42"/>
        <v>5.2831564603591419</v>
      </c>
      <c r="K358" s="2">
        <f t="shared" si="36"/>
        <v>5.2655807283186249</v>
      </c>
    </row>
    <row r="359" spans="1:11" ht="13.5" x14ac:dyDescent="0.25">
      <c r="A359" s="3">
        <f>TITRES_STAT!B362</f>
        <v>45441</v>
      </c>
      <c r="B359" s="5">
        <f>TITRES_STAT!D362</f>
        <v>5.056</v>
      </c>
      <c r="C359" s="2">
        <f t="shared" si="37"/>
        <v>-0.1769999999999996</v>
      </c>
      <c r="D359" s="2">
        <f t="shared" si="38"/>
        <v>5.2154000000000007</v>
      </c>
      <c r="E359" s="2">
        <f t="shared" si="40"/>
        <v>5.2749999999999986</v>
      </c>
      <c r="F359" s="2">
        <f t="shared" si="41"/>
        <v>5.2816500000000008</v>
      </c>
      <c r="G359" s="2">
        <f t="shared" si="35"/>
        <v>5.2996999999999987</v>
      </c>
      <c r="H359" s="2">
        <f t="shared" si="39"/>
        <v>5.3791699999999993</v>
      </c>
      <c r="I359" s="2">
        <f t="array" ref="I359">SUMPRODUCT(B343:B362, (ROW(B343:B362)-ROW(B343)+1)) / (20*21/2)</f>
        <v>5.2081952380952385</v>
      </c>
      <c r="J359" s="2">
        <f t="shared" si="42"/>
        <v>5.26152251175351</v>
      </c>
      <c r="K359" s="2">
        <f t="shared" si="36"/>
        <v>5.2573618762276988</v>
      </c>
    </row>
    <row r="360" spans="1:11" ht="13.5" x14ac:dyDescent="0.25">
      <c r="A360" s="3">
        <f>TITRES_STAT!B363</f>
        <v>45442</v>
      </c>
      <c r="B360" s="5">
        <f>TITRES_STAT!D363</f>
        <v>5.1449999999999996</v>
      </c>
      <c r="C360" s="2">
        <f t="shared" si="37"/>
        <v>8.8999999999999524E-2</v>
      </c>
      <c r="D360" s="2">
        <f t="shared" si="38"/>
        <v>5.18</v>
      </c>
      <c r="E360" s="2">
        <f t="shared" si="40"/>
        <v>5.257299999999999</v>
      </c>
      <c r="F360" s="2">
        <f t="shared" si="41"/>
        <v>5.272800000000001</v>
      </c>
      <c r="G360" s="2">
        <f t="shared" si="35"/>
        <v>5.2954400000000001</v>
      </c>
      <c r="H360" s="2">
        <f t="shared" si="39"/>
        <v>5.3760649999999996</v>
      </c>
      <c r="I360" s="2">
        <f t="array" ref="I360">SUMPRODUCT(B344:B363, (ROW(B344:B363)-ROW(B344)+1)) / (20*21/2)</f>
        <v>5.181861904761905</v>
      </c>
      <c r="J360" s="2">
        <f t="shared" si="42"/>
        <v>5.250425129681747</v>
      </c>
      <c r="K360" s="2">
        <f t="shared" si="36"/>
        <v>5.2529555281403386</v>
      </c>
    </row>
    <row r="361" spans="1:11" ht="13.5" x14ac:dyDescent="0.25">
      <c r="A361" s="3">
        <f>TITRES_STAT!B364</f>
        <v>45443</v>
      </c>
      <c r="B361" s="5">
        <f>TITRES_STAT!D364</f>
        <v>5.056</v>
      </c>
      <c r="C361" s="2">
        <f t="shared" si="37"/>
        <v>-8.8999999999999524E-2</v>
      </c>
      <c r="D361" s="2">
        <f t="shared" si="38"/>
        <v>5.1445999999999996</v>
      </c>
      <c r="E361" s="2">
        <f t="shared" si="40"/>
        <v>5.2279999999999989</v>
      </c>
      <c r="F361" s="2">
        <f t="shared" si="41"/>
        <v>5.2581500000000005</v>
      </c>
      <c r="G361" s="2">
        <f t="shared" si="35"/>
        <v>5.2893999999999997</v>
      </c>
      <c r="H361" s="2">
        <f t="shared" si="39"/>
        <v>5.3725149999999999</v>
      </c>
      <c r="I361" s="2">
        <f t="array" ref="I361">SUMPRODUCT(B345:B364, (ROW(B345:B364)-ROW(B345)+1)) / (20*21/2)</f>
        <v>5.1547000000000001</v>
      </c>
      <c r="J361" s="2">
        <f t="shared" si="42"/>
        <v>5.231908450664438</v>
      </c>
      <c r="K361" s="2">
        <f t="shared" si="36"/>
        <v>5.2452317819387568</v>
      </c>
    </row>
    <row r="362" spans="1:11" ht="13.5" x14ac:dyDescent="0.25">
      <c r="A362" s="3">
        <f>TITRES_STAT!B365</f>
        <v>45446</v>
      </c>
      <c r="B362" s="5">
        <f>TITRES_STAT!D365</f>
        <v>5.056</v>
      </c>
      <c r="C362" s="2">
        <f t="shared" si="37"/>
        <v>0</v>
      </c>
      <c r="D362" s="2">
        <f t="shared" si="38"/>
        <v>5.1091999999999995</v>
      </c>
      <c r="E362" s="2">
        <f t="shared" si="40"/>
        <v>5.1995999999999993</v>
      </c>
      <c r="F362" s="2">
        <f t="shared" si="41"/>
        <v>5.2435000000000009</v>
      </c>
      <c r="G362" s="2">
        <f t="shared" si="35"/>
        <v>5.2833600000000001</v>
      </c>
      <c r="H362" s="2">
        <f t="shared" si="39"/>
        <v>5.3690100000000003</v>
      </c>
      <c r="I362" s="2">
        <f t="array" ref="I362">SUMPRODUCT(B346:B365, (ROW(B346:B365)-ROW(B346)+1)) / (20*21/2)</f>
        <v>5.1234047619047614</v>
      </c>
      <c r="J362" s="2">
        <f t="shared" si="42"/>
        <v>5.2151552648868726</v>
      </c>
      <c r="K362" s="2">
        <f t="shared" si="36"/>
        <v>5.2378109277450804</v>
      </c>
    </row>
    <row r="363" spans="1:11" ht="13.5" x14ac:dyDescent="0.25">
      <c r="A363" s="3">
        <f>TITRES_STAT!B366</f>
        <v>45447</v>
      </c>
      <c r="B363" s="5">
        <f>TITRES_STAT!D366</f>
        <v>4.9669999999999996</v>
      </c>
      <c r="C363" s="2">
        <f t="shared" si="37"/>
        <v>-8.9000000000000412E-2</v>
      </c>
      <c r="D363" s="2">
        <f t="shared" si="38"/>
        <v>5.056</v>
      </c>
      <c r="E363" s="2">
        <f t="shared" si="40"/>
        <v>5.1622999999999992</v>
      </c>
      <c r="F363" s="2">
        <f t="shared" si="41"/>
        <v>5.2262000000000004</v>
      </c>
      <c r="G363" s="2">
        <f t="shared" si="35"/>
        <v>5.2755399999999995</v>
      </c>
      <c r="H363" s="2">
        <f t="shared" si="39"/>
        <v>5.3650150000000005</v>
      </c>
      <c r="I363" s="2">
        <f t="array" ref="I363">SUMPRODUCT(B347:B366, (ROW(B347:B366)-ROW(B347)+1)) / (20*21/2)</f>
        <v>5.1110333333333333</v>
      </c>
      <c r="J363" s="2">
        <f t="shared" si="42"/>
        <v>5.191521430135742</v>
      </c>
      <c r="K363" s="2">
        <f t="shared" si="36"/>
        <v>5.2271908913629206</v>
      </c>
    </row>
    <row r="364" spans="1:11" ht="13.5" x14ac:dyDescent="0.25">
      <c r="A364" s="3">
        <f>TITRES_STAT!B367</f>
        <v>45448</v>
      </c>
      <c r="B364" s="5">
        <f>TITRES_STAT!D367</f>
        <v>4.9409999999999998</v>
      </c>
      <c r="C364" s="2">
        <f t="shared" si="37"/>
        <v>-2.5999999999999801E-2</v>
      </c>
      <c r="D364" s="2">
        <f t="shared" si="38"/>
        <v>5.0329999999999995</v>
      </c>
      <c r="E364" s="2">
        <f t="shared" si="40"/>
        <v>5.1242000000000001</v>
      </c>
      <c r="F364" s="2">
        <f t="shared" si="41"/>
        <v>5.2076000000000002</v>
      </c>
      <c r="G364" s="2">
        <f t="shared" si="35"/>
        <v>5.2680999999999996</v>
      </c>
      <c r="H364" s="2">
        <f t="shared" si="39"/>
        <v>5.3608900000000013</v>
      </c>
      <c r="I364" s="2">
        <f t="array" ref="I364">SUMPRODUCT(B348:B367, (ROW(B348:B367)-ROW(B348)+1)) / (20*21/2)</f>
        <v>5.108361904761904</v>
      </c>
      <c r="J364" s="2">
        <f t="shared" si="42"/>
        <v>5.1676622463132906</v>
      </c>
      <c r="K364" s="2">
        <f t="shared" si="36"/>
        <v>5.2159677191526104</v>
      </c>
    </row>
    <row r="365" spans="1:11" ht="13.5" x14ac:dyDescent="0.25">
      <c r="A365" s="3">
        <f>TITRES_STAT!B368</f>
        <v>45449</v>
      </c>
      <c r="B365" s="5">
        <f>TITRES_STAT!D368</f>
        <v>4.8789999999999996</v>
      </c>
      <c r="C365" s="2">
        <f t="shared" si="37"/>
        <v>-6.2000000000000277E-2</v>
      </c>
      <c r="D365" s="2">
        <f t="shared" si="38"/>
        <v>4.9798</v>
      </c>
      <c r="E365" s="2">
        <f t="shared" si="40"/>
        <v>5.0799000000000003</v>
      </c>
      <c r="F365" s="2">
        <f t="shared" si="41"/>
        <v>5.1859000000000002</v>
      </c>
      <c r="G365" s="2">
        <f t="shared" si="35"/>
        <v>5.2588800000000004</v>
      </c>
      <c r="H365" s="2">
        <f t="shared" si="39"/>
        <v>5.3564550000000022</v>
      </c>
      <c r="I365" s="2">
        <f t="array" ref="I365">SUMPRODUCT(B349:B368, (ROW(B349:B368)-ROW(B349)+1)) / (20*21/2)</f>
        <v>5.1064904761904764</v>
      </c>
      <c r="J365" s="2">
        <f t="shared" si="42"/>
        <v>5.1401706038072632</v>
      </c>
      <c r="K365" s="2">
        <f t="shared" si="36"/>
        <v>5.2027532987936844</v>
      </c>
    </row>
    <row r="366" spans="1:11" ht="13.5" x14ac:dyDescent="0.25">
      <c r="A366" s="3">
        <f>TITRES_STAT!B369</f>
        <v>45450</v>
      </c>
      <c r="B366" s="5">
        <f>TITRES_STAT!D369</f>
        <v>5.056</v>
      </c>
      <c r="C366" s="2">
        <f t="shared" si="37"/>
        <v>0.17700000000000049</v>
      </c>
      <c r="D366" s="2">
        <f t="shared" si="38"/>
        <v>4.9797999999999991</v>
      </c>
      <c r="E366" s="2">
        <f t="shared" si="40"/>
        <v>5.0621999999999998</v>
      </c>
      <c r="F366" s="2">
        <f t="shared" si="41"/>
        <v>5.1730499999999999</v>
      </c>
      <c r="G366" s="2">
        <f t="shared" si="35"/>
        <v>5.2532000000000005</v>
      </c>
      <c r="H366" s="2">
        <f t="shared" si="39"/>
        <v>5.3527300000000029</v>
      </c>
      <c r="I366" s="2">
        <f t="array" ref="I366">SUMPRODUCT(B350:B369, (ROW(B350:B369)-ROW(B350)+1)) / (20*21/2)</f>
        <v>5.1048714285714283</v>
      </c>
      <c r="J366" s="2">
        <f t="shared" si="42"/>
        <v>5.1321543558256195</v>
      </c>
      <c r="K366" s="2">
        <f t="shared" si="36"/>
        <v>5.1969982674684418</v>
      </c>
    </row>
    <row r="367" spans="1:11" ht="13.5" x14ac:dyDescent="0.25">
      <c r="A367" s="3">
        <f>TITRES_STAT!B370</f>
        <v>45453</v>
      </c>
      <c r="B367" s="5">
        <f>TITRES_STAT!D370</f>
        <v>5.1449999999999996</v>
      </c>
      <c r="C367" s="2">
        <f t="shared" si="37"/>
        <v>8.8999999999999524E-2</v>
      </c>
      <c r="D367" s="2">
        <f t="shared" si="38"/>
        <v>4.9976000000000003</v>
      </c>
      <c r="E367" s="2">
        <f t="shared" si="40"/>
        <v>5.053399999999999</v>
      </c>
      <c r="F367" s="2">
        <f t="shared" si="41"/>
        <v>5.16465</v>
      </c>
      <c r="G367" s="2">
        <f t="shared" si="35"/>
        <v>5.2493000000000007</v>
      </c>
      <c r="H367" s="2">
        <f t="shared" si="39"/>
        <v>5.3494500000000018</v>
      </c>
      <c r="I367" s="2">
        <f t="array" ref="I367">SUMPRODUCT(B351:B370, (ROW(B351:B370)-ROW(B351)+1)) / (20*21/2)</f>
        <v>5.1030380952380945</v>
      </c>
      <c r="J367" s="2">
        <f t="shared" si="42"/>
        <v>5.1333777505088944</v>
      </c>
      <c r="K367" s="2">
        <f t="shared" si="36"/>
        <v>5.1949591197245821</v>
      </c>
    </row>
    <row r="368" spans="1:11" ht="13.5" x14ac:dyDescent="0.25">
      <c r="A368" s="3">
        <f>TITRES_STAT!B371</f>
        <v>45454</v>
      </c>
      <c r="B368" s="5">
        <f>TITRES_STAT!D371</f>
        <v>5.1449999999999996</v>
      </c>
      <c r="C368" s="2">
        <f t="shared" si="37"/>
        <v>0</v>
      </c>
      <c r="D368" s="2">
        <f t="shared" si="38"/>
        <v>5.0331999999999999</v>
      </c>
      <c r="E368" s="2">
        <f t="shared" si="40"/>
        <v>5.0446</v>
      </c>
      <c r="F368" s="2">
        <f t="shared" si="41"/>
        <v>5.161999999999999</v>
      </c>
      <c r="G368" s="2">
        <f t="shared" si="35"/>
        <v>5.245400000000001</v>
      </c>
      <c r="H368" s="2">
        <f t="shared" si="39"/>
        <v>5.3461700000000016</v>
      </c>
      <c r="I368" s="2">
        <f t="array" ref="I368">SUMPRODUCT(B352:B371, (ROW(B352:B371)-ROW(B352)+1)) / (20*21/2)</f>
        <v>5.0893809523809521</v>
      </c>
      <c r="J368" s="2">
        <f t="shared" si="42"/>
        <v>5.1344846314128096</v>
      </c>
      <c r="K368" s="2">
        <f t="shared" si="36"/>
        <v>5.1929999385589127</v>
      </c>
    </row>
    <row r="369" spans="1:11" ht="13.5" x14ac:dyDescent="0.25">
      <c r="A369" s="3">
        <f>TITRES_STAT!B372</f>
        <v>45455</v>
      </c>
      <c r="B369" s="5">
        <f>TITRES_STAT!D372</f>
        <v>5.1449999999999996</v>
      </c>
      <c r="C369" s="2">
        <f t="shared" si="37"/>
        <v>0</v>
      </c>
      <c r="D369" s="2">
        <f t="shared" si="38"/>
        <v>5.0739999999999998</v>
      </c>
      <c r="E369" s="2">
        <f t="shared" si="40"/>
        <v>5.0534999999999979</v>
      </c>
      <c r="F369" s="2">
        <f t="shared" si="41"/>
        <v>5.1642499999999982</v>
      </c>
      <c r="G369" s="2">
        <f t="shared" si="35"/>
        <v>5.2416800000000014</v>
      </c>
      <c r="H369" s="2">
        <f t="shared" si="39"/>
        <v>5.3428899999999997</v>
      </c>
      <c r="I369" s="2">
        <f t="array" ref="I369">SUMPRODUCT(B353:B372, (ROW(B353:B372)-ROW(B353)+1)) / (20*21/2)</f>
        <v>5.0646619047619046</v>
      </c>
      <c r="J369" s="2">
        <f t="shared" si="42"/>
        <v>5.1354860950877805</v>
      </c>
      <c r="K369" s="2">
        <f t="shared" si="36"/>
        <v>5.1911175880271916</v>
      </c>
    </row>
    <row r="370" spans="1:11" ht="13.5" x14ac:dyDescent="0.25">
      <c r="A370" s="3">
        <f>TITRES_STAT!B373</f>
        <v>45456</v>
      </c>
      <c r="B370" s="5">
        <f>TITRES_STAT!D373</f>
        <v>5.1449999999999996</v>
      </c>
      <c r="C370" s="2">
        <f t="shared" si="37"/>
        <v>0</v>
      </c>
      <c r="D370" s="2">
        <f t="shared" si="38"/>
        <v>5.1272000000000002</v>
      </c>
      <c r="E370" s="2">
        <f t="shared" si="40"/>
        <v>5.0534999999999997</v>
      </c>
      <c r="F370" s="2">
        <f t="shared" si="41"/>
        <v>5.1553999999999984</v>
      </c>
      <c r="G370" s="2">
        <f t="shared" ref="G370:G433" si="43">AVERAGE(B321:B370)</f>
        <v>5.2381400000000022</v>
      </c>
      <c r="H370" s="2">
        <f t="shared" si="39"/>
        <v>5.3397000000000006</v>
      </c>
      <c r="I370" s="2">
        <f t="array" ref="I370">SUMPRODUCT(B354:B373, (ROW(B354:B373)-ROW(B354)+1)) / (20*21/2)</f>
        <v>5.0378523809523816</v>
      </c>
      <c r="J370" s="2">
        <f t="shared" si="42"/>
        <v>5.1363921812698967</v>
      </c>
      <c r="K370" s="2">
        <f t="shared" si="36"/>
        <v>5.1893090551633803</v>
      </c>
    </row>
    <row r="371" spans="1:11" ht="13.5" x14ac:dyDescent="0.25">
      <c r="A371" s="3">
        <f>TITRES_STAT!B374</f>
        <v>45457</v>
      </c>
      <c r="B371" s="5">
        <f>TITRES_STAT!D374</f>
        <v>5.0119999999999996</v>
      </c>
      <c r="C371" s="2">
        <f t="shared" si="37"/>
        <v>-0.13300000000000001</v>
      </c>
      <c r="D371" s="2">
        <f t="shared" si="38"/>
        <v>5.1183999999999994</v>
      </c>
      <c r="E371" s="2">
        <f t="shared" si="40"/>
        <v>5.0490999999999984</v>
      </c>
      <c r="F371" s="2">
        <f t="shared" si="41"/>
        <v>5.1385499999999986</v>
      </c>
      <c r="G371" s="2">
        <f t="shared" si="43"/>
        <v>5.2317600000000031</v>
      </c>
      <c r="H371" s="2">
        <f t="shared" si="39"/>
        <v>5.3358449999999991</v>
      </c>
      <c r="I371" s="2">
        <f t="array" ref="I371">SUMPRODUCT(B355:B374, (ROW(B355:B374)-ROW(B355)+1)) / (20*21/2)</f>
        <v>5.0118333333333327</v>
      </c>
      <c r="J371" s="2">
        <f t="shared" si="42"/>
        <v>5.1245453068632401</v>
      </c>
      <c r="K371" s="2">
        <f t="shared" ref="K371:K434" si="44">$K$4*B371+(1-$K$4)*K370</f>
        <v>5.1823557588824638</v>
      </c>
    </row>
    <row r="372" spans="1:11" ht="13.5" x14ac:dyDescent="0.25">
      <c r="A372" s="3">
        <f>TITRES_STAT!B375</f>
        <v>45461</v>
      </c>
      <c r="B372" s="5">
        <f>TITRES_STAT!D375</f>
        <v>4.8789999999999996</v>
      </c>
      <c r="C372" s="2">
        <f t="shared" si="37"/>
        <v>-0.13300000000000001</v>
      </c>
      <c r="D372" s="2">
        <f t="shared" si="38"/>
        <v>5.0651999999999999</v>
      </c>
      <c r="E372" s="2">
        <f t="shared" si="40"/>
        <v>5.0313999999999997</v>
      </c>
      <c r="F372" s="2">
        <f t="shared" si="41"/>
        <v>5.115499999999999</v>
      </c>
      <c r="G372" s="2">
        <f t="shared" si="43"/>
        <v>5.2227200000000025</v>
      </c>
      <c r="H372" s="2">
        <f t="shared" si="39"/>
        <v>5.3314099999999982</v>
      </c>
      <c r="I372" s="2">
        <f t="array" ref="I372">SUMPRODUCT(B356:B375, (ROW(B356:B375)-ROW(B356)+1)) / (20*21/2)</f>
        <v>5.0151714285714268</v>
      </c>
      <c r="J372" s="2">
        <f t="shared" si="42"/>
        <v>5.1011600395429317</v>
      </c>
      <c r="K372" s="2">
        <f t="shared" si="44"/>
        <v>5.1704594546125637</v>
      </c>
    </row>
    <row r="373" spans="1:11" ht="13.5" x14ac:dyDescent="0.25">
      <c r="A373" s="3">
        <f>TITRES_STAT!B376</f>
        <v>45462</v>
      </c>
      <c r="B373" s="5">
        <f>TITRES_STAT!D376</f>
        <v>4.8339999999999996</v>
      </c>
      <c r="C373" s="2">
        <f t="shared" si="37"/>
        <v>-4.4999999999999929E-2</v>
      </c>
      <c r="D373" s="2">
        <f t="shared" si="38"/>
        <v>5.0029999999999992</v>
      </c>
      <c r="E373" s="2">
        <f t="shared" si="40"/>
        <v>5.0180999999999996</v>
      </c>
      <c r="F373" s="2">
        <f t="shared" si="41"/>
        <v>5.0901999999999994</v>
      </c>
      <c r="G373" s="2">
        <f t="shared" si="43"/>
        <v>5.2122400000000013</v>
      </c>
      <c r="H373" s="2">
        <f t="shared" si="39"/>
        <v>5.3267499999999997</v>
      </c>
      <c r="I373" s="2">
        <f t="array" ref="I373">SUMPRODUCT(B357:B376, (ROW(B357:B376)-ROW(B357)+1)) / (20*21/2)</f>
        <v>5.0195666666666661</v>
      </c>
      <c r="J373" s="2">
        <f t="shared" si="42"/>
        <v>5.075716226253129</v>
      </c>
      <c r="K373" s="2">
        <f t="shared" si="44"/>
        <v>5.1572649661963847</v>
      </c>
    </row>
    <row r="374" spans="1:11" ht="13.5" x14ac:dyDescent="0.25">
      <c r="A374" s="3">
        <f>TITRES_STAT!B377</f>
        <v>45463</v>
      </c>
      <c r="B374" s="5">
        <f>TITRES_STAT!D377</f>
        <v>4.8170000000000002</v>
      </c>
      <c r="C374" s="2">
        <f t="shared" si="37"/>
        <v>-1.699999999999946E-2</v>
      </c>
      <c r="D374" s="2">
        <f t="shared" si="38"/>
        <v>4.9373999999999993</v>
      </c>
      <c r="E374" s="2">
        <f t="shared" si="40"/>
        <v>5.0056999999999992</v>
      </c>
      <c r="F374" s="2">
        <f t="shared" si="41"/>
        <v>5.0649499999999987</v>
      </c>
      <c r="G374" s="2">
        <f t="shared" si="43"/>
        <v>5.2014200000000024</v>
      </c>
      <c r="H374" s="2">
        <f t="shared" si="39"/>
        <v>5.3220499999999991</v>
      </c>
      <c r="I374" s="2">
        <f t="array" ref="I374">SUMPRODUCT(B358:B377, (ROW(B358:B377)-ROW(B358)+1)) / (20*21/2)</f>
        <v>5.0186904761904758</v>
      </c>
      <c r="J374" s="2">
        <f t="shared" si="42"/>
        <v>5.0510765856575928</v>
      </c>
      <c r="K374" s="2">
        <f t="shared" si="44"/>
        <v>5.143921242031821</v>
      </c>
    </row>
    <row r="375" spans="1:11" ht="13.5" x14ac:dyDescent="0.25">
      <c r="A375" s="3">
        <f>TITRES_STAT!B378</f>
        <v>45464</v>
      </c>
      <c r="B375" s="5">
        <f>TITRES_STAT!D378</f>
        <v>5.0999999999999996</v>
      </c>
      <c r="C375" s="2">
        <f t="shared" si="37"/>
        <v>0.28299999999999947</v>
      </c>
      <c r="D375" s="2">
        <f t="shared" si="38"/>
        <v>4.928399999999999</v>
      </c>
      <c r="E375" s="2">
        <f t="shared" si="40"/>
        <v>5.0278000000000009</v>
      </c>
      <c r="F375" s="2">
        <f t="shared" si="41"/>
        <v>5.0538499999999997</v>
      </c>
      <c r="G375" s="2">
        <f t="shared" si="43"/>
        <v>5.1969800000000035</v>
      </c>
      <c r="H375" s="2">
        <f t="shared" si="39"/>
        <v>5.318765</v>
      </c>
      <c r="I375" s="2">
        <f t="array" ref="I375">SUMPRODUCT(B359:B378, (ROW(B359:B378)-ROW(B359)+1)) / (20*21/2)</f>
        <v>5.0043619047619048</v>
      </c>
      <c r="J375" s="2">
        <f t="shared" si="42"/>
        <v>5.0557359584521082</v>
      </c>
      <c r="K375" s="2">
        <f t="shared" si="44"/>
        <v>5.1421988403835144</v>
      </c>
    </row>
    <row r="376" spans="1:11" ht="13.5" x14ac:dyDescent="0.25">
      <c r="A376" s="3">
        <f>TITRES_STAT!B379</f>
        <v>45467</v>
      </c>
      <c r="B376" s="5">
        <f>TITRES_STAT!D379</f>
        <v>5.0999999999999996</v>
      </c>
      <c r="C376" s="2">
        <f t="shared" si="37"/>
        <v>0</v>
      </c>
      <c r="D376" s="2">
        <f t="shared" si="38"/>
        <v>4.9459999999999997</v>
      </c>
      <c r="E376" s="2">
        <f t="shared" si="40"/>
        <v>5.0321999999999996</v>
      </c>
      <c r="F376" s="2">
        <f t="shared" si="41"/>
        <v>5.0471999999999992</v>
      </c>
      <c r="G376" s="2">
        <f t="shared" si="43"/>
        <v>5.1925400000000028</v>
      </c>
      <c r="H376" s="2">
        <f t="shared" si="39"/>
        <v>5.3154799999999991</v>
      </c>
      <c r="I376" s="2">
        <f t="array" ref="I376">SUMPRODUCT(B360:B379, (ROW(B360:B379)-ROW(B360)+1)) / (20*21/2)</f>
        <v>4.9824428571428578</v>
      </c>
      <c r="J376" s="2">
        <f t="shared" si="42"/>
        <v>5.0599515814566693</v>
      </c>
      <c r="K376" s="2">
        <f t="shared" si="44"/>
        <v>5.1405439838978868</v>
      </c>
    </row>
    <row r="377" spans="1:11" ht="13.5" x14ac:dyDescent="0.25">
      <c r="A377" s="3">
        <f>TITRES_STAT!B380</f>
        <v>45468</v>
      </c>
      <c r="B377" s="5">
        <f>TITRES_STAT!D380</f>
        <v>5.0380000000000003</v>
      </c>
      <c r="C377" s="2">
        <f t="shared" si="37"/>
        <v>-6.1999999999999389E-2</v>
      </c>
      <c r="D377" s="2">
        <f t="shared" si="38"/>
        <v>4.9778000000000002</v>
      </c>
      <c r="E377" s="2">
        <f t="shared" si="40"/>
        <v>5.0215000000000005</v>
      </c>
      <c r="F377" s="2">
        <f t="shared" si="41"/>
        <v>5.0374499999999989</v>
      </c>
      <c r="G377" s="2">
        <f t="shared" si="43"/>
        <v>5.1870400000000032</v>
      </c>
      <c r="H377" s="2">
        <f t="shared" si="39"/>
        <v>5.3118849999999984</v>
      </c>
      <c r="I377" s="2">
        <f t="array" ref="I377">SUMPRODUCT(B361:B380, (ROW(B361:B380)-ROW(B361)+1)) / (20*21/2)</f>
        <v>4.9617904761904761</v>
      </c>
      <c r="J377" s="2">
        <f t="shared" si="42"/>
        <v>5.0578609546512725</v>
      </c>
      <c r="K377" s="2">
        <f t="shared" si="44"/>
        <v>5.1365226511960094</v>
      </c>
    </row>
    <row r="378" spans="1:11" ht="13.5" x14ac:dyDescent="0.25">
      <c r="A378" s="3">
        <f>TITRES_STAT!B381</f>
        <v>45469</v>
      </c>
      <c r="B378" s="5">
        <f>TITRES_STAT!D381</f>
        <v>4.8869999999999996</v>
      </c>
      <c r="C378" s="2">
        <f t="shared" si="37"/>
        <v>-0.15100000000000069</v>
      </c>
      <c r="D378" s="2">
        <f t="shared" si="38"/>
        <v>4.9884000000000004</v>
      </c>
      <c r="E378" s="2">
        <f t="shared" si="40"/>
        <v>4.9956999999999994</v>
      </c>
      <c r="F378" s="2">
        <f t="shared" si="41"/>
        <v>5.0201499999999992</v>
      </c>
      <c r="G378" s="2">
        <f t="shared" si="43"/>
        <v>5.1785200000000025</v>
      </c>
      <c r="H378" s="2">
        <f t="shared" si="39"/>
        <v>5.3075349999999979</v>
      </c>
      <c r="I378" s="2">
        <f t="array" ref="I378">SUMPRODUCT(B362:B381, (ROW(B362:B381)-ROW(B362)+1)) / (20*21/2)</f>
        <v>4.9428285714285707</v>
      </c>
      <c r="J378" s="2">
        <f t="shared" si="42"/>
        <v>5.0415884827797228</v>
      </c>
      <c r="K378" s="2">
        <f t="shared" si="44"/>
        <v>5.1267374491883233</v>
      </c>
    </row>
    <row r="379" spans="1:11" ht="13.5" x14ac:dyDescent="0.25">
      <c r="A379" s="3">
        <f>TITRES_STAT!B382</f>
        <v>45470</v>
      </c>
      <c r="B379" s="5">
        <f>TITRES_STAT!D382</f>
        <v>4.79</v>
      </c>
      <c r="C379" s="2">
        <f t="shared" si="37"/>
        <v>-9.6999999999999531E-2</v>
      </c>
      <c r="D379" s="2">
        <f t="shared" si="38"/>
        <v>4.9829999999999997</v>
      </c>
      <c r="E379" s="2">
        <f t="shared" si="40"/>
        <v>4.9601999999999995</v>
      </c>
      <c r="F379" s="2">
        <f t="shared" si="41"/>
        <v>5.0068499999999982</v>
      </c>
      <c r="G379" s="2">
        <f t="shared" si="43"/>
        <v>5.1680600000000023</v>
      </c>
      <c r="H379" s="2">
        <f t="shared" si="39"/>
        <v>5.302699999999998</v>
      </c>
      <c r="I379" s="2">
        <f t="array" ref="I379">SUMPRODUCT(B363:B382, (ROW(B363:B382)-ROW(B363)+1)) / (20*21/2)</f>
        <v>4.9496095238095243</v>
      </c>
      <c r="J379" s="2">
        <f t="shared" si="42"/>
        <v>5.0176276748959392</v>
      </c>
      <c r="K379" s="2">
        <f t="shared" si="44"/>
        <v>5.1135320590240756</v>
      </c>
    </row>
    <row r="380" spans="1:11" ht="13.5" x14ac:dyDescent="0.25">
      <c r="A380" s="3">
        <f>TITRES_STAT!B383</f>
        <v>45471</v>
      </c>
      <c r="B380" s="5">
        <f>TITRES_STAT!D383</f>
        <v>4.79</v>
      </c>
      <c r="C380" s="2">
        <f t="shared" si="37"/>
        <v>0</v>
      </c>
      <c r="D380" s="2">
        <f t="shared" si="38"/>
        <v>4.9209999999999994</v>
      </c>
      <c r="E380" s="2">
        <f t="shared" si="40"/>
        <v>4.9246999999999996</v>
      </c>
      <c r="F380" s="2">
        <f t="shared" si="41"/>
        <v>4.9890999999999996</v>
      </c>
      <c r="G380" s="2">
        <f t="shared" si="43"/>
        <v>5.1576000000000031</v>
      </c>
      <c r="H380" s="2">
        <f t="shared" si="39"/>
        <v>5.2978649999999972</v>
      </c>
      <c r="I380" s="2">
        <f t="array" ref="I380">SUMPRODUCT(B364:B383, (ROW(B364:B383)-ROW(B364)+1)) / (20*21/2)</f>
        <v>4.9657666666666671</v>
      </c>
      <c r="J380" s="2">
        <f t="shared" si="42"/>
        <v>4.9959488487153729</v>
      </c>
      <c r="K380" s="2">
        <f t="shared" si="44"/>
        <v>5.1008445272976415</v>
      </c>
    </row>
    <row r="381" spans="1:11" ht="13.5" x14ac:dyDescent="0.25">
      <c r="A381" s="3">
        <f>TITRES_STAT!B384</f>
        <v>45474</v>
      </c>
      <c r="B381" s="5">
        <f>TITRES_STAT!D384</f>
        <v>4.79</v>
      </c>
      <c r="C381" s="2">
        <f t="shared" si="37"/>
        <v>0</v>
      </c>
      <c r="D381" s="2">
        <f t="shared" si="38"/>
        <v>4.859</v>
      </c>
      <c r="E381" s="2">
        <f t="shared" si="40"/>
        <v>4.902499999999999</v>
      </c>
      <c r="F381" s="2">
        <f t="shared" si="41"/>
        <v>4.9757999999999996</v>
      </c>
      <c r="G381" s="2">
        <f t="shared" si="43"/>
        <v>5.1487400000000028</v>
      </c>
      <c r="H381" s="2">
        <f t="shared" si="39"/>
        <v>5.2930749999999964</v>
      </c>
      <c r="I381" s="2">
        <f t="array" ref="I381">SUMPRODUCT(B365:B384, (ROW(B365:B384)-ROW(B365)+1)) / (20*21/2)</f>
        <v>4.9918380952380943</v>
      </c>
      <c r="J381" s="2">
        <f t="shared" si="42"/>
        <v>4.9763346726472415</v>
      </c>
      <c r="K381" s="2">
        <f t="shared" si="44"/>
        <v>5.0886545458349888</v>
      </c>
    </row>
    <row r="382" spans="1:11" ht="13.5" x14ac:dyDescent="0.25">
      <c r="A382" s="3">
        <f>TITRES_STAT!B385</f>
        <v>45475</v>
      </c>
      <c r="B382" s="5">
        <f>TITRES_STAT!D385</f>
        <v>5.0469999999999997</v>
      </c>
      <c r="C382" s="2">
        <f t="shared" si="37"/>
        <v>0.25699999999999967</v>
      </c>
      <c r="D382" s="2">
        <f t="shared" si="38"/>
        <v>4.8607999999999993</v>
      </c>
      <c r="E382" s="2">
        <f t="shared" si="40"/>
        <v>4.9192999999999998</v>
      </c>
      <c r="F382" s="2">
        <f t="shared" si="41"/>
        <v>4.9753500000000006</v>
      </c>
      <c r="G382" s="2">
        <f t="shared" si="43"/>
        <v>5.1450200000000033</v>
      </c>
      <c r="H382" s="2">
        <f t="shared" si="39"/>
        <v>5.2896149999999977</v>
      </c>
      <c r="I382" s="2">
        <f t="array" ref="I382">SUMPRODUCT(B366:B385, (ROW(B366:B385)-ROW(B366)+1)) / (20*21/2)</f>
        <v>5.0298285714285722</v>
      </c>
      <c r="J382" s="2">
        <f t="shared" si="42"/>
        <v>4.983064703823695</v>
      </c>
      <c r="K382" s="2">
        <f t="shared" si="44"/>
        <v>5.0870210342336168</v>
      </c>
    </row>
    <row r="383" spans="1:11" ht="13.5" x14ac:dyDescent="0.25">
      <c r="A383" s="3">
        <f>TITRES_STAT!B386</f>
        <v>45476</v>
      </c>
      <c r="B383" s="5">
        <f>TITRES_STAT!D386</f>
        <v>5.1449999999999996</v>
      </c>
      <c r="C383" s="2">
        <f t="shared" si="37"/>
        <v>9.7999999999999865E-2</v>
      </c>
      <c r="D383" s="2">
        <f t="shared" si="38"/>
        <v>4.9123999999999999</v>
      </c>
      <c r="E383" s="2">
        <f t="shared" si="40"/>
        <v>4.9503999999999992</v>
      </c>
      <c r="F383" s="2">
        <f t="shared" si="41"/>
        <v>4.9842500000000003</v>
      </c>
      <c r="G383" s="2">
        <f t="shared" si="43"/>
        <v>5.1432600000000024</v>
      </c>
      <c r="H383" s="2">
        <f t="shared" si="39"/>
        <v>5.2866449999999974</v>
      </c>
      <c r="I383" s="2">
        <f t="array" ref="I383">SUMPRODUCT(B367:B386, (ROW(B367:B386)-ROW(B367)+1)) / (20*21/2)</f>
        <v>5.0698190476190481</v>
      </c>
      <c r="J383" s="2">
        <f t="shared" si="42"/>
        <v>4.9984871129833435</v>
      </c>
      <c r="K383" s="2">
        <f t="shared" si="44"/>
        <v>5.0892947191656326</v>
      </c>
    </row>
    <row r="384" spans="1:11" ht="13.5" x14ac:dyDescent="0.25">
      <c r="A384" s="3">
        <f>TITRES_STAT!B387</f>
        <v>45477</v>
      </c>
      <c r="B384" s="5">
        <f>TITRES_STAT!D387</f>
        <v>5.258</v>
      </c>
      <c r="C384" s="2">
        <f t="shared" si="37"/>
        <v>0.11300000000000043</v>
      </c>
      <c r="D384" s="2">
        <f t="shared" si="38"/>
        <v>5.0059999999999993</v>
      </c>
      <c r="E384" s="2">
        <f t="shared" si="40"/>
        <v>4.9945000000000004</v>
      </c>
      <c r="F384" s="2">
        <f t="shared" si="41"/>
        <v>5.0001000000000007</v>
      </c>
      <c r="G384" s="2">
        <f t="shared" si="43"/>
        <v>5.1437600000000021</v>
      </c>
      <c r="H384" s="2">
        <f t="shared" si="39"/>
        <v>5.284374999999998</v>
      </c>
      <c r="I384" s="2">
        <f t="array" ref="I384">SUMPRODUCT(B368:B387, (ROW(B368:B387)-ROW(B368)+1)) / (20*21/2)</f>
        <v>5.1079523809523817</v>
      </c>
      <c r="J384" s="2">
        <f t="shared" si="42"/>
        <v>5.0232026260325497</v>
      </c>
      <c r="K384" s="2">
        <f t="shared" si="44"/>
        <v>5.0959106125316866</v>
      </c>
    </row>
    <row r="385" spans="1:11" ht="13.5" x14ac:dyDescent="0.25">
      <c r="A385" s="3">
        <f>TITRES_STAT!B388</f>
        <v>45478</v>
      </c>
      <c r="B385" s="5">
        <f>TITRES_STAT!D388</f>
        <v>5.399</v>
      </c>
      <c r="C385" s="2">
        <f t="shared" si="37"/>
        <v>0.14100000000000001</v>
      </c>
      <c r="D385" s="2">
        <f t="shared" si="38"/>
        <v>5.1277999999999997</v>
      </c>
      <c r="E385" s="2">
        <f t="shared" si="40"/>
        <v>5.0243999999999991</v>
      </c>
      <c r="F385" s="2">
        <f t="shared" si="41"/>
        <v>5.0261000000000013</v>
      </c>
      <c r="G385" s="2">
        <f t="shared" si="43"/>
        <v>5.1470800000000017</v>
      </c>
      <c r="H385" s="2">
        <f t="shared" si="39"/>
        <v>5.2827649999999968</v>
      </c>
      <c r="I385" s="2">
        <f t="array" ref="I385">SUMPRODUCT(B369:B388, (ROW(B369:B388)-ROW(B369)+1)) / (20*21/2)</f>
        <v>5.1625571428571426</v>
      </c>
      <c r="J385" s="2">
        <f t="shared" si="42"/>
        <v>5.0589928521246881</v>
      </c>
      <c r="K385" s="2">
        <f t="shared" si="44"/>
        <v>5.1077964708637777</v>
      </c>
    </row>
    <row r="386" spans="1:11" ht="13.5" x14ac:dyDescent="0.25">
      <c r="A386" s="3">
        <f>TITRES_STAT!B389</f>
        <v>45481</v>
      </c>
      <c r="B386" s="5">
        <f>TITRES_STAT!D389</f>
        <v>5.4459999999999997</v>
      </c>
      <c r="C386" s="2">
        <f t="shared" si="37"/>
        <v>4.6999999999999709E-2</v>
      </c>
      <c r="D386" s="2">
        <f t="shared" si="38"/>
        <v>5.2590000000000003</v>
      </c>
      <c r="E386" s="2">
        <f t="shared" si="40"/>
        <v>5.0589999999999993</v>
      </c>
      <c r="F386" s="2">
        <f t="shared" si="41"/>
        <v>5.0456000000000003</v>
      </c>
      <c r="G386" s="2">
        <f t="shared" si="43"/>
        <v>5.1522200000000025</v>
      </c>
      <c r="H386" s="2">
        <f t="shared" si="39"/>
        <v>5.2813899999999965</v>
      </c>
      <c r="I386" s="2">
        <f t="array" ref="I386">SUMPRODUCT(B370:B389, (ROW(B370:B389)-ROW(B370)+1)) / (20*21/2)</f>
        <v>5.2317857142857154</v>
      </c>
      <c r="J386" s="2">
        <f t="shared" si="42"/>
        <v>5.0958506757318602</v>
      </c>
      <c r="K386" s="2">
        <f t="shared" si="44"/>
        <v>5.1210593543593159</v>
      </c>
    </row>
    <row r="387" spans="1:11" ht="13.5" x14ac:dyDescent="0.25">
      <c r="A387" s="3">
        <f>TITRES_STAT!B390</f>
        <v>45482</v>
      </c>
      <c r="B387" s="5">
        <f>TITRES_STAT!D390</f>
        <v>5.4459999999999997</v>
      </c>
      <c r="C387" s="2">
        <f t="shared" si="37"/>
        <v>0</v>
      </c>
      <c r="D387" s="2">
        <f t="shared" si="38"/>
        <v>5.3387999999999991</v>
      </c>
      <c r="E387" s="2">
        <f t="shared" si="40"/>
        <v>5.0998000000000001</v>
      </c>
      <c r="F387" s="2">
        <f t="shared" si="41"/>
        <v>5.0606499999999999</v>
      </c>
      <c r="G387" s="2">
        <f t="shared" si="43"/>
        <v>5.1547000000000018</v>
      </c>
      <c r="H387" s="2">
        <f t="shared" si="39"/>
        <v>5.279924999999996</v>
      </c>
      <c r="I387" s="2">
        <f t="array" ref="I387">SUMPRODUCT(B371:B390, (ROW(B371:B390)-ROW(B371)+1)) / (20*21/2)</f>
        <v>5.3041238095238095</v>
      </c>
      <c r="J387" s="2">
        <f t="shared" si="42"/>
        <v>5.1291982304240635</v>
      </c>
      <c r="K387" s="2">
        <f t="shared" si="44"/>
        <v>5.1338021247765981</v>
      </c>
    </row>
    <row r="388" spans="1:11" ht="13.5" x14ac:dyDescent="0.25">
      <c r="A388" s="3">
        <f>TITRES_STAT!B391</f>
        <v>45483</v>
      </c>
      <c r="B388" s="5">
        <f>TITRES_STAT!D391</f>
        <v>5.6340000000000003</v>
      </c>
      <c r="C388" s="2">
        <f t="shared" ref="C388:C451" si="45">B388-B387</f>
        <v>0.18800000000000061</v>
      </c>
      <c r="D388" s="2">
        <f t="shared" si="38"/>
        <v>5.4366000000000003</v>
      </c>
      <c r="E388" s="2">
        <f t="shared" si="40"/>
        <v>5.1745000000000001</v>
      </c>
      <c r="F388" s="2">
        <f t="shared" si="41"/>
        <v>5.0850999999999988</v>
      </c>
      <c r="G388" s="2">
        <f t="shared" si="43"/>
        <v>5.1609400000000019</v>
      </c>
      <c r="H388" s="2">
        <f t="shared" si="39"/>
        <v>5.2793999999999972</v>
      </c>
      <c r="I388" s="2">
        <f t="array" ref="I388">SUMPRODUCT(B372:B391, (ROW(B372:B391)-ROW(B372)+1)) / (20*21/2)</f>
        <v>5.3765904761904757</v>
      </c>
      <c r="J388" s="2">
        <f t="shared" si="42"/>
        <v>5.1772745894312955</v>
      </c>
      <c r="K388" s="2">
        <f t="shared" si="44"/>
        <v>5.1534177277265352</v>
      </c>
    </row>
    <row r="389" spans="1:11" ht="13.5" x14ac:dyDescent="0.25">
      <c r="A389" s="3">
        <f>TITRES_STAT!B392</f>
        <v>45484</v>
      </c>
      <c r="B389" s="5">
        <f>TITRES_STAT!D392</f>
        <v>5.8120000000000003</v>
      </c>
      <c r="C389" s="2">
        <f t="shared" si="45"/>
        <v>0.17799999999999994</v>
      </c>
      <c r="D389" s="2">
        <f t="shared" si="38"/>
        <v>5.5473999999999997</v>
      </c>
      <c r="E389" s="2">
        <f t="shared" si="40"/>
        <v>5.2766999999999999</v>
      </c>
      <c r="F389" s="2">
        <f t="shared" si="41"/>
        <v>5.1184499999999993</v>
      </c>
      <c r="G389" s="2">
        <f t="shared" si="43"/>
        <v>5.1707400000000003</v>
      </c>
      <c r="H389" s="2">
        <f t="shared" si="39"/>
        <v>5.279809999999995</v>
      </c>
      <c r="I389" s="2">
        <f t="array" ref="I389">SUMPRODUCT(B373:B392, (ROW(B373:B392)-ROW(B373)+1)) / (20*21/2)</f>
        <v>5.4492285714285709</v>
      </c>
      <c r="J389" s="2">
        <f t="shared" si="42"/>
        <v>5.2377246285330763</v>
      </c>
      <c r="K389" s="2">
        <f t="shared" si="44"/>
        <v>5.1792444835019653</v>
      </c>
    </row>
    <row r="390" spans="1:11" ht="13.5" x14ac:dyDescent="0.25">
      <c r="A390" s="3">
        <f>TITRES_STAT!B393</f>
        <v>45485</v>
      </c>
      <c r="B390" s="5">
        <f>TITRES_STAT!D393</f>
        <v>5.8780000000000001</v>
      </c>
      <c r="C390" s="2">
        <f t="shared" si="45"/>
        <v>6.5999999999999837E-2</v>
      </c>
      <c r="D390" s="2">
        <f t="shared" ref="D390:D453" si="46">AVERAGE(B386:B390)</f>
        <v>5.6432000000000002</v>
      </c>
      <c r="E390" s="2">
        <f t="shared" si="40"/>
        <v>5.3854999999999995</v>
      </c>
      <c r="F390" s="2">
        <f t="shared" si="41"/>
        <v>5.1550999999999991</v>
      </c>
      <c r="G390" s="2">
        <f t="shared" si="43"/>
        <v>5.1818600000000012</v>
      </c>
      <c r="H390" s="2">
        <f t="shared" si="39"/>
        <v>5.2805499999999963</v>
      </c>
      <c r="I390" s="2">
        <f t="array" ref="I390">SUMPRODUCT(B374:B393, (ROW(B374:B393)-ROW(B374)+1)) / (20*21/2)</f>
        <v>5.5148952380952387</v>
      </c>
      <c r="J390" s="2">
        <f t="shared" si="42"/>
        <v>5.2987032353394508</v>
      </c>
      <c r="K390" s="2">
        <f t="shared" si="44"/>
        <v>5.2066466606195361</v>
      </c>
    </row>
    <row r="391" spans="1:11" ht="13.5" x14ac:dyDescent="0.25">
      <c r="A391" s="3">
        <f>TITRES_STAT!B394</f>
        <v>45488</v>
      </c>
      <c r="B391" s="5">
        <f>TITRES_STAT!D394</f>
        <v>5.9160000000000004</v>
      </c>
      <c r="C391" s="2">
        <f t="shared" si="45"/>
        <v>3.8000000000000256E-2</v>
      </c>
      <c r="D391" s="2">
        <f t="shared" si="46"/>
        <v>5.7371999999999996</v>
      </c>
      <c r="E391" s="2">
        <f t="shared" si="40"/>
        <v>5.4980999999999991</v>
      </c>
      <c r="F391" s="2">
        <f t="shared" si="41"/>
        <v>5.2002999999999986</v>
      </c>
      <c r="G391" s="2">
        <f t="shared" si="43"/>
        <v>5.1932000000000009</v>
      </c>
      <c r="H391" s="2">
        <f t="shared" si="39"/>
        <v>5.2815249999999967</v>
      </c>
      <c r="I391" s="2">
        <f t="array" ref="I391">SUMPRODUCT(B375:B394, (ROW(B375:B394)-ROW(B375)+1)) / (20*21/2)</f>
        <v>5.5698476190476187</v>
      </c>
      <c r="J391" s="2">
        <f t="shared" si="42"/>
        <v>5.3574934034023602</v>
      </c>
      <c r="K391" s="2">
        <f t="shared" si="44"/>
        <v>5.2344644386344568</v>
      </c>
    </row>
    <row r="392" spans="1:11" ht="13.5" x14ac:dyDescent="0.25">
      <c r="A392" s="3">
        <f>TITRES_STAT!B395</f>
        <v>45489</v>
      </c>
      <c r="B392" s="5">
        <f>TITRES_STAT!D395</f>
        <v>5.9630000000000001</v>
      </c>
      <c r="C392" s="2">
        <f t="shared" si="45"/>
        <v>4.6999999999999709E-2</v>
      </c>
      <c r="D392" s="2">
        <f t="shared" si="46"/>
        <v>5.8406000000000002</v>
      </c>
      <c r="E392" s="2">
        <f t="shared" si="40"/>
        <v>5.5896999999999997</v>
      </c>
      <c r="F392" s="2">
        <f t="shared" si="41"/>
        <v>5.2544999999999984</v>
      </c>
      <c r="G392" s="2">
        <f t="shared" si="43"/>
        <v>5.2054800000000014</v>
      </c>
      <c r="H392" s="2">
        <f t="shared" si="39"/>
        <v>5.2828199999999974</v>
      </c>
      <c r="I392" s="2">
        <f t="array" ref="I392">SUMPRODUCT(B376:B395, (ROW(B376:B395)-ROW(B376)+1)) / (20*21/2)</f>
        <v>5.6197047619047611</v>
      </c>
      <c r="J392" s="2">
        <f t="shared" si="42"/>
        <v>5.4151606983164209</v>
      </c>
      <c r="K392" s="2">
        <f t="shared" si="44"/>
        <v>5.2630344606487922</v>
      </c>
    </row>
    <row r="393" spans="1:11" ht="13.5" x14ac:dyDescent="0.25">
      <c r="A393" s="3">
        <f>TITRES_STAT!B396</f>
        <v>45490</v>
      </c>
      <c r="B393" s="5">
        <f>TITRES_STAT!D396</f>
        <v>5.944</v>
      </c>
      <c r="C393" s="2">
        <f t="shared" si="45"/>
        <v>-1.9000000000000128E-2</v>
      </c>
      <c r="D393" s="2">
        <f t="shared" si="46"/>
        <v>5.9026000000000005</v>
      </c>
      <c r="E393" s="2">
        <f t="shared" si="40"/>
        <v>5.6696000000000009</v>
      </c>
      <c r="F393" s="2">
        <f t="shared" si="41"/>
        <v>5.31</v>
      </c>
      <c r="G393" s="2">
        <f t="shared" si="43"/>
        <v>5.2181000000000006</v>
      </c>
      <c r="H393" s="2">
        <f t="shared" si="39"/>
        <v>5.283979999999997</v>
      </c>
      <c r="I393" s="2">
        <f t="array" ref="I393">SUMPRODUCT(B377:B396, (ROW(B377:B396)-ROW(B377)+1)) / (20*21/2)</f>
        <v>5.6631476190476198</v>
      </c>
      <c r="J393" s="2">
        <f t="shared" si="42"/>
        <v>5.4655263460958095</v>
      </c>
      <c r="K393" s="2">
        <f t="shared" si="44"/>
        <v>5.2897389916037412</v>
      </c>
    </row>
    <row r="394" spans="1:11" ht="13.5" x14ac:dyDescent="0.25">
      <c r="A394" s="3">
        <f>TITRES_STAT!B397</f>
        <v>45491</v>
      </c>
      <c r="B394" s="5">
        <f>TITRES_STAT!D397</f>
        <v>5.8869999999999996</v>
      </c>
      <c r="C394" s="2">
        <f t="shared" si="45"/>
        <v>-5.7000000000000384E-2</v>
      </c>
      <c r="D394" s="2">
        <f t="shared" si="46"/>
        <v>5.9176000000000002</v>
      </c>
      <c r="E394" s="2">
        <f t="shared" si="40"/>
        <v>5.7324999999999999</v>
      </c>
      <c r="F394" s="2">
        <f t="shared" si="41"/>
        <v>5.3635000000000002</v>
      </c>
      <c r="G394" s="2">
        <f t="shared" si="43"/>
        <v>5.2295799999999995</v>
      </c>
      <c r="H394" s="2">
        <f t="shared" ref="H394:H457" si="47">AVERAGE(B195:B394)</f>
        <v>5.284894999999997</v>
      </c>
      <c r="I394" s="2">
        <f t="array" ref="I394">SUMPRODUCT(B378:B397, (ROW(B378:B397)-ROW(B378)+1)) / (20*21/2)</f>
        <v>5.7029761904761909</v>
      </c>
      <c r="J394" s="2">
        <f t="shared" si="42"/>
        <v>5.5056666940866847</v>
      </c>
      <c r="K394" s="2">
        <f t="shared" si="44"/>
        <v>5.3131609919330067</v>
      </c>
    </row>
    <row r="395" spans="1:11" ht="13.5" x14ac:dyDescent="0.25">
      <c r="A395" s="3">
        <f>TITRES_STAT!B398</f>
        <v>45492</v>
      </c>
      <c r="B395" s="5">
        <f>TITRES_STAT!D398</f>
        <v>5.8869999999999996</v>
      </c>
      <c r="C395" s="2">
        <f t="shared" si="45"/>
        <v>0</v>
      </c>
      <c r="D395" s="2">
        <f t="shared" si="46"/>
        <v>5.9194000000000004</v>
      </c>
      <c r="E395" s="2">
        <f t="shared" si="40"/>
        <v>5.7813000000000008</v>
      </c>
      <c r="F395" s="2">
        <f t="shared" si="41"/>
        <v>5.402849999999999</v>
      </c>
      <c r="G395" s="2">
        <f t="shared" si="43"/>
        <v>5.2410599999999992</v>
      </c>
      <c r="H395" s="2">
        <f t="shared" si="47"/>
        <v>5.285809999999997</v>
      </c>
      <c r="I395" s="2">
        <f t="array" ref="I395">SUMPRODUCT(B379:B398, (ROW(B379:B398)-ROW(B379)+1)) / (20*21/2)</f>
        <v>5.7443238095238094</v>
      </c>
      <c r="J395" s="2">
        <f t="shared" si="42"/>
        <v>5.5419841517927146</v>
      </c>
      <c r="K395" s="2">
        <f t="shared" si="44"/>
        <v>5.3356644824454378</v>
      </c>
    </row>
    <row r="396" spans="1:11" ht="13.5" x14ac:dyDescent="0.25">
      <c r="A396" s="3">
        <f>TITRES_STAT!B399</f>
        <v>45495</v>
      </c>
      <c r="B396" s="5">
        <f>TITRES_STAT!D399</f>
        <v>5.859</v>
      </c>
      <c r="C396" s="2">
        <f t="shared" si="45"/>
        <v>-2.7999999999999581E-2</v>
      </c>
      <c r="D396" s="2">
        <f t="shared" si="46"/>
        <v>5.9079999999999995</v>
      </c>
      <c r="E396" s="2">
        <f t="shared" ref="E396:E459" si="48">AVERAGE(B387:B396)</f>
        <v>5.8226000000000004</v>
      </c>
      <c r="F396" s="2">
        <f t="shared" si="41"/>
        <v>5.4407999999999994</v>
      </c>
      <c r="G396" s="2">
        <f t="shared" si="43"/>
        <v>5.2519799999999988</v>
      </c>
      <c r="H396" s="2">
        <f t="shared" si="47"/>
        <v>5.286584999999997</v>
      </c>
      <c r="I396" s="2">
        <f t="array" ref="I396">SUMPRODUCT(B380:B399, (ROW(B380:B399)-ROW(B380)+1)) / (20*21/2)</f>
        <v>5.7789619047619052</v>
      </c>
      <c r="J396" s="2">
        <f t="shared" si="42"/>
        <v>5.5721761373362657</v>
      </c>
      <c r="K396" s="2">
        <f t="shared" si="44"/>
        <v>5.3561874439181656</v>
      </c>
    </row>
    <row r="397" spans="1:11" ht="13.5" x14ac:dyDescent="0.25">
      <c r="A397" s="3">
        <f>TITRES_STAT!B400</f>
        <v>45496</v>
      </c>
      <c r="B397" s="5">
        <f>TITRES_STAT!D400</f>
        <v>5.859</v>
      </c>
      <c r="C397" s="2">
        <f t="shared" si="45"/>
        <v>0</v>
      </c>
      <c r="D397" s="2">
        <f t="shared" si="46"/>
        <v>5.8872</v>
      </c>
      <c r="E397" s="2">
        <f t="shared" si="48"/>
        <v>5.863900000000001</v>
      </c>
      <c r="F397" s="2">
        <f t="shared" si="41"/>
        <v>5.4818499999999997</v>
      </c>
      <c r="G397" s="2">
        <f t="shared" si="43"/>
        <v>5.2628999999999984</v>
      </c>
      <c r="H397" s="2">
        <f t="shared" si="47"/>
        <v>5.2873599999999961</v>
      </c>
      <c r="I397" s="2">
        <f t="array" ref="I397">SUMPRODUCT(B381:B400, (ROW(B381:B400)-ROW(B381)+1)) / (20*21/2)</f>
        <v>5.8083285714285706</v>
      </c>
      <c r="J397" s="2">
        <f t="shared" si="42"/>
        <v>5.5994926956851927</v>
      </c>
      <c r="K397" s="2">
        <f t="shared" si="44"/>
        <v>5.3759055833723552</v>
      </c>
    </row>
    <row r="398" spans="1:11" ht="13.5" x14ac:dyDescent="0.25">
      <c r="A398" s="3">
        <f>TITRES_STAT!B401</f>
        <v>45497</v>
      </c>
      <c r="B398" s="5">
        <f>TITRES_STAT!D401</f>
        <v>5.9160000000000004</v>
      </c>
      <c r="C398" s="2">
        <f t="shared" si="45"/>
        <v>5.7000000000000384E-2</v>
      </c>
      <c r="D398" s="2">
        <f t="shared" si="46"/>
        <v>5.8815999999999997</v>
      </c>
      <c r="E398" s="2">
        <f t="shared" si="48"/>
        <v>5.892100000000001</v>
      </c>
      <c r="F398" s="2">
        <f t="shared" si="41"/>
        <v>5.5332999999999988</v>
      </c>
      <c r="G398" s="2">
        <f t="shared" si="43"/>
        <v>5.2772599999999992</v>
      </c>
      <c r="H398" s="2">
        <f t="shared" si="47"/>
        <v>5.2883349999999965</v>
      </c>
      <c r="I398" s="2">
        <f t="array" ref="I398">SUMPRODUCT(B382:B401, (ROW(B382:B401)-ROW(B382)+1)) / (20*21/2)</f>
        <v>5.825280952380953</v>
      </c>
      <c r="J398" s="2">
        <f t="shared" si="42"/>
        <v>5.6296362484770786</v>
      </c>
      <c r="K398" s="2">
        <f t="shared" si="44"/>
        <v>5.39708575657344</v>
      </c>
    </row>
    <row r="399" spans="1:11" ht="13.5" x14ac:dyDescent="0.25">
      <c r="A399" s="3">
        <f>TITRES_STAT!B402</f>
        <v>45499</v>
      </c>
      <c r="B399" s="5">
        <f>TITRES_STAT!D402</f>
        <v>5.8970000000000002</v>
      </c>
      <c r="C399" s="2">
        <f t="shared" si="45"/>
        <v>-1.9000000000000128E-2</v>
      </c>
      <c r="D399" s="2">
        <f t="shared" si="46"/>
        <v>5.8835999999999995</v>
      </c>
      <c r="E399" s="2">
        <f t="shared" si="48"/>
        <v>5.9006000000000007</v>
      </c>
      <c r="F399" s="2">
        <f t="shared" si="41"/>
        <v>5.5886499999999995</v>
      </c>
      <c r="G399" s="2">
        <f t="shared" si="43"/>
        <v>5.2931999999999997</v>
      </c>
      <c r="H399" s="2">
        <f t="shared" si="47"/>
        <v>5.2893899999999965</v>
      </c>
      <c r="I399" s="2">
        <f t="array" ref="I399">SUMPRODUCT(B383:B402, (ROW(B383:B402)-ROW(B383)+1)) / (20*21/2)</f>
        <v>5.8462714285714279</v>
      </c>
      <c r="J399" s="2">
        <f t="shared" si="42"/>
        <v>5.6550994629078328</v>
      </c>
      <c r="K399" s="2">
        <f t="shared" si="44"/>
        <v>5.4166902367078151</v>
      </c>
    </row>
    <row r="400" spans="1:11" ht="13.5" x14ac:dyDescent="0.25">
      <c r="A400" s="3">
        <f>TITRES_STAT!B403</f>
        <v>45502</v>
      </c>
      <c r="B400" s="5">
        <f>TITRES_STAT!D403</f>
        <v>5.8970000000000002</v>
      </c>
      <c r="C400" s="2">
        <f t="shared" si="45"/>
        <v>0</v>
      </c>
      <c r="D400" s="2">
        <f t="shared" si="46"/>
        <v>5.8855999999999993</v>
      </c>
      <c r="E400" s="2">
        <f t="shared" si="48"/>
        <v>5.9025000000000007</v>
      </c>
      <c r="F400" s="2">
        <f t="shared" si="41"/>
        <v>5.6440000000000001</v>
      </c>
      <c r="G400" s="2">
        <f t="shared" si="43"/>
        <v>5.3046999999999995</v>
      </c>
      <c r="H400" s="2">
        <f t="shared" si="47"/>
        <v>5.2904449999999947</v>
      </c>
      <c r="I400" s="2">
        <f t="array" ref="I400">SUMPRODUCT(B384:B403, (ROW(B384:B403)-ROW(B384)+1)) / (20*21/2)</f>
        <v>5.8631238095238096</v>
      </c>
      <c r="J400" s="2">
        <f t="shared" si="42"/>
        <v>5.6781376092975631</v>
      </c>
      <c r="K400" s="2">
        <f t="shared" si="44"/>
        <v>5.4355259136996654</v>
      </c>
    </row>
    <row r="401" spans="1:11" ht="13.5" x14ac:dyDescent="0.25">
      <c r="A401" s="3">
        <f>TITRES_STAT!B404</f>
        <v>45503</v>
      </c>
      <c r="B401" s="5">
        <f>TITRES_STAT!D404</f>
        <v>5.8220000000000001</v>
      </c>
      <c r="C401" s="2">
        <f t="shared" si="45"/>
        <v>-7.5000000000000178E-2</v>
      </c>
      <c r="D401" s="2">
        <f t="shared" si="46"/>
        <v>5.8782000000000005</v>
      </c>
      <c r="E401" s="2">
        <f t="shared" si="48"/>
        <v>5.8930999999999996</v>
      </c>
      <c r="F401" s="2">
        <f t="shared" si="41"/>
        <v>5.6955999999999998</v>
      </c>
      <c r="G401" s="2">
        <f t="shared" si="43"/>
        <v>5.3141599999999993</v>
      </c>
      <c r="H401" s="2">
        <f t="shared" si="47"/>
        <v>5.2911249999999947</v>
      </c>
      <c r="I401" s="2">
        <f t="array" ref="I401">SUMPRODUCT(B385:B404, (ROW(B385:B404)-ROW(B385)+1)) / (20*21/2)</f>
        <v>5.8744952380952382</v>
      </c>
      <c r="J401" s="2">
        <f t="shared" si="42"/>
        <v>5.6918387893644615</v>
      </c>
      <c r="K401" s="2">
        <f t="shared" si="44"/>
        <v>5.4506817602212472</v>
      </c>
    </row>
    <row r="402" spans="1:11" ht="13.5" x14ac:dyDescent="0.25">
      <c r="A402" s="3">
        <f>TITRES_STAT!B405</f>
        <v>45504</v>
      </c>
      <c r="B402" s="5">
        <f>TITRES_STAT!D405</f>
        <v>5.9160000000000004</v>
      </c>
      <c r="C402" s="2">
        <f t="shared" si="45"/>
        <v>9.4000000000000306E-2</v>
      </c>
      <c r="D402" s="2">
        <f t="shared" si="46"/>
        <v>5.8895999999999997</v>
      </c>
      <c r="E402" s="2">
        <f t="shared" si="48"/>
        <v>5.8883999999999999</v>
      </c>
      <c r="F402" s="2">
        <f t="shared" si="41"/>
        <v>5.7390499999999998</v>
      </c>
      <c r="G402" s="2">
        <f t="shared" si="43"/>
        <v>5.3256799999999984</v>
      </c>
      <c r="H402" s="2">
        <f t="shared" si="47"/>
        <v>5.2922299999999947</v>
      </c>
      <c r="I402" s="2">
        <f t="array" ref="I402">SUMPRODUCT(B386:B405, (ROW(B386:B405)-ROW(B386)+1)) / (20*21/2)</f>
        <v>5.8810142857142855</v>
      </c>
      <c r="J402" s="2">
        <f t="shared" si="42"/>
        <v>5.7131874760916554</v>
      </c>
      <c r="K402" s="2">
        <f t="shared" si="44"/>
        <v>5.4689295343302184</v>
      </c>
    </row>
    <row r="403" spans="1:11" ht="13.5" x14ac:dyDescent="0.25">
      <c r="A403" s="3">
        <f>TITRES_STAT!B406</f>
        <v>45505</v>
      </c>
      <c r="B403" s="5">
        <f>TITRES_STAT!D406</f>
        <v>5.9160000000000004</v>
      </c>
      <c r="C403" s="2">
        <f t="shared" si="45"/>
        <v>0</v>
      </c>
      <c r="D403" s="2">
        <f t="shared" si="46"/>
        <v>5.8895999999999997</v>
      </c>
      <c r="E403" s="2">
        <f t="shared" si="48"/>
        <v>5.8855999999999993</v>
      </c>
      <c r="F403" s="2">
        <f t="shared" si="41"/>
        <v>5.7775999999999996</v>
      </c>
      <c r="G403" s="2">
        <f t="shared" si="43"/>
        <v>5.3371999999999993</v>
      </c>
      <c r="H403" s="2">
        <f t="shared" si="47"/>
        <v>5.2933349999999955</v>
      </c>
      <c r="I403" s="2">
        <f t="array" ref="I403">SUMPRODUCT(B387:B406, (ROW(B387:B406)-ROW(B387)+1)) / (20*21/2)</f>
        <v>5.8789666666666669</v>
      </c>
      <c r="J403" s="2">
        <f t="shared" si="42"/>
        <v>5.7325029545591164</v>
      </c>
      <c r="K403" s="2">
        <f t="shared" si="44"/>
        <v>5.4864617094545238</v>
      </c>
    </row>
    <row r="404" spans="1:11" ht="13.5" x14ac:dyDescent="0.25">
      <c r="A404" s="3">
        <f>TITRES_STAT!B407</f>
        <v>45506</v>
      </c>
      <c r="B404" s="5">
        <f>TITRES_STAT!D407</f>
        <v>5.8970000000000002</v>
      </c>
      <c r="C404" s="2">
        <f t="shared" si="45"/>
        <v>-1.9000000000000128E-2</v>
      </c>
      <c r="D404" s="2">
        <f t="shared" si="46"/>
        <v>5.8895999999999997</v>
      </c>
      <c r="E404" s="2">
        <f t="shared" si="48"/>
        <v>5.8865999999999996</v>
      </c>
      <c r="F404" s="2">
        <f t="shared" ref="F404:F467" si="49">AVERAGE(B385:B404)</f>
        <v>5.8095499999999998</v>
      </c>
      <c r="G404" s="2">
        <f t="shared" si="43"/>
        <v>5.3486999999999991</v>
      </c>
      <c r="H404" s="2">
        <f t="shared" si="47"/>
        <v>5.2943449999999954</v>
      </c>
      <c r="I404" s="2">
        <f t="array" ref="I404">SUMPRODUCT(B388:B407, (ROW(B388:B407)-ROW(B388)+1)) / (20*21/2)</f>
        <v>5.875176190476191</v>
      </c>
      <c r="J404" s="2">
        <f t="shared" si="42"/>
        <v>5.7481693398392011</v>
      </c>
      <c r="K404" s="2">
        <f t="shared" si="44"/>
        <v>5.5025612502602286</v>
      </c>
    </row>
    <row r="405" spans="1:11" ht="13.5" x14ac:dyDescent="0.25">
      <c r="A405" s="3">
        <f>TITRES_STAT!B408</f>
        <v>45509</v>
      </c>
      <c r="B405" s="5">
        <f>TITRES_STAT!D408</f>
        <v>5.8780000000000001</v>
      </c>
      <c r="C405" s="2">
        <f t="shared" si="45"/>
        <v>-1.9000000000000128E-2</v>
      </c>
      <c r="D405" s="2">
        <f t="shared" si="46"/>
        <v>5.8858000000000006</v>
      </c>
      <c r="E405" s="2">
        <f t="shared" si="48"/>
        <v>5.885699999999999</v>
      </c>
      <c r="F405" s="2">
        <f t="shared" si="49"/>
        <v>5.8335000000000008</v>
      </c>
      <c r="G405" s="2">
        <f t="shared" si="43"/>
        <v>5.35982</v>
      </c>
      <c r="H405" s="2">
        <f t="shared" si="47"/>
        <v>5.2953499999999956</v>
      </c>
      <c r="I405" s="2">
        <f t="array" ref="I405">SUMPRODUCT(B389:B408, (ROW(B389:B408)-ROW(B389)+1)) / (20*21/2)</f>
        <v>5.8696428571428578</v>
      </c>
      <c r="J405" s="2">
        <f t="shared" ref="J405:J468" si="50">$J$4*B405+J404*(1-$J$4)</f>
        <v>5.7605341646164199</v>
      </c>
      <c r="K405" s="2">
        <f t="shared" si="44"/>
        <v>5.5172843384853181</v>
      </c>
    </row>
    <row r="406" spans="1:11" ht="13.5" x14ac:dyDescent="0.25">
      <c r="A406" s="3">
        <f>TITRES_STAT!B409</f>
        <v>45510</v>
      </c>
      <c r="B406" s="5">
        <f>TITRES_STAT!D409</f>
        <v>5.8120000000000003</v>
      </c>
      <c r="C406" s="2">
        <f t="shared" si="45"/>
        <v>-6.5999999999999837E-2</v>
      </c>
      <c r="D406" s="2">
        <f t="shared" si="46"/>
        <v>5.8837999999999999</v>
      </c>
      <c r="E406" s="2">
        <f t="shared" si="48"/>
        <v>5.8809999999999993</v>
      </c>
      <c r="F406" s="2">
        <f t="shared" si="49"/>
        <v>5.8518000000000008</v>
      </c>
      <c r="G406" s="2">
        <f t="shared" si="43"/>
        <v>5.3713999999999995</v>
      </c>
      <c r="H406" s="2">
        <f t="shared" si="47"/>
        <v>5.2960249999999967</v>
      </c>
      <c r="I406" s="2">
        <f t="array" ref="I406">SUMPRODUCT(B390:B409, (ROW(B390:B409)-ROW(B390)+1)) / (20*21/2)</f>
        <v>5.863261904761905</v>
      </c>
      <c r="J406" s="2">
        <f t="shared" si="50"/>
        <v>5.7654356727481897</v>
      </c>
      <c r="K406" s="2">
        <f t="shared" si="44"/>
        <v>5.5288418154074632</v>
      </c>
    </row>
    <row r="407" spans="1:11" ht="13.5" x14ac:dyDescent="0.25">
      <c r="A407" s="3">
        <f>TITRES_STAT!B410</f>
        <v>45511</v>
      </c>
      <c r="B407" s="5">
        <f>TITRES_STAT!D410</f>
        <v>5.8120000000000003</v>
      </c>
      <c r="C407" s="2">
        <f t="shared" si="45"/>
        <v>0</v>
      </c>
      <c r="D407" s="2">
        <f t="shared" si="46"/>
        <v>5.8630000000000013</v>
      </c>
      <c r="E407" s="2">
        <f t="shared" si="48"/>
        <v>5.8762999999999996</v>
      </c>
      <c r="F407" s="2">
        <f t="shared" si="49"/>
        <v>5.8701000000000008</v>
      </c>
      <c r="G407" s="2">
        <f t="shared" si="43"/>
        <v>5.3829799999999999</v>
      </c>
      <c r="H407" s="2">
        <f t="shared" si="47"/>
        <v>5.2966099999999958</v>
      </c>
      <c r="I407" s="2">
        <f t="array" ref="I407">SUMPRODUCT(B391:B410, (ROW(B391:B410)-ROW(B391)+1)) / (20*21/2)</f>
        <v>5.8542142857142858</v>
      </c>
      <c r="J407" s="2">
        <f t="shared" si="50"/>
        <v>5.7698703705816961</v>
      </c>
      <c r="K407" s="2">
        <f t="shared" si="44"/>
        <v>5.5399460579405044</v>
      </c>
    </row>
    <row r="408" spans="1:11" ht="13.5" x14ac:dyDescent="0.25">
      <c r="A408" s="3">
        <f>TITRES_STAT!B411</f>
        <v>45512</v>
      </c>
      <c r="B408" s="5">
        <f>TITRES_STAT!D411</f>
        <v>5.8120000000000003</v>
      </c>
      <c r="C408" s="2">
        <f t="shared" si="45"/>
        <v>0</v>
      </c>
      <c r="D408" s="2">
        <f t="shared" si="46"/>
        <v>5.8422000000000001</v>
      </c>
      <c r="E408" s="2">
        <f t="shared" si="48"/>
        <v>5.865899999999999</v>
      </c>
      <c r="F408" s="2">
        <f t="shared" si="49"/>
        <v>5.8790000000000004</v>
      </c>
      <c r="G408" s="2">
        <f t="shared" si="43"/>
        <v>5.3945599999999994</v>
      </c>
      <c r="H408" s="2">
        <f t="shared" si="47"/>
        <v>5.297284999999996</v>
      </c>
      <c r="I408" s="2">
        <f t="array" ref="I408">SUMPRODUCT(B392:B411, (ROW(B392:B411)-ROW(B392)+1)) / (20*21/2)</f>
        <v>5.8402809523809527</v>
      </c>
      <c r="J408" s="2">
        <f t="shared" si="50"/>
        <v>5.7738827162405819</v>
      </c>
      <c r="K408" s="2">
        <f t="shared" si="44"/>
        <v>5.5506148399820532</v>
      </c>
    </row>
    <row r="409" spans="1:11" ht="13.5" x14ac:dyDescent="0.25">
      <c r="A409" s="3">
        <f>TITRES_STAT!B412</f>
        <v>45513</v>
      </c>
      <c r="B409" s="5">
        <f>TITRES_STAT!D412</f>
        <v>5.8120000000000003</v>
      </c>
      <c r="C409" s="2">
        <f t="shared" si="45"/>
        <v>0</v>
      </c>
      <c r="D409" s="2">
        <f t="shared" si="46"/>
        <v>5.8252000000000006</v>
      </c>
      <c r="E409" s="2">
        <f t="shared" si="48"/>
        <v>5.8573999999999993</v>
      </c>
      <c r="F409" s="2">
        <f t="shared" si="49"/>
        <v>5.8789999999999996</v>
      </c>
      <c r="G409" s="2">
        <f t="shared" si="43"/>
        <v>5.4096799999999998</v>
      </c>
      <c r="H409" s="2">
        <f t="shared" si="47"/>
        <v>5.2979599999999962</v>
      </c>
      <c r="I409" s="2">
        <f t="array" ref="I409">SUMPRODUCT(B393:B412, (ROW(B393:B412)-ROW(B393)+1)) / (20*21/2)</f>
        <v>5.8262904761904757</v>
      </c>
      <c r="J409" s="2">
        <f t="shared" si="50"/>
        <v>5.7775129337414786</v>
      </c>
      <c r="K409" s="2">
        <f t="shared" si="44"/>
        <v>5.5608652384141299</v>
      </c>
    </row>
    <row r="410" spans="1:11" ht="13.5" x14ac:dyDescent="0.25">
      <c r="A410" s="3">
        <f>TITRES_STAT!B413</f>
        <v>45516</v>
      </c>
      <c r="B410" s="5">
        <f>TITRES_STAT!D413</f>
        <v>5.7839999999999998</v>
      </c>
      <c r="C410" s="2">
        <f t="shared" si="45"/>
        <v>-2.8000000000000469E-2</v>
      </c>
      <c r="D410" s="2">
        <f t="shared" si="46"/>
        <v>5.8064</v>
      </c>
      <c r="E410" s="2">
        <f t="shared" si="48"/>
        <v>5.846099999999999</v>
      </c>
      <c r="F410" s="2">
        <f t="shared" si="49"/>
        <v>5.8742999999999999</v>
      </c>
      <c r="G410" s="2">
        <f t="shared" si="43"/>
        <v>5.4224600000000001</v>
      </c>
      <c r="H410" s="2">
        <f t="shared" si="47"/>
        <v>5.2984949999999973</v>
      </c>
      <c r="I410" s="2">
        <f t="array" ref="I410">SUMPRODUCT(B394:B413, (ROW(B394:B413)-ROW(B394)+1)) / (20*21/2)</f>
        <v>5.8134666666666668</v>
      </c>
      <c r="J410" s="2">
        <f t="shared" si="50"/>
        <v>5.7781307495756238</v>
      </c>
      <c r="K410" s="2">
        <f t="shared" si="44"/>
        <v>5.569615621221419</v>
      </c>
    </row>
    <row r="411" spans="1:11" ht="13.5" x14ac:dyDescent="0.25">
      <c r="A411" s="3">
        <f>TITRES_STAT!B414</f>
        <v>45518</v>
      </c>
      <c r="B411" s="5">
        <f>TITRES_STAT!D414</f>
        <v>5.7279999999999998</v>
      </c>
      <c r="C411" s="2">
        <f t="shared" si="45"/>
        <v>-5.600000000000005E-2</v>
      </c>
      <c r="D411" s="2">
        <f t="shared" si="46"/>
        <v>5.7896000000000001</v>
      </c>
      <c r="E411" s="2">
        <f t="shared" si="48"/>
        <v>5.8366999999999996</v>
      </c>
      <c r="F411" s="2">
        <f t="shared" si="49"/>
        <v>5.8648999999999996</v>
      </c>
      <c r="G411" s="2">
        <f t="shared" si="43"/>
        <v>5.4358999999999993</v>
      </c>
      <c r="H411" s="2">
        <f t="shared" si="47"/>
        <v>5.2987499999999974</v>
      </c>
      <c r="I411" s="2">
        <f t="array" ref="I411">SUMPRODUCT(B395:B414, (ROW(B395:B414)-ROW(B395)+1)) / (20*21/2)</f>
        <v>5.8017190476190468</v>
      </c>
      <c r="J411" s="2">
        <f t="shared" si="50"/>
        <v>5.7733563924731843</v>
      </c>
      <c r="K411" s="2">
        <f t="shared" si="44"/>
        <v>5.575826773330383</v>
      </c>
    </row>
    <row r="412" spans="1:11" ht="13.5" x14ac:dyDescent="0.25">
      <c r="A412" s="3">
        <f>TITRES_STAT!B415</f>
        <v>45519</v>
      </c>
      <c r="B412" s="5">
        <f>TITRES_STAT!D415</f>
        <v>5.718</v>
      </c>
      <c r="C412" s="2">
        <f t="shared" si="45"/>
        <v>-9.9999999999997868E-3</v>
      </c>
      <c r="D412" s="2">
        <f t="shared" si="46"/>
        <v>5.7708000000000004</v>
      </c>
      <c r="E412" s="2">
        <f t="shared" si="48"/>
        <v>5.8168999999999995</v>
      </c>
      <c r="F412" s="2">
        <f t="shared" si="49"/>
        <v>5.8526499999999997</v>
      </c>
      <c r="G412" s="2">
        <f t="shared" si="43"/>
        <v>5.4491399999999999</v>
      </c>
      <c r="H412" s="2">
        <f t="shared" si="47"/>
        <v>5.2989549999999994</v>
      </c>
      <c r="I412" s="2">
        <f t="array" ref="I412">SUMPRODUCT(B396:B415, (ROW(B396:B415)-ROW(B396)+1)) / (20*21/2)</f>
        <v>5.7907761904761905</v>
      </c>
      <c r="J412" s="2">
        <f t="shared" si="50"/>
        <v>5.7680843550947856</v>
      </c>
      <c r="K412" s="2">
        <f t="shared" si="44"/>
        <v>5.5814021939840934</v>
      </c>
    </row>
    <row r="413" spans="1:11" ht="13.5" x14ac:dyDescent="0.25">
      <c r="A413" s="3">
        <f>TITRES_STAT!B416</f>
        <v>45520</v>
      </c>
      <c r="B413" s="5">
        <f>TITRES_STAT!D416</f>
        <v>5.718</v>
      </c>
      <c r="C413" s="2">
        <f t="shared" si="45"/>
        <v>0</v>
      </c>
      <c r="D413" s="2">
        <f t="shared" si="46"/>
        <v>5.7519999999999998</v>
      </c>
      <c r="E413" s="2">
        <f t="shared" si="48"/>
        <v>5.7971000000000004</v>
      </c>
      <c r="F413" s="2">
        <f t="shared" si="49"/>
        <v>5.8413500000000003</v>
      </c>
      <c r="G413" s="2">
        <f t="shared" si="43"/>
        <v>5.4641600000000006</v>
      </c>
      <c r="H413" s="2">
        <f t="shared" si="47"/>
        <v>5.2991600000000005</v>
      </c>
      <c r="I413" s="2">
        <f t="array" ref="I413">SUMPRODUCT(B397:B416, (ROW(B397:B416)-ROW(B397)+1)) / (20*21/2)</f>
        <v>5.7726380952380962</v>
      </c>
      <c r="J413" s="2">
        <f t="shared" si="50"/>
        <v>5.76331441651433</v>
      </c>
      <c r="K413" s="2">
        <f t="shared" si="44"/>
        <v>5.5867589706905996</v>
      </c>
    </row>
    <row r="414" spans="1:11" ht="13.5" x14ac:dyDescent="0.25">
      <c r="A414" s="3">
        <f>TITRES_STAT!B417</f>
        <v>45523</v>
      </c>
      <c r="B414" s="5">
        <f>TITRES_STAT!D417</f>
        <v>5.718</v>
      </c>
      <c r="C414" s="2">
        <f t="shared" si="45"/>
        <v>0</v>
      </c>
      <c r="D414" s="2">
        <f t="shared" si="46"/>
        <v>5.7332000000000001</v>
      </c>
      <c r="E414" s="2">
        <f t="shared" si="48"/>
        <v>5.7792000000000012</v>
      </c>
      <c r="F414" s="2">
        <f t="shared" si="49"/>
        <v>5.8329000000000004</v>
      </c>
      <c r="G414" s="2">
        <f t="shared" si="43"/>
        <v>5.4797000000000011</v>
      </c>
      <c r="H414" s="2">
        <f t="shared" si="47"/>
        <v>5.2993650000000025</v>
      </c>
      <c r="I414" s="2">
        <f t="array" ref="I414">SUMPRODUCT(B398:B417, (ROW(B398:B417)-ROW(B398)+1)) / (20*21/2)</f>
        <v>5.7555714285714288</v>
      </c>
      <c r="J414" s="2">
        <f t="shared" si="50"/>
        <v>5.7589987577986799</v>
      </c>
      <c r="K414" s="2">
        <f t="shared" si="44"/>
        <v>5.591905677722341</v>
      </c>
    </row>
    <row r="415" spans="1:11" ht="13.5" x14ac:dyDescent="0.25">
      <c r="A415" s="3">
        <f>TITRES_STAT!B418</f>
        <v>45524</v>
      </c>
      <c r="B415" s="5">
        <f>TITRES_STAT!D418</f>
        <v>5.718</v>
      </c>
      <c r="C415" s="2">
        <f t="shared" si="45"/>
        <v>0</v>
      </c>
      <c r="D415" s="2">
        <f t="shared" si="46"/>
        <v>5.7200000000000006</v>
      </c>
      <c r="E415" s="2">
        <f t="shared" si="48"/>
        <v>5.7632000000000003</v>
      </c>
      <c r="F415" s="2">
        <f t="shared" si="49"/>
        <v>5.8244500000000006</v>
      </c>
      <c r="G415" s="2">
        <f t="shared" si="43"/>
        <v>5.4964800000000018</v>
      </c>
      <c r="H415" s="2">
        <f t="shared" si="47"/>
        <v>5.2998350000000043</v>
      </c>
      <c r="I415" s="2">
        <f t="array" ref="I415">SUMPRODUCT(B399:B418, (ROW(B399:B418)-ROW(B399)+1)) / (20*21/2)</f>
        <v>5.7395761904761908</v>
      </c>
      <c r="J415" s="2">
        <f t="shared" si="50"/>
        <v>5.7550941141988057</v>
      </c>
      <c r="K415" s="2">
        <f t="shared" si="44"/>
        <v>5.5968505531057788</v>
      </c>
    </row>
    <row r="416" spans="1:11" ht="13.5" x14ac:dyDescent="0.25">
      <c r="A416" s="3">
        <f>TITRES_STAT!B419</f>
        <v>45525</v>
      </c>
      <c r="B416" s="5">
        <f>TITRES_STAT!D419</f>
        <v>5.6340000000000003</v>
      </c>
      <c r="C416" s="2">
        <f t="shared" si="45"/>
        <v>-8.3999999999999631E-2</v>
      </c>
      <c r="D416" s="2">
        <f t="shared" si="46"/>
        <v>5.7012</v>
      </c>
      <c r="E416" s="2">
        <f t="shared" si="48"/>
        <v>5.745400000000001</v>
      </c>
      <c r="F416" s="2">
        <f t="shared" si="49"/>
        <v>5.8132000000000001</v>
      </c>
      <c r="G416" s="2">
        <f t="shared" si="43"/>
        <v>5.5080400000000012</v>
      </c>
      <c r="H416" s="2">
        <f t="shared" si="47"/>
        <v>5.2998400000000023</v>
      </c>
      <c r="I416" s="2">
        <f t="array" ref="I416">SUMPRODUCT(B400:B419, (ROW(B400:B419)-ROW(B400)+1)) / (20*21/2)</f>
        <v>5.7249238095238102</v>
      </c>
      <c r="J416" s="2">
        <f t="shared" si="50"/>
        <v>5.7435613414179674</v>
      </c>
      <c r="K416" s="2">
        <f t="shared" si="44"/>
        <v>5.5983073941604546</v>
      </c>
    </row>
    <row r="417" spans="1:11" ht="13.5" x14ac:dyDescent="0.25">
      <c r="A417" s="3">
        <f>TITRES_STAT!B420</f>
        <v>45526</v>
      </c>
      <c r="B417" s="5">
        <f>TITRES_STAT!D420</f>
        <v>5.6340000000000003</v>
      </c>
      <c r="C417" s="2">
        <f t="shared" si="45"/>
        <v>0</v>
      </c>
      <c r="D417" s="2">
        <f t="shared" si="46"/>
        <v>5.6844000000000001</v>
      </c>
      <c r="E417" s="2">
        <f t="shared" si="48"/>
        <v>5.7276000000000007</v>
      </c>
      <c r="F417" s="2">
        <f t="shared" si="49"/>
        <v>5.8019500000000006</v>
      </c>
      <c r="G417" s="2">
        <f t="shared" si="43"/>
        <v>5.5178200000000013</v>
      </c>
      <c r="H417" s="2">
        <f t="shared" si="47"/>
        <v>5.2999350000000023</v>
      </c>
      <c r="I417" s="2">
        <f t="array" ref="I417">SUMPRODUCT(B401:B420, (ROW(B401:B420)-ROW(B401)+1)) / (20*21/2)</f>
        <v>5.7106666666666666</v>
      </c>
      <c r="J417" s="2">
        <f t="shared" si="50"/>
        <v>5.7331269279495896</v>
      </c>
      <c r="K417" s="2">
        <f t="shared" si="44"/>
        <v>5.5997071041933779</v>
      </c>
    </row>
    <row r="418" spans="1:11" ht="13.5" x14ac:dyDescent="0.25">
      <c r="A418" s="3">
        <f>TITRES_STAT!B421</f>
        <v>45527</v>
      </c>
      <c r="B418" s="5">
        <f>TITRES_STAT!D421</f>
        <v>5.6340000000000003</v>
      </c>
      <c r="C418" s="2">
        <f t="shared" si="45"/>
        <v>0</v>
      </c>
      <c r="D418" s="2">
        <f t="shared" si="46"/>
        <v>5.6676000000000002</v>
      </c>
      <c r="E418" s="2">
        <f t="shared" si="48"/>
        <v>5.7097999999999995</v>
      </c>
      <c r="F418" s="2">
        <f t="shared" si="49"/>
        <v>5.7878500000000006</v>
      </c>
      <c r="G418" s="2">
        <f t="shared" si="43"/>
        <v>5.5275999999999996</v>
      </c>
      <c r="H418" s="2">
        <f t="shared" si="47"/>
        <v>5.3000300000000014</v>
      </c>
      <c r="I418" s="2">
        <f t="array" ref="I418">SUMPRODUCT(B402:B421, (ROW(B402:B421)-ROW(B402)+1)) / (20*21/2)</f>
        <v>5.6985619047619052</v>
      </c>
      <c r="J418" s="2">
        <f t="shared" si="50"/>
        <v>5.723686268144867</v>
      </c>
      <c r="K418" s="2">
        <f t="shared" si="44"/>
        <v>5.6010519236367751</v>
      </c>
    </row>
    <row r="419" spans="1:11" ht="13.5" x14ac:dyDescent="0.25">
      <c r="A419" s="3">
        <f>TITRES_STAT!B422</f>
        <v>45530</v>
      </c>
      <c r="B419" s="5">
        <f>TITRES_STAT!D422</f>
        <v>5.6340000000000003</v>
      </c>
      <c r="C419" s="2">
        <f t="shared" si="45"/>
        <v>0</v>
      </c>
      <c r="D419" s="2">
        <f t="shared" si="46"/>
        <v>5.6508000000000003</v>
      </c>
      <c r="E419" s="2">
        <f t="shared" si="48"/>
        <v>5.6920000000000002</v>
      </c>
      <c r="F419" s="2">
        <f t="shared" si="49"/>
        <v>5.7747000000000002</v>
      </c>
      <c r="G419" s="2">
        <f t="shared" si="43"/>
        <v>5.5373800000000006</v>
      </c>
      <c r="H419" s="2">
        <f t="shared" si="47"/>
        <v>5.3002600000000006</v>
      </c>
      <c r="I419" s="2">
        <f t="array" ref="I419">SUMPRODUCT(B403:B422, (ROW(B403:B422)-ROW(B403)+1)) / (20*21/2)</f>
        <v>5.6873523809523814</v>
      </c>
      <c r="J419" s="2">
        <f t="shared" si="50"/>
        <v>5.7151447187977364</v>
      </c>
      <c r="K419" s="2">
        <f t="shared" si="44"/>
        <v>5.6023440050627844</v>
      </c>
    </row>
    <row r="420" spans="1:11" ht="13.5" x14ac:dyDescent="0.25">
      <c r="A420" s="3">
        <f>TITRES_STAT!B423</f>
        <v>45531</v>
      </c>
      <c r="B420" s="5">
        <f>TITRES_STAT!D423</f>
        <v>5.625</v>
      </c>
      <c r="C420" s="2">
        <f t="shared" si="45"/>
        <v>-9.0000000000003411E-3</v>
      </c>
      <c r="D420" s="2">
        <f t="shared" si="46"/>
        <v>5.6322000000000001</v>
      </c>
      <c r="E420" s="2">
        <f t="shared" si="48"/>
        <v>5.6760999999999999</v>
      </c>
      <c r="F420" s="2">
        <f t="shared" si="49"/>
        <v>5.7611000000000008</v>
      </c>
      <c r="G420" s="2">
        <f t="shared" si="43"/>
        <v>5.5469800000000014</v>
      </c>
      <c r="H420" s="2">
        <f t="shared" si="47"/>
        <v>5.3004449999999999</v>
      </c>
      <c r="I420" s="2">
        <f t="array" ref="I420">SUMPRODUCT(B404:B423, (ROW(B404:B423)-ROW(B404)+1)) / (20*21/2)</f>
        <v>5.6819619047619048</v>
      </c>
      <c r="J420" s="2">
        <f t="shared" si="50"/>
        <v>5.7065595074836661</v>
      </c>
      <c r="K420" s="2">
        <f t="shared" si="44"/>
        <v>5.6032324754524794</v>
      </c>
    </row>
    <row r="421" spans="1:11" ht="13.5" x14ac:dyDescent="0.25">
      <c r="A421" s="3">
        <f>TITRES_STAT!B424</f>
        <v>45532</v>
      </c>
      <c r="B421" s="5">
        <f>TITRES_STAT!D424</f>
        <v>5.6340000000000003</v>
      </c>
      <c r="C421" s="2">
        <f t="shared" si="45"/>
        <v>9.0000000000003411E-3</v>
      </c>
      <c r="D421" s="2">
        <f t="shared" si="46"/>
        <v>5.6322000000000001</v>
      </c>
      <c r="E421" s="2">
        <f t="shared" si="48"/>
        <v>5.6667000000000005</v>
      </c>
      <c r="F421" s="2">
        <f t="shared" si="49"/>
        <v>5.7517000000000005</v>
      </c>
      <c r="G421" s="2">
        <f t="shared" si="43"/>
        <v>5.5594200000000003</v>
      </c>
      <c r="H421" s="2">
        <f t="shared" si="47"/>
        <v>5.3006749999999991</v>
      </c>
      <c r="I421" s="2">
        <f t="array" ref="I421">SUMPRODUCT(B405:B424, (ROW(B405:B424)-ROW(B405)+1)) / (20*21/2)</f>
        <v>5.6732142857142867</v>
      </c>
      <c r="J421" s="2">
        <f t="shared" si="50"/>
        <v>5.6996490781995073</v>
      </c>
      <c r="K421" s="2">
        <f t="shared" si="44"/>
        <v>5.6044390450425787</v>
      </c>
    </row>
    <row r="422" spans="1:11" ht="13.5" x14ac:dyDescent="0.25">
      <c r="A422" s="3">
        <f>TITRES_STAT!B425</f>
        <v>45533</v>
      </c>
      <c r="B422" s="5">
        <f>TITRES_STAT!D425</f>
        <v>5.6340000000000003</v>
      </c>
      <c r="C422" s="2">
        <f t="shared" si="45"/>
        <v>0</v>
      </c>
      <c r="D422" s="2">
        <f t="shared" si="46"/>
        <v>5.6322000000000001</v>
      </c>
      <c r="E422" s="2">
        <f t="shared" si="48"/>
        <v>5.6582999999999997</v>
      </c>
      <c r="F422" s="2">
        <f t="shared" si="49"/>
        <v>5.7376000000000005</v>
      </c>
      <c r="G422" s="2">
        <f t="shared" si="43"/>
        <v>5.5745200000000015</v>
      </c>
      <c r="H422" s="2">
        <f t="shared" si="47"/>
        <v>5.3009049999999993</v>
      </c>
      <c r="I422" s="2">
        <f t="array" ref="I422">SUMPRODUCT(B406:B425, (ROW(B406:B425)-ROW(B406)+1)) / (20*21/2)</f>
        <v>5.6683857142857148</v>
      </c>
      <c r="J422" s="2">
        <f t="shared" si="50"/>
        <v>5.693396785037649</v>
      </c>
      <c r="K422" s="2">
        <f t="shared" si="44"/>
        <v>5.6055982981781636</v>
      </c>
    </row>
    <row r="423" spans="1:11" ht="13.5" x14ac:dyDescent="0.25">
      <c r="A423" s="3">
        <f>TITRES_STAT!B426</f>
        <v>45534</v>
      </c>
      <c r="B423" s="5">
        <f>TITRES_STAT!D426</f>
        <v>5.681</v>
      </c>
      <c r="C423" s="2">
        <f t="shared" si="45"/>
        <v>4.6999999999999709E-2</v>
      </c>
      <c r="D423" s="2">
        <f t="shared" si="46"/>
        <v>5.6416000000000004</v>
      </c>
      <c r="E423" s="2">
        <f t="shared" si="48"/>
        <v>5.6546000000000003</v>
      </c>
      <c r="F423" s="2">
        <f t="shared" si="49"/>
        <v>5.7258500000000003</v>
      </c>
      <c r="G423" s="2">
        <f t="shared" si="43"/>
        <v>5.5914600000000005</v>
      </c>
      <c r="H423" s="2">
        <f t="shared" si="47"/>
        <v>5.3014149999999995</v>
      </c>
      <c r="I423" s="2">
        <f t="array" ref="I423">SUMPRODUCT(B407:B426, (ROW(B407:B426)-ROW(B407)+1)) / (20*21/2)</f>
        <v>5.6619190476190484</v>
      </c>
      <c r="J423" s="2">
        <f t="shared" si="50"/>
        <v>5.6922161388435875</v>
      </c>
      <c r="K423" s="2">
        <f t="shared" si="44"/>
        <v>5.6085552276613724</v>
      </c>
    </row>
    <row r="424" spans="1:11" ht="13.5" x14ac:dyDescent="0.25">
      <c r="A424" s="3">
        <f>TITRES_STAT!B427</f>
        <v>45537</v>
      </c>
      <c r="B424" s="5">
        <f>TITRES_STAT!D427</f>
        <v>5.6340000000000003</v>
      </c>
      <c r="C424" s="2">
        <f t="shared" si="45"/>
        <v>-4.6999999999999709E-2</v>
      </c>
      <c r="D424" s="2">
        <f t="shared" si="46"/>
        <v>5.6416000000000004</v>
      </c>
      <c r="E424" s="2">
        <f t="shared" si="48"/>
        <v>5.6462000000000003</v>
      </c>
      <c r="F424" s="2">
        <f t="shared" si="49"/>
        <v>5.7127000000000008</v>
      </c>
      <c r="G424" s="2">
        <f t="shared" si="43"/>
        <v>5.607800000000001</v>
      </c>
      <c r="H424" s="2">
        <f t="shared" si="47"/>
        <v>5.3016899999999998</v>
      </c>
      <c r="I424" s="2">
        <f t="array" ref="I424">SUMPRODUCT(B408:B427, (ROW(B408:B427)-ROW(B408)+1)) / (20*21/2)</f>
        <v>5.6563000000000008</v>
      </c>
      <c r="J424" s="2">
        <f t="shared" si="50"/>
        <v>5.6866717446680077</v>
      </c>
      <c r="K424" s="2">
        <f t="shared" si="44"/>
        <v>5.6095530618707308</v>
      </c>
    </row>
    <row r="425" spans="1:11" ht="13.5" x14ac:dyDescent="0.25">
      <c r="A425" s="3">
        <f>TITRES_STAT!B428</f>
        <v>45538</v>
      </c>
      <c r="B425" s="5">
        <f>TITRES_STAT!D428</f>
        <v>5.6619999999999999</v>
      </c>
      <c r="C425" s="2">
        <f t="shared" si="45"/>
        <v>2.7999999999999581E-2</v>
      </c>
      <c r="D425" s="2">
        <f t="shared" si="46"/>
        <v>5.649</v>
      </c>
      <c r="E425" s="2">
        <f t="shared" si="48"/>
        <v>5.6406000000000001</v>
      </c>
      <c r="F425" s="2">
        <f t="shared" si="49"/>
        <v>5.7019000000000002</v>
      </c>
      <c r="G425" s="2">
        <f t="shared" si="43"/>
        <v>5.61904</v>
      </c>
      <c r="H425" s="2">
        <f t="shared" si="47"/>
        <v>5.3021050000000001</v>
      </c>
      <c r="I425" s="2">
        <f t="array" ref="I425">SUMPRODUCT(B409:B428, (ROW(B409:B428)-ROW(B409)+1)) / (20*21/2)</f>
        <v>5.6515285714285719</v>
      </c>
      <c r="J425" s="2">
        <f t="shared" si="50"/>
        <v>5.684322054699626</v>
      </c>
      <c r="K425" s="2">
        <f t="shared" si="44"/>
        <v>5.6116098045424669</v>
      </c>
    </row>
    <row r="426" spans="1:11" ht="13.5" x14ac:dyDescent="0.25">
      <c r="A426" s="3">
        <f>TITRES_STAT!B429</f>
        <v>45539</v>
      </c>
      <c r="B426" s="5">
        <f>TITRES_STAT!D429</f>
        <v>5.6340000000000003</v>
      </c>
      <c r="C426" s="2">
        <f t="shared" si="45"/>
        <v>-2.7999999999999581E-2</v>
      </c>
      <c r="D426" s="2">
        <f t="shared" si="46"/>
        <v>5.649</v>
      </c>
      <c r="E426" s="2">
        <f t="shared" si="48"/>
        <v>5.6406000000000001</v>
      </c>
      <c r="F426" s="2">
        <f t="shared" si="49"/>
        <v>5.6930000000000005</v>
      </c>
      <c r="G426" s="2">
        <f t="shared" si="43"/>
        <v>5.6297200000000007</v>
      </c>
      <c r="H426" s="2">
        <f t="shared" si="47"/>
        <v>5.3023350000000002</v>
      </c>
      <c r="I426" s="2">
        <f t="array" ref="I426">SUMPRODUCT(B410:B429, (ROW(B410:B429)-ROW(B410)+1)) / (20*21/2)</f>
        <v>5.6457952380952383</v>
      </c>
      <c r="J426" s="2">
        <f t="shared" si="50"/>
        <v>5.6795294780615659</v>
      </c>
      <c r="K426" s="2">
        <f t="shared" si="44"/>
        <v>5.6124878514231549</v>
      </c>
    </row>
    <row r="427" spans="1:11" ht="13.5" x14ac:dyDescent="0.25">
      <c r="A427" s="3">
        <f>TITRES_STAT!B430</f>
        <v>45540</v>
      </c>
      <c r="B427" s="5">
        <f>TITRES_STAT!D430</f>
        <v>5.6340000000000003</v>
      </c>
      <c r="C427" s="2">
        <f t="shared" si="45"/>
        <v>0</v>
      </c>
      <c r="D427" s="2">
        <f t="shared" si="46"/>
        <v>5.649</v>
      </c>
      <c r="E427" s="2">
        <f t="shared" si="48"/>
        <v>5.6406000000000001</v>
      </c>
      <c r="F427" s="2">
        <f t="shared" si="49"/>
        <v>5.6841000000000008</v>
      </c>
      <c r="G427" s="2">
        <f t="shared" si="43"/>
        <v>5.6416400000000007</v>
      </c>
      <c r="H427" s="2">
        <f t="shared" si="47"/>
        <v>5.3025650000000004</v>
      </c>
      <c r="I427" s="2">
        <f t="array" ref="I427">SUMPRODUCT(B411:B430, (ROW(B411:B430)-ROW(B411)+1)) / (20*21/2)</f>
        <v>5.6409999999999991</v>
      </c>
      <c r="J427" s="2">
        <f t="shared" si="50"/>
        <v>5.6751933372937975</v>
      </c>
      <c r="K427" s="2">
        <f t="shared" si="44"/>
        <v>5.613331465092835</v>
      </c>
    </row>
    <row r="428" spans="1:11" ht="13.5" x14ac:dyDescent="0.25">
      <c r="A428" s="3">
        <f>TITRES_STAT!B431</f>
        <v>45541</v>
      </c>
      <c r="B428" s="5">
        <f>TITRES_STAT!D431</f>
        <v>5.6340000000000003</v>
      </c>
      <c r="C428" s="2">
        <f t="shared" si="45"/>
        <v>0</v>
      </c>
      <c r="D428" s="2">
        <f t="shared" si="46"/>
        <v>5.6395999999999997</v>
      </c>
      <c r="E428" s="2">
        <f t="shared" si="48"/>
        <v>5.6406000000000001</v>
      </c>
      <c r="F428" s="2">
        <f t="shared" si="49"/>
        <v>5.6752000000000002</v>
      </c>
      <c r="G428" s="2">
        <f t="shared" si="43"/>
        <v>5.6565800000000017</v>
      </c>
      <c r="H428" s="2">
        <f t="shared" si="47"/>
        <v>5.3027950000000006</v>
      </c>
      <c r="I428" s="2">
        <f t="array" ref="I428">SUMPRODUCT(B412:B431, (ROW(B412:B431)-ROW(B412)+1)) / (20*21/2)</f>
        <v>5.6370095238095237</v>
      </c>
      <c r="J428" s="2">
        <f t="shared" si="50"/>
        <v>5.6712701623134354</v>
      </c>
      <c r="K428" s="2">
        <f t="shared" si="44"/>
        <v>5.6141419958735082</v>
      </c>
    </row>
    <row r="429" spans="1:11" ht="13.5" x14ac:dyDescent="0.25">
      <c r="A429" s="3">
        <f>TITRES_STAT!B432</f>
        <v>45544</v>
      </c>
      <c r="B429" s="5">
        <f>TITRES_STAT!D432</f>
        <v>5.6150000000000002</v>
      </c>
      <c r="C429" s="2">
        <f t="shared" si="45"/>
        <v>-1.9000000000000128E-2</v>
      </c>
      <c r="D429" s="2">
        <f t="shared" si="46"/>
        <v>5.6358000000000006</v>
      </c>
      <c r="E429" s="2">
        <f t="shared" si="48"/>
        <v>5.6387000000000009</v>
      </c>
      <c r="F429" s="2">
        <f t="shared" si="49"/>
        <v>5.6653500000000001</v>
      </c>
      <c r="G429" s="2">
        <f t="shared" si="43"/>
        <v>5.6730800000000023</v>
      </c>
      <c r="H429" s="2">
        <f t="shared" si="47"/>
        <v>5.3030150000000011</v>
      </c>
      <c r="I429" s="2">
        <f t="array" ref="I429">SUMPRODUCT(B413:B432, (ROW(B413:B432)-ROW(B413)+1)) / (20*21/2)</f>
        <v>5.6335571428571427</v>
      </c>
      <c r="J429" s="2">
        <f t="shared" si="50"/>
        <v>5.6659110992359656</v>
      </c>
      <c r="K429" s="2">
        <f t="shared" si="44"/>
        <v>5.6141756430941552</v>
      </c>
    </row>
    <row r="430" spans="1:11" ht="13.5" x14ac:dyDescent="0.25">
      <c r="A430" s="3">
        <f>TITRES_STAT!B433</f>
        <v>45545</v>
      </c>
      <c r="B430" s="5">
        <f>TITRES_STAT!D433</f>
        <v>5.6150000000000002</v>
      </c>
      <c r="C430" s="2">
        <f t="shared" si="45"/>
        <v>0</v>
      </c>
      <c r="D430" s="2">
        <f t="shared" si="46"/>
        <v>5.6264000000000012</v>
      </c>
      <c r="E430" s="2">
        <f t="shared" si="48"/>
        <v>5.6377000000000006</v>
      </c>
      <c r="F430" s="2">
        <f t="shared" si="49"/>
        <v>5.6568999999999994</v>
      </c>
      <c r="G430" s="2">
        <f t="shared" si="43"/>
        <v>5.6895800000000021</v>
      </c>
      <c r="H430" s="2">
        <f t="shared" si="47"/>
        <v>5.3031950000000005</v>
      </c>
      <c r="I430" s="2">
        <f t="array" ref="I430">SUMPRODUCT(B414:B433, (ROW(B414:B433)-ROW(B414)+1)) / (20*21/2)</f>
        <v>5.6324047619047626</v>
      </c>
      <c r="J430" s="2">
        <f t="shared" si="50"/>
        <v>5.6610624231182545</v>
      </c>
      <c r="K430" s="2">
        <f t="shared" si="44"/>
        <v>5.6142079708159525</v>
      </c>
    </row>
    <row r="431" spans="1:11" ht="13.5" x14ac:dyDescent="0.25">
      <c r="A431" s="3">
        <f>TITRES_STAT!B434</f>
        <v>45546</v>
      </c>
      <c r="B431" s="5">
        <f>TITRES_STAT!D434</f>
        <v>5.6150000000000002</v>
      </c>
      <c r="C431" s="2">
        <f t="shared" si="45"/>
        <v>0</v>
      </c>
      <c r="D431" s="2">
        <f t="shared" si="46"/>
        <v>5.6226000000000012</v>
      </c>
      <c r="E431" s="2">
        <f t="shared" si="48"/>
        <v>5.6358000000000015</v>
      </c>
      <c r="F431" s="2">
        <f t="shared" si="49"/>
        <v>5.6512499999999992</v>
      </c>
      <c r="G431" s="2">
        <f t="shared" si="43"/>
        <v>5.7060800000000027</v>
      </c>
      <c r="H431" s="2">
        <f t="shared" si="47"/>
        <v>5.3034150000000011</v>
      </c>
      <c r="I431" s="2">
        <f t="array" ref="I431">SUMPRODUCT(B415:B434, (ROW(B415:B434)-ROW(B415)+1)) / (20*21/2)</f>
        <v>5.6316523809523815</v>
      </c>
      <c r="J431" s="2">
        <f t="shared" si="50"/>
        <v>5.6566755256784207</v>
      </c>
      <c r="K431" s="2">
        <f t="shared" si="44"/>
        <v>5.6142390307839545</v>
      </c>
    </row>
    <row r="432" spans="1:11" ht="13.5" x14ac:dyDescent="0.25">
      <c r="A432" s="3">
        <f>TITRES_STAT!B435</f>
        <v>45547</v>
      </c>
      <c r="B432" s="5">
        <f>TITRES_STAT!D435</f>
        <v>5.6150000000000002</v>
      </c>
      <c r="C432" s="2">
        <f t="shared" si="45"/>
        <v>0</v>
      </c>
      <c r="D432" s="2">
        <f t="shared" si="46"/>
        <v>5.6188000000000002</v>
      </c>
      <c r="E432" s="2">
        <f t="shared" si="48"/>
        <v>5.6339000000000015</v>
      </c>
      <c r="F432" s="2">
        <f t="shared" si="49"/>
        <v>5.6460999999999988</v>
      </c>
      <c r="G432" s="2">
        <f t="shared" si="43"/>
        <v>5.7174400000000025</v>
      </c>
      <c r="H432" s="2">
        <f t="shared" si="47"/>
        <v>5.3036800000000008</v>
      </c>
      <c r="I432" s="2">
        <f t="array" ref="I432">SUMPRODUCT(B416:B435, (ROW(B416:B435)-ROW(B416)+1)) / (20*21/2)</f>
        <v>5.6313000000000004</v>
      </c>
      <c r="J432" s="2">
        <f t="shared" si="50"/>
        <v>5.6527064279947616</v>
      </c>
      <c r="K432" s="2">
        <f t="shared" si="44"/>
        <v>5.6142688727139962</v>
      </c>
    </row>
    <row r="433" spans="1:11" ht="13.5" x14ac:dyDescent="0.25">
      <c r="A433" s="3">
        <f>TITRES_STAT!B436</f>
        <v>45548</v>
      </c>
      <c r="B433" s="5">
        <f>TITRES_STAT!D436</f>
        <v>5.6340000000000003</v>
      </c>
      <c r="C433" s="2">
        <f t="shared" si="45"/>
        <v>1.9000000000000128E-2</v>
      </c>
      <c r="D433" s="2">
        <f t="shared" si="46"/>
        <v>5.6188000000000002</v>
      </c>
      <c r="E433" s="2">
        <f t="shared" si="48"/>
        <v>5.6292000000000009</v>
      </c>
      <c r="F433" s="2">
        <f t="shared" si="49"/>
        <v>5.6418999999999988</v>
      </c>
      <c r="G433" s="2">
        <f t="shared" si="43"/>
        <v>5.7272200000000035</v>
      </c>
      <c r="H433" s="2">
        <f t="shared" si="47"/>
        <v>5.3040400000000014</v>
      </c>
      <c r="I433" s="2">
        <f t="array" ref="I433">SUMPRODUCT(B417:B436, (ROW(B417:B436)-ROW(B417)+1)) / (20*21/2)</f>
        <v>5.6313476190476193</v>
      </c>
      <c r="J433" s="2">
        <f t="shared" si="50"/>
        <v>5.6509248634238318</v>
      </c>
      <c r="K433" s="2">
        <f t="shared" si="44"/>
        <v>5.6150426424114865</v>
      </c>
    </row>
    <row r="434" spans="1:11" ht="13.5" x14ac:dyDescent="0.25">
      <c r="A434" s="3">
        <f>TITRES_STAT!B437</f>
        <v>45551</v>
      </c>
      <c r="B434" s="5">
        <f>TITRES_STAT!D437</f>
        <v>5.6340000000000003</v>
      </c>
      <c r="C434" s="2">
        <f t="shared" si="45"/>
        <v>0</v>
      </c>
      <c r="D434" s="2">
        <f t="shared" si="46"/>
        <v>5.6226000000000003</v>
      </c>
      <c r="E434" s="2">
        <f t="shared" si="48"/>
        <v>5.6292000000000009</v>
      </c>
      <c r="F434" s="2">
        <f t="shared" si="49"/>
        <v>5.6376999999999997</v>
      </c>
      <c r="G434" s="2">
        <f t="shared" ref="G434:G497" si="51">AVERAGE(B385:B434)</f>
        <v>5.7347400000000031</v>
      </c>
      <c r="H434" s="2">
        <f t="shared" si="47"/>
        <v>5.3044450000000021</v>
      </c>
      <c r="I434" s="2">
        <f t="array" ref="I434">SUMPRODUCT(B418:B437, (ROW(B418:B437)-ROW(B418)+1)) / (20*21/2)</f>
        <v>5.6403476190476196</v>
      </c>
      <c r="J434" s="2">
        <f t="shared" si="50"/>
        <v>5.6493129716691808</v>
      </c>
      <c r="K434" s="2">
        <f t="shared" si="44"/>
        <v>5.6157860681992711</v>
      </c>
    </row>
    <row r="435" spans="1:11" ht="13.5" x14ac:dyDescent="0.25">
      <c r="A435" s="3">
        <f>TITRES_STAT!B438</f>
        <v>45552</v>
      </c>
      <c r="B435" s="5">
        <f>TITRES_STAT!D438</f>
        <v>5.6340000000000003</v>
      </c>
      <c r="C435" s="2">
        <f t="shared" si="45"/>
        <v>0</v>
      </c>
      <c r="D435" s="2">
        <f t="shared" si="46"/>
        <v>5.6264000000000003</v>
      </c>
      <c r="E435" s="2">
        <f t="shared" si="48"/>
        <v>5.6264000000000012</v>
      </c>
      <c r="F435" s="2">
        <f t="shared" si="49"/>
        <v>5.6334999999999997</v>
      </c>
      <c r="G435" s="2">
        <f t="shared" si="51"/>
        <v>5.7394400000000028</v>
      </c>
      <c r="H435" s="2">
        <f t="shared" si="47"/>
        <v>5.3048050000000027</v>
      </c>
      <c r="I435" s="2">
        <f t="array" ref="I435">SUMPRODUCT(B419:B438, (ROW(B419:B438)-ROW(B419)+1)) / (20*21/2)</f>
        <v>5.6524238095238095</v>
      </c>
      <c r="J435" s="2">
        <f t="shared" si="50"/>
        <v>5.6478545934149729</v>
      </c>
      <c r="K435" s="2">
        <f t="shared" ref="K435:K498" si="52">$K$4*B435+(1-$K$4)*K434</f>
        <v>5.6165003400345936</v>
      </c>
    </row>
    <row r="436" spans="1:11" ht="13.5" x14ac:dyDescent="0.25">
      <c r="A436" s="3">
        <f>TITRES_STAT!B439</f>
        <v>45553</v>
      </c>
      <c r="B436" s="5">
        <f>TITRES_STAT!D439</f>
        <v>5.6340000000000003</v>
      </c>
      <c r="C436" s="2">
        <f t="shared" si="45"/>
        <v>0</v>
      </c>
      <c r="D436" s="2">
        <f t="shared" si="46"/>
        <v>5.6302000000000003</v>
      </c>
      <c r="E436" s="2">
        <f t="shared" si="48"/>
        <v>5.6264000000000012</v>
      </c>
      <c r="F436" s="2">
        <f t="shared" si="49"/>
        <v>5.6334999999999997</v>
      </c>
      <c r="G436" s="2">
        <f t="shared" si="51"/>
        <v>5.7432000000000043</v>
      </c>
      <c r="H436" s="2">
        <f t="shared" si="47"/>
        <v>5.3052550000000034</v>
      </c>
      <c r="I436" s="2">
        <f t="array" ref="I436">SUMPRODUCT(B420:B439, (ROW(B420:B439)-ROW(B420)+1)) / (20*21/2)</f>
        <v>5.664828571428572</v>
      </c>
      <c r="J436" s="2">
        <f t="shared" si="50"/>
        <v>5.6465351083278321</v>
      </c>
      <c r="K436" s="2">
        <f t="shared" si="52"/>
        <v>5.617186601209708</v>
      </c>
    </row>
    <row r="437" spans="1:11" ht="13.5" x14ac:dyDescent="0.25">
      <c r="A437" s="3">
        <f>TITRES_STAT!B440</f>
        <v>45554</v>
      </c>
      <c r="B437" s="5">
        <f>TITRES_STAT!D440</f>
        <v>5.7279999999999998</v>
      </c>
      <c r="C437" s="2">
        <f t="shared" si="45"/>
        <v>9.3999999999999417E-2</v>
      </c>
      <c r="D437" s="2">
        <f t="shared" si="46"/>
        <v>5.6528000000000009</v>
      </c>
      <c r="E437" s="2">
        <f t="shared" si="48"/>
        <v>5.6358000000000006</v>
      </c>
      <c r="F437" s="2">
        <f t="shared" si="49"/>
        <v>5.6381999999999994</v>
      </c>
      <c r="G437" s="2">
        <f t="shared" si="51"/>
        <v>5.7488400000000039</v>
      </c>
      <c r="H437" s="2">
        <f t="shared" si="47"/>
        <v>5.3062200000000033</v>
      </c>
      <c r="I437" s="2">
        <f t="array" ref="I437">SUMPRODUCT(B421:B440, (ROW(B421:B440)-ROW(B421)+1)) / (20*21/2)</f>
        <v>5.6765619047619049</v>
      </c>
      <c r="J437" s="2">
        <f t="shared" si="50"/>
        <v>5.6542936694394665</v>
      </c>
      <c r="K437" s="2">
        <f t="shared" si="52"/>
        <v>5.6215322246916806</v>
      </c>
    </row>
    <row r="438" spans="1:11" ht="13.5" x14ac:dyDescent="0.25">
      <c r="A438" s="3">
        <f>TITRES_STAT!B441</f>
        <v>45555</v>
      </c>
      <c r="B438" s="5">
        <f>TITRES_STAT!D441</f>
        <v>5.7649999999999997</v>
      </c>
      <c r="C438" s="2">
        <f t="shared" si="45"/>
        <v>3.6999999999999922E-2</v>
      </c>
      <c r="D438" s="2">
        <f t="shared" si="46"/>
        <v>5.6790000000000003</v>
      </c>
      <c r="E438" s="2">
        <f t="shared" si="48"/>
        <v>5.6489000000000003</v>
      </c>
      <c r="F438" s="2">
        <f t="shared" si="49"/>
        <v>5.6447499999999993</v>
      </c>
      <c r="G438" s="2">
        <f t="shared" si="51"/>
        <v>5.7514600000000033</v>
      </c>
      <c r="H438" s="2">
        <f t="shared" si="47"/>
        <v>5.3073700000000033</v>
      </c>
      <c r="I438" s="2">
        <f t="array" ref="I438">SUMPRODUCT(B422:B441, (ROW(B422:B441)-ROW(B422)+1)) / (20*21/2)</f>
        <v>5.6866285714285718</v>
      </c>
      <c r="J438" s="2">
        <f t="shared" si="50"/>
        <v>5.6648371294928506</v>
      </c>
      <c r="K438" s="2">
        <f t="shared" si="52"/>
        <v>5.6271584119586731</v>
      </c>
    </row>
    <row r="439" spans="1:11" ht="13.5" x14ac:dyDescent="0.25">
      <c r="A439" s="3">
        <f>TITRES_STAT!B442</f>
        <v>45558</v>
      </c>
      <c r="B439" s="5">
        <f>TITRES_STAT!D442</f>
        <v>5.7750000000000004</v>
      </c>
      <c r="C439" s="2">
        <f t="shared" si="45"/>
        <v>1.0000000000000675E-2</v>
      </c>
      <c r="D439" s="2">
        <f t="shared" si="46"/>
        <v>5.7072000000000003</v>
      </c>
      <c r="E439" s="2">
        <f t="shared" si="48"/>
        <v>5.6649000000000003</v>
      </c>
      <c r="F439" s="2">
        <f t="shared" si="49"/>
        <v>5.6517999999999997</v>
      </c>
      <c r="G439" s="2">
        <f t="shared" si="51"/>
        <v>5.7507200000000021</v>
      </c>
      <c r="H439" s="2">
        <f t="shared" si="47"/>
        <v>5.3086150000000032</v>
      </c>
      <c r="I439" s="2">
        <f t="array" ref="I439">SUMPRODUCT(B423:B442, (ROW(B423:B442)-ROW(B423)+1)) / (20*21/2)</f>
        <v>5.6970238095238095</v>
      </c>
      <c r="J439" s="2">
        <f t="shared" si="50"/>
        <v>5.6753288314459125</v>
      </c>
      <c r="K439" s="2">
        <f t="shared" si="52"/>
        <v>5.6329561212936277</v>
      </c>
    </row>
    <row r="440" spans="1:11" ht="13.5" x14ac:dyDescent="0.25">
      <c r="A440" s="3">
        <f>TITRES_STAT!B443</f>
        <v>45559</v>
      </c>
      <c r="B440" s="5">
        <f>TITRES_STAT!D443</f>
        <v>5.7750000000000004</v>
      </c>
      <c r="C440" s="2">
        <f t="shared" si="45"/>
        <v>0</v>
      </c>
      <c r="D440" s="2">
        <f t="shared" si="46"/>
        <v>5.7354000000000003</v>
      </c>
      <c r="E440" s="2">
        <f t="shared" si="48"/>
        <v>5.6809000000000003</v>
      </c>
      <c r="F440" s="2">
        <f t="shared" si="49"/>
        <v>5.6593000000000009</v>
      </c>
      <c r="G440" s="2">
        <f t="shared" si="51"/>
        <v>5.7486600000000019</v>
      </c>
      <c r="H440" s="2">
        <f t="shared" si="47"/>
        <v>5.309860000000004</v>
      </c>
      <c r="I440" s="2">
        <f t="array" ref="I440">SUMPRODUCT(B424:B443, (ROW(B424:B443)-ROW(B424)+1)) / (20*21/2)</f>
        <v>5.7112238095238093</v>
      </c>
      <c r="J440" s="2">
        <f t="shared" si="50"/>
        <v>5.6848213236891585</v>
      </c>
      <c r="K440" s="2">
        <f t="shared" si="52"/>
        <v>5.6385264694781911</v>
      </c>
    </row>
    <row r="441" spans="1:11" ht="13.5" x14ac:dyDescent="0.25">
      <c r="A441" s="3">
        <f>TITRES_STAT!B444</f>
        <v>45560</v>
      </c>
      <c r="B441" s="5">
        <f>TITRES_STAT!D444</f>
        <v>5.7649999999999997</v>
      </c>
      <c r="C441" s="2">
        <f t="shared" si="45"/>
        <v>-1.0000000000000675E-2</v>
      </c>
      <c r="D441" s="2">
        <f t="shared" si="46"/>
        <v>5.7615999999999996</v>
      </c>
      <c r="E441" s="2">
        <f t="shared" si="48"/>
        <v>5.6959</v>
      </c>
      <c r="F441" s="2">
        <f t="shared" si="49"/>
        <v>5.6658500000000007</v>
      </c>
      <c r="G441" s="2">
        <f t="shared" si="51"/>
        <v>5.7456400000000016</v>
      </c>
      <c r="H441" s="2">
        <f t="shared" si="47"/>
        <v>5.311055000000005</v>
      </c>
      <c r="I441" s="2">
        <f t="array" ref="I441">SUMPRODUCT(B425:B444, (ROW(B425:B444)-ROW(B425)+1)) / (20*21/2)</f>
        <v>5.7247523809523813</v>
      </c>
      <c r="J441" s="2">
        <f t="shared" si="50"/>
        <v>5.6924573880997151</v>
      </c>
      <c r="K441" s="2">
        <f t="shared" si="52"/>
        <v>5.643486215773164</v>
      </c>
    </row>
    <row r="442" spans="1:11" ht="13.5" x14ac:dyDescent="0.25">
      <c r="A442" s="3">
        <f>TITRES_STAT!B445</f>
        <v>45561</v>
      </c>
      <c r="B442" s="5">
        <f>TITRES_STAT!D445</f>
        <v>5.7750000000000004</v>
      </c>
      <c r="C442" s="2">
        <f t="shared" si="45"/>
        <v>1.0000000000000675E-2</v>
      </c>
      <c r="D442" s="2">
        <f t="shared" si="46"/>
        <v>5.770999999999999</v>
      </c>
      <c r="E442" s="2">
        <f t="shared" si="48"/>
        <v>5.7119</v>
      </c>
      <c r="F442" s="2">
        <f t="shared" si="49"/>
        <v>5.6729000000000012</v>
      </c>
      <c r="G442" s="2">
        <f t="shared" si="51"/>
        <v>5.7418800000000019</v>
      </c>
      <c r="H442" s="2">
        <f t="shared" si="47"/>
        <v>5.3123000000000049</v>
      </c>
      <c r="I442" s="2">
        <f t="array" ref="I442">SUMPRODUCT(B426:B445, (ROW(B426:B445)-ROW(B426)+1)) / (20*21/2)</f>
        <v>5.7373857142857148</v>
      </c>
      <c r="J442" s="2">
        <f t="shared" si="50"/>
        <v>5.7003185892330759</v>
      </c>
      <c r="K442" s="2">
        <f t="shared" si="52"/>
        <v>5.6486436190761777</v>
      </c>
    </row>
    <row r="443" spans="1:11" ht="13.5" x14ac:dyDescent="0.25">
      <c r="A443" s="3">
        <f>TITRES_STAT!B446</f>
        <v>45562</v>
      </c>
      <c r="B443" s="5">
        <f>TITRES_STAT!D446</f>
        <v>5.8220000000000001</v>
      </c>
      <c r="C443" s="2">
        <f t="shared" si="45"/>
        <v>4.6999999999999709E-2</v>
      </c>
      <c r="D443" s="2">
        <f t="shared" si="46"/>
        <v>5.7824000000000009</v>
      </c>
      <c r="E443" s="2">
        <f t="shared" si="48"/>
        <v>5.7307000000000006</v>
      </c>
      <c r="F443" s="2">
        <f t="shared" si="49"/>
        <v>5.6799500000000007</v>
      </c>
      <c r="G443" s="2">
        <f t="shared" si="51"/>
        <v>5.7394400000000019</v>
      </c>
      <c r="H443" s="2">
        <f t="shared" si="47"/>
        <v>5.3139100000000044</v>
      </c>
      <c r="I443" s="2">
        <f t="array" ref="I443">SUMPRODUCT(B427:B446, (ROW(B427:B446)-ROW(B427)+1)) / (20*21/2)</f>
        <v>5.7483047619047634</v>
      </c>
      <c r="J443" s="2">
        <f t="shared" si="50"/>
        <v>5.711907295020402</v>
      </c>
      <c r="K443" s="2">
        <f t="shared" si="52"/>
        <v>5.6554419085241712</v>
      </c>
    </row>
    <row r="444" spans="1:11" ht="13.5" x14ac:dyDescent="0.25">
      <c r="A444" s="3">
        <f>TITRES_STAT!B447</f>
        <v>45565</v>
      </c>
      <c r="B444" s="5">
        <f>TITRES_STAT!D447</f>
        <v>5.8220000000000001</v>
      </c>
      <c r="C444" s="2">
        <f t="shared" si="45"/>
        <v>0</v>
      </c>
      <c r="D444" s="2">
        <f t="shared" si="46"/>
        <v>5.7917999999999994</v>
      </c>
      <c r="E444" s="2">
        <f t="shared" si="48"/>
        <v>5.7495000000000003</v>
      </c>
      <c r="F444" s="2">
        <f t="shared" si="49"/>
        <v>5.689350000000001</v>
      </c>
      <c r="G444" s="2">
        <f t="shared" si="51"/>
        <v>5.7381400000000022</v>
      </c>
      <c r="H444" s="2">
        <f t="shared" si="47"/>
        <v>5.3159650000000029</v>
      </c>
      <c r="I444" s="2">
        <f t="array" ref="I444">SUMPRODUCT(B428:B447, (ROW(B428:B447)-ROW(B428)+1)) / (20*21/2)</f>
        <v>5.7548523809523822</v>
      </c>
      <c r="J444" s="2">
        <f t="shared" si="50"/>
        <v>5.7223923145422688</v>
      </c>
      <c r="K444" s="2">
        <f t="shared" si="52"/>
        <v>5.661973598385968</v>
      </c>
    </row>
    <row r="445" spans="1:11" ht="13.5" x14ac:dyDescent="0.25">
      <c r="A445" s="3">
        <f>TITRES_STAT!B448</f>
        <v>45566</v>
      </c>
      <c r="B445" s="5">
        <f>TITRES_STAT!D448</f>
        <v>5.8220000000000001</v>
      </c>
      <c r="C445" s="2">
        <f t="shared" si="45"/>
        <v>0</v>
      </c>
      <c r="D445" s="2">
        <f t="shared" si="46"/>
        <v>5.8011999999999997</v>
      </c>
      <c r="E445" s="2">
        <f t="shared" si="48"/>
        <v>5.7683000000000009</v>
      </c>
      <c r="F445" s="2">
        <f t="shared" si="49"/>
        <v>5.6973500000000019</v>
      </c>
      <c r="G445" s="2">
        <f t="shared" si="51"/>
        <v>5.7368400000000035</v>
      </c>
      <c r="H445" s="2">
        <f t="shared" si="47"/>
        <v>5.3180650000000016</v>
      </c>
      <c r="I445" s="2">
        <f t="array" ref="I445">SUMPRODUCT(B429:B448, (ROW(B429:B448)-ROW(B429)+1)) / (20*21/2)</f>
        <v>5.7607285714285723</v>
      </c>
      <c r="J445" s="2">
        <f t="shared" si="50"/>
        <v>5.7318787607763388</v>
      </c>
      <c r="K445" s="2">
        <f t="shared" si="52"/>
        <v>5.6682491435473024</v>
      </c>
    </row>
    <row r="446" spans="1:11" ht="13.5" x14ac:dyDescent="0.25">
      <c r="A446" s="3">
        <f>TITRES_STAT!B449</f>
        <v>45567</v>
      </c>
      <c r="B446" s="5">
        <f>TITRES_STAT!D449</f>
        <v>5.8120000000000003</v>
      </c>
      <c r="C446" s="2">
        <f t="shared" si="45"/>
        <v>-9.9999999999997868E-3</v>
      </c>
      <c r="D446" s="2">
        <f t="shared" si="46"/>
        <v>5.8106</v>
      </c>
      <c r="E446" s="2">
        <f t="shared" si="48"/>
        <v>5.7861000000000002</v>
      </c>
      <c r="F446" s="2">
        <f t="shared" si="49"/>
        <v>5.7062500000000016</v>
      </c>
      <c r="G446" s="2">
        <f t="shared" si="51"/>
        <v>5.7359000000000027</v>
      </c>
      <c r="H446" s="2">
        <f t="shared" si="47"/>
        <v>5.3198949999999998</v>
      </c>
      <c r="I446" s="2">
        <f t="array" ref="I446">SUMPRODUCT(B430:B449, (ROW(B430:B449)-ROW(B430)+1)) / (20*21/2)</f>
        <v>5.7704095238095237</v>
      </c>
      <c r="J446" s="2">
        <f t="shared" si="50"/>
        <v>5.7395093549881153</v>
      </c>
      <c r="K446" s="2">
        <f t="shared" si="52"/>
        <v>5.6738864320356441</v>
      </c>
    </row>
    <row r="447" spans="1:11" ht="13.5" x14ac:dyDescent="0.25">
      <c r="A447" s="3">
        <f>TITRES_STAT!B450</f>
        <v>45568</v>
      </c>
      <c r="B447" s="5">
        <f>TITRES_STAT!D450</f>
        <v>5.7750000000000004</v>
      </c>
      <c r="C447" s="2">
        <f t="shared" si="45"/>
        <v>-3.6999999999999922E-2</v>
      </c>
      <c r="D447" s="2">
        <f t="shared" si="46"/>
        <v>5.8106000000000009</v>
      </c>
      <c r="E447" s="2">
        <f t="shared" si="48"/>
        <v>5.7907999999999999</v>
      </c>
      <c r="F447" s="2">
        <f t="shared" si="49"/>
        <v>5.713300000000002</v>
      </c>
      <c r="G447" s="2">
        <f t="shared" si="51"/>
        <v>5.7342200000000023</v>
      </c>
      <c r="H447" s="2">
        <f t="shared" si="47"/>
        <v>5.321625</v>
      </c>
      <c r="I447" s="2">
        <f t="array" ref="I447">SUMPRODUCT(B431:B450, (ROW(B431:B450)-ROW(B431)+1)) / (20*21/2)</f>
        <v>5.7638666666666669</v>
      </c>
      <c r="J447" s="2">
        <f t="shared" si="50"/>
        <v>5.7428894164178184</v>
      </c>
      <c r="K447" s="2">
        <f t="shared" si="52"/>
        <v>5.6778516699950305</v>
      </c>
    </row>
    <row r="448" spans="1:11" ht="13.5" x14ac:dyDescent="0.25">
      <c r="A448" s="3">
        <f>TITRES_STAT!B451</f>
        <v>45569</v>
      </c>
      <c r="B448" s="5">
        <f>TITRES_STAT!D451</f>
        <v>5.7750000000000004</v>
      </c>
      <c r="C448" s="2">
        <f t="shared" si="45"/>
        <v>0</v>
      </c>
      <c r="D448" s="2">
        <f t="shared" si="46"/>
        <v>5.8011999999999997</v>
      </c>
      <c r="E448" s="2">
        <f t="shared" si="48"/>
        <v>5.7918000000000003</v>
      </c>
      <c r="F448" s="2">
        <f t="shared" si="49"/>
        <v>5.7203500000000016</v>
      </c>
      <c r="G448" s="2">
        <f t="shared" si="51"/>
        <v>5.7314000000000007</v>
      </c>
      <c r="H448" s="2">
        <f t="shared" si="47"/>
        <v>5.3234450000000004</v>
      </c>
      <c r="I448" s="2">
        <f t="array" ref="I448">SUMPRODUCT(B432:B451, (ROW(B432:B451)-ROW(B432)+1)) / (20*21/2)</f>
        <v>5.7678619047619053</v>
      </c>
      <c r="J448" s="2">
        <f t="shared" si="50"/>
        <v>5.7459475672351692</v>
      </c>
      <c r="K448" s="2">
        <f t="shared" si="52"/>
        <v>5.6816614084265984</v>
      </c>
    </row>
    <row r="449" spans="1:11" ht="13.5" x14ac:dyDescent="0.25">
      <c r="A449" s="3">
        <f>TITRES_STAT!B452</f>
        <v>45572</v>
      </c>
      <c r="B449" s="5">
        <f>TITRES_STAT!D452</f>
        <v>5.8220000000000001</v>
      </c>
      <c r="C449" s="2">
        <f t="shared" si="45"/>
        <v>4.6999999999999709E-2</v>
      </c>
      <c r="D449" s="2">
        <f t="shared" si="46"/>
        <v>5.8011999999999997</v>
      </c>
      <c r="E449" s="2">
        <f t="shared" si="48"/>
        <v>5.7965</v>
      </c>
      <c r="F449" s="2">
        <f t="shared" si="49"/>
        <v>5.7307000000000006</v>
      </c>
      <c r="G449" s="2">
        <f t="shared" si="51"/>
        <v>5.7299000000000015</v>
      </c>
      <c r="H449" s="2">
        <f t="shared" si="47"/>
        <v>5.3254549999999998</v>
      </c>
      <c r="I449" s="2">
        <f t="array" ref="I449">SUMPRODUCT(B433:B452, (ROW(B433:B452)-ROW(B433)+1)) / (20*21/2)</f>
        <v>5.7710952380952385</v>
      </c>
      <c r="J449" s="2">
        <f t="shared" si="50"/>
        <v>5.7531906560699149</v>
      </c>
      <c r="K449" s="2">
        <f t="shared" si="52"/>
        <v>5.6871648826059475</v>
      </c>
    </row>
    <row r="450" spans="1:11" ht="13.5" x14ac:dyDescent="0.25">
      <c r="A450" s="3">
        <f>TITRES_STAT!B453</f>
        <v>45573</v>
      </c>
      <c r="B450" s="5">
        <f>TITRES_STAT!D453</f>
        <v>5.6619999999999999</v>
      </c>
      <c r="C450" s="2">
        <f t="shared" si="45"/>
        <v>-0.16000000000000014</v>
      </c>
      <c r="D450" s="2">
        <f t="shared" si="46"/>
        <v>5.7691999999999997</v>
      </c>
      <c r="E450" s="2">
        <f t="shared" si="48"/>
        <v>5.7851999999999997</v>
      </c>
      <c r="F450" s="2">
        <f t="shared" si="49"/>
        <v>5.7330500000000013</v>
      </c>
      <c r="G450" s="2">
        <f t="shared" si="51"/>
        <v>5.725200000000001</v>
      </c>
      <c r="H450" s="2">
        <f t="shared" si="47"/>
        <v>5.3267549999999995</v>
      </c>
      <c r="I450" s="2">
        <f t="array" ref="I450">SUMPRODUCT(B434:B453, (ROW(B434:B453)-ROW(B434)+1)) / (20*21/2)</f>
        <v>5.7807095238095254</v>
      </c>
      <c r="J450" s="2">
        <f t="shared" si="50"/>
        <v>5.7445058316823037</v>
      </c>
      <c r="K450" s="2">
        <f t="shared" si="52"/>
        <v>5.6861780244645379</v>
      </c>
    </row>
    <row r="451" spans="1:11" ht="13.5" x14ac:dyDescent="0.25">
      <c r="A451" s="3">
        <f>TITRES_STAT!B454</f>
        <v>45574</v>
      </c>
      <c r="B451" s="5">
        <f>TITRES_STAT!D454</f>
        <v>5.7750000000000004</v>
      </c>
      <c r="C451" s="2">
        <f t="shared" si="45"/>
        <v>0.11300000000000043</v>
      </c>
      <c r="D451" s="2">
        <f t="shared" si="46"/>
        <v>5.7617999999999991</v>
      </c>
      <c r="E451" s="2">
        <f t="shared" si="48"/>
        <v>5.7862</v>
      </c>
      <c r="F451" s="2">
        <f t="shared" si="49"/>
        <v>5.7410500000000013</v>
      </c>
      <c r="G451" s="2">
        <f t="shared" si="51"/>
        <v>5.7242600000000001</v>
      </c>
      <c r="H451" s="2">
        <f t="shared" si="47"/>
        <v>5.3286650000000009</v>
      </c>
      <c r="I451" s="2">
        <f t="array" ref="I451">SUMPRODUCT(B435:B454, (ROW(B435:B454)-ROW(B435)+1)) / (20*21/2)</f>
        <v>5.7758666666666691</v>
      </c>
      <c r="J451" s="2">
        <f t="shared" si="50"/>
        <v>5.7474100381887512</v>
      </c>
      <c r="K451" s="2">
        <f t="shared" si="52"/>
        <v>5.6896612391914188</v>
      </c>
    </row>
    <row r="452" spans="1:11" ht="13.5" x14ac:dyDescent="0.25">
      <c r="A452" s="3">
        <f>TITRES_STAT!B455</f>
        <v>45575</v>
      </c>
      <c r="B452" s="5">
        <f>TITRES_STAT!D455</f>
        <v>5.7750000000000004</v>
      </c>
      <c r="C452" s="2">
        <f t="shared" ref="C452:C515" si="53">B452-B451</f>
        <v>0</v>
      </c>
      <c r="D452" s="2">
        <f t="shared" si="46"/>
        <v>5.7617999999999991</v>
      </c>
      <c r="E452" s="2">
        <f t="shared" si="48"/>
        <v>5.7862</v>
      </c>
      <c r="F452" s="2">
        <f t="shared" si="49"/>
        <v>5.7490500000000022</v>
      </c>
      <c r="G452" s="2">
        <f t="shared" si="51"/>
        <v>5.7214400000000012</v>
      </c>
      <c r="H452" s="2">
        <f t="shared" si="47"/>
        <v>5.3305750000000014</v>
      </c>
      <c r="I452" s="2">
        <f t="array" ref="I452">SUMPRODUCT(B436:B455, (ROW(B436:B455)-ROW(B436)+1)) / (20*21/2)</f>
        <v>5.7769523809523804</v>
      </c>
      <c r="J452" s="2">
        <f t="shared" si="50"/>
        <v>5.750037653599346</v>
      </c>
      <c r="K452" s="2">
        <f t="shared" si="52"/>
        <v>5.6930078572623435</v>
      </c>
    </row>
    <row r="453" spans="1:11" ht="13.5" x14ac:dyDescent="0.25">
      <c r="A453" s="3">
        <f>TITRES_STAT!B456</f>
        <v>45576</v>
      </c>
      <c r="B453" s="5">
        <f>TITRES_STAT!D456</f>
        <v>5.85</v>
      </c>
      <c r="C453" s="2">
        <f t="shared" si="53"/>
        <v>7.4999999999999289E-2</v>
      </c>
      <c r="D453" s="2">
        <f t="shared" si="46"/>
        <v>5.7767999999999997</v>
      </c>
      <c r="E453" s="2">
        <f t="shared" si="48"/>
        <v>5.7889999999999997</v>
      </c>
      <c r="F453" s="2">
        <f t="shared" si="49"/>
        <v>5.7598500000000019</v>
      </c>
      <c r="G453" s="2">
        <f t="shared" si="51"/>
        <v>5.7201200000000014</v>
      </c>
      <c r="H453" s="2">
        <f t="shared" si="47"/>
        <v>5.3328600000000002</v>
      </c>
      <c r="I453" s="2">
        <f t="array" ref="I453">SUMPRODUCT(B437:B456, (ROW(B437:B456)-ROW(B437)+1)) / (20*21/2)</f>
        <v>5.7773666666666657</v>
      </c>
      <c r="J453" s="2">
        <f t="shared" si="50"/>
        <v>5.7595578770660749</v>
      </c>
      <c r="K453" s="2">
        <f t="shared" si="52"/>
        <v>5.6991644118795071</v>
      </c>
    </row>
    <row r="454" spans="1:11" ht="13.5" x14ac:dyDescent="0.25">
      <c r="A454" s="3">
        <f>TITRES_STAT!B457</f>
        <v>45579</v>
      </c>
      <c r="B454" s="5">
        <f>TITRES_STAT!D457</f>
        <v>5.7089999999999996</v>
      </c>
      <c r="C454" s="2">
        <f t="shared" si="53"/>
        <v>-0.14100000000000001</v>
      </c>
      <c r="D454" s="2">
        <f t="shared" ref="D454:D517" si="54">AVERAGE(B450:B454)</f>
        <v>5.7542000000000009</v>
      </c>
      <c r="E454" s="2">
        <f t="shared" si="48"/>
        <v>5.7777000000000003</v>
      </c>
      <c r="F454" s="2">
        <f t="shared" si="49"/>
        <v>5.7636000000000021</v>
      </c>
      <c r="G454" s="2">
        <f t="shared" si="51"/>
        <v>5.7163600000000017</v>
      </c>
      <c r="H454" s="2">
        <f t="shared" si="47"/>
        <v>5.3344400000000007</v>
      </c>
      <c r="I454" s="2">
        <f t="array" ref="I454">SUMPRODUCT(B438:B457, (ROW(B438:B457)-ROW(B438)+1)) / (20*21/2)</f>
        <v>5.7842523809523811</v>
      </c>
      <c r="J454" s="2">
        <f t="shared" si="50"/>
        <v>5.7547428411550197</v>
      </c>
      <c r="K454" s="2">
        <f t="shared" si="52"/>
        <v>5.6995501212175661</v>
      </c>
    </row>
    <row r="455" spans="1:11" ht="13.5" x14ac:dyDescent="0.25">
      <c r="A455" s="3">
        <f>TITRES_STAT!B458</f>
        <v>45581</v>
      </c>
      <c r="B455" s="5">
        <f>TITRES_STAT!D458</f>
        <v>5.7750000000000004</v>
      </c>
      <c r="C455" s="2">
        <f t="shared" si="53"/>
        <v>6.6000000000000725E-2</v>
      </c>
      <c r="D455" s="2">
        <f t="shared" si="54"/>
        <v>5.7767999999999997</v>
      </c>
      <c r="E455" s="2">
        <f t="shared" si="48"/>
        <v>5.7729999999999997</v>
      </c>
      <c r="F455" s="2">
        <f t="shared" si="49"/>
        <v>5.7706500000000016</v>
      </c>
      <c r="G455" s="2">
        <f t="shared" si="51"/>
        <v>5.7143000000000015</v>
      </c>
      <c r="H455" s="2">
        <f t="shared" si="47"/>
        <v>5.3367050000000003</v>
      </c>
      <c r="I455" s="2">
        <f t="array" ref="I455">SUMPRODUCT(B439:B458, (ROW(B439:B458)-ROW(B439)+1)) / (20*21/2)</f>
        <v>5.7869380952380958</v>
      </c>
      <c r="J455" s="2">
        <f t="shared" si="50"/>
        <v>5.7566720943783514</v>
      </c>
      <c r="K455" s="2">
        <f t="shared" si="52"/>
        <v>5.702508939993348</v>
      </c>
    </row>
    <row r="456" spans="1:11" ht="13.5" x14ac:dyDescent="0.25">
      <c r="A456" s="3">
        <f>TITRES_STAT!B459</f>
        <v>45582</v>
      </c>
      <c r="B456" s="5">
        <f>TITRES_STAT!D459</f>
        <v>5.7750000000000004</v>
      </c>
      <c r="C456" s="2">
        <f t="shared" si="53"/>
        <v>0</v>
      </c>
      <c r="D456" s="2">
        <f t="shared" si="54"/>
        <v>5.7767999999999997</v>
      </c>
      <c r="E456" s="2">
        <f t="shared" si="48"/>
        <v>5.7692999999999994</v>
      </c>
      <c r="F456" s="2">
        <f t="shared" si="49"/>
        <v>5.7777000000000012</v>
      </c>
      <c r="G456" s="2">
        <f t="shared" si="51"/>
        <v>5.7135600000000011</v>
      </c>
      <c r="H456" s="2">
        <f t="shared" si="47"/>
        <v>5.3387900000000013</v>
      </c>
      <c r="I456" s="2">
        <f t="array" ref="I456">SUMPRODUCT(B440:B459, (ROW(B440:B459)-ROW(B440)+1)) / (20*21/2)</f>
        <v>5.790352380952382</v>
      </c>
      <c r="J456" s="2">
        <f t="shared" si="50"/>
        <v>5.7584176091994603</v>
      </c>
      <c r="K456" s="2">
        <f t="shared" si="52"/>
        <v>5.7053517266602753</v>
      </c>
    </row>
    <row r="457" spans="1:11" ht="13.5" x14ac:dyDescent="0.25">
      <c r="A457" s="3">
        <f>TITRES_STAT!B460</f>
        <v>45583</v>
      </c>
      <c r="B457" s="5">
        <f>TITRES_STAT!D460</f>
        <v>5.85</v>
      </c>
      <c r="C457" s="2">
        <f t="shared" si="53"/>
        <v>7.4999999999999289E-2</v>
      </c>
      <c r="D457" s="2">
        <f t="shared" si="54"/>
        <v>5.7918000000000003</v>
      </c>
      <c r="E457" s="2">
        <f t="shared" si="48"/>
        <v>5.7767999999999997</v>
      </c>
      <c r="F457" s="2">
        <f t="shared" si="49"/>
        <v>5.7838000000000012</v>
      </c>
      <c r="G457" s="2">
        <f t="shared" si="51"/>
        <v>5.7143200000000025</v>
      </c>
      <c r="H457" s="2">
        <f t="shared" si="47"/>
        <v>5.3412500000000014</v>
      </c>
      <c r="I457" s="2">
        <f t="array" ref="I457">SUMPRODUCT(B441:B460, (ROW(B441:B460)-ROW(B441)+1)) / (20*21/2)</f>
        <v>5.7890666666666668</v>
      </c>
      <c r="J457" s="2">
        <f t="shared" si="50"/>
        <v>5.7671397416566546</v>
      </c>
      <c r="K457" s="2">
        <f t="shared" si="52"/>
        <v>5.711024207967716</v>
      </c>
    </row>
    <row r="458" spans="1:11" ht="13.5" x14ac:dyDescent="0.25">
      <c r="A458" s="3">
        <f>TITRES_STAT!B461</f>
        <v>45586</v>
      </c>
      <c r="B458" s="5">
        <f>TITRES_STAT!D461</f>
        <v>5.8120000000000003</v>
      </c>
      <c r="C458" s="2">
        <f t="shared" si="53"/>
        <v>-3.7999999999999368E-2</v>
      </c>
      <c r="D458" s="2">
        <f t="shared" si="54"/>
        <v>5.7842000000000002</v>
      </c>
      <c r="E458" s="2">
        <f t="shared" si="48"/>
        <v>5.7805</v>
      </c>
      <c r="F458" s="2">
        <f t="shared" si="49"/>
        <v>5.786150000000001</v>
      </c>
      <c r="G458" s="2">
        <f t="shared" si="51"/>
        <v>5.7143200000000025</v>
      </c>
      <c r="H458" s="2">
        <f t="shared" ref="H458:H521" si="55">AVERAGE(B259:B458)</f>
        <v>5.3445850000000021</v>
      </c>
      <c r="I458" s="2">
        <f t="array" ref="I458">SUMPRODUCT(B442:B461, (ROW(B442:B461)-ROW(B442)+1)) / (20*21/2)</f>
        <v>5.7967333333333322</v>
      </c>
      <c r="J458" s="2">
        <f t="shared" si="50"/>
        <v>5.7714121472131641</v>
      </c>
      <c r="K458" s="2">
        <f t="shared" si="52"/>
        <v>5.714984042949375</v>
      </c>
    </row>
    <row r="459" spans="1:11" ht="13.5" x14ac:dyDescent="0.25">
      <c r="A459" s="3">
        <f>TITRES_STAT!B462</f>
        <v>45587</v>
      </c>
      <c r="B459" s="5">
        <f>TITRES_STAT!D462</f>
        <v>5.8220000000000001</v>
      </c>
      <c r="C459" s="2">
        <f t="shared" si="53"/>
        <v>9.9999999999997868E-3</v>
      </c>
      <c r="D459" s="2">
        <f t="shared" si="54"/>
        <v>5.8068</v>
      </c>
      <c r="E459" s="2">
        <f t="shared" si="48"/>
        <v>5.7805000000000009</v>
      </c>
      <c r="F459" s="2">
        <f t="shared" si="49"/>
        <v>5.7885000000000009</v>
      </c>
      <c r="G459" s="2">
        <f t="shared" si="51"/>
        <v>5.7145200000000012</v>
      </c>
      <c r="H459" s="2">
        <f t="shared" si="55"/>
        <v>5.3482349999999999</v>
      </c>
      <c r="I459" s="2">
        <f t="array" ref="I459">SUMPRODUCT(B443:B462, (ROW(B443:B462)-ROW(B443)+1)) / (20*21/2)</f>
        <v>5.8039047619047626</v>
      </c>
      <c r="J459" s="2">
        <f t="shared" si="50"/>
        <v>5.7762300379547673</v>
      </c>
      <c r="K459" s="2">
        <f t="shared" si="52"/>
        <v>5.7191807471474387</v>
      </c>
    </row>
    <row r="460" spans="1:11" ht="13.5" x14ac:dyDescent="0.25">
      <c r="A460" s="3">
        <f>TITRES_STAT!B463</f>
        <v>45588</v>
      </c>
      <c r="B460" s="5">
        <f>TITRES_STAT!D463</f>
        <v>5.7750000000000004</v>
      </c>
      <c r="C460" s="2">
        <f t="shared" si="53"/>
        <v>-4.6999999999999709E-2</v>
      </c>
      <c r="D460" s="2">
        <f t="shared" si="54"/>
        <v>5.8068</v>
      </c>
      <c r="E460" s="2">
        <f t="shared" ref="E460:E523" si="56">AVERAGE(B451:B460)</f>
        <v>5.7918000000000003</v>
      </c>
      <c r="F460" s="2">
        <f t="shared" si="49"/>
        <v>5.7885000000000009</v>
      </c>
      <c r="G460" s="2">
        <f t="shared" si="51"/>
        <v>5.7143400000000009</v>
      </c>
      <c r="H460" s="2">
        <f t="shared" si="55"/>
        <v>5.3518300000000014</v>
      </c>
      <c r="I460" s="2">
        <f t="array" ref="I460">SUMPRODUCT(B444:B463, (ROW(B444:B463)-ROW(B444)+1)) / (20*21/2)</f>
        <v>5.8106285714285715</v>
      </c>
      <c r="J460" s="2">
        <f t="shared" si="50"/>
        <v>5.7761128914828843</v>
      </c>
      <c r="K460" s="2">
        <f t="shared" si="52"/>
        <v>5.7213697374553822</v>
      </c>
    </row>
    <row r="461" spans="1:11" ht="13.5" x14ac:dyDescent="0.25">
      <c r="A461" s="3">
        <f>TITRES_STAT!B464</f>
        <v>45589</v>
      </c>
      <c r="B461" s="5">
        <f>TITRES_STAT!D464</f>
        <v>5.8689999999999998</v>
      </c>
      <c r="C461" s="2">
        <f t="shared" si="53"/>
        <v>9.3999999999999417E-2</v>
      </c>
      <c r="D461" s="2">
        <f t="shared" si="54"/>
        <v>5.8255999999999997</v>
      </c>
      <c r="E461" s="2">
        <f t="shared" si="56"/>
        <v>5.8011999999999997</v>
      </c>
      <c r="F461" s="2">
        <f t="shared" si="49"/>
        <v>5.7937000000000003</v>
      </c>
      <c r="G461" s="2">
        <f t="shared" si="51"/>
        <v>5.7171600000000016</v>
      </c>
      <c r="H461" s="2">
        <f t="shared" si="55"/>
        <v>5.3558950000000003</v>
      </c>
      <c r="I461" s="2">
        <f t="array" ref="I461">SUMPRODUCT(B445:B464, (ROW(B445:B464)-ROW(B445)+1)) / (20*21/2)</f>
        <v>5.8171285714285723</v>
      </c>
      <c r="J461" s="2">
        <f t="shared" si="50"/>
        <v>5.7849592827702292</v>
      </c>
      <c r="K461" s="2">
        <f t="shared" si="52"/>
        <v>5.7271591595159554</v>
      </c>
    </row>
    <row r="462" spans="1:11" ht="13.5" x14ac:dyDescent="0.25">
      <c r="A462" s="3">
        <f>TITRES_STAT!B465</f>
        <v>45590</v>
      </c>
      <c r="B462" s="5">
        <f>TITRES_STAT!D465</f>
        <v>5.8689999999999998</v>
      </c>
      <c r="C462" s="2">
        <f t="shared" si="53"/>
        <v>0</v>
      </c>
      <c r="D462" s="2">
        <f t="shared" si="54"/>
        <v>5.8293999999999997</v>
      </c>
      <c r="E462" s="2">
        <f t="shared" si="56"/>
        <v>5.8106</v>
      </c>
      <c r="F462" s="2">
        <f t="shared" si="49"/>
        <v>5.7984000000000009</v>
      </c>
      <c r="G462" s="2">
        <f t="shared" si="51"/>
        <v>5.72018</v>
      </c>
      <c r="H462" s="2">
        <f t="shared" si="55"/>
        <v>5.3600049999999984</v>
      </c>
      <c r="I462" s="2">
        <f t="array" ref="I462">SUMPRODUCT(B446:B465, (ROW(B446:B465)-ROW(B446)+1)) / (20*21/2)</f>
        <v>5.8189285714285717</v>
      </c>
      <c r="J462" s="2">
        <f t="shared" si="50"/>
        <v>5.7929631606016354</v>
      </c>
      <c r="K462" s="2">
        <f t="shared" si="52"/>
        <v>5.7327215454172906</v>
      </c>
    </row>
    <row r="463" spans="1:11" ht="13.5" x14ac:dyDescent="0.25">
      <c r="A463" s="3">
        <f>TITRES_STAT!B466</f>
        <v>45593</v>
      </c>
      <c r="B463" s="5">
        <f>TITRES_STAT!D466</f>
        <v>5.8689999999999998</v>
      </c>
      <c r="C463" s="2">
        <f t="shared" si="53"/>
        <v>0</v>
      </c>
      <c r="D463" s="2">
        <f t="shared" si="54"/>
        <v>5.8407999999999998</v>
      </c>
      <c r="E463" s="2">
        <f t="shared" si="56"/>
        <v>5.8125</v>
      </c>
      <c r="F463" s="2">
        <f t="shared" si="49"/>
        <v>5.8007500000000007</v>
      </c>
      <c r="G463" s="2">
        <f t="shared" si="51"/>
        <v>5.7232000000000021</v>
      </c>
      <c r="H463" s="2">
        <f t="shared" si="55"/>
        <v>5.3649549999999975</v>
      </c>
      <c r="I463" s="2">
        <f t="array" ref="I463">SUMPRODUCT(B447:B466, (ROW(B447:B466)-ROW(B447)+1)) / (20*21/2)</f>
        <v>5.8207285714285719</v>
      </c>
      <c r="J463" s="2">
        <f t="shared" si="50"/>
        <v>5.800204764353861</v>
      </c>
      <c r="K463" s="2">
        <f t="shared" si="52"/>
        <v>5.7380657985381811</v>
      </c>
    </row>
    <row r="464" spans="1:11" ht="13.5" x14ac:dyDescent="0.25">
      <c r="A464" s="3">
        <f>TITRES_STAT!B467</f>
        <v>45594</v>
      </c>
      <c r="B464" s="5">
        <f>TITRES_STAT!D467</f>
        <v>5.8689999999999998</v>
      </c>
      <c r="C464" s="2">
        <f t="shared" si="53"/>
        <v>0</v>
      </c>
      <c r="D464" s="2">
        <f t="shared" si="54"/>
        <v>5.8501999999999992</v>
      </c>
      <c r="E464" s="2">
        <f t="shared" si="56"/>
        <v>5.8285</v>
      </c>
      <c r="F464" s="2">
        <f t="shared" si="49"/>
        <v>5.8030999999999997</v>
      </c>
      <c r="G464" s="2">
        <f t="shared" si="51"/>
        <v>5.7262200000000032</v>
      </c>
      <c r="H464" s="2">
        <f t="shared" si="55"/>
        <v>5.3694649999999964</v>
      </c>
      <c r="I464" s="2">
        <f t="array" ref="I464">SUMPRODUCT(B448:B467, (ROW(B448:B467)-ROW(B448)+1)) / (20*21/2)</f>
        <v>5.8224809523809524</v>
      </c>
      <c r="J464" s="2">
        <f t="shared" si="50"/>
        <v>5.806756691558256</v>
      </c>
      <c r="K464" s="2">
        <f t="shared" si="52"/>
        <v>5.7432004731053112</v>
      </c>
    </row>
    <row r="465" spans="1:11" ht="13.5" x14ac:dyDescent="0.25">
      <c r="A465" s="3">
        <f>TITRES_STAT!B468</f>
        <v>45595</v>
      </c>
      <c r="B465" s="5">
        <f>TITRES_STAT!D468</f>
        <v>5.8220000000000001</v>
      </c>
      <c r="C465" s="2">
        <f t="shared" si="53"/>
        <v>-4.6999999999999709E-2</v>
      </c>
      <c r="D465" s="2">
        <f t="shared" si="54"/>
        <v>5.8595999999999995</v>
      </c>
      <c r="E465" s="2">
        <f t="shared" si="56"/>
        <v>5.8331999999999997</v>
      </c>
      <c r="F465" s="2">
        <f t="shared" si="49"/>
        <v>5.8030999999999997</v>
      </c>
      <c r="G465" s="2">
        <f t="shared" si="51"/>
        <v>5.7283000000000017</v>
      </c>
      <c r="H465" s="2">
        <f t="shared" si="55"/>
        <v>5.3733399999999962</v>
      </c>
      <c r="I465" s="2">
        <f t="array" ref="I465">SUMPRODUCT(B449:B468, (ROW(B449:B468)-ROW(B449)+1)) / (20*21/2)</f>
        <v>5.8195333333333323</v>
      </c>
      <c r="J465" s="2">
        <f t="shared" si="50"/>
        <v>5.8082084352193748</v>
      </c>
      <c r="K465" s="2">
        <f t="shared" si="52"/>
        <v>5.7462906506305931</v>
      </c>
    </row>
    <row r="466" spans="1:11" ht="13.5" x14ac:dyDescent="0.25">
      <c r="A466" s="3">
        <f>TITRES_STAT!B469</f>
        <v>45596</v>
      </c>
      <c r="B466" s="5">
        <f>TITRES_STAT!D469</f>
        <v>5.8220000000000001</v>
      </c>
      <c r="C466" s="2">
        <f t="shared" si="53"/>
        <v>0</v>
      </c>
      <c r="D466" s="2">
        <f t="shared" si="54"/>
        <v>5.8501999999999992</v>
      </c>
      <c r="E466" s="2">
        <f t="shared" si="56"/>
        <v>5.8379000000000003</v>
      </c>
      <c r="F466" s="2">
        <f t="shared" si="49"/>
        <v>5.8036000000000012</v>
      </c>
      <c r="G466" s="2">
        <f t="shared" si="51"/>
        <v>5.7320600000000033</v>
      </c>
      <c r="H466" s="2">
        <f t="shared" si="55"/>
        <v>5.3777899999999965</v>
      </c>
      <c r="I466" s="2">
        <f t="array" ref="I466">SUMPRODUCT(B450:B469, (ROW(B450:B469)-ROW(B450)+1)) / (20*21/2)</f>
        <v>5.8201095238095233</v>
      </c>
      <c r="J466" s="2">
        <f t="shared" si="50"/>
        <v>5.8095219175794348</v>
      </c>
      <c r="K466" s="2">
        <f t="shared" si="52"/>
        <v>5.7492596447235114</v>
      </c>
    </row>
    <row r="467" spans="1:11" ht="13.5" x14ac:dyDescent="0.25">
      <c r="A467" s="3">
        <f>TITRES_STAT!B470</f>
        <v>45597</v>
      </c>
      <c r="B467" s="5">
        <f>TITRES_STAT!D470</f>
        <v>5.8220000000000001</v>
      </c>
      <c r="C467" s="2">
        <f t="shared" si="53"/>
        <v>0</v>
      </c>
      <c r="D467" s="2">
        <f t="shared" si="54"/>
        <v>5.8407999999999998</v>
      </c>
      <c r="E467" s="2">
        <f t="shared" si="56"/>
        <v>5.8351000000000006</v>
      </c>
      <c r="F467" s="2">
        <f t="shared" si="49"/>
        <v>5.8059500000000002</v>
      </c>
      <c r="G467" s="2">
        <f t="shared" si="51"/>
        <v>5.7358200000000013</v>
      </c>
      <c r="H467" s="2">
        <f t="shared" si="55"/>
        <v>5.3820649999999963</v>
      </c>
      <c r="I467" s="2">
        <f t="array" ref="I467">SUMPRODUCT(B451:B470, (ROW(B451:B470)-ROW(B451)+1)) / (20*21/2)</f>
        <v>5.8190190476190482</v>
      </c>
      <c r="J467" s="2">
        <f t="shared" si="50"/>
        <v>5.8107103063813934</v>
      </c>
      <c r="K467" s="2">
        <f t="shared" si="52"/>
        <v>5.7521122076755304</v>
      </c>
    </row>
    <row r="468" spans="1:11" ht="13.5" x14ac:dyDescent="0.25">
      <c r="A468" s="3">
        <f>TITRES_STAT!B471</f>
        <v>45600</v>
      </c>
      <c r="B468" s="5">
        <f>TITRES_STAT!D471</f>
        <v>5.7750000000000004</v>
      </c>
      <c r="C468" s="2">
        <f t="shared" si="53"/>
        <v>-4.6999999999999709E-2</v>
      </c>
      <c r="D468" s="2">
        <f t="shared" si="54"/>
        <v>5.8220000000000001</v>
      </c>
      <c r="E468" s="2">
        <f t="shared" si="56"/>
        <v>5.8314000000000004</v>
      </c>
      <c r="F468" s="2">
        <f t="shared" ref="F468:F531" si="57">AVERAGE(B449:B468)</f>
        <v>5.8059500000000011</v>
      </c>
      <c r="G468" s="2">
        <f t="shared" si="51"/>
        <v>5.7386400000000002</v>
      </c>
      <c r="H468" s="2">
        <f t="shared" si="55"/>
        <v>5.3861049999999979</v>
      </c>
      <c r="I468" s="2">
        <f t="array" ref="I468">SUMPRODUCT(B452:B471, (ROW(B452:B471)-ROW(B452)+1)) / (20*21/2)</f>
        <v>5.8100619047619046</v>
      </c>
      <c r="J468" s="2">
        <f t="shared" si="50"/>
        <v>5.8073093248212606</v>
      </c>
      <c r="K468" s="2">
        <f t="shared" si="52"/>
        <v>5.7530097681588428</v>
      </c>
    </row>
    <row r="469" spans="1:11" ht="13.5" x14ac:dyDescent="0.25">
      <c r="A469" s="3">
        <f>TITRES_STAT!B472</f>
        <v>45601</v>
      </c>
      <c r="B469" s="5">
        <f>TITRES_STAT!D472</f>
        <v>5.8120000000000003</v>
      </c>
      <c r="C469" s="2">
        <f t="shared" si="53"/>
        <v>3.6999999999999922E-2</v>
      </c>
      <c r="D469" s="2">
        <f t="shared" si="54"/>
        <v>5.8106</v>
      </c>
      <c r="E469" s="2">
        <f t="shared" si="56"/>
        <v>5.8304</v>
      </c>
      <c r="F469" s="2">
        <f t="shared" si="57"/>
        <v>5.8054500000000013</v>
      </c>
      <c r="G469" s="2">
        <f t="shared" si="51"/>
        <v>5.7422000000000013</v>
      </c>
      <c r="H469" s="2">
        <f t="shared" si="55"/>
        <v>5.3905049999999957</v>
      </c>
      <c r="I469" s="2">
        <f t="array" ref="I469">SUMPRODUCT(B453:B472, (ROW(B453:B472)-ROW(B453)+1)) / (20*21/2)</f>
        <v>5.8094714285714284</v>
      </c>
      <c r="J469" s="2">
        <f t="shared" ref="J469:J532" si="58">$J$4*B469+J468*(1-$J$4)</f>
        <v>5.807756055790664</v>
      </c>
      <c r="K469" s="2">
        <f t="shared" si="52"/>
        <v>5.7553231105839862</v>
      </c>
    </row>
    <row r="470" spans="1:11" ht="13.5" x14ac:dyDescent="0.25">
      <c r="A470" s="3">
        <f>TITRES_STAT!B473</f>
        <v>45602</v>
      </c>
      <c r="B470" s="5">
        <f>TITRES_STAT!D473</f>
        <v>5.7939999999999996</v>
      </c>
      <c r="C470" s="2">
        <f t="shared" si="53"/>
        <v>-1.8000000000000682E-2</v>
      </c>
      <c r="D470" s="2">
        <f t="shared" si="54"/>
        <v>5.8050000000000006</v>
      </c>
      <c r="E470" s="2">
        <f t="shared" si="56"/>
        <v>5.8322999999999992</v>
      </c>
      <c r="F470" s="2">
        <f t="shared" si="57"/>
        <v>5.812050000000001</v>
      </c>
      <c r="G470" s="2">
        <f t="shared" si="51"/>
        <v>5.7455800000000012</v>
      </c>
      <c r="H470" s="2">
        <f t="shared" si="55"/>
        <v>5.3946399999999972</v>
      </c>
      <c r="I470" s="2">
        <f t="array" ref="I470">SUMPRODUCT(B454:B473, (ROW(B454:B473)-ROW(B454)+1)) / (20*21/2)</f>
        <v>5.8150333333333339</v>
      </c>
      <c r="J470" s="2">
        <f t="shared" si="58"/>
        <v>5.8064459552391714</v>
      </c>
      <c r="K470" s="2">
        <f t="shared" si="52"/>
        <v>5.756839851345398</v>
      </c>
    </row>
    <row r="471" spans="1:11" ht="13.5" x14ac:dyDescent="0.25">
      <c r="A471" s="3">
        <f>TITRES_STAT!B474</f>
        <v>45603</v>
      </c>
      <c r="B471" s="5">
        <f>TITRES_STAT!D474</f>
        <v>5.718</v>
      </c>
      <c r="C471" s="2">
        <f t="shared" si="53"/>
        <v>-7.5999999999999623E-2</v>
      </c>
      <c r="D471" s="2">
        <f t="shared" si="54"/>
        <v>5.7842000000000002</v>
      </c>
      <c r="E471" s="2">
        <f t="shared" si="56"/>
        <v>5.8171999999999997</v>
      </c>
      <c r="F471" s="2">
        <f t="shared" si="57"/>
        <v>5.8092000000000006</v>
      </c>
      <c r="G471" s="2">
        <f t="shared" si="51"/>
        <v>5.7472600000000007</v>
      </c>
      <c r="H471" s="2">
        <f t="shared" si="55"/>
        <v>5.3983949999999981</v>
      </c>
      <c r="I471" s="2">
        <f t="array" ref="I471">SUMPRODUCT(B455:B474, (ROW(B455:B474)-ROW(B455)+1)) / (20*21/2)</f>
        <v>5.8178380952380957</v>
      </c>
      <c r="J471" s="2">
        <f t="shared" si="58"/>
        <v>5.7980225309306785</v>
      </c>
      <c r="K471" s="2">
        <f t="shared" si="52"/>
        <v>5.7553167199200885</v>
      </c>
    </row>
    <row r="472" spans="1:11" ht="13.5" x14ac:dyDescent="0.25">
      <c r="A472" s="3">
        <f>TITRES_STAT!B475</f>
        <v>45604</v>
      </c>
      <c r="B472" s="5">
        <f>TITRES_STAT!D475</f>
        <v>5.8029999999999999</v>
      </c>
      <c r="C472" s="2">
        <f t="shared" si="53"/>
        <v>8.4999999999999964E-2</v>
      </c>
      <c r="D472" s="2">
        <f t="shared" si="54"/>
        <v>5.7804000000000002</v>
      </c>
      <c r="E472" s="2">
        <f t="shared" si="56"/>
        <v>5.8105999999999991</v>
      </c>
      <c r="F472" s="2">
        <f t="shared" si="57"/>
        <v>5.8106</v>
      </c>
      <c r="G472" s="2">
        <f t="shared" si="51"/>
        <v>5.7506400000000015</v>
      </c>
      <c r="H472" s="2">
        <f t="shared" si="55"/>
        <v>5.4022199999999989</v>
      </c>
      <c r="I472" s="2">
        <f t="array" ref="I472">SUMPRODUCT(B456:B475, (ROW(B456:B475)-ROW(B456)+1)) / (20*21/2)</f>
        <v>5.8172523809523815</v>
      </c>
      <c r="J472" s="2">
        <f t="shared" si="58"/>
        <v>5.7984965756039468</v>
      </c>
      <c r="K472" s="2">
        <f t="shared" si="52"/>
        <v>5.7571866524722424</v>
      </c>
    </row>
    <row r="473" spans="1:11" ht="13.5" x14ac:dyDescent="0.25">
      <c r="A473" s="3">
        <f>TITRES_STAT!B476</f>
        <v>45607</v>
      </c>
      <c r="B473" s="5">
        <f>TITRES_STAT!D476</f>
        <v>5.8689999999999998</v>
      </c>
      <c r="C473" s="2">
        <f t="shared" si="53"/>
        <v>6.5999999999999837E-2</v>
      </c>
      <c r="D473" s="2">
        <f t="shared" si="54"/>
        <v>5.7991999999999999</v>
      </c>
      <c r="E473" s="2">
        <f t="shared" si="56"/>
        <v>5.8105999999999991</v>
      </c>
      <c r="F473" s="2">
        <f t="shared" si="57"/>
        <v>5.8115500000000004</v>
      </c>
      <c r="G473" s="2">
        <f t="shared" si="51"/>
        <v>5.7544000000000031</v>
      </c>
      <c r="H473" s="2">
        <f t="shared" si="55"/>
        <v>5.4067299999999987</v>
      </c>
      <c r="I473" s="2">
        <f t="array" ref="I473">SUMPRODUCT(B457:B476, (ROW(B457:B476)-ROW(B457)+1)) / (20*21/2)</f>
        <v>5.8164904761904763</v>
      </c>
      <c r="J473" s="2">
        <f t="shared" si="58"/>
        <v>5.8052111874511905</v>
      </c>
      <c r="K473" s="2">
        <f t="shared" si="52"/>
        <v>5.7615714896301933</v>
      </c>
    </row>
    <row r="474" spans="1:11" ht="13.5" x14ac:dyDescent="0.25">
      <c r="A474" s="3">
        <f>TITRES_STAT!B477</f>
        <v>45608</v>
      </c>
      <c r="B474" s="5">
        <f>TITRES_STAT!D477</f>
        <v>5.8410000000000002</v>
      </c>
      <c r="C474" s="2">
        <f t="shared" si="53"/>
        <v>-2.7999999999999581E-2</v>
      </c>
      <c r="D474" s="2">
        <f t="shared" si="54"/>
        <v>5.8050000000000006</v>
      </c>
      <c r="E474" s="2">
        <f t="shared" si="56"/>
        <v>5.8077999999999994</v>
      </c>
      <c r="F474" s="2">
        <f t="shared" si="57"/>
        <v>5.8181500000000002</v>
      </c>
      <c r="G474" s="2">
        <f t="shared" si="51"/>
        <v>5.7585400000000027</v>
      </c>
      <c r="H474" s="2">
        <f t="shared" si="55"/>
        <v>5.4115399999999987</v>
      </c>
      <c r="I474" s="2">
        <f t="array" ref="I474">SUMPRODUCT(B458:B477, (ROW(B458:B477)-ROW(B458)+1)) / (20*21/2)</f>
        <v>5.8165047619047625</v>
      </c>
      <c r="J474" s="2">
        <f t="shared" si="58"/>
        <v>5.8086196457891726</v>
      </c>
      <c r="K474" s="2">
        <f t="shared" si="52"/>
        <v>5.7646863331741081</v>
      </c>
    </row>
    <row r="475" spans="1:11" ht="13.5" x14ac:dyDescent="0.25">
      <c r="A475" s="3">
        <f>TITRES_STAT!B478</f>
        <v>45609</v>
      </c>
      <c r="B475" s="5">
        <f>TITRES_STAT!D478</f>
        <v>5.8120000000000003</v>
      </c>
      <c r="C475" s="2">
        <f t="shared" si="53"/>
        <v>-2.8999999999999915E-2</v>
      </c>
      <c r="D475" s="2">
        <f t="shared" si="54"/>
        <v>5.8086000000000002</v>
      </c>
      <c r="E475" s="2">
        <f t="shared" si="56"/>
        <v>5.8068</v>
      </c>
      <c r="F475" s="2">
        <f t="shared" si="57"/>
        <v>5.8199999999999994</v>
      </c>
      <c r="G475" s="2">
        <f t="shared" si="51"/>
        <v>5.7615400000000019</v>
      </c>
      <c r="H475" s="2">
        <f t="shared" si="55"/>
        <v>5.4157649999999986</v>
      </c>
      <c r="I475" s="2">
        <f t="array" ref="I475">SUMPRODUCT(B459:B478, (ROW(B459:B478)-ROW(B459)+1)) / (20*21/2)</f>
        <v>5.8166523809523811</v>
      </c>
      <c r="J475" s="2">
        <f t="shared" si="58"/>
        <v>5.8089415842854422</v>
      </c>
      <c r="K475" s="2">
        <f t="shared" si="52"/>
        <v>5.7665417710888489</v>
      </c>
    </row>
    <row r="476" spans="1:11" ht="13.5" x14ac:dyDescent="0.25">
      <c r="A476" s="3">
        <f>TITRES_STAT!B479</f>
        <v>45610</v>
      </c>
      <c r="B476" s="5">
        <f>TITRES_STAT!D479</f>
        <v>5.8120000000000003</v>
      </c>
      <c r="C476" s="2">
        <f t="shared" si="53"/>
        <v>0</v>
      </c>
      <c r="D476" s="2">
        <f t="shared" si="54"/>
        <v>5.8274000000000008</v>
      </c>
      <c r="E476" s="2">
        <f t="shared" si="56"/>
        <v>5.8057999999999996</v>
      </c>
      <c r="F476" s="2">
        <f t="shared" si="57"/>
        <v>5.8218499999999995</v>
      </c>
      <c r="G476" s="2">
        <f t="shared" si="51"/>
        <v>5.7651000000000021</v>
      </c>
      <c r="H476" s="2">
        <f t="shared" si="55"/>
        <v>5.4209649999999989</v>
      </c>
      <c r="I476" s="2">
        <f t="array" ref="I476">SUMPRODUCT(B460:B479, (ROW(B460:B479)-ROW(B460)+1)) / (20*21/2)</f>
        <v>5.8140857142857145</v>
      </c>
      <c r="J476" s="2">
        <f t="shared" si="58"/>
        <v>5.8092328619725428</v>
      </c>
      <c r="K476" s="2">
        <f t="shared" si="52"/>
        <v>5.7683244467324242</v>
      </c>
    </row>
    <row r="477" spans="1:11" ht="13.5" x14ac:dyDescent="0.25">
      <c r="A477" s="3">
        <f>TITRES_STAT!B480</f>
        <v>45611</v>
      </c>
      <c r="B477" s="5">
        <f>TITRES_STAT!D480</f>
        <v>5.8220000000000001</v>
      </c>
      <c r="C477" s="2">
        <f t="shared" si="53"/>
        <v>9.9999999999997868E-3</v>
      </c>
      <c r="D477" s="2">
        <f t="shared" si="54"/>
        <v>5.8312000000000008</v>
      </c>
      <c r="E477" s="2">
        <f t="shared" si="56"/>
        <v>5.8057999999999996</v>
      </c>
      <c r="F477" s="2">
        <f t="shared" si="57"/>
        <v>5.8204499999999992</v>
      </c>
      <c r="G477" s="2">
        <f t="shared" si="51"/>
        <v>5.7688600000000019</v>
      </c>
      <c r="H477" s="2">
        <f t="shared" si="55"/>
        <v>5.4254599999999993</v>
      </c>
      <c r="I477" s="2">
        <f t="array" ref="I477">SUMPRODUCT(B461:B480, (ROW(B461:B480)-ROW(B461)+1)) / (20*21/2)</f>
        <v>5.8116523809523812</v>
      </c>
      <c r="J477" s="2">
        <f t="shared" si="58"/>
        <v>5.8104487798799198</v>
      </c>
      <c r="K477" s="2">
        <f t="shared" si="52"/>
        <v>5.7704293703899765</v>
      </c>
    </row>
    <row r="478" spans="1:11" ht="13.5" x14ac:dyDescent="0.25">
      <c r="A478" s="3">
        <f>TITRES_STAT!B481</f>
        <v>45614</v>
      </c>
      <c r="B478" s="5">
        <f>TITRES_STAT!D481</f>
        <v>5.8220000000000001</v>
      </c>
      <c r="C478" s="2">
        <f t="shared" si="53"/>
        <v>0</v>
      </c>
      <c r="D478" s="2">
        <f t="shared" si="54"/>
        <v>5.8217999999999996</v>
      </c>
      <c r="E478" s="2">
        <f t="shared" si="56"/>
        <v>5.8104999999999993</v>
      </c>
      <c r="F478" s="2">
        <f t="shared" si="57"/>
        <v>5.8209499999999998</v>
      </c>
      <c r="G478" s="2">
        <f t="shared" si="51"/>
        <v>5.7726200000000016</v>
      </c>
      <c r="H478" s="2">
        <f t="shared" si="55"/>
        <v>5.4297349999999982</v>
      </c>
      <c r="I478" s="2">
        <f t="array" ref="I478">SUMPRODUCT(B462:B481, (ROW(B462:B481)-ROW(B462)+1)) / (20*21/2)</f>
        <v>5.8091285714285732</v>
      </c>
      <c r="J478" s="2">
        <f t="shared" si="58"/>
        <v>5.811548896081832</v>
      </c>
      <c r="K478" s="2">
        <f t="shared" si="52"/>
        <v>5.7724517480217425</v>
      </c>
    </row>
    <row r="479" spans="1:11" ht="13.5" x14ac:dyDescent="0.25">
      <c r="A479" s="3">
        <f>TITRES_STAT!B482</f>
        <v>45615</v>
      </c>
      <c r="B479" s="5">
        <f>TITRES_STAT!D482</f>
        <v>5.7939999999999996</v>
      </c>
      <c r="C479" s="2">
        <f t="shared" si="53"/>
        <v>-2.8000000000000469E-2</v>
      </c>
      <c r="D479" s="2">
        <f t="shared" si="54"/>
        <v>5.8124000000000002</v>
      </c>
      <c r="E479" s="2">
        <f t="shared" si="56"/>
        <v>5.8087</v>
      </c>
      <c r="F479" s="2">
        <f t="shared" si="57"/>
        <v>5.8195499999999996</v>
      </c>
      <c r="G479" s="2">
        <f t="shared" si="51"/>
        <v>5.7762000000000011</v>
      </c>
      <c r="H479" s="2">
        <f t="shared" si="55"/>
        <v>5.4345349999999994</v>
      </c>
      <c r="I479" s="2">
        <f t="array" ref="I479">SUMPRODUCT(B463:B482, (ROW(B463:B482)-ROW(B463)+1)) / (20*21/2)</f>
        <v>5.8051523809523813</v>
      </c>
      <c r="J479" s="2">
        <f t="shared" si="58"/>
        <v>5.8098775726454672</v>
      </c>
      <c r="K479" s="2">
        <f t="shared" si="52"/>
        <v>5.7732967775110859</v>
      </c>
    </row>
    <row r="480" spans="1:11" ht="13.5" x14ac:dyDescent="0.25">
      <c r="A480" s="3">
        <f>TITRES_STAT!B483</f>
        <v>45616</v>
      </c>
      <c r="B480" s="5">
        <f>TITRES_STAT!D483</f>
        <v>5.7939999999999996</v>
      </c>
      <c r="C480" s="2">
        <f t="shared" si="53"/>
        <v>0</v>
      </c>
      <c r="D480" s="2">
        <f t="shared" si="54"/>
        <v>5.8087999999999997</v>
      </c>
      <c r="E480" s="2">
        <f t="shared" si="56"/>
        <v>5.8087</v>
      </c>
      <c r="F480" s="2">
        <f t="shared" si="57"/>
        <v>5.8204999999999991</v>
      </c>
      <c r="G480" s="2">
        <f t="shared" si="51"/>
        <v>5.7797800000000015</v>
      </c>
      <c r="H480" s="2">
        <f t="shared" si="55"/>
        <v>5.4391100000000003</v>
      </c>
      <c r="I480" s="2">
        <f t="array" ref="I480">SUMPRODUCT(B464:B483, (ROW(B464:B483)-ROW(B464)+1)) / (20*21/2)</f>
        <v>5.8042904761904763</v>
      </c>
      <c r="J480" s="2">
        <f t="shared" si="58"/>
        <v>5.8083654228697092</v>
      </c>
      <c r="K480" s="2">
        <f t="shared" si="52"/>
        <v>5.7741086685890819</v>
      </c>
    </row>
    <row r="481" spans="1:11" ht="13.5" x14ac:dyDescent="0.25">
      <c r="A481" s="3">
        <f>TITRES_STAT!B484</f>
        <v>45617</v>
      </c>
      <c r="B481" s="5">
        <f>TITRES_STAT!D484</f>
        <v>5.7939999999999996</v>
      </c>
      <c r="C481" s="2">
        <f t="shared" si="53"/>
        <v>0</v>
      </c>
      <c r="D481" s="2">
        <f t="shared" si="54"/>
        <v>5.8052000000000001</v>
      </c>
      <c r="E481" s="2">
        <f t="shared" si="56"/>
        <v>5.8163</v>
      </c>
      <c r="F481" s="2">
        <f t="shared" si="57"/>
        <v>5.816749999999999</v>
      </c>
      <c r="G481" s="2">
        <f t="shared" si="51"/>
        <v>5.7833600000000009</v>
      </c>
      <c r="H481" s="2">
        <f t="shared" si="55"/>
        <v>5.4437300000000013</v>
      </c>
      <c r="I481" s="2">
        <f t="array" ref="I481">SUMPRODUCT(B465:B484, (ROW(B465:B484)-ROW(B465)+1)) / (20*21/2)</f>
        <v>5.8019333333333343</v>
      </c>
      <c r="J481" s="2">
        <f t="shared" si="58"/>
        <v>5.8069972873583087</v>
      </c>
      <c r="K481" s="2">
        <f t="shared" si="52"/>
        <v>5.7748887208012745</v>
      </c>
    </row>
    <row r="482" spans="1:11" ht="13.5" x14ac:dyDescent="0.25">
      <c r="A482" s="3">
        <f>TITRES_STAT!B485</f>
        <v>45618</v>
      </c>
      <c r="B482" s="5">
        <f>TITRES_STAT!D485</f>
        <v>5.7750000000000004</v>
      </c>
      <c r="C482" s="2">
        <f t="shared" si="53"/>
        <v>-1.899999999999924E-2</v>
      </c>
      <c r="D482" s="2">
        <f t="shared" si="54"/>
        <v>5.7957999999999998</v>
      </c>
      <c r="E482" s="2">
        <f t="shared" si="56"/>
        <v>5.8134999999999994</v>
      </c>
      <c r="F482" s="2">
        <f t="shared" si="57"/>
        <v>5.8120499999999993</v>
      </c>
      <c r="G482" s="2">
        <f t="shared" si="51"/>
        <v>5.7865600000000006</v>
      </c>
      <c r="H482" s="2">
        <f t="shared" si="55"/>
        <v>5.4491450000000006</v>
      </c>
      <c r="I482" s="2">
        <f t="array" ref="I482">SUMPRODUCT(B466:B485, (ROW(B466:B485)-ROW(B466)+1)) / (20*21/2)</f>
        <v>5.7946476190476179</v>
      </c>
      <c r="J482" s="2">
        <f t="shared" si="58"/>
        <v>5.8039499266575172</v>
      </c>
      <c r="K482" s="2">
        <f t="shared" si="52"/>
        <v>5.7748930846914206</v>
      </c>
    </row>
    <row r="483" spans="1:11" ht="13.5" x14ac:dyDescent="0.25">
      <c r="A483" s="3">
        <f>TITRES_STAT!B486</f>
        <v>45621</v>
      </c>
      <c r="B483" s="5">
        <f>TITRES_STAT!D486</f>
        <v>5.8029999999999999</v>
      </c>
      <c r="C483" s="2">
        <f t="shared" si="53"/>
        <v>2.7999999999999581E-2</v>
      </c>
      <c r="D483" s="2">
        <f t="shared" si="54"/>
        <v>5.7919999999999998</v>
      </c>
      <c r="E483" s="2">
        <f t="shared" si="56"/>
        <v>5.8068999999999988</v>
      </c>
      <c r="F483" s="2">
        <f t="shared" si="57"/>
        <v>5.8087499999999999</v>
      </c>
      <c r="G483" s="2">
        <f t="shared" si="51"/>
        <v>5.7899400000000005</v>
      </c>
      <c r="H483" s="2">
        <f t="shared" si="55"/>
        <v>5.4543000000000017</v>
      </c>
      <c r="I483" s="2">
        <f t="array" ref="I483">SUMPRODUCT(B467:B486, (ROW(B467:B486)-ROW(B467)+1)) / (20*21/2)</f>
        <v>5.7788571428571425</v>
      </c>
      <c r="J483" s="2">
        <f t="shared" si="58"/>
        <v>5.8038594574520399</v>
      </c>
      <c r="K483" s="2">
        <f t="shared" si="52"/>
        <v>5.7759953166643063</v>
      </c>
    </row>
    <row r="484" spans="1:11" ht="13.5" x14ac:dyDescent="0.25">
      <c r="A484" s="3">
        <f>TITRES_STAT!B487</f>
        <v>45622</v>
      </c>
      <c r="B484" s="5">
        <f>TITRES_STAT!D487</f>
        <v>5.7839999999999998</v>
      </c>
      <c r="C484" s="2">
        <f t="shared" si="53"/>
        <v>-1.9000000000000128E-2</v>
      </c>
      <c r="D484" s="2">
        <f t="shared" si="54"/>
        <v>5.79</v>
      </c>
      <c r="E484" s="2">
        <f t="shared" si="56"/>
        <v>5.8011999999999997</v>
      </c>
      <c r="F484" s="2">
        <f t="shared" si="57"/>
        <v>5.8045</v>
      </c>
      <c r="G484" s="2">
        <f t="shared" si="51"/>
        <v>5.7929400000000006</v>
      </c>
      <c r="H484" s="2">
        <f t="shared" si="55"/>
        <v>5.459715000000001</v>
      </c>
      <c r="I484" s="2">
        <f t="array" ref="I484">SUMPRODUCT(B468:B487, (ROW(B468:B487)-ROW(B468)+1)) / (20*21/2)</f>
        <v>5.7792000000000003</v>
      </c>
      <c r="J484" s="2">
        <f t="shared" si="58"/>
        <v>5.8019680805518457</v>
      </c>
      <c r="K484" s="2">
        <f t="shared" si="52"/>
        <v>5.7763092258147255</v>
      </c>
    </row>
    <row r="485" spans="1:11" ht="13.5" x14ac:dyDescent="0.25">
      <c r="A485" s="3">
        <f>TITRES_STAT!B488</f>
        <v>45623</v>
      </c>
      <c r="B485" s="5">
        <f>TITRES_STAT!D488</f>
        <v>5.7279999999999998</v>
      </c>
      <c r="C485" s="2">
        <f t="shared" si="53"/>
        <v>-5.600000000000005E-2</v>
      </c>
      <c r="D485" s="2">
        <f t="shared" si="54"/>
        <v>5.7767999999999997</v>
      </c>
      <c r="E485" s="2">
        <f t="shared" si="56"/>
        <v>5.7927999999999997</v>
      </c>
      <c r="F485" s="2">
        <f t="shared" si="57"/>
        <v>5.7997999999999994</v>
      </c>
      <c r="G485" s="2">
        <f t="shared" si="51"/>
        <v>5.7948200000000023</v>
      </c>
      <c r="H485" s="2">
        <f t="shared" si="55"/>
        <v>5.464450000000002</v>
      </c>
      <c r="I485" s="2">
        <f t="array" ref="I485">SUMPRODUCT(B469:B488, (ROW(B469:B488)-ROW(B469)+1)) / (20*21/2)</f>
        <v>5.7787238095238092</v>
      </c>
      <c r="J485" s="2">
        <f t="shared" si="58"/>
        <v>5.7949235014516702</v>
      </c>
      <c r="K485" s="2">
        <f t="shared" si="52"/>
        <v>5.7744147463710114</v>
      </c>
    </row>
    <row r="486" spans="1:11" ht="13.5" x14ac:dyDescent="0.25">
      <c r="A486" s="3">
        <f>TITRES_STAT!B489</f>
        <v>45624</v>
      </c>
      <c r="B486" s="5">
        <f>TITRES_STAT!D489</f>
        <v>5.6340000000000003</v>
      </c>
      <c r="C486" s="2">
        <f t="shared" si="53"/>
        <v>-9.3999999999999417E-2</v>
      </c>
      <c r="D486" s="2">
        <f t="shared" si="54"/>
        <v>5.7447999999999997</v>
      </c>
      <c r="E486" s="2">
        <f t="shared" si="56"/>
        <v>5.7750000000000004</v>
      </c>
      <c r="F486" s="2">
        <f t="shared" si="57"/>
        <v>5.7904</v>
      </c>
      <c r="G486" s="2">
        <f t="shared" si="51"/>
        <v>5.7948200000000023</v>
      </c>
      <c r="H486" s="2">
        <f t="shared" si="55"/>
        <v>5.4687150000000022</v>
      </c>
      <c r="I486" s="2">
        <f t="array" ref="I486">SUMPRODUCT(B470:B489, (ROW(B470:B489)-ROW(B470)+1)) / (20*21/2)</f>
        <v>5.778204761904763</v>
      </c>
      <c r="J486" s="2">
        <f t="shared" si="58"/>
        <v>5.7795974536943682</v>
      </c>
      <c r="K486" s="2">
        <f t="shared" si="52"/>
        <v>5.7689082857290108</v>
      </c>
    </row>
    <row r="487" spans="1:11" ht="13.5" x14ac:dyDescent="0.25">
      <c r="A487" s="3">
        <f>TITRES_STAT!B490</f>
        <v>45625</v>
      </c>
      <c r="B487" s="5">
        <f>TITRES_STAT!D490</f>
        <v>5.7939999999999996</v>
      </c>
      <c r="C487" s="2">
        <f t="shared" si="53"/>
        <v>0.15999999999999925</v>
      </c>
      <c r="D487" s="2">
        <f t="shared" si="54"/>
        <v>5.7485999999999997</v>
      </c>
      <c r="E487" s="2">
        <f t="shared" si="56"/>
        <v>5.7721999999999998</v>
      </c>
      <c r="F487" s="2">
        <f t="shared" si="57"/>
        <v>5.7889999999999997</v>
      </c>
      <c r="G487" s="2">
        <f t="shared" si="51"/>
        <v>5.7961400000000012</v>
      </c>
      <c r="H487" s="2">
        <f t="shared" si="55"/>
        <v>5.4741800000000032</v>
      </c>
      <c r="I487" s="2">
        <f t="array" ref="I487">SUMPRODUCT(B471:B490, (ROW(B471:B490)-ROW(B471)+1)) / (20*21/2)</f>
        <v>5.7778190476190483</v>
      </c>
      <c r="J487" s="2">
        <f t="shared" si="58"/>
        <v>5.7809691247710955</v>
      </c>
      <c r="K487" s="2">
        <f t="shared" si="52"/>
        <v>5.7698922745239516</v>
      </c>
    </row>
    <row r="488" spans="1:11" ht="13.5" x14ac:dyDescent="0.25">
      <c r="A488" s="3">
        <f>TITRES_STAT!B491</f>
        <v>45628</v>
      </c>
      <c r="B488" s="5">
        <f>TITRES_STAT!D491</f>
        <v>5.7839999999999998</v>
      </c>
      <c r="C488" s="2">
        <f t="shared" si="53"/>
        <v>-9.9999999999997868E-3</v>
      </c>
      <c r="D488" s="2">
        <f t="shared" si="54"/>
        <v>5.7447999999999997</v>
      </c>
      <c r="E488" s="2">
        <f t="shared" si="56"/>
        <v>5.7683999999999997</v>
      </c>
      <c r="F488" s="2">
        <f t="shared" si="57"/>
        <v>5.7894500000000004</v>
      </c>
      <c r="G488" s="2">
        <f t="shared" si="51"/>
        <v>5.7965200000000028</v>
      </c>
      <c r="H488" s="2">
        <f t="shared" si="55"/>
        <v>5.4795950000000042</v>
      </c>
      <c r="I488" s="2">
        <f t="array" ref="I488">SUMPRODUCT(B472:B491, (ROW(B472:B491)-ROW(B472)+1)) / (20*21/2)</f>
        <v>5.7774809523809525</v>
      </c>
      <c r="J488" s="2">
        <f t="shared" si="58"/>
        <v>5.7812577795548004</v>
      </c>
      <c r="K488" s="2">
        <f t="shared" si="52"/>
        <v>5.7704455186602672</v>
      </c>
    </row>
    <row r="489" spans="1:11" ht="13.5" x14ac:dyDescent="0.25">
      <c r="A489" s="3">
        <f>TITRES_STAT!B492</f>
        <v>45629</v>
      </c>
      <c r="B489" s="5">
        <f>TITRES_STAT!D492</f>
        <v>5.7839999999999998</v>
      </c>
      <c r="C489" s="2">
        <f t="shared" si="53"/>
        <v>0</v>
      </c>
      <c r="D489" s="2">
        <f t="shared" si="54"/>
        <v>5.7447999999999997</v>
      </c>
      <c r="E489" s="2">
        <f t="shared" si="56"/>
        <v>5.7673999999999994</v>
      </c>
      <c r="F489" s="2">
        <f t="shared" si="57"/>
        <v>5.7880500000000001</v>
      </c>
      <c r="G489" s="2">
        <f t="shared" si="51"/>
        <v>5.7967000000000022</v>
      </c>
      <c r="H489" s="2">
        <f t="shared" si="55"/>
        <v>5.4850550000000053</v>
      </c>
      <c r="I489" s="2">
        <f t="array" ref="I489">SUMPRODUCT(B473:B492, (ROW(B473:B492)-ROW(B473)+1)) / (20*21/2)</f>
        <v>5.7804476190476191</v>
      </c>
      <c r="J489" s="2">
        <f t="shared" si="58"/>
        <v>5.7815189434067245</v>
      </c>
      <c r="K489" s="2">
        <f t="shared" si="52"/>
        <v>5.7709770669480998</v>
      </c>
    </row>
    <row r="490" spans="1:11" ht="13.5" x14ac:dyDescent="0.25">
      <c r="A490" s="3">
        <f>TITRES_STAT!B493</f>
        <v>45630</v>
      </c>
      <c r="B490" s="5">
        <f>TITRES_STAT!D493</f>
        <v>5.7839999999999998</v>
      </c>
      <c r="C490" s="2">
        <f t="shared" si="53"/>
        <v>0</v>
      </c>
      <c r="D490" s="2">
        <f t="shared" si="54"/>
        <v>5.7559999999999993</v>
      </c>
      <c r="E490" s="2">
        <f t="shared" si="56"/>
        <v>5.7663999999999991</v>
      </c>
      <c r="F490" s="2">
        <f t="shared" si="57"/>
        <v>5.7875500000000013</v>
      </c>
      <c r="G490" s="2">
        <f t="shared" si="51"/>
        <v>5.7968800000000007</v>
      </c>
      <c r="H490" s="2">
        <f t="shared" si="55"/>
        <v>5.4905150000000056</v>
      </c>
      <c r="I490" s="2">
        <f t="array" ref="I490">SUMPRODUCT(B474:B493, (ROW(B474:B493)-ROW(B474)+1)) / (20*21/2)</f>
        <v>5.7922761904761888</v>
      </c>
      <c r="J490" s="2">
        <f t="shared" si="58"/>
        <v>5.7817552345108458</v>
      </c>
      <c r="K490" s="2">
        <f t="shared" si="52"/>
        <v>5.7714877702050371</v>
      </c>
    </row>
    <row r="491" spans="1:11" ht="13.5" x14ac:dyDescent="0.25">
      <c r="A491" s="3">
        <f>TITRES_STAT!B494</f>
        <v>45631</v>
      </c>
      <c r="B491" s="5">
        <f>TITRES_STAT!D494</f>
        <v>5.7839999999999998</v>
      </c>
      <c r="C491" s="2">
        <f t="shared" si="53"/>
        <v>0</v>
      </c>
      <c r="D491" s="2">
        <f t="shared" si="54"/>
        <v>5.7859999999999996</v>
      </c>
      <c r="E491" s="2">
        <f t="shared" si="56"/>
        <v>5.7653999999999987</v>
      </c>
      <c r="F491" s="2">
        <f t="shared" si="57"/>
        <v>5.7908500000000007</v>
      </c>
      <c r="G491" s="2">
        <f t="shared" si="51"/>
        <v>5.7972600000000014</v>
      </c>
      <c r="H491" s="2">
        <f t="shared" si="55"/>
        <v>5.4959300000000066</v>
      </c>
      <c r="I491" s="2">
        <f t="array" ref="I491">SUMPRODUCT(B475:B494, (ROW(B475:B494)-ROW(B475)+1)) / (20*21/2)</f>
        <v>5.8029285714285708</v>
      </c>
      <c r="J491" s="2">
        <f t="shared" si="58"/>
        <v>5.7819690217002888</v>
      </c>
      <c r="K491" s="2">
        <f t="shared" si="52"/>
        <v>5.7719784458832715</v>
      </c>
    </row>
    <row r="492" spans="1:11" ht="13.5" x14ac:dyDescent="0.25">
      <c r="A492" s="3">
        <f>TITRES_STAT!B495</f>
        <v>45632</v>
      </c>
      <c r="B492" s="5">
        <f>TITRES_STAT!D495</f>
        <v>5.8220000000000001</v>
      </c>
      <c r="C492" s="2">
        <f t="shared" si="53"/>
        <v>3.8000000000000256E-2</v>
      </c>
      <c r="D492" s="2">
        <f t="shared" si="54"/>
        <v>5.7915999999999999</v>
      </c>
      <c r="E492" s="2">
        <f t="shared" si="56"/>
        <v>5.7701000000000002</v>
      </c>
      <c r="F492" s="2">
        <f t="shared" si="57"/>
        <v>5.7918000000000003</v>
      </c>
      <c r="G492" s="2">
        <f t="shared" si="51"/>
        <v>5.7982000000000014</v>
      </c>
      <c r="H492" s="2">
        <f t="shared" si="55"/>
        <v>5.5002900000000059</v>
      </c>
      <c r="I492" s="2">
        <f t="array" ref="I492">SUMPRODUCT(B476:B495, (ROW(B476:B495)-ROW(B476)+1)) / (20*21/2)</f>
        <v>5.8132714285714275</v>
      </c>
      <c r="J492" s="2">
        <f t="shared" si="58"/>
        <v>5.7857814958240708</v>
      </c>
      <c r="K492" s="2">
        <f t="shared" si="52"/>
        <v>5.7739400754564763</v>
      </c>
    </row>
    <row r="493" spans="1:11" ht="13.5" x14ac:dyDescent="0.25">
      <c r="A493" s="3">
        <f>TITRES_STAT!B496</f>
        <v>45635</v>
      </c>
      <c r="B493" s="5">
        <f>TITRES_STAT!D496</f>
        <v>5.9160000000000004</v>
      </c>
      <c r="C493" s="2">
        <f t="shared" si="53"/>
        <v>9.4000000000000306E-2</v>
      </c>
      <c r="D493" s="2">
        <f t="shared" si="54"/>
        <v>5.8179999999999996</v>
      </c>
      <c r="E493" s="2">
        <f t="shared" si="56"/>
        <v>5.7814000000000005</v>
      </c>
      <c r="F493" s="2">
        <f t="shared" si="57"/>
        <v>5.7941500000000001</v>
      </c>
      <c r="G493" s="2">
        <f t="shared" si="51"/>
        <v>5.800080000000003</v>
      </c>
      <c r="H493" s="2">
        <f t="shared" si="55"/>
        <v>5.5051200000000051</v>
      </c>
      <c r="I493" s="2">
        <f t="array" ref="I493">SUMPRODUCT(B477:B496, (ROW(B477:B496)-ROW(B477)+1)) / (20*21/2)</f>
        <v>5.8258333333333328</v>
      </c>
      <c r="J493" s="2">
        <f t="shared" si="58"/>
        <v>5.7981832581265396</v>
      </c>
      <c r="K493" s="2">
        <f t="shared" si="52"/>
        <v>5.7795110528895561</v>
      </c>
    </row>
    <row r="494" spans="1:11" ht="13.5" x14ac:dyDescent="0.25">
      <c r="A494" s="3">
        <f>TITRES_STAT!B497</f>
        <v>45636</v>
      </c>
      <c r="B494" s="5">
        <f>TITRES_STAT!D497</f>
        <v>5.9059999999999997</v>
      </c>
      <c r="C494" s="2">
        <f t="shared" si="53"/>
        <v>-1.0000000000000675E-2</v>
      </c>
      <c r="D494" s="2">
        <f t="shared" si="54"/>
        <v>5.8423999999999996</v>
      </c>
      <c r="E494" s="2">
        <f t="shared" si="56"/>
        <v>5.7935999999999996</v>
      </c>
      <c r="F494" s="2">
        <f t="shared" si="57"/>
        <v>5.7974000000000014</v>
      </c>
      <c r="G494" s="2">
        <f t="shared" si="51"/>
        <v>5.8017600000000016</v>
      </c>
      <c r="H494" s="2">
        <f t="shared" si="55"/>
        <v>5.5100350000000047</v>
      </c>
      <c r="I494" s="2">
        <f t="array" ref="I494">SUMPRODUCT(B478:B497, (ROW(B478:B497)-ROW(B478)+1)) / (20*21/2)</f>
        <v>5.8342904761904775</v>
      </c>
      <c r="J494" s="2">
        <f t="shared" si="58"/>
        <v>5.8084515192573454</v>
      </c>
      <c r="K494" s="2">
        <f t="shared" si="52"/>
        <v>5.7844714037566325</v>
      </c>
    </row>
    <row r="495" spans="1:11" ht="13.5" x14ac:dyDescent="0.25">
      <c r="A495" s="3">
        <f>TITRES_STAT!B498</f>
        <v>45637</v>
      </c>
      <c r="B495" s="5">
        <f>TITRES_STAT!D498</f>
        <v>5.9059999999999997</v>
      </c>
      <c r="C495" s="2">
        <f t="shared" si="53"/>
        <v>0</v>
      </c>
      <c r="D495" s="2">
        <f t="shared" si="54"/>
        <v>5.8667999999999996</v>
      </c>
      <c r="E495" s="2">
        <f t="shared" si="56"/>
        <v>5.8114000000000008</v>
      </c>
      <c r="F495" s="2">
        <f t="shared" si="57"/>
        <v>5.8021000000000011</v>
      </c>
      <c r="G495" s="2">
        <f t="shared" si="51"/>
        <v>5.8034400000000019</v>
      </c>
      <c r="H495" s="2">
        <f t="shared" si="55"/>
        <v>5.514815000000004</v>
      </c>
      <c r="I495" s="2">
        <f t="array" ref="I495">SUMPRODUCT(B479:B498, (ROW(B479:B498)-ROW(B479)+1)) / (20*21/2)</f>
        <v>5.8414380952380949</v>
      </c>
      <c r="J495" s="2">
        <f t="shared" si="58"/>
        <v>5.8177418507566463</v>
      </c>
      <c r="K495" s="2">
        <f t="shared" si="52"/>
        <v>5.7892372310602935</v>
      </c>
    </row>
    <row r="496" spans="1:11" ht="13.5" x14ac:dyDescent="0.25">
      <c r="A496" s="3">
        <f>TITRES_STAT!B499</f>
        <v>45638</v>
      </c>
      <c r="B496" s="5">
        <f>TITRES_STAT!D499</f>
        <v>5.9340000000000002</v>
      </c>
      <c r="C496" s="2">
        <f t="shared" si="53"/>
        <v>2.8000000000000469E-2</v>
      </c>
      <c r="D496" s="2">
        <f t="shared" si="54"/>
        <v>5.8967999999999998</v>
      </c>
      <c r="E496" s="2">
        <f t="shared" si="56"/>
        <v>5.8413999999999984</v>
      </c>
      <c r="F496" s="2">
        <f t="shared" si="57"/>
        <v>5.8082000000000011</v>
      </c>
      <c r="G496" s="2">
        <f t="shared" si="51"/>
        <v>5.8058800000000028</v>
      </c>
      <c r="H496" s="2">
        <f t="shared" si="55"/>
        <v>5.5197350000000043</v>
      </c>
      <c r="I496" s="2">
        <f t="array" ref="I496">SUMPRODUCT(B480:B499, (ROW(B480:B499)-ROW(B480)+1)) / (20*21/2)</f>
        <v>5.8394190476190468</v>
      </c>
      <c r="J496" s="2">
        <f t="shared" si="58"/>
        <v>5.8288140554464896</v>
      </c>
      <c r="K496" s="2">
        <f t="shared" si="52"/>
        <v>5.7949142023912623</v>
      </c>
    </row>
    <row r="497" spans="1:11" ht="13.5" x14ac:dyDescent="0.25">
      <c r="A497" s="3">
        <f>TITRES_STAT!B500</f>
        <v>45639</v>
      </c>
      <c r="B497" s="5">
        <f>TITRES_STAT!D500</f>
        <v>5.8970000000000002</v>
      </c>
      <c r="C497" s="2">
        <f t="shared" si="53"/>
        <v>-3.6999999999999922E-2</v>
      </c>
      <c r="D497" s="2">
        <f t="shared" si="54"/>
        <v>5.9117999999999995</v>
      </c>
      <c r="E497" s="2">
        <f t="shared" si="56"/>
        <v>5.8516999999999992</v>
      </c>
      <c r="F497" s="2">
        <f t="shared" si="57"/>
        <v>5.8119500000000013</v>
      </c>
      <c r="G497" s="2">
        <f t="shared" si="51"/>
        <v>5.808320000000001</v>
      </c>
      <c r="H497" s="2">
        <f t="shared" si="55"/>
        <v>5.5245150000000036</v>
      </c>
      <c r="I497" s="2">
        <f t="array" ref="I497">SUMPRODUCT(B481:B500, (ROW(B481:B500)-ROW(B481)+1)) / (20*21/2)</f>
        <v>5.8391142857142855</v>
      </c>
      <c r="J497" s="2">
        <f t="shared" si="58"/>
        <v>5.8353079549277762</v>
      </c>
      <c r="K497" s="2">
        <f t="shared" si="52"/>
        <v>5.7989175670033699</v>
      </c>
    </row>
    <row r="498" spans="1:11" ht="13.5" x14ac:dyDescent="0.25">
      <c r="A498" s="3">
        <f>TITRES_STAT!B501</f>
        <v>45642</v>
      </c>
      <c r="B498" s="5">
        <f>TITRES_STAT!D501</f>
        <v>5.8869999999999996</v>
      </c>
      <c r="C498" s="2">
        <f t="shared" si="53"/>
        <v>-1.0000000000000675E-2</v>
      </c>
      <c r="D498" s="2">
        <f t="shared" si="54"/>
        <v>5.9060000000000006</v>
      </c>
      <c r="E498" s="2">
        <f t="shared" si="56"/>
        <v>5.8620000000000001</v>
      </c>
      <c r="F498" s="2">
        <f t="shared" si="57"/>
        <v>5.8152000000000008</v>
      </c>
      <c r="G498" s="2">
        <f t="shared" ref="G498:G561" si="59">AVERAGE(B449:B498)</f>
        <v>5.8105600000000024</v>
      </c>
      <c r="H498" s="2">
        <f t="shared" si="55"/>
        <v>5.5287600000000028</v>
      </c>
      <c r="I498" s="2">
        <f t="array" ref="I498">SUMPRODUCT(B482:B501, (ROW(B482:B501)-ROW(B482)+1)) / (20*21/2)</f>
        <v>5.8387238095238088</v>
      </c>
      <c r="J498" s="2">
        <f t="shared" si="58"/>
        <v>5.8402310068394172</v>
      </c>
      <c r="K498" s="2">
        <f t="shared" si="52"/>
        <v>5.802371780062062</v>
      </c>
    </row>
    <row r="499" spans="1:11" ht="13.5" x14ac:dyDescent="0.25">
      <c r="A499" s="3">
        <f>TITRES_STAT!B502</f>
        <v>45644</v>
      </c>
      <c r="B499" s="5">
        <f>TITRES_STAT!D502</f>
        <v>5.7939999999999996</v>
      </c>
      <c r="C499" s="2">
        <f t="shared" si="53"/>
        <v>-9.2999999999999972E-2</v>
      </c>
      <c r="D499" s="2">
        <f t="shared" si="54"/>
        <v>5.8836000000000004</v>
      </c>
      <c r="E499" s="2">
        <f t="shared" si="56"/>
        <v>5.8629999999999995</v>
      </c>
      <c r="F499" s="2">
        <f t="shared" si="57"/>
        <v>5.8151999999999999</v>
      </c>
      <c r="G499" s="2">
        <f t="shared" si="59"/>
        <v>5.8100000000000014</v>
      </c>
      <c r="H499" s="2">
        <f t="shared" si="55"/>
        <v>5.5325400000000027</v>
      </c>
      <c r="I499" s="2">
        <f t="array" ref="I499">SUMPRODUCT(B483:B502, (ROW(B483:B502)-ROW(B483)+1)) / (20*21/2)</f>
        <v>5.8382476190476194</v>
      </c>
      <c r="J499" s="2">
        <f t="shared" si="58"/>
        <v>5.8358280538070915</v>
      </c>
      <c r="K499" s="2">
        <f t="shared" ref="K499:K562" si="60">$K$4*B499+(1-$K$4)*K498</f>
        <v>5.8020434749615886</v>
      </c>
    </row>
    <row r="500" spans="1:11" ht="13.5" x14ac:dyDescent="0.25">
      <c r="A500" s="3">
        <f>TITRES_STAT!B503</f>
        <v>45645</v>
      </c>
      <c r="B500" s="5">
        <f>TITRES_STAT!D503</f>
        <v>5.8120000000000003</v>
      </c>
      <c r="C500" s="2">
        <f t="shared" si="53"/>
        <v>1.8000000000000682E-2</v>
      </c>
      <c r="D500" s="2">
        <f t="shared" si="54"/>
        <v>5.8648000000000007</v>
      </c>
      <c r="E500" s="2">
        <f t="shared" si="56"/>
        <v>5.8657999999999983</v>
      </c>
      <c r="F500" s="2">
        <f t="shared" si="57"/>
        <v>5.8161000000000005</v>
      </c>
      <c r="G500" s="2">
        <f t="shared" si="59"/>
        <v>5.8130000000000015</v>
      </c>
      <c r="H500" s="2">
        <f t="shared" si="55"/>
        <v>5.5361000000000011</v>
      </c>
      <c r="I500" s="2">
        <f t="array" ref="I500">SUMPRODUCT(B484:B503, (ROW(B484:B503)-ROW(B484)+1)) / (20*21/2)</f>
        <v>5.8349285714285717</v>
      </c>
      <c r="J500" s="2">
        <f t="shared" si="58"/>
        <v>5.8335587153492732</v>
      </c>
      <c r="K500" s="2">
        <f t="shared" si="60"/>
        <v>5.8024339269238796</v>
      </c>
    </row>
    <row r="501" spans="1:11" ht="13.5" x14ac:dyDescent="0.25">
      <c r="A501" s="3">
        <f>TITRES_STAT!B504</f>
        <v>45646</v>
      </c>
      <c r="B501" s="5">
        <f>TITRES_STAT!D504</f>
        <v>5.8120000000000003</v>
      </c>
      <c r="C501" s="2">
        <f t="shared" si="53"/>
        <v>0</v>
      </c>
      <c r="D501" s="2">
        <f t="shared" si="54"/>
        <v>5.8404000000000007</v>
      </c>
      <c r="E501" s="2">
        <f t="shared" si="56"/>
        <v>5.8685999999999989</v>
      </c>
      <c r="F501" s="2">
        <f t="shared" si="57"/>
        <v>5.8170000000000002</v>
      </c>
      <c r="G501" s="2">
        <f t="shared" si="59"/>
        <v>5.813740000000001</v>
      </c>
      <c r="H501" s="2">
        <f t="shared" si="55"/>
        <v>5.5400999999999998</v>
      </c>
      <c r="I501" s="2">
        <f t="array" ref="I501">SUMPRODUCT(B485:B504, (ROW(B485:B504)-ROW(B485)+1)) / (20*21/2)</f>
        <v>5.8326523809523811</v>
      </c>
      <c r="J501" s="2">
        <f t="shared" si="58"/>
        <v>5.8315055043636281</v>
      </c>
      <c r="K501" s="2">
        <f t="shared" si="60"/>
        <v>5.802809067044512</v>
      </c>
    </row>
    <row r="502" spans="1:11" ht="13.5" x14ac:dyDescent="0.25">
      <c r="A502" s="3">
        <f>TITRES_STAT!B505</f>
        <v>45649</v>
      </c>
      <c r="B502" s="5">
        <f>TITRES_STAT!D505</f>
        <v>5.8120000000000003</v>
      </c>
      <c r="C502" s="2">
        <f t="shared" si="53"/>
        <v>0</v>
      </c>
      <c r="D502" s="2">
        <f t="shared" si="54"/>
        <v>5.8234000000000004</v>
      </c>
      <c r="E502" s="2">
        <f t="shared" si="56"/>
        <v>5.8675999999999986</v>
      </c>
      <c r="F502" s="2">
        <f t="shared" si="57"/>
        <v>5.8188500000000003</v>
      </c>
      <c r="G502" s="2">
        <f t="shared" si="59"/>
        <v>5.8144800000000005</v>
      </c>
      <c r="H502" s="2">
        <f t="shared" si="55"/>
        <v>5.5433049999999993</v>
      </c>
      <c r="I502" s="2">
        <f t="array" ref="I502">SUMPRODUCT(B486:B505, (ROW(B486:B505)-ROW(B486)+1)) / (20*21/2)</f>
        <v>5.8293761904761903</v>
      </c>
      <c r="J502" s="2">
        <f t="shared" si="58"/>
        <v>5.829647837281378</v>
      </c>
      <c r="K502" s="2">
        <f t="shared" si="60"/>
        <v>5.8031694957878646</v>
      </c>
    </row>
    <row r="503" spans="1:11" ht="13.5" x14ac:dyDescent="0.25">
      <c r="A503" s="3">
        <f>TITRES_STAT!B506</f>
        <v>45650</v>
      </c>
      <c r="B503" s="5">
        <f>TITRES_STAT!D506</f>
        <v>5.7839999999999998</v>
      </c>
      <c r="C503" s="2">
        <f t="shared" si="53"/>
        <v>-2.8000000000000469E-2</v>
      </c>
      <c r="D503" s="2">
        <f t="shared" si="54"/>
        <v>5.8027999999999995</v>
      </c>
      <c r="E503" s="2">
        <f t="shared" si="56"/>
        <v>5.8543999999999992</v>
      </c>
      <c r="F503" s="2">
        <f t="shared" si="57"/>
        <v>5.8178999999999998</v>
      </c>
      <c r="G503" s="2">
        <f t="shared" si="59"/>
        <v>5.8131599999999999</v>
      </c>
      <c r="H503" s="2">
        <f t="shared" si="55"/>
        <v>5.5456149999999989</v>
      </c>
      <c r="I503" s="2">
        <f t="array" ref="I503">SUMPRODUCT(B487:B506, (ROW(B487:B506)-ROW(B487)+1)) / (20*21/2)</f>
        <v>5.8249761904761908</v>
      </c>
      <c r="J503" s="2">
        <f t="shared" si="58"/>
        <v>5.8253004242069606</v>
      </c>
      <c r="K503" s="2">
        <f t="shared" si="60"/>
        <v>5.8024177508550077</v>
      </c>
    </row>
    <row r="504" spans="1:11" ht="13.5" x14ac:dyDescent="0.25">
      <c r="A504" s="3">
        <f>TITRES_STAT!B507</f>
        <v>45651</v>
      </c>
      <c r="B504" s="5">
        <f>TITRES_STAT!D507</f>
        <v>5.7939999999999996</v>
      </c>
      <c r="C504" s="2">
        <f t="shared" si="53"/>
        <v>9.9999999999997868E-3</v>
      </c>
      <c r="D504" s="2">
        <f t="shared" si="54"/>
        <v>5.8027999999999995</v>
      </c>
      <c r="E504" s="2">
        <f t="shared" si="56"/>
        <v>5.8431999999999995</v>
      </c>
      <c r="F504" s="2">
        <f t="shared" si="57"/>
        <v>5.8183999999999996</v>
      </c>
      <c r="G504" s="2">
        <f t="shared" si="59"/>
        <v>5.8148599999999995</v>
      </c>
      <c r="H504" s="2">
        <f t="shared" si="55"/>
        <v>5.5477549999999987</v>
      </c>
      <c r="I504" s="2">
        <f t="array" ref="I504">SUMPRODUCT(B488:B507, (ROW(B488:B507)-ROW(B488)+1)) / (20*21/2)</f>
        <v>5.8199047619047626</v>
      </c>
      <c r="J504" s="2">
        <f t="shared" si="58"/>
        <v>5.8223194314253455</v>
      </c>
      <c r="K504" s="2">
        <f t="shared" si="60"/>
        <v>5.8020876429783401</v>
      </c>
    </row>
    <row r="505" spans="1:11" ht="13.5" x14ac:dyDescent="0.25">
      <c r="A505" s="3">
        <f>TITRES_STAT!B508</f>
        <v>45652</v>
      </c>
      <c r="B505" s="5">
        <f>TITRES_STAT!D508</f>
        <v>5.7839999999999998</v>
      </c>
      <c r="C505" s="2">
        <f t="shared" si="53"/>
        <v>-9.9999999999997868E-3</v>
      </c>
      <c r="D505" s="2">
        <f t="shared" si="54"/>
        <v>5.7972000000000001</v>
      </c>
      <c r="E505" s="2">
        <f t="shared" si="56"/>
        <v>5.8309999999999995</v>
      </c>
      <c r="F505" s="2">
        <f t="shared" si="57"/>
        <v>5.8212000000000002</v>
      </c>
      <c r="G505" s="2">
        <f t="shared" si="59"/>
        <v>5.8150399999999998</v>
      </c>
      <c r="H505" s="2">
        <f t="shared" si="55"/>
        <v>5.5500649999999982</v>
      </c>
      <c r="I505" s="2">
        <f t="array" ref="I505">SUMPRODUCT(B489:B508, (ROW(B489:B508)-ROW(B489)+1)) / (20*21/2)</f>
        <v>5.8149238095238092</v>
      </c>
      <c r="J505" s="2">
        <f t="shared" si="58"/>
        <v>5.8186699617657887</v>
      </c>
      <c r="K505" s="2">
        <f t="shared" si="60"/>
        <v>5.8013783236458565</v>
      </c>
    </row>
    <row r="506" spans="1:11" ht="13.5" x14ac:dyDescent="0.25">
      <c r="A506" s="3">
        <f>TITRES_STAT!B509</f>
        <v>45653</v>
      </c>
      <c r="B506" s="5">
        <f>TITRES_STAT!D509</f>
        <v>5.7750000000000004</v>
      </c>
      <c r="C506" s="2">
        <f t="shared" si="53"/>
        <v>-8.9999999999994529E-3</v>
      </c>
      <c r="D506" s="2">
        <f t="shared" si="54"/>
        <v>5.7897999999999996</v>
      </c>
      <c r="E506" s="2">
        <f t="shared" si="56"/>
        <v>5.8150999999999993</v>
      </c>
      <c r="F506" s="2">
        <f t="shared" si="57"/>
        <v>5.8282499999999997</v>
      </c>
      <c r="G506" s="2">
        <f t="shared" si="59"/>
        <v>5.8150399999999989</v>
      </c>
      <c r="H506" s="2">
        <f t="shared" si="55"/>
        <v>5.5523749999999987</v>
      </c>
      <c r="I506" s="2">
        <f t="array" ref="I506">SUMPRODUCT(B490:B509, (ROW(B490:B509)-ROW(B490)+1)) / (20*21/2)</f>
        <v>5.8099857142857143</v>
      </c>
      <c r="J506" s="2">
        <f t="shared" si="58"/>
        <v>5.8145109177880947</v>
      </c>
      <c r="K506" s="2">
        <f t="shared" si="60"/>
        <v>5.8003438795813134</v>
      </c>
    </row>
    <row r="507" spans="1:11" ht="13.5" x14ac:dyDescent="0.25">
      <c r="A507" s="3">
        <f>TITRES_STAT!B510</f>
        <v>45656</v>
      </c>
      <c r="B507" s="5">
        <f>TITRES_STAT!D510</f>
        <v>5.7750000000000004</v>
      </c>
      <c r="C507" s="2">
        <f t="shared" si="53"/>
        <v>0</v>
      </c>
      <c r="D507" s="2">
        <f t="shared" si="54"/>
        <v>5.7824</v>
      </c>
      <c r="E507" s="2">
        <f t="shared" si="56"/>
        <v>5.8028999999999993</v>
      </c>
      <c r="F507" s="2">
        <f t="shared" si="57"/>
        <v>5.8272999999999993</v>
      </c>
      <c r="G507" s="2">
        <f t="shared" si="59"/>
        <v>5.8135399999999997</v>
      </c>
      <c r="H507" s="2">
        <f t="shared" si="55"/>
        <v>5.5547699999999995</v>
      </c>
      <c r="I507" s="2">
        <f t="array" ref="I507">SUMPRODUCT(B491:B510, (ROW(B491:B510)-ROW(B491)+1)) / (20*21/2)</f>
        <v>5.8050904761904762</v>
      </c>
      <c r="J507" s="2">
        <f t="shared" si="58"/>
        <v>5.8107479732368477</v>
      </c>
      <c r="K507" s="2">
        <f t="shared" si="60"/>
        <v>5.7993500019506738</v>
      </c>
    </row>
    <row r="508" spans="1:11" ht="13.5" x14ac:dyDescent="0.25">
      <c r="A508" s="3">
        <f>TITRES_STAT!B511</f>
        <v>45657</v>
      </c>
      <c r="B508" s="5">
        <f>TITRES_STAT!D511</f>
        <v>5.7750000000000004</v>
      </c>
      <c r="C508" s="2">
        <f t="shared" si="53"/>
        <v>0</v>
      </c>
      <c r="D508" s="2">
        <f t="shared" si="54"/>
        <v>5.7805999999999997</v>
      </c>
      <c r="E508" s="2">
        <f t="shared" si="56"/>
        <v>5.7916999999999996</v>
      </c>
      <c r="F508" s="2">
        <f t="shared" si="57"/>
        <v>5.8268500000000012</v>
      </c>
      <c r="G508" s="2">
        <f t="shared" si="59"/>
        <v>5.8127999999999993</v>
      </c>
      <c r="H508" s="2">
        <f t="shared" si="55"/>
        <v>5.5568550000000005</v>
      </c>
      <c r="I508" s="2">
        <f t="array" ref="I508">SUMPRODUCT(B492:B511, (ROW(B492:B511)-ROW(B492)+1)) / (20*21/2)</f>
        <v>5.7948095238095227</v>
      </c>
      <c r="J508" s="2">
        <f t="shared" si="58"/>
        <v>5.8073434043571481</v>
      </c>
      <c r="K508" s="2">
        <f t="shared" si="60"/>
        <v>5.7983950999133924</v>
      </c>
    </row>
    <row r="509" spans="1:11" ht="13.5" x14ac:dyDescent="0.25">
      <c r="A509" s="3">
        <f>TITRES_STAT!B512</f>
        <v>45659</v>
      </c>
      <c r="B509" s="5">
        <f>TITRES_STAT!D512</f>
        <v>5.7750000000000004</v>
      </c>
      <c r="C509" s="2">
        <f t="shared" si="53"/>
        <v>0</v>
      </c>
      <c r="D509" s="2">
        <f t="shared" si="54"/>
        <v>5.7767999999999997</v>
      </c>
      <c r="E509" s="2">
        <f t="shared" si="56"/>
        <v>5.7897999999999996</v>
      </c>
      <c r="F509" s="2">
        <f t="shared" si="57"/>
        <v>5.8264000000000014</v>
      </c>
      <c r="G509" s="2">
        <f t="shared" si="59"/>
        <v>5.8118599999999985</v>
      </c>
      <c r="H509" s="2">
        <f t="shared" si="55"/>
        <v>5.5589400000000015</v>
      </c>
      <c r="I509" s="2">
        <f t="array" ref="I509">SUMPRODUCT(B493:B512, (ROW(B493:B512)-ROW(B493)+1)) / (20*21/2)</f>
        <v>5.7831285714285716</v>
      </c>
      <c r="J509" s="2">
        <f t="shared" si="58"/>
        <v>5.8042630801326576</v>
      </c>
      <c r="K509" s="2">
        <f t="shared" si="60"/>
        <v>5.797477645014828</v>
      </c>
    </row>
    <row r="510" spans="1:11" ht="13.5" x14ac:dyDescent="0.25">
      <c r="A510" s="3">
        <f>TITRES_STAT!B513</f>
        <v>45660</v>
      </c>
      <c r="B510" s="5">
        <f>TITRES_STAT!D513</f>
        <v>5.7750000000000004</v>
      </c>
      <c r="C510" s="2">
        <f t="shared" si="53"/>
        <v>0</v>
      </c>
      <c r="D510" s="2">
        <f t="shared" si="54"/>
        <v>5.7750000000000004</v>
      </c>
      <c r="E510" s="2">
        <f t="shared" si="56"/>
        <v>5.7860999999999994</v>
      </c>
      <c r="F510" s="2">
        <f t="shared" si="57"/>
        <v>5.8259500000000006</v>
      </c>
      <c r="G510" s="2">
        <f t="shared" si="59"/>
        <v>5.8118599999999985</v>
      </c>
      <c r="H510" s="2">
        <f t="shared" si="55"/>
        <v>5.5610250000000008</v>
      </c>
      <c r="I510" s="2">
        <f t="array" ref="I510">SUMPRODUCT(B494:B513, (ROW(B494:B513)-ROW(B494)+1)) / (20*21/2)</f>
        <v>5.7826952380952381</v>
      </c>
      <c r="J510" s="2">
        <f t="shared" si="58"/>
        <v>5.8014761201200233</v>
      </c>
      <c r="K510" s="2">
        <f t="shared" si="60"/>
        <v>5.7965961687397369</v>
      </c>
    </row>
    <row r="511" spans="1:11" ht="13.5" x14ac:dyDescent="0.25">
      <c r="A511" s="3">
        <f>TITRES_STAT!B514</f>
        <v>45663</v>
      </c>
      <c r="B511" s="5">
        <f>TITRES_STAT!D514</f>
        <v>5.718</v>
      </c>
      <c r="C511" s="2">
        <f t="shared" si="53"/>
        <v>-5.7000000000000384E-2</v>
      </c>
      <c r="D511" s="2">
        <f t="shared" si="54"/>
        <v>5.7636000000000003</v>
      </c>
      <c r="E511" s="2">
        <f t="shared" si="56"/>
        <v>5.7766999999999999</v>
      </c>
      <c r="F511" s="2">
        <f t="shared" si="57"/>
        <v>5.8226500000000012</v>
      </c>
      <c r="G511" s="2">
        <f t="shared" si="59"/>
        <v>5.8088399999999982</v>
      </c>
      <c r="H511" s="2">
        <f t="shared" si="55"/>
        <v>5.562825000000001</v>
      </c>
      <c r="I511" s="2">
        <f t="array" ref="I511">SUMPRODUCT(B495:B514, (ROW(B495:B514)-ROW(B495)+1)) / (20*21/2)</f>
        <v>5.7827571428571432</v>
      </c>
      <c r="J511" s="2">
        <f t="shared" si="58"/>
        <v>5.7935260134419257</v>
      </c>
      <c r="K511" s="2">
        <f t="shared" si="60"/>
        <v>5.7935139660440607</v>
      </c>
    </row>
    <row r="512" spans="1:11" ht="13.5" x14ac:dyDescent="0.25">
      <c r="A512" s="3">
        <f>TITRES_STAT!B515</f>
        <v>45664</v>
      </c>
      <c r="B512" s="5">
        <f>TITRES_STAT!D515</f>
        <v>5.7</v>
      </c>
      <c r="C512" s="2">
        <f t="shared" si="53"/>
        <v>-1.7999999999999794E-2</v>
      </c>
      <c r="D512" s="2">
        <f t="shared" si="54"/>
        <v>5.7486000000000006</v>
      </c>
      <c r="E512" s="2">
        <f t="shared" si="56"/>
        <v>5.7655000000000003</v>
      </c>
      <c r="F512" s="2">
        <f t="shared" si="57"/>
        <v>5.8165500000000012</v>
      </c>
      <c r="G512" s="2">
        <f t="shared" si="59"/>
        <v>5.8054599999999992</v>
      </c>
      <c r="H512" s="2">
        <f t="shared" si="55"/>
        <v>5.564535000000002</v>
      </c>
      <c r="I512" s="2">
        <f t="array" ref="I512">SUMPRODUCT(B496:B515, (ROW(B496:B515)-ROW(B496)+1)) / (20*21/2)</f>
        <v>5.7824095238095232</v>
      </c>
      <c r="J512" s="2">
        <f t="shared" si="58"/>
        <v>5.7846187740665043</v>
      </c>
      <c r="K512" s="2">
        <f t="shared" si="60"/>
        <v>5.7898467516893914</v>
      </c>
    </row>
    <row r="513" spans="1:11" ht="13.5" x14ac:dyDescent="0.25">
      <c r="A513" s="3">
        <f>TITRES_STAT!B516</f>
        <v>45665</v>
      </c>
      <c r="B513" s="5">
        <f>TITRES_STAT!D516</f>
        <v>5.8120000000000003</v>
      </c>
      <c r="C513" s="2">
        <f t="shared" si="53"/>
        <v>0.1120000000000001</v>
      </c>
      <c r="D513" s="2">
        <f t="shared" si="54"/>
        <v>5.7560000000000002</v>
      </c>
      <c r="E513" s="2">
        <f t="shared" si="56"/>
        <v>5.7682999999999991</v>
      </c>
      <c r="F513" s="2">
        <f t="shared" si="57"/>
        <v>5.8113500000000018</v>
      </c>
      <c r="G513" s="2">
        <f t="shared" si="59"/>
        <v>5.8043200000000006</v>
      </c>
      <c r="H513" s="2">
        <f t="shared" si="55"/>
        <v>5.5668050000000013</v>
      </c>
      <c r="I513" s="2">
        <f t="array" ref="I513">SUMPRODUCT(B497:B516, (ROW(B497:B516)-ROW(B497)+1)) / (20*21/2)</f>
        <v>5.7825523809523807</v>
      </c>
      <c r="J513" s="2">
        <f t="shared" si="58"/>
        <v>5.7872265098696936</v>
      </c>
      <c r="K513" s="2">
        <f t="shared" si="60"/>
        <v>5.7907155065251024</v>
      </c>
    </row>
    <row r="514" spans="1:11" ht="13.5" x14ac:dyDescent="0.25">
      <c r="A514" s="3">
        <f>TITRES_STAT!B517</f>
        <v>45666</v>
      </c>
      <c r="B514" s="5">
        <f>TITRES_STAT!D517</f>
        <v>5.8120000000000003</v>
      </c>
      <c r="C514" s="2">
        <f t="shared" si="53"/>
        <v>0</v>
      </c>
      <c r="D514" s="2">
        <f t="shared" si="54"/>
        <v>5.7634000000000007</v>
      </c>
      <c r="E514" s="2">
        <f t="shared" si="56"/>
        <v>5.7700999999999993</v>
      </c>
      <c r="F514" s="2">
        <f t="shared" si="57"/>
        <v>5.8066500000000012</v>
      </c>
      <c r="G514" s="2">
        <f t="shared" si="59"/>
        <v>5.8031800000000011</v>
      </c>
      <c r="H514" s="2">
        <f t="shared" si="55"/>
        <v>5.5693000000000019</v>
      </c>
      <c r="I514" s="2">
        <f t="array" ref="I514">SUMPRODUCT(B498:B517, (ROW(B498:B517)-ROW(B498)+1)) / (20*21/2)</f>
        <v>5.783319047619047</v>
      </c>
      <c r="J514" s="2">
        <f t="shared" si="58"/>
        <v>5.7895858898821029</v>
      </c>
      <c r="K514" s="2">
        <f t="shared" si="60"/>
        <v>5.7915501925437258</v>
      </c>
    </row>
    <row r="515" spans="1:11" ht="13.5" x14ac:dyDescent="0.25">
      <c r="A515" s="3">
        <f>TITRES_STAT!B518</f>
        <v>45667</v>
      </c>
      <c r="B515" s="5">
        <f>TITRES_STAT!D518</f>
        <v>5.8029999999999999</v>
      </c>
      <c r="C515" s="2">
        <f t="shared" si="53"/>
        <v>-9.0000000000003411E-3</v>
      </c>
      <c r="D515" s="2">
        <f t="shared" si="54"/>
        <v>5.7690000000000001</v>
      </c>
      <c r="E515" s="2">
        <f t="shared" si="56"/>
        <v>5.7720000000000002</v>
      </c>
      <c r="F515" s="2">
        <f t="shared" si="57"/>
        <v>5.8015000000000008</v>
      </c>
      <c r="G515" s="2">
        <f t="shared" si="59"/>
        <v>5.8028000000000013</v>
      </c>
      <c r="H515" s="2">
        <f t="shared" si="55"/>
        <v>5.5716150000000013</v>
      </c>
      <c r="I515" s="2">
        <f t="array" ref="I515">SUMPRODUCT(B499:B518, (ROW(B499:B518)-ROW(B499)+1)) / (20*21/2)</f>
        <v>5.7836761904761893</v>
      </c>
      <c r="J515" s="2">
        <f t="shared" si="58"/>
        <v>5.7908634241790455</v>
      </c>
      <c r="K515" s="2">
        <f t="shared" si="60"/>
        <v>5.7919992046008355</v>
      </c>
    </row>
    <row r="516" spans="1:11" ht="13.5" x14ac:dyDescent="0.25">
      <c r="A516" s="3">
        <f>TITRES_STAT!B519</f>
        <v>45670</v>
      </c>
      <c r="B516" s="5">
        <f>TITRES_STAT!D519</f>
        <v>5.8029999999999999</v>
      </c>
      <c r="C516" s="2">
        <f t="shared" ref="C516:C579" si="61">B516-B515</f>
        <v>0</v>
      </c>
      <c r="D516" s="2">
        <f t="shared" si="54"/>
        <v>5.7860000000000005</v>
      </c>
      <c r="E516" s="2">
        <f t="shared" si="56"/>
        <v>5.774799999999999</v>
      </c>
      <c r="F516" s="2">
        <f t="shared" si="57"/>
        <v>5.79495</v>
      </c>
      <c r="G516" s="2">
        <f t="shared" si="59"/>
        <v>5.8024200000000006</v>
      </c>
      <c r="H516" s="2">
        <f t="shared" si="55"/>
        <v>5.5739300000000034</v>
      </c>
      <c r="I516" s="2">
        <f t="array" ref="I516">SUMPRODUCT(B500:B519, (ROW(B500:B519)-ROW(B500)+1)) / (20*21/2)</f>
        <v>5.7844761904761892</v>
      </c>
      <c r="J516" s="2">
        <f t="shared" si="58"/>
        <v>5.7920192885429458</v>
      </c>
      <c r="K516" s="2">
        <f t="shared" si="60"/>
        <v>5.7924306083419799</v>
      </c>
    </row>
    <row r="517" spans="1:11" ht="13.5" x14ac:dyDescent="0.25">
      <c r="A517" s="3">
        <f>TITRES_STAT!B520</f>
        <v>45671</v>
      </c>
      <c r="B517" s="5">
        <f>TITRES_STAT!D520</f>
        <v>5.8029999999999999</v>
      </c>
      <c r="C517" s="2">
        <f t="shared" si="61"/>
        <v>0</v>
      </c>
      <c r="D517" s="2">
        <f t="shared" si="54"/>
        <v>5.8066000000000004</v>
      </c>
      <c r="E517" s="2">
        <f t="shared" si="56"/>
        <v>5.7775999999999987</v>
      </c>
      <c r="F517" s="2">
        <f t="shared" si="57"/>
        <v>5.7902499999999995</v>
      </c>
      <c r="G517" s="2">
        <f t="shared" si="59"/>
        <v>5.8020400000000016</v>
      </c>
      <c r="H517" s="2">
        <f t="shared" si="55"/>
        <v>5.5762450000000046</v>
      </c>
      <c r="I517" s="2">
        <f t="array" ref="I517">SUMPRODUCT(B501:B520, (ROW(B501:B520)-ROW(B501)+1)) / (20*21/2)</f>
        <v>5.7843238095238103</v>
      </c>
      <c r="J517" s="2">
        <f t="shared" si="58"/>
        <v>5.7930650705864739</v>
      </c>
      <c r="K517" s="2">
        <f t="shared" si="60"/>
        <v>5.7928450942893539</v>
      </c>
    </row>
    <row r="518" spans="1:11" ht="13.5" x14ac:dyDescent="0.25">
      <c r="A518" s="3">
        <f>TITRES_STAT!B521</f>
        <v>45672</v>
      </c>
      <c r="B518" s="5">
        <f>TITRES_STAT!D521</f>
        <v>5.7939999999999996</v>
      </c>
      <c r="C518" s="2">
        <f t="shared" si="61"/>
        <v>-9.0000000000003411E-3</v>
      </c>
      <c r="D518" s="2">
        <f t="shared" ref="D518:D581" si="62">AVERAGE(B514:B518)</f>
        <v>5.8029999999999999</v>
      </c>
      <c r="E518" s="2">
        <f t="shared" si="56"/>
        <v>5.7794999999999987</v>
      </c>
      <c r="F518" s="2">
        <f t="shared" si="57"/>
        <v>5.7855999999999996</v>
      </c>
      <c r="G518" s="2">
        <f t="shared" si="59"/>
        <v>5.8024200000000006</v>
      </c>
      <c r="H518" s="2">
        <f t="shared" si="55"/>
        <v>5.5785150000000057</v>
      </c>
      <c r="I518" s="2">
        <f t="array" ref="I518">SUMPRODUCT(B502:B521, (ROW(B502:B521)-ROW(B502)+1)) / (20*21/2)</f>
        <v>5.7843047619047629</v>
      </c>
      <c r="J518" s="2">
        <f t="shared" si="58"/>
        <v>5.7931541114830001</v>
      </c>
      <c r="K518" s="2">
        <f t="shared" si="60"/>
        <v>5.7928903847093789</v>
      </c>
    </row>
    <row r="519" spans="1:11" ht="13.5" x14ac:dyDescent="0.25">
      <c r="A519" s="3">
        <f>TITRES_STAT!B522</f>
        <v>45673</v>
      </c>
      <c r="B519" s="5">
        <f>TITRES_STAT!D522</f>
        <v>5.7939999999999996</v>
      </c>
      <c r="C519" s="2">
        <f t="shared" si="61"/>
        <v>0</v>
      </c>
      <c r="D519" s="2">
        <f t="shared" si="62"/>
        <v>5.7994000000000003</v>
      </c>
      <c r="E519" s="2">
        <f t="shared" si="56"/>
        <v>5.7813999999999997</v>
      </c>
      <c r="F519" s="2">
        <f t="shared" si="57"/>
        <v>5.7855999999999987</v>
      </c>
      <c r="G519" s="2">
        <f t="shared" si="59"/>
        <v>5.80206</v>
      </c>
      <c r="H519" s="2">
        <f t="shared" si="55"/>
        <v>5.5808300000000068</v>
      </c>
      <c r="I519" s="2">
        <f t="array" ref="I519">SUMPRODUCT(B503:B522, (ROW(B503:B522)-ROW(B503)+1)) / (20*21/2)</f>
        <v>5.7817523809523816</v>
      </c>
      <c r="J519" s="2">
        <f t="shared" si="58"/>
        <v>5.7932346722941421</v>
      </c>
      <c r="K519" s="2">
        <f t="shared" si="60"/>
        <v>5.7929338990345007</v>
      </c>
    </row>
    <row r="520" spans="1:11" ht="13.5" x14ac:dyDescent="0.25">
      <c r="A520" s="3">
        <f>TITRES_STAT!B523</f>
        <v>45674</v>
      </c>
      <c r="B520" s="5">
        <f>TITRES_STAT!D523</f>
        <v>5.7839999999999998</v>
      </c>
      <c r="C520" s="2">
        <f t="shared" si="61"/>
        <v>-9.9999999999997868E-3</v>
      </c>
      <c r="D520" s="2">
        <f t="shared" si="62"/>
        <v>5.7955999999999994</v>
      </c>
      <c r="E520" s="2">
        <f t="shared" si="56"/>
        <v>5.7822999999999993</v>
      </c>
      <c r="F520" s="2">
        <f t="shared" si="57"/>
        <v>5.7841999999999993</v>
      </c>
      <c r="G520" s="2">
        <f t="shared" si="59"/>
        <v>5.8018600000000013</v>
      </c>
      <c r="H520" s="2">
        <f t="shared" si="55"/>
        <v>5.5831400000000073</v>
      </c>
      <c r="I520" s="2">
        <f t="array" ref="I520">SUMPRODUCT(B504:B523, (ROW(B504:B523)-ROW(B504)+1)) / (20*21/2)</f>
        <v>5.7794666666666652</v>
      </c>
      <c r="J520" s="2">
        <f t="shared" si="58"/>
        <v>5.7923551796946997</v>
      </c>
      <c r="K520" s="2">
        <f t="shared" si="60"/>
        <v>5.7925835500527558</v>
      </c>
    </row>
    <row r="521" spans="1:11" ht="13.5" x14ac:dyDescent="0.25">
      <c r="A521" s="3">
        <f>TITRES_STAT!B524</f>
        <v>45677</v>
      </c>
      <c r="B521" s="5">
        <f>TITRES_STAT!D524</f>
        <v>5.7839999999999998</v>
      </c>
      <c r="C521" s="2">
        <f t="shared" si="61"/>
        <v>0</v>
      </c>
      <c r="D521" s="2">
        <f t="shared" si="62"/>
        <v>5.7917999999999994</v>
      </c>
      <c r="E521" s="2">
        <f t="shared" si="56"/>
        <v>5.7888999999999999</v>
      </c>
      <c r="F521" s="2">
        <f t="shared" si="57"/>
        <v>5.7827999999999999</v>
      </c>
      <c r="G521" s="2">
        <f t="shared" si="59"/>
        <v>5.8031800000000011</v>
      </c>
      <c r="H521" s="2">
        <f t="shared" si="55"/>
        <v>5.5854050000000077</v>
      </c>
      <c r="I521" s="2">
        <f t="array" ref="I521">SUMPRODUCT(B505:B524, (ROW(B505:B524)-ROW(B505)+1)) / (20*21/2)</f>
        <v>5.7746476190476184</v>
      </c>
      <c r="J521" s="2">
        <f t="shared" si="58"/>
        <v>5.791559448295204</v>
      </c>
      <c r="K521" s="2">
        <f t="shared" si="60"/>
        <v>5.7922469402467653</v>
      </c>
    </row>
    <row r="522" spans="1:11" ht="13.5" x14ac:dyDescent="0.25">
      <c r="A522" s="3">
        <f>TITRES_STAT!B525</f>
        <v>45678</v>
      </c>
      <c r="B522" s="5">
        <f>TITRES_STAT!D525</f>
        <v>5.7560000000000002</v>
      </c>
      <c r="C522" s="2">
        <f t="shared" si="61"/>
        <v>-2.7999999999999581E-2</v>
      </c>
      <c r="D522" s="2">
        <f t="shared" si="62"/>
        <v>5.7824</v>
      </c>
      <c r="E522" s="2">
        <f t="shared" si="56"/>
        <v>5.7944999999999993</v>
      </c>
      <c r="F522" s="2">
        <f t="shared" si="57"/>
        <v>5.7799999999999994</v>
      </c>
      <c r="G522" s="2">
        <f t="shared" si="59"/>
        <v>5.8022400000000012</v>
      </c>
      <c r="H522" s="2">
        <f t="shared" ref="H522:H585" si="63">AVERAGE(B323:B522)</f>
        <v>5.5875300000000072</v>
      </c>
      <c r="I522" s="2">
        <f t="array" ref="I522">SUMPRODUCT(B506:B525, (ROW(B506:B525)-ROW(B506)+1)) / (20*21/2)</f>
        <v>5.770142857142857</v>
      </c>
      <c r="J522" s="2">
        <f t="shared" si="58"/>
        <v>5.788172834171851</v>
      </c>
      <c r="K522" s="2">
        <f t="shared" si="60"/>
        <v>5.7908254916096373</v>
      </c>
    </row>
    <row r="523" spans="1:11" ht="13.5" x14ac:dyDescent="0.25">
      <c r="A523" s="3">
        <f>TITRES_STAT!B526</f>
        <v>45679</v>
      </c>
      <c r="B523" s="5">
        <f>TITRES_STAT!D526</f>
        <v>5.7560000000000002</v>
      </c>
      <c r="C523" s="2">
        <f t="shared" si="61"/>
        <v>0</v>
      </c>
      <c r="D523" s="2">
        <f t="shared" si="62"/>
        <v>5.7747999999999999</v>
      </c>
      <c r="E523" s="2">
        <f t="shared" si="56"/>
        <v>5.7888999999999999</v>
      </c>
      <c r="F523" s="2">
        <f t="shared" si="57"/>
        <v>5.7785999999999991</v>
      </c>
      <c r="G523" s="2">
        <f t="shared" si="59"/>
        <v>5.7999800000000006</v>
      </c>
      <c r="H523" s="2">
        <f t="shared" si="63"/>
        <v>5.5895200000000065</v>
      </c>
      <c r="I523" s="2">
        <f t="array" ref="I523">SUMPRODUCT(B507:B526, (ROW(B507:B526)-ROW(B507)+1)) / (20*21/2)</f>
        <v>5.7685714285714287</v>
      </c>
      <c r="J523" s="2">
        <f t="shared" si="58"/>
        <v>5.7851087547269131</v>
      </c>
      <c r="K523" s="2">
        <f t="shared" si="60"/>
        <v>5.7894597860563177</v>
      </c>
    </row>
    <row r="524" spans="1:11" ht="13.5" x14ac:dyDescent="0.25">
      <c r="A524" s="3">
        <f>TITRES_STAT!B527</f>
        <v>45680</v>
      </c>
      <c r="B524" s="5">
        <f>TITRES_STAT!D527</f>
        <v>5.7279999999999998</v>
      </c>
      <c r="C524" s="2">
        <f t="shared" si="61"/>
        <v>-2.8000000000000469E-2</v>
      </c>
      <c r="D524" s="2">
        <f t="shared" si="62"/>
        <v>5.7615999999999996</v>
      </c>
      <c r="E524" s="2">
        <f t="shared" ref="E524:E587" si="64">AVERAGE(B515:B524)</f>
        <v>5.7805</v>
      </c>
      <c r="F524" s="2">
        <f t="shared" si="57"/>
        <v>5.7752999999999997</v>
      </c>
      <c r="G524" s="2">
        <f t="shared" si="59"/>
        <v>5.7977200000000009</v>
      </c>
      <c r="H524" s="2">
        <f t="shared" si="63"/>
        <v>5.5913700000000066</v>
      </c>
      <c r="I524" s="2">
        <f t="array" ref="I524">SUMPRODUCT(B508:B527, (ROW(B508:B527)-ROW(B508)+1)) / (20*21/2)</f>
        <v>5.767090476190476</v>
      </c>
      <c r="J524" s="2">
        <f t="shared" si="58"/>
        <v>5.7796698257053016</v>
      </c>
      <c r="K524" s="2">
        <f t="shared" si="60"/>
        <v>5.7870495983678349</v>
      </c>
    </row>
    <row r="525" spans="1:11" ht="13.5" x14ac:dyDescent="0.25">
      <c r="A525" s="3">
        <f>TITRES_STAT!B528</f>
        <v>45681</v>
      </c>
      <c r="B525" s="5">
        <f>TITRES_STAT!D528</f>
        <v>5.7279999999999998</v>
      </c>
      <c r="C525" s="2">
        <f t="shared" si="61"/>
        <v>0</v>
      </c>
      <c r="D525" s="2">
        <f t="shared" si="62"/>
        <v>5.7504000000000008</v>
      </c>
      <c r="E525" s="2">
        <f t="shared" si="64"/>
        <v>5.7730000000000006</v>
      </c>
      <c r="F525" s="2">
        <f t="shared" si="57"/>
        <v>5.7724999999999991</v>
      </c>
      <c r="G525" s="2">
        <f t="shared" si="59"/>
        <v>5.7960400000000023</v>
      </c>
      <c r="H525" s="2">
        <f t="shared" si="63"/>
        <v>5.593400000000007</v>
      </c>
      <c r="I525" s="2">
        <f t="array" ref="I525">SUMPRODUCT(B509:B528, (ROW(B509:B528)-ROW(B509)+1)) / (20*21/2)</f>
        <v>5.7656999999999998</v>
      </c>
      <c r="J525" s="2">
        <f t="shared" si="58"/>
        <v>5.7747488899238437</v>
      </c>
      <c r="K525" s="2">
        <f t="shared" si="60"/>
        <v>5.7847339278436065</v>
      </c>
    </row>
    <row r="526" spans="1:11" ht="13.5" x14ac:dyDescent="0.25">
      <c r="A526" s="3">
        <f>TITRES_STAT!B529</f>
        <v>45684</v>
      </c>
      <c r="B526" s="5">
        <f>TITRES_STAT!D529</f>
        <v>5.7560000000000002</v>
      </c>
      <c r="C526" s="2">
        <f t="shared" si="61"/>
        <v>2.8000000000000469E-2</v>
      </c>
      <c r="D526" s="2">
        <f t="shared" si="62"/>
        <v>5.7448000000000006</v>
      </c>
      <c r="E526" s="2">
        <f t="shared" si="64"/>
        <v>5.7683</v>
      </c>
      <c r="F526" s="2">
        <f t="shared" si="57"/>
        <v>5.7715499999999995</v>
      </c>
      <c r="G526" s="2">
        <f t="shared" si="59"/>
        <v>5.7949200000000021</v>
      </c>
      <c r="H526" s="2">
        <f t="shared" si="63"/>
        <v>5.5955700000000057</v>
      </c>
      <c r="I526" s="2">
        <f t="array" ref="I526">SUMPRODUCT(B510:B529, (ROW(B510:B529)-ROW(B510)+1)) / (20*21/2)</f>
        <v>5.7635428571428573</v>
      </c>
      <c r="J526" s="2">
        <f t="shared" si="58"/>
        <v>5.7729632813596687</v>
      </c>
      <c r="K526" s="2">
        <f t="shared" si="60"/>
        <v>5.7836071071438573</v>
      </c>
    </row>
    <row r="527" spans="1:11" ht="13.5" x14ac:dyDescent="0.25">
      <c r="A527" s="3">
        <f>TITRES_STAT!B530</f>
        <v>45685</v>
      </c>
      <c r="B527" s="5">
        <f>TITRES_STAT!D530</f>
        <v>5.7560000000000002</v>
      </c>
      <c r="C527" s="2">
        <f t="shared" si="61"/>
        <v>0</v>
      </c>
      <c r="D527" s="2">
        <f t="shared" si="62"/>
        <v>5.7447999999999997</v>
      </c>
      <c r="E527" s="2">
        <f t="shared" si="64"/>
        <v>5.7636000000000003</v>
      </c>
      <c r="F527" s="2">
        <f t="shared" si="57"/>
        <v>5.7706</v>
      </c>
      <c r="G527" s="2">
        <f t="shared" si="59"/>
        <v>5.7936000000000014</v>
      </c>
      <c r="H527" s="2">
        <f t="shared" si="63"/>
        <v>5.5977850000000053</v>
      </c>
      <c r="I527" s="2">
        <f t="array" ref="I527">SUMPRODUCT(B511:B530, (ROW(B511:B530)-ROW(B511)+1)) / (20*21/2)</f>
        <v>5.7615190476190472</v>
      </c>
      <c r="J527" s="2">
        <f t="shared" si="58"/>
        <v>5.7713477307539858</v>
      </c>
      <c r="K527" s="2">
        <f t="shared" si="60"/>
        <v>5.7825244754911571</v>
      </c>
    </row>
    <row r="528" spans="1:11" ht="13.5" x14ac:dyDescent="0.25">
      <c r="A528" s="3">
        <f>TITRES_STAT!B531</f>
        <v>45686</v>
      </c>
      <c r="B528" s="5">
        <f>TITRES_STAT!D531</f>
        <v>5.7560000000000002</v>
      </c>
      <c r="C528" s="2">
        <f t="shared" si="61"/>
        <v>0</v>
      </c>
      <c r="D528" s="2">
        <f t="shared" si="62"/>
        <v>5.7447999999999997</v>
      </c>
      <c r="E528" s="2">
        <f t="shared" si="64"/>
        <v>5.7598000000000003</v>
      </c>
      <c r="F528" s="2">
        <f t="shared" si="57"/>
        <v>5.7696499999999995</v>
      </c>
      <c r="G528" s="2">
        <f t="shared" si="59"/>
        <v>5.7922800000000008</v>
      </c>
      <c r="H528" s="2">
        <f t="shared" si="63"/>
        <v>5.6000000000000059</v>
      </c>
      <c r="I528" s="2">
        <f t="array" ref="I528">SUMPRODUCT(B512:B531, (ROW(B512:B531)-ROW(B512)+1)) / (20*21/2)</f>
        <v>5.7658190476190478</v>
      </c>
      <c r="J528" s="2">
        <f t="shared" si="58"/>
        <v>5.7698860421107492</v>
      </c>
      <c r="K528" s="2">
        <f t="shared" si="60"/>
        <v>5.7814842999816998</v>
      </c>
    </row>
    <row r="529" spans="1:11" ht="13.5" x14ac:dyDescent="0.25">
      <c r="A529" s="3">
        <f>TITRES_STAT!B532</f>
        <v>45687</v>
      </c>
      <c r="B529" s="5">
        <f>TITRES_STAT!D532</f>
        <v>5.7469999999999999</v>
      </c>
      <c r="C529" s="2">
        <f t="shared" si="61"/>
        <v>-9.0000000000003411E-3</v>
      </c>
      <c r="D529" s="2">
        <f t="shared" si="62"/>
        <v>5.7486000000000006</v>
      </c>
      <c r="E529" s="2">
        <f t="shared" si="64"/>
        <v>5.7551000000000005</v>
      </c>
      <c r="F529" s="2">
        <f t="shared" si="57"/>
        <v>5.7682499999999992</v>
      </c>
      <c r="G529" s="2">
        <f t="shared" si="59"/>
        <v>5.791339999999999</v>
      </c>
      <c r="H529" s="2">
        <f t="shared" si="63"/>
        <v>5.6021700000000063</v>
      </c>
      <c r="I529" s="2">
        <f t="array" ref="I529">SUMPRODUCT(B513:B532, (ROW(B513:B532)-ROW(B513)+1)) / (20*21/2)</f>
        <v>5.7696714285714288</v>
      </c>
      <c r="J529" s="2">
        <f t="shared" si="58"/>
        <v>5.7677064190525824</v>
      </c>
      <c r="K529" s="2">
        <f t="shared" si="60"/>
        <v>5.780131974492221</v>
      </c>
    </row>
    <row r="530" spans="1:11" ht="13.5" x14ac:dyDescent="0.25">
      <c r="A530" s="3">
        <f>TITRES_STAT!B533</f>
        <v>45688</v>
      </c>
      <c r="B530" s="5">
        <f>TITRES_STAT!D533</f>
        <v>5.7469999999999999</v>
      </c>
      <c r="C530" s="2">
        <f t="shared" si="61"/>
        <v>0</v>
      </c>
      <c r="D530" s="2">
        <f t="shared" si="62"/>
        <v>5.7523999999999997</v>
      </c>
      <c r="E530" s="2">
        <f t="shared" si="64"/>
        <v>5.7514000000000003</v>
      </c>
      <c r="F530" s="2">
        <f t="shared" si="57"/>
        <v>5.7668499999999998</v>
      </c>
      <c r="G530" s="2">
        <f t="shared" si="59"/>
        <v>5.7904</v>
      </c>
      <c r="H530" s="2">
        <f t="shared" si="63"/>
        <v>5.6043400000000076</v>
      </c>
      <c r="I530" s="2">
        <f t="array" ref="I530">SUMPRODUCT(B514:B533, (ROW(B514:B533)-ROW(B514)+1)) / (20*21/2)</f>
        <v>5.7729904761904764</v>
      </c>
      <c r="J530" s="2">
        <f t="shared" si="58"/>
        <v>5.7657343791428124</v>
      </c>
      <c r="K530" s="2">
        <f t="shared" si="60"/>
        <v>5.7788326813748787</v>
      </c>
    </row>
    <row r="531" spans="1:11" ht="13.5" x14ac:dyDescent="0.25">
      <c r="A531" s="3">
        <f>TITRES_STAT!B534</f>
        <v>45691</v>
      </c>
      <c r="B531" s="5">
        <f>TITRES_STAT!D534</f>
        <v>5.8120000000000003</v>
      </c>
      <c r="C531" s="2">
        <f t="shared" si="61"/>
        <v>6.5000000000000391E-2</v>
      </c>
      <c r="D531" s="2">
        <f t="shared" si="62"/>
        <v>5.7636000000000003</v>
      </c>
      <c r="E531" s="2">
        <f t="shared" si="64"/>
        <v>5.7542</v>
      </c>
      <c r="F531" s="2">
        <f t="shared" si="57"/>
        <v>5.7715499999999995</v>
      </c>
      <c r="G531" s="2">
        <f t="shared" si="59"/>
        <v>5.7907600000000006</v>
      </c>
      <c r="H531" s="2">
        <f t="shared" si="63"/>
        <v>5.6072350000000064</v>
      </c>
      <c r="I531" s="2">
        <f t="array" ref="I531">SUMPRODUCT(B515:B534, (ROW(B515:B534)-ROW(B515)+1)) / (20*21/2)</f>
        <v>5.7763095238095241</v>
      </c>
      <c r="J531" s="2">
        <f t="shared" si="58"/>
        <v>5.7701406287482584</v>
      </c>
      <c r="K531" s="2">
        <f t="shared" si="60"/>
        <v>5.7801333605366487</v>
      </c>
    </row>
    <row r="532" spans="1:11" ht="13.5" x14ac:dyDescent="0.25">
      <c r="A532" s="3">
        <f>TITRES_STAT!B535</f>
        <v>45692</v>
      </c>
      <c r="B532" s="5">
        <f>TITRES_STAT!D535</f>
        <v>5.8120000000000003</v>
      </c>
      <c r="C532" s="2">
        <f t="shared" si="61"/>
        <v>0</v>
      </c>
      <c r="D532" s="2">
        <f t="shared" si="62"/>
        <v>5.7748000000000008</v>
      </c>
      <c r="E532" s="2">
        <f t="shared" si="64"/>
        <v>5.7598000000000003</v>
      </c>
      <c r="F532" s="2">
        <f t="shared" ref="F532:F595" si="65">AVERAGE(B513:B532)</f>
        <v>5.7771499999999989</v>
      </c>
      <c r="G532" s="2">
        <f t="shared" si="59"/>
        <v>5.791500000000001</v>
      </c>
      <c r="H532" s="2">
        <f t="shared" si="63"/>
        <v>5.6101300000000052</v>
      </c>
      <c r="I532" s="2">
        <f t="array" ref="I532">SUMPRODUCT(B516:B535, (ROW(B516:B535)-ROW(B516)+1)) / (20*21/2)</f>
        <v>5.7734380952380953</v>
      </c>
      <c r="J532" s="2">
        <f t="shared" si="58"/>
        <v>5.774127235534138</v>
      </c>
      <c r="K532" s="2">
        <f t="shared" si="60"/>
        <v>5.7813830326724664</v>
      </c>
    </row>
    <row r="533" spans="1:11" ht="13.5" x14ac:dyDescent="0.25">
      <c r="A533" s="3">
        <f>TITRES_STAT!B536</f>
        <v>45693</v>
      </c>
      <c r="B533" s="5">
        <f>TITRES_STAT!D536</f>
        <v>5.8120000000000003</v>
      </c>
      <c r="C533" s="2">
        <f t="shared" si="61"/>
        <v>0</v>
      </c>
      <c r="D533" s="2">
        <f t="shared" si="62"/>
        <v>5.7860000000000005</v>
      </c>
      <c r="E533" s="2">
        <f t="shared" si="64"/>
        <v>5.7653999999999996</v>
      </c>
      <c r="F533" s="2">
        <f t="shared" si="65"/>
        <v>5.7771499999999998</v>
      </c>
      <c r="G533" s="2">
        <f t="shared" si="59"/>
        <v>5.7916800000000022</v>
      </c>
      <c r="H533" s="2">
        <f t="shared" si="63"/>
        <v>5.6130250000000048</v>
      </c>
      <c r="I533" s="2">
        <f t="array" ref="I533">SUMPRODUCT(B517:B536, (ROW(B517:B536)-ROW(B517)+1)) / (20*21/2)</f>
        <v>5.7645476190476179</v>
      </c>
      <c r="J533" s="2">
        <f t="shared" ref="J533:J596" si="66">$J$4*B533+J532*(1-$J$4)</f>
        <v>5.7777341654832686</v>
      </c>
      <c r="K533" s="2">
        <f t="shared" si="60"/>
        <v>5.7825836980578602</v>
      </c>
    </row>
    <row r="534" spans="1:11" ht="13.5" x14ac:dyDescent="0.25">
      <c r="A534" s="3">
        <f>TITRES_STAT!B537</f>
        <v>45694</v>
      </c>
      <c r="B534" s="5">
        <f>TITRES_STAT!D537</f>
        <v>5.8120000000000003</v>
      </c>
      <c r="C534" s="2">
        <f t="shared" si="61"/>
        <v>0</v>
      </c>
      <c r="D534" s="2">
        <f t="shared" si="62"/>
        <v>5.7990000000000013</v>
      </c>
      <c r="E534" s="2">
        <f t="shared" si="64"/>
        <v>5.7737999999999996</v>
      </c>
      <c r="F534" s="2">
        <f t="shared" si="65"/>
        <v>5.7771499999999998</v>
      </c>
      <c r="G534" s="2">
        <f t="shared" si="59"/>
        <v>5.7922400000000014</v>
      </c>
      <c r="H534" s="2">
        <f t="shared" si="63"/>
        <v>5.6159200000000036</v>
      </c>
      <c r="I534" s="2">
        <f t="array" ref="I534">SUMPRODUCT(B518:B537, (ROW(B518:B537)-ROW(B518)+1)) / (20*21/2)</f>
        <v>5.7597619047619046</v>
      </c>
      <c r="J534" s="2">
        <f t="shared" si="66"/>
        <v>5.7809975782943859</v>
      </c>
      <c r="K534" s="2">
        <f t="shared" si="60"/>
        <v>5.7837372785261794</v>
      </c>
    </row>
    <row r="535" spans="1:11" ht="13.5" x14ac:dyDescent="0.25">
      <c r="A535" s="3">
        <f>TITRES_STAT!B538</f>
        <v>45695</v>
      </c>
      <c r="B535" s="5">
        <f>TITRES_STAT!D538</f>
        <v>5.7469999999999999</v>
      </c>
      <c r="C535" s="2">
        <f t="shared" si="61"/>
        <v>-6.5000000000000391E-2</v>
      </c>
      <c r="D535" s="2">
        <f t="shared" si="62"/>
        <v>5.7990000000000004</v>
      </c>
      <c r="E535" s="2">
        <f t="shared" si="64"/>
        <v>5.7756999999999987</v>
      </c>
      <c r="F535" s="2">
        <f t="shared" si="65"/>
        <v>5.7743500000000001</v>
      </c>
      <c r="G535" s="2">
        <f t="shared" si="59"/>
        <v>5.792620000000003</v>
      </c>
      <c r="H535" s="2">
        <f t="shared" si="63"/>
        <v>5.6184900000000031</v>
      </c>
      <c r="I535" s="2">
        <f t="array" ref="I535">SUMPRODUCT(B519:B538, (ROW(B519:B538)-ROW(B519)+1)) / (20*21/2)</f>
        <v>5.7553809523809516</v>
      </c>
      <c r="J535" s="2">
        <f t="shared" si="66"/>
        <v>5.7777597136949206</v>
      </c>
      <c r="K535" s="2">
        <f t="shared" si="60"/>
        <v>5.7822966009369177</v>
      </c>
    </row>
    <row r="536" spans="1:11" ht="13.5" x14ac:dyDescent="0.25">
      <c r="A536" s="3">
        <f>TITRES_STAT!B539</f>
        <v>45698</v>
      </c>
      <c r="B536" s="5">
        <f>TITRES_STAT!D539</f>
        <v>5.681</v>
      </c>
      <c r="C536" s="2">
        <f t="shared" si="61"/>
        <v>-6.5999999999999837E-2</v>
      </c>
      <c r="D536" s="2">
        <f t="shared" si="62"/>
        <v>5.7728000000000002</v>
      </c>
      <c r="E536" s="2">
        <f t="shared" si="64"/>
        <v>5.7681999999999993</v>
      </c>
      <c r="F536" s="2">
        <f t="shared" si="65"/>
        <v>5.7682499999999992</v>
      </c>
      <c r="G536" s="2">
        <f t="shared" si="59"/>
        <v>5.793560000000002</v>
      </c>
      <c r="H536" s="2">
        <f t="shared" si="63"/>
        <v>5.6209500000000023</v>
      </c>
      <c r="I536" s="2">
        <f t="array" ref="I536">SUMPRODUCT(B520:B539, (ROW(B520:B539)-ROW(B520)+1)) / (20*21/2)</f>
        <v>5.7478380952380963</v>
      </c>
      <c r="J536" s="2">
        <f t="shared" si="66"/>
        <v>5.768544502866833</v>
      </c>
      <c r="K536" s="2">
        <f t="shared" si="60"/>
        <v>5.7783241852139016</v>
      </c>
    </row>
    <row r="537" spans="1:11" ht="13.5" x14ac:dyDescent="0.25">
      <c r="A537" s="3">
        <f>TITRES_STAT!B540</f>
        <v>45699</v>
      </c>
      <c r="B537" s="5">
        <f>TITRES_STAT!D540</f>
        <v>5.718</v>
      </c>
      <c r="C537" s="2">
        <f t="shared" si="61"/>
        <v>3.6999999999999922E-2</v>
      </c>
      <c r="D537" s="2">
        <f t="shared" si="62"/>
        <v>5.7540000000000004</v>
      </c>
      <c r="E537" s="2">
        <f t="shared" si="64"/>
        <v>5.7643999999999993</v>
      </c>
      <c r="F537" s="2">
        <f t="shared" si="65"/>
        <v>5.7640000000000002</v>
      </c>
      <c r="G537" s="2">
        <f t="shared" si="59"/>
        <v>5.7920400000000019</v>
      </c>
      <c r="H537" s="2">
        <f t="shared" si="63"/>
        <v>5.622930000000002</v>
      </c>
      <c r="I537" s="2">
        <f t="array" ref="I537">SUMPRODUCT(B521:B540, (ROW(B521:B540)-ROW(B521)+1)) / (20*21/2)</f>
        <v>5.7408333333333346</v>
      </c>
      <c r="J537" s="2">
        <f t="shared" si="66"/>
        <v>5.7637307406890397</v>
      </c>
      <c r="K537" s="2">
        <f t="shared" si="60"/>
        <v>5.7759585308917876</v>
      </c>
    </row>
    <row r="538" spans="1:11" ht="13.5" x14ac:dyDescent="0.25">
      <c r="A538" s="3">
        <f>TITRES_STAT!B541</f>
        <v>45700</v>
      </c>
      <c r="B538" s="5">
        <f>TITRES_STAT!D541</f>
        <v>5.718</v>
      </c>
      <c r="C538" s="2">
        <f t="shared" si="61"/>
        <v>0</v>
      </c>
      <c r="D538" s="2">
        <f t="shared" si="62"/>
        <v>5.7352000000000007</v>
      </c>
      <c r="E538" s="2">
        <f t="shared" si="64"/>
        <v>5.7606000000000011</v>
      </c>
      <c r="F538" s="2">
        <f t="shared" si="65"/>
        <v>5.7601999999999993</v>
      </c>
      <c r="G538" s="2">
        <f t="shared" si="59"/>
        <v>5.7907200000000021</v>
      </c>
      <c r="H538" s="2">
        <f t="shared" si="63"/>
        <v>5.6249100000000025</v>
      </c>
      <c r="I538" s="2">
        <f t="array" ref="I538">SUMPRODUCT(B522:B541, (ROW(B522:B541)-ROW(B522)+1)) / (20*21/2)</f>
        <v>5.7343190476190466</v>
      </c>
      <c r="J538" s="2">
        <f t="shared" si="66"/>
        <v>5.7593754320519883</v>
      </c>
      <c r="K538" s="2">
        <f t="shared" si="60"/>
        <v>5.7736856473274036</v>
      </c>
    </row>
    <row r="539" spans="1:11" ht="13.5" x14ac:dyDescent="0.25">
      <c r="A539" s="3">
        <f>TITRES_STAT!B542</f>
        <v>45701</v>
      </c>
      <c r="B539" s="5">
        <f>TITRES_STAT!D542</f>
        <v>5.681</v>
      </c>
      <c r="C539" s="2">
        <f t="shared" si="61"/>
        <v>-3.6999999999999922E-2</v>
      </c>
      <c r="D539" s="2">
        <f t="shared" si="62"/>
        <v>5.7090000000000005</v>
      </c>
      <c r="E539" s="2">
        <f t="shared" si="64"/>
        <v>5.7540000000000004</v>
      </c>
      <c r="F539" s="2">
        <f t="shared" si="65"/>
        <v>5.7545500000000001</v>
      </c>
      <c r="G539" s="2">
        <f t="shared" si="59"/>
        <v>5.7886600000000019</v>
      </c>
      <c r="H539" s="2">
        <f t="shared" si="63"/>
        <v>5.6267050000000021</v>
      </c>
      <c r="I539" s="2">
        <f t="array" ref="I539">SUMPRODUCT(B523:B542, (ROW(B523:B542)-ROW(B523)+1)) / (20*21/2)</f>
        <v>5.7282952380952379</v>
      </c>
      <c r="J539" s="2">
        <f t="shared" si="66"/>
        <v>5.7519111051898948</v>
      </c>
      <c r="K539" s="2">
        <f t="shared" si="60"/>
        <v>5.7700509160596622</v>
      </c>
    </row>
    <row r="540" spans="1:11" ht="13.5" x14ac:dyDescent="0.25">
      <c r="A540" s="3">
        <f>TITRES_STAT!B543</f>
        <v>45702</v>
      </c>
      <c r="B540" s="5">
        <f>TITRES_STAT!D543</f>
        <v>5.681</v>
      </c>
      <c r="C540" s="2">
        <f t="shared" si="61"/>
        <v>0</v>
      </c>
      <c r="D540" s="2">
        <f t="shared" si="62"/>
        <v>5.6958000000000002</v>
      </c>
      <c r="E540" s="2">
        <f t="shared" si="64"/>
        <v>5.7474000000000007</v>
      </c>
      <c r="F540" s="2">
        <f t="shared" si="65"/>
        <v>5.7493999999999996</v>
      </c>
      <c r="G540" s="2">
        <f t="shared" si="59"/>
        <v>5.7866000000000017</v>
      </c>
      <c r="H540" s="2">
        <f t="shared" si="63"/>
        <v>5.6285000000000016</v>
      </c>
      <c r="I540" s="2">
        <f t="array" ref="I540">SUMPRODUCT(B524:B543, (ROW(B524:B543)-ROW(B524)+1)) / (20*21/2)</f>
        <v>5.7226285714285714</v>
      </c>
      <c r="J540" s="2">
        <f t="shared" si="66"/>
        <v>5.745157666600381</v>
      </c>
      <c r="K540" s="2">
        <f t="shared" si="60"/>
        <v>5.7665587232730084</v>
      </c>
    </row>
    <row r="541" spans="1:11" ht="13.5" x14ac:dyDescent="0.25">
      <c r="A541" s="3">
        <f>TITRES_STAT!B544</f>
        <v>45705</v>
      </c>
      <c r="B541" s="5">
        <f>TITRES_STAT!D544</f>
        <v>5.681</v>
      </c>
      <c r="C541" s="2">
        <f t="shared" si="61"/>
        <v>0</v>
      </c>
      <c r="D541" s="2">
        <f t="shared" si="62"/>
        <v>5.6958000000000002</v>
      </c>
      <c r="E541" s="2">
        <f t="shared" si="64"/>
        <v>5.7342999999999993</v>
      </c>
      <c r="F541" s="2">
        <f t="shared" si="65"/>
        <v>5.7442499999999992</v>
      </c>
      <c r="G541" s="2">
        <f t="shared" si="59"/>
        <v>5.7845400000000016</v>
      </c>
      <c r="H541" s="2">
        <f t="shared" si="63"/>
        <v>5.6301600000000009</v>
      </c>
      <c r="I541" s="2">
        <f t="array" ref="I541">SUMPRODUCT(B525:B544, (ROW(B525:B544)-ROW(B525)+1)) / (20*21/2)</f>
        <v>5.7164619047619052</v>
      </c>
      <c r="J541" s="2">
        <f t="shared" si="66"/>
        <v>5.7390474126384401</v>
      </c>
      <c r="K541" s="2">
        <f t="shared" si="60"/>
        <v>5.7632034792230868</v>
      </c>
    </row>
    <row r="542" spans="1:11" ht="13.5" x14ac:dyDescent="0.25">
      <c r="A542" s="3">
        <f>TITRES_STAT!B545</f>
        <v>45706</v>
      </c>
      <c r="B542" s="5">
        <f>TITRES_STAT!D545</f>
        <v>5.681</v>
      </c>
      <c r="C542" s="2">
        <f t="shared" si="61"/>
        <v>0</v>
      </c>
      <c r="D542" s="2">
        <f t="shared" si="62"/>
        <v>5.6884000000000006</v>
      </c>
      <c r="E542" s="2">
        <f t="shared" si="64"/>
        <v>5.7211999999999987</v>
      </c>
      <c r="F542" s="2">
        <f t="shared" si="65"/>
        <v>5.740499999999999</v>
      </c>
      <c r="G542" s="2">
        <f t="shared" si="59"/>
        <v>5.7817200000000017</v>
      </c>
      <c r="H542" s="2">
        <f t="shared" si="63"/>
        <v>5.6318200000000003</v>
      </c>
      <c r="I542" s="2">
        <f t="array" ref="I542">SUMPRODUCT(B526:B545, (ROW(B526:B545)-ROW(B526)+1)) / (20*21/2)</f>
        <v>5.7069428571428578</v>
      </c>
      <c r="J542" s="2">
        <f t="shared" si="66"/>
        <v>5.7335190876252558</v>
      </c>
      <c r="K542" s="2">
        <f t="shared" si="60"/>
        <v>5.759979813371201</v>
      </c>
    </row>
    <row r="543" spans="1:11" ht="13.5" x14ac:dyDescent="0.25">
      <c r="A543" s="3">
        <f>TITRES_STAT!B546</f>
        <v>45707</v>
      </c>
      <c r="B543" s="5">
        <f>TITRES_STAT!D546</f>
        <v>5.681</v>
      </c>
      <c r="C543" s="2">
        <f t="shared" si="61"/>
        <v>0</v>
      </c>
      <c r="D543" s="2">
        <f t="shared" si="62"/>
        <v>5.681</v>
      </c>
      <c r="E543" s="2">
        <f t="shared" si="64"/>
        <v>5.7080999999999991</v>
      </c>
      <c r="F543" s="2">
        <f t="shared" si="65"/>
        <v>5.7367499999999989</v>
      </c>
      <c r="G543" s="2">
        <f t="shared" si="59"/>
        <v>5.7770200000000012</v>
      </c>
      <c r="H543" s="2">
        <f t="shared" si="63"/>
        <v>5.6336599999999999</v>
      </c>
      <c r="I543" s="2">
        <f t="array" ref="I543">SUMPRODUCT(B527:B546, (ROW(B527:B546)-ROW(B527)+1)) / (20*21/2)</f>
        <v>5.6970142857142845</v>
      </c>
      <c r="J543" s="2">
        <f t="shared" si="66"/>
        <v>5.7285172697561837</v>
      </c>
      <c r="K543" s="2">
        <f t="shared" si="60"/>
        <v>5.7568825657880165</v>
      </c>
    </row>
    <row r="544" spans="1:11" ht="13.5" x14ac:dyDescent="0.25">
      <c r="A544" s="3">
        <f>TITRES_STAT!B547</f>
        <v>45708</v>
      </c>
      <c r="B544" s="5">
        <f>TITRES_STAT!D547</f>
        <v>5.6719999999999997</v>
      </c>
      <c r="C544" s="2">
        <f t="shared" si="61"/>
        <v>-9.0000000000003411E-3</v>
      </c>
      <c r="D544" s="2">
        <f t="shared" si="62"/>
        <v>5.6791999999999998</v>
      </c>
      <c r="E544" s="2">
        <f t="shared" si="64"/>
        <v>5.6940999999999988</v>
      </c>
      <c r="F544" s="2">
        <f t="shared" si="65"/>
        <v>5.7339499999999992</v>
      </c>
      <c r="G544" s="2">
        <f t="shared" si="59"/>
        <v>5.7723400000000016</v>
      </c>
      <c r="H544" s="2">
        <f t="shared" si="63"/>
        <v>5.6354549999999994</v>
      </c>
      <c r="I544" s="2">
        <f t="array" ref="I544">SUMPRODUCT(B528:B547, (ROW(B528:B547)-ROW(B528)+1)) / (20*21/2)</f>
        <v>5.6885666666666665</v>
      </c>
      <c r="J544" s="2">
        <f t="shared" si="66"/>
        <v>5.7231346726365473</v>
      </c>
      <c r="K544" s="2">
        <f t="shared" si="60"/>
        <v>5.7535538377178979</v>
      </c>
    </row>
    <row r="545" spans="1:11" ht="13.5" x14ac:dyDescent="0.25">
      <c r="A545" s="3">
        <f>TITRES_STAT!B548</f>
        <v>45709</v>
      </c>
      <c r="B545" s="5">
        <f>TITRES_STAT!D548</f>
        <v>5.6340000000000003</v>
      </c>
      <c r="C545" s="2">
        <f t="shared" si="61"/>
        <v>-3.7999999999999368E-2</v>
      </c>
      <c r="D545" s="2">
        <f t="shared" si="62"/>
        <v>5.6698000000000004</v>
      </c>
      <c r="E545" s="2">
        <f t="shared" si="64"/>
        <v>5.6827999999999994</v>
      </c>
      <c r="F545" s="2">
        <f t="shared" si="65"/>
        <v>5.7292499999999986</v>
      </c>
      <c r="G545" s="2">
        <f t="shared" si="59"/>
        <v>5.7669000000000015</v>
      </c>
      <c r="H545" s="2">
        <f t="shared" si="63"/>
        <v>5.6370599999999991</v>
      </c>
      <c r="I545" s="2">
        <f t="array" ref="I545">SUMPRODUCT(B529:B548, (ROW(B529:B548)-ROW(B529)+1)) / (20*21/2)</f>
        <v>5.6807000000000007</v>
      </c>
      <c r="J545" s="2">
        <f t="shared" si="66"/>
        <v>5.7146456561949712</v>
      </c>
      <c r="K545" s="2">
        <f t="shared" si="60"/>
        <v>5.7488654519250391</v>
      </c>
    </row>
    <row r="546" spans="1:11" ht="13.5" x14ac:dyDescent="0.25">
      <c r="A546" s="3">
        <f>TITRES_STAT!B549</f>
        <v>45712</v>
      </c>
      <c r="B546" s="5">
        <f>TITRES_STAT!D549</f>
        <v>5.625</v>
      </c>
      <c r="C546" s="2">
        <f t="shared" si="61"/>
        <v>-9.0000000000003411E-3</v>
      </c>
      <c r="D546" s="2">
        <f t="shared" si="62"/>
        <v>5.6585999999999999</v>
      </c>
      <c r="E546" s="2">
        <f t="shared" si="64"/>
        <v>5.6772</v>
      </c>
      <c r="F546" s="2">
        <f t="shared" si="65"/>
        <v>5.7226999999999988</v>
      </c>
      <c r="G546" s="2">
        <f t="shared" si="59"/>
        <v>5.7607200000000027</v>
      </c>
      <c r="H546" s="2">
        <f t="shared" si="63"/>
        <v>5.6386199999999986</v>
      </c>
      <c r="I546" s="2">
        <f t="array" ref="I546">SUMPRODUCT(B530:B549, (ROW(B530:B549)-ROW(B530)+1)) / (20*21/2)</f>
        <v>5.6636047619047618</v>
      </c>
      <c r="J546" s="2">
        <f t="shared" si="66"/>
        <v>5.7061079746525927</v>
      </c>
      <c r="K546" s="2">
        <f t="shared" si="60"/>
        <v>5.7440079832220965</v>
      </c>
    </row>
    <row r="547" spans="1:11" ht="13.5" x14ac:dyDescent="0.25">
      <c r="A547" s="3">
        <f>TITRES_STAT!B550</f>
        <v>45713</v>
      </c>
      <c r="B547" s="5">
        <f>TITRES_STAT!D550</f>
        <v>5.6340000000000003</v>
      </c>
      <c r="C547" s="2">
        <f t="shared" si="61"/>
        <v>9.0000000000003411E-3</v>
      </c>
      <c r="D547" s="2">
        <f t="shared" si="62"/>
        <v>5.6492000000000004</v>
      </c>
      <c r="E547" s="2">
        <f t="shared" si="64"/>
        <v>5.6688000000000001</v>
      </c>
      <c r="F547" s="2">
        <f t="shared" si="65"/>
        <v>5.7165999999999988</v>
      </c>
      <c r="G547" s="2">
        <f t="shared" si="59"/>
        <v>5.7554600000000029</v>
      </c>
      <c r="H547" s="2">
        <f t="shared" si="63"/>
        <v>5.6402249999999983</v>
      </c>
      <c r="I547" s="2">
        <f t="array" ref="I547">SUMPRODUCT(B531:B550, (ROW(B531:B550)-ROW(B531)+1)) / (20*21/2)</f>
        <v>5.6475380952380947</v>
      </c>
      <c r="J547" s="2">
        <f t="shared" si="66"/>
        <v>5.6992405484952027</v>
      </c>
      <c r="K547" s="2">
        <f t="shared" si="60"/>
        <v>5.7396939446643671</v>
      </c>
    </row>
    <row r="548" spans="1:11" ht="13.5" x14ac:dyDescent="0.25">
      <c r="A548" s="3">
        <f>TITRES_STAT!B551</f>
        <v>45714</v>
      </c>
      <c r="B548" s="5">
        <f>TITRES_STAT!D551</f>
        <v>5.6340000000000003</v>
      </c>
      <c r="C548" s="2">
        <f t="shared" si="61"/>
        <v>0</v>
      </c>
      <c r="D548" s="2">
        <f t="shared" si="62"/>
        <v>5.6398000000000001</v>
      </c>
      <c r="E548" s="2">
        <f t="shared" si="64"/>
        <v>5.6604000000000001</v>
      </c>
      <c r="F548" s="2">
        <f t="shared" si="65"/>
        <v>5.7104999999999997</v>
      </c>
      <c r="G548" s="2">
        <f t="shared" si="59"/>
        <v>5.7504000000000044</v>
      </c>
      <c r="H548" s="2">
        <f t="shared" si="63"/>
        <v>5.6424049999999975</v>
      </c>
      <c r="I548" s="2">
        <f t="array" ref="I548">SUMPRODUCT(B532:B551, (ROW(B532:B551)-ROW(B532)+1)) / (20*21/2)</f>
        <v>5.6244047619047617</v>
      </c>
      <c r="J548" s="2">
        <f t="shared" si="66"/>
        <v>5.6930271629242313</v>
      </c>
      <c r="K548" s="2">
        <f t="shared" si="60"/>
        <v>5.7355490840892944</v>
      </c>
    </row>
    <row r="549" spans="1:11" ht="13.5" x14ac:dyDescent="0.25">
      <c r="A549" s="3">
        <f>TITRES_STAT!B552</f>
        <v>45715</v>
      </c>
      <c r="B549" s="5">
        <f>TITRES_STAT!D552</f>
        <v>5.5309999999999997</v>
      </c>
      <c r="C549" s="2">
        <f t="shared" si="61"/>
        <v>-0.10300000000000065</v>
      </c>
      <c r="D549" s="2">
        <f t="shared" si="62"/>
        <v>5.6116000000000001</v>
      </c>
      <c r="E549" s="2">
        <f t="shared" si="64"/>
        <v>5.6454000000000004</v>
      </c>
      <c r="F549" s="2">
        <f t="shared" si="65"/>
        <v>5.6997</v>
      </c>
      <c r="G549" s="2">
        <f t="shared" si="59"/>
        <v>5.7451400000000046</v>
      </c>
      <c r="H549" s="2">
        <f t="shared" si="63"/>
        <v>5.6445599999999976</v>
      </c>
      <c r="I549" s="2">
        <f t="array" ref="I549">SUMPRODUCT(B533:B552, (ROW(B533:B552)-ROW(B533)+1)) / (20*21/2)</f>
        <v>5.6030142857142859</v>
      </c>
      <c r="J549" s="2">
        <f t="shared" si="66"/>
        <v>5.6775960045504954</v>
      </c>
      <c r="K549" s="2">
        <f t="shared" si="60"/>
        <v>5.72752755137991</v>
      </c>
    </row>
    <row r="550" spans="1:11" ht="13.5" x14ac:dyDescent="0.25">
      <c r="A550" s="3">
        <f>TITRES_STAT!B553</f>
        <v>45716</v>
      </c>
      <c r="B550" s="5">
        <f>TITRES_STAT!D553</f>
        <v>5.5309999999999997</v>
      </c>
      <c r="C550" s="2">
        <f t="shared" si="61"/>
        <v>0</v>
      </c>
      <c r="D550" s="2">
        <f t="shared" si="62"/>
        <v>5.5909999999999993</v>
      </c>
      <c r="E550" s="2">
        <f t="shared" si="64"/>
        <v>5.6303999999999998</v>
      </c>
      <c r="F550" s="2">
        <f t="shared" si="65"/>
        <v>5.6889000000000003</v>
      </c>
      <c r="G550" s="2">
        <f t="shared" si="59"/>
        <v>5.7395200000000033</v>
      </c>
      <c r="H550" s="2">
        <f t="shared" si="63"/>
        <v>5.645604999999998</v>
      </c>
      <c r="I550" s="2">
        <f t="array" ref="I550">SUMPRODUCT(B534:B553, (ROW(B534:B553)-ROW(B534)+1)) / (20*21/2)</f>
        <v>5.5967952380952379</v>
      </c>
      <c r="J550" s="2">
        <f t="shared" si="66"/>
        <v>5.6636344803075911</v>
      </c>
      <c r="K550" s="2">
        <f t="shared" si="60"/>
        <v>5.7198205885806974</v>
      </c>
    </row>
    <row r="551" spans="1:11" ht="13.5" x14ac:dyDescent="0.25">
      <c r="A551" s="3">
        <f>TITRES_STAT!B554</f>
        <v>45719</v>
      </c>
      <c r="B551" s="5">
        <f>TITRES_STAT!D554</f>
        <v>5.4459999999999997</v>
      </c>
      <c r="C551" s="2">
        <f t="shared" si="61"/>
        <v>-8.4999999999999964E-2</v>
      </c>
      <c r="D551" s="2">
        <f t="shared" si="62"/>
        <v>5.5551999999999992</v>
      </c>
      <c r="E551" s="2">
        <f t="shared" si="64"/>
        <v>5.6068999999999996</v>
      </c>
      <c r="F551" s="2">
        <f t="shared" si="65"/>
        <v>5.6705999999999994</v>
      </c>
      <c r="G551" s="2">
        <f t="shared" si="59"/>
        <v>5.7322000000000033</v>
      </c>
      <c r="H551" s="2">
        <f t="shared" si="63"/>
        <v>5.6460899999999983</v>
      </c>
      <c r="I551" s="2">
        <f t="array" ref="I551">SUMPRODUCT(B535:B554, (ROW(B535:B554)-ROW(B535)+1)) / (20*21/2)</f>
        <v>5.5925047619047614</v>
      </c>
      <c r="J551" s="2">
        <f t="shared" si="66"/>
        <v>5.6429073869449633</v>
      </c>
      <c r="K551" s="2">
        <f t="shared" si="60"/>
        <v>5.7090825262834155</v>
      </c>
    </row>
    <row r="552" spans="1:11" ht="13.5" x14ac:dyDescent="0.25">
      <c r="A552" s="3">
        <f>TITRES_STAT!B555</f>
        <v>45720</v>
      </c>
      <c r="B552" s="5">
        <f>TITRES_STAT!D555</f>
        <v>5.4459999999999997</v>
      </c>
      <c r="C552" s="2">
        <f t="shared" si="61"/>
        <v>0</v>
      </c>
      <c r="D552" s="2">
        <f t="shared" si="62"/>
        <v>5.5175999999999989</v>
      </c>
      <c r="E552" s="2">
        <f t="shared" si="64"/>
        <v>5.5833999999999993</v>
      </c>
      <c r="F552" s="2">
        <f t="shared" si="65"/>
        <v>5.6522999999999994</v>
      </c>
      <c r="G552" s="2">
        <f t="shared" si="59"/>
        <v>5.7248800000000042</v>
      </c>
      <c r="H552" s="2">
        <f t="shared" si="63"/>
        <v>5.6466199999999978</v>
      </c>
      <c r="I552" s="2">
        <f t="array" ref="I552">SUMPRODUCT(B536:B555, (ROW(B536:B555)-ROW(B536)+1)) / (20*21/2)</f>
        <v>5.5883857142857147</v>
      </c>
      <c r="J552" s="2">
        <f t="shared" si="66"/>
        <v>5.6241543024740146</v>
      </c>
      <c r="K552" s="2">
        <f t="shared" si="60"/>
        <v>5.6987655644683795</v>
      </c>
    </row>
    <row r="553" spans="1:11" ht="13.5" x14ac:dyDescent="0.25">
      <c r="A553" s="3">
        <f>TITRES_STAT!B556</f>
        <v>45721</v>
      </c>
      <c r="B553" s="5">
        <f>TITRES_STAT!D556</f>
        <v>5.5869999999999997</v>
      </c>
      <c r="C553" s="2">
        <f t="shared" si="61"/>
        <v>0.14100000000000001</v>
      </c>
      <c r="D553" s="2">
        <f t="shared" si="62"/>
        <v>5.5082000000000004</v>
      </c>
      <c r="E553" s="2">
        <f t="shared" si="64"/>
        <v>5.5739999999999998</v>
      </c>
      <c r="F553" s="2">
        <f t="shared" si="65"/>
        <v>5.6410499999999999</v>
      </c>
      <c r="G553" s="2">
        <f t="shared" si="59"/>
        <v>5.7209400000000041</v>
      </c>
      <c r="H553" s="2">
        <f t="shared" si="63"/>
        <v>5.6478549999999981</v>
      </c>
      <c r="I553" s="2">
        <f t="array" ref="I553">SUMPRODUCT(B537:B556, (ROW(B537:B556)-ROW(B537)+1)) / (20*21/2)</f>
        <v>5.5850285714285715</v>
      </c>
      <c r="J553" s="2">
        <f t="shared" si="66"/>
        <v>5.6206157974764892</v>
      </c>
      <c r="K553" s="2">
        <f t="shared" si="60"/>
        <v>5.694382601155894</v>
      </c>
    </row>
    <row r="554" spans="1:11" ht="13.5" x14ac:dyDescent="0.25">
      <c r="A554" s="3">
        <f>TITRES_STAT!B557</f>
        <v>45722</v>
      </c>
      <c r="B554" s="5">
        <f>TITRES_STAT!D557</f>
        <v>5.5960000000000001</v>
      </c>
      <c r="C554" s="2">
        <f t="shared" si="61"/>
        <v>9.0000000000003411E-3</v>
      </c>
      <c r="D554" s="2">
        <f t="shared" si="62"/>
        <v>5.5212000000000003</v>
      </c>
      <c r="E554" s="2">
        <f t="shared" si="64"/>
        <v>5.5663999999999998</v>
      </c>
      <c r="F554" s="2">
        <f t="shared" si="65"/>
        <v>5.6302500000000002</v>
      </c>
      <c r="G554" s="2">
        <f t="shared" si="59"/>
        <v>5.7169800000000031</v>
      </c>
      <c r="H554" s="2">
        <f t="shared" si="63"/>
        <v>5.6492249999999977</v>
      </c>
      <c r="I554" s="2">
        <f t="array" ref="I554">SUMPRODUCT(B538:B557, (ROW(B538:B557)-ROW(B538)+1)) / (20*21/2)</f>
        <v>5.5731666666666682</v>
      </c>
      <c r="J554" s="2">
        <f t="shared" si="66"/>
        <v>5.6182714358120611</v>
      </c>
      <c r="K554" s="2">
        <f t="shared" si="60"/>
        <v>5.6905244599340943</v>
      </c>
    </row>
    <row r="555" spans="1:11" ht="13.5" x14ac:dyDescent="0.25">
      <c r="A555" s="3">
        <f>TITRES_STAT!B558</f>
        <v>45723</v>
      </c>
      <c r="B555" s="5">
        <f>TITRES_STAT!D558</f>
        <v>5.5869999999999997</v>
      </c>
      <c r="C555" s="2">
        <f t="shared" si="61"/>
        <v>-9.0000000000003411E-3</v>
      </c>
      <c r="D555" s="2">
        <f t="shared" si="62"/>
        <v>5.5324</v>
      </c>
      <c r="E555" s="2">
        <f t="shared" si="64"/>
        <v>5.5617000000000001</v>
      </c>
      <c r="F555" s="2">
        <f t="shared" si="65"/>
        <v>5.6222500000000002</v>
      </c>
      <c r="G555" s="2">
        <f t="shared" si="59"/>
        <v>5.713040000000003</v>
      </c>
      <c r="H555" s="2">
        <f t="shared" si="63"/>
        <v>5.6505499999999982</v>
      </c>
      <c r="I555" s="2">
        <f t="array" ref="I555">SUMPRODUCT(B539:B558, (ROW(B539:B558)-ROW(B539)+1)) / (20*21/2)</f>
        <v>5.5597095238095235</v>
      </c>
      <c r="J555" s="2">
        <f t="shared" si="66"/>
        <v>5.6152932038299594</v>
      </c>
      <c r="K555" s="2">
        <f t="shared" si="60"/>
        <v>5.686464677191581</v>
      </c>
    </row>
    <row r="556" spans="1:11" ht="13.5" x14ac:dyDescent="0.25">
      <c r="A556" s="3">
        <f>TITRES_STAT!B559</f>
        <v>45726</v>
      </c>
      <c r="B556" s="5">
        <f>TITRES_STAT!D559</f>
        <v>5.5869999999999997</v>
      </c>
      <c r="C556" s="2">
        <f t="shared" si="61"/>
        <v>0</v>
      </c>
      <c r="D556" s="2">
        <f t="shared" si="62"/>
        <v>5.5605999999999991</v>
      </c>
      <c r="E556" s="2">
        <f t="shared" si="64"/>
        <v>5.557900000000001</v>
      </c>
      <c r="F556" s="2">
        <f t="shared" si="65"/>
        <v>5.6175500000000005</v>
      </c>
      <c r="G556" s="2">
        <f t="shared" si="59"/>
        <v>5.7092800000000032</v>
      </c>
      <c r="H556" s="2">
        <f t="shared" si="63"/>
        <v>5.6523199999999978</v>
      </c>
      <c r="I556" s="2">
        <f t="array" ref="I556">SUMPRODUCT(B540:B559, (ROW(B540:B559)-ROW(B540)+1)) / (20*21/2)</f>
        <v>5.5429809523809528</v>
      </c>
      <c r="J556" s="2">
        <f t="shared" si="66"/>
        <v>5.6125986129890109</v>
      </c>
      <c r="K556" s="2">
        <f t="shared" si="60"/>
        <v>5.6825641016154407</v>
      </c>
    </row>
    <row r="557" spans="1:11" ht="13.5" x14ac:dyDescent="0.25">
      <c r="A557" s="3">
        <f>TITRES_STAT!B560</f>
        <v>45727</v>
      </c>
      <c r="B557" s="5">
        <f>TITRES_STAT!D560</f>
        <v>5.4930000000000003</v>
      </c>
      <c r="C557" s="2">
        <f t="shared" si="61"/>
        <v>-9.3999999999999417E-2</v>
      </c>
      <c r="D557" s="2">
        <f t="shared" si="62"/>
        <v>5.57</v>
      </c>
      <c r="E557" s="2">
        <f t="shared" si="64"/>
        <v>5.5438000000000009</v>
      </c>
      <c r="F557" s="2">
        <f t="shared" si="65"/>
        <v>5.6063000000000009</v>
      </c>
      <c r="G557" s="2">
        <f t="shared" si="59"/>
        <v>5.7036400000000018</v>
      </c>
      <c r="H557" s="2">
        <f t="shared" si="63"/>
        <v>5.6536199999999974</v>
      </c>
      <c r="I557" s="2">
        <f t="array" ref="I557">SUMPRODUCT(B541:B560, (ROW(B541:B560)-ROW(B541)+1)) / (20*21/2)</f>
        <v>5.527504761904761</v>
      </c>
      <c r="J557" s="2">
        <f t="shared" si="66"/>
        <v>5.601208268894819</v>
      </c>
      <c r="K557" s="2">
        <f t="shared" si="60"/>
        <v>5.67513021527758</v>
      </c>
    </row>
    <row r="558" spans="1:11" ht="13.5" x14ac:dyDescent="0.25">
      <c r="A558" s="3">
        <f>TITRES_STAT!B561</f>
        <v>45728</v>
      </c>
      <c r="B558" s="5">
        <f>TITRES_STAT!D561</f>
        <v>5.4649999999999999</v>
      </c>
      <c r="C558" s="2">
        <f t="shared" si="61"/>
        <v>-2.8000000000000469E-2</v>
      </c>
      <c r="D558" s="2">
        <f t="shared" si="62"/>
        <v>5.5455999999999994</v>
      </c>
      <c r="E558" s="2">
        <f t="shared" si="64"/>
        <v>5.5269000000000004</v>
      </c>
      <c r="F558" s="2">
        <f t="shared" si="65"/>
        <v>5.5936500000000002</v>
      </c>
      <c r="G558" s="2">
        <f t="shared" si="59"/>
        <v>5.6974400000000003</v>
      </c>
      <c r="H558" s="2">
        <f t="shared" si="63"/>
        <v>5.6547799999999961</v>
      </c>
      <c r="I558" s="2">
        <f t="array" ref="I558">SUMPRODUCT(B542:B561, (ROW(B542:B561)-ROW(B542)+1)) / (20*21/2)</f>
        <v>5.5132809523809509</v>
      </c>
      <c r="J558" s="2">
        <f t="shared" si="66"/>
        <v>5.5882360528095987</v>
      </c>
      <c r="K558" s="2">
        <f t="shared" si="60"/>
        <v>5.6668898146784592</v>
      </c>
    </row>
    <row r="559" spans="1:11" ht="13.5" x14ac:dyDescent="0.25">
      <c r="A559" s="3">
        <f>TITRES_STAT!B562</f>
        <v>45729</v>
      </c>
      <c r="B559" s="5">
        <f>TITRES_STAT!D562</f>
        <v>5.4180000000000001</v>
      </c>
      <c r="C559" s="2">
        <f t="shared" si="61"/>
        <v>-4.6999999999999709E-2</v>
      </c>
      <c r="D559" s="2">
        <f t="shared" si="62"/>
        <v>5.51</v>
      </c>
      <c r="E559" s="2">
        <f t="shared" si="64"/>
        <v>5.5156000000000001</v>
      </c>
      <c r="F559" s="2">
        <f t="shared" si="65"/>
        <v>5.5805000000000007</v>
      </c>
      <c r="G559" s="2">
        <f t="shared" si="59"/>
        <v>5.6903000000000006</v>
      </c>
      <c r="H559" s="2">
        <f t="shared" si="63"/>
        <v>5.6565899999999951</v>
      </c>
      <c r="I559" s="2">
        <f t="array" ref="I559">SUMPRODUCT(B543:B562, (ROW(B543:B562)-ROW(B543)+1)) / (20*21/2)</f>
        <v>5.5119285714285713</v>
      </c>
      <c r="J559" s="2">
        <f t="shared" si="66"/>
        <v>5.5720230953991612</v>
      </c>
      <c r="K559" s="2">
        <f t="shared" si="60"/>
        <v>5.6571294297891077</v>
      </c>
    </row>
    <row r="560" spans="1:11" ht="13.5" x14ac:dyDescent="0.25">
      <c r="A560" s="3">
        <f>TITRES_STAT!B563</f>
        <v>45730</v>
      </c>
      <c r="B560" s="5">
        <f>TITRES_STAT!D563</f>
        <v>5.4180000000000001</v>
      </c>
      <c r="C560" s="2">
        <f t="shared" si="61"/>
        <v>0</v>
      </c>
      <c r="D560" s="2">
        <f t="shared" si="62"/>
        <v>5.4762000000000004</v>
      </c>
      <c r="E560" s="2">
        <f t="shared" si="64"/>
        <v>5.5042999999999989</v>
      </c>
      <c r="F560" s="2">
        <f t="shared" si="65"/>
        <v>5.5673500000000011</v>
      </c>
      <c r="G560" s="2">
        <f t="shared" si="59"/>
        <v>5.68316</v>
      </c>
      <c r="H560" s="2">
        <f t="shared" si="63"/>
        <v>5.657954999999995</v>
      </c>
      <c r="I560" s="2">
        <f t="array" ref="I560">SUMPRODUCT(B544:B563, (ROW(B544:B563)-ROW(B544)+1)) / (20*21/2)</f>
        <v>5.4996285714285715</v>
      </c>
      <c r="J560" s="2">
        <f t="shared" si="66"/>
        <v>5.5573542291706701</v>
      </c>
      <c r="K560" s="2">
        <f t="shared" si="60"/>
        <v>5.6477518050914952</v>
      </c>
    </row>
    <row r="561" spans="1:11" ht="13.5" x14ac:dyDescent="0.25">
      <c r="A561" s="3">
        <f>TITRES_STAT!B564</f>
        <v>45733</v>
      </c>
      <c r="B561" s="5">
        <f>TITRES_STAT!D564</f>
        <v>5.4180000000000001</v>
      </c>
      <c r="C561" s="2">
        <f t="shared" si="61"/>
        <v>0</v>
      </c>
      <c r="D561" s="2">
        <f t="shared" si="62"/>
        <v>5.4424000000000001</v>
      </c>
      <c r="E561" s="2">
        <f t="shared" si="64"/>
        <v>5.5014999999999992</v>
      </c>
      <c r="F561" s="2">
        <f t="shared" si="65"/>
        <v>5.5542000000000007</v>
      </c>
      <c r="G561" s="2">
        <f t="shared" si="59"/>
        <v>5.6771599999999998</v>
      </c>
      <c r="H561" s="2">
        <f t="shared" si="63"/>
        <v>5.6597649999999939</v>
      </c>
      <c r="I561" s="2">
        <f t="array" ref="I561">SUMPRODUCT(B545:B564, (ROW(B545:B564)-ROW(B545)+1)) / (20*21/2)</f>
        <v>5.4912476190476189</v>
      </c>
      <c r="J561" s="2">
        <f t="shared" si="66"/>
        <v>5.5440823978210823</v>
      </c>
      <c r="K561" s="2">
        <f t="shared" si="60"/>
        <v>5.6387419303820252</v>
      </c>
    </row>
    <row r="562" spans="1:11" ht="13.5" x14ac:dyDescent="0.25">
      <c r="A562" s="3">
        <f>TITRES_STAT!B565</f>
        <v>45734</v>
      </c>
      <c r="B562" s="5">
        <f>TITRES_STAT!D565</f>
        <v>5.54</v>
      </c>
      <c r="C562" s="2">
        <f t="shared" si="61"/>
        <v>0.12199999999999989</v>
      </c>
      <c r="D562" s="2">
        <f t="shared" si="62"/>
        <v>5.4517999999999995</v>
      </c>
      <c r="E562" s="2">
        <f t="shared" si="64"/>
        <v>5.5108999999999995</v>
      </c>
      <c r="F562" s="2">
        <f t="shared" si="65"/>
        <v>5.5471500000000011</v>
      </c>
      <c r="G562" s="2">
        <f t="shared" ref="G562:G625" si="67">AVERAGE(B513:B562)</f>
        <v>5.673960000000001</v>
      </c>
      <c r="H562" s="2">
        <f t="shared" si="63"/>
        <v>5.6621849999999938</v>
      </c>
      <c r="I562" s="2">
        <f t="array" ref="I562">SUMPRODUCT(B546:B565, (ROW(B546:B565)-ROW(B546)+1)) / (20*21/2)</f>
        <v>5.4794666666666672</v>
      </c>
      <c r="J562" s="2">
        <f t="shared" si="66"/>
        <v>5.5436935980285984</v>
      </c>
      <c r="K562" s="2">
        <f t="shared" si="60"/>
        <v>5.6348696978180239</v>
      </c>
    </row>
    <row r="563" spans="1:11" ht="13.5" x14ac:dyDescent="0.25">
      <c r="A563" s="3">
        <f>TITRES_STAT!B566</f>
        <v>45735</v>
      </c>
      <c r="B563" s="5">
        <f>TITRES_STAT!D566</f>
        <v>5.4180000000000001</v>
      </c>
      <c r="C563" s="2">
        <f t="shared" si="61"/>
        <v>-0.12199999999999989</v>
      </c>
      <c r="D563" s="2">
        <f t="shared" si="62"/>
        <v>5.4424000000000001</v>
      </c>
      <c r="E563" s="2">
        <f t="shared" si="64"/>
        <v>5.4939999999999998</v>
      </c>
      <c r="F563" s="2">
        <f t="shared" si="65"/>
        <v>5.5340000000000016</v>
      </c>
      <c r="G563" s="2">
        <f t="shared" si="67"/>
        <v>5.6660800000000009</v>
      </c>
      <c r="H563" s="2">
        <f t="shared" si="63"/>
        <v>5.6644399999999937</v>
      </c>
      <c r="I563" s="2">
        <f t="array" ref="I563">SUMPRODUCT(B547:B566, (ROW(B547:B566)-ROW(B547)+1)) / (20*21/2)</f>
        <v>5.4679476190476182</v>
      </c>
      <c r="J563" s="2">
        <f t="shared" si="66"/>
        <v>5.5317227791687316</v>
      </c>
      <c r="K563" s="2">
        <f t="shared" ref="K563:K626" si="68">$K$4*B563+(1-$K$4)*K562</f>
        <v>5.6263650037859447</v>
      </c>
    </row>
    <row r="564" spans="1:11" ht="13.5" x14ac:dyDescent="0.25">
      <c r="A564" s="3">
        <f>TITRES_STAT!B567</f>
        <v>45737</v>
      </c>
      <c r="B564" s="5">
        <f>TITRES_STAT!D567</f>
        <v>5.4459999999999997</v>
      </c>
      <c r="C564" s="2">
        <f t="shared" si="61"/>
        <v>2.7999999999999581E-2</v>
      </c>
      <c r="D564" s="2">
        <f t="shared" si="62"/>
        <v>5.4480000000000004</v>
      </c>
      <c r="E564" s="2">
        <f t="shared" si="64"/>
        <v>5.4790000000000001</v>
      </c>
      <c r="F564" s="2">
        <f t="shared" si="65"/>
        <v>5.5227000000000022</v>
      </c>
      <c r="G564" s="2">
        <f t="shared" si="67"/>
        <v>5.6587600000000018</v>
      </c>
      <c r="H564" s="2">
        <f t="shared" si="63"/>
        <v>5.6669649999999931</v>
      </c>
      <c r="I564" s="2">
        <f t="array" ref="I564">SUMPRODUCT(B548:B567, (ROW(B548:B567)-ROW(B548)+1)) / (20*21/2)</f>
        <v>5.4593571428571437</v>
      </c>
      <c r="J564" s="2">
        <f t="shared" si="66"/>
        <v>5.523558704962185</v>
      </c>
      <c r="K564" s="2">
        <f t="shared" si="68"/>
        <v>5.6192918663825742</v>
      </c>
    </row>
    <row r="565" spans="1:11" ht="13.5" x14ac:dyDescent="0.25">
      <c r="A565" s="3">
        <f>TITRES_STAT!B568</f>
        <v>45740</v>
      </c>
      <c r="B565" s="5">
        <f>TITRES_STAT!D568</f>
        <v>5.399</v>
      </c>
      <c r="C565" s="2">
        <f t="shared" si="61"/>
        <v>-4.6999999999999709E-2</v>
      </c>
      <c r="D565" s="2">
        <f t="shared" si="62"/>
        <v>5.4442000000000004</v>
      </c>
      <c r="E565" s="2">
        <f t="shared" si="64"/>
        <v>5.4601999999999995</v>
      </c>
      <c r="F565" s="2">
        <f t="shared" si="65"/>
        <v>5.510950000000002</v>
      </c>
      <c r="G565" s="2">
        <f t="shared" si="67"/>
        <v>5.6506800000000021</v>
      </c>
      <c r="H565" s="2">
        <f t="shared" si="63"/>
        <v>5.6695649999999924</v>
      </c>
      <c r="I565" s="2">
        <f t="array" ref="I565">SUMPRODUCT(B549:B568, (ROW(B549:B568)-ROW(B549)+1)) / (20*21/2)</f>
        <v>5.4643142857142859</v>
      </c>
      <c r="J565" s="2">
        <f t="shared" si="66"/>
        <v>5.5116959711562634</v>
      </c>
      <c r="K565" s="2">
        <f t="shared" si="68"/>
        <v>5.6106529696616896</v>
      </c>
    </row>
    <row r="566" spans="1:11" ht="13.5" x14ac:dyDescent="0.25">
      <c r="A566" s="3">
        <f>TITRES_STAT!B569</f>
        <v>45741</v>
      </c>
      <c r="B566" s="5">
        <f>TITRES_STAT!D569</f>
        <v>5.39</v>
      </c>
      <c r="C566" s="2">
        <f t="shared" si="61"/>
        <v>-9.0000000000003411E-3</v>
      </c>
      <c r="D566" s="2">
        <f t="shared" si="62"/>
        <v>5.4386000000000001</v>
      </c>
      <c r="E566" s="2">
        <f t="shared" si="64"/>
        <v>5.4405000000000001</v>
      </c>
      <c r="F566" s="2">
        <f t="shared" si="65"/>
        <v>5.4992000000000019</v>
      </c>
      <c r="G566" s="2">
        <f t="shared" si="67"/>
        <v>5.6424200000000022</v>
      </c>
      <c r="H566" s="2">
        <f t="shared" si="63"/>
        <v>5.6712349999999923</v>
      </c>
      <c r="I566" s="2">
        <f t="array" ref="I566">SUMPRODUCT(B550:B569, (ROW(B550:B569)-ROW(B550)+1)) / (20*21/2)</f>
        <v>5.4607666666666663</v>
      </c>
      <c r="J566" s="2">
        <f t="shared" si="66"/>
        <v>5.5001058786651909</v>
      </c>
      <c r="K566" s="2">
        <f t="shared" si="68"/>
        <v>5.6019999120278978</v>
      </c>
    </row>
    <row r="567" spans="1:11" ht="13.5" x14ac:dyDescent="0.25">
      <c r="A567" s="3">
        <f>TITRES_STAT!B570</f>
        <v>45742</v>
      </c>
      <c r="B567" s="5">
        <f>TITRES_STAT!D570</f>
        <v>5.4089999999999998</v>
      </c>
      <c r="C567" s="2">
        <f t="shared" si="61"/>
        <v>1.9000000000000128E-2</v>
      </c>
      <c r="D567" s="2">
        <f t="shared" si="62"/>
        <v>5.4123999999999999</v>
      </c>
      <c r="E567" s="2">
        <f t="shared" si="64"/>
        <v>5.4321000000000002</v>
      </c>
      <c r="F567" s="2">
        <f t="shared" si="65"/>
        <v>5.4879500000000023</v>
      </c>
      <c r="G567" s="2">
        <f t="shared" si="67"/>
        <v>5.6345400000000021</v>
      </c>
      <c r="H567" s="2">
        <f t="shared" si="63"/>
        <v>5.6725549999999929</v>
      </c>
      <c r="I567" s="2">
        <f t="array" ref="I567">SUMPRODUCT(B551:B570, (ROW(B551:B570)-ROW(B551)+1)) / (20*21/2)</f>
        <v>5.4541000000000004</v>
      </c>
      <c r="J567" s="2">
        <f t="shared" si="66"/>
        <v>5.491429128316125</v>
      </c>
      <c r="K567" s="2">
        <f t="shared" si="68"/>
        <v>5.5944312880268043</v>
      </c>
    </row>
    <row r="568" spans="1:11" ht="13.5" x14ac:dyDescent="0.25">
      <c r="A568" s="3">
        <f>TITRES_STAT!B571</f>
        <v>45743</v>
      </c>
      <c r="B568" s="5">
        <f>TITRES_STAT!D571</f>
        <v>5.54</v>
      </c>
      <c r="C568" s="2">
        <f t="shared" si="61"/>
        <v>0.13100000000000023</v>
      </c>
      <c r="D568" s="2">
        <f t="shared" si="62"/>
        <v>5.4367999999999999</v>
      </c>
      <c r="E568" s="2">
        <f t="shared" si="64"/>
        <v>5.4396000000000004</v>
      </c>
      <c r="F568" s="2">
        <f t="shared" si="65"/>
        <v>5.4832500000000017</v>
      </c>
      <c r="G568" s="2">
        <f t="shared" si="67"/>
        <v>5.6294600000000017</v>
      </c>
      <c r="H568" s="2">
        <f t="shared" si="63"/>
        <v>5.6745299999999927</v>
      </c>
      <c r="I568" s="2">
        <f t="array" ref="I568">SUMPRODUCT(B552:B571, (ROW(B552:B571)-ROW(B552)+1)) / (20*21/2)</f>
        <v>5.4515380952380958</v>
      </c>
      <c r="J568" s="2">
        <f t="shared" si="66"/>
        <v>5.4960549256193518</v>
      </c>
      <c r="K568" s="2">
        <f t="shared" si="68"/>
        <v>5.5922967277120277</v>
      </c>
    </row>
    <row r="569" spans="1:11" ht="13.5" x14ac:dyDescent="0.25">
      <c r="A569" s="3">
        <f>TITRES_STAT!B572</f>
        <v>45744</v>
      </c>
      <c r="B569" s="5">
        <f>TITRES_STAT!D572</f>
        <v>5.4459999999999997</v>
      </c>
      <c r="C569" s="2">
        <f t="shared" si="61"/>
        <v>-9.4000000000000306E-2</v>
      </c>
      <c r="D569" s="2">
        <f t="shared" si="62"/>
        <v>5.4367999999999999</v>
      </c>
      <c r="E569" s="2">
        <f t="shared" si="64"/>
        <v>5.4424000000000001</v>
      </c>
      <c r="F569" s="2">
        <f t="shared" si="65"/>
        <v>5.479000000000001</v>
      </c>
      <c r="G569" s="2">
        <f t="shared" si="67"/>
        <v>5.6224999999999996</v>
      </c>
      <c r="H569" s="2">
        <f t="shared" si="63"/>
        <v>5.6760349999999926</v>
      </c>
      <c r="I569" s="2">
        <f t="array" ref="I569">SUMPRODUCT(B553:B572, (ROW(B553:B572)-ROW(B553)+1)) / (20*21/2)</f>
        <v>5.4471666666666669</v>
      </c>
      <c r="J569" s="2">
        <f t="shared" si="66"/>
        <v>5.4912877898460799</v>
      </c>
      <c r="K569" s="2">
        <f t="shared" si="68"/>
        <v>5.586559601135086</v>
      </c>
    </row>
    <row r="570" spans="1:11" ht="13.5" x14ac:dyDescent="0.25">
      <c r="A570" s="3">
        <f>TITRES_STAT!B573</f>
        <v>45749</v>
      </c>
      <c r="B570" s="5">
        <f>TITRES_STAT!D573</f>
        <v>5.4089999999999998</v>
      </c>
      <c r="C570" s="2">
        <f t="shared" si="61"/>
        <v>-3.6999999999999922E-2</v>
      </c>
      <c r="D570" s="2">
        <f t="shared" si="62"/>
        <v>5.4387999999999987</v>
      </c>
      <c r="E570" s="2">
        <f t="shared" si="64"/>
        <v>5.4414999999999996</v>
      </c>
      <c r="F570" s="2">
        <f t="shared" si="65"/>
        <v>5.472900000000001</v>
      </c>
      <c r="G570" s="2">
        <f t="shared" si="67"/>
        <v>5.6150000000000011</v>
      </c>
      <c r="H570" s="2">
        <f t="shared" si="63"/>
        <v>5.6773549999999933</v>
      </c>
      <c r="I570" s="2">
        <f t="array" ref="I570">SUMPRODUCT(B554:B573, (ROW(B554:B573)-ROW(B554)+1)) / (20*21/2)</f>
        <v>5.4491714285714288</v>
      </c>
      <c r="J570" s="2">
        <f t="shared" si="66"/>
        <v>5.4834508574797862</v>
      </c>
      <c r="K570" s="2">
        <f t="shared" si="68"/>
        <v>5.5795964795219453</v>
      </c>
    </row>
    <row r="571" spans="1:11" ht="13.5" x14ac:dyDescent="0.25">
      <c r="A571" s="3">
        <f>TITRES_STAT!B574</f>
        <v>45750</v>
      </c>
      <c r="B571" s="5">
        <f>TITRES_STAT!D574</f>
        <v>5.4459999999999997</v>
      </c>
      <c r="C571" s="2">
        <f t="shared" si="61"/>
        <v>3.6999999999999922E-2</v>
      </c>
      <c r="D571" s="2">
        <f t="shared" si="62"/>
        <v>5.45</v>
      </c>
      <c r="E571" s="2">
        <f t="shared" si="64"/>
        <v>5.4443000000000001</v>
      </c>
      <c r="F571" s="2">
        <f t="shared" si="65"/>
        <v>5.472900000000001</v>
      </c>
      <c r="G571" s="2">
        <f t="shared" si="67"/>
        <v>5.6082400000000021</v>
      </c>
      <c r="H571" s="2">
        <f t="shared" si="63"/>
        <v>5.6795249999999928</v>
      </c>
      <c r="I571" s="2">
        <f t="array" ref="I571">SUMPRODUCT(B555:B574, (ROW(B555:B574)-ROW(B555)+1)) / (20*21/2)</f>
        <v>5.4516238095238112</v>
      </c>
      <c r="J571" s="2">
        <f t="shared" si="66"/>
        <v>5.4798841091483776</v>
      </c>
      <c r="K571" s="2">
        <f t="shared" si="68"/>
        <v>5.5743574018936339</v>
      </c>
    </row>
    <row r="572" spans="1:11" ht="13.5" x14ac:dyDescent="0.25">
      <c r="A572" s="3">
        <f>TITRES_STAT!B575</f>
        <v>45751</v>
      </c>
      <c r="B572" s="5">
        <f>TITRES_STAT!D575</f>
        <v>5.4269999999999996</v>
      </c>
      <c r="C572" s="2">
        <f t="shared" si="61"/>
        <v>-1.9000000000000128E-2</v>
      </c>
      <c r="D572" s="2">
        <f t="shared" si="62"/>
        <v>5.4535999999999998</v>
      </c>
      <c r="E572" s="2">
        <f t="shared" si="64"/>
        <v>5.4329999999999998</v>
      </c>
      <c r="F572" s="2">
        <f t="shared" si="65"/>
        <v>5.4719500000000014</v>
      </c>
      <c r="G572" s="2">
        <f t="shared" si="67"/>
        <v>5.6016600000000007</v>
      </c>
      <c r="H572" s="2">
        <f t="shared" si="63"/>
        <v>5.682264999999993</v>
      </c>
      <c r="I572" s="2">
        <f t="array" ref="I572">SUMPRODUCT(B556:B575, (ROW(B556:B575)-ROW(B556)+1)) / (20*21/2)</f>
        <v>5.4456142857142851</v>
      </c>
      <c r="J572" s="2">
        <f t="shared" si="66"/>
        <v>5.474847527324723</v>
      </c>
      <c r="K572" s="2">
        <f t="shared" si="68"/>
        <v>5.568578680250746</v>
      </c>
    </row>
    <row r="573" spans="1:11" ht="13.5" x14ac:dyDescent="0.25">
      <c r="A573" s="3">
        <f>TITRES_STAT!B576</f>
        <v>45754</v>
      </c>
      <c r="B573" s="5">
        <f>TITRES_STAT!D576</f>
        <v>5.4930000000000003</v>
      </c>
      <c r="C573" s="2">
        <f t="shared" si="61"/>
        <v>6.6000000000000725E-2</v>
      </c>
      <c r="D573" s="2">
        <f t="shared" si="62"/>
        <v>5.4442000000000004</v>
      </c>
      <c r="E573" s="2">
        <f t="shared" si="64"/>
        <v>5.4404999999999992</v>
      </c>
      <c r="F573" s="2">
        <f t="shared" si="65"/>
        <v>5.4672499999999999</v>
      </c>
      <c r="G573" s="2">
        <f t="shared" si="67"/>
        <v>5.5964000000000009</v>
      </c>
      <c r="H573" s="2">
        <f t="shared" si="63"/>
        <v>5.6855599999999935</v>
      </c>
      <c r="I573" s="2">
        <f t="array" ref="I573">SUMPRODUCT(B557:B576, (ROW(B557:B576)-ROW(B557)+1)) / (20*21/2)</f>
        <v>5.4431666666666656</v>
      </c>
      <c r="J573" s="2">
        <f t="shared" si="66"/>
        <v>5.476576334246178</v>
      </c>
      <c r="K573" s="2">
        <f t="shared" si="68"/>
        <v>5.5656148104369914</v>
      </c>
    </row>
    <row r="574" spans="1:11" ht="13.5" x14ac:dyDescent="0.25">
      <c r="A574" s="3">
        <f>TITRES_STAT!B577</f>
        <v>45755</v>
      </c>
      <c r="B574" s="5">
        <f>TITRES_STAT!D577</f>
        <v>5.4930000000000003</v>
      </c>
      <c r="C574" s="2">
        <f t="shared" si="61"/>
        <v>0</v>
      </c>
      <c r="D574" s="2">
        <f t="shared" si="62"/>
        <v>5.4535999999999998</v>
      </c>
      <c r="E574" s="2">
        <f t="shared" si="64"/>
        <v>5.4451999999999998</v>
      </c>
      <c r="F574" s="2">
        <f t="shared" si="65"/>
        <v>5.4620999999999995</v>
      </c>
      <c r="G574" s="2">
        <f t="shared" si="67"/>
        <v>5.5917000000000003</v>
      </c>
      <c r="H574" s="2">
        <f t="shared" si="63"/>
        <v>5.6889399999999917</v>
      </c>
      <c r="I574" s="2">
        <f t="array" ref="I574">SUMPRODUCT(B558:B577, (ROW(B558:B577)-ROW(B558)+1)) / (20*21/2)</f>
        <v>5.4414809523809522</v>
      </c>
      <c r="J574" s="2">
        <f t="shared" si="66"/>
        <v>5.4781404928893993</v>
      </c>
      <c r="K574" s="2">
        <f t="shared" si="68"/>
        <v>5.5627671708120117</v>
      </c>
    </row>
    <row r="575" spans="1:11" ht="13.5" x14ac:dyDescent="0.25">
      <c r="A575" s="3">
        <f>TITRES_STAT!B578</f>
        <v>45757</v>
      </c>
      <c r="B575" s="5">
        <f>TITRES_STAT!D578</f>
        <v>5.399</v>
      </c>
      <c r="C575" s="2">
        <f t="shared" si="61"/>
        <v>-9.4000000000000306E-2</v>
      </c>
      <c r="D575" s="2">
        <f t="shared" si="62"/>
        <v>5.4516000000000009</v>
      </c>
      <c r="E575" s="2">
        <f t="shared" si="64"/>
        <v>5.4451999999999998</v>
      </c>
      <c r="F575" s="2">
        <f t="shared" si="65"/>
        <v>5.4527000000000001</v>
      </c>
      <c r="G575" s="2">
        <f t="shared" si="67"/>
        <v>5.5851199999999999</v>
      </c>
      <c r="H575" s="2">
        <f t="shared" si="63"/>
        <v>5.6904349999999919</v>
      </c>
      <c r="I575" s="2">
        <f t="array" ref="I575">SUMPRODUCT(B559:B578, (ROW(B559:B578)-ROW(B559)+1)) / (20*21/2)</f>
        <v>5.4401095238095234</v>
      </c>
      <c r="J575" s="2">
        <f t="shared" si="66"/>
        <v>5.4706033030904093</v>
      </c>
      <c r="K575" s="2">
        <f t="shared" si="68"/>
        <v>5.5563449288193842</v>
      </c>
    </row>
    <row r="576" spans="1:11" ht="13.5" x14ac:dyDescent="0.25">
      <c r="A576" s="3">
        <f>TITRES_STAT!B579</f>
        <v>45758</v>
      </c>
      <c r="B576" s="5">
        <f>TITRES_STAT!D579</f>
        <v>5.4269999999999996</v>
      </c>
      <c r="C576" s="2">
        <f t="shared" si="61"/>
        <v>2.7999999999999581E-2</v>
      </c>
      <c r="D576" s="2">
        <f t="shared" si="62"/>
        <v>5.4478</v>
      </c>
      <c r="E576" s="2">
        <f t="shared" si="64"/>
        <v>5.4489000000000001</v>
      </c>
      <c r="F576" s="2">
        <f t="shared" si="65"/>
        <v>5.4446999999999992</v>
      </c>
      <c r="G576" s="2">
        <f t="shared" si="67"/>
        <v>5.5785399999999994</v>
      </c>
      <c r="H576" s="2">
        <f t="shared" si="63"/>
        <v>5.6920699999999922</v>
      </c>
      <c r="I576" s="2">
        <f t="array" ref="I576">SUMPRODUCT(B560:B579, (ROW(B560:B579)-ROW(B560)+1)) / (20*21/2)</f>
        <v>5.4389190476190477</v>
      </c>
      <c r="J576" s="2">
        <f t="shared" si="66"/>
        <v>5.4664506075579897</v>
      </c>
      <c r="K576" s="2">
        <f t="shared" si="68"/>
        <v>5.5512725786696047</v>
      </c>
    </row>
    <row r="577" spans="1:11" ht="13.5" x14ac:dyDescent="0.25">
      <c r="A577" s="3">
        <f>TITRES_STAT!B580</f>
        <v>45761</v>
      </c>
      <c r="B577" s="5">
        <f>TITRES_STAT!D580</f>
        <v>5.4269999999999996</v>
      </c>
      <c r="C577" s="2">
        <f t="shared" si="61"/>
        <v>0</v>
      </c>
      <c r="D577" s="2">
        <f t="shared" si="62"/>
        <v>5.4478</v>
      </c>
      <c r="E577" s="2">
        <f t="shared" si="64"/>
        <v>5.4507000000000003</v>
      </c>
      <c r="F577" s="2">
        <f t="shared" si="65"/>
        <v>5.4413999999999989</v>
      </c>
      <c r="G577" s="2">
        <f t="shared" si="67"/>
        <v>5.5719599999999989</v>
      </c>
      <c r="H577" s="2">
        <f t="shared" si="63"/>
        <v>5.6940149999999914</v>
      </c>
      <c r="I577" s="2">
        <f t="array" ref="I577">SUMPRODUCT(B561:B580, (ROW(B561:B580)-ROW(B561)+1)) / (20*21/2)</f>
        <v>5.4394952380952386</v>
      </c>
      <c r="J577" s="2">
        <f t="shared" si="66"/>
        <v>5.4626934068381816</v>
      </c>
      <c r="K577" s="2">
        <f t="shared" si="68"/>
        <v>5.5463991442119731</v>
      </c>
    </row>
    <row r="578" spans="1:11" ht="13.5" x14ac:dyDescent="0.25">
      <c r="A578" s="3">
        <f>TITRES_STAT!B581</f>
        <v>45762</v>
      </c>
      <c r="B578" s="5">
        <f>TITRES_STAT!D581</f>
        <v>5.4269999999999996</v>
      </c>
      <c r="C578" s="2">
        <f t="shared" si="61"/>
        <v>0</v>
      </c>
      <c r="D578" s="2">
        <f t="shared" si="62"/>
        <v>5.4345999999999997</v>
      </c>
      <c r="E578" s="2">
        <f t="shared" si="64"/>
        <v>5.4394000000000009</v>
      </c>
      <c r="F578" s="2">
        <f t="shared" si="65"/>
        <v>5.439499999999998</v>
      </c>
      <c r="G578" s="2">
        <f t="shared" si="67"/>
        <v>5.5653800000000002</v>
      </c>
      <c r="H578" s="2">
        <f t="shared" si="63"/>
        <v>5.6967149999999913</v>
      </c>
      <c r="I578" s="2">
        <f t="array" ref="I578">SUMPRODUCT(B562:B581, (ROW(B562:B581)-ROW(B562)+1)) / (20*21/2)</f>
        <v>5.4399380952380954</v>
      </c>
      <c r="J578" s="2">
        <f t="shared" si="66"/>
        <v>5.4592940347583552</v>
      </c>
      <c r="K578" s="2">
        <f t="shared" si="68"/>
        <v>5.5417168248311111</v>
      </c>
    </row>
    <row r="579" spans="1:11" ht="13.5" x14ac:dyDescent="0.25">
      <c r="A579" s="3">
        <f>TITRES_STAT!B582</f>
        <v>45763</v>
      </c>
      <c r="B579" s="5">
        <f>TITRES_STAT!D582</f>
        <v>5.4269999999999996</v>
      </c>
      <c r="C579" s="2">
        <f t="shared" si="61"/>
        <v>0</v>
      </c>
      <c r="D579" s="2">
        <f t="shared" si="62"/>
        <v>5.4214000000000002</v>
      </c>
      <c r="E579" s="2">
        <f t="shared" si="64"/>
        <v>5.4375</v>
      </c>
      <c r="F579" s="2">
        <f t="shared" si="65"/>
        <v>5.4399499999999978</v>
      </c>
      <c r="G579" s="2">
        <f t="shared" si="67"/>
        <v>5.55898</v>
      </c>
      <c r="H579" s="2">
        <f t="shared" si="63"/>
        <v>5.6998999999999906</v>
      </c>
      <c r="I579" s="2">
        <f t="array" ref="I579">SUMPRODUCT(B563:B582, (ROW(B563:B582)-ROW(B563)+1)) / (20*21/2)</f>
        <v>5.4447238095238086</v>
      </c>
      <c r="J579" s="2">
        <f t="shared" si="66"/>
        <v>5.4562184124004167</v>
      </c>
      <c r="K579" s="2">
        <f t="shared" si="68"/>
        <v>5.5372181258181259</v>
      </c>
    </row>
    <row r="580" spans="1:11" ht="13.5" x14ac:dyDescent="0.25">
      <c r="A580" s="3">
        <f>TITRES_STAT!B583</f>
        <v>45764</v>
      </c>
      <c r="B580" s="5">
        <f>TITRES_STAT!D583</f>
        <v>5.4459999999999997</v>
      </c>
      <c r="C580" s="2">
        <f t="shared" ref="C580:C643" si="69">B580-B579</f>
        <v>1.9000000000000128E-2</v>
      </c>
      <c r="D580" s="2">
        <f t="shared" si="62"/>
        <v>5.4307999999999996</v>
      </c>
      <c r="E580" s="2">
        <f t="shared" si="64"/>
        <v>5.4412000000000003</v>
      </c>
      <c r="F580" s="2">
        <f t="shared" si="65"/>
        <v>5.4413499999999981</v>
      </c>
      <c r="G580" s="2">
        <f t="shared" si="67"/>
        <v>5.5529600000000006</v>
      </c>
      <c r="H580" s="2">
        <f t="shared" si="63"/>
        <v>5.7031799999999917</v>
      </c>
      <c r="I580" s="2">
        <f t="array" ref="I580">SUMPRODUCT(B564:B583, (ROW(B564:B583)-ROW(B564)+1)) / (20*21/2)</f>
        <v>5.4631619047619058</v>
      </c>
      <c r="J580" s="2">
        <f t="shared" si="66"/>
        <v>5.4552452302670433</v>
      </c>
      <c r="K580" s="2">
        <f t="shared" si="68"/>
        <v>5.5336409444134942</v>
      </c>
    </row>
    <row r="581" spans="1:11" ht="13.5" x14ac:dyDescent="0.25">
      <c r="A581" s="3">
        <f>TITRES_STAT!B584</f>
        <v>45765</v>
      </c>
      <c r="B581" s="5">
        <f>TITRES_STAT!D584</f>
        <v>5.4459999999999997</v>
      </c>
      <c r="C581" s="2">
        <f t="shared" si="69"/>
        <v>0</v>
      </c>
      <c r="D581" s="2">
        <f t="shared" si="62"/>
        <v>5.4345999999999988</v>
      </c>
      <c r="E581" s="2">
        <f t="shared" si="64"/>
        <v>5.4411999999999994</v>
      </c>
      <c r="F581" s="2">
        <f t="shared" si="65"/>
        <v>5.4427499999999984</v>
      </c>
      <c r="G581" s="2">
        <f t="shared" si="67"/>
        <v>5.5456399999999997</v>
      </c>
      <c r="H581" s="2">
        <f t="shared" si="63"/>
        <v>5.7064599999999919</v>
      </c>
      <c r="I581" s="2">
        <f t="array" ref="I581">SUMPRODUCT(B565:B584, (ROW(B565:B584)-ROW(B565)+1)) / (20*21/2)</f>
        <v>5.46</v>
      </c>
      <c r="J581" s="2">
        <f t="shared" si="66"/>
        <v>5.454364732146372</v>
      </c>
      <c r="K581" s="2">
        <f t="shared" si="68"/>
        <v>5.5302040446325735</v>
      </c>
    </row>
    <row r="582" spans="1:11" ht="13.5" x14ac:dyDescent="0.25">
      <c r="A582" s="3">
        <f>TITRES_STAT!B585</f>
        <v>45768</v>
      </c>
      <c r="B582" s="5">
        <f>TITRES_STAT!D585</f>
        <v>5.4930000000000003</v>
      </c>
      <c r="C582" s="2">
        <f t="shared" si="69"/>
        <v>4.7000000000000597E-2</v>
      </c>
      <c r="D582" s="2">
        <f t="shared" ref="D582:D645" si="70">AVERAGE(B578:B582)</f>
        <v>5.4477999999999991</v>
      </c>
      <c r="E582" s="2">
        <f t="shared" si="64"/>
        <v>5.4477999999999991</v>
      </c>
      <c r="F582" s="2">
        <f t="shared" si="65"/>
        <v>5.4403999999999986</v>
      </c>
      <c r="G582" s="2">
        <f t="shared" si="67"/>
        <v>5.5392599999999996</v>
      </c>
      <c r="H582" s="2">
        <f t="shared" si="63"/>
        <v>5.7086899999999927</v>
      </c>
      <c r="I582" s="2">
        <f t="array" ref="I582">SUMPRODUCT(B566:B585, (ROW(B566:B585)-ROW(B566)+1)) / (20*21/2)</f>
        <v>5.476685714285713</v>
      </c>
      <c r="J582" s="2">
        <f t="shared" si="66"/>
        <v>5.4580442814657655</v>
      </c>
      <c r="K582" s="2">
        <f t="shared" si="68"/>
        <v>5.5287450624901195</v>
      </c>
    </row>
    <row r="583" spans="1:11" ht="13.5" x14ac:dyDescent="0.25">
      <c r="A583" s="3">
        <f>TITRES_STAT!B586</f>
        <v>45769</v>
      </c>
      <c r="B583" s="5">
        <f>TITRES_STAT!D586</f>
        <v>5.6340000000000003</v>
      </c>
      <c r="C583" s="2">
        <f t="shared" si="69"/>
        <v>0.14100000000000001</v>
      </c>
      <c r="D583" s="2">
        <f t="shared" si="70"/>
        <v>5.4891999999999994</v>
      </c>
      <c r="E583" s="2">
        <f t="shared" si="64"/>
        <v>5.4618999999999991</v>
      </c>
      <c r="F583" s="2">
        <f t="shared" si="65"/>
        <v>5.4511999999999983</v>
      </c>
      <c r="G583" s="2">
        <f t="shared" si="67"/>
        <v>5.5356999999999994</v>
      </c>
      <c r="H583" s="2">
        <f t="shared" si="63"/>
        <v>5.7111349999999925</v>
      </c>
      <c r="I583" s="2">
        <f t="array" ref="I583">SUMPRODUCT(B567:B586, (ROW(B567:B586)-ROW(B567)+1)) / (20*21/2)</f>
        <v>5.4860095238095248</v>
      </c>
      <c r="J583" s="2">
        <f t="shared" si="66"/>
        <v>5.4748019689452168</v>
      </c>
      <c r="K583" s="2">
        <f t="shared" si="68"/>
        <v>5.5328727070983499</v>
      </c>
    </row>
    <row r="584" spans="1:11" ht="13.5" x14ac:dyDescent="0.25">
      <c r="A584" s="3">
        <f>TITRES_STAT!B587</f>
        <v>45770</v>
      </c>
      <c r="B584" s="5">
        <f>TITRES_STAT!D587</f>
        <v>5.4180000000000001</v>
      </c>
      <c r="C584" s="2">
        <f t="shared" si="69"/>
        <v>-0.21600000000000019</v>
      </c>
      <c r="D584" s="2">
        <f t="shared" si="70"/>
        <v>5.4873999999999992</v>
      </c>
      <c r="E584" s="2">
        <f t="shared" si="64"/>
        <v>5.4543999999999997</v>
      </c>
      <c r="F584" s="2">
        <f t="shared" si="65"/>
        <v>5.449799999999998</v>
      </c>
      <c r="G584" s="2">
        <f t="shared" si="67"/>
        <v>5.5278199999999993</v>
      </c>
      <c r="H584" s="2">
        <f t="shared" si="63"/>
        <v>5.7119349999999915</v>
      </c>
      <c r="I584" s="2">
        <f t="array" ref="I584">SUMPRODUCT(B568:B587, (ROW(B568:B587)-ROW(B568)+1)) / (20*21/2)</f>
        <v>5.4837666666666669</v>
      </c>
      <c r="J584" s="2">
        <f t="shared" si="66"/>
        <v>5.469392257617101</v>
      </c>
      <c r="K584" s="2">
        <f t="shared" si="68"/>
        <v>5.5283678950552773</v>
      </c>
    </row>
    <row r="585" spans="1:11" ht="13.5" x14ac:dyDescent="0.25">
      <c r="A585" s="3">
        <f>TITRES_STAT!B588</f>
        <v>45771</v>
      </c>
      <c r="B585" s="5">
        <f>TITRES_STAT!D588</f>
        <v>5.625</v>
      </c>
      <c r="C585" s="2">
        <f t="shared" si="69"/>
        <v>0.20699999999999985</v>
      </c>
      <c r="D585" s="2">
        <f t="shared" si="70"/>
        <v>5.5232000000000001</v>
      </c>
      <c r="E585" s="2">
        <f t="shared" si="64"/>
        <v>5.4769999999999994</v>
      </c>
      <c r="F585" s="2">
        <f t="shared" si="65"/>
        <v>5.4611000000000001</v>
      </c>
      <c r="G585" s="2">
        <f t="shared" si="67"/>
        <v>5.5253799999999993</v>
      </c>
      <c r="H585" s="2">
        <f t="shared" si="63"/>
        <v>5.7130649999999923</v>
      </c>
      <c r="I585" s="2">
        <f t="array" ref="I585">SUMPRODUCT(B569:B588, (ROW(B569:B588)-ROW(B569)+1)) / (20*21/2)</f>
        <v>5.4813476190476198</v>
      </c>
      <c r="J585" s="2">
        <f t="shared" si="66"/>
        <v>5.4842120426059484</v>
      </c>
      <c r="K585" s="2">
        <f t="shared" si="68"/>
        <v>5.5321573893668354</v>
      </c>
    </row>
    <row r="586" spans="1:11" ht="13.5" x14ac:dyDescent="0.25">
      <c r="A586" s="3">
        <f>TITRES_STAT!B589</f>
        <v>45772</v>
      </c>
      <c r="B586" s="5">
        <f>TITRES_STAT!D589</f>
        <v>5.5590000000000002</v>
      </c>
      <c r="C586" s="2">
        <f t="shared" si="69"/>
        <v>-6.5999999999999837E-2</v>
      </c>
      <c r="D586" s="2">
        <f t="shared" si="70"/>
        <v>5.5458000000000007</v>
      </c>
      <c r="E586" s="2">
        <f t="shared" si="64"/>
        <v>5.4901999999999997</v>
      </c>
      <c r="F586" s="2">
        <f t="shared" si="65"/>
        <v>5.4695499999999999</v>
      </c>
      <c r="G586" s="2">
        <f t="shared" si="67"/>
        <v>5.5229399999999984</v>
      </c>
      <c r="H586" s="2">
        <f t="shared" ref="H586:H649" si="71">AVERAGE(B387:B586)</f>
        <v>5.7136299999999922</v>
      </c>
      <c r="I586" s="2">
        <f t="array" ref="I586">SUMPRODUCT(B570:B589, (ROW(B570:B589)-ROW(B570)+1)) / (20*21/2)</f>
        <v>5.4972809523809527</v>
      </c>
      <c r="J586" s="2">
        <f t="shared" si="66"/>
        <v>5.4913347052149053</v>
      </c>
      <c r="K586" s="2">
        <f t="shared" si="68"/>
        <v>5.5332100407642146</v>
      </c>
    </row>
    <row r="587" spans="1:11" ht="13.5" x14ac:dyDescent="0.25">
      <c r="A587" s="3">
        <f>TITRES_STAT!B590</f>
        <v>45775</v>
      </c>
      <c r="B587" s="5">
        <f>TITRES_STAT!D590</f>
        <v>5.4459999999999997</v>
      </c>
      <c r="C587" s="2">
        <f t="shared" si="69"/>
        <v>-0.11300000000000043</v>
      </c>
      <c r="D587" s="2">
        <f t="shared" si="70"/>
        <v>5.5364000000000004</v>
      </c>
      <c r="E587" s="2">
        <f t="shared" si="64"/>
        <v>5.4920999999999989</v>
      </c>
      <c r="F587" s="2">
        <f t="shared" si="65"/>
        <v>5.4714</v>
      </c>
      <c r="G587" s="2">
        <f t="shared" si="67"/>
        <v>5.5175000000000001</v>
      </c>
      <c r="H587" s="2">
        <f t="shared" si="71"/>
        <v>5.7136299999999922</v>
      </c>
      <c r="I587" s="2">
        <f t="array" ref="I587">SUMPRODUCT(B571:B590, (ROW(B571:B590)-ROW(B571)+1)) / (20*21/2)</f>
        <v>5.512319047619048</v>
      </c>
      <c r="J587" s="2">
        <f t="shared" si="66"/>
        <v>5.4870171142420565</v>
      </c>
      <c r="K587" s="2">
        <f t="shared" si="68"/>
        <v>5.5297900391656185</v>
      </c>
    </row>
    <row r="588" spans="1:11" ht="13.5" x14ac:dyDescent="0.25">
      <c r="A588" s="3">
        <f>TITRES_STAT!B591</f>
        <v>45776</v>
      </c>
      <c r="B588" s="5">
        <f>TITRES_STAT!D591</f>
        <v>5.4459999999999997</v>
      </c>
      <c r="C588" s="2">
        <f t="shared" si="69"/>
        <v>0</v>
      </c>
      <c r="D588" s="2">
        <f t="shared" si="70"/>
        <v>5.4988000000000001</v>
      </c>
      <c r="E588" s="2">
        <f t="shared" ref="E588:E651" si="72">AVERAGE(B579:B588)</f>
        <v>5.4939999999999989</v>
      </c>
      <c r="F588" s="2">
        <f t="shared" si="65"/>
        <v>5.4667000000000003</v>
      </c>
      <c r="G588" s="2">
        <f t="shared" si="67"/>
        <v>5.51206</v>
      </c>
      <c r="H588" s="2">
        <f t="shared" si="71"/>
        <v>5.7126899999999914</v>
      </c>
      <c r="I588" s="2">
        <f t="array" ref="I588">SUMPRODUCT(B572:B591, (ROW(B572:B591)-ROW(B572)+1)) / (20*21/2)</f>
        <v>5.5262857142857138</v>
      </c>
      <c r="J588" s="2">
        <f t="shared" si="66"/>
        <v>5.4831107224094797</v>
      </c>
      <c r="K588" s="2">
        <f t="shared" si="68"/>
        <v>5.5265041552767711</v>
      </c>
    </row>
    <row r="589" spans="1:11" ht="13.5" x14ac:dyDescent="0.25">
      <c r="A589" s="3">
        <f>TITRES_STAT!B592</f>
        <v>45777</v>
      </c>
      <c r="B589" s="5">
        <f>TITRES_STAT!D592</f>
        <v>5.6340000000000003</v>
      </c>
      <c r="C589" s="2">
        <f t="shared" si="69"/>
        <v>0.18800000000000061</v>
      </c>
      <c r="D589" s="2">
        <f t="shared" si="70"/>
        <v>5.5419999999999998</v>
      </c>
      <c r="E589" s="2">
        <f t="shared" si="72"/>
        <v>5.5146999999999995</v>
      </c>
      <c r="F589" s="2">
        <f t="shared" si="65"/>
        <v>5.4760999999999997</v>
      </c>
      <c r="G589" s="2">
        <f t="shared" si="67"/>
        <v>5.5111200000000009</v>
      </c>
      <c r="H589" s="2">
        <f t="shared" si="71"/>
        <v>5.7117999999999913</v>
      </c>
      <c r="I589" s="2">
        <f t="array" ref="I589">SUMPRODUCT(B573:B592, (ROW(B573:B592)-ROW(B573)+1)) / (20*21/2)</f>
        <v>5.5393571428571438</v>
      </c>
      <c r="J589" s="2">
        <f t="shared" si="66"/>
        <v>5.4974811297990529</v>
      </c>
      <c r="K589" s="2">
        <f t="shared" si="68"/>
        <v>5.530719678599251</v>
      </c>
    </row>
    <row r="590" spans="1:11" ht="13.5" x14ac:dyDescent="0.25">
      <c r="A590" s="3">
        <f>TITRES_STAT!B593</f>
        <v>45779</v>
      </c>
      <c r="B590" s="5">
        <f>TITRES_STAT!D593</f>
        <v>5.6340000000000003</v>
      </c>
      <c r="C590" s="2">
        <f t="shared" si="69"/>
        <v>0</v>
      </c>
      <c r="D590" s="2">
        <f t="shared" si="70"/>
        <v>5.5438000000000001</v>
      </c>
      <c r="E590" s="2">
        <f t="shared" si="72"/>
        <v>5.5334999999999992</v>
      </c>
      <c r="F590" s="2">
        <f t="shared" si="65"/>
        <v>5.4873500000000002</v>
      </c>
      <c r="G590" s="2">
        <f t="shared" si="67"/>
        <v>5.5101800000000001</v>
      </c>
      <c r="H590" s="2">
        <f t="shared" si="71"/>
        <v>5.7105799999999922</v>
      </c>
      <c r="I590" s="2">
        <f t="array" ref="I590">SUMPRODUCT(B574:B593, (ROW(B574:B593)-ROW(B574)+1)) / (20*21/2)</f>
        <v>5.5406809523809528</v>
      </c>
      <c r="J590" s="2">
        <f t="shared" si="66"/>
        <v>5.510482926961048</v>
      </c>
      <c r="K590" s="2">
        <f t="shared" si="68"/>
        <v>5.5347698872816338</v>
      </c>
    </row>
    <row r="591" spans="1:11" ht="13.5" x14ac:dyDescent="0.25">
      <c r="A591" s="3">
        <f>TITRES_STAT!B594</f>
        <v>45782</v>
      </c>
      <c r="B591" s="5">
        <f>TITRES_STAT!D594</f>
        <v>5.6340000000000003</v>
      </c>
      <c r="C591" s="2">
        <f t="shared" si="69"/>
        <v>0</v>
      </c>
      <c r="D591" s="2">
        <f t="shared" si="70"/>
        <v>5.5587999999999997</v>
      </c>
      <c r="E591" s="2">
        <f t="shared" si="72"/>
        <v>5.5523000000000007</v>
      </c>
      <c r="F591" s="2">
        <f t="shared" si="65"/>
        <v>5.4967499999999996</v>
      </c>
      <c r="G591" s="2">
        <f t="shared" si="67"/>
        <v>5.5092400000000001</v>
      </c>
      <c r="H591" s="2">
        <f t="shared" si="71"/>
        <v>5.7091699999999914</v>
      </c>
      <c r="I591" s="2">
        <f t="array" ref="I591">SUMPRODUCT(B575:B594, (ROW(B575:B594)-ROW(B575)+1)) / (20*21/2)</f>
        <v>5.5418714285714294</v>
      </c>
      <c r="J591" s="2">
        <f t="shared" si="66"/>
        <v>5.5222464577266628</v>
      </c>
      <c r="K591" s="2">
        <f t="shared" si="68"/>
        <v>5.5386612642509814</v>
      </c>
    </row>
    <row r="592" spans="1:11" ht="13.5" x14ac:dyDescent="0.25">
      <c r="A592" s="3">
        <f>TITRES_STAT!B595</f>
        <v>45783</v>
      </c>
      <c r="B592" s="5">
        <f>TITRES_STAT!D595</f>
        <v>5.6340000000000003</v>
      </c>
      <c r="C592" s="2">
        <f t="shared" si="69"/>
        <v>0</v>
      </c>
      <c r="D592" s="2">
        <f t="shared" si="70"/>
        <v>5.5964</v>
      </c>
      <c r="E592" s="2">
        <f t="shared" si="72"/>
        <v>5.5663999999999998</v>
      </c>
      <c r="F592" s="2">
        <f t="shared" si="65"/>
        <v>5.5070999999999994</v>
      </c>
      <c r="G592" s="2">
        <f t="shared" si="67"/>
        <v>5.5082999999999993</v>
      </c>
      <c r="H592" s="2">
        <f t="shared" si="71"/>
        <v>5.7075249999999915</v>
      </c>
      <c r="I592" s="2">
        <f t="array" ref="I592">SUMPRODUCT(B576:B595, (ROW(B576:B595)-ROW(B576)+1)) / (20*21/2)</f>
        <v>5.5447380952380954</v>
      </c>
      <c r="J592" s="2">
        <f t="shared" si="66"/>
        <v>5.5328896522288851</v>
      </c>
      <c r="K592" s="2">
        <f t="shared" si="68"/>
        <v>5.5424000382019232</v>
      </c>
    </row>
    <row r="593" spans="1:11" ht="13.5" x14ac:dyDescent="0.25">
      <c r="A593" s="3">
        <f>TITRES_STAT!B596</f>
        <v>45784</v>
      </c>
      <c r="B593" s="5">
        <f>TITRES_STAT!D596</f>
        <v>5.5209999999999999</v>
      </c>
      <c r="C593" s="2">
        <f t="shared" si="69"/>
        <v>-0.11300000000000043</v>
      </c>
      <c r="D593" s="2">
        <f t="shared" si="70"/>
        <v>5.6114000000000006</v>
      </c>
      <c r="E593" s="2">
        <f t="shared" si="72"/>
        <v>5.5551000000000004</v>
      </c>
      <c r="F593" s="2">
        <f t="shared" si="65"/>
        <v>5.5084999999999997</v>
      </c>
      <c r="G593" s="2">
        <f t="shared" si="67"/>
        <v>5.5050999999999997</v>
      </c>
      <c r="H593" s="2">
        <f t="shared" si="71"/>
        <v>5.7054099999999925</v>
      </c>
      <c r="I593" s="2">
        <f t="array" ref="I593">SUMPRODUCT(B577:B596, (ROW(B577:B596)-ROW(B577)+1)) / (20*21/2)</f>
        <v>5.5550285714285712</v>
      </c>
      <c r="J593" s="2">
        <f t="shared" si="66"/>
        <v>5.5317573043975621</v>
      </c>
      <c r="K593" s="2">
        <f t="shared" si="68"/>
        <v>5.5415608210175344</v>
      </c>
    </row>
    <row r="594" spans="1:11" ht="13.5" x14ac:dyDescent="0.25">
      <c r="A594" s="3">
        <f>TITRES_STAT!B597</f>
        <v>45785</v>
      </c>
      <c r="B594" s="5">
        <f>TITRES_STAT!D597</f>
        <v>5.5209999999999999</v>
      </c>
      <c r="C594" s="2">
        <f t="shared" si="69"/>
        <v>0</v>
      </c>
      <c r="D594" s="2">
        <f t="shared" si="70"/>
        <v>5.5888000000000009</v>
      </c>
      <c r="E594" s="2">
        <f t="shared" si="72"/>
        <v>5.5654000000000003</v>
      </c>
      <c r="F594" s="2">
        <f t="shared" si="65"/>
        <v>5.5099</v>
      </c>
      <c r="G594" s="2">
        <f t="shared" si="67"/>
        <v>5.5020800000000012</v>
      </c>
      <c r="H594" s="2">
        <f t="shared" si="71"/>
        <v>5.7035799999999925</v>
      </c>
      <c r="I594" s="2">
        <f t="array" ref="I594">SUMPRODUCT(B578:B597, (ROW(B578:B597)-ROW(B578)+1)) / (20*21/2)</f>
        <v>5.5643761904761906</v>
      </c>
      <c r="J594" s="2">
        <f t="shared" si="66"/>
        <v>5.5307327992168416</v>
      </c>
      <c r="K594" s="2">
        <f t="shared" si="68"/>
        <v>5.5407545143109651</v>
      </c>
    </row>
    <row r="595" spans="1:11" ht="13.5" x14ac:dyDescent="0.25">
      <c r="A595" s="3">
        <f>TITRES_STAT!B598</f>
        <v>45786</v>
      </c>
      <c r="B595" s="5">
        <f>TITRES_STAT!D598</f>
        <v>5.54</v>
      </c>
      <c r="C595" s="2">
        <f t="shared" si="69"/>
        <v>1.9000000000000128E-2</v>
      </c>
      <c r="D595" s="2">
        <f t="shared" si="70"/>
        <v>5.57</v>
      </c>
      <c r="E595" s="2">
        <f t="shared" si="72"/>
        <v>5.5569000000000006</v>
      </c>
      <c r="F595" s="2">
        <f t="shared" si="65"/>
        <v>5.5169499999999996</v>
      </c>
      <c r="G595" s="2">
        <f t="shared" si="67"/>
        <v>5.5002000000000013</v>
      </c>
      <c r="H595" s="2">
        <f t="shared" si="71"/>
        <v>5.7018449999999925</v>
      </c>
      <c r="I595" s="2">
        <f t="array" ref="I595">SUMPRODUCT(B579:B598, (ROW(B579:B598)-ROW(B579)+1)) / (20*21/2)</f>
        <v>5.5727809523809526</v>
      </c>
      <c r="J595" s="2">
        <f t="shared" si="66"/>
        <v>5.5316153897676186</v>
      </c>
      <c r="K595" s="2">
        <f t="shared" si="68"/>
        <v>5.5407249255144562</v>
      </c>
    </row>
    <row r="596" spans="1:11" ht="13.5" x14ac:dyDescent="0.25">
      <c r="A596" s="3">
        <f>TITRES_STAT!B599</f>
        <v>45789</v>
      </c>
      <c r="B596" s="5">
        <f>TITRES_STAT!D599</f>
        <v>5.625</v>
      </c>
      <c r="C596" s="2">
        <f t="shared" si="69"/>
        <v>8.4999999999999964E-2</v>
      </c>
      <c r="D596" s="2">
        <f t="shared" si="70"/>
        <v>5.5682</v>
      </c>
      <c r="E596" s="2">
        <f t="shared" si="72"/>
        <v>5.5634999999999994</v>
      </c>
      <c r="F596" s="2">
        <f t="shared" ref="F596:F659" si="73">AVERAGE(B577:B596)</f>
        <v>5.5268500000000005</v>
      </c>
      <c r="G596" s="2">
        <f t="shared" si="67"/>
        <v>5.5002000000000013</v>
      </c>
      <c r="H596" s="2">
        <f t="shared" si="71"/>
        <v>5.7006749999999933</v>
      </c>
      <c r="I596" s="2">
        <f t="array" ref="I596">SUMPRODUCT(B580:B599, (ROW(B580:B599)-ROW(B580)+1)) / (20*21/2)</f>
        <v>5.5676714285714297</v>
      </c>
      <c r="J596" s="2">
        <f t="shared" si="66"/>
        <v>5.5405091621707028</v>
      </c>
      <c r="K596" s="2">
        <f t="shared" si="68"/>
        <v>5.5440298303962425</v>
      </c>
    </row>
    <row r="597" spans="1:11" ht="13.5" x14ac:dyDescent="0.25">
      <c r="A597" s="3">
        <f>TITRES_STAT!B600</f>
        <v>45790</v>
      </c>
      <c r="B597" s="5">
        <f>TITRES_STAT!D600</f>
        <v>5.625</v>
      </c>
      <c r="C597" s="2">
        <f t="shared" si="69"/>
        <v>0</v>
      </c>
      <c r="D597" s="2">
        <f t="shared" si="70"/>
        <v>5.5663999999999998</v>
      </c>
      <c r="E597" s="2">
        <f t="shared" si="72"/>
        <v>5.5814000000000004</v>
      </c>
      <c r="F597" s="2">
        <f t="shared" si="73"/>
        <v>5.5367499999999996</v>
      </c>
      <c r="G597" s="2">
        <f t="shared" si="67"/>
        <v>5.500020000000001</v>
      </c>
      <c r="H597" s="2">
        <f t="shared" si="71"/>
        <v>5.6995049999999949</v>
      </c>
      <c r="I597" s="2">
        <f t="array" ref="I597">SUMPRODUCT(B581:B600, (ROW(B581:B600)-ROW(B581)+1)) / (20*21/2)</f>
        <v>5.5595809523809523</v>
      </c>
      <c r="J597" s="2">
        <f t="shared" ref="J597:J660" si="74">$J$4*B597+J596*(1-$J$4)</f>
        <v>5.548555908630636</v>
      </c>
      <c r="K597" s="2">
        <f t="shared" si="68"/>
        <v>5.5472051311650175</v>
      </c>
    </row>
    <row r="598" spans="1:11" ht="13.5" x14ac:dyDescent="0.25">
      <c r="A598" s="3">
        <f>TITRES_STAT!B601</f>
        <v>45791</v>
      </c>
      <c r="B598" s="5">
        <f>TITRES_STAT!D601</f>
        <v>5.625</v>
      </c>
      <c r="C598" s="2">
        <f t="shared" si="69"/>
        <v>0</v>
      </c>
      <c r="D598" s="2">
        <f t="shared" si="70"/>
        <v>5.5872000000000002</v>
      </c>
      <c r="E598" s="2">
        <f t="shared" si="72"/>
        <v>5.5993000000000004</v>
      </c>
      <c r="F598" s="2">
        <f t="shared" si="73"/>
        <v>5.5466500000000005</v>
      </c>
      <c r="G598" s="2">
        <f t="shared" si="67"/>
        <v>5.4998400000000007</v>
      </c>
      <c r="H598" s="2">
        <f t="shared" si="71"/>
        <v>5.6980499999999958</v>
      </c>
      <c r="I598" s="2">
        <f t="array" ref="I598">SUMPRODUCT(B582:B601, (ROW(B582:B601)-ROW(B582)+1)) / (20*21/2)</f>
        <v>5.5638761904761918</v>
      </c>
      <c r="J598" s="2">
        <f t="shared" si="74"/>
        <v>5.555836298284861</v>
      </c>
      <c r="K598" s="2">
        <f t="shared" si="68"/>
        <v>5.5502559103350171</v>
      </c>
    </row>
    <row r="599" spans="1:11" ht="13.5" x14ac:dyDescent="0.25">
      <c r="A599" s="3">
        <f>TITRES_STAT!B602</f>
        <v>45792</v>
      </c>
      <c r="B599" s="5">
        <f>TITRES_STAT!D602</f>
        <v>5.4930000000000003</v>
      </c>
      <c r="C599" s="2">
        <f t="shared" si="69"/>
        <v>-0.13199999999999967</v>
      </c>
      <c r="D599" s="2">
        <f t="shared" si="70"/>
        <v>5.5815999999999999</v>
      </c>
      <c r="E599" s="2">
        <f t="shared" si="72"/>
        <v>5.5852000000000004</v>
      </c>
      <c r="F599" s="2">
        <f t="shared" si="73"/>
        <v>5.5499499999999999</v>
      </c>
      <c r="G599" s="2">
        <f t="shared" si="67"/>
        <v>5.4990800000000002</v>
      </c>
      <c r="H599" s="2">
        <f t="shared" si="71"/>
        <v>5.6960299999999959</v>
      </c>
      <c r="I599" s="2">
        <f t="array" ref="I599">SUMPRODUCT(B583:B602, (ROW(B583:B602)-ROW(B583)+1)) / (20*21/2)</f>
        <v>5.5647904761904758</v>
      </c>
      <c r="J599" s="2">
        <f t="shared" si="74"/>
        <v>5.5498518889243984</v>
      </c>
      <c r="K599" s="2">
        <f t="shared" si="68"/>
        <v>5.5480105805179578</v>
      </c>
    </row>
    <row r="600" spans="1:11" ht="13.5" x14ac:dyDescent="0.25">
      <c r="A600" s="3">
        <f>TITRES_STAT!B603</f>
        <v>45793</v>
      </c>
      <c r="B600" s="5">
        <f>TITRES_STAT!D603</f>
        <v>5.4649999999999999</v>
      </c>
      <c r="C600" s="2">
        <f t="shared" si="69"/>
        <v>-2.8000000000000469E-2</v>
      </c>
      <c r="D600" s="2">
        <f t="shared" si="70"/>
        <v>5.5666000000000002</v>
      </c>
      <c r="E600" s="2">
        <f t="shared" si="72"/>
        <v>5.5683000000000007</v>
      </c>
      <c r="F600" s="2">
        <f t="shared" si="73"/>
        <v>5.5509000000000004</v>
      </c>
      <c r="G600" s="2">
        <f t="shared" si="67"/>
        <v>5.4977599999999986</v>
      </c>
      <c r="H600" s="2">
        <f t="shared" si="71"/>
        <v>5.693869999999996</v>
      </c>
      <c r="I600" s="2">
        <f t="array" ref="I600">SUMPRODUCT(B584:B603, (ROW(B584:B603)-ROW(B584)+1)) / (20*21/2)</f>
        <v>5.5653476190476177</v>
      </c>
      <c r="J600" s="2">
        <f t="shared" si="74"/>
        <v>5.5417707566458843</v>
      </c>
      <c r="K600" s="2">
        <f t="shared" si="68"/>
        <v>5.5447552636349</v>
      </c>
    </row>
    <row r="601" spans="1:11" ht="13.5" x14ac:dyDescent="0.25">
      <c r="A601" s="3">
        <f>TITRES_STAT!B604</f>
        <v>45796</v>
      </c>
      <c r="B601" s="5">
        <f>TITRES_STAT!D604</f>
        <v>5.5960000000000001</v>
      </c>
      <c r="C601" s="2">
        <f t="shared" si="69"/>
        <v>0.13100000000000023</v>
      </c>
      <c r="D601" s="2">
        <f t="shared" si="70"/>
        <v>5.5608000000000004</v>
      </c>
      <c r="E601" s="2">
        <f t="shared" si="72"/>
        <v>5.5645000000000007</v>
      </c>
      <c r="F601" s="2">
        <f t="shared" si="73"/>
        <v>5.5584000000000007</v>
      </c>
      <c r="G601" s="2">
        <f t="shared" si="67"/>
        <v>5.5007599999999979</v>
      </c>
      <c r="H601" s="2">
        <f t="shared" si="71"/>
        <v>5.692739999999997</v>
      </c>
      <c r="I601" s="2">
        <f t="array" ref="I601">SUMPRODUCT(B585:B604, (ROW(B585:B604)-ROW(B585)+1)) / (20*21/2)</f>
        <v>5.5599333333333325</v>
      </c>
      <c r="J601" s="2">
        <f t="shared" si="74"/>
        <v>5.5469354464891332</v>
      </c>
      <c r="K601" s="2">
        <f t="shared" si="68"/>
        <v>5.5467648611394136</v>
      </c>
    </row>
    <row r="602" spans="1:11" ht="13.5" x14ac:dyDescent="0.25">
      <c r="A602" s="3">
        <f>TITRES_STAT!B605</f>
        <v>45797</v>
      </c>
      <c r="B602" s="5">
        <f>TITRES_STAT!D605</f>
        <v>5.5679999999999996</v>
      </c>
      <c r="C602" s="2">
        <f t="shared" si="69"/>
        <v>-2.8000000000000469E-2</v>
      </c>
      <c r="D602" s="2">
        <f t="shared" si="70"/>
        <v>5.5494000000000003</v>
      </c>
      <c r="E602" s="2">
        <f t="shared" si="72"/>
        <v>5.557900000000001</v>
      </c>
      <c r="F602" s="2">
        <f t="shared" si="73"/>
        <v>5.5621500000000008</v>
      </c>
      <c r="G602" s="2">
        <f t="shared" si="67"/>
        <v>5.5031999999999996</v>
      </c>
      <c r="H602" s="2">
        <f t="shared" si="71"/>
        <v>5.6909999999999981</v>
      </c>
      <c r="I602" s="2">
        <f t="array" ref="I602">SUMPRODUCT(B586:B605, (ROW(B586:B605)-ROW(B586)+1)) / (20*21/2)</f>
        <v>5.562214285714286</v>
      </c>
      <c r="J602" s="2">
        <f t="shared" si="74"/>
        <v>5.5489415944425486</v>
      </c>
      <c r="K602" s="2">
        <f t="shared" si="68"/>
        <v>5.5475976116829662</v>
      </c>
    </row>
    <row r="603" spans="1:11" ht="13.5" x14ac:dyDescent="0.25">
      <c r="A603" s="3">
        <f>TITRES_STAT!B606</f>
        <v>45798</v>
      </c>
      <c r="B603" s="5">
        <f>TITRES_STAT!D606</f>
        <v>5.5679999999999996</v>
      </c>
      <c r="C603" s="2">
        <f t="shared" si="69"/>
        <v>0</v>
      </c>
      <c r="D603" s="2">
        <f t="shared" si="70"/>
        <v>5.5379999999999994</v>
      </c>
      <c r="E603" s="2">
        <f t="shared" si="72"/>
        <v>5.5626000000000007</v>
      </c>
      <c r="F603" s="2">
        <f t="shared" si="73"/>
        <v>5.5588500000000005</v>
      </c>
      <c r="G603" s="2">
        <f t="shared" si="67"/>
        <v>5.502819999999998</v>
      </c>
      <c r="H603" s="2">
        <f t="shared" si="71"/>
        <v>5.6892599999999973</v>
      </c>
      <c r="I603" s="2">
        <f t="array" ref="I603">SUMPRODUCT(B587:B606, (ROW(B587:B606)-ROW(B587)+1)) / (20*21/2)</f>
        <v>5.5646761904761908</v>
      </c>
      <c r="J603" s="2">
        <f t="shared" si="74"/>
        <v>5.5507566806861153</v>
      </c>
      <c r="K603" s="2">
        <f t="shared" si="68"/>
        <v>5.5483977053424578</v>
      </c>
    </row>
    <row r="604" spans="1:11" ht="13.5" x14ac:dyDescent="0.25">
      <c r="A604" s="3">
        <f>TITRES_STAT!B607</f>
        <v>45799</v>
      </c>
      <c r="B604" s="5">
        <f>TITRES_STAT!D607</f>
        <v>5.5019999999999998</v>
      </c>
      <c r="C604" s="2">
        <f t="shared" si="69"/>
        <v>-6.5999999999999837E-2</v>
      </c>
      <c r="D604" s="2">
        <f t="shared" si="70"/>
        <v>5.5397999999999987</v>
      </c>
      <c r="E604" s="2">
        <f t="shared" si="72"/>
        <v>5.5607000000000006</v>
      </c>
      <c r="F604" s="2">
        <f t="shared" si="73"/>
        <v>5.5630499999999996</v>
      </c>
      <c r="G604" s="2">
        <f t="shared" si="67"/>
        <v>5.5009399999999982</v>
      </c>
      <c r="H604" s="2">
        <f t="shared" si="71"/>
        <v>5.6872849999999975</v>
      </c>
      <c r="I604" s="2">
        <f t="array" ref="I604">SUMPRODUCT(B588:B607, (ROW(B588:B607)-ROW(B588)+1)) / (20*21/2)</f>
        <v>5.5706238095238092</v>
      </c>
      <c r="J604" s="2">
        <f t="shared" si="74"/>
        <v>5.5461131872874381</v>
      </c>
      <c r="K604" s="2">
        <f t="shared" si="68"/>
        <v>5.546578187485891</v>
      </c>
    </row>
    <row r="605" spans="1:11" ht="13.5" x14ac:dyDescent="0.25">
      <c r="A605" s="3">
        <f>TITRES_STAT!B608</f>
        <v>45800</v>
      </c>
      <c r="B605" s="5">
        <f>TITRES_STAT!D608</f>
        <v>5.5869999999999997</v>
      </c>
      <c r="C605" s="2">
        <f t="shared" si="69"/>
        <v>8.4999999999999964E-2</v>
      </c>
      <c r="D605" s="2">
        <f t="shared" si="70"/>
        <v>5.5641999999999996</v>
      </c>
      <c r="E605" s="2">
        <f t="shared" si="72"/>
        <v>5.5653999999999995</v>
      </c>
      <c r="F605" s="2">
        <f t="shared" si="73"/>
        <v>5.5611499999999996</v>
      </c>
      <c r="G605" s="2">
        <f t="shared" si="67"/>
        <v>5.5009399999999982</v>
      </c>
      <c r="H605" s="2">
        <f t="shared" si="71"/>
        <v>5.6858299999999975</v>
      </c>
      <c r="I605" s="2">
        <f t="array" ref="I605">SUMPRODUCT(B589:B608, (ROW(B589:B608)-ROW(B589)+1)) / (20*21/2)</f>
        <v>5.5765761904761915</v>
      </c>
      <c r="J605" s="2">
        <f t="shared" si="74"/>
        <v>5.5500071694505388</v>
      </c>
      <c r="K605" s="2">
        <f t="shared" si="68"/>
        <v>5.5481633566040918</v>
      </c>
    </row>
    <row r="606" spans="1:11" ht="13.5" x14ac:dyDescent="0.25">
      <c r="A606" s="3">
        <f>TITRES_STAT!B609</f>
        <v>45803</v>
      </c>
      <c r="B606" s="5">
        <f>TITRES_STAT!D609</f>
        <v>5.5869999999999997</v>
      </c>
      <c r="C606" s="2">
        <f t="shared" si="69"/>
        <v>0</v>
      </c>
      <c r="D606" s="2">
        <f t="shared" si="70"/>
        <v>5.5623999999999993</v>
      </c>
      <c r="E606" s="2">
        <f t="shared" si="72"/>
        <v>5.5616000000000003</v>
      </c>
      <c r="F606" s="2">
        <f t="shared" si="73"/>
        <v>5.5625499999999999</v>
      </c>
      <c r="G606" s="2">
        <f t="shared" si="67"/>
        <v>5.5009399999999991</v>
      </c>
      <c r="H606" s="2">
        <f t="shared" si="71"/>
        <v>5.6847049999999975</v>
      </c>
      <c r="I606" s="2">
        <f t="array" ref="I606">SUMPRODUCT(B590:B609, (ROW(B590:B609)-ROW(B590)+1)) / (20*21/2)</f>
        <v>5.5816333333333343</v>
      </c>
      <c r="J606" s="2">
        <f t="shared" si="74"/>
        <v>5.5535302961695345</v>
      </c>
      <c r="K606" s="2">
        <f t="shared" si="68"/>
        <v>5.5496863622274608</v>
      </c>
    </row>
    <row r="607" spans="1:11" ht="13.5" x14ac:dyDescent="0.25">
      <c r="A607" s="3">
        <f>TITRES_STAT!B610</f>
        <v>45804</v>
      </c>
      <c r="B607" s="5">
        <f>TITRES_STAT!D610</f>
        <v>5.625</v>
      </c>
      <c r="C607" s="2">
        <f t="shared" si="69"/>
        <v>3.8000000000000256E-2</v>
      </c>
      <c r="D607" s="2">
        <f t="shared" si="70"/>
        <v>5.5738000000000003</v>
      </c>
      <c r="E607" s="2">
        <f t="shared" si="72"/>
        <v>5.5616000000000003</v>
      </c>
      <c r="F607" s="2">
        <f t="shared" si="73"/>
        <v>5.5715000000000003</v>
      </c>
      <c r="G607" s="2">
        <f t="shared" si="67"/>
        <v>5.5035799999999995</v>
      </c>
      <c r="H607" s="2">
        <f t="shared" si="71"/>
        <v>5.6837699999999982</v>
      </c>
      <c r="I607" s="2">
        <f t="array" ref="I607">SUMPRODUCT(B591:B610, (ROW(B591:B610)-ROW(B591)+1)) / (20*21/2)</f>
        <v>5.5858333333333334</v>
      </c>
      <c r="J607" s="2">
        <f t="shared" si="74"/>
        <v>5.5603369346295786</v>
      </c>
      <c r="K607" s="2">
        <f t="shared" si="68"/>
        <v>5.5526398382185409</v>
      </c>
    </row>
    <row r="608" spans="1:11" ht="13.5" x14ac:dyDescent="0.25">
      <c r="A608" s="3">
        <f>TITRES_STAT!B611</f>
        <v>45805</v>
      </c>
      <c r="B608" s="5">
        <f>TITRES_STAT!D611</f>
        <v>5.6340000000000003</v>
      </c>
      <c r="C608" s="2">
        <f t="shared" si="69"/>
        <v>9.0000000000003411E-3</v>
      </c>
      <c r="D608" s="2">
        <f t="shared" si="70"/>
        <v>5.5869999999999997</v>
      </c>
      <c r="E608" s="2">
        <f t="shared" si="72"/>
        <v>5.5625</v>
      </c>
      <c r="F608" s="2">
        <f t="shared" si="73"/>
        <v>5.5809000000000006</v>
      </c>
      <c r="G608" s="2">
        <f t="shared" si="67"/>
        <v>5.5069599999999994</v>
      </c>
      <c r="H608" s="2">
        <f t="shared" si="71"/>
        <v>5.682879999999999</v>
      </c>
      <c r="I608" s="2">
        <f t="array" ref="I608">SUMPRODUCT(B592:B611, (ROW(B592:B611)-ROW(B592)+1)) / (20*21/2)</f>
        <v>5.5891238095238105</v>
      </c>
      <c r="J608" s="2">
        <f t="shared" si="74"/>
        <v>5.5673524646648564</v>
      </c>
      <c r="K608" s="2">
        <f t="shared" si="68"/>
        <v>5.5558304327982064</v>
      </c>
    </row>
    <row r="609" spans="1:11" ht="13.5" x14ac:dyDescent="0.25">
      <c r="A609" s="3">
        <f>TITRES_STAT!B612</f>
        <v>45806</v>
      </c>
      <c r="B609" s="5">
        <f>TITRES_STAT!D612</f>
        <v>5.6340000000000003</v>
      </c>
      <c r="C609" s="2">
        <f t="shared" si="69"/>
        <v>0</v>
      </c>
      <c r="D609" s="2">
        <f t="shared" si="70"/>
        <v>5.6134000000000004</v>
      </c>
      <c r="E609" s="2">
        <f t="shared" si="72"/>
        <v>5.5765999999999991</v>
      </c>
      <c r="F609" s="2">
        <f t="shared" si="73"/>
        <v>5.5809000000000006</v>
      </c>
      <c r="G609" s="2">
        <f t="shared" si="67"/>
        <v>5.5112799999999993</v>
      </c>
      <c r="H609" s="2">
        <f t="shared" si="71"/>
        <v>5.6819899999999981</v>
      </c>
      <c r="I609" s="2">
        <f t="array" ref="I609">SUMPRODUCT(B593:B612, (ROW(B593:B612)-ROW(B593)+1)) / (20*21/2)</f>
        <v>5.5925047619047614</v>
      </c>
      <c r="J609" s="2">
        <f t="shared" si="74"/>
        <v>5.5736998489824892</v>
      </c>
      <c r="K609" s="2">
        <f t="shared" si="68"/>
        <v>5.5588959060218066</v>
      </c>
    </row>
    <row r="610" spans="1:11" ht="13.5" x14ac:dyDescent="0.25">
      <c r="A610" s="3">
        <f>TITRES_STAT!B613</f>
        <v>45807</v>
      </c>
      <c r="B610" s="5">
        <f>TITRES_STAT!D613</f>
        <v>5.625</v>
      </c>
      <c r="C610" s="2">
        <f t="shared" si="69"/>
        <v>-9.0000000000003411E-3</v>
      </c>
      <c r="D610" s="2">
        <f t="shared" si="70"/>
        <v>5.6210000000000004</v>
      </c>
      <c r="E610" s="2">
        <f t="shared" si="72"/>
        <v>5.5926</v>
      </c>
      <c r="F610" s="2">
        <f t="shared" si="73"/>
        <v>5.5804500000000008</v>
      </c>
      <c r="G610" s="2">
        <f t="shared" si="67"/>
        <v>5.5154200000000007</v>
      </c>
      <c r="H610" s="2">
        <f t="shared" si="71"/>
        <v>5.6811949999999989</v>
      </c>
      <c r="I610" s="2">
        <f t="array" ref="I610">SUMPRODUCT(B594:B613, (ROW(B594:B613)-ROW(B594)+1)) / (20*21/2)</f>
        <v>5.5870238095238101</v>
      </c>
      <c r="J610" s="2">
        <f t="shared" si="74"/>
        <v>5.5785855776508235</v>
      </c>
      <c r="K610" s="2">
        <f t="shared" si="68"/>
        <v>5.5614882234327165</v>
      </c>
    </row>
    <row r="611" spans="1:11" ht="13.5" x14ac:dyDescent="0.25">
      <c r="A611" s="3">
        <f>TITRES_STAT!B614</f>
        <v>45810</v>
      </c>
      <c r="B611" s="5">
        <f>TITRES_STAT!D614</f>
        <v>5.6150000000000002</v>
      </c>
      <c r="C611" s="2">
        <f t="shared" si="69"/>
        <v>-9.9999999999997868E-3</v>
      </c>
      <c r="D611" s="2">
        <f t="shared" si="70"/>
        <v>5.6266000000000007</v>
      </c>
      <c r="E611" s="2">
        <f t="shared" si="72"/>
        <v>5.5945</v>
      </c>
      <c r="F611" s="2">
        <f t="shared" si="73"/>
        <v>5.5795000000000003</v>
      </c>
      <c r="G611" s="2">
        <f t="shared" si="67"/>
        <v>5.5193600000000007</v>
      </c>
      <c r="H611" s="2">
        <f t="shared" si="71"/>
        <v>5.680629999999999</v>
      </c>
      <c r="I611" s="2">
        <f t="array" ref="I611">SUMPRODUCT(B595:B614, (ROW(B595:B614)-ROW(B595)+1)) / (20*21/2)</f>
        <v>5.5815428571428587</v>
      </c>
      <c r="J611" s="2">
        <f t="shared" si="74"/>
        <v>5.5820536178745552</v>
      </c>
      <c r="K611" s="2">
        <f t="shared" si="68"/>
        <v>5.5635867244745718</v>
      </c>
    </row>
    <row r="612" spans="1:11" ht="13.5" x14ac:dyDescent="0.25">
      <c r="A612" s="3">
        <f>TITRES_STAT!B615</f>
        <v>45811</v>
      </c>
      <c r="B612" s="5">
        <f>TITRES_STAT!D615</f>
        <v>5.6150000000000002</v>
      </c>
      <c r="C612" s="2">
        <f t="shared" si="69"/>
        <v>0</v>
      </c>
      <c r="D612" s="2">
        <f t="shared" si="70"/>
        <v>5.6246000000000009</v>
      </c>
      <c r="E612" s="2">
        <f t="shared" si="72"/>
        <v>5.5992000000000006</v>
      </c>
      <c r="F612" s="2">
        <f t="shared" si="73"/>
        <v>5.5785499999999999</v>
      </c>
      <c r="G612" s="2">
        <f t="shared" si="67"/>
        <v>5.5208600000000017</v>
      </c>
      <c r="H612" s="2">
        <f t="shared" si="71"/>
        <v>5.680114999999998</v>
      </c>
      <c r="I612" s="2">
        <f t="array" ref="I612">SUMPRODUCT(B596:B615, (ROW(B596:B615)-ROW(B596)+1)) / (20*21/2)</f>
        <v>5.5805380952380954</v>
      </c>
      <c r="J612" s="2">
        <f t="shared" si="74"/>
        <v>5.5851913685531693</v>
      </c>
      <c r="K612" s="2">
        <f t="shared" si="68"/>
        <v>5.5656029313579225</v>
      </c>
    </row>
    <row r="613" spans="1:11" ht="13.5" x14ac:dyDescent="0.25">
      <c r="A613" s="3">
        <f>TITRES_STAT!B616</f>
        <v>45812</v>
      </c>
      <c r="B613" s="5">
        <f>TITRES_STAT!D616</f>
        <v>5.5209999999999999</v>
      </c>
      <c r="C613" s="2">
        <f t="shared" si="69"/>
        <v>-9.4000000000000306E-2</v>
      </c>
      <c r="D613" s="2">
        <f t="shared" si="70"/>
        <v>5.6020000000000012</v>
      </c>
      <c r="E613" s="2">
        <f t="shared" si="72"/>
        <v>5.5945000000000009</v>
      </c>
      <c r="F613" s="2">
        <f t="shared" si="73"/>
        <v>5.5785499999999999</v>
      </c>
      <c r="G613" s="2">
        <f t="shared" si="67"/>
        <v>5.5229200000000018</v>
      </c>
      <c r="H613" s="2">
        <f t="shared" si="71"/>
        <v>5.6791299999999989</v>
      </c>
      <c r="I613" s="2">
        <f t="array" ref="I613">SUMPRODUCT(B597:B616, (ROW(B597:B616)-ROW(B597)+1)) / (20*21/2)</f>
        <v>5.5838761904761904</v>
      </c>
      <c r="J613" s="2">
        <f t="shared" si="74"/>
        <v>5.579077904881439</v>
      </c>
      <c r="K613" s="2">
        <f t="shared" si="68"/>
        <v>5.5638537967948674</v>
      </c>
    </row>
    <row r="614" spans="1:11" ht="13.5" x14ac:dyDescent="0.25">
      <c r="A614" s="3">
        <f>TITRES_STAT!B617</f>
        <v>45813</v>
      </c>
      <c r="B614" s="5">
        <f>TITRES_STAT!D617</f>
        <v>5.5209999999999999</v>
      </c>
      <c r="C614" s="2">
        <f t="shared" si="69"/>
        <v>0</v>
      </c>
      <c r="D614" s="2">
        <f t="shared" si="70"/>
        <v>5.5794000000000006</v>
      </c>
      <c r="E614" s="2">
        <f t="shared" si="72"/>
        <v>5.5964000000000009</v>
      </c>
      <c r="F614" s="2">
        <f t="shared" si="73"/>
        <v>5.5785499999999999</v>
      </c>
      <c r="G614" s="2">
        <f t="shared" si="67"/>
        <v>5.524420000000001</v>
      </c>
      <c r="H614" s="2">
        <f t="shared" si="71"/>
        <v>5.6781449999999998</v>
      </c>
      <c r="I614" s="2">
        <f t="array" ref="I614">SUMPRODUCT(B598:B617, (ROW(B598:B617)-ROW(B598)+1)) / (20*21/2)</f>
        <v>5.5872619047619043</v>
      </c>
      <c r="J614" s="2">
        <f t="shared" si="74"/>
        <v>5.5735466758451109</v>
      </c>
      <c r="K614" s="2">
        <f t="shared" si="68"/>
        <v>5.5621732557440886</v>
      </c>
    </row>
    <row r="615" spans="1:11" ht="13.5" x14ac:dyDescent="0.25">
      <c r="A615" s="3">
        <f>TITRES_STAT!B618</f>
        <v>45817</v>
      </c>
      <c r="B615" s="5">
        <f>TITRES_STAT!D618</f>
        <v>5.5679999999999996</v>
      </c>
      <c r="C615" s="2">
        <f t="shared" si="69"/>
        <v>4.6999999999999709E-2</v>
      </c>
      <c r="D615" s="2">
        <f t="shared" si="70"/>
        <v>5.5680000000000005</v>
      </c>
      <c r="E615" s="2">
        <f t="shared" si="72"/>
        <v>5.5945</v>
      </c>
      <c r="F615" s="2">
        <f t="shared" si="73"/>
        <v>5.5799499999999993</v>
      </c>
      <c r="G615" s="2">
        <f t="shared" si="67"/>
        <v>5.5278000000000009</v>
      </c>
      <c r="H615" s="2">
        <f t="shared" si="71"/>
        <v>5.6773949999999989</v>
      </c>
      <c r="I615" s="2">
        <f t="array" ref="I615">SUMPRODUCT(B599:B618, (ROW(B599:B618)-ROW(B599)+1)) / (20*21/2)</f>
        <v>5.5906952380952379</v>
      </c>
      <c r="J615" s="2">
        <f t="shared" si="74"/>
        <v>5.5730184210027192</v>
      </c>
      <c r="K615" s="2">
        <f t="shared" si="68"/>
        <v>5.5624017555188301</v>
      </c>
    </row>
    <row r="616" spans="1:11" ht="13.5" x14ac:dyDescent="0.25">
      <c r="A616" s="3">
        <f>TITRES_STAT!B619</f>
        <v>45818</v>
      </c>
      <c r="B616" s="5">
        <f>TITRES_STAT!D619</f>
        <v>5.6150000000000002</v>
      </c>
      <c r="C616" s="2">
        <f t="shared" si="69"/>
        <v>4.7000000000000597E-2</v>
      </c>
      <c r="D616" s="2">
        <f t="shared" si="70"/>
        <v>5.5680000000000005</v>
      </c>
      <c r="E616" s="2">
        <f t="shared" si="72"/>
        <v>5.5973000000000006</v>
      </c>
      <c r="F616" s="2">
        <f t="shared" si="73"/>
        <v>5.5794499999999996</v>
      </c>
      <c r="G616" s="2">
        <f t="shared" si="67"/>
        <v>5.5323000000000011</v>
      </c>
      <c r="H616" s="2">
        <f t="shared" si="71"/>
        <v>5.6772999999999989</v>
      </c>
      <c r="I616" s="2">
        <f t="array" ref="I616">SUMPRODUCT(B600:B619, (ROW(B600:B619)-ROW(B600)+1)) / (20*21/2)</f>
        <v>5.5870333333333333</v>
      </c>
      <c r="J616" s="2">
        <f t="shared" si="74"/>
        <v>5.5770166666215077</v>
      </c>
      <c r="K616" s="2">
        <f t="shared" si="68"/>
        <v>5.5644644317729934</v>
      </c>
    </row>
    <row r="617" spans="1:11" ht="13.5" x14ac:dyDescent="0.25">
      <c r="A617" s="3">
        <f>TITRES_STAT!B620</f>
        <v>45819</v>
      </c>
      <c r="B617" s="5">
        <f>TITRES_STAT!D620</f>
        <v>5.6150000000000002</v>
      </c>
      <c r="C617" s="2">
        <f t="shared" si="69"/>
        <v>0</v>
      </c>
      <c r="D617" s="2">
        <f t="shared" si="70"/>
        <v>5.5680000000000005</v>
      </c>
      <c r="E617" s="2">
        <f t="shared" si="72"/>
        <v>5.5963000000000012</v>
      </c>
      <c r="F617" s="2">
        <f t="shared" si="73"/>
        <v>5.578949999999999</v>
      </c>
      <c r="G617" s="2">
        <f t="shared" si="67"/>
        <v>5.5364200000000006</v>
      </c>
      <c r="H617" s="2">
        <f t="shared" si="71"/>
        <v>5.6772049999999989</v>
      </c>
      <c r="I617" s="2">
        <f t="array" ref="I617">SUMPRODUCT(B601:B620, (ROW(B601:B620)-ROW(B601)+1)) / (20*21/2)</f>
        <v>5.5831476190476188</v>
      </c>
      <c r="J617" s="2">
        <f t="shared" si="74"/>
        <v>5.5806341269432691</v>
      </c>
      <c r="K617" s="2">
        <f t="shared" si="68"/>
        <v>5.5664462187622874</v>
      </c>
    </row>
    <row r="618" spans="1:11" ht="13.5" x14ac:dyDescent="0.25">
      <c r="A618" s="3">
        <f>TITRES_STAT!B621</f>
        <v>45820</v>
      </c>
      <c r="B618" s="5">
        <f>TITRES_STAT!D621</f>
        <v>5.6150000000000002</v>
      </c>
      <c r="C618" s="2">
        <f t="shared" si="69"/>
        <v>0</v>
      </c>
      <c r="D618" s="2">
        <f t="shared" si="70"/>
        <v>5.5868000000000011</v>
      </c>
      <c r="E618" s="2">
        <f t="shared" si="72"/>
        <v>5.5944000000000011</v>
      </c>
      <c r="F618" s="2">
        <f t="shared" si="73"/>
        <v>5.5784499999999984</v>
      </c>
      <c r="G618" s="2">
        <f t="shared" si="67"/>
        <v>5.5379200000000006</v>
      </c>
      <c r="H618" s="2">
        <f t="shared" si="71"/>
        <v>5.677109999999999</v>
      </c>
      <c r="I618" s="2">
        <f t="array" ref="I618">SUMPRODUCT(B602:B621, (ROW(B602:B621)-ROW(B602)+1)) / (20*21/2)</f>
        <v>5.5789047619047629</v>
      </c>
      <c r="J618" s="2">
        <f t="shared" si="74"/>
        <v>5.5839070672343869</v>
      </c>
      <c r="K618" s="2">
        <f t="shared" si="68"/>
        <v>5.5683502886147469</v>
      </c>
    </row>
    <row r="619" spans="1:11" ht="13.5" x14ac:dyDescent="0.25">
      <c r="A619" s="3">
        <f>TITRES_STAT!B622</f>
        <v>45821</v>
      </c>
      <c r="B619" s="5">
        <f>TITRES_STAT!D622</f>
        <v>5.54</v>
      </c>
      <c r="C619" s="2">
        <f t="shared" si="69"/>
        <v>-7.5000000000000178E-2</v>
      </c>
      <c r="D619" s="2">
        <f t="shared" si="70"/>
        <v>5.5906000000000002</v>
      </c>
      <c r="E619" s="2">
        <f t="shared" si="72"/>
        <v>5.5850000000000009</v>
      </c>
      <c r="F619" s="2">
        <f t="shared" si="73"/>
        <v>5.5807999999999982</v>
      </c>
      <c r="G619" s="2">
        <f t="shared" si="67"/>
        <v>5.5398000000000005</v>
      </c>
      <c r="H619" s="2">
        <f t="shared" si="71"/>
        <v>5.6766399999999999</v>
      </c>
      <c r="I619" s="2">
        <f t="array" ref="I619">SUMPRODUCT(B603:B622, (ROW(B603:B622)-ROW(B603)+1)) / (20*21/2)</f>
        <v>5.5794047619047626</v>
      </c>
      <c r="J619" s="2">
        <f t="shared" si="74"/>
        <v>5.5797254417834932</v>
      </c>
      <c r="K619" s="2">
        <f t="shared" si="68"/>
        <v>5.567238512590639</v>
      </c>
    </row>
    <row r="620" spans="1:11" ht="13.5" x14ac:dyDescent="0.25">
      <c r="A620" s="3">
        <f>TITRES_STAT!B623</f>
        <v>45824</v>
      </c>
      <c r="B620" s="5">
        <f>TITRES_STAT!D623</f>
        <v>5.54</v>
      </c>
      <c r="C620" s="2">
        <f t="shared" si="69"/>
        <v>0</v>
      </c>
      <c r="D620" s="2">
        <f t="shared" si="70"/>
        <v>5.5849999999999991</v>
      </c>
      <c r="E620" s="2">
        <f t="shared" si="72"/>
        <v>5.5765000000000011</v>
      </c>
      <c r="F620" s="2">
        <f t="shared" si="73"/>
        <v>5.5845500000000001</v>
      </c>
      <c r="G620" s="2">
        <f t="shared" si="67"/>
        <v>5.5424200000000008</v>
      </c>
      <c r="H620" s="2">
        <f t="shared" si="71"/>
        <v>5.676215</v>
      </c>
      <c r="I620" s="2">
        <f t="array" ref="I620">SUMPRODUCT(B604:B623, (ROW(B604:B623)-ROW(B604)+1)) / (20*21/2)</f>
        <v>5.575338095238096</v>
      </c>
      <c r="J620" s="2">
        <f t="shared" si="74"/>
        <v>5.5759420663755419</v>
      </c>
      <c r="K620" s="2">
        <f t="shared" si="68"/>
        <v>5.5661703356262997</v>
      </c>
    </row>
    <row r="621" spans="1:11" ht="13.5" x14ac:dyDescent="0.25">
      <c r="A621" s="3">
        <f>TITRES_STAT!B624</f>
        <v>45825</v>
      </c>
      <c r="B621" s="5">
        <f>TITRES_STAT!D624</f>
        <v>5.54</v>
      </c>
      <c r="C621" s="2">
        <f t="shared" si="69"/>
        <v>0</v>
      </c>
      <c r="D621" s="2">
        <f t="shared" si="70"/>
        <v>5.5699999999999994</v>
      </c>
      <c r="E621" s="2">
        <f t="shared" si="72"/>
        <v>5.5690000000000008</v>
      </c>
      <c r="F621" s="2">
        <f t="shared" si="73"/>
        <v>5.5817500000000004</v>
      </c>
      <c r="G621" s="2">
        <f t="shared" si="67"/>
        <v>5.5443000000000016</v>
      </c>
      <c r="H621" s="2">
        <f t="shared" si="71"/>
        <v>5.6757450000000009</v>
      </c>
      <c r="I621" s="2">
        <f t="array" ref="I621">SUMPRODUCT(B605:B624, (ROW(B605:B624)-ROW(B605)+1)) / (20*21/2)</f>
        <v>5.5714047619047617</v>
      </c>
      <c r="J621" s="2">
        <f t="shared" si="74"/>
        <v>5.5725190124350146</v>
      </c>
      <c r="K621" s="2">
        <f t="shared" si="68"/>
        <v>5.5651440479546794</v>
      </c>
    </row>
    <row r="622" spans="1:11" ht="13.5" x14ac:dyDescent="0.25">
      <c r="A622" s="3">
        <f>TITRES_STAT!B625</f>
        <v>45826</v>
      </c>
      <c r="B622" s="5">
        <f>TITRES_STAT!D625</f>
        <v>5.5869999999999997</v>
      </c>
      <c r="C622" s="2">
        <f t="shared" si="69"/>
        <v>4.6999999999999709E-2</v>
      </c>
      <c r="D622" s="2">
        <f t="shared" si="70"/>
        <v>5.5644</v>
      </c>
      <c r="E622" s="2">
        <f t="shared" si="72"/>
        <v>5.5662000000000003</v>
      </c>
      <c r="F622" s="2">
        <f t="shared" si="73"/>
        <v>5.5827000000000009</v>
      </c>
      <c r="G622" s="2">
        <f t="shared" si="67"/>
        <v>5.5475000000000012</v>
      </c>
      <c r="H622" s="2">
        <f t="shared" si="71"/>
        <v>5.6755100000000001</v>
      </c>
      <c r="I622" s="2">
        <f t="array" ref="I622">SUMPRODUCT(B606:B625, (ROW(B606:B625)-ROW(B606)+1)) / (20*21/2)</f>
        <v>5.571766666666667</v>
      </c>
      <c r="J622" s="2">
        <f t="shared" si="74"/>
        <v>5.5738981541078703</v>
      </c>
      <c r="K622" s="2">
        <f t="shared" si="68"/>
        <v>5.5660011441133195</v>
      </c>
    </row>
    <row r="623" spans="1:11" ht="13.5" x14ac:dyDescent="0.25">
      <c r="A623" s="3">
        <f>TITRES_STAT!B626</f>
        <v>45827</v>
      </c>
      <c r="B623" s="5">
        <f>TITRES_STAT!D626</f>
        <v>5.54</v>
      </c>
      <c r="C623" s="2">
        <f t="shared" si="69"/>
        <v>-4.6999999999999709E-2</v>
      </c>
      <c r="D623" s="2">
        <f t="shared" si="70"/>
        <v>5.5494000000000003</v>
      </c>
      <c r="E623" s="2">
        <f t="shared" si="72"/>
        <v>5.5681000000000003</v>
      </c>
      <c r="F623" s="2">
        <f t="shared" si="73"/>
        <v>5.5813000000000006</v>
      </c>
      <c r="G623" s="2">
        <f t="shared" si="67"/>
        <v>5.548440000000002</v>
      </c>
      <c r="H623" s="2">
        <f t="shared" si="71"/>
        <v>5.6748050000000001</v>
      </c>
      <c r="I623" s="2">
        <f t="array" ref="I623">SUMPRODUCT(B607:B626, (ROW(B607:B626)-ROW(B607)+1)) / (20*21/2)</f>
        <v>5.576604761904763</v>
      </c>
      <c r="J623" s="2">
        <f t="shared" si="74"/>
        <v>5.5706697584785498</v>
      </c>
      <c r="K623" s="2">
        <f t="shared" si="68"/>
        <v>5.5649814914029934</v>
      </c>
    </row>
    <row r="624" spans="1:11" ht="13.5" x14ac:dyDescent="0.25">
      <c r="A624" s="3">
        <f>TITRES_STAT!B627</f>
        <v>45828</v>
      </c>
      <c r="B624" s="5">
        <f>TITRES_STAT!D627</f>
        <v>5.54</v>
      </c>
      <c r="C624" s="2">
        <f t="shared" si="69"/>
        <v>0</v>
      </c>
      <c r="D624" s="2">
        <f t="shared" si="70"/>
        <v>5.5494000000000003</v>
      </c>
      <c r="E624" s="2">
        <f t="shared" si="72"/>
        <v>5.57</v>
      </c>
      <c r="F624" s="2">
        <f t="shared" si="73"/>
        <v>5.5832000000000015</v>
      </c>
      <c r="G624" s="2">
        <f t="shared" si="67"/>
        <v>5.5493800000000011</v>
      </c>
      <c r="H624" s="2">
        <f t="shared" si="71"/>
        <v>5.6743350000000001</v>
      </c>
      <c r="I624" s="2">
        <f t="array" ref="I624">SUMPRODUCT(B608:B627, (ROW(B608:B627)-ROW(B608)+1)) / (20*21/2)</f>
        <v>5.5767428571428574</v>
      </c>
      <c r="J624" s="2">
        <f t="shared" si="74"/>
        <v>5.5677488290996404</v>
      </c>
      <c r="K624" s="2">
        <f t="shared" si="68"/>
        <v>5.564001825073464</v>
      </c>
    </row>
    <row r="625" spans="1:11" ht="13.5" x14ac:dyDescent="0.25">
      <c r="A625" s="3">
        <f>TITRES_STAT!B628</f>
        <v>45831</v>
      </c>
      <c r="B625" s="5">
        <f>TITRES_STAT!D628</f>
        <v>5.5869999999999997</v>
      </c>
      <c r="C625" s="2">
        <f t="shared" si="69"/>
        <v>4.6999999999999709E-2</v>
      </c>
      <c r="D625" s="2">
        <f t="shared" si="70"/>
        <v>5.5587999999999997</v>
      </c>
      <c r="E625" s="2">
        <f t="shared" si="72"/>
        <v>5.5718999999999994</v>
      </c>
      <c r="F625" s="2">
        <f t="shared" si="73"/>
        <v>5.5832000000000015</v>
      </c>
      <c r="G625" s="2">
        <f t="shared" si="67"/>
        <v>5.5531400000000009</v>
      </c>
      <c r="H625" s="2">
        <f t="shared" si="71"/>
        <v>5.6739599999999992</v>
      </c>
      <c r="I625" s="2">
        <f t="array" ref="I625">SUMPRODUCT(B609:B628, (ROW(B609:B628)-ROW(B609)+1)) / (20*21/2)</f>
        <v>5.5707761904761908</v>
      </c>
      <c r="J625" s="2">
        <f t="shared" si="74"/>
        <v>5.5695822739472938</v>
      </c>
      <c r="K625" s="2">
        <f t="shared" si="68"/>
        <v>5.5649037142862694</v>
      </c>
    </row>
    <row r="626" spans="1:11" ht="13.5" x14ac:dyDescent="0.25">
      <c r="A626" s="3">
        <f>TITRES_STAT!B629</f>
        <v>45832</v>
      </c>
      <c r="B626" s="5">
        <f>TITRES_STAT!D629</f>
        <v>5.6340000000000003</v>
      </c>
      <c r="C626" s="2">
        <f t="shared" si="69"/>
        <v>4.7000000000000597E-2</v>
      </c>
      <c r="D626" s="2">
        <f t="shared" si="70"/>
        <v>5.5775999999999994</v>
      </c>
      <c r="E626" s="2">
        <f t="shared" si="72"/>
        <v>5.5738000000000003</v>
      </c>
      <c r="F626" s="2">
        <f t="shared" si="73"/>
        <v>5.5855500000000022</v>
      </c>
      <c r="G626" s="2">
        <f t="shared" ref="G626:G689" si="75">AVERAGE(B577:B626)</f>
        <v>5.5572800000000022</v>
      </c>
      <c r="H626" s="2">
        <f t="shared" si="71"/>
        <v>5.6739599999999992</v>
      </c>
      <c r="I626" s="2">
        <f t="array" ref="I626">SUMPRODUCT(B610:B629, (ROW(B610:B629)-ROW(B610)+1)) / (20*21/2)</f>
        <v>5.5653476190476185</v>
      </c>
      <c r="J626" s="2">
        <f t="shared" si="74"/>
        <v>5.5757172954761227</v>
      </c>
      <c r="K626" s="2">
        <f t="shared" si="68"/>
        <v>5.5676133725495527</v>
      </c>
    </row>
    <row r="627" spans="1:11" ht="13.5" x14ac:dyDescent="0.25">
      <c r="A627" s="3">
        <f>TITRES_STAT!B630</f>
        <v>45833</v>
      </c>
      <c r="B627" s="5">
        <f>TITRES_STAT!D630</f>
        <v>5.5869999999999997</v>
      </c>
      <c r="C627" s="2">
        <f t="shared" si="69"/>
        <v>-4.7000000000000597E-2</v>
      </c>
      <c r="D627" s="2">
        <f t="shared" si="70"/>
        <v>5.5776000000000003</v>
      </c>
      <c r="E627" s="2">
        <f t="shared" si="72"/>
        <v>5.5710000000000006</v>
      </c>
      <c r="F627" s="2">
        <f t="shared" si="73"/>
        <v>5.5836500000000022</v>
      </c>
      <c r="G627" s="2">
        <f t="shared" si="75"/>
        <v>5.5604800000000001</v>
      </c>
      <c r="H627" s="2">
        <f t="shared" si="71"/>
        <v>5.6737249999999992</v>
      </c>
      <c r="I627" s="2">
        <f t="array" ref="I627">SUMPRODUCT(B611:B630, (ROW(B611:B630)-ROW(B611)+1)) / (20*21/2)</f>
        <v>5.5595999999999997</v>
      </c>
      <c r="J627" s="2">
        <f t="shared" si="74"/>
        <v>5.5767918387641107</v>
      </c>
      <c r="K627" s="2">
        <f t="shared" ref="K627:K690" si="76">$K$4*B627+(1-$K$4)*K626</f>
        <v>5.5683736324495703</v>
      </c>
    </row>
    <row r="628" spans="1:11" ht="13.5" x14ac:dyDescent="0.25">
      <c r="A628" s="3">
        <f>TITRES_STAT!B631</f>
        <v>45835</v>
      </c>
      <c r="B628" s="5">
        <f>TITRES_STAT!D631</f>
        <v>5.5209999999999999</v>
      </c>
      <c r="C628" s="2">
        <f t="shared" si="69"/>
        <v>-6.5999999999999837E-2</v>
      </c>
      <c r="D628" s="2">
        <f t="shared" si="70"/>
        <v>5.5738000000000003</v>
      </c>
      <c r="E628" s="2">
        <f t="shared" si="72"/>
        <v>5.5616000000000003</v>
      </c>
      <c r="F628" s="2">
        <f t="shared" si="73"/>
        <v>5.5780000000000021</v>
      </c>
      <c r="G628" s="2">
        <f t="shared" si="75"/>
        <v>5.56236</v>
      </c>
      <c r="H628" s="2">
        <f t="shared" si="71"/>
        <v>5.6731599999999993</v>
      </c>
      <c r="I628" s="2">
        <f t="array" ref="I628">SUMPRODUCT(B612:B631, (ROW(B612:B631)-ROW(B612)+1)) / (20*21/2)</f>
        <v>5.5543904761904761</v>
      </c>
      <c r="J628" s="2">
        <f t="shared" si="74"/>
        <v>5.5714783303103852</v>
      </c>
      <c r="K628" s="2">
        <f t="shared" si="76"/>
        <v>5.5665158429417438</v>
      </c>
    </row>
    <row r="629" spans="1:11" ht="13.5" x14ac:dyDescent="0.25">
      <c r="A629" s="3">
        <f>TITRES_STAT!B632</f>
        <v>45838</v>
      </c>
      <c r="B629" s="5">
        <f>TITRES_STAT!D632</f>
        <v>5.5209999999999999</v>
      </c>
      <c r="C629" s="2">
        <f t="shared" si="69"/>
        <v>0</v>
      </c>
      <c r="D629" s="2">
        <f t="shared" si="70"/>
        <v>5.57</v>
      </c>
      <c r="E629" s="2">
        <f t="shared" si="72"/>
        <v>5.5597000000000012</v>
      </c>
      <c r="F629" s="2">
        <f t="shared" si="73"/>
        <v>5.5723500000000019</v>
      </c>
      <c r="G629" s="2">
        <f t="shared" si="75"/>
        <v>5.5642399999999999</v>
      </c>
      <c r="H629" s="2">
        <f t="shared" si="71"/>
        <v>5.6726899999999993</v>
      </c>
      <c r="I629" s="2">
        <f t="array" ref="I629">SUMPRODUCT(B613:B632, (ROW(B613:B632)-ROW(B613)+1)) / (20*21/2)</f>
        <v>5.5568142857142862</v>
      </c>
      <c r="J629" s="2">
        <f t="shared" si="74"/>
        <v>5.5666708702808245</v>
      </c>
      <c r="K629" s="2">
        <f t="shared" si="76"/>
        <v>5.5647309079244209</v>
      </c>
    </row>
    <row r="630" spans="1:11" ht="13.5" x14ac:dyDescent="0.25">
      <c r="A630" s="3">
        <f>TITRES_STAT!B633</f>
        <v>45839</v>
      </c>
      <c r="B630" s="5">
        <f>TITRES_STAT!D633</f>
        <v>5.5119999999999996</v>
      </c>
      <c r="C630" s="2">
        <f t="shared" si="69"/>
        <v>-9.0000000000003411E-3</v>
      </c>
      <c r="D630" s="2">
        <f t="shared" si="70"/>
        <v>5.5550000000000006</v>
      </c>
      <c r="E630" s="2">
        <f t="shared" si="72"/>
        <v>5.5569000000000006</v>
      </c>
      <c r="F630" s="2">
        <f t="shared" si="73"/>
        <v>5.5667000000000018</v>
      </c>
      <c r="G630" s="2">
        <f t="shared" si="75"/>
        <v>5.5655600000000005</v>
      </c>
      <c r="H630" s="2">
        <f t="shared" si="71"/>
        <v>5.6721749999999984</v>
      </c>
      <c r="I630" s="2">
        <f t="array" ref="I630">SUMPRODUCT(B614:B633, (ROW(B614:B633)-ROW(B614)+1)) / (20*21/2)</f>
        <v>5.5720380952380948</v>
      </c>
      <c r="J630" s="2">
        <f t="shared" si="74"/>
        <v>5.5614641207302693</v>
      </c>
      <c r="K630" s="2">
        <f t="shared" si="76"/>
        <v>5.5626630291822874</v>
      </c>
    </row>
    <row r="631" spans="1:11" ht="13.5" x14ac:dyDescent="0.25">
      <c r="A631" s="3">
        <f>TITRES_STAT!B634</f>
        <v>45840</v>
      </c>
      <c r="B631" s="5">
        <f>TITRES_STAT!D634</f>
        <v>5.5119999999999996</v>
      </c>
      <c r="C631" s="2">
        <f t="shared" si="69"/>
        <v>0</v>
      </c>
      <c r="D631" s="2">
        <f t="shared" si="70"/>
        <v>5.5306000000000006</v>
      </c>
      <c r="E631" s="2">
        <f t="shared" si="72"/>
        <v>5.5541</v>
      </c>
      <c r="F631" s="2">
        <f t="shared" si="73"/>
        <v>5.5615500000000013</v>
      </c>
      <c r="G631" s="2">
        <f t="shared" si="75"/>
        <v>5.5668800000000003</v>
      </c>
      <c r="H631" s="2">
        <f t="shared" si="71"/>
        <v>5.6716599999999984</v>
      </c>
      <c r="I631" s="2">
        <f t="array" ref="I631">SUMPRODUCT(B615:B634, (ROW(B615:B634)-ROW(B615)+1)) / (20*21/2)</f>
        <v>5.5863142857142867</v>
      </c>
      <c r="J631" s="2">
        <f t="shared" si="74"/>
        <v>5.5567532520892913</v>
      </c>
      <c r="K631" s="2">
        <f t="shared" si="76"/>
        <v>5.560676243724159</v>
      </c>
    </row>
    <row r="632" spans="1:11" ht="13.5" x14ac:dyDescent="0.25">
      <c r="A632" s="3">
        <f>TITRES_STAT!B635</f>
        <v>45841</v>
      </c>
      <c r="B632" s="5">
        <f>TITRES_STAT!D635</f>
        <v>5.5869999999999997</v>
      </c>
      <c r="C632" s="2">
        <f t="shared" si="69"/>
        <v>7.5000000000000178E-2</v>
      </c>
      <c r="D632" s="2">
        <f t="shared" si="70"/>
        <v>5.5305999999999997</v>
      </c>
      <c r="E632" s="2">
        <f t="shared" si="72"/>
        <v>5.5541</v>
      </c>
      <c r="F632" s="2">
        <f t="shared" si="73"/>
        <v>5.560150000000001</v>
      </c>
      <c r="G632" s="2">
        <f t="shared" si="75"/>
        <v>5.5687600000000002</v>
      </c>
      <c r="H632" s="2">
        <f t="shared" si="71"/>
        <v>5.6715199999999983</v>
      </c>
      <c r="I632" s="2">
        <f t="array" ref="I632">SUMPRODUCT(B616:B635, (ROW(B616:B635)-ROW(B616)+1)) / (20*21/2)</f>
        <v>5.6025</v>
      </c>
      <c r="J632" s="2">
        <f t="shared" si="74"/>
        <v>5.5596338947474537</v>
      </c>
      <c r="K632" s="2">
        <f t="shared" si="76"/>
        <v>5.5617085478918398</v>
      </c>
    </row>
    <row r="633" spans="1:11" ht="13.5" x14ac:dyDescent="0.25">
      <c r="A633" s="3">
        <f>TITRES_STAT!B636</f>
        <v>45842</v>
      </c>
      <c r="B633" s="5">
        <f>TITRES_STAT!D636</f>
        <v>5.72</v>
      </c>
      <c r="C633" s="2">
        <f t="shared" si="69"/>
        <v>0.13300000000000001</v>
      </c>
      <c r="D633" s="2">
        <f t="shared" si="70"/>
        <v>5.5703999999999994</v>
      </c>
      <c r="E633" s="2">
        <f t="shared" si="72"/>
        <v>5.5721000000000007</v>
      </c>
      <c r="F633" s="2">
        <f t="shared" si="73"/>
        <v>5.5701000000000009</v>
      </c>
      <c r="G633" s="2">
        <f t="shared" si="75"/>
        <v>5.5704799999999999</v>
      </c>
      <c r="H633" s="2">
        <f t="shared" si="71"/>
        <v>5.671949999999998</v>
      </c>
      <c r="I633" s="2">
        <f t="array" ref="I633">SUMPRODUCT(B617:B636, (ROW(B617:B636)-ROW(B617)+1)) / (20*21/2)</f>
        <v>5.6130571428571425</v>
      </c>
      <c r="J633" s="2">
        <f t="shared" si="74"/>
        <v>5.5749068571524578</v>
      </c>
      <c r="K633" s="2">
        <f t="shared" si="76"/>
        <v>5.5679160558176504</v>
      </c>
    </row>
    <row r="634" spans="1:11" ht="13.5" x14ac:dyDescent="0.25">
      <c r="A634" s="3">
        <f>TITRES_STAT!B637</f>
        <v>45845</v>
      </c>
      <c r="B634" s="5">
        <f>TITRES_STAT!D637</f>
        <v>5.72</v>
      </c>
      <c r="C634" s="2">
        <f t="shared" si="69"/>
        <v>0</v>
      </c>
      <c r="D634" s="2">
        <f t="shared" si="70"/>
        <v>5.610199999999999</v>
      </c>
      <c r="E634" s="2">
        <f t="shared" si="72"/>
        <v>5.5900999999999996</v>
      </c>
      <c r="F634" s="2">
        <f t="shared" si="73"/>
        <v>5.5800500000000008</v>
      </c>
      <c r="G634" s="2">
        <f t="shared" si="75"/>
        <v>5.5765200000000004</v>
      </c>
      <c r="H634" s="2">
        <f t="shared" si="71"/>
        <v>5.6723799999999995</v>
      </c>
      <c r="I634" s="2">
        <f t="array" ref="I634">SUMPRODUCT(B618:B637, (ROW(B618:B637)-ROW(B618)+1)) / (20*21/2)</f>
        <v>5.6232095238095239</v>
      </c>
      <c r="J634" s="2">
        <f t="shared" si="74"/>
        <v>5.5887252517093664</v>
      </c>
      <c r="K634" s="2">
        <f t="shared" si="76"/>
        <v>5.5738801320600961</v>
      </c>
    </row>
    <row r="635" spans="1:11" ht="13.5" x14ac:dyDescent="0.25">
      <c r="A635" s="3">
        <f>TITRES_STAT!B638</f>
        <v>45846</v>
      </c>
      <c r="B635" s="5">
        <f>TITRES_STAT!D638</f>
        <v>5.75</v>
      </c>
      <c r="C635" s="2">
        <f t="shared" si="69"/>
        <v>3.0000000000000249E-2</v>
      </c>
      <c r="D635" s="2">
        <f t="shared" si="70"/>
        <v>5.6577999999999999</v>
      </c>
      <c r="E635" s="2">
        <f t="shared" si="72"/>
        <v>5.6063999999999989</v>
      </c>
      <c r="F635" s="2">
        <f t="shared" si="73"/>
        <v>5.5891500000000001</v>
      </c>
      <c r="G635" s="2">
        <f t="shared" si="75"/>
        <v>5.5790200000000008</v>
      </c>
      <c r="H635" s="2">
        <f t="shared" si="71"/>
        <v>5.672959999999998</v>
      </c>
      <c r="I635" s="2">
        <f t="array" ref="I635">SUMPRODUCT(B619:B638, (ROW(B619:B638)-ROW(B619)+1)) / (20*21/2)</f>
        <v>5.6310523809523811</v>
      </c>
      <c r="J635" s="2">
        <f t="shared" si="74"/>
        <v>5.6040847515465693</v>
      </c>
      <c r="K635" s="2">
        <f t="shared" si="76"/>
        <v>5.5807867935479356</v>
      </c>
    </row>
    <row r="636" spans="1:11" ht="13.5" x14ac:dyDescent="0.25">
      <c r="A636" s="3">
        <f>TITRES_STAT!B639</f>
        <v>45847</v>
      </c>
      <c r="B636" s="5">
        <f>TITRES_STAT!D639</f>
        <v>5.7</v>
      </c>
      <c r="C636" s="2">
        <f t="shared" si="69"/>
        <v>-4.9999999999999822E-2</v>
      </c>
      <c r="D636" s="2">
        <f t="shared" si="70"/>
        <v>5.6953999999999994</v>
      </c>
      <c r="E636" s="2">
        <f t="shared" si="72"/>
        <v>5.6130000000000004</v>
      </c>
      <c r="F636" s="2">
        <f t="shared" si="73"/>
        <v>5.5934000000000008</v>
      </c>
      <c r="G636" s="2">
        <f t="shared" si="75"/>
        <v>5.5818399999999997</v>
      </c>
      <c r="H636" s="2">
        <f t="shared" si="71"/>
        <v>5.6732899999999997</v>
      </c>
      <c r="I636" s="2">
        <f t="array" ref="I636">SUMPRODUCT(B620:B639, (ROW(B620:B639)-ROW(B620)+1)) / (20*21/2)</f>
        <v>5.6395380952380947</v>
      </c>
      <c r="J636" s="2">
        <f t="shared" si="74"/>
        <v>5.6132195371135625</v>
      </c>
      <c r="K636" s="2">
        <f t="shared" si="76"/>
        <v>5.585461821251938</v>
      </c>
    </row>
    <row r="637" spans="1:11" ht="13.5" x14ac:dyDescent="0.25">
      <c r="A637" s="3">
        <f>TITRES_STAT!B640</f>
        <v>45848</v>
      </c>
      <c r="B637" s="5">
        <f>TITRES_STAT!D640</f>
        <v>5.7</v>
      </c>
      <c r="C637" s="2">
        <f t="shared" si="69"/>
        <v>0</v>
      </c>
      <c r="D637" s="2">
        <f t="shared" si="70"/>
        <v>5.7179999999999991</v>
      </c>
      <c r="E637" s="2">
        <f t="shared" si="72"/>
        <v>5.6242999999999999</v>
      </c>
      <c r="F637" s="2">
        <f t="shared" si="73"/>
        <v>5.5976500000000007</v>
      </c>
      <c r="G637" s="2">
        <f t="shared" si="75"/>
        <v>5.5869199999999992</v>
      </c>
      <c r="H637" s="2">
        <f t="shared" si="71"/>
        <v>5.6731499999999997</v>
      </c>
      <c r="I637" s="2">
        <f t="array" ref="I637">SUMPRODUCT(B621:B640, (ROW(B621:B640)-ROW(B621)+1)) / (20*21/2)</f>
        <v>5.6454047619047625</v>
      </c>
      <c r="J637" s="2">
        <f t="shared" si="74"/>
        <v>5.6214843431027468</v>
      </c>
      <c r="K637" s="2">
        <f t="shared" si="76"/>
        <v>5.5899535145361758</v>
      </c>
    </row>
    <row r="638" spans="1:11" ht="13.5" x14ac:dyDescent="0.25">
      <c r="A638" s="3">
        <f>TITRES_STAT!B641</f>
        <v>45849</v>
      </c>
      <c r="B638" s="5">
        <f>TITRES_STAT!D641</f>
        <v>5.68</v>
      </c>
      <c r="C638" s="2">
        <f t="shared" si="69"/>
        <v>-2.0000000000000462E-2</v>
      </c>
      <c r="D638" s="2">
        <f t="shared" si="70"/>
        <v>5.7099999999999991</v>
      </c>
      <c r="E638" s="2">
        <f t="shared" si="72"/>
        <v>5.6402000000000001</v>
      </c>
      <c r="F638" s="2">
        <f t="shared" si="73"/>
        <v>5.6009000000000002</v>
      </c>
      <c r="G638" s="2">
        <f t="shared" si="75"/>
        <v>5.5915999999999988</v>
      </c>
      <c r="H638" s="2">
        <f t="shared" si="71"/>
        <v>5.6727250000000007</v>
      </c>
      <c r="I638" s="2">
        <f t="array" ref="I638">SUMPRODUCT(B622:B641, (ROW(B622:B641)-ROW(B622)+1)) / (20*21/2)</f>
        <v>5.6506523809523808</v>
      </c>
      <c r="J638" s="2">
        <f t="shared" si="74"/>
        <v>5.6270572628072468</v>
      </c>
      <c r="K638" s="2">
        <f t="shared" si="76"/>
        <v>5.5934847492602477</v>
      </c>
    </row>
    <row r="639" spans="1:11" ht="13.5" x14ac:dyDescent="0.25">
      <c r="A639" s="3">
        <f>TITRES_STAT!B642</f>
        <v>45852</v>
      </c>
      <c r="B639" s="5">
        <f>TITRES_STAT!D642</f>
        <v>5.69</v>
      </c>
      <c r="C639" s="2">
        <f t="shared" si="69"/>
        <v>1.0000000000000675E-2</v>
      </c>
      <c r="D639" s="2">
        <f t="shared" si="70"/>
        <v>5.7039999999999997</v>
      </c>
      <c r="E639" s="2">
        <f t="shared" si="72"/>
        <v>5.6570999999999998</v>
      </c>
      <c r="F639" s="2">
        <f t="shared" si="73"/>
        <v>5.6084000000000005</v>
      </c>
      <c r="G639" s="2">
        <f t="shared" si="75"/>
        <v>5.5927199999999981</v>
      </c>
      <c r="H639" s="2">
        <f t="shared" si="71"/>
        <v>5.6723000000000017</v>
      </c>
      <c r="I639" s="2">
        <f t="array" ref="I639">SUMPRODUCT(B623:B642, (ROW(B623:B642)-ROW(B623)+1)) / (20*21/2)</f>
        <v>5.6543285714285716</v>
      </c>
      <c r="J639" s="2">
        <f t="shared" si="74"/>
        <v>5.6330518092065569</v>
      </c>
      <c r="K639" s="2">
        <f t="shared" si="76"/>
        <v>5.5972696610539643</v>
      </c>
    </row>
    <row r="640" spans="1:11" ht="13.5" x14ac:dyDescent="0.25">
      <c r="A640" s="3">
        <f>TITRES_STAT!B643</f>
        <v>45853</v>
      </c>
      <c r="B640" s="5">
        <f>TITRES_STAT!D643</f>
        <v>5.67</v>
      </c>
      <c r="C640" s="2">
        <f t="shared" si="69"/>
        <v>-2.0000000000000462E-2</v>
      </c>
      <c r="D640" s="2">
        <f t="shared" si="70"/>
        <v>5.6879999999999997</v>
      </c>
      <c r="E640" s="2">
        <f t="shared" si="72"/>
        <v>5.6729000000000003</v>
      </c>
      <c r="F640" s="2">
        <f t="shared" si="73"/>
        <v>5.6149000000000004</v>
      </c>
      <c r="G640" s="2">
        <f t="shared" si="75"/>
        <v>5.5934399999999984</v>
      </c>
      <c r="H640" s="2">
        <f t="shared" si="71"/>
        <v>5.6717750000000011</v>
      </c>
      <c r="I640" s="2">
        <f t="array" ref="I640">SUMPRODUCT(B624:B643, (ROW(B624:B643)-ROW(B624)+1)) / (20*21/2)</f>
        <v>5.6614666666666658</v>
      </c>
      <c r="J640" s="2">
        <f t="shared" si="74"/>
        <v>5.6365706845202181</v>
      </c>
      <c r="K640" s="2">
        <f t="shared" si="76"/>
        <v>5.6001218312087113</v>
      </c>
    </row>
    <row r="641" spans="1:11" ht="13.5" x14ac:dyDescent="0.25">
      <c r="A641" s="3">
        <f>TITRES_STAT!B644</f>
        <v>45854</v>
      </c>
      <c r="B641" s="5">
        <f>TITRES_STAT!D644</f>
        <v>5.67</v>
      </c>
      <c r="C641" s="2">
        <f t="shared" si="69"/>
        <v>0</v>
      </c>
      <c r="D641" s="2">
        <f t="shared" si="70"/>
        <v>5.6820000000000004</v>
      </c>
      <c r="E641" s="2">
        <f t="shared" si="72"/>
        <v>5.6886999999999999</v>
      </c>
      <c r="F641" s="2">
        <f t="shared" si="73"/>
        <v>5.6213999999999995</v>
      </c>
      <c r="G641" s="2">
        <f t="shared" si="75"/>
        <v>5.5941599999999987</v>
      </c>
      <c r="H641" s="2">
        <f t="shared" si="71"/>
        <v>5.6713000000000022</v>
      </c>
      <c r="I641" s="2">
        <f t="array" ref="I641">SUMPRODUCT(B625:B644, (ROW(B625:B644)-ROW(B625)+1)) / (20*21/2)</f>
        <v>5.6678428571428574</v>
      </c>
      <c r="J641" s="2">
        <f t="shared" si="74"/>
        <v>5.6397544288516261</v>
      </c>
      <c r="K641" s="2">
        <f t="shared" si="76"/>
        <v>5.6028621515534685</v>
      </c>
    </row>
    <row r="642" spans="1:11" ht="13.5" x14ac:dyDescent="0.25">
      <c r="A642" s="3">
        <f>TITRES_STAT!B645</f>
        <v>45855</v>
      </c>
      <c r="B642" s="5">
        <f>TITRES_STAT!D645</f>
        <v>5.66</v>
      </c>
      <c r="C642" s="2">
        <f t="shared" si="69"/>
        <v>-9.9999999999997868E-3</v>
      </c>
      <c r="D642" s="2">
        <f t="shared" si="70"/>
        <v>5.6740000000000004</v>
      </c>
      <c r="E642" s="2">
        <f t="shared" si="72"/>
        <v>5.6959999999999997</v>
      </c>
      <c r="F642" s="2">
        <f t="shared" si="73"/>
        <v>5.6250499999999999</v>
      </c>
      <c r="G642" s="2">
        <f t="shared" si="75"/>
        <v>5.5946799999999994</v>
      </c>
      <c r="H642" s="2">
        <f t="shared" si="71"/>
        <v>5.6707250000000018</v>
      </c>
      <c r="I642" s="2">
        <f t="array" ref="I642">SUMPRODUCT(B626:B645, (ROW(B626:B645)-ROW(B626)+1)) / (20*21/2)</f>
        <v>5.6734571428571421</v>
      </c>
      <c r="J642" s="2">
        <f t="shared" si="74"/>
        <v>5.6416825784848044</v>
      </c>
      <c r="K642" s="2">
        <f t="shared" si="76"/>
        <v>5.6051028514925481</v>
      </c>
    </row>
    <row r="643" spans="1:11" ht="13.5" x14ac:dyDescent="0.25">
      <c r="A643" s="3">
        <f>TITRES_STAT!B646</f>
        <v>45856</v>
      </c>
      <c r="B643" s="5">
        <f>TITRES_STAT!D646</f>
        <v>5.7</v>
      </c>
      <c r="C643" s="2">
        <f t="shared" si="69"/>
        <v>4.0000000000000036E-2</v>
      </c>
      <c r="D643" s="2">
        <f t="shared" si="70"/>
        <v>5.6779999999999999</v>
      </c>
      <c r="E643" s="2">
        <f t="shared" si="72"/>
        <v>5.694</v>
      </c>
      <c r="F643" s="2">
        <f t="shared" si="73"/>
        <v>5.6330500000000008</v>
      </c>
      <c r="G643" s="2">
        <f t="shared" si="75"/>
        <v>5.5982599999999989</v>
      </c>
      <c r="H643" s="2">
        <f t="shared" si="71"/>
        <v>5.6701150000000027</v>
      </c>
      <c r="I643" s="2">
        <f t="array" ref="I643">SUMPRODUCT(B627:B646, (ROW(B627:B646)-ROW(B627)+1)) / (20*21/2)</f>
        <v>5.6775809523809517</v>
      </c>
      <c r="J643" s="2">
        <f t="shared" si="74"/>
        <v>5.6472366186291083</v>
      </c>
      <c r="K643" s="2">
        <f t="shared" si="76"/>
        <v>5.6088243082967617</v>
      </c>
    </row>
    <row r="644" spans="1:11" ht="13.5" x14ac:dyDescent="0.25">
      <c r="A644" s="3">
        <f>TITRES_STAT!B647</f>
        <v>45859</v>
      </c>
      <c r="B644" s="5">
        <f>TITRES_STAT!D647</f>
        <v>5.7</v>
      </c>
      <c r="C644" s="2">
        <f t="shared" ref="C644:C691" si="77">B644-B643</f>
        <v>0</v>
      </c>
      <c r="D644" s="2">
        <f t="shared" si="70"/>
        <v>5.68</v>
      </c>
      <c r="E644" s="2">
        <f t="shared" si="72"/>
        <v>5.6920000000000002</v>
      </c>
      <c r="F644" s="2">
        <f t="shared" si="73"/>
        <v>5.6410499999999999</v>
      </c>
      <c r="G644" s="2">
        <f t="shared" si="75"/>
        <v>5.6018399999999984</v>
      </c>
      <c r="H644" s="2">
        <f t="shared" si="71"/>
        <v>5.6695050000000027</v>
      </c>
      <c r="I644" s="2">
        <f t="array" ref="I644">SUMPRODUCT(B628:B647, (ROW(B628:B647)-ROW(B628)+1)) / (20*21/2)</f>
        <v>5.678580952380953</v>
      </c>
      <c r="J644" s="2">
        <f t="shared" si="74"/>
        <v>5.6522617025691932</v>
      </c>
      <c r="K644" s="2">
        <f t="shared" si="76"/>
        <v>5.612399825618458</v>
      </c>
    </row>
    <row r="645" spans="1:11" ht="13.5" x14ac:dyDescent="0.25">
      <c r="A645" s="3">
        <f>TITRES_STAT!B648</f>
        <v>45860</v>
      </c>
      <c r="B645" s="5">
        <f>TITRES_STAT!D648</f>
        <v>5.7</v>
      </c>
      <c r="C645" s="2">
        <f t="shared" si="77"/>
        <v>0</v>
      </c>
      <c r="D645" s="2">
        <f t="shared" si="70"/>
        <v>5.6859999999999999</v>
      </c>
      <c r="E645" s="2">
        <f t="shared" si="72"/>
        <v>5.6870000000000003</v>
      </c>
      <c r="F645" s="2">
        <f t="shared" si="73"/>
        <v>5.6467000000000009</v>
      </c>
      <c r="G645" s="2">
        <f t="shared" si="75"/>
        <v>5.6050399999999971</v>
      </c>
      <c r="H645" s="2">
        <f t="shared" si="71"/>
        <v>5.6688950000000027</v>
      </c>
      <c r="I645" s="2">
        <f t="array" ref="I645">SUMPRODUCT(B629:B648, (ROW(B629:B648)-ROW(B629)+1)) / (20*21/2)</f>
        <v>5.682090476190476</v>
      </c>
      <c r="J645" s="2">
        <f t="shared" si="74"/>
        <v>5.6568082070864127</v>
      </c>
      <c r="K645" s="2">
        <f t="shared" si="76"/>
        <v>5.6158351265745967</v>
      </c>
    </row>
    <row r="646" spans="1:11" ht="13.5" x14ac:dyDescent="0.25">
      <c r="A646" s="3">
        <f>TITRES_STAT!B649</f>
        <v>45861</v>
      </c>
      <c r="B646" s="5">
        <f>TITRES_STAT!D649</f>
        <v>5.69</v>
      </c>
      <c r="C646" s="2">
        <f t="shared" si="77"/>
        <v>-9.9999999999997868E-3</v>
      </c>
      <c r="D646" s="2">
        <f t="shared" ref="D646:D691" si="78">AVERAGE(B642:B646)</f>
        <v>5.6899999999999995</v>
      </c>
      <c r="E646" s="2">
        <f t="shared" si="72"/>
        <v>5.6860000000000017</v>
      </c>
      <c r="F646" s="2">
        <f t="shared" si="73"/>
        <v>5.6495000000000006</v>
      </c>
      <c r="G646" s="2">
        <f t="shared" si="75"/>
        <v>5.6063399999999968</v>
      </c>
      <c r="H646" s="2">
        <f t="shared" si="71"/>
        <v>5.6682850000000045</v>
      </c>
      <c r="I646" s="2">
        <f t="array" ref="I646">SUMPRODUCT(B630:B649, (ROW(B630:B649)-ROW(B630)+1)) / (20*21/2)</f>
        <v>5.6819380952380953</v>
      </c>
      <c r="J646" s="2">
        <f t="shared" si="74"/>
        <v>5.6599693302210401</v>
      </c>
      <c r="K646" s="2">
        <f t="shared" si="76"/>
        <v>5.6187435529834371</v>
      </c>
    </row>
    <row r="647" spans="1:11" ht="13.5" x14ac:dyDescent="0.25">
      <c r="A647" s="3">
        <f>TITRES_STAT!B650</f>
        <v>45862</v>
      </c>
      <c r="B647" s="5">
        <f>TITRES_STAT!D650</f>
        <v>5.66</v>
      </c>
      <c r="C647" s="2">
        <f t="shared" si="77"/>
        <v>-3.0000000000000249E-2</v>
      </c>
      <c r="D647" s="2">
        <f t="shared" si="78"/>
        <v>5.69</v>
      </c>
      <c r="E647" s="2">
        <f t="shared" si="72"/>
        <v>5.6820000000000004</v>
      </c>
      <c r="F647" s="2">
        <f t="shared" si="73"/>
        <v>5.6531500000000001</v>
      </c>
      <c r="G647" s="2">
        <f t="shared" si="75"/>
        <v>5.6070399999999969</v>
      </c>
      <c r="H647" s="2">
        <f t="shared" si="71"/>
        <v>5.667710000000004</v>
      </c>
      <c r="I647" s="2">
        <f t="array" ref="I647">SUMPRODUCT(B631:B650, (ROW(B631:B650)-ROW(B631)+1)) / (20*21/2)</f>
        <v>5.6820761904761907</v>
      </c>
      <c r="J647" s="2">
        <f t="shared" si="74"/>
        <v>5.6599722511523698</v>
      </c>
      <c r="K647" s="2">
        <f t="shared" si="76"/>
        <v>5.6203614528664394</v>
      </c>
    </row>
    <row r="648" spans="1:11" ht="13.5" x14ac:dyDescent="0.25">
      <c r="A648" s="3">
        <f>TITRES_STAT!B651</f>
        <v>45866</v>
      </c>
      <c r="B648" s="5">
        <f>TITRES_STAT!D651</f>
        <v>5.69</v>
      </c>
      <c r="C648" s="2">
        <f t="shared" si="77"/>
        <v>3.0000000000000249E-2</v>
      </c>
      <c r="D648" s="2">
        <f t="shared" si="78"/>
        <v>5.6880000000000006</v>
      </c>
      <c r="E648" s="2">
        <f t="shared" si="72"/>
        <v>5.6829999999999998</v>
      </c>
      <c r="F648" s="2">
        <f t="shared" si="73"/>
        <v>5.6616</v>
      </c>
      <c r="G648" s="2">
        <f t="shared" si="75"/>
        <v>5.6083399999999974</v>
      </c>
      <c r="H648" s="2">
        <f t="shared" si="71"/>
        <v>5.6672850000000041</v>
      </c>
      <c r="I648" s="2">
        <f t="array" ref="I648">SUMPRODUCT(B632:B651, (ROW(B632:B651)-ROW(B632)+1)) / (20*21/2)</f>
        <v>5.681461904761905</v>
      </c>
      <c r="J648" s="2">
        <f t="shared" si="74"/>
        <v>5.6628320367569058</v>
      </c>
      <c r="K648" s="2">
        <f t="shared" si="76"/>
        <v>5.6230923762834415</v>
      </c>
    </row>
    <row r="649" spans="1:11" ht="13.5" x14ac:dyDescent="0.25">
      <c r="A649" s="3">
        <f>TITRES_STAT!B652</f>
        <v>45867</v>
      </c>
      <c r="B649" s="5">
        <f>TITRES_STAT!D652</f>
        <v>5.66</v>
      </c>
      <c r="C649" s="2">
        <f t="shared" si="77"/>
        <v>-3.0000000000000249E-2</v>
      </c>
      <c r="D649" s="2">
        <f t="shared" si="78"/>
        <v>5.6800000000000006</v>
      </c>
      <c r="E649" s="2">
        <f t="shared" si="72"/>
        <v>5.68</v>
      </c>
      <c r="F649" s="2">
        <f t="shared" si="73"/>
        <v>5.6685499999999998</v>
      </c>
      <c r="G649" s="2">
        <f t="shared" si="75"/>
        <v>5.611679999999998</v>
      </c>
      <c r="H649" s="2">
        <f t="shared" si="71"/>
        <v>5.6664750000000046</v>
      </c>
      <c r="I649" s="2">
        <f t="array" ref="I649">SUMPRODUCT(B633:B652, (ROW(B633:B652)-ROW(B633)+1)) / (20*21/2)</f>
        <v>5.682952380952381</v>
      </c>
      <c r="J649" s="2">
        <f t="shared" si="74"/>
        <v>5.662562318970533</v>
      </c>
      <c r="K649" s="2">
        <f t="shared" si="76"/>
        <v>5.6245397340762473</v>
      </c>
    </row>
    <row r="650" spans="1:11" ht="13.5" x14ac:dyDescent="0.25">
      <c r="A650" s="3">
        <f>TITRES_STAT!B653</f>
        <v>45868</v>
      </c>
      <c r="B650" s="5">
        <f>TITRES_STAT!D653</f>
        <v>5.67</v>
      </c>
      <c r="C650" s="2">
        <f t="shared" si="77"/>
        <v>9.9999999999997868E-3</v>
      </c>
      <c r="D650" s="2">
        <f t="shared" si="78"/>
        <v>5.6740000000000013</v>
      </c>
      <c r="E650" s="2">
        <f t="shared" si="72"/>
        <v>5.68</v>
      </c>
      <c r="F650" s="2">
        <f t="shared" si="73"/>
        <v>5.67645</v>
      </c>
      <c r="G650" s="2">
        <f t="shared" si="75"/>
        <v>5.6157799999999982</v>
      </c>
      <c r="H650" s="2">
        <f t="shared" ref="H650:H691" si="79">AVERAGE(B451:B650)</f>
        <v>5.6665150000000049</v>
      </c>
      <c r="I650" s="2">
        <f t="array" ref="I650">SUMPRODUCT(B634:B653, (ROW(B634:B653)-ROW(B634)+1)) / (20*21/2)</f>
        <v>5.6839047619047625</v>
      </c>
      <c r="J650" s="2">
        <f t="shared" si="74"/>
        <v>5.6632706695447679</v>
      </c>
      <c r="K650" s="2">
        <f t="shared" si="76"/>
        <v>5.6263224896026696</v>
      </c>
    </row>
    <row r="651" spans="1:11" ht="13.5" x14ac:dyDescent="0.25">
      <c r="A651" s="3">
        <f>TITRES_STAT!B654</f>
        <v>45869</v>
      </c>
      <c r="B651" s="5">
        <f>TITRES_STAT!D654</f>
        <v>5.67</v>
      </c>
      <c r="C651" s="2">
        <f t="shared" si="77"/>
        <v>0</v>
      </c>
      <c r="D651" s="2">
        <f t="shared" si="78"/>
        <v>5.67</v>
      </c>
      <c r="E651" s="2">
        <f t="shared" si="72"/>
        <v>5.68</v>
      </c>
      <c r="F651" s="2">
        <f t="shared" si="73"/>
        <v>5.6843500000000002</v>
      </c>
      <c r="G651" s="2">
        <f t="shared" si="75"/>
        <v>5.617259999999999</v>
      </c>
      <c r="H651" s="2">
        <f t="shared" si="79"/>
        <v>5.6659900000000052</v>
      </c>
      <c r="I651" s="2">
        <f t="array" ref="I651">SUMPRODUCT(B635:B654, (ROW(B635:B654)-ROW(B635)+1)) / (20*21/2)</f>
        <v>5.6754285714285722</v>
      </c>
      <c r="J651" s="2">
        <f t="shared" si="74"/>
        <v>5.6639115581595521</v>
      </c>
      <c r="K651" s="2">
        <f t="shared" si="76"/>
        <v>5.6280353331476629</v>
      </c>
    </row>
    <row r="652" spans="1:11" ht="13.5" x14ac:dyDescent="0.25">
      <c r="A652" s="3">
        <f>TITRES_STAT!B655</f>
        <v>45870</v>
      </c>
      <c r="B652" s="5">
        <f>TITRES_STAT!D655</f>
        <v>5.7</v>
      </c>
      <c r="C652" s="2">
        <f t="shared" si="77"/>
        <v>3.0000000000000249E-2</v>
      </c>
      <c r="D652" s="2">
        <f t="shared" si="78"/>
        <v>5.6780000000000008</v>
      </c>
      <c r="E652" s="2">
        <f t="shared" ref="E652:E691" si="80">AVERAGE(B643:B652)</f>
        <v>5.6840000000000002</v>
      </c>
      <c r="F652" s="2">
        <f t="shared" si="73"/>
        <v>5.6899999999999995</v>
      </c>
      <c r="G652" s="2">
        <f t="shared" si="75"/>
        <v>5.6198999999999986</v>
      </c>
      <c r="H652" s="2">
        <f t="shared" si="79"/>
        <v>5.6656150000000052</v>
      </c>
      <c r="I652" s="2">
        <f t="array" ref="I652">SUMPRODUCT(B636:B655, (ROW(B636:B655)-ROW(B636)+1)) / (20*21/2)</f>
        <v>5.6732380952380961</v>
      </c>
      <c r="J652" s="2">
        <f t="shared" si="74"/>
        <v>5.6673485526205472</v>
      </c>
      <c r="K652" s="2">
        <f t="shared" si="76"/>
        <v>5.6308574769457937</v>
      </c>
    </row>
    <row r="653" spans="1:11" ht="13.5" x14ac:dyDescent="0.25">
      <c r="A653" s="3">
        <f>TITRES_STAT!B656</f>
        <v>45873</v>
      </c>
      <c r="B653" s="5">
        <f>TITRES_STAT!D656</f>
        <v>5.7</v>
      </c>
      <c r="C653" s="2">
        <f t="shared" si="77"/>
        <v>0</v>
      </c>
      <c r="D653" s="2">
        <f t="shared" si="78"/>
        <v>5.68</v>
      </c>
      <c r="E653" s="2">
        <f t="shared" si="80"/>
        <v>5.6840000000000011</v>
      </c>
      <c r="F653" s="2">
        <f t="shared" si="73"/>
        <v>5.6890000000000001</v>
      </c>
      <c r="G653" s="2">
        <f t="shared" si="75"/>
        <v>5.6225399999999981</v>
      </c>
      <c r="H653" s="2">
        <f t="shared" si="79"/>
        <v>5.6648650000000043</v>
      </c>
      <c r="I653" s="2">
        <f t="array" ref="I653">SUMPRODUCT(B637:B656, (ROW(B637:B656)-ROW(B637)+1)) / (20*21/2)</f>
        <v>5.6705238095238091</v>
      </c>
      <c r="J653" s="2">
        <f t="shared" si="74"/>
        <v>5.6704582142757332</v>
      </c>
      <c r="K653" s="2">
        <f t="shared" si="76"/>
        <v>5.633568948438116</v>
      </c>
    </row>
    <row r="654" spans="1:11" ht="13.5" x14ac:dyDescent="0.25">
      <c r="A654" s="3">
        <f>TITRES_STAT!B657</f>
        <v>45874</v>
      </c>
      <c r="B654" s="5">
        <f>TITRES_STAT!D657</f>
        <v>5.6</v>
      </c>
      <c r="C654" s="2">
        <f t="shared" si="77"/>
        <v>-0.10000000000000053</v>
      </c>
      <c r="D654" s="2">
        <f t="shared" si="78"/>
        <v>5.6679999999999993</v>
      </c>
      <c r="E654" s="2">
        <f t="shared" si="80"/>
        <v>5.6740000000000013</v>
      </c>
      <c r="F654" s="2">
        <f t="shared" si="73"/>
        <v>5.6829999999999998</v>
      </c>
      <c r="G654" s="2">
        <f t="shared" si="75"/>
        <v>5.6244999999999985</v>
      </c>
      <c r="H654" s="2">
        <f t="shared" si="79"/>
        <v>5.6643200000000036</v>
      </c>
      <c r="I654" s="2">
        <f t="array" ref="I654">SUMPRODUCT(B638:B657, (ROW(B638:B657)-ROW(B638)+1)) / (20*21/2)</f>
        <v>5.6613809523809522</v>
      </c>
      <c r="J654" s="2">
        <f t="shared" si="74"/>
        <v>5.6637479081542343</v>
      </c>
      <c r="K654" s="2">
        <f t="shared" si="76"/>
        <v>5.6322525190876016</v>
      </c>
    </row>
    <row r="655" spans="1:11" ht="13.5" x14ac:dyDescent="0.25">
      <c r="A655" s="3">
        <f>TITRES_STAT!B658</f>
        <v>45875</v>
      </c>
      <c r="B655" s="5">
        <f>TITRES_STAT!D658</f>
        <v>5.66</v>
      </c>
      <c r="C655" s="2">
        <f t="shared" si="77"/>
        <v>6.0000000000000497E-2</v>
      </c>
      <c r="D655" s="2">
        <f t="shared" si="78"/>
        <v>5.6660000000000004</v>
      </c>
      <c r="E655" s="2">
        <f t="shared" si="80"/>
        <v>5.6700000000000017</v>
      </c>
      <c r="F655" s="2">
        <f t="shared" si="73"/>
        <v>5.6784999999999997</v>
      </c>
      <c r="G655" s="2">
        <f t="shared" si="75"/>
        <v>5.6259599999999992</v>
      </c>
      <c r="H655" s="2">
        <f t="shared" si="79"/>
        <v>5.6637450000000031</v>
      </c>
      <c r="I655" s="2">
        <f t="array" ref="I655">SUMPRODUCT(B639:B658, (ROW(B639:B658)-ROW(B639)+1)) / (20*21/2)</f>
        <v>5.6585238095238095</v>
      </c>
      <c r="J655" s="2">
        <f t="shared" si="74"/>
        <v>5.663390964520497</v>
      </c>
      <c r="K655" s="2">
        <f t="shared" si="76"/>
        <v>5.6333406555939698</v>
      </c>
    </row>
    <row r="656" spans="1:11" ht="13.5" x14ac:dyDescent="0.25">
      <c r="A656" s="3">
        <f>TITRES_STAT!B659</f>
        <v>45876</v>
      </c>
      <c r="B656" s="5">
        <f>TITRES_STAT!D659</f>
        <v>5.65</v>
      </c>
      <c r="C656" s="2">
        <f t="shared" si="77"/>
        <v>-9.9999999999997868E-3</v>
      </c>
      <c r="D656" s="2">
        <f t="shared" si="78"/>
        <v>5.6620000000000008</v>
      </c>
      <c r="E656" s="2">
        <f t="shared" si="80"/>
        <v>5.6660000000000004</v>
      </c>
      <c r="F656" s="2">
        <f t="shared" si="73"/>
        <v>5.6760000000000002</v>
      </c>
      <c r="G656" s="2">
        <f t="shared" si="75"/>
        <v>5.6272199999999986</v>
      </c>
      <c r="H656" s="2">
        <f t="shared" si="79"/>
        <v>5.6631200000000037</v>
      </c>
      <c r="I656" s="2">
        <f t="array" ref="I656">SUMPRODUCT(B640:B659, (ROW(B640:B659)-ROW(B640)+1)) / (20*21/2)</f>
        <v>5.6558571428571431</v>
      </c>
      <c r="J656" s="2">
        <f t="shared" si="74"/>
        <v>5.6621156345661641</v>
      </c>
      <c r="K656" s="2">
        <f t="shared" si="76"/>
        <v>5.633993963217736</v>
      </c>
    </row>
    <row r="657" spans="1:11" ht="13.5" x14ac:dyDescent="0.25">
      <c r="A657" s="3">
        <f>TITRES_STAT!B660</f>
        <v>45877</v>
      </c>
      <c r="B657" s="5">
        <f>TITRES_STAT!D660</f>
        <v>5.58</v>
      </c>
      <c r="C657" s="2">
        <f t="shared" si="77"/>
        <v>-7.0000000000000284E-2</v>
      </c>
      <c r="D657" s="2">
        <f t="shared" si="78"/>
        <v>5.6379999999999999</v>
      </c>
      <c r="E657" s="2">
        <f t="shared" si="80"/>
        <v>5.6580000000000004</v>
      </c>
      <c r="F657" s="2">
        <f t="shared" si="73"/>
        <v>5.67</v>
      </c>
      <c r="G657" s="2">
        <f t="shared" si="75"/>
        <v>5.626319999999998</v>
      </c>
      <c r="H657" s="2">
        <f t="shared" si="79"/>
        <v>5.6617700000000033</v>
      </c>
      <c r="I657" s="2">
        <f t="array" ref="I657">SUMPRODUCT(B641:B660, (ROW(B641:B660)-ROW(B641)+1)) / (20*21/2)</f>
        <v>5.6534285714285719</v>
      </c>
      <c r="J657" s="2">
        <f t="shared" si="74"/>
        <v>5.6542950979408149</v>
      </c>
      <c r="K657" s="2">
        <f t="shared" si="76"/>
        <v>5.6318765528954717</v>
      </c>
    </row>
    <row r="658" spans="1:11" ht="13.5" x14ac:dyDescent="0.25">
      <c r="A658" s="3">
        <f>TITRES_STAT!B661</f>
        <v>45880</v>
      </c>
      <c r="B658" s="5">
        <f>TITRES_STAT!D661</f>
        <v>5.64</v>
      </c>
      <c r="C658" s="2">
        <f t="shared" si="77"/>
        <v>5.9999999999999609E-2</v>
      </c>
      <c r="D658" s="2">
        <f t="shared" si="78"/>
        <v>5.6260000000000003</v>
      </c>
      <c r="E658" s="2">
        <f t="shared" si="80"/>
        <v>5.6529999999999996</v>
      </c>
      <c r="F658" s="2">
        <f t="shared" si="73"/>
        <v>5.6680000000000001</v>
      </c>
      <c r="G658" s="2">
        <f t="shared" si="75"/>
        <v>5.6264399999999979</v>
      </c>
      <c r="H658" s="2">
        <f t="shared" si="79"/>
        <v>5.6609100000000039</v>
      </c>
      <c r="I658" s="2">
        <f t="array" ref="I658">SUMPRODUCT(B642:B661, (ROW(B642:B661)-ROW(B642)+1)) / (20*21/2)</f>
        <v>5.6397142857142866</v>
      </c>
      <c r="J658" s="2">
        <f t="shared" si="74"/>
        <v>5.6529336600416897</v>
      </c>
      <c r="K658" s="2">
        <f t="shared" si="76"/>
        <v>5.63219511944859</v>
      </c>
    </row>
    <row r="659" spans="1:11" ht="13.5" x14ac:dyDescent="0.25">
      <c r="A659" s="3">
        <f>TITRES_STAT!B662</f>
        <v>45881</v>
      </c>
      <c r="B659" s="5">
        <f>TITRES_STAT!D662</f>
        <v>5.64</v>
      </c>
      <c r="C659" s="2">
        <f t="shared" si="77"/>
        <v>0</v>
      </c>
      <c r="D659" s="2">
        <f t="shared" si="78"/>
        <v>5.6340000000000003</v>
      </c>
      <c r="E659" s="2">
        <f t="shared" si="80"/>
        <v>5.6509999999999998</v>
      </c>
      <c r="F659" s="2">
        <f t="shared" si="73"/>
        <v>5.6654999999999998</v>
      </c>
      <c r="G659" s="2">
        <f t="shared" si="75"/>
        <v>5.626559999999996</v>
      </c>
      <c r="H659" s="2">
        <f t="shared" si="79"/>
        <v>5.6600000000000046</v>
      </c>
      <c r="I659" s="2">
        <f t="array" ref="I659">SUMPRODUCT(B643:B662, (ROW(B643:B662)-ROW(B643)+1)) / (20*21/2)</f>
        <v>5.6305238095238099</v>
      </c>
      <c r="J659" s="2">
        <f t="shared" si="74"/>
        <v>5.6517018828948622</v>
      </c>
      <c r="K659" s="2">
        <f t="shared" si="76"/>
        <v>5.6325011931957034</v>
      </c>
    </row>
    <row r="660" spans="1:11" ht="13.5" x14ac:dyDescent="0.25">
      <c r="A660" s="3">
        <f>TITRES_STAT!B663</f>
        <v>45883</v>
      </c>
      <c r="B660" s="5">
        <f>TITRES_STAT!D663</f>
        <v>5.64</v>
      </c>
      <c r="C660" s="2">
        <f t="shared" si="77"/>
        <v>0</v>
      </c>
      <c r="D660" s="2">
        <f t="shared" si="78"/>
        <v>5.6300000000000008</v>
      </c>
      <c r="E660" s="2">
        <f t="shared" si="80"/>
        <v>5.6480000000000006</v>
      </c>
      <c r="F660" s="2">
        <f t="shared" ref="F660:F691" si="81">AVERAGE(B641:B660)</f>
        <v>5.6639999999999997</v>
      </c>
      <c r="G660" s="2">
        <f t="shared" si="75"/>
        <v>5.6268599999999971</v>
      </c>
      <c r="H660" s="2">
        <f t="shared" si="79"/>
        <v>5.6593250000000044</v>
      </c>
      <c r="I660" s="2">
        <f t="array" ref="I660">SUMPRODUCT(B644:B663, (ROW(B644:B663)-ROW(B644)+1)) / (20*21/2)</f>
        <v>5.6341904761904766</v>
      </c>
      <c r="J660" s="2">
        <f t="shared" si="74"/>
        <v>5.6505874178572562</v>
      </c>
      <c r="K660" s="2">
        <f t="shared" si="76"/>
        <v>5.6327952640507739</v>
      </c>
    </row>
    <row r="661" spans="1:11" ht="13.5" x14ac:dyDescent="0.25">
      <c r="A661" s="3">
        <f>TITRES_STAT!B664</f>
        <v>45884</v>
      </c>
      <c r="B661" s="5">
        <f>TITRES_STAT!D664</f>
        <v>5.52</v>
      </c>
      <c r="C661" s="2">
        <f t="shared" si="77"/>
        <v>-0.12000000000000011</v>
      </c>
      <c r="D661" s="2">
        <f t="shared" si="78"/>
        <v>5.6040000000000001</v>
      </c>
      <c r="E661" s="2">
        <f t="shared" si="80"/>
        <v>5.633</v>
      </c>
      <c r="F661" s="2">
        <f t="shared" si="81"/>
        <v>5.6564999999999994</v>
      </c>
      <c r="G661" s="2">
        <f t="shared" si="75"/>
        <v>5.6249599999999962</v>
      </c>
      <c r="H661" s="2">
        <f t="shared" si="79"/>
        <v>5.6575800000000038</v>
      </c>
      <c r="I661" s="2">
        <f t="array" ref="I661">SUMPRODUCT(B645:B664, (ROW(B645:B664)-ROW(B645)+1)) / (20*21/2)</f>
        <v>5.6426666666666678</v>
      </c>
      <c r="J661" s="2">
        <f t="shared" ref="J661:J691" si="82">$J$4*B661+J660*(1-$J$4)</f>
        <v>5.6381505209184697</v>
      </c>
      <c r="K661" s="2">
        <f t="shared" si="76"/>
        <v>5.6283719203625084</v>
      </c>
    </row>
    <row r="662" spans="1:11" ht="13.5" x14ac:dyDescent="0.25">
      <c r="A662" s="3">
        <f>TITRES_STAT!B665</f>
        <v>45887</v>
      </c>
      <c r="B662" s="5">
        <f>TITRES_STAT!D665</f>
        <v>5.56</v>
      </c>
      <c r="C662" s="2">
        <f t="shared" si="77"/>
        <v>4.0000000000000036E-2</v>
      </c>
      <c r="D662" s="2">
        <f t="shared" si="78"/>
        <v>5.6</v>
      </c>
      <c r="E662" s="2">
        <f t="shared" si="80"/>
        <v>5.6189999999999998</v>
      </c>
      <c r="F662" s="2">
        <f t="shared" si="81"/>
        <v>5.6515000000000004</v>
      </c>
      <c r="G662" s="2">
        <f t="shared" si="75"/>
        <v>5.623859999999997</v>
      </c>
      <c r="H662" s="2">
        <f t="shared" si="79"/>
        <v>5.6560350000000037</v>
      </c>
      <c r="I662" s="2">
        <f t="array" ref="I662">SUMPRODUCT(B646:B665, (ROW(B646:B665)-ROW(B646)+1)) / (20*21/2)</f>
        <v>5.6509523809523809</v>
      </c>
      <c r="J662" s="2">
        <f t="shared" si="82"/>
        <v>5.6307076141643293</v>
      </c>
      <c r="K662" s="2">
        <f t="shared" si="76"/>
        <v>5.6256906685835864</v>
      </c>
    </row>
    <row r="663" spans="1:11" ht="13.5" x14ac:dyDescent="0.25">
      <c r="A663" s="3">
        <f>TITRES_STAT!B666</f>
        <v>45888</v>
      </c>
      <c r="B663" s="5">
        <f>TITRES_STAT!D666</f>
        <v>5.69</v>
      </c>
      <c r="C663" s="2">
        <f t="shared" si="77"/>
        <v>0.13000000000000078</v>
      </c>
      <c r="D663" s="2">
        <f t="shared" si="78"/>
        <v>5.6099999999999994</v>
      </c>
      <c r="E663" s="2">
        <f t="shared" si="80"/>
        <v>5.6180000000000003</v>
      </c>
      <c r="F663" s="2">
        <f t="shared" si="81"/>
        <v>5.6510000000000007</v>
      </c>
      <c r="G663" s="2">
        <f t="shared" si="75"/>
        <v>5.6272399999999969</v>
      </c>
      <c r="H663" s="2">
        <f t="shared" si="79"/>
        <v>5.6551400000000038</v>
      </c>
      <c r="I663" s="2">
        <f t="array" ref="I663">SUMPRODUCT(B647:B666, (ROW(B647:B666)-ROW(B647)+1)) / (20*21/2)</f>
        <v>5.6590476190476195</v>
      </c>
      <c r="J663" s="2">
        <f t="shared" si="82"/>
        <v>5.636354508053441</v>
      </c>
      <c r="K663" s="2">
        <f t="shared" si="76"/>
        <v>5.6282126031489366</v>
      </c>
    </row>
    <row r="664" spans="1:11" ht="13.5" x14ac:dyDescent="0.25">
      <c r="A664" s="3">
        <f>TITRES_STAT!B667</f>
        <v>45889</v>
      </c>
      <c r="B664" s="5">
        <f>TITRES_STAT!D667</f>
        <v>5.74</v>
      </c>
      <c r="C664" s="2">
        <f t="shared" si="77"/>
        <v>4.9999999999999822E-2</v>
      </c>
      <c r="D664" s="2">
        <f t="shared" si="78"/>
        <v>5.63</v>
      </c>
      <c r="E664" s="2">
        <f t="shared" si="80"/>
        <v>5.6319999999999997</v>
      </c>
      <c r="F664" s="2">
        <f t="shared" si="81"/>
        <v>5.6530000000000005</v>
      </c>
      <c r="G664" s="2">
        <f t="shared" si="75"/>
        <v>5.6316199999999972</v>
      </c>
      <c r="H664" s="2">
        <f t="shared" si="79"/>
        <v>5.6544950000000052</v>
      </c>
      <c r="I664" s="2">
        <f t="array" ref="I664">SUMPRODUCT(B648:B667, (ROW(B648:B667)-ROW(B648)+1)) / (20*21/2)</f>
        <v>5.663095238095238</v>
      </c>
      <c r="J664" s="2">
        <f t="shared" si="82"/>
        <v>5.6462255072864469</v>
      </c>
      <c r="K664" s="2">
        <f t="shared" si="76"/>
        <v>5.6325964226332914</v>
      </c>
    </row>
    <row r="665" spans="1:11" ht="13.5" x14ac:dyDescent="0.25">
      <c r="A665" s="3">
        <f>TITRES_STAT!B668</f>
        <v>45890</v>
      </c>
      <c r="B665" s="5">
        <f>TITRES_STAT!D668</f>
        <v>5.74</v>
      </c>
      <c r="C665" s="2">
        <f t="shared" si="77"/>
        <v>0</v>
      </c>
      <c r="D665" s="2">
        <f t="shared" si="78"/>
        <v>5.65</v>
      </c>
      <c r="E665" s="2">
        <f t="shared" si="80"/>
        <v>5.6400000000000006</v>
      </c>
      <c r="F665" s="2">
        <f t="shared" si="81"/>
        <v>5.6550000000000002</v>
      </c>
      <c r="G665" s="2">
        <f t="shared" si="75"/>
        <v>5.6350599999999975</v>
      </c>
      <c r="H665" s="2">
        <f t="shared" si="79"/>
        <v>5.6540850000000047</v>
      </c>
      <c r="I665" s="2">
        <f t="array" ref="I665">SUMPRODUCT(B649:B668, (ROW(B649:B668)-ROW(B649)+1)) / (20*21/2)</f>
        <v>5.6669523809523819</v>
      </c>
      <c r="J665" s="2">
        <f t="shared" si="82"/>
        <v>5.6551564113544046</v>
      </c>
      <c r="K665" s="2">
        <f t="shared" si="76"/>
        <v>5.6368083276280636</v>
      </c>
    </row>
    <row r="666" spans="1:11" ht="13.5" x14ac:dyDescent="0.25">
      <c r="A666" s="3">
        <f>TITRES_STAT!B669</f>
        <v>45891</v>
      </c>
      <c r="B666" s="5">
        <f>TITRES_STAT!D669</f>
        <v>5.74</v>
      </c>
      <c r="C666" s="2">
        <f t="shared" si="77"/>
        <v>0</v>
      </c>
      <c r="D666" s="2">
        <f t="shared" si="78"/>
        <v>5.6940000000000008</v>
      </c>
      <c r="E666" s="2">
        <f t="shared" si="80"/>
        <v>5.649</v>
      </c>
      <c r="F666" s="2">
        <f t="shared" si="81"/>
        <v>5.6574999999999989</v>
      </c>
      <c r="G666" s="2">
        <f t="shared" si="75"/>
        <v>5.637559999999997</v>
      </c>
      <c r="H666" s="2">
        <f t="shared" si="79"/>
        <v>5.6536750000000042</v>
      </c>
      <c r="I666" s="2">
        <f t="array" ref="I666">SUMPRODUCT(B650:B669, (ROW(B650:B669)-ROW(B650)+1)) / (20*21/2)</f>
        <v>5.6698095238095245</v>
      </c>
      <c r="J666" s="2">
        <f t="shared" si="82"/>
        <v>5.6632367531301755</v>
      </c>
      <c r="K666" s="2">
        <f t="shared" si="76"/>
        <v>5.6408550598779428</v>
      </c>
    </row>
    <row r="667" spans="1:11" ht="13.5" x14ac:dyDescent="0.25">
      <c r="A667" s="3">
        <f>TITRES_STAT!B670</f>
        <v>45894</v>
      </c>
      <c r="B667" s="5">
        <f>TITRES_STAT!D670</f>
        <v>5.7</v>
      </c>
      <c r="C667" s="2">
        <f t="shared" si="77"/>
        <v>-4.0000000000000036E-2</v>
      </c>
      <c r="D667" s="2">
        <f t="shared" si="78"/>
        <v>5.7220000000000004</v>
      </c>
      <c r="E667" s="2">
        <f t="shared" si="80"/>
        <v>5.6610000000000005</v>
      </c>
      <c r="F667" s="2">
        <f t="shared" si="81"/>
        <v>5.6594999999999995</v>
      </c>
      <c r="G667" s="2">
        <f t="shared" si="75"/>
        <v>5.6392599999999984</v>
      </c>
      <c r="H667" s="2">
        <f t="shared" si="79"/>
        <v>5.6530650000000051</v>
      </c>
      <c r="I667" s="2">
        <f t="array" ref="I667">SUMPRODUCT(B651:B670, (ROW(B651:B670)-ROW(B651)+1)) / (20*21/2)</f>
        <v>5.6725238095238106</v>
      </c>
      <c r="J667" s="2">
        <f t="shared" si="82"/>
        <v>5.6667380147368256</v>
      </c>
      <c r="K667" s="2">
        <f t="shared" si="76"/>
        <v>5.6431744692944941</v>
      </c>
    </row>
    <row r="668" spans="1:11" ht="13.5" x14ac:dyDescent="0.25">
      <c r="A668" s="3">
        <f>TITRES_STAT!B671</f>
        <v>45895</v>
      </c>
      <c r="B668" s="5">
        <f>TITRES_STAT!D671</f>
        <v>5.7</v>
      </c>
      <c r="C668" s="2">
        <f t="shared" si="77"/>
        <v>0</v>
      </c>
      <c r="D668" s="2">
        <f t="shared" si="78"/>
        <v>5.7239999999999993</v>
      </c>
      <c r="E668" s="2">
        <f t="shared" si="80"/>
        <v>5.6670000000000007</v>
      </c>
      <c r="F668" s="2">
        <f t="shared" si="81"/>
        <v>5.6599999999999984</v>
      </c>
      <c r="G668" s="2">
        <f t="shared" si="75"/>
        <v>5.640959999999998</v>
      </c>
      <c r="H668" s="2">
        <f t="shared" si="79"/>
        <v>5.6526900000000033</v>
      </c>
      <c r="I668" s="2">
        <f t="array" ref="I668">SUMPRODUCT(B652:B671, (ROW(B652:B671)-ROW(B652)+1)) / (20*21/2)</f>
        <v>5.6760952380952379</v>
      </c>
      <c r="J668" s="2">
        <f t="shared" si="82"/>
        <v>5.6699058228571282</v>
      </c>
      <c r="K668" s="2">
        <f t="shared" si="76"/>
        <v>5.6454029214790236</v>
      </c>
    </row>
    <row r="669" spans="1:11" ht="13.5" x14ac:dyDescent="0.25">
      <c r="A669" s="3">
        <f>TITRES_STAT!B672</f>
        <v>45896</v>
      </c>
      <c r="B669" s="5">
        <f>TITRES_STAT!D672</f>
        <v>5.69</v>
      </c>
      <c r="C669" s="2">
        <f t="shared" si="77"/>
        <v>-9.9999999999997868E-3</v>
      </c>
      <c r="D669" s="2">
        <f t="shared" si="78"/>
        <v>5.7140000000000004</v>
      </c>
      <c r="E669" s="2">
        <f t="shared" si="80"/>
        <v>5.6720000000000006</v>
      </c>
      <c r="F669" s="2">
        <f t="shared" si="81"/>
        <v>5.6614999999999993</v>
      </c>
      <c r="G669" s="2">
        <f t="shared" si="75"/>
        <v>5.6439599999999972</v>
      </c>
      <c r="H669" s="2">
        <f t="shared" si="79"/>
        <v>5.6520800000000033</v>
      </c>
      <c r="I669" s="2">
        <f t="array" ref="I669">SUMPRODUCT(B653:B672, (ROW(B653:B672)-ROW(B653)+1)) / (20*21/2)</f>
        <v>5.7080952380952379</v>
      </c>
      <c r="J669" s="2">
        <f t="shared" si="82"/>
        <v>5.6718195540135925</v>
      </c>
      <c r="K669" s="2">
        <f t="shared" si="76"/>
        <v>5.6471518265190621</v>
      </c>
    </row>
    <row r="670" spans="1:11" ht="13.5" x14ac:dyDescent="0.25">
      <c r="A670" s="3">
        <f>TITRES_STAT!B673</f>
        <v>45897</v>
      </c>
      <c r="B670" s="5">
        <f>TITRES_STAT!D673</f>
        <v>5.69</v>
      </c>
      <c r="C670" s="2">
        <f t="shared" si="77"/>
        <v>0</v>
      </c>
      <c r="D670" s="2">
        <f t="shared" si="78"/>
        <v>5.7040000000000006</v>
      </c>
      <c r="E670" s="2">
        <f t="shared" si="80"/>
        <v>5.6770000000000005</v>
      </c>
      <c r="F670" s="2">
        <f t="shared" si="81"/>
        <v>5.6624999999999996</v>
      </c>
      <c r="G670" s="2">
        <f t="shared" si="75"/>
        <v>5.6469599999999982</v>
      </c>
      <c r="H670" s="2">
        <f t="shared" si="79"/>
        <v>5.6515600000000026</v>
      </c>
      <c r="I670" s="2">
        <f t="array" ref="I670">SUMPRODUCT(B654:B673, (ROW(B654:B673)-ROW(B654)+1)) / (20*21/2)</f>
        <v>5.7443809523809524</v>
      </c>
      <c r="J670" s="2">
        <f t="shared" si="82"/>
        <v>5.6735510250599175</v>
      </c>
      <c r="K670" s="2">
        <f t="shared" si="76"/>
        <v>5.6488321470477256</v>
      </c>
    </row>
    <row r="671" spans="1:11" ht="13.5" x14ac:dyDescent="0.25">
      <c r="A671" s="3">
        <f>TITRES_STAT!B674</f>
        <v>45898</v>
      </c>
      <c r="B671" s="5">
        <f>TITRES_STAT!D674</f>
        <v>5.7</v>
      </c>
      <c r="C671" s="2">
        <f t="shared" si="77"/>
        <v>9.9999999999997868E-3</v>
      </c>
      <c r="D671" s="2">
        <f t="shared" si="78"/>
        <v>5.6959999999999997</v>
      </c>
      <c r="E671" s="2">
        <f t="shared" si="80"/>
        <v>5.6950000000000012</v>
      </c>
      <c r="F671" s="2">
        <f t="shared" si="81"/>
        <v>5.6639999999999997</v>
      </c>
      <c r="G671" s="2">
        <f t="shared" si="75"/>
        <v>5.6501599999999987</v>
      </c>
      <c r="H671" s="2">
        <f t="shared" si="79"/>
        <v>5.6514700000000024</v>
      </c>
      <c r="I671" s="2">
        <f t="array" ref="I671">SUMPRODUCT(B655:B674, (ROW(B655:B674)-ROW(B655)+1)) / (20*21/2)</f>
        <v>5.7779999999999996</v>
      </c>
      <c r="J671" s="2">
        <f t="shared" si="82"/>
        <v>5.6760699750542107</v>
      </c>
      <c r="K671" s="2">
        <f t="shared" si="76"/>
        <v>5.6508387295164422</v>
      </c>
    </row>
    <row r="672" spans="1:11" ht="13.5" x14ac:dyDescent="0.25">
      <c r="A672" s="3">
        <f>TITRES_STAT!B675</f>
        <v>45901</v>
      </c>
      <c r="B672" s="5">
        <f>TITRES_STAT!D675</f>
        <v>6</v>
      </c>
      <c r="C672" s="2">
        <f t="shared" si="77"/>
        <v>0.29999999999999982</v>
      </c>
      <c r="D672" s="2">
        <f t="shared" si="78"/>
        <v>5.7560000000000002</v>
      </c>
      <c r="E672" s="2">
        <f t="shared" si="80"/>
        <v>5.7389999999999999</v>
      </c>
      <c r="F672" s="2">
        <f t="shared" si="81"/>
        <v>5.6789999999999994</v>
      </c>
      <c r="G672" s="2">
        <f t="shared" si="75"/>
        <v>5.6584199999999987</v>
      </c>
      <c r="H672" s="2">
        <f t="shared" si="79"/>
        <v>5.6524550000000042</v>
      </c>
      <c r="I672" s="2">
        <f t="array" ref="I672">SUMPRODUCT(B656:B675, (ROW(B656:B675)-ROW(B656)+1)) / (20*21/2)</f>
        <v>5.799952380952381</v>
      </c>
      <c r="J672" s="2">
        <f t="shared" si="82"/>
        <v>5.7069204536204765</v>
      </c>
      <c r="K672" s="2">
        <f t="shared" si="76"/>
        <v>5.6645313283589349</v>
      </c>
    </row>
    <row r="673" spans="1:11" ht="13.5" x14ac:dyDescent="0.25">
      <c r="A673" s="3">
        <f>TITRES_STAT!B676</f>
        <v>45902</v>
      </c>
      <c r="B673" s="5">
        <f>TITRES_STAT!D676</f>
        <v>6.06</v>
      </c>
      <c r="C673" s="2">
        <f t="shared" si="77"/>
        <v>5.9999999999999609E-2</v>
      </c>
      <c r="D673" s="2">
        <f t="shared" si="78"/>
        <v>5.8280000000000003</v>
      </c>
      <c r="E673" s="2">
        <f t="shared" si="80"/>
        <v>5.7759999999999998</v>
      </c>
      <c r="F673" s="2">
        <f t="shared" si="81"/>
        <v>5.697000000000001</v>
      </c>
      <c r="G673" s="2">
        <f t="shared" si="75"/>
        <v>5.6688199999999993</v>
      </c>
      <c r="H673" s="2">
        <f t="shared" si="79"/>
        <v>5.6534100000000036</v>
      </c>
      <c r="I673" s="2">
        <f t="array" ref="I673">SUMPRODUCT(B657:B676, (ROW(B657:B676)-ROW(B657)+1)) / (20*21/2)</f>
        <v>5.8252857142857142</v>
      </c>
      <c r="J673" s="2">
        <f t="shared" si="82"/>
        <v>5.7405470770851936</v>
      </c>
      <c r="K673" s="2">
        <f t="shared" si="76"/>
        <v>5.6800399037174083</v>
      </c>
    </row>
    <row r="674" spans="1:11" ht="13.5" x14ac:dyDescent="0.25">
      <c r="A674" s="3">
        <f>TITRES_STAT!B677</f>
        <v>45903</v>
      </c>
      <c r="B674" s="5">
        <f>TITRES_STAT!D677</f>
        <v>6.05</v>
      </c>
      <c r="C674" s="2">
        <f t="shared" si="77"/>
        <v>-9.9999999999997868E-3</v>
      </c>
      <c r="D674" s="2">
        <f t="shared" si="78"/>
        <v>5.9</v>
      </c>
      <c r="E674" s="2">
        <f t="shared" si="80"/>
        <v>5.8070000000000004</v>
      </c>
      <c r="F674" s="2">
        <f t="shared" si="81"/>
        <v>5.7195</v>
      </c>
      <c r="G674" s="2">
        <f t="shared" si="75"/>
        <v>5.6790199999999995</v>
      </c>
      <c r="H674" s="2">
        <f t="shared" si="79"/>
        <v>5.6544550000000022</v>
      </c>
      <c r="I674" s="2">
        <f t="array" ref="I674">SUMPRODUCT(B658:B677, (ROW(B658:B677)-ROW(B658)+1)) / (20*21/2)</f>
        <v>5.8422857142857145</v>
      </c>
      <c r="J674" s="2">
        <f t="shared" si="82"/>
        <v>5.7700187840294603</v>
      </c>
      <c r="K674" s="2">
        <f t="shared" si="76"/>
        <v>5.6945481427873137</v>
      </c>
    </row>
    <row r="675" spans="1:11" ht="13.5" x14ac:dyDescent="0.25">
      <c r="A675" s="3">
        <f>TITRES_STAT!B678</f>
        <v>45905</v>
      </c>
      <c r="B675" s="5">
        <f>TITRES_STAT!D678</f>
        <v>5.95</v>
      </c>
      <c r="C675" s="2">
        <f t="shared" si="77"/>
        <v>-9.9999999999999645E-2</v>
      </c>
      <c r="D675" s="2">
        <f t="shared" si="78"/>
        <v>5.952</v>
      </c>
      <c r="E675" s="2">
        <f t="shared" si="80"/>
        <v>5.8280000000000012</v>
      </c>
      <c r="F675" s="2">
        <f t="shared" si="81"/>
        <v>5.734</v>
      </c>
      <c r="G675" s="2">
        <f t="shared" si="75"/>
        <v>5.6862799999999991</v>
      </c>
      <c r="H675" s="2">
        <f t="shared" si="79"/>
        <v>5.6551450000000036</v>
      </c>
      <c r="I675" s="2">
        <f t="array" ref="I675">SUMPRODUCT(B659:B678, (ROW(B659:B678)-ROW(B659)+1)) / (20*21/2)</f>
        <v>5.8595238095238091</v>
      </c>
      <c r="J675" s="2">
        <f t="shared" si="82"/>
        <v>5.7871598522171306</v>
      </c>
      <c r="K675" s="2">
        <f t="shared" si="76"/>
        <v>5.7045658626780078</v>
      </c>
    </row>
    <row r="676" spans="1:11" ht="13.5" x14ac:dyDescent="0.25">
      <c r="A676" s="3">
        <f>TITRES_STAT!B679</f>
        <v>45908</v>
      </c>
      <c r="B676" s="5">
        <f>TITRES_STAT!D679</f>
        <v>6</v>
      </c>
      <c r="C676" s="2">
        <f t="shared" si="77"/>
        <v>4.9999999999999822E-2</v>
      </c>
      <c r="D676" s="2">
        <f t="shared" si="78"/>
        <v>6.0119999999999996</v>
      </c>
      <c r="E676" s="2">
        <f t="shared" si="80"/>
        <v>5.854000000000001</v>
      </c>
      <c r="F676" s="2">
        <f t="shared" si="81"/>
        <v>5.7515000000000001</v>
      </c>
      <c r="G676" s="2">
        <f t="shared" si="75"/>
        <v>5.6935999999999982</v>
      </c>
      <c r="H676" s="2">
        <f t="shared" si="79"/>
        <v>5.6560850000000036</v>
      </c>
      <c r="I676" s="2">
        <f t="array" ref="I676">SUMPRODUCT(B660:B679, (ROW(B660:B679)-ROW(B660)+1)) / (20*21/2)</f>
        <v>5.8933809523809533</v>
      </c>
      <c r="J676" s="2">
        <f t="shared" si="82"/>
        <v>5.8074303424821654</v>
      </c>
      <c r="K676" s="2">
        <f t="shared" si="76"/>
        <v>5.7161515151220081</v>
      </c>
    </row>
    <row r="677" spans="1:11" ht="13.5" x14ac:dyDescent="0.25">
      <c r="A677" s="3">
        <f>TITRES_STAT!B680</f>
        <v>45909</v>
      </c>
      <c r="B677" s="5">
        <f>TITRES_STAT!D680</f>
        <v>5.93</v>
      </c>
      <c r="C677" s="2">
        <f t="shared" si="77"/>
        <v>-7.0000000000000284E-2</v>
      </c>
      <c r="D677" s="2">
        <f t="shared" si="78"/>
        <v>5.9979999999999993</v>
      </c>
      <c r="E677" s="2">
        <f t="shared" si="80"/>
        <v>5.8770000000000007</v>
      </c>
      <c r="F677" s="2">
        <f t="shared" si="81"/>
        <v>5.769000000000001</v>
      </c>
      <c r="G677" s="2">
        <f t="shared" si="75"/>
        <v>5.7004599999999979</v>
      </c>
      <c r="H677" s="2">
        <f t="shared" si="79"/>
        <v>5.6566250000000036</v>
      </c>
      <c r="I677" s="2">
        <f t="array" ref="I677">SUMPRODUCT(B661:B680, (ROW(B661:B680)-ROW(B661)+1)) / (20*21/2)</f>
        <v>5.9305714285714286</v>
      </c>
      <c r="J677" s="2">
        <f t="shared" si="82"/>
        <v>5.8191036431981491</v>
      </c>
      <c r="K677" s="2">
        <f t="shared" si="76"/>
        <v>5.7245377302152631</v>
      </c>
    </row>
    <row r="678" spans="1:11" ht="13.5" x14ac:dyDescent="0.25">
      <c r="A678" s="3">
        <f>TITRES_STAT!B681</f>
        <v>45910</v>
      </c>
      <c r="B678" s="5">
        <f>TITRES_STAT!D681</f>
        <v>5.95</v>
      </c>
      <c r="C678" s="2">
        <f t="shared" si="77"/>
        <v>2.0000000000000462E-2</v>
      </c>
      <c r="D678" s="2">
        <f t="shared" si="78"/>
        <v>5.976</v>
      </c>
      <c r="E678" s="2">
        <f t="shared" si="80"/>
        <v>5.9020000000000001</v>
      </c>
      <c r="F678" s="2">
        <f t="shared" si="81"/>
        <v>5.7845000000000004</v>
      </c>
      <c r="G678" s="2">
        <f t="shared" si="75"/>
        <v>5.709039999999999</v>
      </c>
      <c r="H678" s="2">
        <f t="shared" si="79"/>
        <v>5.6572650000000033</v>
      </c>
      <c r="I678" s="2">
        <f t="array" ref="I678">SUMPRODUCT(B662:B681, (ROW(B662:B681)-ROW(B662)+1)) / (20*21/2)</f>
        <v>5.9555714285714281</v>
      </c>
      <c r="J678" s="2">
        <f t="shared" si="82"/>
        <v>5.8315699628935631</v>
      </c>
      <c r="K678" s="2">
        <f t="shared" si="76"/>
        <v>5.7333793878538808</v>
      </c>
    </row>
    <row r="679" spans="1:11" ht="13.5" x14ac:dyDescent="0.25">
      <c r="A679" s="3">
        <f>TITRES_STAT!B682</f>
        <v>45911</v>
      </c>
      <c r="B679" s="5">
        <f>TITRES_STAT!D682</f>
        <v>6.14</v>
      </c>
      <c r="C679" s="2">
        <f t="shared" si="77"/>
        <v>0.1899999999999995</v>
      </c>
      <c r="D679" s="2">
        <f t="shared" si="78"/>
        <v>5.9939999999999998</v>
      </c>
      <c r="E679" s="2">
        <f t="shared" si="80"/>
        <v>5.947000000000001</v>
      </c>
      <c r="F679" s="2">
        <f t="shared" si="81"/>
        <v>5.8094999999999999</v>
      </c>
      <c r="G679" s="2">
        <f t="shared" si="75"/>
        <v>5.7214199999999984</v>
      </c>
      <c r="H679" s="2">
        <f t="shared" si="79"/>
        <v>5.6589950000000036</v>
      </c>
      <c r="I679" s="2">
        <f t="array" ref="I679">SUMPRODUCT(B663:B682, (ROW(B663:B682)-ROW(B663)+1)) / (20*21/2)</f>
        <v>5.9797142857142864</v>
      </c>
      <c r="J679" s="2">
        <f t="shared" si="82"/>
        <v>5.8609442521417954</v>
      </c>
      <c r="K679" s="2">
        <f t="shared" si="76"/>
        <v>5.7493252942125528</v>
      </c>
    </row>
    <row r="680" spans="1:11" ht="13.5" x14ac:dyDescent="0.25">
      <c r="A680" s="3">
        <f>TITRES_STAT!B683</f>
        <v>45912</v>
      </c>
      <c r="B680" s="5">
        <f>TITRES_STAT!D683</f>
        <v>6.2</v>
      </c>
      <c r="C680" s="2">
        <f t="shared" si="77"/>
        <v>6.0000000000000497E-2</v>
      </c>
      <c r="D680" s="2">
        <f t="shared" si="78"/>
        <v>6.0439999999999996</v>
      </c>
      <c r="E680" s="2">
        <f t="shared" si="80"/>
        <v>5.9980000000000002</v>
      </c>
      <c r="F680" s="2">
        <f t="shared" si="81"/>
        <v>5.8375000000000004</v>
      </c>
      <c r="G680" s="2">
        <f t="shared" si="75"/>
        <v>5.7351799999999988</v>
      </c>
      <c r="H680" s="2">
        <f t="shared" si="79"/>
        <v>5.661025000000004</v>
      </c>
      <c r="I680" s="2">
        <f t="array" ref="I680">SUMPRODUCT(B664:B683, (ROW(B664:B683)-ROW(B664)+1)) / (20*21/2)</f>
        <v>6.0116666666666658</v>
      </c>
      <c r="J680" s="2">
        <f t="shared" si="82"/>
        <v>5.8932352757473385</v>
      </c>
      <c r="K680" s="2">
        <f t="shared" si="76"/>
        <v>5.7669988120865705</v>
      </c>
    </row>
    <row r="681" spans="1:11" ht="13.5" x14ac:dyDescent="0.25">
      <c r="A681" s="3">
        <f>TITRES_STAT!B684</f>
        <v>45915</v>
      </c>
      <c r="B681" s="5">
        <f>TITRES_STAT!D684</f>
        <v>6.1</v>
      </c>
      <c r="C681" s="2">
        <f t="shared" si="77"/>
        <v>-0.10000000000000053</v>
      </c>
      <c r="D681" s="2">
        <f t="shared" si="78"/>
        <v>6.0640000000000001</v>
      </c>
      <c r="E681" s="2">
        <f t="shared" si="80"/>
        <v>6.0380000000000003</v>
      </c>
      <c r="F681" s="2">
        <f t="shared" si="81"/>
        <v>5.8665000000000003</v>
      </c>
      <c r="G681" s="2">
        <f t="shared" si="75"/>
        <v>5.7469399999999995</v>
      </c>
      <c r="H681" s="2">
        <f t="shared" si="79"/>
        <v>5.662555000000002</v>
      </c>
      <c r="I681" s="2">
        <f t="array" ref="I681">SUMPRODUCT(B665:B684, (ROW(B665:B684)-ROW(B665)+1)) / (20*21/2)</f>
        <v>6.0448571428571434</v>
      </c>
      <c r="J681" s="2">
        <f t="shared" si="82"/>
        <v>5.9129271542475914</v>
      </c>
      <c r="K681" s="2">
        <f t="shared" si="76"/>
        <v>5.7800576822008232</v>
      </c>
    </row>
    <row r="682" spans="1:11" ht="13.5" x14ac:dyDescent="0.25">
      <c r="A682" s="3">
        <f>TITRES_STAT!B685</f>
        <v>45916</v>
      </c>
      <c r="B682" s="5">
        <f>TITRES_STAT!D685</f>
        <v>6.12</v>
      </c>
      <c r="C682" s="2">
        <f t="shared" si="77"/>
        <v>2.0000000000000462E-2</v>
      </c>
      <c r="D682" s="2">
        <f t="shared" si="78"/>
        <v>6.1020000000000003</v>
      </c>
      <c r="E682" s="2">
        <f t="shared" si="80"/>
        <v>6.05</v>
      </c>
      <c r="F682" s="2">
        <f t="shared" si="81"/>
        <v>5.8944999999999999</v>
      </c>
      <c r="G682" s="2">
        <f t="shared" si="75"/>
        <v>5.7575999999999992</v>
      </c>
      <c r="H682" s="2">
        <f t="shared" si="79"/>
        <v>5.6642800000000024</v>
      </c>
      <c r="I682" s="2">
        <f t="array" ref="I682">SUMPRODUCT(B666:B685, (ROW(B666:B685)-ROW(B666)+1)) / (20*21/2)</f>
        <v>6.0821904761904761</v>
      </c>
      <c r="J682" s="2">
        <f t="shared" si="82"/>
        <v>5.9326483776525825</v>
      </c>
      <c r="K682" s="2">
        <f t="shared" si="76"/>
        <v>5.7933887534870658</v>
      </c>
    </row>
    <row r="683" spans="1:11" ht="13.5" x14ac:dyDescent="0.25">
      <c r="A683" s="3">
        <f>TITRES_STAT!B686</f>
        <v>45917</v>
      </c>
      <c r="B683" s="5">
        <f>TITRES_STAT!D686</f>
        <v>6.23</v>
      </c>
      <c r="C683" s="2">
        <f t="shared" si="77"/>
        <v>0.11000000000000032</v>
      </c>
      <c r="D683" s="2">
        <f t="shared" si="78"/>
        <v>6.1579999999999995</v>
      </c>
      <c r="E683" s="2">
        <f t="shared" si="80"/>
        <v>6.0670000000000002</v>
      </c>
      <c r="F683" s="2">
        <f t="shared" si="81"/>
        <v>5.9215</v>
      </c>
      <c r="G683" s="2">
        <f t="shared" si="75"/>
        <v>5.7677999999999994</v>
      </c>
      <c r="H683" s="2">
        <f t="shared" si="79"/>
        <v>5.6664150000000015</v>
      </c>
      <c r="I683" s="2">
        <f t="array" ref="I683">SUMPRODUCT(B667:B686, (ROW(B667:B686)-ROW(B667)+1)) / (20*21/2)</f>
        <v>6.1309523809523796</v>
      </c>
      <c r="J683" s="2">
        <f t="shared" si="82"/>
        <v>5.9609675797809087</v>
      </c>
      <c r="K683" s="2">
        <f t="shared" si="76"/>
        <v>5.8105107631542401</v>
      </c>
    </row>
    <row r="684" spans="1:11" ht="13.5" x14ac:dyDescent="0.25">
      <c r="A684" s="3">
        <f>TITRES_STAT!B687</f>
        <v>45918</v>
      </c>
      <c r="B684" s="5">
        <f>TITRES_STAT!D687</f>
        <v>6.27</v>
      </c>
      <c r="C684" s="2">
        <f t="shared" si="77"/>
        <v>3.9999999999999147E-2</v>
      </c>
      <c r="D684" s="2">
        <f t="shared" si="78"/>
        <v>6.1840000000000002</v>
      </c>
      <c r="E684" s="2">
        <f t="shared" si="80"/>
        <v>6.0890000000000004</v>
      </c>
      <c r="F684" s="2">
        <f t="shared" si="81"/>
        <v>5.9479999999999995</v>
      </c>
      <c r="G684" s="2">
        <f t="shared" si="75"/>
        <v>5.7788000000000004</v>
      </c>
      <c r="H684" s="2">
        <f t="shared" si="79"/>
        <v>5.668845000000001</v>
      </c>
      <c r="I684" s="2">
        <f t="array" ref="I684">SUMPRODUCT(B668:B687, (ROW(B668:B687)-ROW(B668)+1)) / (20*21/2)</f>
        <v>6.1751904761904761</v>
      </c>
      <c r="J684" s="2">
        <f t="shared" si="82"/>
        <v>5.9903992388493936</v>
      </c>
      <c r="K684" s="2">
        <f t="shared" si="76"/>
        <v>5.8285299489128981</v>
      </c>
    </row>
    <row r="685" spans="1:11" ht="13.5" x14ac:dyDescent="0.25">
      <c r="A685" s="3">
        <f>TITRES_STAT!B688</f>
        <v>45919</v>
      </c>
      <c r="B685" s="5">
        <f>TITRES_STAT!D688</f>
        <v>6.34</v>
      </c>
      <c r="C685" s="2">
        <f t="shared" si="77"/>
        <v>7.0000000000000284E-2</v>
      </c>
      <c r="D685" s="2">
        <f t="shared" si="78"/>
        <v>6.2119999999999997</v>
      </c>
      <c r="E685" s="2">
        <f t="shared" si="80"/>
        <v>6.1280000000000001</v>
      </c>
      <c r="F685" s="2">
        <f t="shared" si="81"/>
        <v>5.9780000000000006</v>
      </c>
      <c r="G685" s="2">
        <f t="shared" si="75"/>
        <v>5.7905999999999995</v>
      </c>
      <c r="H685" s="2">
        <f t="shared" si="79"/>
        <v>5.6719050000000015</v>
      </c>
      <c r="I685" s="2">
        <f t="array" ref="I685">SUMPRODUCT(B669:B688, (ROW(B669:B688)-ROW(B669)+1)) / (20*21/2)</f>
        <v>6.2176190476190465</v>
      </c>
      <c r="J685" s="2">
        <f t="shared" si="82"/>
        <v>6.0236945494351657</v>
      </c>
      <c r="K685" s="2">
        <f t="shared" si="76"/>
        <v>5.8485875979751381</v>
      </c>
    </row>
    <row r="686" spans="1:11" ht="13.5" x14ac:dyDescent="0.25">
      <c r="A686" s="3">
        <f>TITRES_STAT!B689</f>
        <v>45922</v>
      </c>
      <c r="B686" s="5">
        <f>TITRES_STAT!D689</f>
        <v>6.49</v>
      </c>
      <c r="C686" s="2">
        <f t="shared" si="77"/>
        <v>0.15000000000000036</v>
      </c>
      <c r="D686" s="2">
        <f t="shared" si="78"/>
        <v>6.2900000000000009</v>
      </c>
      <c r="E686" s="2">
        <f t="shared" si="80"/>
        <v>6.1770000000000005</v>
      </c>
      <c r="F686" s="2">
        <f t="shared" si="81"/>
        <v>6.0155000000000003</v>
      </c>
      <c r="G686" s="2">
        <f t="shared" si="75"/>
        <v>5.8063999999999991</v>
      </c>
      <c r="H686" s="2">
        <f t="shared" si="79"/>
        <v>5.6761850000000011</v>
      </c>
      <c r="I686" s="2">
        <f t="array" ref="I686">SUMPRODUCT(B670:B689, (ROW(B670:B689)-ROW(B670)+1)) / (20*21/2)</f>
        <v>6.2543333333333324</v>
      </c>
      <c r="J686" s="2">
        <f t="shared" si="82"/>
        <v>6.0681045923461019</v>
      </c>
      <c r="K686" s="2">
        <f t="shared" si="76"/>
        <v>5.8737410255055256</v>
      </c>
    </row>
    <row r="687" spans="1:11" ht="13.5" x14ac:dyDescent="0.25">
      <c r="A687" s="3">
        <f>TITRES_STAT!B690</f>
        <v>45923</v>
      </c>
      <c r="B687" s="5">
        <f>TITRES_STAT!D690</f>
        <v>6.48</v>
      </c>
      <c r="C687" s="2">
        <f t="shared" si="77"/>
        <v>-9.9999999999997868E-3</v>
      </c>
      <c r="D687" s="2">
        <f t="shared" si="78"/>
        <v>6.3620000000000001</v>
      </c>
      <c r="E687" s="2">
        <f t="shared" si="80"/>
        <v>6.2320000000000011</v>
      </c>
      <c r="F687" s="2">
        <f t="shared" si="81"/>
        <v>6.0545</v>
      </c>
      <c r="G687" s="2">
        <f t="shared" si="75"/>
        <v>5.8219999999999992</v>
      </c>
      <c r="H687" s="2">
        <f t="shared" si="79"/>
        <v>5.679615000000001</v>
      </c>
      <c r="I687" s="2">
        <f t="array" ref="I687">SUMPRODUCT(B671:B690, (ROW(B671:B690)-ROW(B671)+1)) / (20*21/2)</f>
        <v>6.2834761904761907</v>
      </c>
      <c r="J687" s="2">
        <f t="shared" si="82"/>
        <v>6.1073327264083783</v>
      </c>
      <c r="K687" s="2">
        <f t="shared" si="76"/>
        <v>5.8975158872504068</v>
      </c>
    </row>
    <row r="688" spans="1:11" ht="13.5" x14ac:dyDescent="0.25">
      <c r="A688" s="3">
        <f>TITRES_STAT!B691</f>
        <v>45924</v>
      </c>
      <c r="B688" s="5">
        <f>TITRES_STAT!D691</f>
        <v>6.5</v>
      </c>
      <c r="C688" s="2">
        <f t="shared" si="77"/>
        <v>1.9999999999999574E-2</v>
      </c>
      <c r="D688" s="2">
        <f t="shared" si="78"/>
        <v>6.4159999999999995</v>
      </c>
      <c r="E688" s="2">
        <f t="shared" si="80"/>
        <v>6.2870000000000008</v>
      </c>
      <c r="F688" s="2">
        <f t="shared" si="81"/>
        <v>6.0945</v>
      </c>
      <c r="G688" s="2">
        <f t="shared" si="75"/>
        <v>5.8383999999999991</v>
      </c>
      <c r="H688" s="2">
        <f t="shared" si="79"/>
        <v>5.6831950000000013</v>
      </c>
      <c r="I688" s="2">
        <f t="array" ref="I688">SUMPRODUCT(B672:B691, (ROW(B672:B691)-ROW(B672)+1)) / (20*21/2)</f>
        <v>6.31</v>
      </c>
      <c r="J688" s="2">
        <f t="shared" si="82"/>
        <v>6.1447296096075803</v>
      </c>
      <c r="K688" s="2">
        <f t="shared" si="76"/>
        <v>5.9211427152013716</v>
      </c>
    </row>
    <row r="689" spans="1:11" ht="13.5" x14ac:dyDescent="0.25">
      <c r="A689" s="3">
        <f>TITRES_STAT!B692</f>
        <v>45925</v>
      </c>
      <c r="B689" s="5">
        <f>TITRES_STAT!D692</f>
        <v>6.48</v>
      </c>
      <c r="C689" s="2">
        <f t="shared" si="77"/>
        <v>-1.9999999999999574E-2</v>
      </c>
      <c r="D689" s="2">
        <f t="shared" si="78"/>
        <v>6.4580000000000011</v>
      </c>
      <c r="E689" s="2">
        <f t="shared" si="80"/>
        <v>6.3210000000000006</v>
      </c>
      <c r="F689" s="2">
        <f t="shared" si="81"/>
        <v>6.1340000000000003</v>
      </c>
      <c r="G689" s="2">
        <f t="shared" si="75"/>
        <v>5.8541999999999996</v>
      </c>
      <c r="H689" s="2">
        <f t="shared" si="79"/>
        <v>5.686675000000001</v>
      </c>
      <c r="I689" s="2">
        <f t="array" ref="I689">SUMPRODUCT(B673:B691, (ROW(B673:B691)-ROW(B673)+1)) / (20*21/2)</f>
        <v>5.7186666666666657</v>
      </c>
      <c r="J689" s="2">
        <f t="shared" si="82"/>
        <v>6.1766601229782871</v>
      </c>
      <c r="K689" s="2">
        <f t="shared" si="76"/>
        <v>5.9430586871542586</v>
      </c>
    </row>
    <row r="690" spans="1:11" ht="13.5" x14ac:dyDescent="0.25">
      <c r="A690" s="3">
        <f>TITRES_STAT!B693</f>
        <v>45926</v>
      </c>
      <c r="B690" s="5">
        <f>TITRES_STAT!D693</f>
        <v>6.44</v>
      </c>
      <c r="C690" s="2">
        <f t="shared" si="77"/>
        <v>-4.0000000000000036E-2</v>
      </c>
      <c r="D690" s="2">
        <f t="shared" si="78"/>
        <v>6.4779999999999998</v>
      </c>
      <c r="E690" s="2">
        <f t="shared" si="80"/>
        <v>6.3450000000000006</v>
      </c>
      <c r="F690" s="2">
        <f t="shared" si="81"/>
        <v>6.1715</v>
      </c>
      <c r="G690" s="2">
        <f t="shared" ref="G690:G691" si="83">AVERAGE(B641:B690)</f>
        <v>5.8696000000000002</v>
      </c>
      <c r="H690" s="2">
        <f t="shared" si="79"/>
        <v>5.6899550000000021</v>
      </c>
      <c r="I690" s="2">
        <f t="array" ref="I690">SUMPRODUCT(B674:B691, (ROW(B674:B691)-ROW(B674)+1)) / (20*21/2)</f>
        <v>5.155904761904762</v>
      </c>
      <c r="J690" s="2">
        <f t="shared" si="82"/>
        <v>6.2017401112660693</v>
      </c>
      <c r="K690" s="2">
        <f t="shared" si="76"/>
        <v>5.9625465817756611</v>
      </c>
    </row>
    <row r="691" spans="1:11" ht="13.5" x14ac:dyDescent="0.25">
      <c r="A691" s="3">
        <f>TITRES_STAT!B694</f>
        <v>45929</v>
      </c>
      <c r="B691" s="5">
        <f>TITRES_STAT!D694</f>
        <v>6.45</v>
      </c>
      <c r="C691" s="2">
        <f t="shared" si="77"/>
        <v>9.9999999999997868E-3</v>
      </c>
      <c r="D691" s="2">
        <f t="shared" si="78"/>
        <v>6.4700000000000006</v>
      </c>
      <c r="E691" s="2">
        <f t="shared" si="80"/>
        <v>6.3800000000000008</v>
      </c>
      <c r="F691" s="2">
        <f t="shared" si="81"/>
        <v>6.2090000000000005</v>
      </c>
      <c r="G691" s="2">
        <f t="shared" si="83"/>
        <v>5.8852000000000002</v>
      </c>
      <c r="H691" s="2">
        <f t="shared" si="79"/>
        <v>5.693285000000003</v>
      </c>
      <c r="I691" s="2">
        <f t="array" ref="I691">SUMPRODUCT(B675:B691, (ROW(B675:B691)-ROW(B675)+1)) / (20*21/2)</f>
        <v>4.6219999999999999</v>
      </c>
      <c r="J691" s="2">
        <f t="shared" si="82"/>
        <v>6.225383910193111</v>
      </c>
      <c r="K691" s="2">
        <f t="shared" ref="K691" si="84">$K$4*B691+(1-$K$4)*K690</f>
        <v>5.9816624020981841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691"/>
  <sheetViews>
    <sheetView topLeftCell="A679" workbookViewId="0">
      <selection activeCell="A692" sqref="A692:XFD2693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ht="13.5" x14ac:dyDescent="0.25">
      <c r="A2" s="3">
        <f>TITRES_STAT!B5</f>
        <v>44922</v>
      </c>
      <c r="B2" s="5">
        <f>TITRES_STAT!D5</f>
        <v>0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44923</v>
      </c>
      <c r="B3" s="5">
        <f>TITRES_STAT!D6</f>
        <v>0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44924</v>
      </c>
      <c r="B4" s="5">
        <f>TITRES_STAT!D7</f>
        <v>5.266</v>
      </c>
      <c r="C4" s="2">
        <f t="shared" si="0"/>
        <v>5.266</v>
      </c>
      <c r="D4" s="2">
        <f t="shared" si="1"/>
        <v>5.266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44925</v>
      </c>
      <c r="B5" s="5">
        <f>TITRES_STAT!D8</f>
        <v>5.4020000000000001</v>
      </c>
      <c r="C5" s="2">
        <f t="shared" si="0"/>
        <v>0.13600000000000012</v>
      </c>
      <c r="D5" s="2">
        <f t="shared" si="1"/>
        <v>0.13600000000000012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44928</v>
      </c>
      <c r="B6" s="5">
        <f>TITRES_STAT!D9</f>
        <v>5.3680000000000003</v>
      </c>
      <c r="C6" s="2">
        <f t="shared" si="0"/>
        <v>-3.3999999999999808E-2</v>
      </c>
      <c r="D6" s="2">
        <f t="shared" si="1"/>
        <v>0</v>
      </c>
      <c r="E6" s="2">
        <f t="shared" si="2"/>
        <v>3.3999999999999808E-2</v>
      </c>
      <c r="F6" s="2"/>
      <c r="G6" s="2"/>
      <c r="H6" s="2"/>
      <c r="I6" s="2"/>
    </row>
    <row r="7" spans="1:9" ht="13.5" x14ac:dyDescent="0.25">
      <c r="A7" s="3">
        <f>TITRES_STAT!B10</f>
        <v>44929</v>
      </c>
      <c r="B7" s="5">
        <f>TITRES_STAT!D10</f>
        <v>5.3940000000000001</v>
      </c>
      <c r="C7" s="2">
        <f t="shared" si="0"/>
        <v>2.5999999999999801E-2</v>
      </c>
      <c r="D7" s="2">
        <f t="shared" si="1"/>
        <v>2.5999999999999801E-2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44930</v>
      </c>
      <c r="B8" s="5">
        <f>TITRES_STAT!D11</f>
        <v>5.266</v>
      </c>
      <c r="C8" s="2">
        <f t="shared" si="0"/>
        <v>-0.12800000000000011</v>
      </c>
      <c r="D8" s="2">
        <f t="shared" si="1"/>
        <v>0</v>
      </c>
      <c r="E8" s="2">
        <f t="shared" si="2"/>
        <v>0.12800000000000011</v>
      </c>
      <c r="F8" s="2"/>
      <c r="G8" s="2"/>
      <c r="H8" s="2"/>
      <c r="I8" s="2"/>
    </row>
    <row r="9" spans="1:9" ht="13.5" x14ac:dyDescent="0.25">
      <c r="A9" s="3">
        <f>TITRES_STAT!B12</f>
        <v>44931</v>
      </c>
      <c r="B9" s="5">
        <f>TITRES_STAT!D12</f>
        <v>5.351</v>
      </c>
      <c r="C9" s="2">
        <f t="shared" si="0"/>
        <v>8.4999999999999964E-2</v>
      </c>
      <c r="D9" s="2">
        <f t="shared" si="1"/>
        <v>8.4999999999999964E-2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44932</v>
      </c>
      <c r="B10" s="5">
        <f>TITRES_STAT!D13</f>
        <v>5.351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44935</v>
      </c>
      <c r="B11" s="5">
        <f>TITRES_STAT!D14</f>
        <v>5.3170000000000002</v>
      </c>
      <c r="C11" s="2">
        <f t="shared" si="0"/>
        <v>-3.3999999999999808E-2</v>
      </c>
      <c r="D11" s="2">
        <f t="shared" si="1"/>
        <v>0</v>
      </c>
      <c r="E11" s="2">
        <f t="shared" si="2"/>
        <v>3.3999999999999808E-2</v>
      </c>
      <c r="F11" s="2"/>
      <c r="G11" s="2"/>
      <c r="H11" s="2"/>
      <c r="I11" s="2"/>
    </row>
    <row r="12" spans="1:9" ht="13.5" x14ac:dyDescent="0.25">
      <c r="A12" s="3">
        <f>TITRES_STAT!B15</f>
        <v>44936</v>
      </c>
      <c r="B12" s="5">
        <f>TITRES_STAT!D15</f>
        <v>5.266</v>
      </c>
      <c r="C12" s="2">
        <f t="shared" si="0"/>
        <v>-5.1000000000000156E-2</v>
      </c>
      <c r="D12" s="2">
        <f t="shared" si="1"/>
        <v>0</v>
      </c>
      <c r="E12" s="2">
        <f t="shared" si="2"/>
        <v>5.1000000000000156E-2</v>
      </c>
      <c r="F12" s="2"/>
      <c r="G12" s="2"/>
      <c r="H12" s="2"/>
      <c r="I12" s="2"/>
    </row>
    <row r="13" spans="1:9" ht="13.5" x14ac:dyDescent="0.25">
      <c r="A13" s="3">
        <f>TITRES_STAT!B16</f>
        <v>44937</v>
      </c>
      <c r="B13" s="5">
        <f>TITRES_STAT!D16</f>
        <v>5.3090000000000002</v>
      </c>
      <c r="C13" s="2">
        <f t="shared" si="0"/>
        <v>4.3000000000000149E-2</v>
      </c>
      <c r="D13" s="2">
        <f t="shared" si="1"/>
        <v>4.3000000000000149E-2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44938</v>
      </c>
      <c r="B14" s="5">
        <f>TITRES_STAT!D17</f>
        <v>5.181</v>
      </c>
      <c r="C14" s="2">
        <f t="shared" si="0"/>
        <v>-0.12800000000000011</v>
      </c>
      <c r="D14" s="2">
        <f t="shared" si="1"/>
        <v>0</v>
      </c>
      <c r="E14" s="2">
        <f t="shared" si="2"/>
        <v>0.12800000000000011</v>
      </c>
      <c r="F14" s="2"/>
      <c r="G14" s="2"/>
      <c r="H14" s="2"/>
      <c r="I14" s="2"/>
    </row>
    <row r="15" spans="1:9" ht="13.5" x14ac:dyDescent="0.25">
      <c r="A15" s="3">
        <f>TITRES_STAT!B18</f>
        <v>44939</v>
      </c>
      <c r="B15" s="5">
        <f>TITRES_STAT!D18</f>
        <v>5.4189999999999996</v>
      </c>
      <c r="C15" s="2">
        <f t="shared" si="0"/>
        <v>0.23799999999999955</v>
      </c>
      <c r="D15" s="2">
        <f t="shared" si="1"/>
        <v>0.23799999999999955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44942</v>
      </c>
      <c r="B16" s="5">
        <f>TITRES_STAT!D19</f>
        <v>5.47</v>
      </c>
      <c r="C16" s="2">
        <f t="shared" si="0"/>
        <v>5.1000000000000156E-2</v>
      </c>
      <c r="D16" s="2">
        <f t="shared" si="1"/>
        <v>5.1000000000000156E-2</v>
      </c>
      <c r="E16" s="2">
        <f t="shared" si="2"/>
        <v>0</v>
      </c>
      <c r="F16" s="2">
        <f>(SUM(D3:D16)/14)</f>
        <v>0.41749999999999998</v>
      </c>
      <c r="G16" s="2">
        <f>SUM(E3:E16)/14</f>
        <v>2.6785714285714284E-2</v>
      </c>
      <c r="H16" s="2">
        <f>F16/G16</f>
        <v>15.586666666666666</v>
      </c>
      <c r="I16" s="2">
        <f>IF(G16=0,100,100-(100/(1+H16)))</f>
        <v>93.971061093247584</v>
      </c>
    </row>
    <row r="17" spans="1:9" ht="13.5" x14ac:dyDescent="0.25">
      <c r="A17" s="3">
        <f>TITRES_STAT!B20</f>
        <v>44943</v>
      </c>
      <c r="B17" s="5">
        <f>TITRES_STAT!D20</f>
        <v>5.4359999999999999</v>
      </c>
      <c r="C17" s="2">
        <f t="shared" si="0"/>
        <v>-3.3999999999999808E-2</v>
      </c>
      <c r="D17" s="2">
        <f t="shared" si="1"/>
        <v>0</v>
      </c>
      <c r="E17" s="2">
        <f t="shared" si="2"/>
        <v>3.3999999999999808E-2</v>
      </c>
      <c r="F17" s="2">
        <f>((F16*13)+D17)/14</f>
        <v>0.38767857142857143</v>
      </c>
      <c r="G17" s="2">
        <f>((G16*13)+E17)/14</f>
        <v>2.7301020408163252E-2</v>
      </c>
      <c r="H17" s="2">
        <f t="shared" ref="H17:H80" si="3">F17/G17</f>
        <v>14.200149504765472</v>
      </c>
      <c r="I17" s="2">
        <f t="shared" ref="I17:I80" si="4">IF(G17=0,100,100-(100/(1+H17)))</f>
        <v>93.421117340415066</v>
      </c>
    </row>
    <row r="18" spans="1:9" ht="13.5" x14ac:dyDescent="0.25">
      <c r="A18" s="3">
        <f>TITRES_STAT!B21</f>
        <v>44944</v>
      </c>
      <c r="B18" s="5">
        <f>TITRES_STAT!D21</f>
        <v>5.4619999999999997</v>
      </c>
      <c r="C18" s="2">
        <f t="shared" si="0"/>
        <v>2.5999999999999801E-2</v>
      </c>
      <c r="D18" s="2">
        <f t="shared" si="1"/>
        <v>2.5999999999999801E-2</v>
      </c>
      <c r="E18" s="2">
        <f t="shared" si="2"/>
        <v>0</v>
      </c>
      <c r="F18" s="2">
        <f t="shared" ref="F18:G27" si="5">((F17*13)+D18)/14</f>
        <v>0.36184438775510203</v>
      </c>
      <c r="G18" s="2">
        <f t="shared" si="5"/>
        <v>2.5350947521865876E-2</v>
      </c>
      <c r="H18" s="2">
        <f t="shared" si="3"/>
        <v>14.273406839843027</v>
      </c>
      <c r="I18" s="2">
        <f t="shared" si="4"/>
        <v>93.452672278778394</v>
      </c>
    </row>
    <row r="19" spans="1:9" ht="13.5" x14ac:dyDescent="0.25">
      <c r="A19" s="3">
        <f>TITRES_STAT!B22</f>
        <v>44945</v>
      </c>
      <c r="B19" s="5">
        <f>TITRES_STAT!D22</f>
        <v>5.4619999999999997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0.33599836005830902</v>
      </c>
      <c r="G19" s="2">
        <f t="shared" si="5"/>
        <v>2.3540165556018313E-2</v>
      </c>
      <c r="H19" s="2">
        <f t="shared" si="3"/>
        <v>14.273406839843027</v>
      </c>
      <c r="I19" s="2">
        <f t="shared" si="4"/>
        <v>93.452672278778394</v>
      </c>
    </row>
    <row r="20" spans="1:9" ht="13.5" x14ac:dyDescent="0.25">
      <c r="A20" s="3">
        <f>TITRES_STAT!B23</f>
        <v>44946</v>
      </c>
      <c r="B20" s="5">
        <f>TITRES_STAT!D23</f>
        <v>5.4359999999999999</v>
      </c>
      <c r="C20" s="2">
        <f t="shared" si="0"/>
        <v>-2.5999999999999801E-2</v>
      </c>
      <c r="D20" s="2">
        <f t="shared" si="1"/>
        <v>0</v>
      </c>
      <c r="E20" s="2">
        <f t="shared" si="2"/>
        <v>2.5999999999999801E-2</v>
      </c>
      <c r="F20" s="2">
        <f t="shared" si="5"/>
        <v>0.31199847719700119</v>
      </c>
      <c r="G20" s="2">
        <f t="shared" si="5"/>
        <v>2.3715868016302707E-2</v>
      </c>
      <c r="H20" s="2">
        <f t="shared" si="3"/>
        <v>13.155684497085577</v>
      </c>
      <c r="I20" s="2">
        <f t="shared" si="4"/>
        <v>92.935700140774657</v>
      </c>
    </row>
    <row r="21" spans="1:9" ht="13.5" x14ac:dyDescent="0.25">
      <c r="A21" s="3">
        <f>TITRES_STAT!B24</f>
        <v>44949</v>
      </c>
      <c r="B21" s="5">
        <f>TITRES_STAT!D24</f>
        <v>5.3940000000000001</v>
      </c>
      <c r="C21" s="2">
        <f t="shared" si="0"/>
        <v>-4.1999999999999815E-2</v>
      </c>
      <c r="D21" s="2">
        <f t="shared" si="1"/>
        <v>0</v>
      </c>
      <c r="E21" s="2">
        <f t="shared" si="2"/>
        <v>4.1999999999999815E-2</v>
      </c>
      <c r="F21" s="2">
        <f t="shared" si="5"/>
        <v>0.28971287168292964</v>
      </c>
      <c r="G21" s="2">
        <f t="shared" si="5"/>
        <v>2.5021877443709643E-2</v>
      </c>
      <c r="H21" s="2">
        <f t="shared" si="3"/>
        <v>11.578382650729584</v>
      </c>
      <c r="I21" s="2">
        <f t="shared" si="4"/>
        <v>92.04985229208306</v>
      </c>
    </row>
    <row r="22" spans="1:9" ht="13.5" x14ac:dyDescent="0.25">
      <c r="A22" s="3">
        <f>TITRES_STAT!B25</f>
        <v>44950</v>
      </c>
      <c r="B22" s="5">
        <f>TITRES_STAT!D25</f>
        <v>5.4189999999999996</v>
      </c>
      <c r="C22" s="2">
        <f t="shared" si="0"/>
        <v>2.4999999999999467E-2</v>
      </c>
      <c r="D22" s="2">
        <f t="shared" si="1"/>
        <v>2.4999999999999467E-2</v>
      </c>
      <c r="E22" s="2">
        <f t="shared" si="2"/>
        <v>0</v>
      </c>
      <c r="F22" s="2">
        <f t="shared" si="5"/>
        <v>0.27080480941986323</v>
      </c>
      <c r="G22" s="2">
        <f t="shared" si="5"/>
        <v>2.3234600483444667E-2</v>
      </c>
      <c r="H22" s="2">
        <f t="shared" si="3"/>
        <v>11.655238471297132</v>
      </c>
      <c r="I22" s="2">
        <f t="shared" si="4"/>
        <v>92.09813388923439</v>
      </c>
    </row>
    <row r="23" spans="1:9" ht="13.5" x14ac:dyDescent="0.25">
      <c r="A23" s="3">
        <f>TITRES_STAT!B26</f>
        <v>44951</v>
      </c>
      <c r="B23" s="5">
        <f>TITRES_STAT!D26</f>
        <v>5.3259999999999996</v>
      </c>
      <c r="C23" s="2">
        <f t="shared" si="0"/>
        <v>-9.2999999999999972E-2</v>
      </c>
      <c r="D23" s="2">
        <f t="shared" si="1"/>
        <v>0</v>
      </c>
      <c r="E23" s="2">
        <f t="shared" si="2"/>
        <v>9.2999999999999972E-2</v>
      </c>
      <c r="F23" s="2">
        <f t="shared" si="5"/>
        <v>0.2514616087470159</v>
      </c>
      <c r="G23" s="2">
        <f t="shared" si="5"/>
        <v>2.821784330605576E-2</v>
      </c>
      <c r="H23" s="2">
        <f t="shared" si="3"/>
        <v>8.9114396879881443</v>
      </c>
      <c r="I23" s="2">
        <f t="shared" si="4"/>
        <v>89.910648387318361</v>
      </c>
    </row>
    <row r="24" spans="1:9" ht="13.5" x14ac:dyDescent="0.25">
      <c r="A24" s="3">
        <f>TITRES_STAT!B27</f>
        <v>44952</v>
      </c>
      <c r="B24" s="5">
        <f>TITRES_STAT!D27</f>
        <v>5.351</v>
      </c>
      <c r="C24" s="2">
        <f t="shared" si="0"/>
        <v>2.5000000000000355E-2</v>
      </c>
      <c r="D24" s="2">
        <f t="shared" si="1"/>
        <v>2.5000000000000355E-2</v>
      </c>
      <c r="E24" s="2">
        <f t="shared" si="2"/>
        <v>0</v>
      </c>
      <c r="F24" s="2">
        <f t="shared" si="5"/>
        <v>0.23528577955080052</v>
      </c>
      <c r="G24" s="2">
        <f t="shared" si="5"/>
        <v>2.6202283069908922E-2</v>
      </c>
      <c r="H24" s="2">
        <f t="shared" si="3"/>
        <v>8.9795907831026405</v>
      </c>
      <c r="I24" s="2">
        <f t="shared" si="4"/>
        <v>89.979549044303582</v>
      </c>
    </row>
    <row r="25" spans="1:9" ht="13.5" x14ac:dyDescent="0.25">
      <c r="A25" s="3">
        <f>TITRES_STAT!B28</f>
        <v>44953</v>
      </c>
      <c r="B25" s="5">
        <f>TITRES_STAT!D28</f>
        <v>5.4020000000000001</v>
      </c>
      <c r="C25" s="2">
        <f t="shared" si="0"/>
        <v>5.1000000000000156E-2</v>
      </c>
      <c r="D25" s="2">
        <f t="shared" si="1"/>
        <v>5.1000000000000156E-2</v>
      </c>
      <c r="E25" s="2">
        <f t="shared" si="2"/>
        <v>0</v>
      </c>
      <c r="F25" s="2">
        <f t="shared" si="5"/>
        <v>0.22212250958288621</v>
      </c>
      <c r="G25" s="2">
        <f t="shared" si="5"/>
        <v>2.4330691422058286E-2</v>
      </c>
      <c r="H25" s="2">
        <f t="shared" si="3"/>
        <v>9.1293134966772538</v>
      </c>
      <c r="I25" s="2">
        <f t="shared" si="4"/>
        <v>90.127662646357692</v>
      </c>
    </row>
    <row r="26" spans="1:9" ht="13.5" x14ac:dyDescent="0.25">
      <c r="A26" s="3">
        <f>TITRES_STAT!B29</f>
        <v>44956</v>
      </c>
      <c r="B26" s="5">
        <f>TITRES_STAT!D29</f>
        <v>5.4279999999999999</v>
      </c>
      <c r="C26" s="2">
        <f t="shared" si="0"/>
        <v>2.5999999999999801E-2</v>
      </c>
      <c r="D26" s="2">
        <f t="shared" si="1"/>
        <v>2.5999999999999801E-2</v>
      </c>
      <c r="E26" s="2">
        <f t="shared" si="2"/>
        <v>0</v>
      </c>
      <c r="F26" s="2">
        <f t="shared" si="5"/>
        <v>0.20811375889839431</v>
      </c>
      <c r="G26" s="2">
        <f t="shared" si="5"/>
        <v>2.2592784891911265E-2</v>
      </c>
      <c r="H26" s="2">
        <f t="shared" si="3"/>
        <v>9.211514202169198</v>
      </c>
      <c r="I26" s="2">
        <f t="shared" si="4"/>
        <v>90.207133044112368</v>
      </c>
    </row>
    <row r="27" spans="1:9" ht="13.5" x14ac:dyDescent="0.25">
      <c r="A27" s="3">
        <f>TITRES_STAT!B30</f>
        <v>44957</v>
      </c>
      <c r="B27" s="5">
        <f>TITRES_STAT!D30</f>
        <v>5.4279999999999999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0.19324849040565187</v>
      </c>
      <c r="G27" s="2">
        <f t="shared" si="5"/>
        <v>2.0979014542489034E-2</v>
      </c>
      <c r="H27" s="2">
        <f t="shared" si="3"/>
        <v>9.211514202169198</v>
      </c>
      <c r="I27" s="2">
        <f t="shared" si="4"/>
        <v>90.207133044112368</v>
      </c>
    </row>
    <row r="28" spans="1:9" ht="13.5" x14ac:dyDescent="0.25">
      <c r="A28" s="3">
        <f>TITRES_STAT!B31</f>
        <v>44958</v>
      </c>
      <c r="B28" s="5">
        <f>TITRES_STAT!D31</f>
        <v>5.4279999999999999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0.17944502680524815</v>
      </c>
      <c r="G28" s="2">
        <f>((G27*13)+E28)/14</f>
        <v>1.9480513503739815E-2</v>
      </c>
      <c r="H28" s="2">
        <f t="shared" si="3"/>
        <v>9.211514202169198</v>
      </c>
      <c r="I28" s="2">
        <f t="shared" si="4"/>
        <v>90.207133044112368</v>
      </c>
    </row>
    <row r="29" spans="1:9" ht="13.5" x14ac:dyDescent="0.25">
      <c r="A29" s="3">
        <f>TITRES_STAT!B32</f>
        <v>44959</v>
      </c>
      <c r="B29" s="5">
        <f>TITRES_STAT!D32</f>
        <v>5.4279999999999999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0.16662752489058757</v>
      </c>
      <c r="G29" s="2">
        <f t="shared" si="6"/>
        <v>1.8089048253472684E-2</v>
      </c>
      <c r="H29" s="2">
        <f t="shared" si="3"/>
        <v>9.2115142021691998</v>
      </c>
      <c r="I29" s="2">
        <f t="shared" si="4"/>
        <v>90.207133044112368</v>
      </c>
    </row>
    <row r="30" spans="1:9" ht="13.5" x14ac:dyDescent="0.25">
      <c r="A30" s="3">
        <f>TITRES_STAT!B33</f>
        <v>44960</v>
      </c>
      <c r="B30" s="5">
        <f>TITRES_STAT!D33</f>
        <v>5.3940000000000001</v>
      </c>
      <c r="C30" s="2">
        <f t="shared" si="0"/>
        <v>-3.3999999999999808E-2</v>
      </c>
      <c r="D30" s="2">
        <f t="shared" si="1"/>
        <v>0</v>
      </c>
      <c r="E30" s="2">
        <f t="shared" si="2"/>
        <v>3.3999999999999808E-2</v>
      </c>
      <c r="F30" s="2">
        <f t="shared" si="6"/>
        <v>0.1547255588269742</v>
      </c>
      <c r="G30" s="2">
        <f t="shared" si="6"/>
        <v>1.9225544806796051E-2</v>
      </c>
      <c r="H30" s="2">
        <f t="shared" si="3"/>
        <v>8.0479154365643861</v>
      </c>
      <c r="I30" s="2">
        <f t="shared" si="4"/>
        <v>88.947730479898098</v>
      </c>
    </row>
    <row r="31" spans="1:9" ht="13.5" x14ac:dyDescent="0.25">
      <c r="A31" s="3">
        <f>TITRES_STAT!B34</f>
        <v>44963</v>
      </c>
      <c r="B31" s="5">
        <f>TITRES_STAT!D34</f>
        <v>5.3849999999999998</v>
      </c>
      <c r="C31" s="2">
        <f t="shared" si="0"/>
        <v>-9.0000000000003411E-3</v>
      </c>
      <c r="D31" s="2">
        <f t="shared" si="1"/>
        <v>0</v>
      </c>
      <c r="E31" s="2">
        <f t="shared" si="2"/>
        <v>9.0000000000003411E-3</v>
      </c>
      <c r="F31" s="2">
        <f t="shared" si="6"/>
        <v>0.14367373319647606</v>
      </c>
      <c r="G31" s="2">
        <f t="shared" si="6"/>
        <v>1.8495148749167783E-2</v>
      </c>
      <c r="H31" s="2">
        <f t="shared" si="3"/>
        <v>7.7681847896973997</v>
      </c>
      <c r="I31" s="2">
        <f t="shared" si="4"/>
        <v>88.595130873895386</v>
      </c>
    </row>
    <row r="32" spans="1:9" ht="13.5" x14ac:dyDescent="0.25">
      <c r="A32" s="3">
        <f>TITRES_STAT!B35</f>
        <v>44964</v>
      </c>
      <c r="B32" s="5">
        <f>TITRES_STAT!D35</f>
        <v>5.3</v>
      </c>
      <c r="C32" s="2">
        <f t="shared" si="0"/>
        <v>-8.4999999999999964E-2</v>
      </c>
      <c r="D32" s="2">
        <f t="shared" si="1"/>
        <v>0</v>
      </c>
      <c r="E32" s="2">
        <f t="shared" si="2"/>
        <v>8.4999999999999964E-2</v>
      </c>
      <c r="F32" s="2">
        <f t="shared" si="6"/>
        <v>0.13341132368244205</v>
      </c>
      <c r="G32" s="2">
        <f t="shared" si="6"/>
        <v>2.3245495267084366E-2</v>
      </c>
      <c r="H32" s="2">
        <f t="shared" si="3"/>
        <v>5.7392334363962787</v>
      </c>
      <c r="I32" s="2">
        <f t="shared" si="4"/>
        <v>85.161517115591451</v>
      </c>
    </row>
    <row r="33" spans="1:9" ht="13.5" x14ac:dyDescent="0.25">
      <c r="A33" s="3">
        <f>TITRES_STAT!B36</f>
        <v>44965</v>
      </c>
      <c r="B33" s="5">
        <f>TITRES_STAT!D36</f>
        <v>5.181</v>
      </c>
      <c r="C33" s="2">
        <f t="shared" si="0"/>
        <v>-0.11899999999999977</v>
      </c>
      <c r="D33" s="2">
        <f t="shared" si="1"/>
        <v>0</v>
      </c>
      <c r="E33" s="2">
        <f t="shared" si="2"/>
        <v>0.11899999999999977</v>
      </c>
      <c r="F33" s="2">
        <f t="shared" si="6"/>
        <v>0.12388194341941047</v>
      </c>
      <c r="G33" s="2">
        <f t="shared" si="6"/>
        <v>3.0085102748006898E-2</v>
      </c>
      <c r="H33" s="2">
        <f t="shared" si="3"/>
        <v>4.1177171458261848</v>
      </c>
      <c r="I33" s="2">
        <f t="shared" si="4"/>
        <v>80.460037717880482</v>
      </c>
    </row>
    <row r="34" spans="1:9" ht="13.5" x14ac:dyDescent="0.25">
      <c r="A34" s="3">
        <f>TITRES_STAT!B37</f>
        <v>44966</v>
      </c>
      <c r="B34" s="5">
        <f>TITRES_STAT!D37</f>
        <v>5.2149999999999999</v>
      </c>
      <c r="C34" s="2">
        <f t="shared" si="0"/>
        <v>3.3999999999999808E-2</v>
      </c>
      <c r="D34" s="2">
        <f t="shared" si="1"/>
        <v>3.3999999999999808E-2</v>
      </c>
      <c r="E34" s="2">
        <f t="shared" si="2"/>
        <v>0</v>
      </c>
      <c r="F34" s="2">
        <f t="shared" si="6"/>
        <v>0.11746180460373827</v>
      </c>
      <c r="G34" s="2">
        <f t="shared" si="6"/>
        <v>2.7936166837434977E-2</v>
      </c>
      <c r="H34" s="2">
        <f t="shared" si="3"/>
        <v>4.2046500254407588</v>
      </c>
      <c r="I34" s="2">
        <f t="shared" si="4"/>
        <v>80.786412244590565</v>
      </c>
    </row>
    <row r="35" spans="1:9" ht="13.5" x14ac:dyDescent="0.25">
      <c r="A35" s="3">
        <f>TITRES_STAT!B38</f>
        <v>44967</v>
      </c>
      <c r="B35" s="5">
        <f>TITRES_STAT!D38</f>
        <v>5.2069999999999999</v>
      </c>
      <c r="C35" s="2">
        <f t="shared" si="0"/>
        <v>-8.0000000000000071E-3</v>
      </c>
      <c r="D35" s="2">
        <f t="shared" si="1"/>
        <v>0</v>
      </c>
      <c r="E35" s="2">
        <f t="shared" si="2"/>
        <v>8.0000000000000071E-3</v>
      </c>
      <c r="F35" s="2">
        <f t="shared" si="6"/>
        <v>0.10907167570347125</v>
      </c>
      <c r="G35" s="2">
        <f t="shared" si="6"/>
        <v>2.6512154920475338E-2</v>
      </c>
      <c r="H35" s="2">
        <f t="shared" si="3"/>
        <v>4.1140252850301202</v>
      </c>
      <c r="I35" s="2">
        <f t="shared" si="4"/>
        <v>80.445931643568116</v>
      </c>
    </row>
    <row r="36" spans="1:9" ht="13.5" x14ac:dyDescent="0.25">
      <c r="A36" s="3">
        <f>TITRES_STAT!B39</f>
        <v>44970</v>
      </c>
      <c r="B36" s="5">
        <f>TITRES_STAT!D39</f>
        <v>5.181</v>
      </c>
      <c r="C36" s="2">
        <f t="shared" si="0"/>
        <v>-2.5999999999999801E-2</v>
      </c>
      <c r="D36" s="2">
        <f t="shared" si="1"/>
        <v>0</v>
      </c>
      <c r="E36" s="2">
        <f t="shared" si="2"/>
        <v>2.5999999999999801E-2</v>
      </c>
      <c r="F36" s="2">
        <f t="shared" si="6"/>
        <v>0.10128084172465188</v>
      </c>
      <c r="G36" s="2">
        <f t="shared" si="6"/>
        <v>2.6475572426155659E-2</v>
      </c>
      <c r="H36" s="2">
        <f t="shared" si="3"/>
        <v>3.8254448324824453</v>
      </c>
      <c r="I36" s="2">
        <f t="shared" si="4"/>
        <v>79.276521963975057</v>
      </c>
    </row>
    <row r="37" spans="1:9" ht="13.5" x14ac:dyDescent="0.25">
      <c r="A37" s="3">
        <f>TITRES_STAT!B40</f>
        <v>44971</v>
      </c>
      <c r="B37" s="5">
        <f>TITRES_STAT!D40</f>
        <v>5.173</v>
      </c>
      <c r="C37" s="2">
        <f t="shared" si="0"/>
        <v>-8.0000000000000071E-3</v>
      </c>
      <c r="D37" s="2">
        <f t="shared" si="1"/>
        <v>0</v>
      </c>
      <c r="E37" s="2">
        <f t="shared" si="2"/>
        <v>8.0000000000000071E-3</v>
      </c>
      <c r="F37" s="2">
        <f t="shared" si="6"/>
        <v>9.4046495887176743E-2</v>
      </c>
      <c r="G37" s="2">
        <f t="shared" si="6"/>
        <v>2.5155888681430257E-2</v>
      </c>
      <c r="H37" s="2">
        <f t="shared" si="3"/>
        <v>3.7385479431144333</v>
      </c>
      <c r="I37" s="2">
        <f t="shared" si="4"/>
        <v>78.896488713317837</v>
      </c>
    </row>
    <row r="38" spans="1:9" ht="13.5" x14ac:dyDescent="0.25">
      <c r="A38" s="3">
        <f>TITRES_STAT!B41</f>
        <v>44972</v>
      </c>
      <c r="B38" s="5">
        <f>TITRES_STAT!D41</f>
        <v>5.1639999999999997</v>
      </c>
      <c r="C38" s="2">
        <f t="shared" si="0"/>
        <v>-9.0000000000003411E-3</v>
      </c>
      <c r="D38" s="2">
        <f t="shared" si="1"/>
        <v>0</v>
      </c>
      <c r="E38" s="2">
        <f t="shared" si="2"/>
        <v>9.0000000000003411E-3</v>
      </c>
      <c r="F38" s="2">
        <f t="shared" si="6"/>
        <v>8.7328889038092689E-2</v>
      </c>
      <c r="G38" s="2">
        <f t="shared" si="6"/>
        <v>2.4001896632756693E-2</v>
      </c>
      <c r="H38" s="2">
        <f t="shared" si="3"/>
        <v>3.6384161791160374</v>
      </c>
      <c r="I38" s="2">
        <f t="shared" si="4"/>
        <v>78.440916869374703</v>
      </c>
    </row>
    <row r="39" spans="1:9" ht="13.5" x14ac:dyDescent="0.25">
      <c r="A39" s="3">
        <f>TITRES_STAT!B42</f>
        <v>44973</v>
      </c>
      <c r="B39" s="5">
        <f>TITRES_STAT!D42</f>
        <v>5.181</v>
      </c>
      <c r="C39" s="2">
        <f t="shared" si="0"/>
        <v>1.7000000000000348E-2</v>
      </c>
      <c r="D39" s="2">
        <f t="shared" si="1"/>
        <v>1.7000000000000348E-2</v>
      </c>
      <c r="E39" s="2">
        <f t="shared" si="2"/>
        <v>0</v>
      </c>
      <c r="F39" s="2">
        <f t="shared" si="6"/>
        <v>8.2305396963943234E-2</v>
      </c>
      <c r="G39" s="2">
        <f t="shared" si="6"/>
        <v>2.2287475444702644E-2</v>
      </c>
      <c r="H39" s="2">
        <f t="shared" si="3"/>
        <v>3.6928990530197461</v>
      </c>
      <c r="I39" s="2">
        <f t="shared" si="4"/>
        <v>78.69121008779149</v>
      </c>
    </row>
    <row r="40" spans="1:9" ht="13.5" x14ac:dyDescent="0.25">
      <c r="A40" s="3">
        <f>TITRES_STAT!B43</f>
        <v>44974</v>
      </c>
      <c r="B40" s="5">
        <f>TITRES_STAT!D43</f>
        <v>5.1639999999999997</v>
      </c>
      <c r="C40" s="2">
        <f t="shared" si="0"/>
        <v>-1.7000000000000348E-2</v>
      </c>
      <c r="D40" s="2">
        <f t="shared" si="1"/>
        <v>0</v>
      </c>
      <c r="E40" s="2">
        <f t="shared" si="2"/>
        <v>1.7000000000000348E-2</v>
      </c>
      <c r="F40" s="2">
        <f t="shared" si="6"/>
        <v>7.6426440037947296E-2</v>
      </c>
      <c r="G40" s="2">
        <f t="shared" si="6"/>
        <v>2.1909798627223909E-2</v>
      </c>
      <c r="H40" s="2">
        <f t="shared" si="3"/>
        <v>3.4882310576320865</v>
      </c>
      <c r="I40" s="2">
        <f t="shared" si="4"/>
        <v>77.719507147486681</v>
      </c>
    </row>
    <row r="41" spans="1:9" ht="13.5" x14ac:dyDescent="0.25">
      <c r="A41" s="3">
        <f>TITRES_STAT!B44</f>
        <v>44977</v>
      </c>
      <c r="B41" s="5">
        <f>TITRES_STAT!D44</f>
        <v>5.1639999999999997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6"/>
        <v>7.0967408606665353E-2</v>
      </c>
      <c r="G41" s="2">
        <f t="shared" si="6"/>
        <v>2.0344813010993633E-2</v>
      </c>
      <c r="H41" s="2">
        <f t="shared" si="3"/>
        <v>3.4882310576320865</v>
      </c>
      <c r="I41" s="2">
        <f t="shared" si="4"/>
        <v>77.719507147486681</v>
      </c>
    </row>
    <row r="42" spans="1:9" ht="13.5" x14ac:dyDescent="0.25">
      <c r="A42" s="3">
        <f>TITRES_STAT!B45</f>
        <v>44978</v>
      </c>
      <c r="B42" s="5">
        <f>TITRES_STAT!D45</f>
        <v>5.1639999999999997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6.5898307991903535E-2</v>
      </c>
      <c r="G42" s="2">
        <f t="shared" si="6"/>
        <v>1.8891612081636946E-2</v>
      </c>
      <c r="H42" s="2">
        <f t="shared" si="3"/>
        <v>3.4882310576320861</v>
      </c>
      <c r="I42" s="2">
        <f t="shared" si="4"/>
        <v>77.719507147486681</v>
      </c>
    </row>
    <row r="43" spans="1:9" ht="13.5" x14ac:dyDescent="0.25">
      <c r="A43" s="3">
        <f>TITRES_STAT!B46</f>
        <v>44979</v>
      </c>
      <c r="B43" s="5">
        <f>TITRES_STAT!D46</f>
        <v>5.1639999999999997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6.1191285992481852E-2</v>
      </c>
      <c r="G43" s="2">
        <f t="shared" si="6"/>
        <v>1.7542211218662878E-2</v>
      </c>
      <c r="H43" s="2">
        <f t="shared" si="3"/>
        <v>3.4882310576320856</v>
      </c>
      <c r="I43" s="2">
        <f t="shared" si="4"/>
        <v>77.719507147486681</v>
      </c>
    </row>
    <row r="44" spans="1:9" ht="13.5" x14ac:dyDescent="0.25">
      <c r="A44" s="3">
        <f>TITRES_STAT!B47</f>
        <v>44980</v>
      </c>
      <c r="B44" s="5">
        <f>TITRES_STAT!D47</f>
        <v>5.1559999999999997</v>
      </c>
      <c r="C44" s="2">
        <f t="shared" si="0"/>
        <v>-8.0000000000000071E-3</v>
      </c>
      <c r="D44" s="2">
        <f t="shared" si="1"/>
        <v>0</v>
      </c>
      <c r="E44" s="2">
        <f t="shared" si="2"/>
        <v>8.0000000000000071E-3</v>
      </c>
      <c r="F44" s="2">
        <f t="shared" si="6"/>
        <v>5.6820479850161719E-2</v>
      </c>
      <c r="G44" s="2">
        <f t="shared" si="6"/>
        <v>1.6860624703044103E-2</v>
      </c>
      <c r="H44" s="2">
        <f t="shared" si="3"/>
        <v>3.3700103555417527</v>
      </c>
      <c r="I44" s="2">
        <f t="shared" si="4"/>
        <v>77.116759031660706</v>
      </c>
    </row>
    <row r="45" spans="1:9" ht="13.5" x14ac:dyDescent="0.25">
      <c r="A45" s="3">
        <f>TITRES_STAT!B48</f>
        <v>44981</v>
      </c>
      <c r="B45" s="5">
        <f>TITRES_STAT!D48</f>
        <v>5.1559999999999997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5.2761874146578736E-2</v>
      </c>
      <c r="G45" s="2">
        <f t="shared" si="7"/>
        <v>1.565629436711238E-2</v>
      </c>
      <c r="H45" s="2">
        <f t="shared" si="3"/>
        <v>3.3700103555417531</v>
      </c>
      <c r="I45" s="2">
        <f t="shared" si="4"/>
        <v>77.116759031660706</v>
      </c>
    </row>
    <row r="46" spans="1:9" ht="13.5" x14ac:dyDescent="0.25">
      <c r="A46" s="3">
        <f>TITRES_STAT!B49</f>
        <v>44984</v>
      </c>
      <c r="B46" s="5">
        <f>TITRES_STAT!D49</f>
        <v>5.1559999999999997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7"/>
        <v>4.8993168850394543E-2</v>
      </c>
      <c r="G46" s="2">
        <f t="shared" si="7"/>
        <v>1.4537987626604352E-2</v>
      </c>
      <c r="H46" s="2">
        <f t="shared" si="3"/>
        <v>3.3700103555417531</v>
      </c>
      <c r="I46" s="2">
        <f t="shared" si="4"/>
        <v>77.116759031660706</v>
      </c>
    </row>
    <row r="47" spans="1:9" ht="13.5" x14ac:dyDescent="0.25">
      <c r="A47" s="3">
        <f>TITRES_STAT!B50</f>
        <v>44985</v>
      </c>
      <c r="B47" s="5">
        <f>TITRES_STAT!D50</f>
        <v>5.1470000000000002</v>
      </c>
      <c r="C47" s="2">
        <f t="shared" si="0"/>
        <v>-8.9999999999994529E-3</v>
      </c>
      <c r="D47" s="2">
        <f t="shared" si="1"/>
        <v>0</v>
      </c>
      <c r="E47" s="2">
        <f t="shared" si="2"/>
        <v>8.9999999999994529E-3</v>
      </c>
      <c r="F47" s="2">
        <f t="shared" si="7"/>
        <v>4.5493656789652073E-2</v>
      </c>
      <c r="G47" s="2">
        <f t="shared" si="7"/>
        <v>1.4142417081846858E-2</v>
      </c>
      <c r="H47" s="2">
        <f t="shared" si="3"/>
        <v>3.2168233001731736</v>
      </c>
      <c r="I47" s="2">
        <f t="shared" si="4"/>
        <v>76.28546588710671</v>
      </c>
    </row>
    <row r="48" spans="1:9" ht="13.5" x14ac:dyDescent="0.25">
      <c r="A48" s="3">
        <f>TITRES_STAT!B51</f>
        <v>44986</v>
      </c>
      <c r="B48" s="5">
        <f>TITRES_STAT!D51</f>
        <v>5.1390000000000002</v>
      </c>
      <c r="C48" s="2">
        <f t="shared" si="0"/>
        <v>-8.0000000000000071E-3</v>
      </c>
      <c r="D48" s="2">
        <f t="shared" si="1"/>
        <v>0</v>
      </c>
      <c r="E48" s="2">
        <f t="shared" si="2"/>
        <v>8.0000000000000071E-3</v>
      </c>
      <c r="F48" s="2">
        <f t="shared" si="7"/>
        <v>4.2244109876105496E-2</v>
      </c>
      <c r="G48" s="2">
        <f t="shared" si="7"/>
        <v>1.3703673004572082E-2</v>
      </c>
      <c r="H48" s="2">
        <f t="shared" si="3"/>
        <v>3.0826851941089961</v>
      </c>
      <c r="I48" s="2">
        <f t="shared" si="4"/>
        <v>75.506316248852016</v>
      </c>
    </row>
    <row r="49" spans="1:9" ht="13.5" x14ac:dyDescent="0.25">
      <c r="A49" s="3">
        <f>TITRES_STAT!B52</f>
        <v>44987</v>
      </c>
      <c r="B49" s="5">
        <f>TITRES_STAT!D52</f>
        <v>5.1390000000000002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3.9226673456383677E-2</v>
      </c>
      <c r="G49" s="2">
        <f t="shared" si="7"/>
        <v>1.2724839218531219E-2</v>
      </c>
      <c r="H49" s="2">
        <f t="shared" si="3"/>
        <v>3.0826851941089961</v>
      </c>
      <c r="I49" s="2">
        <f t="shared" si="4"/>
        <v>75.506316248852016</v>
      </c>
    </row>
    <row r="50" spans="1:9" ht="13.5" x14ac:dyDescent="0.25">
      <c r="A50" s="3">
        <f>TITRES_STAT!B53</f>
        <v>44988</v>
      </c>
      <c r="B50" s="5">
        <f>TITRES_STAT!D53</f>
        <v>5.13</v>
      </c>
      <c r="C50" s="2">
        <f t="shared" si="0"/>
        <v>-9.0000000000003411E-3</v>
      </c>
      <c r="D50" s="2">
        <f t="shared" si="1"/>
        <v>0</v>
      </c>
      <c r="E50" s="2">
        <f t="shared" si="2"/>
        <v>9.0000000000003411E-3</v>
      </c>
      <c r="F50" s="2">
        <f t="shared" si="7"/>
        <v>3.642476820949913E-2</v>
      </c>
      <c r="G50" s="2">
        <f t="shared" si="7"/>
        <v>1.2458779274350443E-2</v>
      </c>
      <c r="H50" s="2">
        <f t="shared" si="3"/>
        <v>2.9236225642498339</v>
      </c>
      <c r="I50" s="2">
        <f t="shared" si="4"/>
        <v>74.513348732584006</v>
      </c>
    </row>
    <row r="51" spans="1:9" ht="13.5" x14ac:dyDescent="0.25">
      <c r="A51" s="3">
        <f>TITRES_STAT!B54</f>
        <v>44991</v>
      </c>
      <c r="B51" s="5">
        <f>TITRES_STAT!D54</f>
        <v>5.0960000000000001</v>
      </c>
      <c r="C51" s="2">
        <f t="shared" si="0"/>
        <v>-3.3999999999999808E-2</v>
      </c>
      <c r="D51" s="2">
        <f t="shared" si="1"/>
        <v>0</v>
      </c>
      <c r="E51" s="2">
        <f t="shared" si="2"/>
        <v>3.3999999999999808E-2</v>
      </c>
      <c r="F51" s="2">
        <f t="shared" si="7"/>
        <v>3.3822999051677759E-2</v>
      </c>
      <c r="G51" s="2">
        <f t="shared" si="7"/>
        <v>1.3997437897611112E-2</v>
      </c>
      <c r="H51" s="2">
        <f t="shared" si="3"/>
        <v>2.4163707172046247</v>
      </c>
      <c r="I51" s="2">
        <f t="shared" si="4"/>
        <v>70.729171896830053</v>
      </c>
    </row>
    <row r="52" spans="1:9" ht="13.5" x14ac:dyDescent="0.25">
      <c r="A52" s="3">
        <f>TITRES_STAT!B55</f>
        <v>44992</v>
      </c>
      <c r="B52" s="5">
        <f>TITRES_STAT!D55</f>
        <v>5.0960000000000001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3.1407070547986492E-2</v>
      </c>
      <c r="G52" s="2">
        <f t="shared" si="7"/>
        <v>1.2997620904924604E-2</v>
      </c>
      <c r="H52" s="2">
        <f t="shared" si="3"/>
        <v>2.4163707172046252</v>
      </c>
      <c r="I52" s="2">
        <f t="shared" si="4"/>
        <v>70.729171896830053</v>
      </c>
    </row>
    <row r="53" spans="1:9" ht="13.5" x14ac:dyDescent="0.25">
      <c r="A53" s="3">
        <f>TITRES_STAT!B56</f>
        <v>44993</v>
      </c>
      <c r="B53" s="5">
        <f>TITRES_STAT!D56</f>
        <v>5.0880000000000001</v>
      </c>
      <c r="C53" s="2">
        <f t="shared" si="0"/>
        <v>-8.0000000000000071E-3</v>
      </c>
      <c r="D53" s="2">
        <f t="shared" si="1"/>
        <v>0</v>
      </c>
      <c r="E53" s="2">
        <f t="shared" si="2"/>
        <v>8.0000000000000071E-3</v>
      </c>
      <c r="F53" s="2">
        <f t="shared" si="7"/>
        <v>2.9163708365987456E-2</v>
      </c>
      <c r="G53" s="2">
        <f t="shared" si="7"/>
        <v>1.2640647983144276E-2</v>
      </c>
      <c r="H53" s="2">
        <f t="shared" si="3"/>
        <v>2.3071371344946812</v>
      </c>
      <c r="I53" s="2">
        <f t="shared" si="4"/>
        <v>69.762366683569766</v>
      </c>
    </row>
    <row r="54" spans="1:9" ht="13.5" x14ac:dyDescent="0.25">
      <c r="A54" s="3">
        <f>TITRES_STAT!B57</f>
        <v>44994</v>
      </c>
      <c r="B54" s="5">
        <f>TITRES_STAT!D57</f>
        <v>5.3090000000000002</v>
      </c>
      <c r="C54" s="2">
        <f t="shared" si="0"/>
        <v>0.22100000000000009</v>
      </c>
      <c r="D54" s="2">
        <f t="shared" si="1"/>
        <v>0.22100000000000009</v>
      </c>
      <c r="E54" s="2">
        <f t="shared" si="2"/>
        <v>0</v>
      </c>
      <c r="F54" s="2">
        <f t="shared" si="7"/>
        <v>4.2866300625559788E-2</v>
      </c>
      <c r="G54" s="2">
        <f t="shared" si="7"/>
        <v>1.1737744555776827E-2</v>
      </c>
      <c r="H54" s="2">
        <f t="shared" si="3"/>
        <v>3.6520048993963483</v>
      </c>
      <c r="I54" s="2">
        <f t="shared" si="4"/>
        <v>78.503891942810256</v>
      </c>
    </row>
    <row r="55" spans="1:9" ht="13.5" x14ac:dyDescent="0.25">
      <c r="A55" s="3">
        <f>TITRES_STAT!B58</f>
        <v>44995</v>
      </c>
      <c r="B55" s="5">
        <f>TITRES_STAT!D58</f>
        <v>5.3339999999999996</v>
      </c>
      <c r="C55" s="2">
        <f t="shared" si="0"/>
        <v>2.4999999999999467E-2</v>
      </c>
      <c r="D55" s="2">
        <f t="shared" si="1"/>
        <v>2.4999999999999467E-2</v>
      </c>
      <c r="E55" s="2">
        <f t="shared" si="2"/>
        <v>0</v>
      </c>
      <c r="F55" s="2">
        <f t="shared" si="7"/>
        <v>4.1590136295162623E-2</v>
      </c>
      <c r="G55" s="2">
        <f t="shared" si="7"/>
        <v>1.0899334230364197E-2</v>
      </c>
      <c r="H55" s="2">
        <f t="shared" si="3"/>
        <v>3.8158419052145085</v>
      </c>
      <c r="I55" s="2">
        <f t="shared" si="4"/>
        <v>79.235198752741084</v>
      </c>
    </row>
    <row r="56" spans="1:9" ht="13.5" x14ac:dyDescent="0.25">
      <c r="A56" s="3">
        <f>TITRES_STAT!B59</f>
        <v>44998</v>
      </c>
      <c r="B56" s="5">
        <f>TITRES_STAT!D59</f>
        <v>5.3259999999999996</v>
      </c>
      <c r="C56" s="2">
        <f t="shared" si="0"/>
        <v>-8.0000000000000071E-3</v>
      </c>
      <c r="D56" s="2">
        <f t="shared" si="1"/>
        <v>0</v>
      </c>
      <c r="E56" s="2">
        <f t="shared" si="2"/>
        <v>8.0000000000000071E-3</v>
      </c>
      <c r="F56" s="2">
        <f t="shared" si="7"/>
        <v>3.8619412274079577E-2</v>
      </c>
      <c r="G56" s="2">
        <f t="shared" si="7"/>
        <v>1.0692238928195328E-2</v>
      </c>
      <c r="H56" s="2">
        <f t="shared" si="3"/>
        <v>3.6119107077041246</v>
      </c>
      <c r="I56" s="2">
        <f t="shared" si="4"/>
        <v>78.317012982720684</v>
      </c>
    </row>
    <row r="57" spans="1:9" ht="13.5" x14ac:dyDescent="0.25">
      <c r="A57" s="3">
        <f>TITRES_STAT!B60</f>
        <v>44999</v>
      </c>
      <c r="B57" s="5">
        <f>TITRES_STAT!D60</f>
        <v>5.3849999999999998</v>
      </c>
      <c r="C57" s="2">
        <f t="shared" si="0"/>
        <v>5.9000000000000163E-2</v>
      </c>
      <c r="D57" s="2">
        <f t="shared" si="1"/>
        <v>5.9000000000000163E-2</v>
      </c>
      <c r="E57" s="2">
        <f t="shared" si="2"/>
        <v>0</v>
      </c>
      <c r="F57" s="2">
        <f t="shared" si="7"/>
        <v>4.0075168540216762E-2</v>
      </c>
      <c r="G57" s="2">
        <f t="shared" si="7"/>
        <v>9.9285075761813748E-3</v>
      </c>
      <c r="H57" s="2">
        <f t="shared" si="3"/>
        <v>4.0363738691560895</v>
      </c>
      <c r="I57" s="2">
        <f t="shared" si="4"/>
        <v>80.144444674287797</v>
      </c>
    </row>
    <row r="58" spans="1:9" ht="13.5" x14ac:dyDescent="0.25">
      <c r="A58" s="3">
        <f>TITRES_STAT!B61</f>
        <v>45000</v>
      </c>
      <c r="B58" s="5">
        <f>TITRES_STAT!D61</f>
        <v>5.4359999999999999</v>
      </c>
      <c r="C58" s="2">
        <f t="shared" si="0"/>
        <v>5.1000000000000156E-2</v>
      </c>
      <c r="D58" s="2">
        <f t="shared" si="1"/>
        <v>5.1000000000000156E-2</v>
      </c>
      <c r="E58" s="2">
        <f t="shared" si="2"/>
        <v>0</v>
      </c>
      <c r="F58" s="2">
        <f t="shared" si="7"/>
        <v>4.0855513644487008E-2</v>
      </c>
      <c r="G58" s="2">
        <f t="shared" si="7"/>
        <v>9.2193284635969912E-3</v>
      </c>
      <c r="H58" s="2">
        <f t="shared" si="3"/>
        <v>4.4315064601296266</v>
      </c>
      <c r="I58" s="2">
        <f t="shared" si="4"/>
        <v>81.588901581162176</v>
      </c>
    </row>
    <row r="59" spans="1:9" ht="13.5" x14ac:dyDescent="0.25">
      <c r="A59" s="3">
        <f>TITRES_STAT!B62</f>
        <v>45001</v>
      </c>
      <c r="B59" s="5">
        <f>TITRES_STAT!D62</f>
        <v>5.4359999999999999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3.7937262669880796E-2</v>
      </c>
      <c r="G59" s="2">
        <f t="shared" si="7"/>
        <v>8.5608050019114913E-3</v>
      </c>
      <c r="H59" s="2">
        <f t="shared" si="3"/>
        <v>4.4315064601296266</v>
      </c>
      <c r="I59" s="2">
        <f t="shared" si="4"/>
        <v>81.588901581162176</v>
      </c>
    </row>
    <row r="60" spans="1:9" ht="13.5" x14ac:dyDescent="0.25">
      <c r="A60" s="3">
        <f>TITRES_STAT!B63</f>
        <v>45002</v>
      </c>
      <c r="B60" s="5">
        <f>TITRES_STAT!D63</f>
        <v>5.3940000000000001</v>
      </c>
      <c r="C60" s="2">
        <f t="shared" si="0"/>
        <v>-4.1999999999999815E-2</v>
      </c>
      <c r="D60" s="2">
        <f t="shared" si="1"/>
        <v>0</v>
      </c>
      <c r="E60" s="2">
        <f t="shared" si="2"/>
        <v>4.1999999999999815E-2</v>
      </c>
      <c r="F60" s="2">
        <f t="shared" si="7"/>
        <v>3.5227458193460744E-2</v>
      </c>
      <c r="G60" s="2">
        <f t="shared" si="7"/>
        <v>1.0949318930346372E-2</v>
      </c>
      <c r="H60" s="2">
        <f t="shared" si="3"/>
        <v>3.2173195810222284</v>
      </c>
      <c r="I60" s="2">
        <f t="shared" si="4"/>
        <v>76.288256538585301</v>
      </c>
    </row>
    <row r="61" spans="1:9" ht="13.5" x14ac:dyDescent="0.25">
      <c r="A61" s="3">
        <f>TITRES_STAT!B64</f>
        <v>45006</v>
      </c>
      <c r="B61" s="5">
        <f>TITRES_STAT!D64</f>
        <v>5.3940000000000001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3.2711211179642118E-2</v>
      </c>
      <c r="G61" s="2">
        <f t="shared" si="8"/>
        <v>1.0167224721035917E-2</v>
      </c>
      <c r="H61" s="2">
        <f t="shared" si="3"/>
        <v>3.2173195810222279</v>
      </c>
      <c r="I61" s="2">
        <f t="shared" si="4"/>
        <v>76.288256538585301</v>
      </c>
    </row>
    <row r="62" spans="1:9" ht="13.5" x14ac:dyDescent="0.25">
      <c r="A62" s="3">
        <f>TITRES_STAT!B65</f>
        <v>45007</v>
      </c>
      <c r="B62" s="5">
        <f>TITRES_STAT!D65</f>
        <v>5.3849999999999998</v>
      </c>
      <c r="C62" s="2">
        <f t="shared" si="0"/>
        <v>-9.0000000000003411E-3</v>
      </c>
      <c r="D62" s="2">
        <f t="shared" si="1"/>
        <v>0</v>
      </c>
      <c r="E62" s="2">
        <f t="shared" si="2"/>
        <v>9.0000000000003411E-3</v>
      </c>
      <c r="F62" s="2">
        <f t="shared" si="8"/>
        <v>3.0374696095381966E-2</v>
      </c>
      <c r="G62" s="2">
        <f t="shared" si="8"/>
        <v>1.0083851526676233E-2</v>
      </c>
      <c r="H62" s="2">
        <f t="shared" si="3"/>
        <v>3.0122117541127515</v>
      </c>
      <c r="I62" s="2">
        <f t="shared" si="4"/>
        <v>75.076091161565898</v>
      </c>
    </row>
    <row r="63" spans="1:9" ht="13.5" x14ac:dyDescent="0.25">
      <c r="A63" s="3">
        <f>TITRES_STAT!B66</f>
        <v>45008</v>
      </c>
      <c r="B63" s="5">
        <f>TITRES_STAT!D66</f>
        <v>5.3849999999999998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2.8205074945711828E-2</v>
      </c>
      <c r="G63" s="2">
        <f t="shared" si="8"/>
        <v>9.3635764176279307E-3</v>
      </c>
      <c r="H63" s="2">
        <f t="shared" si="3"/>
        <v>3.012211754112752</v>
      </c>
      <c r="I63" s="2">
        <f t="shared" si="4"/>
        <v>75.076091161565898</v>
      </c>
    </row>
    <row r="64" spans="1:9" ht="13.5" x14ac:dyDescent="0.25">
      <c r="A64" s="3">
        <f>TITRES_STAT!B67</f>
        <v>45009</v>
      </c>
      <c r="B64" s="5">
        <f>TITRES_STAT!D67</f>
        <v>5.351</v>
      </c>
      <c r="C64" s="2">
        <f t="shared" si="0"/>
        <v>-3.3999999999999808E-2</v>
      </c>
      <c r="D64" s="2">
        <f t="shared" si="1"/>
        <v>0</v>
      </c>
      <c r="E64" s="2">
        <f t="shared" si="2"/>
        <v>3.3999999999999808E-2</v>
      </c>
      <c r="F64" s="2">
        <f t="shared" si="8"/>
        <v>2.6190426735303841E-2</v>
      </c>
      <c r="G64" s="2">
        <f t="shared" si="8"/>
        <v>1.1123320959225922E-2</v>
      </c>
      <c r="H64" s="2">
        <f t="shared" si="3"/>
        <v>2.3545510222449293</v>
      </c>
      <c r="I64" s="2">
        <f t="shared" si="4"/>
        <v>70.189751374513861</v>
      </c>
    </row>
    <row r="65" spans="1:9" ht="13.5" x14ac:dyDescent="0.25">
      <c r="A65" s="3">
        <f>TITRES_STAT!B68</f>
        <v>45012</v>
      </c>
      <c r="B65" s="5">
        <f>TITRES_STAT!D68</f>
        <v>5.3259999999999996</v>
      </c>
      <c r="C65" s="2">
        <f t="shared" si="0"/>
        <v>-2.5000000000000355E-2</v>
      </c>
      <c r="D65" s="2">
        <f t="shared" si="1"/>
        <v>0</v>
      </c>
      <c r="E65" s="2">
        <f t="shared" si="2"/>
        <v>2.5000000000000355E-2</v>
      </c>
      <c r="F65" s="2">
        <f t="shared" si="8"/>
        <v>2.4319681968496425E-2</v>
      </c>
      <c r="G65" s="2">
        <f t="shared" si="8"/>
        <v>1.2114512319281238E-2</v>
      </c>
      <c r="H65" s="2">
        <f t="shared" si="3"/>
        <v>2.0074833660278393</v>
      </c>
      <c r="I65" s="2">
        <f t="shared" si="4"/>
        <v>66.749608283926804</v>
      </c>
    </row>
    <row r="66" spans="1:9" ht="13.5" x14ac:dyDescent="0.25">
      <c r="A66" s="3">
        <f>TITRES_STAT!B69</f>
        <v>45013</v>
      </c>
      <c r="B66" s="5">
        <f>TITRES_STAT!D69</f>
        <v>5.3</v>
      </c>
      <c r="C66" s="2">
        <f t="shared" si="0"/>
        <v>-2.5999999999999801E-2</v>
      </c>
      <c r="D66" s="2">
        <f t="shared" si="1"/>
        <v>0</v>
      </c>
      <c r="E66" s="2">
        <f t="shared" si="2"/>
        <v>2.5999999999999801E-2</v>
      </c>
      <c r="F66" s="2">
        <f t="shared" si="8"/>
        <v>2.2582561827889536E-2</v>
      </c>
      <c r="G66" s="2">
        <f t="shared" si="8"/>
        <v>1.3106332867903994E-2</v>
      </c>
      <c r="H66" s="2">
        <f t="shared" si="3"/>
        <v>1.7230267272695181</v>
      </c>
      <c r="I66" s="2">
        <f t="shared" si="4"/>
        <v>63.27615920969172</v>
      </c>
    </row>
    <row r="67" spans="1:9" ht="13.5" x14ac:dyDescent="0.25">
      <c r="A67" s="3">
        <f>TITRES_STAT!B70</f>
        <v>45014</v>
      </c>
      <c r="B67" s="5">
        <f>TITRES_STAT!D70</f>
        <v>5.2830000000000004</v>
      </c>
      <c r="C67" s="2">
        <f t="shared" ref="C67:C130" si="9">B67-B66</f>
        <v>-1.699999999999946E-2</v>
      </c>
      <c r="D67" s="2">
        <f t="shared" ref="D67:D130" si="10">IF(C67&gt;0,C67,0)</f>
        <v>0</v>
      </c>
      <c r="E67" s="2">
        <f t="shared" ref="E67:E130" si="11">IF(C67&lt;0,-C67,0)</f>
        <v>1.699999999999946E-2</v>
      </c>
      <c r="F67" s="2">
        <f t="shared" si="8"/>
        <v>2.0969521697325997E-2</v>
      </c>
      <c r="G67" s="2">
        <f t="shared" si="8"/>
        <v>1.3384451948767955E-2</v>
      </c>
      <c r="H67" s="2">
        <f t="shared" si="3"/>
        <v>1.5667075333074247</v>
      </c>
      <c r="I67" s="2">
        <f t="shared" si="4"/>
        <v>61.039581369389076</v>
      </c>
    </row>
    <row r="68" spans="1:9" ht="13.5" x14ac:dyDescent="0.25">
      <c r="A68" s="3">
        <f>TITRES_STAT!B71</f>
        <v>45015</v>
      </c>
      <c r="B68" s="5">
        <f>TITRES_STAT!D71</f>
        <v>5.3170000000000002</v>
      </c>
      <c r="C68" s="2">
        <f t="shared" si="9"/>
        <v>3.3999999999999808E-2</v>
      </c>
      <c r="D68" s="2">
        <f t="shared" si="10"/>
        <v>3.3999999999999808E-2</v>
      </c>
      <c r="E68" s="2">
        <f t="shared" si="11"/>
        <v>0</v>
      </c>
      <c r="F68" s="2">
        <f t="shared" si="8"/>
        <v>2.1900270147516981E-2</v>
      </c>
      <c r="G68" s="2">
        <f t="shared" si="8"/>
        <v>1.2428419666713101E-2</v>
      </c>
      <c r="H68" s="2">
        <f t="shared" si="3"/>
        <v>1.7621122181907192</v>
      </c>
      <c r="I68" s="2">
        <f t="shared" si="4"/>
        <v>63.795822870113682</v>
      </c>
    </row>
    <row r="69" spans="1:9" ht="13.5" x14ac:dyDescent="0.25">
      <c r="A69" s="3">
        <f>TITRES_STAT!B72</f>
        <v>45016</v>
      </c>
      <c r="B69" s="5">
        <f>TITRES_STAT!D72</f>
        <v>5.351</v>
      </c>
      <c r="C69" s="2">
        <f t="shared" si="9"/>
        <v>3.3999999999999808E-2</v>
      </c>
      <c r="D69" s="2">
        <f t="shared" si="10"/>
        <v>3.3999999999999808E-2</v>
      </c>
      <c r="E69" s="2">
        <f t="shared" si="11"/>
        <v>0</v>
      </c>
      <c r="F69" s="2">
        <f t="shared" si="8"/>
        <v>2.2764536565551469E-2</v>
      </c>
      <c r="G69" s="2">
        <f t="shared" si="8"/>
        <v>1.1540675404805023E-2</v>
      </c>
      <c r="H69" s="2">
        <f t="shared" si="3"/>
        <v>1.972548032680421</v>
      </c>
      <c r="I69" s="2">
        <f t="shared" si="4"/>
        <v>66.358827880797094</v>
      </c>
    </row>
    <row r="70" spans="1:9" ht="13.5" x14ac:dyDescent="0.25">
      <c r="A70" s="3">
        <f>TITRES_STAT!B73</f>
        <v>45019</v>
      </c>
      <c r="B70" s="5">
        <f>TITRES_STAT!D73</f>
        <v>5.351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2.1138498239440646E-2</v>
      </c>
      <c r="G70" s="2">
        <f t="shared" si="8"/>
        <v>1.071634144731895E-2</v>
      </c>
      <c r="H70" s="2">
        <f t="shared" si="3"/>
        <v>1.9725480326804206</v>
      </c>
      <c r="I70" s="2">
        <f t="shared" si="4"/>
        <v>66.358827880797094</v>
      </c>
    </row>
    <row r="71" spans="1:9" ht="13.5" x14ac:dyDescent="0.25">
      <c r="A71" s="3">
        <f>TITRES_STAT!B74</f>
        <v>45020</v>
      </c>
      <c r="B71" s="5">
        <f>TITRES_STAT!D74</f>
        <v>5.351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1.9628605508052031E-2</v>
      </c>
      <c r="G71" s="2">
        <f t="shared" si="8"/>
        <v>9.9508884867961674E-3</v>
      </c>
      <c r="H71" s="2">
        <f t="shared" si="3"/>
        <v>1.972548032680421</v>
      </c>
      <c r="I71" s="2">
        <f t="shared" si="4"/>
        <v>66.358827880797094</v>
      </c>
    </row>
    <row r="72" spans="1:9" ht="13.5" x14ac:dyDescent="0.25">
      <c r="A72" s="3">
        <f>TITRES_STAT!B75</f>
        <v>45021</v>
      </c>
      <c r="B72" s="5">
        <f>TITRES_STAT!D75</f>
        <v>5.351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1.8226562257476885E-2</v>
      </c>
      <c r="G72" s="2">
        <f t="shared" si="8"/>
        <v>9.2401107377392978E-3</v>
      </c>
      <c r="H72" s="2">
        <f t="shared" si="3"/>
        <v>1.972548032680421</v>
      </c>
      <c r="I72" s="2">
        <f t="shared" si="4"/>
        <v>66.358827880797094</v>
      </c>
    </row>
    <row r="73" spans="1:9" ht="13.5" x14ac:dyDescent="0.25">
      <c r="A73" s="3">
        <f>TITRES_STAT!B76</f>
        <v>45022</v>
      </c>
      <c r="B73" s="5">
        <f>TITRES_STAT!D76</f>
        <v>5.3940000000000001</v>
      </c>
      <c r="C73" s="2">
        <f t="shared" si="9"/>
        <v>4.3000000000000149E-2</v>
      </c>
      <c r="D73" s="2">
        <f t="shared" si="10"/>
        <v>4.3000000000000149E-2</v>
      </c>
      <c r="E73" s="2">
        <f t="shared" si="11"/>
        <v>0</v>
      </c>
      <c r="F73" s="2">
        <f t="shared" si="8"/>
        <v>1.9996093524799974E-2</v>
      </c>
      <c r="G73" s="2">
        <f t="shared" si="8"/>
        <v>8.5801028279007766E-3</v>
      </c>
      <c r="H73" s="2">
        <f t="shared" si="3"/>
        <v>2.3305191005143531</v>
      </c>
      <c r="I73" s="2">
        <f t="shared" si="4"/>
        <v>69.974650502813091</v>
      </c>
    </row>
    <row r="74" spans="1:9" ht="13.5" x14ac:dyDescent="0.25">
      <c r="A74" s="3">
        <f>TITRES_STAT!B77</f>
        <v>45023</v>
      </c>
      <c r="B74" s="5">
        <f>TITRES_STAT!D77</f>
        <v>5.3940000000000001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1.8567801130171403E-2</v>
      </c>
      <c r="G74" s="2">
        <f t="shared" si="8"/>
        <v>7.9672383401935779E-3</v>
      </c>
      <c r="H74" s="2">
        <f t="shared" si="3"/>
        <v>2.3305191005143531</v>
      </c>
      <c r="I74" s="2">
        <f t="shared" si="4"/>
        <v>69.974650502813091</v>
      </c>
    </row>
    <row r="75" spans="1:9" ht="13.5" x14ac:dyDescent="0.25">
      <c r="A75" s="3">
        <f>TITRES_STAT!B78</f>
        <v>45026</v>
      </c>
      <c r="B75" s="5">
        <f>TITRES_STAT!D78</f>
        <v>5.4359999999999999</v>
      </c>
      <c r="C75" s="2">
        <f t="shared" si="9"/>
        <v>4.1999999999999815E-2</v>
      </c>
      <c r="D75" s="2">
        <f t="shared" si="10"/>
        <v>4.1999999999999815E-2</v>
      </c>
      <c r="E75" s="2">
        <f t="shared" si="11"/>
        <v>0</v>
      </c>
      <c r="F75" s="2">
        <f t="shared" si="8"/>
        <v>2.0241529620873434E-2</v>
      </c>
      <c r="G75" s="2">
        <f t="shared" si="8"/>
        <v>7.3981498873226083E-3</v>
      </c>
      <c r="H75" s="2">
        <f t="shared" si="3"/>
        <v>2.7360258887913456</v>
      </c>
      <c r="I75" s="2">
        <f t="shared" si="4"/>
        <v>73.233590190042463</v>
      </c>
    </row>
    <row r="76" spans="1:9" ht="13.5" x14ac:dyDescent="0.25">
      <c r="A76" s="3">
        <f>TITRES_STAT!B79</f>
        <v>45027</v>
      </c>
      <c r="B76" s="5">
        <f>TITRES_STAT!D79</f>
        <v>5.5129999999999999</v>
      </c>
      <c r="C76" s="2">
        <f t="shared" si="9"/>
        <v>7.6999999999999957E-2</v>
      </c>
      <c r="D76" s="2">
        <f t="shared" si="10"/>
        <v>7.6999999999999957E-2</v>
      </c>
      <c r="E76" s="2">
        <f t="shared" si="11"/>
        <v>0</v>
      </c>
      <c r="F76" s="2">
        <f t="shared" si="8"/>
        <v>2.4295706076525331E-2</v>
      </c>
      <c r="G76" s="2">
        <f t="shared" si="8"/>
        <v>6.8697106096567082E-3</v>
      </c>
      <c r="H76" s="2">
        <f t="shared" si="3"/>
        <v>3.5366418553895143</v>
      </c>
      <c r="I76" s="2">
        <f t="shared" si="4"/>
        <v>77.957263723341896</v>
      </c>
    </row>
    <row r="77" spans="1:9" ht="13.5" x14ac:dyDescent="0.25">
      <c r="A77" s="3">
        <f>TITRES_STAT!B80</f>
        <v>45028</v>
      </c>
      <c r="B77" s="5">
        <f>TITRES_STAT!D80</f>
        <v>5.4960000000000004</v>
      </c>
      <c r="C77" s="2">
        <f t="shared" si="9"/>
        <v>-1.699999999999946E-2</v>
      </c>
      <c r="D77" s="2">
        <f t="shared" si="10"/>
        <v>0</v>
      </c>
      <c r="E77" s="2">
        <f t="shared" si="11"/>
        <v>1.699999999999946E-2</v>
      </c>
      <c r="F77" s="2">
        <f t="shared" ref="F77:G92" si="12">((F76*13)+D77)/14</f>
        <v>2.2560298499630666E-2</v>
      </c>
      <c r="G77" s="2">
        <f t="shared" si="12"/>
        <v>7.5933027089669048E-3</v>
      </c>
      <c r="H77" s="2">
        <f t="shared" si="3"/>
        <v>2.9710785101441153</v>
      </c>
      <c r="I77" s="2">
        <f t="shared" si="4"/>
        <v>74.817924212641444</v>
      </c>
    </row>
    <row r="78" spans="1:9" ht="13.5" x14ac:dyDescent="0.25">
      <c r="A78" s="3">
        <f>TITRES_STAT!B81</f>
        <v>45029</v>
      </c>
      <c r="B78" s="5">
        <f>TITRES_STAT!D81</f>
        <v>5.4960000000000004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2.0948848606799905E-2</v>
      </c>
      <c r="G78" s="2">
        <f t="shared" si="12"/>
        <v>7.0509239440406978E-3</v>
      </c>
      <c r="H78" s="2">
        <f t="shared" si="3"/>
        <v>2.9710785101441153</v>
      </c>
      <c r="I78" s="2">
        <f t="shared" si="4"/>
        <v>74.817924212641444</v>
      </c>
    </row>
    <row r="79" spans="1:9" ht="13.5" x14ac:dyDescent="0.25">
      <c r="A79" s="3">
        <f>TITRES_STAT!B82</f>
        <v>45030</v>
      </c>
      <c r="B79" s="5">
        <f>TITRES_STAT!D82</f>
        <v>5.47</v>
      </c>
      <c r="C79" s="2">
        <f t="shared" si="9"/>
        <v>-2.6000000000000689E-2</v>
      </c>
      <c r="D79" s="2">
        <f t="shared" si="10"/>
        <v>0</v>
      </c>
      <c r="E79" s="2">
        <f t="shared" si="11"/>
        <v>2.6000000000000689E-2</v>
      </c>
      <c r="F79" s="2">
        <f t="shared" si="12"/>
        <v>1.9452502277742766E-2</v>
      </c>
      <c r="G79" s="2">
        <f t="shared" si="12"/>
        <v>8.4044293766092678E-3</v>
      </c>
      <c r="H79" s="2">
        <f t="shared" si="3"/>
        <v>2.3145536009716339</v>
      </c>
      <c r="I79" s="2">
        <f t="shared" si="4"/>
        <v>69.830024782014135</v>
      </c>
    </row>
    <row r="80" spans="1:9" ht="13.5" x14ac:dyDescent="0.25">
      <c r="A80" s="3">
        <f>TITRES_STAT!B83</f>
        <v>45033</v>
      </c>
      <c r="B80" s="5">
        <f>TITRES_STAT!D83</f>
        <v>5.47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1.8063037829332568E-2</v>
      </c>
      <c r="G80" s="2">
        <f t="shared" si="12"/>
        <v>7.8041129925657485E-3</v>
      </c>
      <c r="H80" s="2">
        <f t="shared" si="3"/>
        <v>2.3145536009716339</v>
      </c>
      <c r="I80" s="2">
        <f t="shared" si="4"/>
        <v>69.830024782014135</v>
      </c>
    </row>
    <row r="81" spans="1:9" ht="13.5" x14ac:dyDescent="0.25">
      <c r="A81" s="3">
        <f>TITRES_STAT!B84</f>
        <v>45034</v>
      </c>
      <c r="B81" s="5">
        <f>TITRES_STAT!D84</f>
        <v>5.47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1.6772820841523099E-2</v>
      </c>
      <c r="G81" s="2">
        <f t="shared" si="12"/>
        <v>7.2466763502396234E-3</v>
      </c>
      <c r="H81" s="2">
        <f t="shared" ref="H81:H144" si="13">F81/G81</f>
        <v>2.3145536009716339</v>
      </c>
      <c r="I81" s="2">
        <f t="shared" ref="I81:I144" si="14">IF(G81=0,100,100-(100/(1+H81)))</f>
        <v>69.830024782014135</v>
      </c>
    </row>
    <row r="82" spans="1:9" ht="13.5" x14ac:dyDescent="0.25">
      <c r="A82" s="3">
        <f>TITRES_STAT!B85</f>
        <v>45035</v>
      </c>
      <c r="B82" s="5">
        <f>TITRES_STAT!D85</f>
        <v>5.47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1.5574762209985734E-2</v>
      </c>
      <c r="G82" s="2">
        <f t="shared" si="12"/>
        <v>6.7290566109367931E-3</v>
      </c>
      <c r="H82" s="2">
        <f t="shared" si="13"/>
        <v>2.3145536009716339</v>
      </c>
      <c r="I82" s="2">
        <f t="shared" si="14"/>
        <v>69.830024782014135</v>
      </c>
    </row>
    <row r="83" spans="1:9" ht="13.5" x14ac:dyDescent="0.25">
      <c r="A83" s="3">
        <f>TITRES_STAT!B86</f>
        <v>45036</v>
      </c>
      <c r="B83" s="5">
        <f>TITRES_STAT!D86</f>
        <v>5.47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1.4462279194986754E-2</v>
      </c>
      <c r="G83" s="2">
        <f t="shared" si="12"/>
        <v>6.2484097101555931E-3</v>
      </c>
      <c r="H83" s="2">
        <f t="shared" si="13"/>
        <v>2.3145536009716343</v>
      </c>
      <c r="I83" s="2">
        <f t="shared" si="14"/>
        <v>69.830024782014135</v>
      </c>
    </row>
    <row r="84" spans="1:9" ht="13.5" x14ac:dyDescent="0.25">
      <c r="A84" s="3">
        <f>TITRES_STAT!B87</f>
        <v>45040</v>
      </c>
      <c r="B84" s="5">
        <f>TITRES_STAT!D87</f>
        <v>5.4619999999999997</v>
      </c>
      <c r="C84" s="2">
        <f t="shared" si="9"/>
        <v>-8.0000000000000071E-3</v>
      </c>
      <c r="D84" s="2">
        <f t="shared" si="10"/>
        <v>0</v>
      </c>
      <c r="E84" s="2">
        <f t="shared" si="11"/>
        <v>8.0000000000000071E-3</v>
      </c>
      <c r="F84" s="2">
        <f t="shared" si="12"/>
        <v>1.34292592524877E-2</v>
      </c>
      <c r="G84" s="2">
        <f t="shared" si="12"/>
        <v>6.3735233022873374E-3</v>
      </c>
      <c r="H84" s="2">
        <f t="shared" si="13"/>
        <v>2.1070385429779774</v>
      </c>
      <c r="I84" s="2">
        <f t="shared" si="14"/>
        <v>67.815011427520361</v>
      </c>
    </row>
    <row r="85" spans="1:9" ht="13.5" x14ac:dyDescent="0.25">
      <c r="A85" s="3">
        <f>TITRES_STAT!B88</f>
        <v>45041</v>
      </c>
      <c r="B85" s="5">
        <f>TITRES_STAT!D88</f>
        <v>5.4619999999999997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1.247002644873858E-2</v>
      </c>
      <c r="G85" s="2">
        <f t="shared" si="12"/>
        <v>5.9182716378382424E-3</v>
      </c>
      <c r="H85" s="2">
        <f t="shared" si="13"/>
        <v>2.1070385429779774</v>
      </c>
      <c r="I85" s="2">
        <f t="shared" si="14"/>
        <v>67.815011427520361</v>
      </c>
    </row>
    <row r="86" spans="1:9" ht="13.5" x14ac:dyDescent="0.25">
      <c r="A86" s="3">
        <f>TITRES_STAT!B89</f>
        <v>45042</v>
      </c>
      <c r="B86" s="5">
        <f>TITRES_STAT!D89</f>
        <v>5.4530000000000003</v>
      </c>
      <c r="C86" s="2">
        <f t="shared" si="9"/>
        <v>-8.9999999999994529E-3</v>
      </c>
      <c r="D86" s="2">
        <f t="shared" si="10"/>
        <v>0</v>
      </c>
      <c r="E86" s="2">
        <f t="shared" si="11"/>
        <v>8.9999999999994529E-3</v>
      </c>
      <c r="F86" s="2">
        <f t="shared" si="12"/>
        <v>1.1579310273828681E-2</v>
      </c>
      <c r="G86" s="2">
        <f t="shared" si="12"/>
        <v>6.1383950922783287E-3</v>
      </c>
      <c r="H86" s="2">
        <f t="shared" si="13"/>
        <v>1.8863742231898111</v>
      </c>
      <c r="I86" s="2">
        <f t="shared" si="14"/>
        <v>65.354457784241418</v>
      </c>
    </row>
    <row r="87" spans="1:9" ht="13.5" x14ac:dyDescent="0.25">
      <c r="A87" s="3">
        <f>TITRES_STAT!B90</f>
        <v>45043</v>
      </c>
      <c r="B87" s="5">
        <f>TITRES_STAT!D90</f>
        <v>5.4530000000000003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1.0752216682840918E-2</v>
      </c>
      <c r="G87" s="2">
        <f t="shared" si="12"/>
        <v>5.699938299972734E-3</v>
      </c>
      <c r="H87" s="2">
        <f t="shared" si="13"/>
        <v>1.8863742231898109</v>
      </c>
      <c r="I87" s="2">
        <f t="shared" si="14"/>
        <v>65.354457784241404</v>
      </c>
    </row>
    <row r="88" spans="1:9" ht="13.5" x14ac:dyDescent="0.25">
      <c r="A88" s="3">
        <f>TITRES_STAT!B91</f>
        <v>45044</v>
      </c>
      <c r="B88" s="5">
        <f>TITRES_STAT!D91</f>
        <v>5.4359999999999999</v>
      </c>
      <c r="C88" s="2">
        <f t="shared" si="9"/>
        <v>-1.7000000000000348E-2</v>
      </c>
      <c r="D88" s="2">
        <f t="shared" si="10"/>
        <v>0</v>
      </c>
      <c r="E88" s="2">
        <f t="shared" si="11"/>
        <v>1.7000000000000348E-2</v>
      </c>
      <c r="F88" s="2">
        <f t="shared" si="12"/>
        <v>9.9842012054951381E-3</v>
      </c>
      <c r="G88" s="2">
        <f t="shared" si="12"/>
        <v>6.5070855642604206E-3</v>
      </c>
      <c r="H88" s="2">
        <f t="shared" si="13"/>
        <v>1.5343583708707413</v>
      </c>
      <c r="I88" s="2">
        <f t="shared" si="14"/>
        <v>60.542281174843268</v>
      </c>
    </row>
    <row r="89" spans="1:9" ht="13.5" x14ac:dyDescent="0.25">
      <c r="A89" s="3">
        <f>TITRES_STAT!B92</f>
        <v>45048</v>
      </c>
      <c r="B89" s="5">
        <f>TITRES_STAT!D92</f>
        <v>5.4359999999999999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9.2710439765311993E-3</v>
      </c>
      <c r="G89" s="2">
        <f t="shared" si="12"/>
        <v>6.042293738241819E-3</v>
      </c>
      <c r="H89" s="2">
        <f t="shared" si="13"/>
        <v>1.5343583708707413</v>
      </c>
      <c r="I89" s="2">
        <f t="shared" si="14"/>
        <v>60.542281174843268</v>
      </c>
    </row>
    <row r="90" spans="1:9" ht="13.5" x14ac:dyDescent="0.25">
      <c r="A90" s="3">
        <f>TITRES_STAT!B93</f>
        <v>45049</v>
      </c>
      <c r="B90" s="5">
        <f>TITRES_STAT!D93</f>
        <v>5.4189999999999996</v>
      </c>
      <c r="C90" s="2">
        <f t="shared" si="9"/>
        <v>-1.7000000000000348E-2</v>
      </c>
      <c r="D90" s="2">
        <f t="shared" si="10"/>
        <v>0</v>
      </c>
      <c r="E90" s="2">
        <f t="shared" si="11"/>
        <v>1.7000000000000348E-2</v>
      </c>
      <c r="F90" s="2">
        <f t="shared" si="12"/>
        <v>8.6088265496361126E-3</v>
      </c>
      <c r="G90" s="2">
        <f t="shared" si="12"/>
        <v>6.8249870426531425E-3</v>
      </c>
      <c r="H90" s="2">
        <f t="shared" si="13"/>
        <v>1.2613689221436999</v>
      </c>
      <c r="I90" s="2">
        <f t="shared" si="14"/>
        <v>55.7789978358757</v>
      </c>
    </row>
    <row r="91" spans="1:9" ht="13.5" x14ac:dyDescent="0.25">
      <c r="A91" s="3">
        <f>TITRES_STAT!B94</f>
        <v>45050</v>
      </c>
      <c r="B91" s="5">
        <f>TITRES_STAT!D94</f>
        <v>5.5209999999999999</v>
      </c>
      <c r="C91" s="2">
        <f t="shared" si="9"/>
        <v>0.10200000000000031</v>
      </c>
      <c r="D91" s="2">
        <f t="shared" si="10"/>
        <v>0.10200000000000031</v>
      </c>
      <c r="E91" s="2">
        <f t="shared" si="11"/>
        <v>0</v>
      </c>
      <c r="F91" s="2">
        <f t="shared" si="12"/>
        <v>1.5279624653233554E-2</v>
      </c>
      <c r="G91" s="2">
        <f t="shared" si="12"/>
        <v>6.3374879681779173E-3</v>
      </c>
      <c r="H91" s="2">
        <f t="shared" si="13"/>
        <v>2.4109907158729609</v>
      </c>
      <c r="I91" s="2">
        <f t="shared" si="14"/>
        <v>70.683004343971831</v>
      </c>
    </row>
    <row r="92" spans="1:9" ht="13.5" x14ac:dyDescent="0.25">
      <c r="A92" s="3">
        <f>TITRES_STAT!B95</f>
        <v>45051</v>
      </c>
      <c r="B92" s="5">
        <f>TITRES_STAT!D95</f>
        <v>5.5209999999999999</v>
      </c>
      <c r="C92" s="2">
        <f t="shared" si="9"/>
        <v>0</v>
      </c>
      <c r="D92" s="2">
        <f t="shared" si="10"/>
        <v>0</v>
      </c>
      <c r="E92" s="2">
        <f t="shared" si="11"/>
        <v>0</v>
      </c>
      <c r="F92" s="2">
        <f t="shared" si="12"/>
        <v>1.4188222892288301E-2</v>
      </c>
      <c r="G92" s="2">
        <f t="shared" si="12"/>
        <v>5.8848102561652096E-3</v>
      </c>
      <c r="H92" s="2">
        <f t="shared" si="13"/>
        <v>2.4109907158729609</v>
      </c>
      <c r="I92" s="2">
        <f t="shared" si="14"/>
        <v>70.683004343971831</v>
      </c>
    </row>
    <row r="93" spans="1:9" ht="13.5" x14ac:dyDescent="0.25">
      <c r="A93" s="3">
        <f>TITRES_STAT!B96</f>
        <v>45054</v>
      </c>
      <c r="B93" s="5">
        <f>TITRES_STAT!D96</f>
        <v>5.5209999999999999</v>
      </c>
      <c r="C93" s="2">
        <f t="shared" si="9"/>
        <v>0</v>
      </c>
      <c r="D93" s="2">
        <f t="shared" si="10"/>
        <v>0</v>
      </c>
      <c r="E93" s="2">
        <f t="shared" si="11"/>
        <v>0</v>
      </c>
      <c r="F93" s="2">
        <f t="shared" ref="F93:G108" si="15">((F92*13)+D93)/14</f>
        <v>1.3174778399981994E-2</v>
      </c>
      <c r="G93" s="2">
        <f t="shared" si="15"/>
        <v>5.4644666664391229E-3</v>
      </c>
      <c r="H93" s="2">
        <f t="shared" si="13"/>
        <v>2.4109907158729609</v>
      </c>
      <c r="I93" s="2">
        <f t="shared" si="14"/>
        <v>70.683004343971831</v>
      </c>
    </row>
    <row r="94" spans="1:9" ht="13.5" x14ac:dyDescent="0.25">
      <c r="A94" s="3">
        <f>TITRES_STAT!B97</f>
        <v>45055</v>
      </c>
      <c r="B94" s="5">
        <f>TITRES_STAT!D97</f>
        <v>5.5209999999999999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1.223372279998328E-2</v>
      </c>
      <c r="G94" s="2">
        <f t="shared" si="15"/>
        <v>5.0741476188363287E-3</v>
      </c>
      <c r="H94" s="2">
        <f t="shared" si="13"/>
        <v>2.4109907158729609</v>
      </c>
      <c r="I94" s="2">
        <f t="shared" si="14"/>
        <v>70.683004343971831</v>
      </c>
    </row>
    <row r="95" spans="1:9" ht="13.5" x14ac:dyDescent="0.25">
      <c r="A95" s="3">
        <f>TITRES_STAT!B98</f>
        <v>45056</v>
      </c>
      <c r="B95" s="5">
        <f>TITRES_STAT!D98</f>
        <v>5.5469999999999997</v>
      </c>
      <c r="C95" s="2">
        <f t="shared" si="9"/>
        <v>2.5999999999999801E-2</v>
      </c>
      <c r="D95" s="2">
        <f t="shared" si="10"/>
        <v>2.5999999999999801E-2</v>
      </c>
      <c r="E95" s="2">
        <f t="shared" si="11"/>
        <v>0</v>
      </c>
      <c r="F95" s="2">
        <f t="shared" si="15"/>
        <v>1.3217028314270175E-2</v>
      </c>
      <c r="G95" s="2">
        <f t="shared" si="15"/>
        <v>4.7117085032051618E-3</v>
      </c>
      <c r="H95" s="2">
        <f t="shared" si="13"/>
        <v>2.8051455868458817</v>
      </c>
      <c r="I95" s="2">
        <f t="shared" si="14"/>
        <v>73.719796597088717</v>
      </c>
    </row>
    <row r="96" spans="1:9" ht="13.5" x14ac:dyDescent="0.25">
      <c r="A96" s="3">
        <f>TITRES_STAT!B99</f>
        <v>45057</v>
      </c>
      <c r="B96" s="5">
        <f>TITRES_STAT!D99</f>
        <v>5.5549999999999997</v>
      </c>
      <c r="C96" s="2">
        <f t="shared" si="9"/>
        <v>8.0000000000000071E-3</v>
      </c>
      <c r="D96" s="2">
        <f t="shared" si="10"/>
        <v>8.0000000000000071E-3</v>
      </c>
      <c r="E96" s="2">
        <f t="shared" si="11"/>
        <v>0</v>
      </c>
      <c r="F96" s="2">
        <f t="shared" si="15"/>
        <v>1.2844383434679448E-2</v>
      </c>
      <c r="G96" s="2">
        <f t="shared" si="15"/>
        <v>4.3751578958333643E-3</v>
      </c>
      <c r="H96" s="2">
        <f t="shared" si="13"/>
        <v>2.9357531180558447</v>
      </c>
      <c r="I96" s="2">
        <f t="shared" si="14"/>
        <v>74.591902235626691</v>
      </c>
    </row>
    <row r="97" spans="1:9" ht="13.5" x14ac:dyDescent="0.25">
      <c r="A97" s="3">
        <f>TITRES_STAT!B100</f>
        <v>45058</v>
      </c>
      <c r="B97" s="5">
        <f>TITRES_STAT!D100</f>
        <v>5.5640000000000001</v>
      </c>
      <c r="C97" s="2">
        <f t="shared" si="9"/>
        <v>9.0000000000003411E-3</v>
      </c>
      <c r="D97" s="2">
        <f t="shared" si="10"/>
        <v>9.0000000000003411E-3</v>
      </c>
      <c r="E97" s="2">
        <f t="shared" si="11"/>
        <v>0</v>
      </c>
      <c r="F97" s="2">
        <f t="shared" si="15"/>
        <v>1.2569784617916654E-2</v>
      </c>
      <c r="G97" s="2">
        <f t="shared" si="15"/>
        <v>4.0626466175595526E-3</v>
      </c>
      <c r="H97" s="2">
        <f t="shared" si="13"/>
        <v>3.0939891654833054</v>
      </c>
      <c r="I97" s="2">
        <f t="shared" si="14"/>
        <v>75.573946105400907</v>
      </c>
    </row>
    <row r="98" spans="1:9" ht="13.5" x14ac:dyDescent="0.25">
      <c r="A98" s="3">
        <f>TITRES_STAT!B101</f>
        <v>45061</v>
      </c>
      <c r="B98" s="5">
        <f>TITRES_STAT!D101</f>
        <v>5.5640000000000001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1.1671942859494036E-2</v>
      </c>
      <c r="G98" s="2">
        <f t="shared" si="15"/>
        <v>3.772457573448156E-3</v>
      </c>
      <c r="H98" s="2">
        <f t="shared" si="13"/>
        <v>3.0939891654833054</v>
      </c>
      <c r="I98" s="2">
        <f t="shared" si="14"/>
        <v>75.573946105400907</v>
      </c>
    </row>
    <row r="99" spans="1:9" ht="13.5" x14ac:dyDescent="0.25">
      <c r="A99" s="3">
        <f>TITRES_STAT!B102</f>
        <v>45062</v>
      </c>
      <c r="B99" s="5">
        <f>TITRES_STAT!D102</f>
        <v>5.5890000000000004</v>
      </c>
      <c r="C99" s="2">
        <f t="shared" si="9"/>
        <v>2.5000000000000355E-2</v>
      </c>
      <c r="D99" s="2">
        <f t="shared" si="10"/>
        <v>2.5000000000000355E-2</v>
      </c>
      <c r="E99" s="2">
        <f t="shared" si="11"/>
        <v>0</v>
      </c>
      <c r="F99" s="2">
        <f t="shared" si="15"/>
        <v>1.2623946940958771E-2</v>
      </c>
      <c r="G99" s="2">
        <f t="shared" si="15"/>
        <v>3.5029963182018589E-3</v>
      </c>
      <c r="H99" s="2">
        <f t="shared" si="13"/>
        <v>3.6037568396414517</v>
      </c>
      <c r="I99" s="2">
        <f t="shared" si="14"/>
        <v>78.278609517572136</v>
      </c>
    </row>
    <row r="100" spans="1:9" ht="13.5" x14ac:dyDescent="0.25">
      <c r="A100" s="3">
        <f>TITRES_STAT!B103</f>
        <v>45063</v>
      </c>
      <c r="B100" s="5">
        <f>TITRES_STAT!D103</f>
        <v>5.5979999999999999</v>
      </c>
      <c r="C100" s="2">
        <f t="shared" si="9"/>
        <v>8.9999999999994529E-3</v>
      </c>
      <c r="D100" s="2">
        <f t="shared" si="10"/>
        <v>8.9999999999994529E-3</v>
      </c>
      <c r="E100" s="2">
        <f t="shared" si="11"/>
        <v>0</v>
      </c>
      <c r="F100" s="2">
        <f t="shared" si="15"/>
        <v>1.2365093588033105E-2</v>
      </c>
      <c r="G100" s="2">
        <f t="shared" si="15"/>
        <v>3.2527822954731547E-3</v>
      </c>
      <c r="H100" s="2">
        <f t="shared" si="13"/>
        <v>3.8013898456227486</v>
      </c>
      <c r="I100" s="2">
        <f t="shared" si="14"/>
        <v>79.17269723657904</v>
      </c>
    </row>
    <row r="101" spans="1:9" ht="13.5" x14ac:dyDescent="0.25">
      <c r="A101" s="3">
        <f>TITRES_STAT!B104</f>
        <v>45064</v>
      </c>
      <c r="B101" s="5">
        <f>TITRES_STAT!D104</f>
        <v>5.5890000000000004</v>
      </c>
      <c r="C101" s="2">
        <f t="shared" si="9"/>
        <v>-8.9999999999994529E-3</v>
      </c>
      <c r="D101" s="2">
        <f t="shared" si="10"/>
        <v>0</v>
      </c>
      <c r="E101" s="2">
        <f t="shared" si="11"/>
        <v>8.9999999999994529E-3</v>
      </c>
      <c r="F101" s="2">
        <f t="shared" si="15"/>
        <v>1.1481872617459312E-2</v>
      </c>
      <c r="G101" s="2">
        <f t="shared" si="15"/>
        <v>3.6632978457964613E-3</v>
      </c>
      <c r="H101" s="2">
        <f t="shared" si="13"/>
        <v>3.1342995030105074</v>
      </c>
      <c r="I101" s="2">
        <f t="shared" si="14"/>
        <v>75.812105550847932</v>
      </c>
    </row>
    <row r="102" spans="1:9" ht="13.5" x14ac:dyDescent="0.25">
      <c r="A102" s="3">
        <f>TITRES_STAT!B105</f>
        <v>45065</v>
      </c>
      <c r="B102" s="5">
        <f>TITRES_STAT!D105</f>
        <v>5.5810000000000004</v>
      </c>
      <c r="C102" s="2">
        <f t="shared" si="9"/>
        <v>-8.0000000000000071E-3</v>
      </c>
      <c r="D102" s="2">
        <f t="shared" si="10"/>
        <v>0</v>
      </c>
      <c r="E102" s="2">
        <f t="shared" si="11"/>
        <v>8.0000000000000071E-3</v>
      </c>
      <c r="F102" s="2">
        <f t="shared" si="15"/>
        <v>1.0661738859069361E-2</v>
      </c>
      <c r="G102" s="2">
        <f t="shared" si="15"/>
        <v>3.9730622853824289E-3</v>
      </c>
      <c r="H102" s="2">
        <f t="shared" si="13"/>
        <v>2.6835065984985209</v>
      </c>
      <c r="I102" s="2">
        <f t="shared" si="14"/>
        <v>72.851955785619538</v>
      </c>
    </row>
    <row r="103" spans="1:9" ht="13.5" x14ac:dyDescent="0.25">
      <c r="A103" s="3">
        <f>TITRES_STAT!B106</f>
        <v>45068</v>
      </c>
      <c r="B103" s="5">
        <f>TITRES_STAT!D106</f>
        <v>5.6059999999999999</v>
      </c>
      <c r="C103" s="2">
        <f t="shared" si="9"/>
        <v>2.4999999999999467E-2</v>
      </c>
      <c r="D103" s="2">
        <f t="shared" si="10"/>
        <v>2.4999999999999467E-2</v>
      </c>
      <c r="E103" s="2">
        <f t="shared" si="11"/>
        <v>0</v>
      </c>
      <c r="F103" s="2">
        <f t="shared" si="15"/>
        <v>1.1685900369135796E-2</v>
      </c>
      <c r="G103" s="2">
        <f t="shared" si="15"/>
        <v>3.6892721221408265E-3</v>
      </c>
      <c r="H103" s="2">
        <f t="shared" si="13"/>
        <v>3.1675354872859449</v>
      </c>
      <c r="I103" s="2">
        <f t="shared" si="14"/>
        <v>76.005003363480952</v>
      </c>
    </row>
    <row r="104" spans="1:9" ht="13.5" x14ac:dyDescent="0.25">
      <c r="A104" s="3">
        <f>TITRES_STAT!B107</f>
        <v>45069</v>
      </c>
      <c r="B104" s="5">
        <f>TITRES_STAT!D107</f>
        <v>5.6059999999999999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1.085119319991181E-2</v>
      </c>
      <c r="G104" s="2">
        <f t="shared" si="15"/>
        <v>3.4257526848450533E-3</v>
      </c>
      <c r="H104" s="2">
        <f t="shared" si="13"/>
        <v>3.1675354872859449</v>
      </c>
      <c r="I104" s="2">
        <f t="shared" si="14"/>
        <v>76.005003363480952</v>
      </c>
    </row>
    <row r="105" spans="1:9" ht="13.5" x14ac:dyDescent="0.25">
      <c r="A105" s="3">
        <f>TITRES_STAT!B108</f>
        <v>45070</v>
      </c>
      <c r="B105" s="5">
        <f>TITRES_STAT!D108</f>
        <v>5.657</v>
      </c>
      <c r="C105" s="2">
        <f t="shared" si="9"/>
        <v>5.1000000000000156E-2</v>
      </c>
      <c r="D105" s="2">
        <f t="shared" si="10"/>
        <v>5.1000000000000156E-2</v>
      </c>
      <c r="E105" s="2">
        <f t="shared" si="11"/>
        <v>0</v>
      </c>
      <c r="F105" s="2">
        <f t="shared" si="15"/>
        <v>1.3718965114203835E-2</v>
      </c>
      <c r="G105" s="2">
        <f t="shared" si="15"/>
        <v>3.181056064498978E-3</v>
      </c>
      <c r="H105" s="2">
        <f t="shared" si="13"/>
        <v>4.3127077410893095</v>
      </c>
      <c r="I105" s="2">
        <f t="shared" si="14"/>
        <v>81.177206638606449</v>
      </c>
    </row>
    <row r="106" spans="1:9" ht="13.5" x14ac:dyDescent="0.25">
      <c r="A106" s="3">
        <f>TITRES_STAT!B109</f>
        <v>45071</v>
      </c>
      <c r="B106" s="5">
        <f>TITRES_STAT!D109</f>
        <v>5.665</v>
      </c>
      <c r="C106" s="2">
        <f t="shared" si="9"/>
        <v>8.0000000000000071E-3</v>
      </c>
      <c r="D106" s="2">
        <f t="shared" si="10"/>
        <v>8.0000000000000071E-3</v>
      </c>
      <c r="E106" s="2">
        <f t="shared" si="11"/>
        <v>0</v>
      </c>
      <c r="F106" s="2">
        <f t="shared" si="15"/>
        <v>1.3310467606046419E-2</v>
      </c>
      <c r="G106" s="2">
        <f t="shared" si="15"/>
        <v>2.9538377741776226E-3</v>
      </c>
      <c r="H106" s="2">
        <f t="shared" si="13"/>
        <v>4.5061606708419131</v>
      </c>
      <c r="I106" s="2">
        <f t="shared" si="14"/>
        <v>81.838524885488027</v>
      </c>
    </row>
    <row r="107" spans="1:9" ht="13.5" x14ac:dyDescent="0.25">
      <c r="A107" s="3">
        <f>TITRES_STAT!B110</f>
        <v>45072</v>
      </c>
      <c r="B107" s="5">
        <f>TITRES_STAT!D110</f>
        <v>5.6479999999999997</v>
      </c>
      <c r="C107" s="2">
        <f t="shared" si="9"/>
        <v>-1.7000000000000348E-2</v>
      </c>
      <c r="D107" s="2">
        <f t="shared" si="10"/>
        <v>0</v>
      </c>
      <c r="E107" s="2">
        <f t="shared" si="11"/>
        <v>1.7000000000000348E-2</v>
      </c>
      <c r="F107" s="2">
        <f t="shared" si="15"/>
        <v>1.2359719919900246E-2</v>
      </c>
      <c r="G107" s="2">
        <f t="shared" si="15"/>
        <v>3.9571350760221032E-3</v>
      </c>
      <c r="H107" s="2">
        <f t="shared" si="13"/>
        <v>3.1234010673006427</v>
      </c>
      <c r="I107" s="2">
        <f t="shared" si="14"/>
        <v>75.748175264099558</v>
      </c>
    </row>
    <row r="108" spans="1:9" ht="13.5" x14ac:dyDescent="0.25">
      <c r="A108" s="3">
        <f>TITRES_STAT!B111</f>
        <v>45075</v>
      </c>
      <c r="B108" s="5">
        <f>TITRES_STAT!D111</f>
        <v>5.8689999999999998</v>
      </c>
      <c r="C108" s="2">
        <f t="shared" si="9"/>
        <v>0.22100000000000009</v>
      </c>
      <c r="D108" s="2">
        <f t="shared" si="10"/>
        <v>0.22100000000000009</v>
      </c>
      <c r="E108" s="2">
        <f t="shared" si="11"/>
        <v>0</v>
      </c>
      <c r="F108" s="2">
        <f t="shared" si="15"/>
        <v>2.7262597068478805E-2</v>
      </c>
      <c r="G108" s="2">
        <f t="shared" si="15"/>
        <v>3.6744825705919528E-3</v>
      </c>
      <c r="H108" s="2">
        <f t="shared" si="13"/>
        <v>7.4194383956723593</v>
      </c>
      <c r="I108" s="2">
        <f t="shared" si="14"/>
        <v>88.122723238713803</v>
      </c>
    </row>
    <row r="109" spans="1:9" ht="13.5" x14ac:dyDescent="0.25">
      <c r="A109" s="3">
        <f>TITRES_STAT!B112</f>
        <v>45076</v>
      </c>
      <c r="B109" s="5">
        <f>TITRES_STAT!D112</f>
        <v>5.827</v>
      </c>
      <c r="C109" s="2">
        <f t="shared" si="9"/>
        <v>-4.1999999999999815E-2</v>
      </c>
      <c r="D109" s="2">
        <f t="shared" si="10"/>
        <v>0</v>
      </c>
      <c r="E109" s="2">
        <f t="shared" si="11"/>
        <v>4.1999999999999815E-2</v>
      </c>
      <c r="F109" s="2">
        <f t="shared" ref="F109:G124" si="16">((F108*13)+D109)/14</f>
        <v>2.5315268706444603E-2</v>
      </c>
      <c r="G109" s="2">
        <f t="shared" si="16"/>
        <v>6.4120195298353706E-3</v>
      </c>
      <c r="H109" s="2">
        <f t="shared" si="13"/>
        <v>3.94809600760754</v>
      </c>
      <c r="I109" s="2">
        <f t="shared" si="14"/>
        <v>79.790206203304621</v>
      </c>
    </row>
    <row r="110" spans="1:9" ht="13.5" x14ac:dyDescent="0.25">
      <c r="A110" s="3">
        <f>TITRES_STAT!B113</f>
        <v>45077</v>
      </c>
      <c r="B110" s="5">
        <f>TITRES_STAT!D113</f>
        <v>5.9429999999999996</v>
      </c>
      <c r="C110" s="2">
        <f t="shared" si="9"/>
        <v>0.11599999999999966</v>
      </c>
      <c r="D110" s="2">
        <f t="shared" si="10"/>
        <v>0.11599999999999966</v>
      </c>
      <c r="E110" s="2">
        <f t="shared" si="11"/>
        <v>0</v>
      </c>
      <c r="F110" s="2">
        <f t="shared" si="16"/>
        <v>3.1792749513127105E-2</v>
      </c>
      <c r="G110" s="2">
        <f t="shared" si="16"/>
        <v>5.9540181348471301E-3</v>
      </c>
      <c r="H110" s="2">
        <f t="shared" si="13"/>
        <v>5.339713247941491</v>
      </c>
      <c r="I110" s="2">
        <f t="shared" si="14"/>
        <v>84.226415913610907</v>
      </c>
    </row>
    <row r="111" spans="1:9" ht="13.5" x14ac:dyDescent="0.25">
      <c r="A111" s="3">
        <f>TITRES_STAT!B114</f>
        <v>45078</v>
      </c>
      <c r="B111" s="5">
        <f>TITRES_STAT!D114</f>
        <v>5.8540000000000001</v>
      </c>
      <c r="C111" s="2">
        <f t="shared" si="9"/>
        <v>-8.8999999999999524E-2</v>
      </c>
      <c r="D111" s="2">
        <f t="shared" si="10"/>
        <v>0</v>
      </c>
      <c r="E111" s="2">
        <f t="shared" si="11"/>
        <v>8.8999999999999524E-2</v>
      </c>
      <c r="F111" s="2">
        <f t="shared" si="16"/>
        <v>2.9521838833618027E-2</v>
      </c>
      <c r="G111" s="2">
        <f t="shared" si="16"/>
        <v>1.1885873982358016E-2</v>
      </c>
      <c r="H111" s="2">
        <f t="shared" si="13"/>
        <v>2.4837751836706961</v>
      </c>
      <c r="I111" s="2">
        <f t="shared" si="14"/>
        <v>71.295507107139287</v>
      </c>
    </row>
    <row r="112" spans="1:9" ht="13.5" x14ac:dyDescent="0.25">
      <c r="A112" s="3">
        <f>TITRES_STAT!B115</f>
        <v>45079</v>
      </c>
      <c r="B112" s="5">
        <f>TITRES_STAT!D115</f>
        <v>5.9249999999999998</v>
      </c>
      <c r="C112" s="2">
        <f t="shared" si="9"/>
        <v>7.099999999999973E-2</v>
      </c>
      <c r="D112" s="2">
        <f t="shared" si="10"/>
        <v>7.099999999999973E-2</v>
      </c>
      <c r="E112" s="2">
        <f t="shared" si="11"/>
        <v>0</v>
      </c>
      <c r="F112" s="2">
        <f t="shared" si="16"/>
        <v>3.2484564631216718E-2</v>
      </c>
      <c r="G112" s="2">
        <f t="shared" si="16"/>
        <v>1.1036882983618157E-2</v>
      </c>
      <c r="H112" s="2">
        <f t="shared" si="13"/>
        <v>2.9432734477146276</v>
      </c>
      <c r="I112" s="2">
        <f t="shared" si="14"/>
        <v>74.640358746118352</v>
      </c>
    </row>
    <row r="113" spans="1:9" ht="13.5" x14ac:dyDescent="0.25">
      <c r="A113" s="3">
        <f>TITRES_STAT!B116</f>
        <v>45082</v>
      </c>
      <c r="B113" s="5">
        <f>TITRES_STAT!D116</f>
        <v>5.899</v>
      </c>
      <c r="C113" s="2">
        <f t="shared" si="9"/>
        <v>-2.5999999999999801E-2</v>
      </c>
      <c r="D113" s="2">
        <f t="shared" si="10"/>
        <v>0</v>
      </c>
      <c r="E113" s="2">
        <f t="shared" si="11"/>
        <v>2.5999999999999801E-2</v>
      </c>
      <c r="F113" s="2">
        <f t="shared" si="16"/>
        <v>3.0164238586129811E-2</v>
      </c>
      <c r="G113" s="2">
        <f t="shared" si="16"/>
        <v>1.2105677056216846E-2</v>
      </c>
      <c r="H113" s="2">
        <f t="shared" si="13"/>
        <v>2.4917432082527782</v>
      </c>
      <c r="I113" s="2">
        <f t="shared" si="14"/>
        <v>71.36100966312506</v>
      </c>
    </row>
    <row r="114" spans="1:9" ht="13.5" x14ac:dyDescent="0.25">
      <c r="A114" s="3">
        <f>TITRES_STAT!B117</f>
        <v>45083</v>
      </c>
      <c r="B114" s="5">
        <f>TITRES_STAT!D117</f>
        <v>5.97</v>
      </c>
      <c r="C114" s="2">
        <f t="shared" si="9"/>
        <v>7.099999999999973E-2</v>
      </c>
      <c r="D114" s="2">
        <f t="shared" si="10"/>
        <v>7.099999999999973E-2</v>
      </c>
      <c r="E114" s="2">
        <f t="shared" si="11"/>
        <v>0</v>
      </c>
      <c r="F114" s="2">
        <f t="shared" si="16"/>
        <v>3.308107868712052E-2</v>
      </c>
      <c r="G114" s="2">
        <f t="shared" si="16"/>
        <v>1.1240985837915643E-2</v>
      </c>
      <c r="H114" s="2">
        <f t="shared" si="13"/>
        <v>2.9428983510982314</v>
      </c>
      <c r="I114" s="2">
        <f t="shared" si="14"/>
        <v>74.637946227513936</v>
      </c>
    </row>
    <row r="115" spans="1:9" ht="13.5" x14ac:dyDescent="0.25">
      <c r="A115" s="3">
        <f>TITRES_STAT!B118</f>
        <v>45084</v>
      </c>
      <c r="B115" s="5">
        <f>TITRES_STAT!D118</f>
        <v>5.9610000000000003</v>
      </c>
      <c r="C115" s="2">
        <f t="shared" si="9"/>
        <v>-8.9999999999994529E-3</v>
      </c>
      <c r="D115" s="2">
        <f t="shared" si="10"/>
        <v>0</v>
      </c>
      <c r="E115" s="2">
        <f t="shared" si="11"/>
        <v>8.9999999999994529E-3</v>
      </c>
      <c r="F115" s="2">
        <f t="shared" si="16"/>
        <v>3.0718144495183342E-2</v>
      </c>
      <c r="G115" s="2">
        <f t="shared" si="16"/>
        <v>1.1080915420921629E-2</v>
      </c>
      <c r="H115" s="2">
        <f t="shared" si="13"/>
        <v>2.7721666783220003</v>
      </c>
      <c r="I115" s="2">
        <f t="shared" si="14"/>
        <v>73.490036754027074</v>
      </c>
    </row>
    <row r="116" spans="1:9" ht="13.5" x14ac:dyDescent="0.25">
      <c r="A116" s="3">
        <f>TITRES_STAT!B119</f>
        <v>45085</v>
      </c>
      <c r="B116" s="5">
        <f>TITRES_STAT!D119</f>
        <v>5.952</v>
      </c>
      <c r="C116" s="2">
        <f t="shared" si="9"/>
        <v>-9.0000000000003411E-3</v>
      </c>
      <c r="D116" s="2">
        <f t="shared" si="10"/>
        <v>0</v>
      </c>
      <c r="E116" s="2">
        <f t="shared" si="11"/>
        <v>9.0000000000003411E-3</v>
      </c>
      <c r="F116" s="2">
        <f t="shared" si="16"/>
        <v>2.852399131695596E-2</v>
      </c>
      <c r="G116" s="2">
        <f t="shared" si="16"/>
        <v>1.0932278605141538E-2</v>
      </c>
      <c r="H116" s="2">
        <f t="shared" si="13"/>
        <v>2.6091533473672084</v>
      </c>
      <c r="I116" s="2">
        <f t="shared" si="14"/>
        <v>72.292670780268281</v>
      </c>
    </row>
    <row r="117" spans="1:9" ht="13.5" x14ac:dyDescent="0.25">
      <c r="A117" s="3">
        <f>TITRES_STAT!B120</f>
        <v>45086</v>
      </c>
      <c r="B117" s="5">
        <f>TITRES_STAT!D120</f>
        <v>5.952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2.6486563365744818E-2</v>
      </c>
      <c r="G117" s="2">
        <f t="shared" si="16"/>
        <v>1.0151401561917142E-2</v>
      </c>
      <c r="H117" s="2">
        <f t="shared" si="13"/>
        <v>2.6091533473672084</v>
      </c>
      <c r="I117" s="2">
        <f t="shared" si="14"/>
        <v>72.292670780268281</v>
      </c>
    </row>
    <row r="118" spans="1:9" ht="13.5" x14ac:dyDescent="0.25">
      <c r="A118" s="3">
        <f>TITRES_STAT!B121</f>
        <v>45089</v>
      </c>
      <c r="B118" s="5">
        <f>TITRES_STAT!D121</f>
        <v>5.9340000000000002</v>
      </c>
      <c r="C118" s="2">
        <f t="shared" si="9"/>
        <v>-1.7999999999999794E-2</v>
      </c>
      <c r="D118" s="2">
        <f t="shared" si="10"/>
        <v>0</v>
      </c>
      <c r="E118" s="2">
        <f t="shared" si="11"/>
        <v>1.7999999999999794E-2</v>
      </c>
      <c r="F118" s="2">
        <f t="shared" si="16"/>
        <v>2.459466598247733E-2</v>
      </c>
      <c r="G118" s="2">
        <f t="shared" si="16"/>
        <v>1.0712015736065903E-2</v>
      </c>
      <c r="H118" s="2">
        <f t="shared" si="13"/>
        <v>2.2959885971480074</v>
      </c>
      <c r="I118" s="2">
        <f t="shared" si="14"/>
        <v>69.660089210706246</v>
      </c>
    </row>
    <row r="119" spans="1:9" ht="13.5" x14ac:dyDescent="0.25">
      <c r="A119" s="3">
        <f>TITRES_STAT!B122</f>
        <v>45090</v>
      </c>
      <c r="B119" s="5">
        <f>TITRES_STAT!D122</f>
        <v>5.952</v>
      </c>
      <c r="C119" s="2">
        <f t="shared" si="9"/>
        <v>1.7999999999999794E-2</v>
      </c>
      <c r="D119" s="2">
        <f t="shared" si="10"/>
        <v>1.7999999999999794E-2</v>
      </c>
      <c r="E119" s="2">
        <f t="shared" si="11"/>
        <v>0</v>
      </c>
      <c r="F119" s="2">
        <f t="shared" si="16"/>
        <v>2.4123618412300363E-2</v>
      </c>
      <c r="G119" s="2">
        <f t="shared" si="16"/>
        <v>9.9468717549183374E-3</v>
      </c>
      <c r="H119" s="2">
        <f t="shared" si="13"/>
        <v>2.4252467516103424</v>
      </c>
      <c r="I119" s="2">
        <f t="shared" si="14"/>
        <v>70.805023038709237</v>
      </c>
    </row>
    <row r="120" spans="1:9" ht="13.5" x14ac:dyDescent="0.25">
      <c r="A120" s="3">
        <f>TITRES_STAT!B123</f>
        <v>45091</v>
      </c>
      <c r="B120" s="5">
        <f>TITRES_STAT!D123</f>
        <v>5.9610000000000003</v>
      </c>
      <c r="C120" s="2">
        <f t="shared" si="9"/>
        <v>9.0000000000003411E-3</v>
      </c>
      <c r="D120" s="2">
        <f t="shared" si="10"/>
        <v>9.0000000000003411E-3</v>
      </c>
      <c r="E120" s="2">
        <f t="shared" si="11"/>
        <v>0</v>
      </c>
      <c r="F120" s="2">
        <f t="shared" si="16"/>
        <v>2.3043359954278936E-2</v>
      </c>
      <c r="G120" s="2">
        <f t="shared" si="16"/>
        <v>9.2363809152813132E-3</v>
      </c>
      <c r="H120" s="2">
        <f t="shared" si="13"/>
        <v>2.4948472963208341</v>
      </c>
      <c r="I120" s="2">
        <f t="shared" si="14"/>
        <v>71.386446525067342</v>
      </c>
    </row>
    <row r="121" spans="1:9" ht="13.5" x14ac:dyDescent="0.25">
      <c r="A121" s="3">
        <f>TITRES_STAT!B124</f>
        <v>45092</v>
      </c>
      <c r="B121" s="5">
        <f>TITRES_STAT!D124</f>
        <v>5.9610000000000003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2.139740567183044E-2</v>
      </c>
      <c r="G121" s="2">
        <f t="shared" si="16"/>
        <v>8.5766394213326481E-3</v>
      </c>
      <c r="H121" s="2">
        <f t="shared" si="13"/>
        <v>2.4948472963208341</v>
      </c>
      <c r="I121" s="2">
        <f t="shared" si="14"/>
        <v>71.386446525067342</v>
      </c>
    </row>
    <row r="122" spans="1:9" ht="13.5" x14ac:dyDescent="0.25">
      <c r="A122" s="3">
        <f>TITRES_STAT!B125</f>
        <v>45093</v>
      </c>
      <c r="B122" s="5">
        <f>TITRES_STAT!D125</f>
        <v>5.9429999999999996</v>
      </c>
      <c r="C122" s="2">
        <f t="shared" si="9"/>
        <v>-1.8000000000000682E-2</v>
      </c>
      <c r="D122" s="2">
        <f t="shared" si="10"/>
        <v>0</v>
      </c>
      <c r="E122" s="2">
        <f t="shared" si="11"/>
        <v>1.8000000000000682E-2</v>
      </c>
      <c r="F122" s="2">
        <f t="shared" si="16"/>
        <v>1.9869019552413981E-2</v>
      </c>
      <c r="G122" s="2">
        <f t="shared" si="16"/>
        <v>9.2497366055232233E-3</v>
      </c>
      <c r="H122" s="2">
        <f t="shared" si="13"/>
        <v>2.1480632800451578</v>
      </c>
      <c r="I122" s="2">
        <f t="shared" si="14"/>
        <v>68.234437778339213</v>
      </c>
    </row>
    <row r="123" spans="1:9" ht="13.5" x14ac:dyDescent="0.25">
      <c r="A123" s="3">
        <f>TITRES_STAT!B126</f>
        <v>45096</v>
      </c>
      <c r="B123" s="5">
        <f>TITRES_STAT!D126</f>
        <v>5.9429999999999996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1.8449803870098699E-2</v>
      </c>
      <c r="G123" s="2">
        <f t="shared" si="16"/>
        <v>8.5890411337001364E-3</v>
      </c>
      <c r="H123" s="2">
        <f t="shared" si="13"/>
        <v>2.1480632800451582</v>
      </c>
      <c r="I123" s="2">
        <f t="shared" si="14"/>
        <v>68.234437778339213</v>
      </c>
    </row>
    <row r="124" spans="1:9" ht="13.5" x14ac:dyDescent="0.25">
      <c r="A124" s="3">
        <f>TITRES_STAT!B127</f>
        <v>45097</v>
      </c>
      <c r="B124" s="5">
        <f>TITRES_STAT!D127</f>
        <v>5.9249999999999998</v>
      </c>
      <c r="C124" s="2">
        <f t="shared" si="9"/>
        <v>-1.7999999999999794E-2</v>
      </c>
      <c r="D124" s="2">
        <f t="shared" si="10"/>
        <v>0</v>
      </c>
      <c r="E124" s="2">
        <f t="shared" si="11"/>
        <v>1.7999999999999794E-2</v>
      </c>
      <c r="F124" s="2">
        <f t="shared" si="16"/>
        <v>1.7131960736520218E-2</v>
      </c>
      <c r="G124" s="2">
        <f t="shared" si="16"/>
        <v>9.2612524812929701E-3</v>
      </c>
      <c r="H124" s="2">
        <f t="shared" si="13"/>
        <v>1.8498535453088536</v>
      </c>
      <c r="I124" s="2">
        <f t="shared" si="14"/>
        <v>64.910477535026288</v>
      </c>
    </row>
    <row r="125" spans="1:9" ht="13.5" x14ac:dyDescent="0.25">
      <c r="A125" s="3">
        <f>TITRES_STAT!B128</f>
        <v>45098</v>
      </c>
      <c r="B125" s="5">
        <f>TITRES_STAT!D128</f>
        <v>5.9340000000000002</v>
      </c>
      <c r="C125" s="2">
        <f t="shared" si="9"/>
        <v>9.0000000000003411E-3</v>
      </c>
      <c r="D125" s="2">
        <f t="shared" si="10"/>
        <v>9.0000000000003411E-3</v>
      </c>
      <c r="E125" s="2">
        <f t="shared" si="11"/>
        <v>0</v>
      </c>
      <c r="F125" s="2">
        <f t="shared" ref="F125:G140" si="17">((F124*13)+D125)/14</f>
        <v>1.655110639819737E-2</v>
      </c>
      <c r="G125" s="2">
        <f t="shared" si="17"/>
        <v>8.5997344469149004E-3</v>
      </c>
      <c r="H125" s="2">
        <f t="shared" si="13"/>
        <v>1.9246066841209235</v>
      </c>
      <c r="I125" s="2">
        <f t="shared" si="14"/>
        <v>65.807368032444344</v>
      </c>
    </row>
    <row r="126" spans="1:9" ht="13.5" x14ac:dyDescent="0.25">
      <c r="A126" s="3">
        <f>TITRES_STAT!B129</f>
        <v>45099</v>
      </c>
      <c r="B126" s="5">
        <f>TITRES_STAT!D129</f>
        <v>5.9429999999999996</v>
      </c>
      <c r="C126" s="2">
        <f t="shared" si="9"/>
        <v>8.9999999999994529E-3</v>
      </c>
      <c r="D126" s="2">
        <f t="shared" si="10"/>
        <v>8.9999999999994529E-3</v>
      </c>
      <c r="E126" s="2">
        <f t="shared" si="11"/>
        <v>0</v>
      </c>
      <c r="F126" s="2">
        <f t="shared" si="17"/>
        <v>1.6011741655468946E-2</v>
      </c>
      <c r="G126" s="2">
        <f t="shared" si="17"/>
        <v>7.9854677007066936E-3</v>
      </c>
      <c r="H126" s="2">
        <f t="shared" si="13"/>
        <v>2.0051100643800672</v>
      </c>
      <c r="I126" s="2">
        <f t="shared" si="14"/>
        <v>66.723348610318112</v>
      </c>
    </row>
    <row r="127" spans="1:9" ht="13.5" x14ac:dyDescent="0.25">
      <c r="A127" s="3">
        <f>TITRES_STAT!B130</f>
        <v>45100</v>
      </c>
      <c r="B127" s="5">
        <f>TITRES_STAT!D130</f>
        <v>5.9340000000000002</v>
      </c>
      <c r="C127" s="2">
        <f t="shared" si="9"/>
        <v>-8.9999999999994529E-3</v>
      </c>
      <c r="D127" s="2">
        <f t="shared" si="10"/>
        <v>0</v>
      </c>
      <c r="E127" s="2">
        <f t="shared" si="11"/>
        <v>8.9999999999994529E-3</v>
      </c>
      <c r="F127" s="2">
        <f t="shared" si="17"/>
        <v>1.4868045822935451E-2</v>
      </c>
      <c r="G127" s="2">
        <f t="shared" si="17"/>
        <v>8.0579342935133188E-3</v>
      </c>
      <c r="H127" s="2">
        <f t="shared" si="13"/>
        <v>1.8451435915659313</v>
      </c>
      <c r="I127" s="2">
        <f t="shared" si="14"/>
        <v>64.852389068714359</v>
      </c>
    </row>
    <row r="128" spans="1:9" ht="13.5" x14ac:dyDescent="0.25">
      <c r="A128" s="3">
        <f>TITRES_STAT!B131</f>
        <v>45103</v>
      </c>
      <c r="B128" s="5">
        <f>TITRES_STAT!D131</f>
        <v>5.9249999999999998</v>
      </c>
      <c r="C128" s="2">
        <f t="shared" si="9"/>
        <v>-9.0000000000003411E-3</v>
      </c>
      <c r="D128" s="2">
        <f t="shared" si="10"/>
        <v>0</v>
      </c>
      <c r="E128" s="2">
        <f t="shared" si="11"/>
        <v>9.0000000000003411E-3</v>
      </c>
      <c r="F128" s="2">
        <f t="shared" si="17"/>
        <v>1.3806042549868633E-2</v>
      </c>
      <c r="G128" s="2">
        <f t="shared" si="17"/>
        <v>8.1252247011195343E-3</v>
      </c>
      <c r="H128" s="2">
        <f t="shared" si="13"/>
        <v>1.6991582457979737</v>
      </c>
      <c r="I128" s="2">
        <f t="shared" si="14"/>
        <v>62.951412665159914</v>
      </c>
    </row>
    <row r="129" spans="1:9" ht="13.5" x14ac:dyDescent="0.25">
      <c r="A129" s="3">
        <f>TITRES_STAT!B132</f>
        <v>45104</v>
      </c>
      <c r="B129" s="5">
        <f>TITRES_STAT!D132</f>
        <v>5.9249999999999998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1.2819896653449445E-2</v>
      </c>
      <c r="G129" s="2">
        <f t="shared" si="17"/>
        <v>7.5448515081824249E-3</v>
      </c>
      <c r="H129" s="2">
        <f t="shared" si="13"/>
        <v>1.6991582457979737</v>
      </c>
      <c r="I129" s="2">
        <f t="shared" si="14"/>
        <v>62.951412665159914</v>
      </c>
    </row>
    <row r="130" spans="1:9" ht="13.5" x14ac:dyDescent="0.25">
      <c r="A130" s="3">
        <f>TITRES_STAT!B133</f>
        <v>45107</v>
      </c>
      <c r="B130" s="5">
        <f>TITRES_STAT!D133</f>
        <v>5.89</v>
      </c>
      <c r="C130" s="2">
        <f t="shared" si="9"/>
        <v>-3.5000000000000142E-2</v>
      </c>
      <c r="D130" s="2">
        <f t="shared" si="10"/>
        <v>0</v>
      </c>
      <c r="E130" s="2">
        <f t="shared" si="11"/>
        <v>3.5000000000000142E-2</v>
      </c>
      <c r="F130" s="2">
        <f t="shared" si="17"/>
        <v>1.1904189749631628E-2</v>
      </c>
      <c r="G130" s="2">
        <f t="shared" si="17"/>
        <v>9.5059335433122626E-3</v>
      </c>
      <c r="H130" s="2">
        <f t="shared" si="13"/>
        <v>1.2522904452668531</v>
      </c>
      <c r="I130" s="2">
        <f t="shared" si="14"/>
        <v>55.600752909045028</v>
      </c>
    </row>
    <row r="131" spans="1:9" ht="13.5" x14ac:dyDescent="0.25">
      <c r="A131" s="3">
        <f>TITRES_STAT!B134</f>
        <v>45110</v>
      </c>
      <c r="B131" s="5">
        <f>TITRES_STAT!D134</f>
        <v>5.89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1.1053890481800799E-2</v>
      </c>
      <c r="G131" s="2">
        <f t="shared" si="17"/>
        <v>8.8269382902185292E-3</v>
      </c>
      <c r="H131" s="2">
        <f t="shared" si="13"/>
        <v>1.2522904452668533</v>
      </c>
      <c r="I131" s="2">
        <f t="shared" si="14"/>
        <v>55.600752909045028</v>
      </c>
    </row>
    <row r="132" spans="1:9" ht="13.5" x14ac:dyDescent="0.25">
      <c r="A132" s="3">
        <f>TITRES_STAT!B135</f>
        <v>45111</v>
      </c>
      <c r="B132" s="5">
        <f>TITRES_STAT!D135</f>
        <v>5.8630000000000004</v>
      </c>
      <c r="C132" s="2">
        <f t="shared" si="18"/>
        <v>-2.6999999999999247E-2</v>
      </c>
      <c r="D132" s="2">
        <f t="shared" si="19"/>
        <v>0</v>
      </c>
      <c r="E132" s="2">
        <f t="shared" si="20"/>
        <v>2.6999999999999247E-2</v>
      </c>
      <c r="F132" s="2">
        <f t="shared" si="17"/>
        <v>1.0264326875957885E-2</v>
      </c>
      <c r="G132" s="2">
        <f t="shared" si="17"/>
        <v>1.0125014126631438E-2</v>
      </c>
      <c r="H132" s="2">
        <f t="shared" si="13"/>
        <v>1.013759264686853</v>
      </c>
      <c r="I132" s="2">
        <f t="shared" si="14"/>
        <v>50.341631319297562</v>
      </c>
    </row>
    <row r="133" spans="1:9" ht="13.5" x14ac:dyDescent="0.25">
      <c r="A133" s="3">
        <f>TITRES_STAT!B136</f>
        <v>45112</v>
      </c>
      <c r="B133" s="5">
        <f>TITRES_STAT!D136</f>
        <v>5.766</v>
      </c>
      <c r="C133" s="2">
        <f t="shared" si="18"/>
        <v>-9.7000000000000419E-2</v>
      </c>
      <c r="D133" s="2">
        <f t="shared" si="19"/>
        <v>0</v>
      </c>
      <c r="E133" s="2">
        <f t="shared" si="20"/>
        <v>9.7000000000000419E-2</v>
      </c>
      <c r="F133" s="2">
        <f t="shared" si="17"/>
        <v>9.531160670532321E-3</v>
      </c>
      <c r="G133" s="2">
        <f t="shared" si="17"/>
        <v>1.6330370260443507E-2</v>
      </c>
      <c r="H133" s="2">
        <f t="shared" si="13"/>
        <v>0.58364633002959665</v>
      </c>
      <c r="I133" s="2">
        <f t="shared" si="14"/>
        <v>36.854587982323615</v>
      </c>
    </row>
    <row r="134" spans="1:9" ht="13.5" x14ac:dyDescent="0.25">
      <c r="A134" s="3">
        <f>TITRES_STAT!B137</f>
        <v>45113</v>
      </c>
      <c r="B134" s="5">
        <f>TITRES_STAT!D137</f>
        <v>5.766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8.8503634797800126E-3</v>
      </c>
      <c r="G134" s="2">
        <f t="shared" si="17"/>
        <v>1.5163915241840398E-2</v>
      </c>
      <c r="H134" s="2">
        <f t="shared" si="13"/>
        <v>0.58364633002959665</v>
      </c>
      <c r="I134" s="2">
        <f t="shared" si="14"/>
        <v>36.854587982323615</v>
      </c>
    </row>
    <row r="135" spans="1:9" ht="13.5" x14ac:dyDescent="0.25">
      <c r="A135" s="3">
        <f>TITRES_STAT!B138</f>
        <v>45114</v>
      </c>
      <c r="B135" s="5">
        <f>TITRES_STAT!D138</f>
        <v>5.766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8.2181946597957266E-3</v>
      </c>
      <c r="G135" s="2">
        <f t="shared" si="17"/>
        <v>1.4080778438851799E-2</v>
      </c>
      <c r="H135" s="2">
        <f t="shared" si="13"/>
        <v>0.58364633002959676</v>
      </c>
      <c r="I135" s="2">
        <f t="shared" si="14"/>
        <v>36.854587982323622</v>
      </c>
    </row>
    <row r="136" spans="1:9" ht="13.5" x14ac:dyDescent="0.25">
      <c r="A136" s="3">
        <f>TITRES_STAT!B139</f>
        <v>45117</v>
      </c>
      <c r="B136" s="5">
        <f>TITRES_STAT!D139</f>
        <v>5.6769999999999996</v>
      </c>
      <c r="C136" s="2">
        <f t="shared" si="18"/>
        <v>-8.9000000000000412E-2</v>
      </c>
      <c r="D136" s="2">
        <f t="shared" si="19"/>
        <v>0</v>
      </c>
      <c r="E136" s="2">
        <f t="shared" si="20"/>
        <v>8.9000000000000412E-2</v>
      </c>
      <c r="F136" s="2">
        <f t="shared" si="17"/>
        <v>7.6311807555246034E-3</v>
      </c>
      <c r="G136" s="2">
        <f t="shared" si="17"/>
        <v>1.9432151407505271E-2</v>
      </c>
      <c r="H136" s="2">
        <f t="shared" si="13"/>
        <v>0.39270900043405466</v>
      </c>
      <c r="I136" s="2">
        <f t="shared" si="14"/>
        <v>28.197491386331393</v>
      </c>
    </row>
    <row r="137" spans="1:9" ht="13.5" x14ac:dyDescent="0.25">
      <c r="A137" s="3">
        <f>TITRES_STAT!B140</f>
        <v>45118</v>
      </c>
      <c r="B137" s="5">
        <f>TITRES_STAT!D140</f>
        <v>5.6769999999999996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7.0860964158442749E-3</v>
      </c>
      <c r="G137" s="2">
        <f t="shared" si="17"/>
        <v>1.8044140592683465E-2</v>
      </c>
      <c r="H137" s="2">
        <f t="shared" si="13"/>
        <v>0.39270900043405471</v>
      </c>
      <c r="I137" s="2">
        <f t="shared" si="14"/>
        <v>28.197491386331407</v>
      </c>
    </row>
    <row r="138" spans="1:9" ht="13.5" x14ac:dyDescent="0.25">
      <c r="A138" s="3">
        <f>TITRES_STAT!B141</f>
        <v>45119</v>
      </c>
      <c r="B138" s="5">
        <f>TITRES_STAT!D141</f>
        <v>5.6769999999999996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6.5799466718553983E-3</v>
      </c>
      <c r="G138" s="2">
        <f t="shared" si="17"/>
        <v>1.6755273407491788E-2</v>
      </c>
      <c r="H138" s="2">
        <f t="shared" si="13"/>
        <v>0.39270900043405471</v>
      </c>
      <c r="I138" s="2">
        <f t="shared" si="14"/>
        <v>28.197491386331407</v>
      </c>
    </row>
    <row r="139" spans="1:9" ht="13.5" x14ac:dyDescent="0.25">
      <c r="A139" s="3">
        <f>TITRES_STAT!B142</f>
        <v>45120</v>
      </c>
      <c r="B139" s="5">
        <f>TITRES_STAT!D142</f>
        <v>5.6769999999999996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6.1099504810085839E-3</v>
      </c>
      <c r="G139" s="2">
        <f t="shared" si="17"/>
        <v>1.5558468164099518E-2</v>
      </c>
      <c r="H139" s="2">
        <f t="shared" si="13"/>
        <v>0.39270900043405471</v>
      </c>
      <c r="I139" s="2">
        <f t="shared" si="14"/>
        <v>28.197491386331407</v>
      </c>
    </row>
    <row r="140" spans="1:9" ht="13.5" x14ac:dyDescent="0.25">
      <c r="A140" s="3">
        <f>TITRES_STAT!B143</f>
        <v>45121</v>
      </c>
      <c r="B140" s="5">
        <f>TITRES_STAT!D143</f>
        <v>5.6769999999999996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5.6735254466508279E-3</v>
      </c>
      <c r="G140" s="2">
        <f t="shared" si="17"/>
        <v>1.4447149009520979E-2</v>
      </c>
      <c r="H140" s="2">
        <f t="shared" si="13"/>
        <v>0.39270900043405477</v>
      </c>
      <c r="I140" s="2">
        <f t="shared" si="14"/>
        <v>28.197491386331407</v>
      </c>
    </row>
    <row r="141" spans="1:9" ht="13.5" x14ac:dyDescent="0.25">
      <c r="A141" s="3">
        <f>TITRES_STAT!B144</f>
        <v>45124</v>
      </c>
      <c r="B141" s="5">
        <f>TITRES_STAT!D144</f>
        <v>5.6769999999999996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5.2682736290329121E-3</v>
      </c>
      <c r="G141" s="2">
        <f t="shared" si="21"/>
        <v>1.3415209794555195E-2</v>
      </c>
      <c r="H141" s="2">
        <f t="shared" si="13"/>
        <v>0.39270900043405477</v>
      </c>
      <c r="I141" s="2">
        <f t="shared" si="14"/>
        <v>28.197491386331407</v>
      </c>
    </row>
    <row r="142" spans="1:9" ht="13.5" x14ac:dyDescent="0.25">
      <c r="A142" s="3">
        <f>TITRES_STAT!B145</f>
        <v>45125</v>
      </c>
      <c r="B142" s="5">
        <f>TITRES_STAT!D145</f>
        <v>5.7210000000000001</v>
      </c>
      <c r="C142" s="2">
        <f t="shared" si="18"/>
        <v>4.4000000000000483E-2</v>
      </c>
      <c r="D142" s="2">
        <f t="shared" si="19"/>
        <v>4.4000000000000483E-2</v>
      </c>
      <c r="E142" s="2">
        <f t="shared" si="20"/>
        <v>0</v>
      </c>
      <c r="F142" s="2">
        <f t="shared" si="21"/>
        <v>8.0348255126734529E-3</v>
      </c>
      <c r="G142" s="2">
        <f t="shared" si="21"/>
        <v>1.2456980523515539E-2</v>
      </c>
      <c r="H142" s="2">
        <f t="shared" si="13"/>
        <v>0.64500586618930589</v>
      </c>
      <c r="I142" s="2">
        <f t="shared" si="14"/>
        <v>39.209943225520334</v>
      </c>
    </row>
    <row r="143" spans="1:9" ht="13.5" x14ac:dyDescent="0.25">
      <c r="A143" s="3">
        <f>TITRES_STAT!B146</f>
        <v>45127</v>
      </c>
      <c r="B143" s="5">
        <f>TITRES_STAT!D146</f>
        <v>5.7210000000000001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7.4609094046253488E-3</v>
      </c>
      <c r="G143" s="2">
        <f t="shared" si="21"/>
        <v>1.1567196200407286E-2</v>
      </c>
      <c r="H143" s="2">
        <f t="shared" si="13"/>
        <v>0.64500586618930578</v>
      </c>
      <c r="I143" s="2">
        <f t="shared" si="14"/>
        <v>39.209943225520334</v>
      </c>
    </row>
    <row r="144" spans="1:9" ht="13.5" x14ac:dyDescent="0.25">
      <c r="A144" s="3">
        <f>TITRES_STAT!B147</f>
        <v>45128</v>
      </c>
      <c r="B144" s="5">
        <f>TITRES_STAT!D147</f>
        <v>5.7210000000000001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6.9279873042949669E-3</v>
      </c>
      <c r="G144" s="2">
        <f t="shared" si="21"/>
        <v>1.0740967900378194E-2</v>
      </c>
      <c r="H144" s="2">
        <f t="shared" si="13"/>
        <v>0.64500586618930578</v>
      </c>
      <c r="I144" s="2">
        <f t="shared" si="14"/>
        <v>39.209943225520334</v>
      </c>
    </row>
    <row r="145" spans="1:9" ht="13.5" x14ac:dyDescent="0.25">
      <c r="A145" s="3">
        <f>TITRES_STAT!B148</f>
        <v>45131</v>
      </c>
      <c r="B145" s="5">
        <f>TITRES_STAT!D148</f>
        <v>5.766</v>
      </c>
      <c r="C145" s="2">
        <f t="shared" si="18"/>
        <v>4.4999999999999929E-2</v>
      </c>
      <c r="D145" s="2">
        <f t="shared" si="19"/>
        <v>4.4999999999999929E-2</v>
      </c>
      <c r="E145" s="2">
        <f t="shared" si="20"/>
        <v>0</v>
      </c>
      <c r="F145" s="2">
        <f t="shared" si="21"/>
        <v>9.6474167825596081E-3</v>
      </c>
      <c r="G145" s="2">
        <f t="shared" si="21"/>
        <v>9.9737559074940373E-3</v>
      </c>
      <c r="H145" s="2">
        <f t="shared" ref="H145:H208" si="22">F145/G145</f>
        <v>0.96728021740644099</v>
      </c>
      <c r="I145" s="2">
        <f t="shared" ref="I145:I208" si="23">IF(G145=0,100,100-(100/(1+H145)))</f>
        <v>49.168400558698877</v>
      </c>
    </row>
    <row r="146" spans="1:9" ht="13.5" x14ac:dyDescent="0.25">
      <c r="A146" s="3">
        <f>TITRES_STAT!B149</f>
        <v>45133</v>
      </c>
      <c r="B146" s="5">
        <f>TITRES_STAT!D149</f>
        <v>5.766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8.9583155838053492E-3</v>
      </c>
      <c r="G146" s="2">
        <f t="shared" si="21"/>
        <v>9.2613447712444636E-3</v>
      </c>
      <c r="H146" s="2">
        <f t="shared" si="22"/>
        <v>0.96728021740644088</v>
      </c>
      <c r="I146" s="2">
        <f t="shared" si="23"/>
        <v>49.168400558698877</v>
      </c>
    </row>
    <row r="147" spans="1:9" ht="13.5" x14ac:dyDescent="0.25">
      <c r="A147" s="3">
        <f>TITRES_STAT!B150</f>
        <v>45134</v>
      </c>
      <c r="B147" s="5">
        <f>TITRES_STAT!D150</f>
        <v>5.766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8.3184358992478245E-3</v>
      </c>
      <c r="G147" s="2">
        <f t="shared" si="21"/>
        <v>8.5998201447270023E-3</v>
      </c>
      <c r="H147" s="2">
        <f t="shared" si="22"/>
        <v>0.96728021740644088</v>
      </c>
      <c r="I147" s="2">
        <f t="shared" si="23"/>
        <v>49.168400558698877</v>
      </c>
    </row>
    <row r="148" spans="1:9" ht="13.5" x14ac:dyDescent="0.25">
      <c r="A148" s="3">
        <f>TITRES_STAT!B151</f>
        <v>45135</v>
      </c>
      <c r="B148" s="5">
        <f>TITRES_STAT!D151</f>
        <v>5.766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7.7242619064444087E-3</v>
      </c>
      <c r="G148" s="2">
        <f t="shared" si="21"/>
        <v>7.9855472772465026E-3</v>
      </c>
      <c r="H148" s="2">
        <f t="shared" si="22"/>
        <v>0.96728021740644088</v>
      </c>
      <c r="I148" s="2">
        <f t="shared" si="23"/>
        <v>49.168400558698877</v>
      </c>
    </row>
    <row r="149" spans="1:9" ht="13.5" x14ac:dyDescent="0.25">
      <c r="A149" s="3">
        <f>TITRES_STAT!B152</f>
        <v>45138</v>
      </c>
      <c r="B149" s="5">
        <f>TITRES_STAT!D152</f>
        <v>5.766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7.1725289131269509E-3</v>
      </c>
      <c r="G149" s="2">
        <f t="shared" si="21"/>
        <v>7.4151510431574663E-3</v>
      </c>
      <c r="H149" s="2">
        <f t="shared" si="22"/>
        <v>0.96728021740644088</v>
      </c>
      <c r="I149" s="2">
        <f t="shared" si="23"/>
        <v>49.168400558698877</v>
      </c>
    </row>
    <row r="150" spans="1:9" ht="13.5" x14ac:dyDescent="0.25">
      <c r="A150" s="3">
        <f>TITRES_STAT!B153</f>
        <v>45139</v>
      </c>
      <c r="B150" s="5">
        <f>TITRES_STAT!D153</f>
        <v>5.766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6.6602054193321686E-3</v>
      </c>
      <c r="G150" s="2">
        <f t="shared" si="21"/>
        <v>6.8854973972176468E-3</v>
      </c>
      <c r="H150" s="2">
        <f t="shared" si="22"/>
        <v>0.96728021740644099</v>
      </c>
      <c r="I150" s="2">
        <f t="shared" si="23"/>
        <v>49.168400558698877</v>
      </c>
    </row>
    <row r="151" spans="1:9" ht="13.5" x14ac:dyDescent="0.25">
      <c r="A151" s="3">
        <f>TITRES_STAT!B154</f>
        <v>45140</v>
      </c>
      <c r="B151" s="5">
        <f>TITRES_STAT!D154</f>
        <v>5.766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6.1844764608084421E-3</v>
      </c>
      <c r="G151" s="2">
        <f t="shared" si="21"/>
        <v>6.3936761545592431E-3</v>
      </c>
      <c r="H151" s="2">
        <f t="shared" si="22"/>
        <v>0.96728021740644099</v>
      </c>
      <c r="I151" s="2">
        <f t="shared" si="23"/>
        <v>49.168400558698877</v>
      </c>
    </row>
    <row r="152" spans="1:9" ht="13.5" x14ac:dyDescent="0.25">
      <c r="A152" s="3">
        <f>TITRES_STAT!B155</f>
        <v>45141</v>
      </c>
      <c r="B152" s="5">
        <f>TITRES_STAT!D155</f>
        <v>5.7210000000000001</v>
      </c>
      <c r="C152" s="2">
        <f t="shared" si="18"/>
        <v>-4.4999999999999929E-2</v>
      </c>
      <c r="D152" s="2">
        <f t="shared" si="19"/>
        <v>0</v>
      </c>
      <c r="E152" s="2">
        <f t="shared" si="20"/>
        <v>4.4999999999999929E-2</v>
      </c>
      <c r="F152" s="2">
        <f t="shared" si="21"/>
        <v>5.7427281421792683E-3</v>
      </c>
      <c r="G152" s="2">
        <f t="shared" si="21"/>
        <v>9.1512707149478643E-3</v>
      </c>
      <c r="H152" s="2">
        <f t="shared" si="22"/>
        <v>0.62753341268759366</v>
      </c>
      <c r="I152" s="2">
        <f t="shared" si="23"/>
        <v>38.557329010611788</v>
      </c>
    </row>
    <row r="153" spans="1:9" ht="13.5" x14ac:dyDescent="0.25">
      <c r="A153" s="3">
        <f>TITRES_STAT!B156</f>
        <v>45142</v>
      </c>
      <c r="B153" s="5">
        <f>TITRES_STAT!D156</f>
        <v>5.7210000000000001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5.3325332748807497E-3</v>
      </c>
      <c r="G153" s="2">
        <f t="shared" si="21"/>
        <v>8.4976085210230166E-3</v>
      </c>
      <c r="H153" s="2">
        <f t="shared" si="22"/>
        <v>0.62753341268759377</v>
      </c>
      <c r="I153" s="2">
        <f t="shared" si="23"/>
        <v>38.557329010611795</v>
      </c>
    </row>
    <row r="154" spans="1:9" ht="13.5" x14ac:dyDescent="0.25">
      <c r="A154" s="3">
        <f>TITRES_STAT!B157</f>
        <v>45145</v>
      </c>
      <c r="B154" s="5">
        <f>TITRES_STAT!D157</f>
        <v>5.7210000000000001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4.9516380409606962E-3</v>
      </c>
      <c r="G154" s="2">
        <f t="shared" si="21"/>
        <v>7.8906364838070876E-3</v>
      </c>
      <c r="H154" s="2">
        <f t="shared" si="22"/>
        <v>0.62753341268759366</v>
      </c>
      <c r="I154" s="2">
        <f t="shared" si="23"/>
        <v>38.557329010611788</v>
      </c>
    </row>
    <row r="155" spans="1:9" ht="13.5" x14ac:dyDescent="0.25">
      <c r="A155" s="3">
        <f>TITRES_STAT!B158</f>
        <v>45146</v>
      </c>
      <c r="B155" s="5">
        <f>TITRES_STAT!D158</f>
        <v>5.766</v>
      </c>
      <c r="C155" s="2">
        <f t="shared" si="18"/>
        <v>4.4999999999999929E-2</v>
      </c>
      <c r="D155" s="2">
        <f t="shared" si="19"/>
        <v>4.4999999999999929E-2</v>
      </c>
      <c r="E155" s="2">
        <f t="shared" si="20"/>
        <v>0</v>
      </c>
      <c r="F155" s="2">
        <f t="shared" si="21"/>
        <v>7.812235323749213E-3</v>
      </c>
      <c r="G155" s="2">
        <f t="shared" si="21"/>
        <v>7.3270195921065814E-3</v>
      </c>
      <c r="H155" s="2">
        <f t="shared" si="22"/>
        <v>1.0662227970790956</v>
      </c>
      <c r="I155" s="2">
        <f t="shared" si="23"/>
        <v>51.602508625224523</v>
      </c>
    </row>
    <row r="156" spans="1:9" ht="13.5" x14ac:dyDescent="0.25">
      <c r="A156" s="3">
        <f>TITRES_STAT!B159</f>
        <v>45147</v>
      </c>
      <c r="B156" s="5">
        <f>TITRES_STAT!D159</f>
        <v>5.766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7.2542185149099834E-3</v>
      </c>
      <c r="G156" s="2">
        <f t="shared" si="21"/>
        <v>6.8036610498132541E-3</v>
      </c>
      <c r="H156" s="2">
        <f t="shared" si="22"/>
        <v>1.0662227970790956</v>
      </c>
      <c r="I156" s="2">
        <f t="shared" si="23"/>
        <v>51.602508625224523</v>
      </c>
    </row>
    <row r="157" spans="1:9" ht="13.5" x14ac:dyDescent="0.25">
      <c r="A157" s="3">
        <f>TITRES_STAT!B160</f>
        <v>45148</v>
      </c>
      <c r="B157" s="5">
        <f>TITRES_STAT!D160</f>
        <v>5.766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6.7360600495592702E-3</v>
      </c>
      <c r="G157" s="2">
        <f t="shared" si="24"/>
        <v>6.3176852605408788E-3</v>
      </c>
      <c r="H157" s="2">
        <f t="shared" si="22"/>
        <v>1.0662227970790956</v>
      </c>
      <c r="I157" s="2">
        <f t="shared" si="23"/>
        <v>51.602508625224523</v>
      </c>
    </row>
    <row r="158" spans="1:9" ht="13.5" x14ac:dyDescent="0.25">
      <c r="A158" s="3">
        <f>TITRES_STAT!B161</f>
        <v>45149</v>
      </c>
      <c r="B158" s="5">
        <f>TITRES_STAT!D161</f>
        <v>5.766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6.2549129031621792E-3</v>
      </c>
      <c r="G158" s="2">
        <f t="shared" si="24"/>
        <v>5.866422027645102E-3</v>
      </c>
      <c r="H158" s="2">
        <f t="shared" si="22"/>
        <v>1.0662227970790954</v>
      </c>
      <c r="I158" s="2">
        <f t="shared" si="23"/>
        <v>51.602508625224516</v>
      </c>
    </row>
    <row r="159" spans="1:9" ht="13.5" x14ac:dyDescent="0.25">
      <c r="A159" s="3">
        <f>TITRES_STAT!B162</f>
        <v>45152</v>
      </c>
      <c r="B159" s="5">
        <f>TITRES_STAT!D162</f>
        <v>5.766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5.808133410079166E-3</v>
      </c>
      <c r="G159" s="2">
        <f t="shared" si="24"/>
        <v>5.4473918828133096E-3</v>
      </c>
      <c r="H159" s="2">
        <f t="shared" si="22"/>
        <v>1.0662227970790952</v>
      </c>
      <c r="I159" s="2">
        <f t="shared" si="23"/>
        <v>51.602508625224502</v>
      </c>
    </row>
    <row r="160" spans="1:9" ht="13.5" x14ac:dyDescent="0.25">
      <c r="A160" s="3">
        <f>TITRES_STAT!B163</f>
        <v>45153</v>
      </c>
      <c r="B160" s="5">
        <f>TITRES_STAT!D163</f>
        <v>5.766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5.3932667379306539E-3</v>
      </c>
      <c r="G160" s="2">
        <f t="shared" si="24"/>
        <v>5.0582924626123588E-3</v>
      </c>
      <c r="H160" s="2">
        <f t="shared" si="22"/>
        <v>1.0662227970790952</v>
      </c>
      <c r="I160" s="2">
        <f t="shared" si="23"/>
        <v>51.602508625224502</v>
      </c>
    </row>
    <row r="161" spans="1:9" ht="13.5" x14ac:dyDescent="0.25">
      <c r="A161" s="3">
        <f>TITRES_STAT!B164</f>
        <v>45154</v>
      </c>
      <c r="B161" s="5">
        <f>TITRES_STAT!D164</f>
        <v>5.766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5.0080333995070354E-3</v>
      </c>
      <c r="G161" s="2">
        <f t="shared" si="24"/>
        <v>4.6969858581400476E-3</v>
      </c>
      <c r="H161" s="2">
        <f t="shared" si="22"/>
        <v>1.0662227970790952</v>
      </c>
      <c r="I161" s="2">
        <f t="shared" si="23"/>
        <v>51.602508625224502</v>
      </c>
    </row>
    <row r="162" spans="1:9" ht="13.5" x14ac:dyDescent="0.25">
      <c r="A162" s="3">
        <f>TITRES_STAT!B165</f>
        <v>45155</v>
      </c>
      <c r="B162" s="5">
        <f>TITRES_STAT!D165</f>
        <v>5.7569999999999997</v>
      </c>
      <c r="C162" s="2">
        <f t="shared" si="18"/>
        <v>-9.0000000000003411E-3</v>
      </c>
      <c r="D162" s="2">
        <f t="shared" si="19"/>
        <v>0</v>
      </c>
      <c r="E162" s="2">
        <f t="shared" si="20"/>
        <v>9.0000000000003411E-3</v>
      </c>
      <c r="F162" s="2">
        <f t="shared" si="24"/>
        <v>4.6503167281136759E-3</v>
      </c>
      <c r="G162" s="2">
        <f t="shared" si="24"/>
        <v>5.0043440111300691E-3</v>
      </c>
      <c r="H162" s="2">
        <f t="shared" si="22"/>
        <v>0.92925600593624103</v>
      </c>
      <c r="I162" s="2">
        <f t="shared" si="23"/>
        <v>48.166547263658046</v>
      </c>
    </row>
    <row r="163" spans="1:9" ht="13.5" x14ac:dyDescent="0.25">
      <c r="A163" s="3">
        <f>TITRES_STAT!B166</f>
        <v>45156</v>
      </c>
      <c r="B163" s="5">
        <f>TITRES_STAT!D166</f>
        <v>5.766</v>
      </c>
      <c r="C163" s="2">
        <f t="shared" si="18"/>
        <v>9.0000000000003411E-3</v>
      </c>
      <c r="D163" s="2">
        <f t="shared" si="19"/>
        <v>9.0000000000003411E-3</v>
      </c>
      <c r="E163" s="2">
        <f t="shared" si="20"/>
        <v>0</v>
      </c>
      <c r="F163" s="2">
        <f t="shared" si="24"/>
        <v>4.9610083903912959E-3</v>
      </c>
      <c r="G163" s="2">
        <f t="shared" si="24"/>
        <v>4.6468908674779218E-3</v>
      </c>
      <c r="H163" s="2">
        <f t="shared" si="22"/>
        <v>1.0675973531273955</v>
      </c>
      <c r="I163" s="2">
        <f t="shared" si="23"/>
        <v>51.634683683095972</v>
      </c>
    </row>
    <row r="164" spans="1:9" ht="13.5" x14ac:dyDescent="0.25">
      <c r="A164" s="3">
        <f>TITRES_STAT!B167</f>
        <v>45159</v>
      </c>
      <c r="B164" s="5">
        <f>TITRES_STAT!D167</f>
        <v>5.766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4.6066506482204889E-3</v>
      </c>
      <c r="G164" s="2">
        <f t="shared" si="24"/>
        <v>4.3149700912294992E-3</v>
      </c>
      <c r="H164" s="2">
        <f t="shared" si="22"/>
        <v>1.0675973531273952</v>
      </c>
      <c r="I164" s="2">
        <f t="shared" si="23"/>
        <v>51.634683683095965</v>
      </c>
    </row>
    <row r="165" spans="1:9" ht="13.5" x14ac:dyDescent="0.25">
      <c r="A165" s="3">
        <f>TITRES_STAT!B168</f>
        <v>45160</v>
      </c>
      <c r="B165" s="5">
        <f>TITRES_STAT!D168</f>
        <v>5.766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4.2776041733475966E-3</v>
      </c>
      <c r="G165" s="2">
        <f t="shared" si="24"/>
        <v>4.0067579418559636E-3</v>
      </c>
      <c r="H165" s="2">
        <f t="shared" si="22"/>
        <v>1.0675973531273952</v>
      </c>
      <c r="I165" s="2">
        <f t="shared" si="23"/>
        <v>51.634683683095965</v>
      </c>
    </row>
    <row r="166" spans="1:9" ht="13.5" x14ac:dyDescent="0.25">
      <c r="A166" s="3">
        <f>TITRES_STAT!B169</f>
        <v>45161</v>
      </c>
      <c r="B166" s="5">
        <f>TITRES_STAT!D169</f>
        <v>5.8010000000000002</v>
      </c>
      <c r="C166" s="2">
        <f t="shared" si="18"/>
        <v>3.5000000000000142E-2</v>
      </c>
      <c r="D166" s="2">
        <f t="shared" si="19"/>
        <v>3.5000000000000142E-2</v>
      </c>
      <c r="E166" s="2">
        <f t="shared" si="20"/>
        <v>0</v>
      </c>
      <c r="F166" s="2">
        <f t="shared" si="24"/>
        <v>6.4720610181084924E-3</v>
      </c>
      <c r="G166" s="2">
        <f t="shared" si="24"/>
        <v>3.7205609460091091E-3</v>
      </c>
      <c r="H166" s="2">
        <f t="shared" si="22"/>
        <v>1.7395390404908708</v>
      </c>
      <c r="I166" s="2">
        <f t="shared" si="23"/>
        <v>63.497508696907637</v>
      </c>
    </row>
    <row r="167" spans="1:9" ht="13.5" x14ac:dyDescent="0.25">
      <c r="A167" s="3">
        <f>TITRES_STAT!B170</f>
        <v>45162</v>
      </c>
      <c r="B167" s="5">
        <f>TITRES_STAT!D170</f>
        <v>5.8010000000000002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6.0097709453864568E-3</v>
      </c>
      <c r="G167" s="2">
        <f t="shared" si="24"/>
        <v>3.4548065927227441E-3</v>
      </c>
      <c r="H167" s="2">
        <f t="shared" si="22"/>
        <v>1.7395390404908708</v>
      </c>
      <c r="I167" s="2">
        <f t="shared" si="23"/>
        <v>63.497508696907637</v>
      </c>
    </row>
    <row r="168" spans="1:9" ht="13.5" x14ac:dyDescent="0.25">
      <c r="A168" s="3">
        <f>TITRES_STAT!B171</f>
        <v>45163</v>
      </c>
      <c r="B168" s="5">
        <f>TITRES_STAT!D171</f>
        <v>5.8010000000000002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5.5805015921445668E-3</v>
      </c>
      <c r="G168" s="2">
        <f t="shared" si="24"/>
        <v>3.2080346932425482E-3</v>
      </c>
      <c r="H168" s="2">
        <f t="shared" si="22"/>
        <v>1.7395390404908706</v>
      </c>
      <c r="I168" s="2">
        <f t="shared" si="23"/>
        <v>63.497508696907637</v>
      </c>
    </row>
    <row r="169" spans="1:9" ht="13.5" x14ac:dyDescent="0.25">
      <c r="A169" s="3">
        <f>TITRES_STAT!B172</f>
        <v>45166</v>
      </c>
      <c r="B169" s="5">
        <f>TITRES_STAT!D172</f>
        <v>5.8010000000000002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5.1818943355628122E-3</v>
      </c>
      <c r="G169" s="2">
        <f t="shared" si="24"/>
        <v>2.9788893580109379E-3</v>
      </c>
      <c r="H169" s="2">
        <f t="shared" si="22"/>
        <v>1.7395390404908706</v>
      </c>
      <c r="I169" s="2">
        <f t="shared" si="23"/>
        <v>63.497508696907637</v>
      </c>
    </row>
    <row r="170" spans="1:9" ht="13.5" x14ac:dyDescent="0.25">
      <c r="A170" s="3">
        <f>TITRES_STAT!B173</f>
        <v>45167</v>
      </c>
      <c r="B170" s="5">
        <f>TITRES_STAT!D173</f>
        <v>5.7830000000000004</v>
      </c>
      <c r="C170" s="2">
        <f t="shared" si="18"/>
        <v>-1.7999999999999794E-2</v>
      </c>
      <c r="D170" s="2">
        <f t="shared" si="19"/>
        <v>0</v>
      </c>
      <c r="E170" s="2">
        <f t="shared" si="20"/>
        <v>1.7999999999999794E-2</v>
      </c>
      <c r="F170" s="2">
        <f t="shared" si="24"/>
        <v>4.8117590258797546E-3</v>
      </c>
      <c r="G170" s="2">
        <f t="shared" si="24"/>
        <v>4.0518258324387128E-3</v>
      </c>
      <c r="H170" s="2">
        <f t="shared" si="22"/>
        <v>1.1875532722450839</v>
      </c>
      <c r="I170" s="2">
        <f t="shared" si="23"/>
        <v>54.286827539806559</v>
      </c>
    </row>
    <row r="171" spans="1:9" ht="13.5" x14ac:dyDescent="0.25">
      <c r="A171" s="3">
        <f>TITRES_STAT!B174</f>
        <v>45168</v>
      </c>
      <c r="B171" s="5">
        <f>TITRES_STAT!D174</f>
        <v>5.7830000000000004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4.4680619526026293E-3</v>
      </c>
      <c r="G171" s="2">
        <f t="shared" si="24"/>
        <v>3.7624097015502333E-3</v>
      </c>
      <c r="H171" s="2">
        <f t="shared" si="22"/>
        <v>1.1875532722450839</v>
      </c>
      <c r="I171" s="2">
        <f t="shared" si="23"/>
        <v>54.286827539806559</v>
      </c>
    </row>
    <row r="172" spans="1:9" ht="13.5" x14ac:dyDescent="0.25">
      <c r="A172" s="3">
        <f>TITRES_STAT!B175</f>
        <v>45169</v>
      </c>
      <c r="B172" s="5">
        <f>TITRES_STAT!D175</f>
        <v>5.766</v>
      </c>
      <c r="C172" s="2">
        <f t="shared" si="18"/>
        <v>-1.7000000000000348E-2</v>
      </c>
      <c r="D172" s="2">
        <f t="shared" si="19"/>
        <v>0</v>
      </c>
      <c r="E172" s="2">
        <f t="shared" si="20"/>
        <v>1.7000000000000348E-2</v>
      </c>
      <c r="F172" s="2">
        <f t="shared" si="24"/>
        <v>4.1489146702738703E-3</v>
      </c>
      <c r="G172" s="2">
        <f t="shared" si="24"/>
        <v>4.7079518657252416E-3</v>
      </c>
      <c r="H172" s="2">
        <f t="shared" si="22"/>
        <v>0.88125681583083604</v>
      </c>
      <c r="I172" s="2">
        <f t="shared" si="23"/>
        <v>46.844046406372158</v>
      </c>
    </row>
    <row r="173" spans="1:9" ht="13.5" x14ac:dyDescent="0.25">
      <c r="A173" s="3">
        <f>TITRES_STAT!B176</f>
        <v>45170</v>
      </c>
      <c r="B173" s="5">
        <f>TITRES_STAT!D176</f>
        <v>5.766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3.8525636223971653E-3</v>
      </c>
      <c r="G173" s="2">
        <f t="shared" si="25"/>
        <v>4.3716695896020103E-3</v>
      </c>
      <c r="H173" s="2">
        <f t="shared" si="22"/>
        <v>0.88125681583083604</v>
      </c>
      <c r="I173" s="2">
        <f t="shared" si="23"/>
        <v>46.844046406372158</v>
      </c>
    </row>
    <row r="174" spans="1:9" ht="13.5" x14ac:dyDescent="0.25">
      <c r="A174" s="3">
        <f>TITRES_STAT!B177</f>
        <v>45173</v>
      </c>
      <c r="B174" s="5">
        <f>TITRES_STAT!D177</f>
        <v>5.7569999999999997</v>
      </c>
      <c r="C174" s="2">
        <f t="shared" si="18"/>
        <v>-9.0000000000003411E-3</v>
      </c>
      <c r="D174" s="2">
        <f t="shared" si="19"/>
        <v>0</v>
      </c>
      <c r="E174" s="2">
        <f t="shared" si="20"/>
        <v>9.0000000000003411E-3</v>
      </c>
      <c r="F174" s="2">
        <f t="shared" si="25"/>
        <v>3.5773805065116536E-3</v>
      </c>
      <c r="G174" s="2">
        <f t="shared" si="25"/>
        <v>4.7022646189161773E-3</v>
      </c>
      <c r="H174" s="2">
        <f t="shared" si="22"/>
        <v>0.76077821994973183</v>
      </c>
      <c r="I174" s="2">
        <f t="shared" si="23"/>
        <v>43.206930397597219</v>
      </c>
    </row>
    <row r="175" spans="1:9" ht="13.5" x14ac:dyDescent="0.25">
      <c r="A175" s="3">
        <f>TITRES_STAT!B178</f>
        <v>45174</v>
      </c>
      <c r="B175" s="5">
        <f>TITRES_STAT!D178</f>
        <v>5.7569999999999997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3.321853327475107E-3</v>
      </c>
      <c r="G175" s="2">
        <f t="shared" si="25"/>
        <v>4.3663885747078791E-3</v>
      </c>
      <c r="H175" s="2">
        <f t="shared" si="22"/>
        <v>0.76077821994973183</v>
      </c>
      <c r="I175" s="2">
        <f t="shared" si="23"/>
        <v>43.206930397597219</v>
      </c>
    </row>
    <row r="176" spans="1:9" ht="13.5" x14ac:dyDescent="0.25">
      <c r="A176" s="3">
        <f>TITRES_STAT!B179</f>
        <v>45175</v>
      </c>
      <c r="B176" s="5">
        <f>TITRES_STAT!D179</f>
        <v>5.7569999999999997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3.0845780897983135E-3</v>
      </c>
      <c r="G176" s="2">
        <f t="shared" si="25"/>
        <v>4.0545036765144591E-3</v>
      </c>
      <c r="H176" s="2">
        <f t="shared" si="22"/>
        <v>0.76077821994973183</v>
      </c>
      <c r="I176" s="2">
        <f t="shared" si="23"/>
        <v>43.206930397597219</v>
      </c>
    </row>
    <row r="177" spans="1:9" ht="13.5" x14ac:dyDescent="0.25">
      <c r="A177" s="3">
        <f>TITRES_STAT!B180</f>
        <v>45176</v>
      </c>
      <c r="B177" s="5">
        <f>TITRES_STAT!D180</f>
        <v>5.7569999999999997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2.8642510833841481E-3</v>
      </c>
      <c r="G177" s="2">
        <f t="shared" si="25"/>
        <v>3.7648962710491408E-3</v>
      </c>
      <c r="H177" s="2">
        <f t="shared" si="22"/>
        <v>0.76077821994973172</v>
      </c>
      <c r="I177" s="2">
        <f t="shared" si="23"/>
        <v>43.206930397597212</v>
      </c>
    </row>
    <row r="178" spans="1:9" ht="13.5" x14ac:dyDescent="0.25">
      <c r="A178" s="3">
        <f>TITRES_STAT!B181</f>
        <v>45177</v>
      </c>
      <c r="B178" s="5">
        <f>TITRES_STAT!D181</f>
        <v>5.7569999999999997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2.6596617202852804E-3</v>
      </c>
      <c r="G178" s="2">
        <f t="shared" si="25"/>
        <v>3.4959751088313451E-3</v>
      </c>
      <c r="H178" s="2">
        <f t="shared" si="22"/>
        <v>0.76077821994973172</v>
      </c>
      <c r="I178" s="2">
        <f t="shared" si="23"/>
        <v>43.206930397597212</v>
      </c>
    </row>
    <row r="179" spans="1:9" ht="13.5" x14ac:dyDescent="0.25">
      <c r="A179" s="3">
        <f>TITRES_STAT!B182</f>
        <v>45180</v>
      </c>
      <c r="B179" s="5">
        <f>TITRES_STAT!D182</f>
        <v>5.7569999999999997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2.4696858831220461E-3</v>
      </c>
      <c r="G179" s="2">
        <f t="shared" si="25"/>
        <v>3.2462626010576778E-3</v>
      </c>
      <c r="H179" s="2">
        <f t="shared" si="22"/>
        <v>0.76077821994973172</v>
      </c>
      <c r="I179" s="2">
        <f t="shared" si="23"/>
        <v>43.206930397597212</v>
      </c>
    </row>
    <row r="180" spans="1:9" ht="13.5" x14ac:dyDescent="0.25">
      <c r="A180" s="3">
        <f>TITRES_STAT!B183</f>
        <v>45181</v>
      </c>
      <c r="B180" s="5">
        <f>TITRES_STAT!D183</f>
        <v>5.7569999999999997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2.2932797486133285E-3</v>
      </c>
      <c r="G180" s="2">
        <f t="shared" si="25"/>
        <v>3.0143867009821295E-3</v>
      </c>
      <c r="H180" s="2">
        <f t="shared" si="22"/>
        <v>0.7607782199497316</v>
      </c>
      <c r="I180" s="2">
        <f t="shared" si="23"/>
        <v>43.206930397597205</v>
      </c>
    </row>
    <row r="181" spans="1:9" ht="13.5" x14ac:dyDescent="0.25">
      <c r="A181" s="3">
        <f>TITRES_STAT!B184</f>
        <v>45182</v>
      </c>
      <c r="B181" s="5">
        <f>TITRES_STAT!D184</f>
        <v>5.7480000000000002</v>
      </c>
      <c r="C181" s="2">
        <f t="shared" si="18"/>
        <v>-8.9999999999994529E-3</v>
      </c>
      <c r="D181" s="2">
        <f t="shared" si="19"/>
        <v>0</v>
      </c>
      <c r="E181" s="2">
        <f t="shared" si="20"/>
        <v>8.9999999999994529E-3</v>
      </c>
      <c r="F181" s="2">
        <f t="shared" si="25"/>
        <v>2.129474052283805E-3</v>
      </c>
      <c r="G181" s="2">
        <f t="shared" si="25"/>
        <v>3.4419305080547954E-3</v>
      </c>
      <c r="H181" s="2">
        <f t="shared" si="22"/>
        <v>0.61868595176469021</v>
      </c>
      <c r="I181" s="2">
        <f t="shared" si="23"/>
        <v>38.221493866070766</v>
      </c>
    </row>
    <row r="182" spans="1:9" ht="13.5" x14ac:dyDescent="0.25">
      <c r="A182" s="3">
        <f>TITRES_STAT!B185</f>
        <v>45183</v>
      </c>
      <c r="B182" s="5">
        <f>TITRES_STAT!D185</f>
        <v>5.7389999999999999</v>
      </c>
      <c r="C182" s="2">
        <f t="shared" si="18"/>
        <v>-9.0000000000003411E-3</v>
      </c>
      <c r="D182" s="2">
        <f t="shared" si="19"/>
        <v>0</v>
      </c>
      <c r="E182" s="2">
        <f t="shared" si="20"/>
        <v>9.0000000000003411E-3</v>
      </c>
      <c r="F182" s="2">
        <f t="shared" si="25"/>
        <v>1.9773687628349616E-3</v>
      </c>
      <c r="G182" s="2">
        <f t="shared" si="25"/>
        <v>3.8389354717651915E-3</v>
      </c>
      <c r="H182" s="2">
        <f t="shared" si="22"/>
        <v>0.51508257364006749</v>
      </c>
      <c r="I182" s="2">
        <f t="shared" si="23"/>
        <v>33.996996771110233</v>
      </c>
    </row>
    <row r="183" spans="1:9" ht="13.5" x14ac:dyDescent="0.25">
      <c r="A183" s="3">
        <f>TITRES_STAT!B186</f>
        <v>45184</v>
      </c>
      <c r="B183" s="5">
        <f>TITRES_STAT!D186</f>
        <v>5.7389999999999999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1.8361281369181786E-3</v>
      </c>
      <c r="G183" s="2">
        <f t="shared" si="25"/>
        <v>3.5647257952105349E-3</v>
      </c>
      <c r="H183" s="2">
        <f t="shared" si="22"/>
        <v>0.51508257364006749</v>
      </c>
      <c r="I183" s="2">
        <f t="shared" si="23"/>
        <v>33.996996771110233</v>
      </c>
    </row>
    <row r="184" spans="1:9" ht="13.5" x14ac:dyDescent="0.25">
      <c r="A184" s="3">
        <f>TITRES_STAT!B187</f>
        <v>45187</v>
      </c>
      <c r="B184" s="5">
        <f>TITRES_STAT!D187</f>
        <v>5.7119999999999997</v>
      </c>
      <c r="C184" s="2">
        <f t="shared" si="18"/>
        <v>-2.7000000000000135E-2</v>
      </c>
      <c r="D184" s="2">
        <f t="shared" si="19"/>
        <v>0</v>
      </c>
      <c r="E184" s="2">
        <f t="shared" si="20"/>
        <v>2.7000000000000135E-2</v>
      </c>
      <c r="F184" s="2">
        <f t="shared" si="25"/>
        <v>1.7049761271383088E-3</v>
      </c>
      <c r="G184" s="2">
        <f t="shared" si="25"/>
        <v>5.2386739526955068E-3</v>
      </c>
      <c r="H184" s="2">
        <f t="shared" si="22"/>
        <v>0.32545948507847688</v>
      </c>
      <c r="I184" s="2">
        <f t="shared" si="23"/>
        <v>24.55446497930545</v>
      </c>
    </row>
    <row r="185" spans="1:9" ht="13.5" x14ac:dyDescent="0.25">
      <c r="A185" s="3">
        <f>TITRES_STAT!B188</f>
        <v>45188</v>
      </c>
      <c r="B185" s="5">
        <f>TITRES_STAT!D188</f>
        <v>5.7210000000000001</v>
      </c>
      <c r="C185" s="2">
        <f t="shared" si="18"/>
        <v>9.0000000000003411E-3</v>
      </c>
      <c r="D185" s="2">
        <f t="shared" si="19"/>
        <v>9.0000000000003411E-3</v>
      </c>
      <c r="E185" s="2">
        <f t="shared" si="20"/>
        <v>0</v>
      </c>
      <c r="F185" s="2">
        <f t="shared" si="25"/>
        <v>2.2260492609141682E-3</v>
      </c>
      <c r="G185" s="2">
        <f t="shared" si="25"/>
        <v>4.8644829560743992E-3</v>
      </c>
      <c r="H185" s="2">
        <f t="shared" si="22"/>
        <v>0.45761271670906895</v>
      </c>
      <c r="I185" s="2">
        <f t="shared" si="23"/>
        <v>31.394670989304061</v>
      </c>
    </row>
    <row r="186" spans="1:9" ht="13.5" x14ac:dyDescent="0.25">
      <c r="A186" s="3">
        <f>TITRES_STAT!B189</f>
        <v>45189</v>
      </c>
      <c r="B186" s="5">
        <f>TITRES_STAT!D189</f>
        <v>5.7210000000000001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2.0670457422774418E-3</v>
      </c>
      <c r="G186" s="2">
        <f t="shared" si="25"/>
        <v>4.5170198877833708E-3</v>
      </c>
      <c r="H186" s="2">
        <f t="shared" si="22"/>
        <v>0.45761271670906889</v>
      </c>
      <c r="I186" s="2">
        <f t="shared" si="23"/>
        <v>31.394670989304061</v>
      </c>
    </row>
    <row r="187" spans="1:9" ht="13.5" x14ac:dyDescent="0.25">
      <c r="A187" s="3">
        <f>TITRES_STAT!B190</f>
        <v>45190</v>
      </c>
      <c r="B187" s="5">
        <f>TITRES_STAT!D190</f>
        <v>5.7389999999999999</v>
      </c>
      <c r="C187" s="2">
        <f t="shared" si="18"/>
        <v>1.7999999999999794E-2</v>
      </c>
      <c r="D187" s="2">
        <f t="shared" si="19"/>
        <v>1.7999999999999794E-2</v>
      </c>
      <c r="E187" s="2">
        <f t="shared" si="20"/>
        <v>0</v>
      </c>
      <c r="F187" s="2">
        <f t="shared" si="25"/>
        <v>3.2051139035433238E-3</v>
      </c>
      <c r="G187" s="2">
        <f t="shared" si="25"/>
        <v>4.1943756100845586E-3</v>
      </c>
      <c r="H187" s="2">
        <f t="shared" si="22"/>
        <v>0.76414565634924358</v>
      </c>
      <c r="I187" s="2">
        <f t="shared" si="23"/>
        <v>43.315338141102309</v>
      </c>
    </row>
    <row r="188" spans="1:9" ht="13.5" x14ac:dyDescent="0.25">
      <c r="A188" s="3">
        <f>TITRES_STAT!B191</f>
        <v>45191</v>
      </c>
      <c r="B188" s="5">
        <f>TITRES_STAT!D191</f>
        <v>5.7389999999999999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2.9761771961473722E-3</v>
      </c>
      <c r="G188" s="2">
        <f t="shared" si="25"/>
        <v>3.8947773522213756E-3</v>
      </c>
      <c r="H188" s="2">
        <f t="shared" si="22"/>
        <v>0.76414565634924358</v>
      </c>
      <c r="I188" s="2">
        <f t="shared" si="23"/>
        <v>43.315338141102309</v>
      </c>
    </row>
    <row r="189" spans="1:9" ht="13.5" x14ac:dyDescent="0.25">
      <c r="A189" s="3">
        <f>TITRES_STAT!B192</f>
        <v>45194</v>
      </c>
      <c r="B189" s="5">
        <f>TITRES_STAT!D192</f>
        <v>5.73</v>
      </c>
      <c r="C189" s="2">
        <f t="shared" si="18"/>
        <v>-8.9999999999994529E-3</v>
      </c>
      <c r="D189" s="2">
        <f t="shared" si="19"/>
        <v>0</v>
      </c>
      <c r="E189" s="2">
        <f t="shared" si="20"/>
        <v>8.9999999999994529E-3</v>
      </c>
      <c r="F189" s="2">
        <f t="shared" ref="F189:G204" si="26">((F188*13)+D189)/14</f>
        <v>2.7635931107082741E-3</v>
      </c>
      <c r="G189" s="2">
        <f t="shared" si="26"/>
        <v>4.2594361127769528E-3</v>
      </c>
      <c r="H189" s="2">
        <f t="shared" si="22"/>
        <v>0.64881665965557611</v>
      </c>
      <c r="I189" s="2">
        <f t="shared" si="23"/>
        <v>39.350442989283501</v>
      </c>
    </row>
    <row r="190" spans="1:9" ht="13.5" x14ac:dyDescent="0.25">
      <c r="A190" s="3">
        <f>TITRES_STAT!B193</f>
        <v>45195</v>
      </c>
      <c r="B190" s="5">
        <f>TITRES_STAT!D193</f>
        <v>5.73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2.56619360280054E-3</v>
      </c>
      <c r="G190" s="2">
        <f t="shared" si="26"/>
        <v>3.9551906761500274E-3</v>
      </c>
      <c r="H190" s="2">
        <f t="shared" si="22"/>
        <v>0.648816659655576</v>
      </c>
      <c r="I190" s="2">
        <f t="shared" si="23"/>
        <v>39.350442989283501</v>
      </c>
    </row>
    <row r="191" spans="1:9" ht="13.5" x14ac:dyDescent="0.25">
      <c r="A191" s="3">
        <f>TITRES_STAT!B194</f>
        <v>45197</v>
      </c>
      <c r="B191" s="5">
        <f>TITRES_STAT!D194</f>
        <v>5.7210000000000001</v>
      </c>
      <c r="C191" s="2">
        <f t="shared" si="18"/>
        <v>-9.0000000000003411E-3</v>
      </c>
      <c r="D191" s="2">
        <f t="shared" si="19"/>
        <v>0</v>
      </c>
      <c r="E191" s="2">
        <f t="shared" si="20"/>
        <v>9.0000000000003411E-3</v>
      </c>
      <c r="F191" s="2">
        <f t="shared" si="26"/>
        <v>2.3828940597433587E-3</v>
      </c>
      <c r="G191" s="2">
        <f t="shared" si="26"/>
        <v>4.3155341992821925E-3</v>
      </c>
      <c r="H191" s="2">
        <f t="shared" si="22"/>
        <v>0.55216664952851213</v>
      </c>
      <c r="I191" s="2">
        <f t="shared" si="23"/>
        <v>35.573928205211658</v>
      </c>
    </row>
    <row r="192" spans="1:9" ht="13.5" x14ac:dyDescent="0.25">
      <c r="A192" s="3">
        <f>TITRES_STAT!B195</f>
        <v>45198</v>
      </c>
      <c r="B192" s="5">
        <f>TITRES_STAT!D195</f>
        <v>5.7039999999999997</v>
      </c>
      <c r="C192" s="2">
        <f t="shared" si="18"/>
        <v>-1.7000000000000348E-2</v>
      </c>
      <c r="D192" s="2">
        <f t="shared" si="19"/>
        <v>0</v>
      </c>
      <c r="E192" s="2">
        <f t="shared" si="20"/>
        <v>1.7000000000000348E-2</v>
      </c>
      <c r="F192" s="2">
        <f t="shared" si="26"/>
        <v>2.2126873411902619E-3</v>
      </c>
      <c r="G192" s="2">
        <f t="shared" si="26"/>
        <v>5.2215674707620603E-3</v>
      </c>
      <c r="H192" s="2">
        <f t="shared" si="22"/>
        <v>0.4237592166681956</v>
      </c>
      <c r="I192" s="2">
        <f t="shared" si="23"/>
        <v>29.763404633815398</v>
      </c>
    </row>
    <row r="193" spans="1:9" ht="13.5" x14ac:dyDescent="0.25">
      <c r="A193" s="3">
        <f>TITRES_STAT!B196</f>
        <v>45201</v>
      </c>
      <c r="B193" s="5">
        <f>TITRES_STAT!D196</f>
        <v>5.7119999999999997</v>
      </c>
      <c r="C193" s="2">
        <f t="shared" si="18"/>
        <v>8.0000000000000071E-3</v>
      </c>
      <c r="D193" s="2">
        <f t="shared" si="19"/>
        <v>8.0000000000000071E-3</v>
      </c>
      <c r="E193" s="2">
        <f t="shared" si="20"/>
        <v>0</v>
      </c>
      <c r="F193" s="2">
        <f t="shared" si="26"/>
        <v>2.6260668168195294E-3</v>
      </c>
      <c r="G193" s="2">
        <f t="shared" si="26"/>
        <v>4.8485983657076273E-3</v>
      </c>
      <c r="H193" s="2">
        <f t="shared" si="22"/>
        <v>0.54161360020923666</v>
      </c>
      <c r="I193" s="2">
        <f t="shared" si="23"/>
        <v>35.132902313246703</v>
      </c>
    </row>
    <row r="194" spans="1:9" ht="13.5" x14ac:dyDescent="0.25">
      <c r="A194" s="3">
        <f>TITRES_STAT!B197</f>
        <v>45202</v>
      </c>
      <c r="B194" s="5">
        <f>TITRES_STAT!D197</f>
        <v>5.7039999999999997</v>
      </c>
      <c r="C194" s="2">
        <f t="shared" si="18"/>
        <v>-8.0000000000000071E-3</v>
      </c>
      <c r="D194" s="2">
        <f t="shared" si="19"/>
        <v>0</v>
      </c>
      <c r="E194" s="2">
        <f t="shared" si="20"/>
        <v>8.0000000000000071E-3</v>
      </c>
      <c r="F194" s="2">
        <f t="shared" si="26"/>
        <v>2.4384906156181343E-3</v>
      </c>
      <c r="G194" s="2">
        <f t="shared" si="26"/>
        <v>5.0736984824427973E-3</v>
      </c>
      <c r="H194" s="2">
        <f t="shared" si="22"/>
        <v>0.48061401836478301</v>
      </c>
      <c r="I194" s="2">
        <f t="shared" si="23"/>
        <v>32.460453055522322</v>
      </c>
    </row>
    <row r="195" spans="1:9" ht="13.5" x14ac:dyDescent="0.25">
      <c r="A195" s="3">
        <f>TITRES_STAT!B198</f>
        <v>45203</v>
      </c>
      <c r="B195" s="5">
        <f>TITRES_STAT!D198</f>
        <v>5.7039999999999997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2.2643127145025531E-3</v>
      </c>
      <c r="G195" s="2">
        <f t="shared" si="26"/>
        <v>4.7112914479825975E-3</v>
      </c>
      <c r="H195" s="2">
        <f t="shared" si="22"/>
        <v>0.48061401836478301</v>
      </c>
      <c r="I195" s="2">
        <f t="shared" si="23"/>
        <v>32.460453055522322</v>
      </c>
    </row>
    <row r="196" spans="1:9" ht="13.5" x14ac:dyDescent="0.25">
      <c r="A196" s="3">
        <f>TITRES_STAT!B199</f>
        <v>45204</v>
      </c>
      <c r="B196" s="5">
        <f>TITRES_STAT!D199</f>
        <v>5.7039999999999997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2.1025760920380852E-3</v>
      </c>
      <c r="G196" s="2">
        <f t="shared" si="26"/>
        <v>4.3747706302695545E-3</v>
      </c>
      <c r="H196" s="2">
        <f t="shared" si="22"/>
        <v>0.48061401836478307</v>
      </c>
      <c r="I196" s="2">
        <f t="shared" si="23"/>
        <v>32.460453055522322</v>
      </c>
    </row>
    <row r="197" spans="1:9" ht="13.5" x14ac:dyDescent="0.25">
      <c r="A197" s="3">
        <f>TITRES_STAT!B200</f>
        <v>45205</v>
      </c>
      <c r="B197" s="5">
        <f>TITRES_STAT!D200</f>
        <v>5.7039999999999997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1.9523920854639363E-3</v>
      </c>
      <c r="G197" s="2">
        <f t="shared" si="26"/>
        <v>4.0622870138217288E-3</v>
      </c>
      <c r="H197" s="2">
        <f t="shared" si="22"/>
        <v>0.48061401836478312</v>
      </c>
      <c r="I197" s="2">
        <f t="shared" si="23"/>
        <v>32.460453055522322</v>
      </c>
    </row>
    <row r="198" spans="1:9" ht="13.5" x14ac:dyDescent="0.25">
      <c r="A198" s="3">
        <f>TITRES_STAT!B201</f>
        <v>45208</v>
      </c>
      <c r="B198" s="5">
        <f>TITRES_STAT!D201</f>
        <v>5.7210000000000001</v>
      </c>
      <c r="C198" s="2">
        <f t="shared" si="27"/>
        <v>1.7000000000000348E-2</v>
      </c>
      <c r="D198" s="2">
        <f t="shared" si="28"/>
        <v>1.7000000000000348E-2</v>
      </c>
      <c r="E198" s="2">
        <f t="shared" si="29"/>
        <v>0</v>
      </c>
      <c r="F198" s="2">
        <f t="shared" si="26"/>
        <v>3.0272212222165374E-3</v>
      </c>
      <c r="G198" s="2">
        <f t="shared" si="26"/>
        <v>3.7721236556916052E-3</v>
      </c>
      <c r="H198" s="2">
        <f t="shared" si="22"/>
        <v>0.80252438640204316</v>
      </c>
      <c r="I198" s="2">
        <f t="shared" si="23"/>
        <v>44.522248489738026</v>
      </c>
    </row>
    <row r="199" spans="1:9" ht="13.5" x14ac:dyDescent="0.25">
      <c r="A199" s="3">
        <f>TITRES_STAT!B202</f>
        <v>45209</v>
      </c>
      <c r="B199" s="5">
        <f>TITRES_STAT!D202</f>
        <v>5.6859999999999999</v>
      </c>
      <c r="C199" s="2">
        <f t="shared" si="27"/>
        <v>-3.5000000000000142E-2</v>
      </c>
      <c r="D199" s="2">
        <f t="shared" si="28"/>
        <v>0</v>
      </c>
      <c r="E199" s="2">
        <f t="shared" si="29"/>
        <v>3.5000000000000142E-2</v>
      </c>
      <c r="F199" s="2">
        <f t="shared" si="26"/>
        <v>2.8109911349153559E-3</v>
      </c>
      <c r="G199" s="2">
        <f t="shared" si="26"/>
        <v>6.0026862517136431E-3</v>
      </c>
      <c r="H199" s="2">
        <f t="shared" si="22"/>
        <v>0.46828886552464338</v>
      </c>
      <c r="I199" s="2">
        <f t="shared" si="23"/>
        <v>31.893510638134288</v>
      </c>
    </row>
    <row r="200" spans="1:9" ht="13.5" x14ac:dyDescent="0.25">
      <c r="A200" s="3">
        <f>TITRES_STAT!B203</f>
        <v>45210</v>
      </c>
      <c r="B200" s="5">
        <f>TITRES_STAT!D203</f>
        <v>5.6859999999999999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2.6102060538499734E-3</v>
      </c>
      <c r="G200" s="2">
        <f t="shared" si="26"/>
        <v>5.5739229480198113E-3</v>
      </c>
      <c r="H200" s="2">
        <f t="shared" si="22"/>
        <v>0.46828886552464344</v>
      </c>
      <c r="I200" s="2">
        <f t="shared" si="23"/>
        <v>31.893510638134288</v>
      </c>
    </row>
    <row r="201" spans="1:9" ht="13.5" x14ac:dyDescent="0.25">
      <c r="A201" s="3">
        <f>TITRES_STAT!B204</f>
        <v>45211</v>
      </c>
      <c r="B201" s="5">
        <f>TITRES_STAT!D204</f>
        <v>5.6859999999999999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2.4237627642892607E-3</v>
      </c>
      <c r="G201" s="2">
        <f t="shared" si="26"/>
        <v>5.1757855945898249E-3</v>
      </c>
      <c r="H201" s="2">
        <f t="shared" si="22"/>
        <v>0.46828886552464333</v>
      </c>
      <c r="I201" s="2">
        <f t="shared" si="23"/>
        <v>31.893510638134288</v>
      </c>
    </row>
    <row r="202" spans="1:9" ht="13.5" x14ac:dyDescent="0.25">
      <c r="A202" s="3">
        <f>TITRES_STAT!B205</f>
        <v>45212</v>
      </c>
      <c r="B202" s="5">
        <f>TITRES_STAT!D205</f>
        <v>5.6950000000000003</v>
      </c>
      <c r="C202" s="2">
        <f t="shared" si="27"/>
        <v>9.0000000000003411E-3</v>
      </c>
      <c r="D202" s="2">
        <f t="shared" si="28"/>
        <v>9.0000000000003411E-3</v>
      </c>
      <c r="E202" s="2">
        <f t="shared" si="29"/>
        <v>0</v>
      </c>
      <c r="F202" s="2">
        <f t="shared" si="26"/>
        <v>2.8934939954114807E-3</v>
      </c>
      <c r="G202" s="2">
        <f t="shared" si="26"/>
        <v>4.8060866235476946E-3</v>
      </c>
      <c r="H202" s="2">
        <f t="shared" si="22"/>
        <v>0.60204782436393101</v>
      </c>
      <c r="I202" s="2">
        <f t="shared" si="23"/>
        <v>37.579890887649697</v>
      </c>
    </row>
    <row r="203" spans="1:9" ht="13.5" x14ac:dyDescent="0.25">
      <c r="A203" s="3">
        <f>TITRES_STAT!B206</f>
        <v>45215</v>
      </c>
      <c r="B203" s="5">
        <f>TITRES_STAT!D206</f>
        <v>5.6950000000000003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2.6868158528820891E-3</v>
      </c>
      <c r="G203" s="2">
        <f t="shared" si="26"/>
        <v>4.4627947218657165E-3</v>
      </c>
      <c r="H203" s="2">
        <f t="shared" si="22"/>
        <v>0.60204782436393101</v>
      </c>
      <c r="I203" s="2">
        <f t="shared" si="23"/>
        <v>37.579890887649697</v>
      </c>
    </row>
    <row r="204" spans="1:9" ht="13.5" x14ac:dyDescent="0.25">
      <c r="A204" s="3">
        <f>TITRES_STAT!B207</f>
        <v>45216</v>
      </c>
      <c r="B204" s="5">
        <f>TITRES_STAT!D207</f>
        <v>5.6950000000000003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2.4949004348190826E-3</v>
      </c>
      <c r="G204" s="2">
        <f t="shared" si="26"/>
        <v>4.1440236703038794E-3</v>
      </c>
      <c r="H204" s="2">
        <f t="shared" si="22"/>
        <v>0.60204782436393101</v>
      </c>
      <c r="I204" s="2">
        <f t="shared" si="23"/>
        <v>37.579890887649697</v>
      </c>
    </row>
    <row r="205" spans="1:9" ht="13.5" x14ac:dyDescent="0.25">
      <c r="A205" s="3">
        <f>TITRES_STAT!B208</f>
        <v>45217</v>
      </c>
      <c r="B205" s="5">
        <f>TITRES_STAT!D208</f>
        <v>5.6769999999999996</v>
      </c>
      <c r="C205" s="2">
        <f t="shared" si="27"/>
        <v>-1.8000000000000682E-2</v>
      </c>
      <c r="D205" s="2">
        <f t="shared" si="28"/>
        <v>0</v>
      </c>
      <c r="E205" s="2">
        <f t="shared" si="29"/>
        <v>1.8000000000000682E-2</v>
      </c>
      <c r="F205" s="2">
        <f t="shared" ref="F205:G220" si="30">((F204*13)+D205)/14</f>
        <v>2.3166932609034337E-3</v>
      </c>
      <c r="G205" s="2">
        <f t="shared" si="30"/>
        <v>5.1337362652822223E-3</v>
      </c>
      <c r="H205" s="2">
        <f t="shared" si="22"/>
        <v>0.45126846047204877</v>
      </c>
      <c r="I205" s="2">
        <f t="shared" si="23"/>
        <v>31.094761084056515</v>
      </c>
    </row>
    <row r="206" spans="1:9" ht="13.5" x14ac:dyDescent="0.25">
      <c r="A206" s="3">
        <f>TITRES_STAT!B209</f>
        <v>45218</v>
      </c>
      <c r="B206" s="5">
        <f>TITRES_STAT!D209</f>
        <v>5.6769999999999996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2.1512151708389026E-3</v>
      </c>
      <c r="G206" s="2">
        <f t="shared" si="30"/>
        <v>4.767040817762064E-3</v>
      </c>
      <c r="H206" s="2">
        <f t="shared" si="22"/>
        <v>0.45126846047204872</v>
      </c>
      <c r="I206" s="2">
        <f t="shared" si="23"/>
        <v>31.094761084056515</v>
      </c>
    </row>
    <row r="207" spans="1:9" ht="13.5" x14ac:dyDescent="0.25">
      <c r="A207" s="3">
        <f>TITRES_STAT!B210</f>
        <v>45219</v>
      </c>
      <c r="B207" s="5">
        <f>TITRES_STAT!D210</f>
        <v>5.6950000000000003</v>
      </c>
      <c r="C207" s="2">
        <f t="shared" si="27"/>
        <v>1.8000000000000682E-2</v>
      </c>
      <c r="D207" s="2">
        <f t="shared" si="28"/>
        <v>1.8000000000000682E-2</v>
      </c>
      <c r="E207" s="2">
        <f t="shared" si="29"/>
        <v>0</v>
      </c>
      <c r="F207" s="2">
        <f t="shared" si="30"/>
        <v>3.2832712300647445E-3</v>
      </c>
      <c r="G207" s="2">
        <f t="shared" si="30"/>
        <v>4.426537902207631E-3</v>
      </c>
      <c r="H207" s="2">
        <f t="shared" si="22"/>
        <v>0.74172441366136066</v>
      </c>
      <c r="I207" s="2">
        <f t="shared" si="23"/>
        <v>42.58563569779372</v>
      </c>
    </row>
    <row r="208" spans="1:9" ht="13.5" x14ac:dyDescent="0.25">
      <c r="A208" s="3">
        <f>TITRES_STAT!B211</f>
        <v>45222</v>
      </c>
      <c r="B208" s="5">
        <f>TITRES_STAT!D211</f>
        <v>5.6769999999999996</v>
      </c>
      <c r="C208" s="2">
        <f t="shared" si="27"/>
        <v>-1.8000000000000682E-2</v>
      </c>
      <c r="D208" s="2">
        <f t="shared" si="28"/>
        <v>0</v>
      </c>
      <c r="E208" s="2">
        <f t="shared" si="29"/>
        <v>1.8000000000000682E-2</v>
      </c>
      <c r="F208" s="2">
        <f t="shared" si="30"/>
        <v>3.0487518564886913E-3</v>
      </c>
      <c r="G208" s="2">
        <f t="shared" si="30"/>
        <v>5.3960709091928488E-3</v>
      </c>
      <c r="H208" s="2">
        <f t="shared" si="22"/>
        <v>0.56499477263999254</v>
      </c>
      <c r="I208" s="2">
        <f t="shared" si="23"/>
        <v>36.102022991866086</v>
      </c>
    </row>
    <row r="209" spans="1:9" ht="13.5" x14ac:dyDescent="0.25">
      <c r="A209" s="3">
        <f>TITRES_STAT!B212</f>
        <v>45223</v>
      </c>
      <c r="B209" s="5">
        <f>TITRES_STAT!D212</f>
        <v>5.6769999999999996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2.8309838667394988E-3</v>
      </c>
      <c r="G209" s="2">
        <f t="shared" si="30"/>
        <v>5.0106372728219309E-3</v>
      </c>
      <c r="H209" s="2">
        <f t="shared" ref="H209:H272" si="31">F209/G209</f>
        <v>0.56499477263999243</v>
      </c>
      <c r="I209" s="2">
        <f t="shared" ref="I209:I272" si="32">IF(G209=0,100,100-(100/(1+H209)))</f>
        <v>36.102022991866086</v>
      </c>
    </row>
    <row r="210" spans="1:9" ht="13.5" x14ac:dyDescent="0.25">
      <c r="A210" s="3">
        <f>TITRES_STAT!B213</f>
        <v>45224</v>
      </c>
      <c r="B210" s="5">
        <f>TITRES_STAT!D213</f>
        <v>5.6769999999999996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2.6287707334009631E-3</v>
      </c>
      <c r="G210" s="2">
        <f t="shared" si="30"/>
        <v>4.6527346104775075E-3</v>
      </c>
      <c r="H210" s="2">
        <f t="shared" si="31"/>
        <v>0.56499477263999243</v>
      </c>
      <c r="I210" s="2">
        <f t="shared" si="32"/>
        <v>36.102022991866086</v>
      </c>
    </row>
    <row r="211" spans="1:9" ht="13.5" x14ac:dyDescent="0.25">
      <c r="A211" s="3">
        <f>TITRES_STAT!B214</f>
        <v>45225</v>
      </c>
      <c r="B211" s="5">
        <f>TITRES_STAT!D214</f>
        <v>5.6769999999999996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2.4410013953008944E-3</v>
      </c>
      <c r="G211" s="2">
        <f t="shared" si="30"/>
        <v>4.3203964240148282E-3</v>
      </c>
      <c r="H211" s="2">
        <f t="shared" si="31"/>
        <v>0.56499477263999243</v>
      </c>
      <c r="I211" s="2">
        <f t="shared" si="32"/>
        <v>36.102022991866086</v>
      </c>
    </row>
    <row r="212" spans="1:9" ht="13.5" x14ac:dyDescent="0.25">
      <c r="A212" s="3">
        <f>TITRES_STAT!B215</f>
        <v>45226</v>
      </c>
      <c r="B212" s="5">
        <f>TITRES_STAT!D215</f>
        <v>5.6769999999999996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2.2666441527794019E-3</v>
      </c>
      <c r="G212" s="2">
        <f t="shared" si="30"/>
        <v>4.0117966794423407E-3</v>
      </c>
      <c r="H212" s="2">
        <f t="shared" si="31"/>
        <v>0.56499477263999243</v>
      </c>
      <c r="I212" s="2">
        <f t="shared" si="32"/>
        <v>36.102022991866086</v>
      </c>
    </row>
    <row r="213" spans="1:9" ht="13.5" x14ac:dyDescent="0.25">
      <c r="A213" s="3">
        <f>TITRES_STAT!B216</f>
        <v>45229</v>
      </c>
      <c r="B213" s="5">
        <f>TITRES_STAT!D216</f>
        <v>5.6769999999999996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2.1047409990094445E-3</v>
      </c>
      <c r="G213" s="2">
        <f t="shared" si="30"/>
        <v>3.7252397737678879E-3</v>
      </c>
      <c r="H213" s="2">
        <f t="shared" si="31"/>
        <v>0.56499477263999243</v>
      </c>
      <c r="I213" s="2">
        <f t="shared" si="32"/>
        <v>36.102022991866086</v>
      </c>
    </row>
    <row r="214" spans="1:9" ht="13.5" x14ac:dyDescent="0.25">
      <c r="A214" s="3">
        <f>TITRES_STAT!B217</f>
        <v>45230</v>
      </c>
      <c r="B214" s="5">
        <f>TITRES_STAT!D217</f>
        <v>5.6769999999999996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1.9544023562230559E-3</v>
      </c>
      <c r="G214" s="2">
        <f t="shared" si="30"/>
        <v>3.4591512184987531E-3</v>
      </c>
      <c r="H214" s="2">
        <f t="shared" si="31"/>
        <v>0.56499477263999243</v>
      </c>
      <c r="I214" s="2">
        <f t="shared" si="32"/>
        <v>36.102022991866086</v>
      </c>
    </row>
    <row r="215" spans="1:9" ht="13.5" x14ac:dyDescent="0.25">
      <c r="A215" s="3">
        <f>TITRES_STAT!B218</f>
        <v>45231</v>
      </c>
      <c r="B215" s="5">
        <f>TITRES_STAT!D218</f>
        <v>5.6239999999999997</v>
      </c>
      <c r="C215" s="2">
        <f t="shared" si="27"/>
        <v>-5.2999999999999936E-2</v>
      </c>
      <c r="D215" s="2">
        <f t="shared" si="28"/>
        <v>0</v>
      </c>
      <c r="E215" s="2">
        <f t="shared" si="29"/>
        <v>5.2999999999999936E-2</v>
      </c>
      <c r="F215" s="2">
        <f t="shared" si="30"/>
        <v>1.814802187921409E-3</v>
      </c>
      <c r="G215" s="2">
        <f t="shared" si="30"/>
        <v>6.9977832743202666E-3</v>
      </c>
      <c r="H215" s="2">
        <f t="shared" si="31"/>
        <v>0.25933958180459521</v>
      </c>
      <c r="I215" s="2">
        <f t="shared" si="32"/>
        <v>20.593300294188282</v>
      </c>
    </row>
    <row r="216" spans="1:9" ht="13.5" x14ac:dyDescent="0.25">
      <c r="A216" s="3">
        <f>TITRES_STAT!B219</f>
        <v>45232</v>
      </c>
      <c r="B216" s="5">
        <f>TITRES_STAT!D219</f>
        <v>5.633</v>
      </c>
      <c r="C216" s="2">
        <f t="shared" si="27"/>
        <v>9.0000000000003411E-3</v>
      </c>
      <c r="D216" s="2">
        <f t="shared" si="28"/>
        <v>9.0000000000003411E-3</v>
      </c>
      <c r="E216" s="2">
        <f t="shared" si="29"/>
        <v>0</v>
      </c>
      <c r="F216" s="2">
        <f t="shared" si="30"/>
        <v>2.3280306030699044E-3</v>
      </c>
      <c r="G216" s="2">
        <f t="shared" si="30"/>
        <v>6.4979416118688188E-3</v>
      </c>
      <c r="H216" s="2">
        <f t="shared" si="31"/>
        <v>0.35827201014204851</v>
      </c>
      <c r="I216" s="2">
        <f t="shared" si="32"/>
        <v>26.37704432299833</v>
      </c>
    </row>
    <row r="217" spans="1:9" ht="13.5" x14ac:dyDescent="0.25">
      <c r="A217" s="3">
        <f>TITRES_STAT!B220</f>
        <v>45233</v>
      </c>
      <c r="B217" s="5">
        <f>TITRES_STAT!D220</f>
        <v>5.6150000000000002</v>
      </c>
      <c r="C217" s="2">
        <f t="shared" si="27"/>
        <v>-1.7999999999999794E-2</v>
      </c>
      <c r="D217" s="2">
        <f t="shared" si="28"/>
        <v>0</v>
      </c>
      <c r="E217" s="2">
        <f t="shared" si="29"/>
        <v>1.7999999999999794E-2</v>
      </c>
      <c r="F217" s="2">
        <f t="shared" si="30"/>
        <v>2.1617427028506253E-3</v>
      </c>
      <c r="G217" s="2">
        <f t="shared" si="30"/>
        <v>7.3195172110210316E-3</v>
      </c>
      <c r="H217" s="2">
        <f t="shared" si="31"/>
        <v>0.29533952042570227</v>
      </c>
      <c r="I217" s="2">
        <f t="shared" si="32"/>
        <v>22.800162873795557</v>
      </c>
    </row>
    <row r="218" spans="1:9" ht="13.5" x14ac:dyDescent="0.25">
      <c r="A218" s="3">
        <f>TITRES_STAT!B221</f>
        <v>45236</v>
      </c>
      <c r="B218" s="5">
        <f>TITRES_STAT!D221</f>
        <v>5.6150000000000002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2.0073325097898663E-3</v>
      </c>
      <c r="G218" s="2">
        <f t="shared" si="30"/>
        <v>6.7966945530909583E-3</v>
      </c>
      <c r="H218" s="2">
        <f t="shared" si="31"/>
        <v>0.29533952042570222</v>
      </c>
      <c r="I218" s="2">
        <f t="shared" si="32"/>
        <v>22.800162873795557</v>
      </c>
    </row>
    <row r="219" spans="1:9" ht="13.5" x14ac:dyDescent="0.25">
      <c r="A219" s="3">
        <f>TITRES_STAT!B222</f>
        <v>45237</v>
      </c>
      <c r="B219" s="5">
        <f>TITRES_STAT!D222</f>
        <v>5.5880000000000001</v>
      </c>
      <c r="C219" s="2">
        <f t="shared" si="27"/>
        <v>-2.7000000000000135E-2</v>
      </c>
      <c r="D219" s="2">
        <f t="shared" si="28"/>
        <v>0</v>
      </c>
      <c r="E219" s="2">
        <f t="shared" si="29"/>
        <v>2.7000000000000135E-2</v>
      </c>
      <c r="F219" s="2">
        <f t="shared" si="30"/>
        <v>1.8639516162334473E-3</v>
      </c>
      <c r="G219" s="2">
        <f t="shared" si="30"/>
        <v>8.2397877992987558E-3</v>
      </c>
      <c r="H219" s="2">
        <f t="shared" si="31"/>
        <v>0.22621354598380292</v>
      </c>
      <c r="I219" s="2">
        <f t="shared" si="32"/>
        <v>18.448136274853297</v>
      </c>
    </row>
    <row r="220" spans="1:9" ht="13.5" x14ac:dyDescent="0.25">
      <c r="A220" s="3">
        <f>TITRES_STAT!B223</f>
        <v>45238</v>
      </c>
      <c r="B220" s="5">
        <f>TITRES_STAT!D223</f>
        <v>5.5880000000000001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1.7308122150739153E-3</v>
      </c>
      <c r="G220" s="2">
        <f t="shared" si="30"/>
        <v>7.6512315279202731E-3</v>
      </c>
      <c r="H220" s="2">
        <f t="shared" si="31"/>
        <v>0.22621354598380292</v>
      </c>
      <c r="I220" s="2">
        <f t="shared" si="32"/>
        <v>18.448136274853297</v>
      </c>
    </row>
    <row r="221" spans="1:9" ht="13.5" x14ac:dyDescent="0.25">
      <c r="A221" s="3">
        <f>TITRES_STAT!B224</f>
        <v>45239</v>
      </c>
      <c r="B221" s="5">
        <f>TITRES_STAT!D224</f>
        <v>5.5880000000000001</v>
      </c>
      <c r="C221" s="2">
        <f t="shared" si="27"/>
        <v>0</v>
      </c>
      <c r="D221" s="2">
        <f t="shared" si="28"/>
        <v>0</v>
      </c>
      <c r="E221" s="2">
        <f t="shared" si="29"/>
        <v>0</v>
      </c>
      <c r="F221" s="2">
        <f t="shared" ref="F221:G236" si="33">((F220*13)+D221)/14</f>
        <v>1.6071827711400641E-3</v>
      </c>
      <c r="G221" s="2">
        <f t="shared" si="33"/>
        <v>7.1047149902116824E-3</v>
      </c>
      <c r="H221" s="2">
        <f t="shared" si="31"/>
        <v>0.22621354598380289</v>
      </c>
      <c r="I221" s="2">
        <f t="shared" si="32"/>
        <v>18.448136274853297</v>
      </c>
    </row>
    <row r="222" spans="1:9" ht="13.5" x14ac:dyDescent="0.25">
      <c r="A222" s="3">
        <f>TITRES_STAT!B225</f>
        <v>45240</v>
      </c>
      <c r="B222" s="5">
        <f>TITRES_STAT!D225</f>
        <v>5.5880000000000001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1.4923840017729167E-3</v>
      </c>
      <c r="G222" s="2">
        <f t="shared" si="33"/>
        <v>6.5972353480537047E-3</v>
      </c>
      <c r="H222" s="2">
        <f t="shared" si="31"/>
        <v>0.22621354598380292</v>
      </c>
      <c r="I222" s="2">
        <f t="shared" si="32"/>
        <v>18.448136274853297</v>
      </c>
    </row>
    <row r="223" spans="1:9" ht="13.5" x14ac:dyDescent="0.25">
      <c r="A223" s="3">
        <f>TITRES_STAT!B226</f>
        <v>45243</v>
      </c>
      <c r="B223" s="5">
        <f>TITRES_STAT!D226</f>
        <v>5.5789999999999997</v>
      </c>
      <c r="C223" s="2">
        <f t="shared" si="27"/>
        <v>-9.0000000000003411E-3</v>
      </c>
      <c r="D223" s="2">
        <f t="shared" si="28"/>
        <v>0</v>
      </c>
      <c r="E223" s="2">
        <f t="shared" si="29"/>
        <v>9.0000000000003411E-3</v>
      </c>
      <c r="F223" s="2">
        <f t="shared" si="33"/>
        <v>1.3857851445034225E-3</v>
      </c>
      <c r="G223" s="2">
        <f t="shared" si="33"/>
        <v>6.7688613946213219E-3</v>
      </c>
      <c r="H223" s="2">
        <f t="shared" si="31"/>
        <v>0.20472943139367519</v>
      </c>
      <c r="I223" s="2">
        <f t="shared" si="32"/>
        <v>16.993810067114964</v>
      </c>
    </row>
    <row r="224" spans="1:9" ht="13.5" x14ac:dyDescent="0.25">
      <c r="A224" s="3">
        <f>TITRES_STAT!B227</f>
        <v>45244</v>
      </c>
      <c r="B224" s="5">
        <f>TITRES_STAT!D227</f>
        <v>5.5789999999999997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1.2868004913246067E-3</v>
      </c>
      <c r="G224" s="2">
        <f t="shared" si="33"/>
        <v>6.2853712950055127E-3</v>
      </c>
      <c r="H224" s="2">
        <f t="shared" si="31"/>
        <v>0.20472943139367522</v>
      </c>
      <c r="I224" s="2">
        <f t="shared" si="32"/>
        <v>16.993810067114964</v>
      </c>
    </row>
    <row r="225" spans="1:9" ht="13.5" x14ac:dyDescent="0.25">
      <c r="A225" s="3">
        <f>TITRES_STAT!B228</f>
        <v>45245</v>
      </c>
      <c r="B225" s="5">
        <f>TITRES_STAT!D228</f>
        <v>5.5789999999999997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1.1948861705157062E-3</v>
      </c>
      <c r="G225" s="2">
        <f t="shared" si="33"/>
        <v>5.8364162025051191E-3</v>
      </c>
      <c r="H225" s="2">
        <f t="shared" si="31"/>
        <v>0.20472943139367522</v>
      </c>
      <c r="I225" s="2">
        <f t="shared" si="32"/>
        <v>16.993810067114964</v>
      </c>
    </row>
    <row r="226" spans="1:9" ht="13.5" x14ac:dyDescent="0.25">
      <c r="A226" s="3">
        <f>TITRES_STAT!B229</f>
        <v>45246</v>
      </c>
      <c r="B226" s="5">
        <f>TITRES_STAT!D229</f>
        <v>5.5880000000000001</v>
      </c>
      <c r="C226" s="2">
        <f t="shared" si="27"/>
        <v>9.0000000000003411E-3</v>
      </c>
      <c r="D226" s="2">
        <f t="shared" si="28"/>
        <v>9.0000000000003411E-3</v>
      </c>
      <c r="E226" s="2">
        <f t="shared" si="29"/>
        <v>0</v>
      </c>
      <c r="F226" s="2">
        <f t="shared" si="33"/>
        <v>1.7523943011931802E-3</v>
      </c>
      <c r="G226" s="2">
        <f t="shared" si="33"/>
        <v>5.4195293308976098E-3</v>
      </c>
      <c r="H226" s="2">
        <f t="shared" si="31"/>
        <v>0.32334806109499176</v>
      </c>
      <c r="I226" s="2">
        <f t="shared" si="32"/>
        <v>24.434090365269469</v>
      </c>
    </row>
    <row r="227" spans="1:9" ht="13.5" x14ac:dyDescent="0.25">
      <c r="A227" s="3">
        <f>TITRES_STAT!B230</f>
        <v>45247</v>
      </c>
      <c r="B227" s="5">
        <f>TITRES_STAT!D230</f>
        <v>5.5880000000000001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1.6272232796793816E-3</v>
      </c>
      <c r="G227" s="2">
        <f t="shared" si="33"/>
        <v>5.0324200929763516E-3</v>
      </c>
      <c r="H227" s="2">
        <f t="shared" si="31"/>
        <v>0.32334806109499176</v>
      </c>
      <c r="I227" s="2">
        <f t="shared" si="32"/>
        <v>24.434090365269469</v>
      </c>
    </row>
    <row r="228" spans="1:9" ht="13.5" x14ac:dyDescent="0.25">
      <c r="A228" s="3">
        <f>TITRES_STAT!B231</f>
        <v>45250</v>
      </c>
      <c r="B228" s="5">
        <f>TITRES_STAT!D231</f>
        <v>5.5880000000000001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1.5109930454165685E-3</v>
      </c>
      <c r="G228" s="2">
        <f t="shared" si="33"/>
        <v>4.6729615149066128E-3</v>
      </c>
      <c r="H228" s="2">
        <f t="shared" si="31"/>
        <v>0.3233480610949917</v>
      </c>
      <c r="I228" s="2">
        <f t="shared" si="32"/>
        <v>24.434090365269469</v>
      </c>
    </row>
    <row r="229" spans="1:9" ht="13.5" x14ac:dyDescent="0.25">
      <c r="A229" s="3">
        <f>TITRES_STAT!B232</f>
        <v>45251</v>
      </c>
      <c r="B229" s="5">
        <f>TITRES_STAT!D232</f>
        <v>5.5709999999999997</v>
      </c>
      <c r="C229" s="2">
        <f t="shared" si="27"/>
        <v>-1.7000000000000348E-2</v>
      </c>
      <c r="D229" s="2">
        <f t="shared" si="28"/>
        <v>0</v>
      </c>
      <c r="E229" s="2">
        <f t="shared" si="29"/>
        <v>1.7000000000000348E-2</v>
      </c>
      <c r="F229" s="2">
        <f t="shared" si="33"/>
        <v>1.4030649707439564E-3</v>
      </c>
      <c r="G229" s="2">
        <f t="shared" si="33"/>
        <v>5.553464263841879E-3</v>
      </c>
      <c r="H229" s="2">
        <f t="shared" si="31"/>
        <v>0.25264679920229072</v>
      </c>
      <c r="I229" s="2">
        <f t="shared" si="32"/>
        <v>20.169037222877265</v>
      </c>
    </row>
    <row r="230" spans="1:9" ht="13.5" x14ac:dyDescent="0.25">
      <c r="A230" s="3">
        <f>TITRES_STAT!B233</f>
        <v>45252</v>
      </c>
      <c r="B230" s="5">
        <f>TITRES_STAT!D233</f>
        <v>5.5789999999999997</v>
      </c>
      <c r="C230" s="2">
        <f t="shared" si="27"/>
        <v>8.0000000000000071E-3</v>
      </c>
      <c r="D230" s="2">
        <f t="shared" si="28"/>
        <v>8.0000000000000071E-3</v>
      </c>
      <c r="E230" s="2">
        <f t="shared" si="29"/>
        <v>0</v>
      </c>
      <c r="F230" s="2">
        <f t="shared" si="33"/>
        <v>1.8742746156908171E-3</v>
      </c>
      <c r="G230" s="2">
        <f t="shared" si="33"/>
        <v>5.1567882449960311E-3</v>
      </c>
      <c r="H230" s="2">
        <f t="shared" si="31"/>
        <v>0.36345774281298993</v>
      </c>
      <c r="I230" s="2">
        <f t="shared" si="32"/>
        <v>26.657059577301567</v>
      </c>
    </row>
    <row r="231" spans="1:9" ht="13.5" x14ac:dyDescent="0.25">
      <c r="A231" s="3">
        <f>TITRES_STAT!B234</f>
        <v>45253</v>
      </c>
      <c r="B231" s="5">
        <f>TITRES_STAT!D234</f>
        <v>5.5709999999999997</v>
      </c>
      <c r="C231" s="2">
        <f t="shared" si="27"/>
        <v>-8.0000000000000071E-3</v>
      </c>
      <c r="D231" s="2">
        <f t="shared" si="28"/>
        <v>0</v>
      </c>
      <c r="E231" s="2">
        <f t="shared" si="29"/>
        <v>8.0000000000000071E-3</v>
      </c>
      <c r="F231" s="2">
        <f t="shared" si="33"/>
        <v>1.7403978574271873E-3</v>
      </c>
      <c r="G231" s="2">
        <f t="shared" si="33"/>
        <v>5.359874798924886E-3</v>
      </c>
      <c r="H231" s="2">
        <f t="shared" si="31"/>
        <v>0.32470867748184828</v>
      </c>
      <c r="I231" s="2">
        <f t="shared" si="32"/>
        <v>24.511704573347416</v>
      </c>
    </row>
    <row r="232" spans="1:9" ht="13.5" x14ac:dyDescent="0.25">
      <c r="A232" s="3">
        <f>TITRES_STAT!B235</f>
        <v>45254</v>
      </c>
      <c r="B232" s="5">
        <f>TITRES_STAT!D235</f>
        <v>5.5620000000000003</v>
      </c>
      <c r="C232" s="2">
        <f t="shared" si="27"/>
        <v>-8.9999999999994529E-3</v>
      </c>
      <c r="D232" s="2">
        <f t="shared" si="28"/>
        <v>0</v>
      </c>
      <c r="E232" s="2">
        <f t="shared" si="29"/>
        <v>8.9999999999994529E-3</v>
      </c>
      <c r="F232" s="2">
        <f t="shared" si="33"/>
        <v>1.6160837247538168E-3</v>
      </c>
      <c r="G232" s="2">
        <f t="shared" si="33"/>
        <v>5.6198837418587836E-3</v>
      </c>
      <c r="H232" s="2">
        <f t="shared" si="31"/>
        <v>0.28756533034957321</v>
      </c>
      <c r="I232" s="2">
        <f t="shared" si="32"/>
        <v>22.334038015104014</v>
      </c>
    </row>
    <row r="233" spans="1:9" ht="13.5" x14ac:dyDescent="0.25">
      <c r="A233" s="3">
        <f>TITRES_STAT!B236</f>
        <v>45257</v>
      </c>
      <c r="B233" s="5">
        <f>TITRES_STAT!D236</f>
        <v>5.5620000000000003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1.5006491729856869E-3</v>
      </c>
      <c r="G233" s="2">
        <f t="shared" si="33"/>
        <v>5.2184634745831562E-3</v>
      </c>
      <c r="H233" s="2">
        <f t="shared" si="31"/>
        <v>0.28756533034957321</v>
      </c>
      <c r="I233" s="2">
        <f t="shared" si="32"/>
        <v>22.334038015104014</v>
      </c>
    </row>
    <row r="234" spans="1:9" ht="13.5" x14ac:dyDescent="0.25">
      <c r="A234" s="3">
        <f>TITRES_STAT!B237</f>
        <v>45258</v>
      </c>
      <c r="B234" s="5">
        <f>TITRES_STAT!D237</f>
        <v>5.5529999999999999</v>
      </c>
      <c r="C234" s="2">
        <f t="shared" si="27"/>
        <v>-9.0000000000003411E-3</v>
      </c>
      <c r="D234" s="2">
        <f t="shared" si="28"/>
        <v>0</v>
      </c>
      <c r="E234" s="2">
        <f t="shared" si="29"/>
        <v>9.0000000000003411E-3</v>
      </c>
      <c r="F234" s="2">
        <f t="shared" si="33"/>
        <v>1.3934599463438521E-3</v>
      </c>
      <c r="G234" s="2">
        <f t="shared" si="33"/>
        <v>5.488573226398669E-3</v>
      </c>
      <c r="H234" s="2">
        <f t="shared" si="31"/>
        <v>0.25388382169006274</v>
      </c>
      <c r="I234" s="2">
        <f t="shared" si="32"/>
        <v>20.247794675894482</v>
      </c>
    </row>
    <row r="235" spans="1:9" ht="13.5" x14ac:dyDescent="0.25">
      <c r="A235" s="3">
        <f>TITRES_STAT!B238</f>
        <v>45259</v>
      </c>
      <c r="B235" s="5">
        <f>TITRES_STAT!D238</f>
        <v>5.5620000000000003</v>
      </c>
      <c r="C235" s="2">
        <f t="shared" si="27"/>
        <v>9.0000000000003411E-3</v>
      </c>
      <c r="D235" s="2">
        <f t="shared" si="28"/>
        <v>9.0000000000003411E-3</v>
      </c>
      <c r="E235" s="2">
        <f t="shared" si="29"/>
        <v>0</v>
      </c>
      <c r="F235" s="2">
        <f t="shared" si="33"/>
        <v>1.9367842358907442E-3</v>
      </c>
      <c r="G235" s="2">
        <f t="shared" si="33"/>
        <v>5.0965322816559069E-3</v>
      </c>
      <c r="H235" s="2">
        <f t="shared" si="31"/>
        <v>0.38002000749840564</v>
      </c>
      <c r="I235" s="2">
        <f t="shared" si="32"/>
        <v>27.537282462105523</v>
      </c>
    </row>
    <row r="236" spans="1:9" ht="13.5" x14ac:dyDescent="0.25">
      <c r="A236" s="3">
        <f>TITRES_STAT!B239</f>
        <v>45260</v>
      </c>
      <c r="B236" s="5">
        <f>TITRES_STAT!D239</f>
        <v>5.5439999999999996</v>
      </c>
      <c r="C236" s="2">
        <f t="shared" si="27"/>
        <v>-1.8000000000000682E-2</v>
      </c>
      <c r="D236" s="2">
        <f t="shared" si="28"/>
        <v>0</v>
      </c>
      <c r="E236" s="2">
        <f t="shared" si="29"/>
        <v>1.8000000000000682E-2</v>
      </c>
      <c r="F236" s="2">
        <f t="shared" si="33"/>
        <v>1.7984425047556912E-3</v>
      </c>
      <c r="G236" s="2">
        <f t="shared" si="33"/>
        <v>6.0182085472519622E-3</v>
      </c>
      <c r="H236" s="2">
        <f t="shared" si="31"/>
        <v>0.29883353005054919</v>
      </c>
      <c r="I236" s="2">
        <f t="shared" si="32"/>
        <v>23.007839198524451</v>
      </c>
    </row>
    <row r="237" spans="1:9" ht="13.5" x14ac:dyDescent="0.25">
      <c r="A237" s="3">
        <f>TITRES_STAT!B240</f>
        <v>45261</v>
      </c>
      <c r="B237" s="5">
        <f>TITRES_STAT!D240</f>
        <v>5.5350000000000001</v>
      </c>
      <c r="C237" s="2">
        <f t="shared" si="27"/>
        <v>-8.9999999999994529E-3</v>
      </c>
      <c r="D237" s="2">
        <f t="shared" si="28"/>
        <v>0</v>
      </c>
      <c r="E237" s="2">
        <f t="shared" si="29"/>
        <v>8.9999999999994529E-3</v>
      </c>
      <c r="F237" s="2">
        <f t="shared" ref="F237:G252" si="34">((F236*13)+D237)/14</f>
        <v>1.6699823258445705E-3</v>
      </c>
      <c r="G237" s="2">
        <f t="shared" si="34"/>
        <v>6.2311936510196396E-3</v>
      </c>
      <c r="H237" s="2">
        <f t="shared" si="31"/>
        <v>0.26800359920948746</v>
      </c>
      <c r="I237" s="2">
        <f t="shared" si="32"/>
        <v>21.135870542999186</v>
      </c>
    </row>
    <row r="238" spans="1:9" ht="13.5" x14ac:dyDescent="0.25">
      <c r="A238" s="3">
        <f>TITRES_STAT!B241</f>
        <v>45264</v>
      </c>
      <c r="B238" s="5">
        <f>TITRES_STAT!D241</f>
        <v>5.5350000000000001</v>
      </c>
      <c r="C238" s="2">
        <f t="shared" si="27"/>
        <v>0</v>
      </c>
      <c r="D238" s="2">
        <f t="shared" si="28"/>
        <v>0</v>
      </c>
      <c r="E238" s="2">
        <f t="shared" si="29"/>
        <v>0</v>
      </c>
      <c r="F238" s="2">
        <f t="shared" si="34"/>
        <v>1.5506978739985298E-3</v>
      </c>
      <c r="G238" s="2">
        <f t="shared" si="34"/>
        <v>5.7861083902325224E-3</v>
      </c>
      <c r="H238" s="2">
        <f t="shared" si="31"/>
        <v>0.26800359920948746</v>
      </c>
      <c r="I238" s="2">
        <f t="shared" si="32"/>
        <v>21.135870542999186</v>
      </c>
    </row>
    <row r="239" spans="1:9" ht="13.5" x14ac:dyDescent="0.25">
      <c r="A239" s="3">
        <f>TITRES_STAT!B242</f>
        <v>45265</v>
      </c>
      <c r="B239" s="5">
        <f>TITRES_STAT!D242</f>
        <v>5.5259999999999998</v>
      </c>
      <c r="C239" s="2">
        <f t="shared" si="27"/>
        <v>-9.0000000000003411E-3</v>
      </c>
      <c r="D239" s="2">
        <f t="shared" si="28"/>
        <v>0</v>
      </c>
      <c r="E239" s="2">
        <f t="shared" si="29"/>
        <v>9.0000000000003411E-3</v>
      </c>
      <c r="F239" s="2">
        <f t="shared" si="34"/>
        <v>1.4399337401414919E-3</v>
      </c>
      <c r="G239" s="2">
        <f t="shared" si="34"/>
        <v>6.0156720766445099E-3</v>
      </c>
      <c r="H239" s="2">
        <f t="shared" si="31"/>
        <v>0.23936373555532545</v>
      </c>
      <c r="I239" s="2">
        <f t="shared" si="32"/>
        <v>19.313437103924386</v>
      </c>
    </row>
    <row r="240" spans="1:9" ht="13.5" x14ac:dyDescent="0.25">
      <c r="A240" s="3">
        <f>TITRES_STAT!B243</f>
        <v>45266</v>
      </c>
      <c r="B240" s="5">
        <f>TITRES_STAT!D243</f>
        <v>5.5259999999999998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1.3370813301313855E-3</v>
      </c>
      <c r="G240" s="2">
        <f t="shared" si="34"/>
        <v>5.5859812140270446E-3</v>
      </c>
      <c r="H240" s="2">
        <f t="shared" si="31"/>
        <v>0.23936373555532547</v>
      </c>
      <c r="I240" s="2">
        <f t="shared" si="32"/>
        <v>19.313437103924386</v>
      </c>
    </row>
    <row r="241" spans="1:9" ht="13.5" x14ac:dyDescent="0.25">
      <c r="A241" s="3">
        <f>TITRES_STAT!B244</f>
        <v>45267</v>
      </c>
      <c r="B241" s="5">
        <f>TITRES_STAT!D244</f>
        <v>5.5259999999999998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1.2415755208362866E-3</v>
      </c>
      <c r="G241" s="2">
        <f t="shared" si="34"/>
        <v>5.1869825558822557E-3</v>
      </c>
      <c r="H241" s="2">
        <f t="shared" si="31"/>
        <v>0.2393637355553255</v>
      </c>
      <c r="I241" s="2">
        <f t="shared" si="32"/>
        <v>19.313437103924386</v>
      </c>
    </row>
    <row r="242" spans="1:9" ht="13.5" x14ac:dyDescent="0.25">
      <c r="A242" s="3">
        <f>TITRES_STAT!B245</f>
        <v>45268</v>
      </c>
      <c r="B242" s="5">
        <f>TITRES_STAT!D245</f>
        <v>5.5259999999999998</v>
      </c>
      <c r="C242" s="2">
        <f t="shared" si="27"/>
        <v>0</v>
      </c>
      <c r="D242" s="2">
        <f t="shared" si="28"/>
        <v>0</v>
      </c>
      <c r="E242" s="2">
        <f t="shared" si="29"/>
        <v>0</v>
      </c>
      <c r="F242" s="2">
        <f t="shared" si="34"/>
        <v>1.1528915550622662E-3</v>
      </c>
      <c r="G242" s="2">
        <f t="shared" si="34"/>
        <v>4.8164838018906666E-3</v>
      </c>
      <c r="H242" s="2">
        <f t="shared" si="31"/>
        <v>0.23936373555532547</v>
      </c>
      <c r="I242" s="2">
        <f t="shared" si="32"/>
        <v>19.313437103924386</v>
      </c>
    </row>
    <row r="243" spans="1:9" ht="13.5" x14ac:dyDescent="0.25">
      <c r="A243" s="3">
        <f>TITRES_STAT!B246</f>
        <v>45271</v>
      </c>
      <c r="B243" s="5">
        <f>TITRES_STAT!D246</f>
        <v>5.5</v>
      </c>
      <c r="C243" s="2">
        <f t="shared" si="27"/>
        <v>-2.5999999999999801E-2</v>
      </c>
      <c r="D243" s="2">
        <f t="shared" si="28"/>
        <v>0</v>
      </c>
      <c r="E243" s="2">
        <f t="shared" si="29"/>
        <v>2.5999999999999801E-2</v>
      </c>
      <c r="F243" s="2">
        <f t="shared" si="34"/>
        <v>1.0705421582721043E-3</v>
      </c>
      <c r="G243" s="2">
        <f t="shared" si="34"/>
        <v>6.329592101755605E-3</v>
      </c>
      <c r="H243" s="2">
        <f t="shared" si="31"/>
        <v>0.16913288266635282</v>
      </c>
      <c r="I243" s="2">
        <f t="shared" si="32"/>
        <v>14.466523452887941</v>
      </c>
    </row>
    <row r="244" spans="1:9" ht="13.5" x14ac:dyDescent="0.25">
      <c r="A244" s="3">
        <f>TITRES_STAT!B247</f>
        <v>45272</v>
      </c>
      <c r="B244" s="5">
        <f>TITRES_STAT!D247</f>
        <v>5.4109999999999996</v>
      </c>
      <c r="C244" s="2">
        <f t="shared" si="27"/>
        <v>-8.9000000000000412E-2</v>
      </c>
      <c r="D244" s="2">
        <f t="shared" si="28"/>
        <v>0</v>
      </c>
      <c r="E244" s="2">
        <f t="shared" si="29"/>
        <v>8.9000000000000412E-2</v>
      </c>
      <c r="F244" s="2">
        <f t="shared" si="34"/>
        <v>9.940748612526681E-4</v>
      </c>
      <c r="G244" s="2">
        <f t="shared" si="34"/>
        <v>1.223462123734452E-2</v>
      </c>
      <c r="H244" s="2">
        <f t="shared" si="31"/>
        <v>8.1250971482336495E-2</v>
      </c>
      <c r="I244" s="2">
        <f t="shared" si="32"/>
        <v>7.5145339634650838</v>
      </c>
    </row>
    <row r="245" spans="1:9" ht="13.5" x14ac:dyDescent="0.25">
      <c r="A245" s="3">
        <f>TITRES_STAT!B248</f>
        <v>45273</v>
      </c>
      <c r="B245" s="5">
        <f>TITRES_STAT!D248</f>
        <v>5.4020000000000001</v>
      </c>
      <c r="C245" s="2">
        <f t="shared" si="27"/>
        <v>-8.9999999999994529E-3</v>
      </c>
      <c r="D245" s="2">
        <f t="shared" si="28"/>
        <v>0</v>
      </c>
      <c r="E245" s="2">
        <f t="shared" si="29"/>
        <v>8.9999999999994529E-3</v>
      </c>
      <c r="F245" s="2">
        <f t="shared" si="34"/>
        <v>9.2306951402033465E-4</v>
      </c>
      <c r="G245" s="2">
        <f t="shared" si="34"/>
        <v>1.2003576863248445E-2</v>
      </c>
      <c r="H245" s="2">
        <f t="shared" si="31"/>
        <v>7.6899537907447593E-2</v>
      </c>
      <c r="I245" s="2">
        <f t="shared" si="32"/>
        <v>7.140827458880068</v>
      </c>
    </row>
    <row r="246" spans="1:9" ht="13.5" x14ac:dyDescent="0.25">
      <c r="A246" s="3">
        <f>TITRES_STAT!B249</f>
        <v>45274</v>
      </c>
      <c r="B246" s="5">
        <f>TITRES_STAT!D249</f>
        <v>5.4459999999999997</v>
      </c>
      <c r="C246" s="2">
        <f t="shared" si="27"/>
        <v>4.3999999999999595E-2</v>
      </c>
      <c r="D246" s="2">
        <f t="shared" si="28"/>
        <v>4.3999999999999595E-2</v>
      </c>
      <c r="E246" s="2">
        <f t="shared" si="29"/>
        <v>0</v>
      </c>
      <c r="F246" s="2">
        <f t="shared" si="34"/>
        <v>3.9999931201617099E-3</v>
      </c>
      <c r="G246" s="2">
        <f t="shared" si="34"/>
        <v>1.1146178515873557E-2</v>
      </c>
      <c r="H246" s="2">
        <f t="shared" si="31"/>
        <v>0.35886677343855722</v>
      </c>
      <c r="I246" s="2">
        <f t="shared" si="32"/>
        <v>26.409268403145902</v>
      </c>
    </row>
    <row r="247" spans="1:9" ht="13.5" x14ac:dyDescent="0.25">
      <c r="A247" s="3">
        <f>TITRES_STAT!B250</f>
        <v>45275</v>
      </c>
      <c r="B247" s="5">
        <f>TITRES_STAT!D250</f>
        <v>5.4290000000000003</v>
      </c>
      <c r="C247" s="2">
        <f t="shared" si="27"/>
        <v>-1.699999999999946E-2</v>
      </c>
      <c r="D247" s="2">
        <f t="shared" si="28"/>
        <v>0</v>
      </c>
      <c r="E247" s="2">
        <f t="shared" si="29"/>
        <v>1.699999999999946E-2</v>
      </c>
      <c r="F247" s="2">
        <f t="shared" si="34"/>
        <v>3.7142793258644448E-3</v>
      </c>
      <c r="G247" s="2">
        <f t="shared" si="34"/>
        <v>1.1564308621882551E-2</v>
      </c>
      <c r="H247" s="2">
        <f t="shared" si="31"/>
        <v>0.32118472857392472</v>
      </c>
      <c r="I247" s="2">
        <f t="shared" si="32"/>
        <v>24.310357335163019</v>
      </c>
    </row>
    <row r="248" spans="1:9" ht="13.5" x14ac:dyDescent="0.25">
      <c r="A248" s="3">
        <f>TITRES_STAT!B251</f>
        <v>45278</v>
      </c>
      <c r="B248" s="5">
        <f>TITRES_STAT!D251</f>
        <v>5.4109999999999996</v>
      </c>
      <c r="C248" s="2">
        <f t="shared" si="27"/>
        <v>-1.8000000000000682E-2</v>
      </c>
      <c r="D248" s="2">
        <f t="shared" si="28"/>
        <v>0</v>
      </c>
      <c r="E248" s="2">
        <f t="shared" si="29"/>
        <v>1.8000000000000682E-2</v>
      </c>
      <c r="F248" s="2">
        <f t="shared" si="34"/>
        <v>3.4489736597312702E-3</v>
      </c>
      <c r="G248" s="2">
        <f t="shared" si="34"/>
        <v>1.2024000863176704E-2</v>
      </c>
      <c r="H248" s="2">
        <f t="shared" si="31"/>
        <v>0.28684076947247172</v>
      </c>
      <c r="I248" s="2">
        <f t="shared" si="32"/>
        <v>22.290307882463139</v>
      </c>
    </row>
    <row r="249" spans="1:9" ht="13.5" x14ac:dyDescent="0.25">
      <c r="A249" s="3">
        <f>TITRES_STAT!B252</f>
        <v>45279</v>
      </c>
      <c r="B249" s="5">
        <f>TITRES_STAT!D252</f>
        <v>5.42</v>
      </c>
      <c r="C249" s="2">
        <f t="shared" si="27"/>
        <v>9.0000000000003411E-3</v>
      </c>
      <c r="D249" s="2">
        <f t="shared" si="28"/>
        <v>9.0000000000003411E-3</v>
      </c>
      <c r="E249" s="2">
        <f t="shared" si="29"/>
        <v>0</v>
      </c>
      <c r="F249" s="2">
        <f t="shared" si="34"/>
        <v>3.8454755411790609E-3</v>
      </c>
      <c r="G249" s="2">
        <f t="shared" si="34"/>
        <v>1.1165143658664082E-2</v>
      </c>
      <c r="H249" s="2">
        <f t="shared" si="31"/>
        <v>0.3444179187246727</v>
      </c>
      <c r="I249" s="2">
        <f t="shared" si="32"/>
        <v>25.618367170484518</v>
      </c>
    </row>
    <row r="250" spans="1:9" ht="13.5" x14ac:dyDescent="0.25">
      <c r="A250" s="3">
        <f>TITRES_STAT!B253</f>
        <v>45280</v>
      </c>
      <c r="B250" s="5">
        <f>TITRES_STAT!D253</f>
        <v>5.4020000000000001</v>
      </c>
      <c r="C250" s="2">
        <f t="shared" si="27"/>
        <v>-1.7999999999999794E-2</v>
      </c>
      <c r="D250" s="2">
        <f t="shared" si="28"/>
        <v>0</v>
      </c>
      <c r="E250" s="2">
        <f t="shared" si="29"/>
        <v>1.7999999999999794E-2</v>
      </c>
      <c r="F250" s="2">
        <f t="shared" si="34"/>
        <v>3.5707987168091281E-3</v>
      </c>
      <c r="G250" s="2">
        <f t="shared" si="34"/>
        <v>1.1653347683045203E-2</v>
      </c>
      <c r="H250" s="2">
        <f t="shared" si="31"/>
        <v>0.30641827687029261</v>
      </c>
      <c r="I250" s="2">
        <f t="shared" si="32"/>
        <v>23.454836961127057</v>
      </c>
    </row>
    <row r="251" spans="1:9" ht="13.5" x14ac:dyDescent="0.25">
      <c r="A251" s="3">
        <f>TITRES_STAT!B254</f>
        <v>45281</v>
      </c>
      <c r="B251" s="5">
        <f>TITRES_STAT!D254</f>
        <v>5.3929999999999998</v>
      </c>
      <c r="C251" s="2">
        <f t="shared" si="27"/>
        <v>-9.0000000000003411E-3</v>
      </c>
      <c r="D251" s="2">
        <f t="shared" si="28"/>
        <v>0</v>
      </c>
      <c r="E251" s="2">
        <f t="shared" si="29"/>
        <v>9.0000000000003411E-3</v>
      </c>
      <c r="F251" s="2">
        <f t="shared" si="34"/>
        <v>3.315741665608476E-3</v>
      </c>
      <c r="G251" s="2">
        <f t="shared" si="34"/>
        <v>1.1463822848541999E-2</v>
      </c>
      <c r="H251" s="2">
        <f t="shared" si="31"/>
        <v>0.28923524983031129</v>
      </c>
      <c r="I251" s="2">
        <f t="shared" si="32"/>
        <v>22.434637112845024</v>
      </c>
    </row>
    <row r="252" spans="1:9" ht="13.5" x14ac:dyDescent="0.25">
      <c r="A252" s="3">
        <f>TITRES_STAT!B255</f>
        <v>45282</v>
      </c>
      <c r="B252" s="5">
        <f>TITRES_STAT!D255</f>
        <v>5.3929999999999998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3.0789029752078707E-3</v>
      </c>
      <c r="G252" s="2">
        <f t="shared" si="34"/>
        <v>1.0644978359360428E-2</v>
      </c>
      <c r="H252" s="2">
        <f t="shared" si="31"/>
        <v>0.28923524983031129</v>
      </c>
      <c r="I252" s="2">
        <f t="shared" si="32"/>
        <v>22.434637112845024</v>
      </c>
    </row>
    <row r="253" spans="1:9" ht="13.5" x14ac:dyDescent="0.25">
      <c r="A253" s="3">
        <f>TITRES_STAT!B256</f>
        <v>45285</v>
      </c>
      <c r="B253" s="5">
        <f>TITRES_STAT!D256</f>
        <v>5.3929999999999998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2.8589813341215941E-3</v>
      </c>
      <c r="G253" s="2">
        <f t="shared" si="35"/>
        <v>9.8846227622632534E-3</v>
      </c>
      <c r="H253" s="2">
        <f t="shared" si="31"/>
        <v>0.28923524983031135</v>
      </c>
      <c r="I253" s="2">
        <f t="shared" si="32"/>
        <v>22.434637112845024</v>
      </c>
    </row>
    <row r="254" spans="1:9" ht="13.5" x14ac:dyDescent="0.25">
      <c r="A254" s="3">
        <f>TITRES_STAT!B257</f>
        <v>45286</v>
      </c>
      <c r="B254" s="5">
        <f>TITRES_STAT!D257</f>
        <v>5.3929999999999998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2.6547683816843374E-3</v>
      </c>
      <c r="G254" s="2">
        <f t="shared" si="35"/>
        <v>9.1785782792444502E-3</v>
      </c>
      <c r="H254" s="2">
        <f t="shared" si="31"/>
        <v>0.28923524983031129</v>
      </c>
      <c r="I254" s="2">
        <f t="shared" si="32"/>
        <v>22.434637112845024</v>
      </c>
    </row>
    <row r="255" spans="1:9" ht="13.5" x14ac:dyDescent="0.25">
      <c r="A255" s="3">
        <f>TITRES_STAT!B258</f>
        <v>45287</v>
      </c>
      <c r="B255" s="5">
        <f>TITRES_STAT!D258</f>
        <v>5.3220000000000001</v>
      </c>
      <c r="C255" s="2">
        <f t="shared" si="27"/>
        <v>-7.099999999999973E-2</v>
      </c>
      <c r="D255" s="2">
        <f t="shared" si="28"/>
        <v>0</v>
      </c>
      <c r="E255" s="2">
        <f t="shared" si="29"/>
        <v>7.099999999999973E-2</v>
      </c>
      <c r="F255" s="2">
        <f t="shared" si="35"/>
        <v>2.4651420687068848E-3</v>
      </c>
      <c r="G255" s="2">
        <f t="shared" si="35"/>
        <v>1.3594394116441255E-2</v>
      </c>
      <c r="H255" s="2">
        <f t="shared" si="31"/>
        <v>0.18133519210874627</v>
      </c>
      <c r="I255" s="2">
        <f t="shared" si="32"/>
        <v>15.350020326157662</v>
      </c>
    </row>
    <row r="256" spans="1:9" ht="13.5" x14ac:dyDescent="0.25">
      <c r="A256" s="3">
        <f>TITRES_STAT!B259</f>
        <v>45288</v>
      </c>
      <c r="B256" s="5">
        <f>TITRES_STAT!D259</f>
        <v>5.3579999999999997</v>
      </c>
      <c r="C256" s="2">
        <f t="shared" si="27"/>
        <v>3.5999999999999588E-2</v>
      </c>
      <c r="D256" s="2">
        <f t="shared" si="28"/>
        <v>3.5999999999999588E-2</v>
      </c>
      <c r="E256" s="2">
        <f t="shared" si="29"/>
        <v>0</v>
      </c>
      <c r="F256" s="2">
        <f t="shared" si="35"/>
        <v>4.8604890637992211E-3</v>
      </c>
      <c r="G256" s="2">
        <f t="shared" si="35"/>
        <v>1.262336596526688E-2</v>
      </c>
      <c r="H256" s="2">
        <f t="shared" si="31"/>
        <v>0.38503906780274211</v>
      </c>
      <c r="I256" s="2">
        <f t="shared" si="32"/>
        <v>27.799870541816333</v>
      </c>
    </row>
    <row r="257" spans="1:9" ht="13.5" x14ac:dyDescent="0.25">
      <c r="A257" s="3">
        <f>TITRES_STAT!B260</f>
        <v>45289</v>
      </c>
      <c r="B257" s="5">
        <f>TITRES_STAT!D260</f>
        <v>5.3579999999999997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4.5133112735278478E-3</v>
      </c>
      <c r="G257" s="2">
        <f t="shared" si="35"/>
        <v>1.1721696967747816E-2</v>
      </c>
      <c r="H257" s="2">
        <f t="shared" si="31"/>
        <v>0.38503906780274211</v>
      </c>
      <c r="I257" s="2">
        <f t="shared" si="32"/>
        <v>27.799870541816333</v>
      </c>
    </row>
    <row r="258" spans="1:9" ht="13.5" x14ac:dyDescent="0.25">
      <c r="A258" s="3">
        <f>TITRES_STAT!B261</f>
        <v>45293</v>
      </c>
      <c r="B258" s="5">
        <f>TITRES_STAT!D261</f>
        <v>5.1449999999999996</v>
      </c>
      <c r="C258" s="2">
        <f t="shared" si="27"/>
        <v>-0.21300000000000008</v>
      </c>
      <c r="D258" s="2">
        <f t="shared" si="28"/>
        <v>0</v>
      </c>
      <c r="E258" s="2">
        <f t="shared" si="29"/>
        <v>0.21300000000000008</v>
      </c>
      <c r="F258" s="2">
        <f t="shared" si="35"/>
        <v>4.1909318968472876E-3</v>
      </c>
      <c r="G258" s="2">
        <f t="shared" si="35"/>
        <v>2.6098718612908692E-2</v>
      </c>
      <c r="H258" s="2">
        <f t="shared" si="31"/>
        <v>0.16057998704865187</v>
      </c>
      <c r="I258" s="2">
        <f t="shared" si="32"/>
        <v>13.836184394063693</v>
      </c>
    </row>
    <row r="259" spans="1:9" ht="13.5" x14ac:dyDescent="0.25">
      <c r="A259" s="3">
        <f>TITRES_STAT!B262</f>
        <v>45294</v>
      </c>
      <c r="B259" s="5">
        <f>TITRES_STAT!D262</f>
        <v>5.0919999999999996</v>
      </c>
      <c r="C259" s="2">
        <f t="shared" ref="C259:C322" si="36">B259-B258</f>
        <v>-5.2999999999999936E-2</v>
      </c>
      <c r="D259" s="2">
        <f t="shared" ref="D259:D322" si="37">IF(C259&gt;0,C259,0)</f>
        <v>0</v>
      </c>
      <c r="E259" s="2">
        <f t="shared" ref="E259:E322" si="38">IF(C259&lt;0,-C259,0)</f>
        <v>5.2999999999999936E-2</v>
      </c>
      <c r="F259" s="2">
        <f t="shared" si="35"/>
        <v>3.8915796185010525E-3</v>
      </c>
      <c r="G259" s="2">
        <f t="shared" si="35"/>
        <v>2.8020238711986639E-2</v>
      </c>
      <c r="H259" s="2">
        <f t="shared" si="31"/>
        <v>0.13888459903934697</v>
      </c>
      <c r="I259" s="2">
        <f t="shared" si="32"/>
        <v>12.194791215589063</v>
      </c>
    </row>
    <row r="260" spans="1:9" ht="13.5" x14ac:dyDescent="0.25">
      <c r="A260" s="3">
        <f>TITRES_STAT!B263</f>
        <v>45295</v>
      </c>
      <c r="B260" s="5">
        <f>TITRES_STAT!D263</f>
        <v>5.056</v>
      </c>
      <c r="C260" s="2">
        <f t="shared" si="36"/>
        <v>-3.5999999999999588E-2</v>
      </c>
      <c r="D260" s="2">
        <f t="shared" si="37"/>
        <v>0</v>
      </c>
      <c r="E260" s="2">
        <f t="shared" si="38"/>
        <v>3.5999999999999588E-2</v>
      </c>
      <c r="F260" s="2">
        <f t="shared" si="35"/>
        <v>3.6136096457509773E-3</v>
      </c>
      <c r="G260" s="2">
        <f t="shared" si="35"/>
        <v>2.8590221661130424E-2</v>
      </c>
      <c r="H260" s="2">
        <f t="shared" si="31"/>
        <v>0.12639320144424859</v>
      </c>
      <c r="I260" s="2">
        <f t="shared" si="32"/>
        <v>11.221055070484155</v>
      </c>
    </row>
    <row r="261" spans="1:9" ht="13.5" x14ac:dyDescent="0.25">
      <c r="A261" s="3">
        <f>TITRES_STAT!B264</f>
        <v>45296</v>
      </c>
      <c r="B261" s="5">
        <f>TITRES_STAT!D264</f>
        <v>5.056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3.355494671054479E-3</v>
      </c>
      <c r="G261" s="2">
        <f t="shared" si="35"/>
        <v>2.6548062971049679E-2</v>
      </c>
      <c r="H261" s="2">
        <f t="shared" si="31"/>
        <v>0.12639320144424859</v>
      </c>
      <c r="I261" s="2">
        <f t="shared" si="32"/>
        <v>11.221055070484155</v>
      </c>
    </row>
    <row r="262" spans="1:9" ht="13.5" x14ac:dyDescent="0.25">
      <c r="A262" s="3">
        <f>TITRES_STAT!B265</f>
        <v>45299</v>
      </c>
      <c r="B262" s="5">
        <f>TITRES_STAT!D265</f>
        <v>5.0469999999999997</v>
      </c>
      <c r="C262" s="2">
        <f t="shared" si="36"/>
        <v>-9.0000000000003411E-3</v>
      </c>
      <c r="D262" s="2">
        <f t="shared" si="37"/>
        <v>0</v>
      </c>
      <c r="E262" s="2">
        <f t="shared" si="38"/>
        <v>9.0000000000003411E-3</v>
      </c>
      <c r="F262" s="2">
        <f t="shared" si="35"/>
        <v>3.1158164802648734E-3</v>
      </c>
      <c r="G262" s="2">
        <f t="shared" si="35"/>
        <v>2.5294629901689011E-2</v>
      </c>
      <c r="H262" s="2">
        <f t="shared" si="31"/>
        <v>0.12318094759144191</v>
      </c>
      <c r="I262" s="2">
        <f t="shared" si="32"/>
        <v>10.967150738764943</v>
      </c>
    </row>
    <row r="263" spans="1:9" ht="13.5" x14ac:dyDescent="0.25">
      <c r="A263" s="3">
        <f>TITRES_STAT!B266</f>
        <v>45300</v>
      </c>
      <c r="B263" s="5">
        <f>TITRES_STAT!D266</f>
        <v>4.8789999999999996</v>
      </c>
      <c r="C263" s="2">
        <f t="shared" si="36"/>
        <v>-0.16800000000000015</v>
      </c>
      <c r="D263" s="2">
        <f t="shared" si="37"/>
        <v>0</v>
      </c>
      <c r="E263" s="2">
        <f t="shared" si="38"/>
        <v>0.16800000000000015</v>
      </c>
      <c r="F263" s="2">
        <f t="shared" si="35"/>
        <v>2.8932581602459542E-3</v>
      </c>
      <c r="G263" s="2">
        <f t="shared" si="35"/>
        <v>3.548787062299695E-2</v>
      </c>
      <c r="H263" s="2">
        <f t="shared" si="31"/>
        <v>8.15280857784422E-2</v>
      </c>
      <c r="I263" s="2">
        <f t="shared" si="32"/>
        <v>7.5382310316760197</v>
      </c>
    </row>
    <row r="264" spans="1:9" ht="13.5" x14ac:dyDescent="0.25">
      <c r="A264" s="3">
        <f>TITRES_STAT!B267</f>
        <v>45301</v>
      </c>
      <c r="B264" s="5">
        <f>TITRES_STAT!D267</f>
        <v>4.9669999999999996</v>
      </c>
      <c r="C264" s="2">
        <f t="shared" si="36"/>
        <v>8.8000000000000078E-2</v>
      </c>
      <c r="D264" s="2">
        <f t="shared" si="37"/>
        <v>8.8000000000000078E-2</v>
      </c>
      <c r="E264" s="2">
        <f t="shared" si="38"/>
        <v>0</v>
      </c>
      <c r="F264" s="2">
        <f t="shared" si="35"/>
        <v>8.9723111487998199E-3</v>
      </c>
      <c r="G264" s="2">
        <f t="shared" si="35"/>
        <v>3.2953022721354315E-2</v>
      </c>
      <c r="H264" s="2">
        <f t="shared" si="31"/>
        <v>0.27227581592949152</v>
      </c>
      <c r="I264" s="2">
        <f t="shared" si="32"/>
        <v>21.400690991722882</v>
      </c>
    </row>
    <row r="265" spans="1:9" ht="13.5" x14ac:dyDescent="0.25">
      <c r="A265" s="3">
        <f>TITRES_STAT!B268</f>
        <v>45302</v>
      </c>
      <c r="B265" s="5">
        <f>TITRES_STAT!D268</f>
        <v>5.0469999999999997</v>
      </c>
      <c r="C265" s="2">
        <f t="shared" si="36"/>
        <v>8.0000000000000071E-2</v>
      </c>
      <c r="D265" s="2">
        <f t="shared" si="37"/>
        <v>8.0000000000000071E-2</v>
      </c>
      <c r="E265" s="2">
        <f t="shared" si="38"/>
        <v>0</v>
      </c>
      <c r="F265" s="2">
        <f t="shared" si="35"/>
        <v>1.4045717495314124E-2</v>
      </c>
      <c r="G265" s="2">
        <f t="shared" si="35"/>
        <v>3.0599235384114722E-2</v>
      </c>
      <c r="H265" s="2">
        <f t="shared" si="31"/>
        <v>0.4590218454480014</v>
      </c>
      <c r="I265" s="2">
        <f t="shared" si="32"/>
        <v>31.460930271887463</v>
      </c>
    </row>
    <row r="266" spans="1:9" ht="13.5" x14ac:dyDescent="0.25">
      <c r="A266" s="3">
        <f>TITRES_STAT!B269</f>
        <v>45303</v>
      </c>
      <c r="B266" s="5">
        <f>TITRES_STAT!D269</f>
        <v>4.9320000000000004</v>
      </c>
      <c r="C266" s="2">
        <f t="shared" si="36"/>
        <v>-0.11499999999999932</v>
      </c>
      <c r="D266" s="2">
        <f t="shared" si="37"/>
        <v>0</v>
      </c>
      <c r="E266" s="2">
        <f t="shared" si="38"/>
        <v>0.11499999999999932</v>
      </c>
      <c r="F266" s="2">
        <f t="shared" si="35"/>
        <v>1.3042451959934543E-2</v>
      </c>
      <c r="G266" s="2">
        <f t="shared" si="35"/>
        <v>3.6627861428106478E-2</v>
      </c>
      <c r="H266" s="2">
        <f t="shared" si="31"/>
        <v>0.35608008361433807</v>
      </c>
      <c r="I266" s="2">
        <f t="shared" si="32"/>
        <v>26.258042420716308</v>
      </c>
    </row>
    <row r="267" spans="1:9" ht="13.5" x14ac:dyDescent="0.25">
      <c r="A267" s="3">
        <f>TITRES_STAT!B270</f>
        <v>45306</v>
      </c>
      <c r="B267" s="5">
        <f>TITRES_STAT!D270</f>
        <v>4.9669999999999996</v>
      </c>
      <c r="C267" s="2">
        <f t="shared" si="36"/>
        <v>3.4999999999999254E-2</v>
      </c>
      <c r="D267" s="2">
        <f t="shared" si="37"/>
        <v>3.4999999999999254E-2</v>
      </c>
      <c r="E267" s="2">
        <f t="shared" si="38"/>
        <v>0</v>
      </c>
      <c r="F267" s="2">
        <f t="shared" si="35"/>
        <v>1.4610848248510595E-2</v>
      </c>
      <c r="G267" s="2">
        <f t="shared" si="35"/>
        <v>3.401158561181316E-2</v>
      </c>
      <c r="H267" s="2">
        <f t="shared" si="31"/>
        <v>0.42958444852497102</v>
      </c>
      <c r="I267" s="2">
        <f t="shared" si="32"/>
        <v>30.049602803682674</v>
      </c>
    </row>
    <row r="268" spans="1:9" ht="13.5" x14ac:dyDescent="0.25">
      <c r="A268" s="3">
        <f>TITRES_STAT!B271</f>
        <v>45307</v>
      </c>
      <c r="B268" s="5">
        <f>TITRES_STAT!D271</f>
        <v>4.9669999999999996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1.3567216230759838E-2</v>
      </c>
      <c r="G268" s="2">
        <f t="shared" si="35"/>
        <v>3.1582186639540787E-2</v>
      </c>
      <c r="H268" s="2">
        <f t="shared" si="31"/>
        <v>0.42958444852497107</v>
      </c>
      <c r="I268" s="2">
        <f t="shared" si="32"/>
        <v>30.049602803682674</v>
      </c>
    </row>
    <row r="269" spans="1:9" ht="13.5" x14ac:dyDescent="0.25">
      <c r="A269" s="3">
        <f>TITRES_STAT!B272</f>
        <v>45308</v>
      </c>
      <c r="B269" s="5">
        <f>TITRES_STAT!D272</f>
        <v>4.9320000000000004</v>
      </c>
      <c r="C269" s="2">
        <f t="shared" si="36"/>
        <v>-3.4999999999999254E-2</v>
      </c>
      <c r="D269" s="2">
        <f t="shared" si="37"/>
        <v>0</v>
      </c>
      <c r="E269" s="2">
        <f t="shared" si="38"/>
        <v>3.4999999999999254E-2</v>
      </c>
      <c r="F269" s="2">
        <f t="shared" ref="F269:G284" si="39">((F268*13)+D269)/14</f>
        <v>1.2598129357134136E-2</v>
      </c>
      <c r="G269" s="2">
        <f t="shared" si="39"/>
        <v>3.1826316165287818E-2</v>
      </c>
      <c r="H269" s="2">
        <f t="shared" si="31"/>
        <v>0.39584001150829407</v>
      </c>
      <c r="I269" s="2">
        <f t="shared" si="32"/>
        <v>28.358551714000782</v>
      </c>
    </row>
    <row r="270" spans="1:9" ht="13.5" x14ac:dyDescent="0.25">
      <c r="A270" s="3">
        <f>TITRES_STAT!B273</f>
        <v>45309</v>
      </c>
      <c r="B270" s="5">
        <f>TITRES_STAT!D273</f>
        <v>4.9669999999999996</v>
      </c>
      <c r="C270" s="2">
        <f t="shared" si="36"/>
        <v>3.4999999999999254E-2</v>
      </c>
      <c r="D270" s="2">
        <f t="shared" si="37"/>
        <v>3.4999999999999254E-2</v>
      </c>
      <c r="E270" s="2">
        <f t="shared" si="38"/>
        <v>0</v>
      </c>
      <c r="F270" s="2">
        <f t="shared" si="39"/>
        <v>1.4198262974481646E-2</v>
      </c>
      <c r="G270" s="2">
        <f t="shared" si="39"/>
        <v>2.955300786776726E-2</v>
      </c>
      <c r="H270" s="2">
        <f t="shared" si="31"/>
        <v>0.48043376965250778</v>
      </c>
      <c r="I270" s="2">
        <f t="shared" si="32"/>
        <v>32.45222984647782</v>
      </c>
    </row>
    <row r="271" spans="1:9" ht="13.5" x14ac:dyDescent="0.25">
      <c r="A271" s="3">
        <f>TITRES_STAT!B274</f>
        <v>45310</v>
      </c>
      <c r="B271" s="5">
        <f>TITRES_STAT!D274</f>
        <v>4.9669999999999996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1.3184101333447244E-2</v>
      </c>
      <c r="G271" s="2">
        <f t="shared" si="39"/>
        <v>2.7442078734355311E-2</v>
      </c>
      <c r="H271" s="2">
        <f t="shared" si="31"/>
        <v>0.48043376965250784</v>
      </c>
      <c r="I271" s="2">
        <f t="shared" si="32"/>
        <v>32.45222984647782</v>
      </c>
    </row>
    <row r="272" spans="1:9" ht="13.5" x14ac:dyDescent="0.25">
      <c r="A272" s="3">
        <f>TITRES_STAT!B275</f>
        <v>45313</v>
      </c>
      <c r="B272" s="5">
        <f>TITRES_STAT!D275</f>
        <v>5.0380000000000003</v>
      </c>
      <c r="C272" s="2">
        <f t="shared" si="36"/>
        <v>7.1000000000000618E-2</v>
      </c>
      <c r="D272" s="2">
        <f t="shared" si="37"/>
        <v>7.1000000000000618E-2</v>
      </c>
      <c r="E272" s="2">
        <f t="shared" si="38"/>
        <v>0</v>
      </c>
      <c r="F272" s="2">
        <f t="shared" si="39"/>
        <v>1.7313808381058199E-2</v>
      </c>
      <c r="G272" s="2">
        <f t="shared" si="39"/>
        <v>2.548193025332993E-2</v>
      </c>
      <c r="H272" s="2">
        <f t="shared" si="31"/>
        <v>0.67945435094327922</v>
      </c>
      <c r="I272" s="2">
        <f t="shared" si="32"/>
        <v>40.456851391147254</v>
      </c>
    </row>
    <row r="273" spans="1:9" ht="13.5" x14ac:dyDescent="0.25">
      <c r="A273" s="3">
        <f>TITRES_STAT!B276</f>
        <v>45314</v>
      </c>
      <c r="B273" s="5">
        <f>TITRES_STAT!D276</f>
        <v>4.9669999999999996</v>
      </c>
      <c r="C273" s="2">
        <f t="shared" si="36"/>
        <v>-7.1000000000000618E-2</v>
      </c>
      <c r="D273" s="2">
        <f t="shared" si="37"/>
        <v>0</v>
      </c>
      <c r="E273" s="2">
        <f t="shared" si="38"/>
        <v>7.1000000000000618E-2</v>
      </c>
      <c r="F273" s="2">
        <f t="shared" si="39"/>
        <v>1.6077107782411185E-2</v>
      </c>
      <c r="G273" s="2">
        <f t="shared" si="39"/>
        <v>2.8733220949520692E-2</v>
      </c>
      <c r="H273" s="2">
        <f t="shared" ref="H273:H336" si="40">F273/G273</f>
        <v>0.55953030155080374</v>
      </c>
      <c r="I273" s="2">
        <f t="shared" ref="I273:I336" si="41">IF(G273=0,100,100-(100/(1+H273)))</f>
        <v>35.878129523639544</v>
      </c>
    </row>
    <row r="274" spans="1:9" ht="13.5" x14ac:dyDescent="0.25">
      <c r="A274" s="3">
        <f>TITRES_STAT!B277</f>
        <v>45315</v>
      </c>
      <c r="B274" s="5">
        <f>TITRES_STAT!D277</f>
        <v>4.8789999999999996</v>
      </c>
      <c r="C274" s="2">
        <f t="shared" si="36"/>
        <v>-8.8000000000000078E-2</v>
      </c>
      <c r="D274" s="2">
        <f t="shared" si="37"/>
        <v>0</v>
      </c>
      <c r="E274" s="2">
        <f t="shared" si="38"/>
        <v>8.8000000000000078E-2</v>
      </c>
      <c r="F274" s="2">
        <f t="shared" si="39"/>
        <v>1.4928742940810385E-2</v>
      </c>
      <c r="G274" s="2">
        <f t="shared" si="39"/>
        <v>3.2966562310269218E-2</v>
      </c>
      <c r="H274" s="2">
        <f t="shared" si="40"/>
        <v>0.45284500095298141</v>
      </c>
      <c r="I274" s="2">
        <f t="shared" si="41"/>
        <v>31.169532927183667</v>
      </c>
    </row>
    <row r="275" spans="1:9" ht="13.5" x14ac:dyDescent="0.25">
      <c r="A275" s="3">
        <f>TITRES_STAT!B278</f>
        <v>45316</v>
      </c>
      <c r="B275" s="5">
        <f>TITRES_STAT!D278</f>
        <v>4.9669999999999996</v>
      </c>
      <c r="C275" s="2">
        <f t="shared" si="36"/>
        <v>8.8000000000000078E-2</v>
      </c>
      <c r="D275" s="2">
        <f t="shared" si="37"/>
        <v>8.8000000000000078E-2</v>
      </c>
      <c r="E275" s="2">
        <f t="shared" si="38"/>
        <v>0</v>
      </c>
      <c r="F275" s="2">
        <f t="shared" si="39"/>
        <v>2.0148118445038221E-2</v>
      </c>
      <c r="G275" s="2">
        <f t="shared" si="39"/>
        <v>3.0611807859535704E-2</v>
      </c>
      <c r="H275" s="2">
        <f t="shared" si="40"/>
        <v>0.65818126578767211</v>
      </c>
      <c r="I275" s="2">
        <f t="shared" si="41"/>
        <v>39.692962365910084</v>
      </c>
    </row>
    <row r="276" spans="1:9" ht="13.5" x14ac:dyDescent="0.25">
      <c r="A276" s="3">
        <f>TITRES_STAT!B279</f>
        <v>45317</v>
      </c>
      <c r="B276" s="5">
        <f>TITRES_STAT!D279</f>
        <v>4.7720000000000002</v>
      </c>
      <c r="C276" s="2">
        <f t="shared" si="36"/>
        <v>-0.1949999999999994</v>
      </c>
      <c r="D276" s="2">
        <f t="shared" si="37"/>
        <v>0</v>
      </c>
      <c r="E276" s="2">
        <f t="shared" si="38"/>
        <v>0.1949999999999994</v>
      </c>
      <c r="F276" s="2">
        <f t="shared" si="39"/>
        <v>1.8708967127535493E-2</v>
      </c>
      <c r="G276" s="2">
        <f t="shared" si="39"/>
        <v>4.2353821583854541E-2</v>
      </c>
      <c r="H276" s="2">
        <f t="shared" si="40"/>
        <v>0.4417303191990456</v>
      </c>
      <c r="I276" s="2">
        <f t="shared" si="41"/>
        <v>30.638900584711934</v>
      </c>
    </row>
    <row r="277" spans="1:9" ht="13.5" x14ac:dyDescent="0.25">
      <c r="A277" s="3">
        <f>TITRES_STAT!B280</f>
        <v>45320</v>
      </c>
      <c r="B277" s="5">
        <f>TITRES_STAT!D280</f>
        <v>4.923</v>
      </c>
      <c r="C277" s="2">
        <f t="shared" si="36"/>
        <v>0.1509999999999998</v>
      </c>
      <c r="D277" s="2">
        <f t="shared" si="37"/>
        <v>0.1509999999999998</v>
      </c>
      <c r="E277" s="2">
        <f t="shared" si="38"/>
        <v>0</v>
      </c>
      <c r="F277" s="2">
        <f t="shared" si="39"/>
        <v>2.8158326618425798E-2</v>
      </c>
      <c r="G277" s="2">
        <f t="shared" si="39"/>
        <v>3.9328548613579213E-2</v>
      </c>
      <c r="H277" s="2">
        <f t="shared" si="40"/>
        <v>0.71597675508176262</v>
      </c>
      <c r="I277" s="2">
        <f t="shared" si="41"/>
        <v>41.724152320912289</v>
      </c>
    </row>
    <row r="278" spans="1:9" ht="13.5" x14ac:dyDescent="0.25">
      <c r="A278" s="3">
        <f>TITRES_STAT!B281</f>
        <v>45321</v>
      </c>
      <c r="B278" s="5">
        <f>TITRES_STAT!D281</f>
        <v>4.9669999999999996</v>
      </c>
      <c r="C278" s="2">
        <f t="shared" si="36"/>
        <v>4.3999999999999595E-2</v>
      </c>
      <c r="D278" s="2">
        <f t="shared" si="37"/>
        <v>4.3999999999999595E-2</v>
      </c>
      <c r="E278" s="2">
        <f t="shared" si="38"/>
        <v>0</v>
      </c>
      <c r="F278" s="2">
        <f t="shared" si="39"/>
        <v>2.9289874717109639E-2</v>
      </c>
      <c r="G278" s="2">
        <f t="shared" si="39"/>
        <v>3.6519366569752125E-2</v>
      </c>
      <c r="H278" s="2">
        <f t="shared" si="40"/>
        <v>0.80203676756457076</v>
      </c>
      <c r="I278" s="2">
        <f t="shared" si="41"/>
        <v>44.507236589213051</v>
      </c>
    </row>
    <row r="279" spans="1:9" ht="13.5" x14ac:dyDescent="0.25">
      <c r="A279" s="3">
        <f>TITRES_STAT!B282</f>
        <v>45322</v>
      </c>
      <c r="B279" s="5">
        <f>TITRES_STAT!D282</f>
        <v>4.8339999999999996</v>
      </c>
      <c r="C279" s="2">
        <f t="shared" si="36"/>
        <v>-0.13300000000000001</v>
      </c>
      <c r="D279" s="2">
        <f t="shared" si="37"/>
        <v>0</v>
      </c>
      <c r="E279" s="2">
        <f t="shared" si="38"/>
        <v>0.13300000000000001</v>
      </c>
      <c r="F279" s="2">
        <f t="shared" si="39"/>
        <v>2.7197740808744663E-2</v>
      </c>
      <c r="G279" s="2">
        <f t="shared" si="39"/>
        <v>4.3410840386198406E-2</v>
      </c>
      <c r="H279" s="2">
        <f t="shared" si="40"/>
        <v>0.62651956439414225</v>
      </c>
      <c r="I279" s="2">
        <f t="shared" si="41"/>
        <v>38.519030333798213</v>
      </c>
    </row>
    <row r="280" spans="1:9" ht="13.5" x14ac:dyDescent="0.25">
      <c r="A280" s="3">
        <f>TITRES_STAT!B283</f>
        <v>45323</v>
      </c>
      <c r="B280" s="5">
        <f>TITRES_STAT!D283</f>
        <v>4.8789999999999996</v>
      </c>
      <c r="C280" s="2">
        <f t="shared" si="36"/>
        <v>4.4999999999999929E-2</v>
      </c>
      <c r="D280" s="2">
        <f t="shared" si="37"/>
        <v>4.4999999999999929E-2</v>
      </c>
      <c r="E280" s="2">
        <f t="shared" si="38"/>
        <v>0</v>
      </c>
      <c r="F280" s="2">
        <f t="shared" si="39"/>
        <v>2.8469330750977181E-2</v>
      </c>
      <c r="G280" s="2">
        <f t="shared" si="39"/>
        <v>4.0310066072898519E-2</v>
      </c>
      <c r="H280" s="2">
        <f t="shared" si="40"/>
        <v>0.70625859802591184</v>
      </c>
      <c r="I280" s="2">
        <f t="shared" si="41"/>
        <v>41.392236724435037</v>
      </c>
    </row>
    <row r="281" spans="1:9" ht="13.5" x14ac:dyDescent="0.25">
      <c r="A281" s="3">
        <f>TITRES_STAT!B284</f>
        <v>45324</v>
      </c>
      <c r="B281" s="5">
        <f>TITRES_STAT!D284</f>
        <v>4.87</v>
      </c>
      <c r="C281" s="2">
        <f t="shared" si="36"/>
        <v>-8.9999999999994529E-3</v>
      </c>
      <c r="D281" s="2">
        <f t="shared" si="37"/>
        <v>0</v>
      </c>
      <c r="E281" s="2">
        <f t="shared" si="38"/>
        <v>8.9999999999994529E-3</v>
      </c>
      <c r="F281" s="2">
        <f t="shared" si="39"/>
        <v>2.643580712590738E-2</v>
      </c>
      <c r="G281" s="2">
        <f t="shared" si="39"/>
        <v>3.807363278197716E-2</v>
      </c>
      <c r="H281" s="2">
        <f t="shared" si="40"/>
        <v>0.69433372111581759</v>
      </c>
      <c r="I281" s="2">
        <f t="shared" si="41"/>
        <v>40.97974988413489</v>
      </c>
    </row>
    <row r="282" spans="1:9" ht="13.5" x14ac:dyDescent="0.25">
      <c r="A282" s="3">
        <f>TITRES_STAT!B285</f>
        <v>45327</v>
      </c>
      <c r="B282" s="5">
        <f>TITRES_STAT!D285</f>
        <v>4.6920000000000002</v>
      </c>
      <c r="C282" s="2">
        <f t="shared" si="36"/>
        <v>-0.17799999999999994</v>
      </c>
      <c r="D282" s="2">
        <f t="shared" si="37"/>
        <v>0</v>
      </c>
      <c r="E282" s="2">
        <f t="shared" si="38"/>
        <v>0.17799999999999994</v>
      </c>
      <c r="F282" s="2">
        <f t="shared" si="39"/>
        <v>2.454753518834257E-2</v>
      </c>
      <c r="G282" s="2">
        <f t="shared" si="39"/>
        <v>4.8068373297550218E-2</v>
      </c>
      <c r="H282" s="2">
        <f t="shared" si="40"/>
        <v>0.51067954882495725</v>
      </c>
      <c r="I282" s="2">
        <f t="shared" si="41"/>
        <v>33.804624496451012</v>
      </c>
    </row>
    <row r="283" spans="1:9" ht="13.5" x14ac:dyDescent="0.25">
      <c r="A283" s="3">
        <f>TITRES_STAT!B286</f>
        <v>45328</v>
      </c>
      <c r="B283" s="5">
        <f>TITRES_STAT!D286</f>
        <v>4.7720000000000002</v>
      </c>
      <c r="C283" s="2">
        <f t="shared" si="36"/>
        <v>8.0000000000000071E-2</v>
      </c>
      <c r="D283" s="2">
        <f t="shared" si="37"/>
        <v>8.0000000000000071E-2</v>
      </c>
      <c r="E283" s="2">
        <f t="shared" si="38"/>
        <v>0</v>
      </c>
      <c r="F283" s="2">
        <f t="shared" si="39"/>
        <v>2.8508425532032391E-2</v>
      </c>
      <c r="G283" s="2">
        <f t="shared" si="39"/>
        <v>4.463491806201092E-2</v>
      </c>
      <c r="H283" s="2">
        <f t="shared" si="40"/>
        <v>0.63870231580633519</v>
      </c>
      <c r="I283" s="2">
        <f t="shared" si="41"/>
        <v>38.976103813709273</v>
      </c>
    </row>
    <row r="284" spans="1:9" ht="13.5" x14ac:dyDescent="0.25">
      <c r="A284" s="3">
        <f>TITRES_STAT!B287</f>
        <v>45329</v>
      </c>
      <c r="B284" s="5">
        <f>TITRES_STAT!D287</f>
        <v>4.7009999999999996</v>
      </c>
      <c r="C284" s="2">
        <f t="shared" si="36"/>
        <v>-7.1000000000000618E-2</v>
      </c>
      <c r="D284" s="2">
        <f t="shared" si="37"/>
        <v>0</v>
      </c>
      <c r="E284" s="2">
        <f t="shared" si="38"/>
        <v>7.1000000000000618E-2</v>
      </c>
      <c r="F284" s="2">
        <f t="shared" si="39"/>
        <v>2.6472109422601506E-2</v>
      </c>
      <c r="G284" s="2">
        <f t="shared" si="39"/>
        <v>4.6518138200438756E-2</v>
      </c>
      <c r="H284" s="2">
        <f t="shared" si="40"/>
        <v>0.56907069901503116</v>
      </c>
      <c r="I284" s="2">
        <f t="shared" si="41"/>
        <v>36.268008788403208</v>
      </c>
    </row>
    <row r="285" spans="1:9" ht="13.5" x14ac:dyDescent="0.25">
      <c r="A285" s="3">
        <f>TITRES_STAT!B288</f>
        <v>45330</v>
      </c>
      <c r="B285" s="5">
        <f>TITRES_STAT!D288</f>
        <v>4.7809999999999997</v>
      </c>
      <c r="C285" s="2">
        <f t="shared" si="36"/>
        <v>8.0000000000000071E-2</v>
      </c>
      <c r="D285" s="2">
        <f t="shared" si="37"/>
        <v>8.0000000000000071E-2</v>
      </c>
      <c r="E285" s="2">
        <f t="shared" si="38"/>
        <v>0</v>
      </c>
      <c r="F285" s="2">
        <f t="shared" ref="F285:G300" si="42">((F284*13)+D285)/14</f>
        <v>3.0295530178129974E-2</v>
      </c>
      <c r="G285" s="2">
        <f t="shared" si="42"/>
        <v>4.319541404326456E-2</v>
      </c>
      <c r="H285" s="2">
        <f t="shared" si="40"/>
        <v>0.7013598746335884</v>
      </c>
      <c r="I285" s="2">
        <f t="shared" si="41"/>
        <v>41.223487463793397</v>
      </c>
    </row>
    <row r="286" spans="1:9" ht="13.5" x14ac:dyDescent="0.25">
      <c r="A286" s="3">
        <f>TITRES_STAT!B289</f>
        <v>45331</v>
      </c>
      <c r="B286" s="5">
        <f>TITRES_STAT!D289</f>
        <v>4.7809999999999997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2.8131563736834977E-2</v>
      </c>
      <c r="G286" s="2">
        <f t="shared" si="42"/>
        <v>4.0110027325888524E-2</v>
      </c>
      <c r="H286" s="2">
        <f t="shared" si="40"/>
        <v>0.70135987463358829</v>
      </c>
      <c r="I286" s="2">
        <f t="shared" si="41"/>
        <v>41.223487463793397</v>
      </c>
    </row>
    <row r="287" spans="1:9" ht="13.5" x14ac:dyDescent="0.25">
      <c r="A287" s="3">
        <f>TITRES_STAT!B290</f>
        <v>45334</v>
      </c>
      <c r="B287" s="5">
        <f>TITRES_STAT!D290</f>
        <v>4.7009999999999996</v>
      </c>
      <c r="C287" s="2">
        <f t="shared" si="36"/>
        <v>-8.0000000000000071E-2</v>
      </c>
      <c r="D287" s="2">
        <f t="shared" si="37"/>
        <v>0</v>
      </c>
      <c r="E287" s="2">
        <f t="shared" si="38"/>
        <v>8.0000000000000071E-2</v>
      </c>
      <c r="F287" s="2">
        <f t="shared" si="42"/>
        <v>2.6122166327061051E-2</v>
      </c>
      <c r="G287" s="2">
        <f t="shared" si="42"/>
        <v>4.2959311088325063E-2</v>
      </c>
      <c r="H287" s="2">
        <f t="shared" si="40"/>
        <v>0.60806762644199386</v>
      </c>
      <c r="I287" s="2">
        <f t="shared" si="41"/>
        <v>37.813560601764166</v>
      </c>
    </row>
    <row r="288" spans="1:9" ht="13.5" x14ac:dyDescent="0.25">
      <c r="A288" s="3">
        <f>TITRES_STAT!B291</f>
        <v>45335</v>
      </c>
      <c r="B288" s="5">
        <f>TITRES_STAT!D291</f>
        <v>4.7009999999999996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2.4256297303699548E-2</v>
      </c>
      <c r="G288" s="2">
        <f t="shared" si="42"/>
        <v>3.9890788867730412E-2</v>
      </c>
      <c r="H288" s="2">
        <f t="shared" si="40"/>
        <v>0.60806762644199397</v>
      </c>
      <c r="I288" s="2">
        <f t="shared" si="41"/>
        <v>37.813560601764166</v>
      </c>
    </row>
    <row r="289" spans="1:9" ht="13.5" x14ac:dyDescent="0.25">
      <c r="A289" s="3">
        <f>TITRES_STAT!B292</f>
        <v>45336</v>
      </c>
      <c r="B289" s="5">
        <f>TITRES_STAT!D292</f>
        <v>4.6920000000000002</v>
      </c>
      <c r="C289" s="2">
        <f t="shared" si="36"/>
        <v>-8.9999999999994529E-3</v>
      </c>
      <c r="D289" s="2">
        <f t="shared" si="37"/>
        <v>0</v>
      </c>
      <c r="E289" s="2">
        <f t="shared" si="38"/>
        <v>8.9999999999994529E-3</v>
      </c>
      <c r="F289" s="2">
        <f t="shared" si="42"/>
        <v>2.2523704639149579E-2</v>
      </c>
      <c r="G289" s="2">
        <f t="shared" si="42"/>
        <v>3.7684303948606772E-2</v>
      </c>
      <c r="H289" s="2">
        <f t="shared" si="40"/>
        <v>0.59769459109201095</v>
      </c>
      <c r="I289" s="2">
        <f t="shared" si="41"/>
        <v>37.409815018744709</v>
      </c>
    </row>
    <row r="290" spans="1:9" ht="13.5" x14ac:dyDescent="0.25">
      <c r="A290" s="3">
        <f>TITRES_STAT!B293</f>
        <v>45337</v>
      </c>
      <c r="B290" s="5">
        <f>TITRES_STAT!D293</f>
        <v>4.6920000000000002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2.0914868593496037E-2</v>
      </c>
      <c r="G290" s="2">
        <f t="shared" si="42"/>
        <v>3.4992567952277717E-2</v>
      </c>
      <c r="H290" s="2">
        <f t="shared" si="40"/>
        <v>0.59769459109201095</v>
      </c>
      <c r="I290" s="2">
        <f t="shared" si="41"/>
        <v>37.409815018744709</v>
      </c>
    </row>
    <row r="291" spans="1:9" ht="13.5" x14ac:dyDescent="0.25">
      <c r="A291" s="3">
        <f>TITRES_STAT!B294</f>
        <v>45338</v>
      </c>
      <c r="B291" s="5">
        <f>TITRES_STAT!D294</f>
        <v>4.7009999999999996</v>
      </c>
      <c r="C291" s="2">
        <f t="shared" si="36"/>
        <v>8.9999999999994529E-3</v>
      </c>
      <c r="D291" s="2">
        <f t="shared" si="37"/>
        <v>8.9999999999994529E-3</v>
      </c>
      <c r="E291" s="2">
        <f t="shared" si="38"/>
        <v>0</v>
      </c>
      <c r="F291" s="2">
        <f t="shared" si="42"/>
        <v>2.0063806551103423E-2</v>
      </c>
      <c r="G291" s="2">
        <f t="shared" si="42"/>
        <v>3.2493098812829309E-2</v>
      </c>
      <c r="H291" s="2">
        <f t="shared" si="40"/>
        <v>0.61747901197966359</v>
      </c>
      <c r="I291" s="2">
        <f t="shared" si="41"/>
        <v>38.17539562531443</v>
      </c>
    </row>
    <row r="292" spans="1:9" ht="13.5" x14ac:dyDescent="0.25">
      <c r="A292" s="3">
        <f>TITRES_STAT!B295</f>
        <v>45341</v>
      </c>
      <c r="B292" s="5">
        <f>TITRES_STAT!D295</f>
        <v>4.95</v>
      </c>
      <c r="C292" s="2">
        <f t="shared" si="36"/>
        <v>0.24900000000000055</v>
      </c>
      <c r="D292" s="2">
        <f t="shared" si="37"/>
        <v>0.24900000000000055</v>
      </c>
      <c r="E292" s="2">
        <f t="shared" si="38"/>
        <v>0</v>
      </c>
      <c r="F292" s="2">
        <f t="shared" si="42"/>
        <v>3.6416391797453214E-2</v>
      </c>
      <c r="G292" s="2">
        <f t="shared" si="42"/>
        <v>3.0172163183341504E-2</v>
      </c>
      <c r="H292" s="2">
        <f t="shared" si="40"/>
        <v>1.2069532958630969</v>
      </c>
      <c r="I292" s="2">
        <f t="shared" si="41"/>
        <v>54.688665053561124</v>
      </c>
    </row>
    <row r="293" spans="1:9" ht="13.5" x14ac:dyDescent="0.25">
      <c r="A293" s="3">
        <f>TITRES_STAT!B296</f>
        <v>45342</v>
      </c>
      <c r="B293" s="5">
        <f>TITRES_STAT!D296</f>
        <v>4.95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3.3815220954777986E-2</v>
      </c>
      <c r="G293" s="2">
        <f t="shared" si="42"/>
        <v>2.8017008670245681E-2</v>
      </c>
      <c r="H293" s="2">
        <f t="shared" si="40"/>
        <v>1.2069532958630969</v>
      </c>
      <c r="I293" s="2">
        <f t="shared" si="41"/>
        <v>54.688665053561124</v>
      </c>
    </row>
    <row r="294" spans="1:9" ht="13.5" x14ac:dyDescent="0.25">
      <c r="A294" s="3">
        <f>TITRES_STAT!B297</f>
        <v>45343</v>
      </c>
      <c r="B294" s="5">
        <f>TITRES_STAT!D297</f>
        <v>4.923</v>
      </c>
      <c r="C294" s="2">
        <f t="shared" si="36"/>
        <v>-2.7000000000000135E-2</v>
      </c>
      <c r="D294" s="2">
        <f t="shared" si="37"/>
        <v>0</v>
      </c>
      <c r="E294" s="2">
        <f t="shared" si="38"/>
        <v>2.7000000000000135E-2</v>
      </c>
      <c r="F294" s="2">
        <f t="shared" si="42"/>
        <v>3.1399848029436697E-2</v>
      </c>
      <c r="G294" s="2">
        <f t="shared" si="42"/>
        <v>2.7944365193799569E-2</v>
      </c>
      <c r="H294" s="2">
        <f t="shared" si="40"/>
        <v>1.1236558000753529</v>
      </c>
      <c r="I294" s="2">
        <f t="shared" si="41"/>
        <v>52.911389879446688</v>
      </c>
    </row>
    <row r="295" spans="1:9" ht="13.5" x14ac:dyDescent="0.25">
      <c r="A295" s="3">
        <f>TITRES_STAT!B298</f>
        <v>45344</v>
      </c>
      <c r="B295" s="5">
        <f>TITRES_STAT!D298</f>
        <v>4.95</v>
      </c>
      <c r="C295" s="2">
        <f t="shared" si="36"/>
        <v>2.7000000000000135E-2</v>
      </c>
      <c r="D295" s="2">
        <f t="shared" si="37"/>
        <v>2.7000000000000135E-2</v>
      </c>
      <c r="E295" s="2">
        <f t="shared" si="38"/>
        <v>0</v>
      </c>
      <c r="F295" s="2">
        <f t="shared" si="42"/>
        <v>3.1085573170191227E-2</v>
      </c>
      <c r="G295" s="2">
        <f t="shared" si="42"/>
        <v>2.594833910852817E-2</v>
      </c>
      <c r="H295" s="2">
        <f t="shared" si="40"/>
        <v>1.1979793018804297</v>
      </c>
      <c r="I295" s="2">
        <f t="shared" si="41"/>
        <v>54.503666201748423</v>
      </c>
    </row>
    <row r="296" spans="1:9" ht="13.5" x14ac:dyDescent="0.25">
      <c r="A296" s="3">
        <f>TITRES_STAT!B299</f>
        <v>45345</v>
      </c>
      <c r="B296" s="5">
        <f>TITRES_STAT!D299</f>
        <v>4.95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2.8865175086606139E-2</v>
      </c>
      <c r="G296" s="2">
        <f t="shared" si="42"/>
        <v>2.4094886315061872E-2</v>
      </c>
      <c r="H296" s="2">
        <f t="shared" si="40"/>
        <v>1.1979793018804297</v>
      </c>
      <c r="I296" s="2">
        <f t="shared" si="41"/>
        <v>54.503666201748423</v>
      </c>
    </row>
    <row r="297" spans="1:9" ht="13.5" x14ac:dyDescent="0.25">
      <c r="A297" s="3">
        <f>TITRES_STAT!B300</f>
        <v>45348</v>
      </c>
      <c r="B297" s="5">
        <f>TITRES_STAT!D300</f>
        <v>4.9409999999999998</v>
      </c>
      <c r="C297" s="2">
        <f t="shared" si="36"/>
        <v>-9.0000000000003411E-3</v>
      </c>
      <c r="D297" s="2">
        <f t="shared" si="37"/>
        <v>0</v>
      </c>
      <c r="E297" s="2">
        <f t="shared" si="38"/>
        <v>9.0000000000003411E-3</v>
      </c>
      <c r="F297" s="2">
        <f t="shared" si="42"/>
        <v>2.6803376866134272E-2</v>
      </c>
      <c r="G297" s="2">
        <f t="shared" si="42"/>
        <v>2.3016680149700337E-2</v>
      </c>
      <c r="H297" s="2">
        <f t="shared" si="40"/>
        <v>1.1645196740713815</v>
      </c>
      <c r="I297" s="2">
        <f t="shared" si="41"/>
        <v>53.800373728225942</v>
      </c>
    </row>
    <row r="298" spans="1:9" ht="13.5" x14ac:dyDescent="0.25">
      <c r="A298" s="3">
        <f>TITRES_STAT!B301</f>
        <v>45349</v>
      </c>
      <c r="B298" s="5">
        <f>TITRES_STAT!D301</f>
        <v>5.0380000000000003</v>
      </c>
      <c r="C298" s="2">
        <f t="shared" si="36"/>
        <v>9.7000000000000419E-2</v>
      </c>
      <c r="D298" s="2">
        <f t="shared" si="37"/>
        <v>9.7000000000000419E-2</v>
      </c>
      <c r="E298" s="2">
        <f t="shared" si="38"/>
        <v>0</v>
      </c>
      <c r="F298" s="2">
        <f t="shared" si="42"/>
        <v>3.1817421375696139E-2</v>
      </c>
      <c r="G298" s="2">
        <f t="shared" si="42"/>
        <v>2.1372631567578883E-2</v>
      </c>
      <c r="H298" s="2">
        <f t="shared" si="40"/>
        <v>1.4886992869872624</v>
      </c>
      <c r="I298" s="2">
        <f t="shared" si="41"/>
        <v>59.818367561371097</v>
      </c>
    </row>
    <row r="299" spans="1:9" ht="13.5" x14ac:dyDescent="0.25">
      <c r="A299" s="3">
        <f>TITRES_STAT!B302</f>
        <v>45350</v>
      </c>
      <c r="B299" s="5">
        <f>TITRES_STAT!D302</f>
        <v>5.0380000000000003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2.9544748420289275E-2</v>
      </c>
      <c r="G299" s="2">
        <f t="shared" si="42"/>
        <v>1.9846015027037534E-2</v>
      </c>
      <c r="H299" s="2">
        <f t="shared" si="40"/>
        <v>1.4886992869872626</v>
      </c>
      <c r="I299" s="2">
        <f t="shared" si="41"/>
        <v>59.818367561371105</v>
      </c>
    </row>
    <row r="300" spans="1:9" ht="13.5" x14ac:dyDescent="0.25">
      <c r="A300" s="3">
        <f>TITRES_STAT!B303</f>
        <v>45351</v>
      </c>
      <c r="B300" s="5">
        <f>TITRES_STAT!D303</f>
        <v>5.0999999999999996</v>
      </c>
      <c r="C300" s="2">
        <f t="shared" si="36"/>
        <v>6.1999999999999389E-2</v>
      </c>
      <c r="D300" s="2">
        <f t="shared" si="37"/>
        <v>6.1999999999999389E-2</v>
      </c>
      <c r="E300" s="2">
        <f t="shared" si="38"/>
        <v>0</v>
      </c>
      <c r="F300" s="2">
        <f t="shared" si="42"/>
        <v>3.1862980675982852E-2</v>
      </c>
      <c r="G300" s="2">
        <f t="shared" si="42"/>
        <v>1.8428442525106281E-2</v>
      </c>
      <c r="H300" s="2">
        <f t="shared" si="40"/>
        <v>1.729011045430118</v>
      </c>
      <c r="I300" s="2">
        <f t="shared" si="41"/>
        <v>63.356689168607211</v>
      </c>
    </row>
    <row r="301" spans="1:9" ht="13.5" x14ac:dyDescent="0.25">
      <c r="A301" s="3">
        <f>TITRES_STAT!B304</f>
        <v>45352</v>
      </c>
      <c r="B301" s="5">
        <f>TITRES_STAT!D304</f>
        <v>5.0119999999999996</v>
      </c>
      <c r="C301" s="2">
        <f t="shared" si="36"/>
        <v>-8.8000000000000078E-2</v>
      </c>
      <c r="D301" s="2">
        <f t="shared" si="37"/>
        <v>0</v>
      </c>
      <c r="E301" s="2">
        <f t="shared" si="38"/>
        <v>8.8000000000000078E-2</v>
      </c>
      <c r="F301" s="2">
        <f t="shared" ref="F301:G316" si="43">((F300*13)+D301)/14</f>
        <v>2.9587053484841221E-2</v>
      </c>
      <c r="G301" s="2">
        <f t="shared" si="43"/>
        <v>2.3397839487598694E-2</v>
      </c>
      <c r="H301" s="2">
        <f t="shared" si="40"/>
        <v>1.2645207477606182</v>
      </c>
      <c r="I301" s="2">
        <f t="shared" si="41"/>
        <v>55.840545908493048</v>
      </c>
    </row>
    <row r="302" spans="1:9" ht="13.5" x14ac:dyDescent="0.25">
      <c r="A302" s="3">
        <f>TITRES_STAT!B305</f>
        <v>45355</v>
      </c>
      <c r="B302" s="5">
        <f>TITRES_STAT!D305</f>
        <v>5.1710000000000003</v>
      </c>
      <c r="C302" s="2">
        <f t="shared" si="36"/>
        <v>0.1590000000000007</v>
      </c>
      <c r="D302" s="2">
        <f t="shared" si="37"/>
        <v>0.1590000000000007</v>
      </c>
      <c r="E302" s="2">
        <f t="shared" si="38"/>
        <v>0</v>
      </c>
      <c r="F302" s="2">
        <f t="shared" si="43"/>
        <v>3.8830835378781181E-2</v>
      </c>
      <c r="G302" s="2">
        <f t="shared" si="43"/>
        <v>2.1726565238484503E-2</v>
      </c>
      <c r="H302" s="2">
        <f t="shared" si="40"/>
        <v>1.7872514570319518</v>
      </c>
      <c r="I302" s="2">
        <f t="shared" si="41"/>
        <v>64.122361566011506</v>
      </c>
    </row>
    <row r="303" spans="1:9" ht="13.5" x14ac:dyDescent="0.25">
      <c r="A303" s="3">
        <f>TITRES_STAT!B306</f>
        <v>45356</v>
      </c>
      <c r="B303" s="5">
        <f>TITRES_STAT!D306</f>
        <v>5.3220000000000001</v>
      </c>
      <c r="C303" s="2">
        <f t="shared" si="36"/>
        <v>0.1509999999999998</v>
      </c>
      <c r="D303" s="2">
        <f t="shared" si="37"/>
        <v>0.1509999999999998</v>
      </c>
      <c r="E303" s="2">
        <f t="shared" si="38"/>
        <v>0</v>
      </c>
      <c r="F303" s="2">
        <f t="shared" si="43"/>
        <v>4.6842918566011083E-2</v>
      </c>
      <c r="G303" s="2">
        <f t="shared" si="43"/>
        <v>2.0174667721449897E-2</v>
      </c>
      <c r="H303" s="2">
        <f t="shared" si="40"/>
        <v>2.3218681572736513</v>
      </c>
      <c r="I303" s="2">
        <f t="shared" si="41"/>
        <v>69.896457274790592</v>
      </c>
    </row>
    <row r="304" spans="1:9" ht="13.5" x14ac:dyDescent="0.25">
      <c r="A304" s="3">
        <f>TITRES_STAT!B307</f>
        <v>45357</v>
      </c>
      <c r="B304" s="5">
        <f>TITRES_STAT!D307</f>
        <v>5.3659999999999997</v>
      </c>
      <c r="C304" s="2">
        <f t="shared" si="36"/>
        <v>4.3999999999999595E-2</v>
      </c>
      <c r="D304" s="2">
        <f t="shared" si="37"/>
        <v>4.3999999999999595E-2</v>
      </c>
      <c r="E304" s="2">
        <f t="shared" si="38"/>
        <v>0</v>
      </c>
      <c r="F304" s="2">
        <f t="shared" si="43"/>
        <v>4.663985295415312E-2</v>
      </c>
      <c r="G304" s="2">
        <f t="shared" si="43"/>
        <v>1.8733620027060617E-2</v>
      </c>
      <c r="H304" s="2">
        <f t="shared" si="40"/>
        <v>2.4896337646852071</v>
      </c>
      <c r="I304" s="2">
        <f t="shared" si="41"/>
        <v>71.34369772209584</v>
      </c>
    </row>
    <row r="305" spans="1:9" ht="13.5" x14ac:dyDescent="0.25">
      <c r="A305" s="3">
        <f>TITRES_STAT!B308</f>
        <v>45358</v>
      </c>
      <c r="B305" s="5">
        <f>TITRES_STAT!D308</f>
        <v>5.3220000000000001</v>
      </c>
      <c r="C305" s="2">
        <f t="shared" si="36"/>
        <v>-4.3999999999999595E-2</v>
      </c>
      <c r="D305" s="2">
        <f t="shared" si="37"/>
        <v>0</v>
      </c>
      <c r="E305" s="2">
        <f t="shared" si="38"/>
        <v>4.3999999999999595E-2</v>
      </c>
      <c r="F305" s="2">
        <f t="shared" si="43"/>
        <v>4.3308434885999329E-2</v>
      </c>
      <c r="G305" s="2">
        <f t="shared" si="43"/>
        <v>2.0538361453699115E-2</v>
      </c>
      <c r="H305" s="2">
        <f t="shared" si="40"/>
        <v>2.1086606632974196</v>
      </c>
      <c r="I305" s="2">
        <f t="shared" si="41"/>
        <v>67.831805773896221</v>
      </c>
    </row>
    <row r="306" spans="1:9" ht="13.5" x14ac:dyDescent="0.25">
      <c r="A306" s="3">
        <f>TITRES_STAT!B309</f>
        <v>45359</v>
      </c>
      <c r="B306" s="5">
        <f>TITRES_STAT!D309</f>
        <v>5.3129999999999997</v>
      </c>
      <c r="C306" s="2">
        <f t="shared" si="36"/>
        <v>-9.0000000000003411E-3</v>
      </c>
      <c r="D306" s="2">
        <f t="shared" si="37"/>
        <v>0</v>
      </c>
      <c r="E306" s="2">
        <f t="shared" si="38"/>
        <v>9.0000000000003411E-3</v>
      </c>
      <c r="F306" s="2">
        <f t="shared" si="43"/>
        <v>4.021497525128509E-2</v>
      </c>
      <c r="G306" s="2">
        <f t="shared" si="43"/>
        <v>1.9714192778434916E-2</v>
      </c>
      <c r="H306" s="2">
        <f t="shared" si="40"/>
        <v>2.0398996653454509</v>
      </c>
      <c r="I306" s="2">
        <f t="shared" si="41"/>
        <v>67.104177437173377</v>
      </c>
    </row>
    <row r="307" spans="1:9" ht="13.5" x14ac:dyDescent="0.25">
      <c r="A307" s="3">
        <f>TITRES_STAT!B310</f>
        <v>45362</v>
      </c>
      <c r="B307" s="5">
        <f>TITRES_STAT!D310</f>
        <v>5.2960000000000003</v>
      </c>
      <c r="C307" s="2">
        <f t="shared" si="36"/>
        <v>-1.699999999999946E-2</v>
      </c>
      <c r="D307" s="2">
        <f t="shared" si="37"/>
        <v>0</v>
      </c>
      <c r="E307" s="2">
        <f t="shared" si="38"/>
        <v>1.699999999999946E-2</v>
      </c>
      <c r="F307" s="2">
        <f t="shared" si="43"/>
        <v>3.7342477019050434E-2</v>
      </c>
      <c r="G307" s="2">
        <f t="shared" si="43"/>
        <v>1.9520321865689527E-2</v>
      </c>
      <c r="H307" s="2">
        <f t="shared" si="40"/>
        <v>1.9130051889506261</v>
      </c>
      <c r="I307" s="2">
        <f t="shared" si="41"/>
        <v>65.671190570029921</v>
      </c>
    </row>
    <row r="308" spans="1:9" ht="13.5" x14ac:dyDescent="0.25">
      <c r="A308" s="3">
        <f>TITRES_STAT!B311</f>
        <v>45363</v>
      </c>
      <c r="B308" s="5">
        <f>TITRES_STAT!D311</f>
        <v>5.3579999999999997</v>
      </c>
      <c r="C308" s="2">
        <f t="shared" si="36"/>
        <v>6.1999999999999389E-2</v>
      </c>
      <c r="D308" s="2">
        <f t="shared" si="37"/>
        <v>6.1999999999999389E-2</v>
      </c>
      <c r="E308" s="2">
        <f t="shared" si="38"/>
        <v>0</v>
      </c>
      <c r="F308" s="2">
        <f t="shared" si="43"/>
        <v>3.9103728660546788E-2</v>
      </c>
      <c r="G308" s="2">
        <f t="shared" si="43"/>
        <v>1.8126013160997417E-2</v>
      </c>
      <c r="H308" s="2">
        <f t="shared" si="40"/>
        <v>2.1573265071156462</v>
      </c>
      <c r="I308" s="2">
        <f t="shared" si="41"/>
        <v>68.327634226415711</v>
      </c>
    </row>
    <row r="309" spans="1:9" ht="13.5" x14ac:dyDescent="0.25">
      <c r="A309" s="3">
        <f>TITRES_STAT!B312</f>
        <v>45364</v>
      </c>
      <c r="B309" s="5">
        <f>TITRES_STAT!D312</f>
        <v>5.3579999999999997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3.6310605184793447E-2</v>
      </c>
      <c r="G309" s="2">
        <f t="shared" si="43"/>
        <v>1.6831297935211886E-2</v>
      </c>
      <c r="H309" s="2">
        <f t="shared" si="40"/>
        <v>2.1573265071156462</v>
      </c>
      <c r="I309" s="2">
        <f t="shared" si="41"/>
        <v>68.327634226415711</v>
      </c>
    </row>
    <row r="310" spans="1:9" ht="13.5" x14ac:dyDescent="0.25">
      <c r="A310" s="3">
        <f>TITRES_STAT!B313</f>
        <v>45365</v>
      </c>
      <c r="B310" s="5">
        <f>TITRES_STAT!D313</f>
        <v>5.3579999999999997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3.3716990528736772E-2</v>
      </c>
      <c r="G310" s="2">
        <f t="shared" si="43"/>
        <v>1.5629062368411037E-2</v>
      </c>
      <c r="H310" s="2">
        <f t="shared" si="40"/>
        <v>2.1573265071156462</v>
      </c>
      <c r="I310" s="2">
        <f t="shared" si="41"/>
        <v>68.327634226415711</v>
      </c>
    </row>
    <row r="311" spans="1:9" ht="13.5" x14ac:dyDescent="0.25">
      <c r="A311" s="3">
        <f>TITRES_STAT!B314</f>
        <v>45366</v>
      </c>
      <c r="B311" s="5">
        <f>TITRES_STAT!D314</f>
        <v>5.3579999999999997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3.1308634062398429E-2</v>
      </c>
      <c r="G311" s="2">
        <f t="shared" si="43"/>
        <v>1.4512700770667393E-2</v>
      </c>
      <c r="H311" s="2">
        <f t="shared" si="40"/>
        <v>2.1573265071156458</v>
      </c>
      <c r="I311" s="2">
        <f t="shared" si="41"/>
        <v>68.327634226415711</v>
      </c>
    </row>
    <row r="312" spans="1:9" ht="13.5" x14ac:dyDescent="0.25">
      <c r="A312" s="3">
        <f>TITRES_STAT!B315</f>
        <v>45369</v>
      </c>
      <c r="B312" s="5">
        <f>TITRES_STAT!D315</f>
        <v>5.3579999999999997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2.9072303057941399E-2</v>
      </c>
      <c r="G312" s="2">
        <f t="shared" si="43"/>
        <v>1.3476079287048293E-2</v>
      </c>
      <c r="H312" s="2">
        <f t="shared" si="40"/>
        <v>2.1573265071156458</v>
      </c>
      <c r="I312" s="2">
        <f t="shared" si="41"/>
        <v>68.327634226415711</v>
      </c>
    </row>
    <row r="313" spans="1:9" ht="13.5" x14ac:dyDescent="0.25">
      <c r="A313" s="3">
        <f>TITRES_STAT!B316</f>
        <v>45370</v>
      </c>
      <c r="B313" s="5">
        <f>TITRES_STAT!D316</f>
        <v>5.3579999999999997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2.6995709982374157E-2</v>
      </c>
      <c r="G313" s="2">
        <f t="shared" si="43"/>
        <v>1.2513502195116271E-2</v>
      </c>
      <c r="H313" s="2">
        <f t="shared" si="40"/>
        <v>2.1573265071156462</v>
      </c>
      <c r="I313" s="2">
        <f t="shared" si="41"/>
        <v>68.327634226415711</v>
      </c>
    </row>
    <row r="314" spans="1:9" ht="13.5" x14ac:dyDescent="0.25">
      <c r="A314" s="3">
        <f>TITRES_STAT!B317</f>
        <v>45372</v>
      </c>
      <c r="B314" s="5">
        <f>TITRES_STAT!D317</f>
        <v>5.3129999999999997</v>
      </c>
      <c r="C314" s="2">
        <f t="shared" si="36"/>
        <v>-4.4999999999999929E-2</v>
      </c>
      <c r="D314" s="2">
        <f t="shared" si="37"/>
        <v>0</v>
      </c>
      <c r="E314" s="2">
        <f t="shared" si="38"/>
        <v>4.4999999999999929E-2</v>
      </c>
      <c r="F314" s="2">
        <f t="shared" si="43"/>
        <v>2.5067444983633145E-2</v>
      </c>
      <c r="G314" s="2">
        <f t="shared" si="43"/>
        <v>1.4833966324036532E-2</v>
      </c>
      <c r="H314" s="2">
        <f t="shared" si="40"/>
        <v>1.6898679986224978</v>
      </c>
      <c r="I314" s="2">
        <f t="shared" si="41"/>
        <v>62.823454514790029</v>
      </c>
    </row>
    <row r="315" spans="1:9" ht="13.5" x14ac:dyDescent="0.25">
      <c r="A315" s="3">
        <f>TITRES_STAT!B318</f>
        <v>45373</v>
      </c>
      <c r="B315" s="5">
        <f>TITRES_STAT!D318</f>
        <v>5.34</v>
      </c>
      <c r="C315" s="2">
        <f t="shared" si="36"/>
        <v>2.7000000000000135E-2</v>
      </c>
      <c r="D315" s="2">
        <f t="shared" si="37"/>
        <v>2.7000000000000135E-2</v>
      </c>
      <c r="E315" s="2">
        <f t="shared" si="38"/>
        <v>0</v>
      </c>
      <c r="F315" s="2">
        <f t="shared" si="43"/>
        <v>2.5205484627659359E-2</v>
      </c>
      <c r="G315" s="2">
        <f t="shared" si="43"/>
        <v>1.3774397300891066E-2</v>
      </c>
      <c r="H315" s="2">
        <f t="shared" si="40"/>
        <v>1.8298793099302293</v>
      </c>
      <c r="I315" s="2">
        <f t="shared" si="41"/>
        <v>64.662803940403563</v>
      </c>
    </row>
    <row r="316" spans="1:9" ht="13.5" x14ac:dyDescent="0.25">
      <c r="A316" s="3">
        <f>TITRES_STAT!B319</f>
        <v>45376</v>
      </c>
      <c r="B316" s="5">
        <f>TITRES_STAT!D319</f>
        <v>5.34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2.3405092868540835E-2</v>
      </c>
      <c r="G316" s="2">
        <f t="shared" si="43"/>
        <v>1.2790511779398847E-2</v>
      </c>
      <c r="H316" s="2">
        <f t="shared" si="40"/>
        <v>1.8298793099302297</v>
      </c>
      <c r="I316" s="2">
        <f t="shared" si="41"/>
        <v>64.662803940403563</v>
      </c>
    </row>
    <row r="317" spans="1:9" ht="13.5" x14ac:dyDescent="0.25">
      <c r="A317" s="3">
        <f>TITRES_STAT!B320</f>
        <v>45377</v>
      </c>
      <c r="B317" s="5">
        <f>TITRES_STAT!D320</f>
        <v>5.34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2.173330052078792E-2</v>
      </c>
      <c r="G317" s="2">
        <f t="shared" si="44"/>
        <v>1.1876903795156072E-2</v>
      </c>
      <c r="H317" s="2">
        <f t="shared" si="40"/>
        <v>1.8298793099302297</v>
      </c>
      <c r="I317" s="2">
        <f t="shared" si="41"/>
        <v>64.662803940403563</v>
      </c>
    </row>
    <row r="318" spans="1:9" ht="13.5" x14ac:dyDescent="0.25">
      <c r="A318" s="3">
        <f>TITRES_STAT!B321</f>
        <v>45378</v>
      </c>
      <c r="B318" s="5">
        <f>TITRES_STAT!D321</f>
        <v>5.34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2.0180921912160209E-2</v>
      </c>
      <c r="G318" s="2">
        <f t="shared" si="44"/>
        <v>1.1028553524073495E-2</v>
      </c>
      <c r="H318" s="2">
        <f t="shared" si="40"/>
        <v>1.8298793099302297</v>
      </c>
      <c r="I318" s="2">
        <f t="shared" si="41"/>
        <v>64.662803940403563</v>
      </c>
    </row>
    <row r="319" spans="1:9" ht="13.5" x14ac:dyDescent="0.25">
      <c r="A319" s="3">
        <f>TITRES_STAT!B322</f>
        <v>45379</v>
      </c>
      <c r="B319" s="5">
        <f>TITRES_STAT!D322</f>
        <v>5.3310000000000004</v>
      </c>
      <c r="C319" s="2">
        <f t="shared" si="36"/>
        <v>-8.9999999999994529E-3</v>
      </c>
      <c r="D319" s="2">
        <f t="shared" si="37"/>
        <v>0</v>
      </c>
      <c r="E319" s="2">
        <f t="shared" si="38"/>
        <v>8.9999999999994529E-3</v>
      </c>
      <c r="F319" s="2">
        <f t="shared" si="44"/>
        <v>1.8739427489863049E-2</v>
      </c>
      <c r="G319" s="2">
        <f t="shared" si="44"/>
        <v>1.0883656843782492E-2</v>
      </c>
      <c r="H319" s="2">
        <f t="shared" si="40"/>
        <v>1.7217951428309064</v>
      </c>
      <c r="I319" s="2">
        <f t="shared" si="41"/>
        <v>63.259542047682835</v>
      </c>
    </row>
    <row r="320" spans="1:9" ht="13.5" x14ac:dyDescent="0.25">
      <c r="A320" s="3">
        <f>TITRES_STAT!B323</f>
        <v>45380</v>
      </c>
      <c r="B320" s="5">
        <f>TITRES_STAT!D323</f>
        <v>5.3220000000000001</v>
      </c>
      <c r="C320" s="2">
        <f t="shared" si="36"/>
        <v>-9.0000000000003411E-3</v>
      </c>
      <c r="D320" s="2">
        <f t="shared" si="37"/>
        <v>0</v>
      </c>
      <c r="E320" s="2">
        <f t="shared" si="38"/>
        <v>9.0000000000003411E-3</v>
      </c>
      <c r="F320" s="2">
        <f t="shared" si="44"/>
        <v>1.7400896954872829E-2</v>
      </c>
      <c r="G320" s="2">
        <f t="shared" si="44"/>
        <v>1.0749109926369483E-2</v>
      </c>
      <c r="H320" s="2">
        <f t="shared" si="40"/>
        <v>1.6188221233262605</v>
      </c>
      <c r="I320" s="2">
        <f t="shared" si="41"/>
        <v>61.814894142949122</v>
      </c>
    </row>
    <row r="321" spans="1:9" ht="13.5" x14ac:dyDescent="0.25">
      <c r="A321" s="3">
        <f>TITRES_STAT!B324</f>
        <v>45383</v>
      </c>
      <c r="B321" s="5">
        <f>TITRES_STAT!D324</f>
        <v>5.3310000000000004</v>
      </c>
      <c r="C321" s="2">
        <f t="shared" si="36"/>
        <v>9.0000000000003411E-3</v>
      </c>
      <c r="D321" s="2">
        <f t="shared" si="37"/>
        <v>9.0000000000003411E-3</v>
      </c>
      <c r="E321" s="2">
        <f t="shared" si="38"/>
        <v>0</v>
      </c>
      <c r="F321" s="2">
        <f t="shared" si="44"/>
        <v>1.6800832886667651E-2</v>
      </c>
      <c r="G321" s="2">
        <f t="shared" si="44"/>
        <v>9.9813163602002347E-3</v>
      </c>
      <c r="H321" s="2">
        <f t="shared" si="40"/>
        <v>1.6832281715525756</v>
      </c>
      <c r="I321" s="2">
        <f t="shared" si="41"/>
        <v>62.731458673476219</v>
      </c>
    </row>
    <row r="322" spans="1:9" ht="13.5" x14ac:dyDescent="0.25">
      <c r="A322" s="3">
        <f>TITRES_STAT!B325</f>
        <v>45384</v>
      </c>
      <c r="B322" s="5">
        <f>TITRES_STAT!D325</f>
        <v>5.3310000000000004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1.5600773394762818E-2</v>
      </c>
      <c r="G322" s="2">
        <f t="shared" si="44"/>
        <v>9.2683651916145027E-3</v>
      </c>
      <c r="H322" s="2">
        <f t="shared" si="40"/>
        <v>1.6832281715525759</v>
      </c>
      <c r="I322" s="2">
        <f t="shared" si="41"/>
        <v>62.731458673476226</v>
      </c>
    </row>
    <row r="323" spans="1:9" ht="13.5" x14ac:dyDescent="0.25">
      <c r="A323" s="3">
        <f>TITRES_STAT!B326</f>
        <v>45385</v>
      </c>
      <c r="B323" s="5">
        <f>TITRES_STAT!D326</f>
        <v>5.3579999999999997</v>
      </c>
      <c r="C323" s="2">
        <f t="shared" ref="C323:C386" si="45">B323-B322</f>
        <v>2.6999999999999247E-2</v>
      </c>
      <c r="D323" s="2">
        <f t="shared" ref="D323:D386" si="46">IF(C323&gt;0,C323,0)</f>
        <v>2.6999999999999247E-2</v>
      </c>
      <c r="E323" s="2">
        <f t="shared" ref="E323:E386" si="47">IF(C323&lt;0,-C323,0)</f>
        <v>0</v>
      </c>
      <c r="F323" s="2">
        <f t="shared" si="44"/>
        <v>1.6415003866565421E-2</v>
      </c>
      <c r="G323" s="2">
        <f t="shared" si="44"/>
        <v>8.6063391064991803E-3</v>
      </c>
      <c r="H323" s="2">
        <f t="shared" si="40"/>
        <v>1.9073154872748894</v>
      </c>
      <c r="I323" s="2">
        <f t="shared" si="41"/>
        <v>65.604008083163734</v>
      </c>
    </row>
    <row r="324" spans="1:9" ht="13.5" x14ac:dyDescent="0.25">
      <c r="A324" s="3">
        <f>TITRES_STAT!B327</f>
        <v>45386</v>
      </c>
      <c r="B324" s="5">
        <f>TITRES_STAT!D327</f>
        <v>5.3579999999999997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1.5242503590382176E-2</v>
      </c>
      <c r="G324" s="2">
        <f t="shared" si="44"/>
        <v>7.9916005988920954E-3</v>
      </c>
      <c r="H324" s="2">
        <f t="shared" si="40"/>
        <v>1.9073154872748896</v>
      </c>
      <c r="I324" s="2">
        <f t="shared" si="41"/>
        <v>65.604008083163734</v>
      </c>
    </row>
    <row r="325" spans="1:9" ht="13.5" x14ac:dyDescent="0.25">
      <c r="A325" s="3">
        <f>TITRES_STAT!B328</f>
        <v>45387</v>
      </c>
      <c r="B325" s="5">
        <f>TITRES_STAT!D328</f>
        <v>5.3220000000000001</v>
      </c>
      <c r="C325" s="2">
        <f t="shared" si="45"/>
        <v>-3.5999999999999588E-2</v>
      </c>
      <c r="D325" s="2">
        <f t="shared" si="46"/>
        <v>0</v>
      </c>
      <c r="E325" s="2">
        <f t="shared" si="47"/>
        <v>3.5999999999999588E-2</v>
      </c>
      <c r="F325" s="2">
        <f t="shared" si="44"/>
        <v>1.4153753333926307E-2</v>
      </c>
      <c r="G325" s="2">
        <f t="shared" si="44"/>
        <v>9.992200556114059E-3</v>
      </c>
      <c r="H325" s="2">
        <f t="shared" si="40"/>
        <v>1.4164801091052825</v>
      </c>
      <c r="I325" s="2">
        <f t="shared" si="41"/>
        <v>58.617495081709713</v>
      </c>
    </row>
    <row r="326" spans="1:9" ht="13.5" x14ac:dyDescent="0.25">
      <c r="A326" s="3">
        <f>TITRES_STAT!B329</f>
        <v>45390</v>
      </c>
      <c r="B326" s="5">
        <f>TITRES_STAT!D329</f>
        <v>5.3220000000000001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1.314277095293157E-2</v>
      </c>
      <c r="G326" s="2">
        <f t="shared" si="44"/>
        <v>9.2784719449630539E-3</v>
      </c>
      <c r="H326" s="2">
        <f t="shared" si="40"/>
        <v>1.4164801091052825</v>
      </c>
      <c r="I326" s="2">
        <f t="shared" si="41"/>
        <v>58.617495081709713</v>
      </c>
    </row>
    <row r="327" spans="1:9" ht="13.5" x14ac:dyDescent="0.25">
      <c r="A327" s="3">
        <f>TITRES_STAT!B330</f>
        <v>45394</v>
      </c>
      <c r="B327" s="5">
        <f>TITRES_STAT!D330</f>
        <v>5.3129999999999997</v>
      </c>
      <c r="C327" s="2">
        <f t="shared" si="45"/>
        <v>-9.0000000000003411E-3</v>
      </c>
      <c r="D327" s="2">
        <f t="shared" si="46"/>
        <v>0</v>
      </c>
      <c r="E327" s="2">
        <f t="shared" si="47"/>
        <v>9.0000000000003411E-3</v>
      </c>
      <c r="F327" s="2">
        <f t="shared" si="44"/>
        <v>1.2204001599150744E-2</v>
      </c>
      <c r="G327" s="2">
        <f t="shared" si="44"/>
        <v>9.2585810917514312E-3</v>
      </c>
      <c r="H327" s="2">
        <f t="shared" si="40"/>
        <v>1.3181287152113859</v>
      </c>
      <c r="I327" s="2">
        <f t="shared" si="41"/>
        <v>56.861756923242638</v>
      </c>
    </row>
    <row r="328" spans="1:9" ht="13.5" x14ac:dyDescent="0.25">
      <c r="A328" s="3">
        <f>TITRES_STAT!B331</f>
        <v>45397</v>
      </c>
      <c r="B328" s="5">
        <f>TITRES_STAT!D331</f>
        <v>5.3129999999999997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1.1332287199211406E-2</v>
      </c>
      <c r="G328" s="2">
        <f t="shared" si="44"/>
        <v>8.597253870912043E-3</v>
      </c>
      <c r="H328" s="2">
        <f t="shared" si="40"/>
        <v>1.3181287152113859</v>
      </c>
      <c r="I328" s="2">
        <f t="shared" si="41"/>
        <v>56.861756923242638</v>
      </c>
    </row>
    <row r="329" spans="1:9" ht="13.5" x14ac:dyDescent="0.25">
      <c r="A329" s="3">
        <f>TITRES_STAT!B332</f>
        <v>45398</v>
      </c>
      <c r="B329" s="5">
        <f>TITRES_STAT!D332</f>
        <v>5.3129999999999997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1.0522838113553449E-2</v>
      </c>
      <c r="G329" s="2">
        <f t="shared" si="44"/>
        <v>7.983164308704039E-3</v>
      </c>
      <c r="H329" s="2">
        <f t="shared" si="40"/>
        <v>1.3181287152113863</v>
      </c>
      <c r="I329" s="2">
        <f t="shared" si="41"/>
        <v>56.861756923242645</v>
      </c>
    </row>
    <row r="330" spans="1:9" ht="13.5" x14ac:dyDescent="0.25">
      <c r="A330" s="3">
        <f>TITRES_STAT!B333</f>
        <v>45399</v>
      </c>
      <c r="B330" s="5">
        <f>TITRES_STAT!D333</f>
        <v>5.3129999999999997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9.771206819728203E-3</v>
      </c>
      <c r="G330" s="2">
        <f t="shared" si="44"/>
        <v>7.4129382866537502E-3</v>
      </c>
      <c r="H330" s="2">
        <f t="shared" si="40"/>
        <v>1.3181287152113863</v>
      </c>
      <c r="I330" s="2">
        <f t="shared" si="41"/>
        <v>56.861756923242645</v>
      </c>
    </row>
    <row r="331" spans="1:9" ht="13.5" x14ac:dyDescent="0.25">
      <c r="A331" s="3">
        <f>TITRES_STAT!B334</f>
        <v>45400</v>
      </c>
      <c r="B331" s="5">
        <f>TITRES_STAT!D334</f>
        <v>5.2329999999999997</v>
      </c>
      <c r="C331" s="2">
        <f t="shared" si="45"/>
        <v>-8.0000000000000071E-2</v>
      </c>
      <c r="D331" s="2">
        <f t="shared" si="46"/>
        <v>0</v>
      </c>
      <c r="E331" s="2">
        <f t="shared" si="47"/>
        <v>8.0000000000000071E-2</v>
      </c>
      <c r="F331" s="2">
        <f t="shared" si="44"/>
        <v>9.0732634754619023E-3</v>
      </c>
      <c r="G331" s="2">
        <f t="shared" si="44"/>
        <v>1.2597728409035629E-2</v>
      </c>
      <c r="H331" s="2">
        <f t="shared" si="40"/>
        <v>0.7202301225159109</v>
      </c>
      <c r="I331" s="2">
        <f t="shared" si="41"/>
        <v>41.86824268967824</v>
      </c>
    </row>
    <row r="332" spans="1:9" ht="13.5" x14ac:dyDescent="0.25">
      <c r="A332" s="3">
        <f>TITRES_STAT!B335</f>
        <v>45401</v>
      </c>
      <c r="B332" s="5">
        <f>TITRES_STAT!D335</f>
        <v>5.2329999999999997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8.4251732272146232E-3</v>
      </c>
      <c r="G332" s="2">
        <f t="shared" si="44"/>
        <v>1.1697890665533084E-2</v>
      </c>
      <c r="H332" s="2">
        <f t="shared" si="40"/>
        <v>0.7202301225159109</v>
      </c>
      <c r="I332" s="2">
        <f t="shared" si="41"/>
        <v>41.86824268967824</v>
      </c>
    </row>
    <row r="333" spans="1:9" ht="13.5" x14ac:dyDescent="0.25">
      <c r="A333" s="3">
        <f>TITRES_STAT!B336</f>
        <v>45404</v>
      </c>
      <c r="B333" s="5">
        <f>TITRES_STAT!D336</f>
        <v>5.2329999999999997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7.8233751395564346E-3</v>
      </c>
      <c r="G333" s="2">
        <f t="shared" si="48"/>
        <v>1.0862327046566436E-2</v>
      </c>
      <c r="H333" s="2">
        <f t="shared" si="40"/>
        <v>0.72023012251591068</v>
      </c>
      <c r="I333" s="2">
        <f t="shared" si="41"/>
        <v>41.868242689678233</v>
      </c>
    </row>
    <row r="334" spans="1:9" ht="13.5" x14ac:dyDescent="0.25">
      <c r="A334" s="3">
        <f>TITRES_STAT!B337</f>
        <v>45405</v>
      </c>
      <c r="B334" s="5">
        <f>TITRES_STAT!D337</f>
        <v>5.2329999999999997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7.2645626295881182E-3</v>
      </c>
      <c r="G334" s="2">
        <f t="shared" si="48"/>
        <v>1.0086446543240261E-2</v>
      </c>
      <c r="H334" s="2">
        <f t="shared" si="40"/>
        <v>0.72023012251591079</v>
      </c>
      <c r="I334" s="2">
        <f t="shared" si="41"/>
        <v>41.868242689678233</v>
      </c>
    </row>
    <row r="335" spans="1:9" ht="13.5" x14ac:dyDescent="0.25">
      <c r="A335" s="3">
        <f>TITRES_STAT!B338</f>
        <v>45406</v>
      </c>
      <c r="B335" s="5">
        <f>TITRES_STAT!D338</f>
        <v>5.2329999999999997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6.7456652989032525E-3</v>
      </c>
      <c r="G335" s="2">
        <f t="shared" si="48"/>
        <v>9.3659860758659574E-3</v>
      </c>
      <c r="H335" s="2">
        <f t="shared" si="40"/>
        <v>0.72023012251591079</v>
      </c>
      <c r="I335" s="2">
        <f t="shared" si="41"/>
        <v>41.868242689678233</v>
      </c>
    </row>
    <row r="336" spans="1:9" ht="13.5" x14ac:dyDescent="0.25">
      <c r="A336" s="3">
        <f>TITRES_STAT!B339</f>
        <v>45407</v>
      </c>
      <c r="B336" s="5">
        <f>TITRES_STAT!D339</f>
        <v>5.1890000000000001</v>
      </c>
      <c r="C336" s="2">
        <f t="shared" si="45"/>
        <v>-4.3999999999999595E-2</v>
      </c>
      <c r="D336" s="2">
        <f t="shared" si="46"/>
        <v>0</v>
      </c>
      <c r="E336" s="2">
        <f t="shared" si="47"/>
        <v>4.3999999999999595E-2</v>
      </c>
      <c r="F336" s="2">
        <f t="shared" si="48"/>
        <v>6.2638320632673059E-3</v>
      </c>
      <c r="G336" s="2">
        <f t="shared" si="48"/>
        <v>1.1839844213304073E-2</v>
      </c>
      <c r="H336" s="2">
        <f t="shared" si="40"/>
        <v>0.52904683122678497</v>
      </c>
      <c r="I336" s="2">
        <f t="shared" si="41"/>
        <v>34.599779445755757</v>
      </c>
    </row>
    <row r="337" spans="1:9" ht="13.5" x14ac:dyDescent="0.25">
      <c r="A337" s="3">
        <f>TITRES_STAT!B340</f>
        <v>45408</v>
      </c>
      <c r="B337" s="5">
        <f>TITRES_STAT!D340</f>
        <v>5.3220000000000001</v>
      </c>
      <c r="C337" s="2">
        <f t="shared" si="45"/>
        <v>0.13300000000000001</v>
      </c>
      <c r="D337" s="2">
        <f t="shared" si="46"/>
        <v>0.13300000000000001</v>
      </c>
      <c r="E337" s="2">
        <f t="shared" si="47"/>
        <v>0</v>
      </c>
      <c r="F337" s="2">
        <f t="shared" si="48"/>
        <v>1.5316415487319641E-2</v>
      </c>
      <c r="G337" s="2">
        <f t="shared" si="48"/>
        <v>1.0994141055210923E-2</v>
      </c>
      <c r="H337" s="2">
        <f t="shared" ref="H337:H400" si="49">F337/G337</f>
        <v>1.3931434398015183</v>
      </c>
      <c r="I337" s="2">
        <f t="shared" ref="I337:I400" si="50">IF(G337=0,100,100-(100/(1+H337)))</f>
        <v>58.213954777280811</v>
      </c>
    </row>
    <row r="338" spans="1:9" ht="13.5" x14ac:dyDescent="0.25">
      <c r="A338" s="3">
        <f>TITRES_STAT!B341</f>
        <v>45411</v>
      </c>
      <c r="B338" s="5">
        <f>TITRES_STAT!D341</f>
        <v>5.3220000000000001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1.4222385809653954E-2</v>
      </c>
      <c r="G338" s="2">
        <f t="shared" si="48"/>
        <v>1.0208845265553001E-2</v>
      </c>
      <c r="H338" s="2">
        <f t="shared" si="49"/>
        <v>1.3931434398015186</v>
      </c>
      <c r="I338" s="2">
        <f t="shared" si="50"/>
        <v>58.213954777280819</v>
      </c>
    </row>
    <row r="339" spans="1:9" ht="13.5" x14ac:dyDescent="0.25">
      <c r="A339" s="3">
        <f>TITRES_STAT!B342</f>
        <v>45412</v>
      </c>
      <c r="B339" s="5">
        <f>TITRES_STAT!D342</f>
        <v>5.3220000000000001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1.3206501108964387E-2</v>
      </c>
      <c r="G339" s="2">
        <f t="shared" si="48"/>
        <v>9.4796420322992153E-3</v>
      </c>
      <c r="H339" s="2">
        <f t="shared" si="49"/>
        <v>1.3931434398015186</v>
      </c>
      <c r="I339" s="2">
        <f t="shared" si="50"/>
        <v>58.213954777280819</v>
      </c>
    </row>
    <row r="340" spans="1:9" ht="13.5" x14ac:dyDescent="0.25">
      <c r="A340" s="3">
        <f>TITRES_STAT!B343</f>
        <v>45414</v>
      </c>
      <c r="B340" s="5">
        <f>TITRES_STAT!D343</f>
        <v>5.3220000000000001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1.2263179601181217E-2</v>
      </c>
      <c r="G340" s="2">
        <f t="shared" si="48"/>
        <v>8.8025247442778433E-3</v>
      </c>
      <c r="H340" s="2">
        <f t="shared" si="49"/>
        <v>1.3931434398015186</v>
      </c>
      <c r="I340" s="2">
        <f t="shared" si="50"/>
        <v>58.213954777280819</v>
      </c>
    </row>
    <row r="341" spans="1:9" ht="13.5" x14ac:dyDescent="0.25">
      <c r="A341" s="3">
        <f>TITRES_STAT!B344</f>
        <v>45415</v>
      </c>
      <c r="B341" s="5">
        <f>TITRES_STAT!D344</f>
        <v>5.3490000000000002</v>
      </c>
      <c r="C341" s="2">
        <f t="shared" si="45"/>
        <v>2.7000000000000135E-2</v>
      </c>
      <c r="D341" s="2">
        <f t="shared" si="46"/>
        <v>2.7000000000000135E-2</v>
      </c>
      <c r="E341" s="2">
        <f t="shared" si="47"/>
        <v>0</v>
      </c>
      <c r="F341" s="2">
        <f t="shared" si="48"/>
        <v>1.3315809629668282E-2</v>
      </c>
      <c r="G341" s="2">
        <f t="shared" si="48"/>
        <v>8.1737729768294257E-3</v>
      </c>
      <c r="H341" s="2">
        <f t="shared" si="49"/>
        <v>1.6290897321732849</v>
      </c>
      <c r="I341" s="2">
        <f t="shared" si="50"/>
        <v>61.964021700645048</v>
      </c>
    </row>
    <row r="342" spans="1:9" ht="13.5" x14ac:dyDescent="0.25">
      <c r="A342" s="3">
        <f>TITRES_STAT!B345</f>
        <v>45418</v>
      </c>
      <c r="B342" s="5">
        <f>TITRES_STAT!D345</f>
        <v>5.3490000000000002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1.2364680370406262E-2</v>
      </c>
      <c r="G342" s="2">
        <f t="shared" si="48"/>
        <v>7.5899320499130379E-3</v>
      </c>
      <c r="H342" s="2">
        <f t="shared" si="49"/>
        <v>1.6290897321732849</v>
      </c>
      <c r="I342" s="2">
        <f t="shared" si="50"/>
        <v>61.964021700645048</v>
      </c>
    </row>
    <row r="343" spans="1:9" ht="13.5" x14ac:dyDescent="0.25">
      <c r="A343" s="3">
        <f>TITRES_STAT!B346</f>
        <v>45419</v>
      </c>
      <c r="B343" s="5">
        <f>TITRES_STAT!D346</f>
        <v>5.3129999999999997</v>
      </c>
      <c r="C343" s="2">
        <f t="shared" si="45"/>
        <v>-3.6000000000000476E-2</v>
      </c>
      <c r="D343" s="2">
        <f t="shared" si="46"/>
        <v>0</v>
      </c>
      <c r="E343" s="2">
        <f t="shared" si="47"/>
        <v>3.6000000000000476E-2</v>
      </c>
      <c r="F343" s="2">
        <f t="shared" si="48"/>
        <v>1.1481488915377244E-2</v>
      </c>
      <c r="G343" s="2">
        <f t="shared" si="48"/>
        <v>9.6192226177764257E-3</v>
      </c>
      <c r="H343" s="2">
        <f t="shared" si="49"/>
        <v>1.1935984197059053</v>
      </c>
      <c r="I343" s="2">
        <f t="shared" si="50"/>
        <v>54.412804503475641</v>
      </c>
    </row>
    <row r="344" spans="1:9" ht="13.5" x14ac:dyDescent="0.25">
      <c r="A344" s="3">
        <f>TITRES_STAT!B347</f>
        <v>45420</v>
      </c>
      <c r="B344" s="5">
        <f>TITRES_STAT!D347</f>
        <v>5.3129999999999997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1.0661382564278871E-2</v>
      </c>
      <c r="G344" s="2">
        <f t="shared" si="48"/>
        <v>8.9321352879352528E-3</v>
      </c>
      <c r="H344" s="2">
        <f t="shared" si="49"/>
        <v>1.1935984197059055</v>
      </c>
      <c r="I344" s="2">
        <f t="shared" si="50"/>
        <v>54.412804503475641</v>
      </c>
    </row>
    <row r="345" spans="1:9" ht="13.5" x14ac:dyDescent="0.25">
      <c r="A345" s="3">
        <f>TITRES_STAT!B348</f>
        <v>45421</v>
      </c>
      <c r="B345" s="5">
        <f>TITRES_STAT!D348</f>
        <v>5.3129999999999997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9.8998552382589516E-3</v>
      </c>
      <c r="G345" s="2">
        <f t="shared" si="48"/>
        <v>8.2941256245113067E-3</v>
      </c>
      <c r="H345" s="2">
        <f t="shared" si="49"/>
        <v>1.1935984197059055</v>
      </c>
      <c r="I345" s="2">
        <f t="shared" si="50"/>
        <v>54.412804503475641</v>
      </c>
    </row>
    <row r="346" spans="1:9" ht="13.5" x14ac:dyDescent="0.25">
      <c r="A346" s="3">
        <f>TITRES_STAT!B349</f>
        <v>45422</v>
      </c>
      <c r="B346" s="5">
        <f>TITRES_STAT!D349</f>
        <v>5.3129999999999997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9.1927227212404549E-3</v>
      </c>
      <c r="G346" s="2">
        <f t="shared" si="48"/>
        <v>7.7016880799033556E-3</v>
      </c>
      <c r="H346" s="2">
        <f t="shared" si="49"/>
        <v>1.1935984197059055</v>
      </c>
      <c r="I346" s="2">
        <f t="shared" si="50"/>
        <v>54.412804503475641</v>
      </c>
    </row>
    <row r="347" spans="1:9" ht="13.5" x14ac:dyDescent="0.25">
      <c r="A347" s="3">
        <f>TITRES_STAT!B350</f>
        <v>45425</v>
      </c>
      <c r="B347" s="5">
        <f>TITRES_STAT!D350</f>
        <v>5.3129999999999997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8.5360996697232787E-3</v>
      </c>
      <c r="G347" s="2">
        <f t="shared" si="48"/>
        <v>7.1515675027674017E-3</v>
      </c>
      <c r="H347" s="2">
        <f t="shared" si="49"/>
        <v>1.1935984197059053</v>
      </c>
      <c r="I347" s="2">
        <f t="shared" si="50"/>
        <v>54.412804503475641</v>
      </c>
    </row>
    <row r="348" spans="1:9" ht="13.5" x14ac:dyDescent="0.25">
      <c r="A348" s="3">
        <f>TITRES_STAT!B351</f>
        <v>45426</v>
      </c>
      <c r="B348" s="5">
        <f>TITRES_STAT!D351</f>
        <v>5.1980000000000004</v>
      </c>
      <c r="C348" s="2">
        <f t="shared" si="45"/>
        <v>-0.11499999999999932</v>
      </c>
      <c r="D348" s="2">
        <f t="shared" si="46"/>
        <v>0</v>
      </c>
      <c r="E348" s="2">
        <f t="shared" si="47"/>
        <v>0.11499999999999932</v>
      </c>
      <c r="F348" s="2">
        <f t="shared" si="48"/>
        <v>7.9263782647430447E-3</v>
      </c>
      <c r="G348" s="2">
        <f t="shared" si="48"/>
        <v>1.4855026966855396E-2</v>
      </c>
      <c r="H348" s="2">
        <f t="shared" si="49"/>
        <v>0.53358221983900911</v>
      </c>
      <c r="I348" s="2">
        <f t="shared" si="50"/>
        <v>34.793192887631619</v>
      </c>
    </row>
    <row r="349" spans="1:9" ht="13.5" x14ac:dyDescent="0.25">
      <c r="A349" s="3">
        <f>TITRES_STAT!B352</f>
        <v>45427</v>
      </c>
      <c r="B349" s="5">
        <f>TITRES_STAT!D352</f>
        <v>5.0999999999999996</v>
      </c>
      <c r="C349" s="2">
        <f t="shared" si="45"/>
        <v>-9.8000000000000753E-2</v>
      </c>
      <c r="D349" s="2">
        <f t="shared" si="46"/>
        <v>0</v>
      </c>
      <c r="E349" s="2">
        <f t="shared" si="47"/>
        <v>9.8000000000000753E-2</v>
      </c>
      <c r="F349" s="2">
        <f t="shared" ref="F349:G364" si="51">((F348*13)+D349)/14</f>
        <v>7.36020838868997E-3</v>
      </c>
      <c r="G349" s="2">
        <f t="shared" si="51"/>
        <v>2.0793953612080064E-2</v>
      </c>
      <c r="H349" s="2">
        <f t="shared" si="49"/>
        <v>0.3539590655051823</v>
      </c>
      <c r="I349" s="2">
        <f t="shared" si="50"/>
        <v>26.14252339845406</v>
      </c>
    </row>
    <row r="350" spans="1:9" ht="13.5" x14ac:dyDescent="0.25">
      <c r="A350" s="3">
        <f>TITRES_STAT!B353</f>
        <v>45428</v>
      </c>
      <c r="B350" s="5">
        <f>TITRES_STAT!D353</f>
        <v>5.3220000000000001</v>
      </c>
      <c r="C350" s="2">
        <f t="shared" si="45"/>
        <v>0.22200000000000042</v>
      </c>
      <c r="D350" s="2">
        <f t="shared" si="46"/>
        <v>0.22200000000000042</v>
      </c>
      <c r="E350" s="2">
        <f t="shared" si="47"/>
        <v>0</v>
      </c>
      <c r="F350" s="2">
        <f t="shared" si="51"/>
        <v>2.2691622075212144E-2</v>
      </c>
      <c r="G350" s="2">
        <f t="shared" si="51"/>
        <v>1.9308671211217203E-2</v>
      </c>
      <c r="H350" s="2">
        <f t="shared" si="49"/>
        <v>1.1752037116893701</v>
      </c>
      <c r="I350" s="2">
        <f t="shared" si="50"/>
        <v>54.027294334499331</v>
      </c>
    </row>
    <row r="351" spans="1:9" ht="13.5" x14ac:dyDescent="0.25">
      <c r="A351" s="3">
        <f>TITRES_STAT!B354</f>
        <v>45429</v>
      </c>
      <c r="B351" s="5">
        <f>TITRES_STAT!D354</f>
        <v>5.3490000000000002</v>
      </c>
      <c r="C351" s="2">
        <f t="shared" si="45"/>
        <v>2.7000000000000135E-2</v>
      </c>
      <c r="D351" s="2">
        <f t="shared" si="46"/>
        <v>2.7000000000000135E-2</v>
      </c>
      <c r="E351" s="2">
        <f t="shared" si="47"/>
        <v>0</v>
      </c>
      <c r="F351" s="2">
        <f t="shared" si="51"/>
        <v>2.2999363355554144E-2</v>
      </c>
      <c r="G351" s="2">
        <f t="shared" si="51"/>
        <v>1.7929480410415973E-2</v>
      </c>
      <c r="H351" s="2">
        <f t="shared" si="49"/>
        <v>1.2827679792769047</v>
      </c>
      <c r="I351" s="2">
        <f t="shared" si="50"/>
        <v>56.193533066958366</v>
      </c>
    </row>
    <row r="352" spans="1:9" ht="13.5" x14ac:dyDescent="0.25">
      <c r="A352" s="3">
        <f>TITRES_STAT!B355</f>
        <v>45432</v>
      </c>
      <c r="B352" s="5">
        <f>TITRES_STAT!D355</f>
        <v>5.34</v>
      </c>
      <c r="C352" s="2">
        <f t="shared" si="45"/>
        <v>-9.0000000000003411E-3</v>
      </c>
      <c r="D352" s="2">
        <f t="shared" si="46"/>
        <v>0</v>
      </c>
      <c r="E352" s="2">
        <f t="shared" si="47"/>
        <v>9.0000000000003411E-3</v>
      </c>
      <c r="F352" s="2">
        <f t="shared" si="51"/>
        <v>2.1356551687300277E-2</v>
      </c>
      <c r="G352" s="2">
        <f t="shared" si="51"/>
        <v>1.7291660381100572E-2</v>
      </c>
      <c r="H352" s="2">
        <f t="shared" si="49"/>
        <v>1.2350781368943926</v>
      </c>
      <c r="I352" s="2">
        <f t="shared" si="50"/>
        <v>55.258834870556917</v>
      </c>
    </row>
    <row r="353" spans="1:9" ht="13.5" x14ac:dyDescent="0.25">
      <c r="A353" s="3">
        <f>TITRES_STAT!B356</f>
        <v>45433</v>
      </c>
      <c r="B353" s="5">
        <f>TITRES_STAT!D356</f>
        <v>5.34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1.9831083709635971E-2</v>
      </c>
      <c r="G353" s="2">
        <f t="shared" si="51"/>
        <v>1.6056541782450532E-2</v>
      </c>
      <c r="H353" s="2">
        <f t="shared" si="49"/>
        <v>1.2350781368943924</v>
      </c>
      <c r="I353" s="2">
        <f t="shared" si="50"/>
        <v>55.258834870556917</v>
      </c>
    </row>
    <row r="354" spans="1:9" ht="13.5" x14ac:dyDescent="0.25">
      <c r="A354" s="3">
        <f>TITRES_STAT!B357</f>
        <v>45434</v>
      </c>
      <c r="B354" s="5">
        <f>TITRES_STAT!D357</f>
        <v>5.3220000000000001</v>
      </c>
      <c r="C354" s="2">
        <f t="shared" si="45"/>
        <v>-1.7999999999999794E-2</v>
      </c>
      <c r="D354" s="2">
        <f t="shared" si="46"/>
        <v>0</v>
      </c>
      <c r="E354" s="2">
        <f t="shared" si="47"/>
        <v>1.7999999999999794E-2</v>
      </c>
      <c r="F354" s="2">
        <f t="shared" si="51"/>
        <v>1.8414577730376257E-2</v>
      </c>
      <c r="G354" s="2">
        <f t="shared" si="51"/>
        <v>1.6195360226561196E-2</v>
      </c>
      <c r="H354" s="2">
        <f t="shared" si="49"/>
        <v>1.1370279804073413</v>
      </c>
      <c r="I354" s="2">
        <f t="shared" si="50"/>
        <v>53.206040858230182</v>
      </c>
    </row>
    <row r="355" spans="1:9" ht="13.5" x14ac:dyDescent="0.25">
      <c r="A355" s="3">
        <f>TITRES_STAT!B358</f>
        <v>45435</v>
      </c>
      <c r="B355" s="5">
        <f>TITRES_STAT!D358</f>
        <v>5.3220000000000001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1.7099250749635097E-2</v>
      </c>
      <c r="G355" s="2">
        <f t="shared" si="51"/>
        <v>1.5038548781806825E-2</v>
      </c>
      <c r="H355" s="2">
        <f t="shared" si="49"/>
        <v>1.1370279804073413</v>
      </c>
      <c r="I355" s="2">
        <f t="shared" si="50"/>
        <v>53.206040858230182</v>
      </c>
    </row>
    <row r="356" spans="1:9" ht="13.5" x14ac:dyDescent="0.25">
      <c r="A356" s="3">
        <f>TITRES_STAT!B359</f>
        <v>45436</v>
      </c>
      <c r="B356" s="5">
        <f>TITRES_STAT!D359</f>
        <v>5.2329999999999997</v>
      </c>
      <c r="C356" s="2">
        <f t="shared" si="45"/>
        <v>-8.9000000000000412E-2</v>
      </c>
      <c r="D356" s="2">
        <f t="shared" si="46"/>
        <v>0</v>
      </c>
      <c r="E356" s="2">
        <f t="shared" si="47"/>
        <v>8.9000000000000412E-2</v>
      </c>
      <c r="F356" s="2">
        <f t="shared" si="51"/>
        <v>1.5877875696089734E-2</v>
      </c>
      <c r="G356" s="2">
        <f t="shared" si="51"/>
        <v>2.0321509583106363E-2</v>
      </c>
      <c r="H356" s="2">
        <f t="shared" si="49"/>
        <v>0.78133347481671822</v>
      </c>
      <c r="I356" s="2">
        <f t="shared" si="50"/>
        <v>43.862279907871255</v>
      </c>
    </row>
    <row r="357" spans="1:9" ht="13.5" x14ac:dyDescent="0.25">
      <c r="A357" s="3">
        <f>TITRES_STAT!B360</f>
        <v>45439</v>
      </c>
      <c r="B357" s="5">
        <f>TITRES_STAT!D360</f>
        <v>5.2329999999999997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1.4743741717797609E-2</v>
      </c>
      <c r="G357" s="2">
        <f t="shared" si="51"/>
        <v>1.8869973184313053E-2</v>
      </c>
      <c r="H357" s="2">
        <f t="shared" si="49"/>
        <v>0.78133347481671811</v>
      </c>
      <c r="I357" s="2">
        <f t="shared" si="50"/>
        <v>43.862279907871248</v>
      </c>
    </row>
    <row r="358" spans="1:9" ht="13.5" x14ac:dyDescent="0.25">
      <c r="A358" s="3">
        <f>TITRES_STAT!B361</f>
        <v>45440</v>
      </c>
      <c r="B358" s="5">
        <f>TITRES_STAT!D361</f>
        <v>5.2329999999999997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1.3690617309383493E-2</v>
      </c>
      <c r="G358" s="2">
        <f t="shared" si="51"/>
        <v>1.7522117956862121E-2</v>
      </c>
      <c r="H358" s="2">
        <f t="shared" si="49"/>
        <v>0.781333474816718</v>
      </c>
      <c r="I358" s="2">
        <f t="shared" si="50"/>
        <v>43.862279907871248</v>
      </c>
    </row>
    <row r="359" spans="1:9" ht="13.5" x14ac:dyDescent="0.25">
      <c r="A359" s="3">
        <f>TITRES_STAT!B362</f>
        <v>45441</v>
      </c>
      <c r="B359" s="5">
        <f>TITRES_STAT!D362</f>
        <v>5.056</v>
      </c>
      <c r="C359" s="2">
        <f t="shared" si="45"/>
        <v>-0.1769999999999996</v>
      </c>
      <c r="D359" s="2">
        <f t="shared" si="46"/>
        <v>0</v>
      </c>
      <c r="E359" s="2">
        <f t="shared" si="47"/>
        <v>0.1769999999999996</v>
      </c>
      <c r="F359" s="2">
        <f t="shared" si="51"/>
        <v>1.2712716072998956E-2</v>
      </c>
      <c r="G359" s="2">
        <f t="shared" si="51"/>
        <v>2.8913395245657652E-2</v>
      </c>
      <c r="H359" s="2">
        <f t="shared" si="49"/>
        <v>0.43968257497909075</v>
      </c>
      <c r="I359" s="2">
        <f t="shared" si="50"/>
        <v>30.540244260820927</v>
      </c>
    </row>
    <row r="360" spans="1:9" ht="13.5" x14ac:dyDescent="0.25">
      <c r="A360" s="3">
        <f>TITRES_STAT!B363</f>
        <v>45442</v>
      </c>
      <c r="B360" s="5">
        <f>TITRES_STAT!D363</f>
        <v>5.1449999999999996</v>
      </c>
      <c r="C360" s="2">
        <f t="shared" si="45"/>
        <v>8.8999999999999524E-2</v>
      </c>
      <c r="D360" s="2">
        <f t="shared" si="46"/>
        <v>8.8999999999999524E-2</v>
      </c>
      <c r="E360" s="2">
        <f t="shared" si="47"/>
        <v>0</v>
      </c>
      <c r="F360" s="2">
        <f t="shared" si="51"/>
        <v>1.8161807782070428E-2</v>
      </c>
      <c r="G360" s="2">
        <f t="shared" si="51"/>
        <v>2.6848152728110676E-2</v>
      </c>
      <c r="H360" s="2">
        <f t="shared" si="49"/>
        <v>0.67646396256732289</v>
      </c>
      <c r="I360" s="2">
        <f t="shared" si="50"/>
        <v>40.350641449601554</v>
      </c>
    </row>
    <row r="361" spans="1:9" ht="13.5" x14ac:dyDescent="0.25">
      <c r="A361" s="3">
        <f>TITRES_STAT!B364</f>
        <v>45443</v>
      </c>
      <c r="B361" s="5">
        <f>TITRES_STAT!D364</f>
        <v>5.056</v>
      </c>
      <c r="C361" s="2">
        <f t="shared" si="45"/>
        <v>-8.8999999999999524E-2</v>
      </c>
      <c r="D361" s="2">
        <f t="shared" si="46"/>
        <v>0</v>
      </c>
      <c r="E361" s="2">
        <f t="shared" si="47"/>
        <v>8.8999999999999524E-2</v>
      </c>
      <c r="F361" s="2">
        <f t="shared" si="51"/>
        <v>1.6864535797636825E-2</v>
      </c>
      <c r="G361" s="2">
        <f t="shared" si="51"/>
        <v>3.1287570390388451E-2</v>
      </c>
      <c r="H361" s="2">
        <f t="shared" si="49"/>
        <v>0.53901711085938508</v>
      </c>
      <c r="I361" s="2">
        <f t="shared" si="50"/>
        <v>35.023464460274823</v>
      </c>
    </row>
    <row r="362" spans="1:9" ht="13.5" x14ac:dyDescent="0.25">
      <c r="A362" s="3">
        <f>TITRES_STAT!B365</f>
        <v>45446</v>
      </c>
      <c r="B362" s="5">
        <f>TITRES_STAT!D365</f>
        <v>5.056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1.5659926097805622E-2</v>
      </c>
      <c r="G362" s="2">
        <f t="shared" si="51"/>
        <v>2.9052743933932135E-2</v>
      </c>
      <c r="H362" s="2">
        <f t="shared" si="49"/>
        <v>0.53901711085938497</v>
      </c>
      <c r="I362" s="2">
        <f t="shared" si="50"/>
        <v>35.023464460274823</v>
      </c>
    </row>
    <row r="363" spans="1:9" ht="13.5" x14ac:dyDescent="0.25">
      <c r="A363" s="3">
        <f>TITRES_STAT!B366</f>
        <v>45447</v>
      </c>
      <c r="B363" s="5">
        <f>TITRES_STAT!D366</f>
        <v>4.9669999999999996</v>
      </c>
      <c r="C363" s="2">
        <f t="shared" si="45"/>
        <v>-8.9000000000000412E-2</v>
      </c>
      <c r="D363" s="2">
        <f t="shared" si="46"/>
        <v>0</v>
      </c>
      <c r="E363" s="2">
        <f t="shared" si="47"/>
        <v>8.9000000000000412E-2</v>
      </c>
      <c r="F363" s="2">
        <f t="shared" si="51"/>
        <v>1.4541359947962363E-2</v>
      </c>
      <c r="G363" s="2">
        <f t="shared" si="51"/>
        <v>3.333469079579416E-2</v>
      </c>
      <c r="H363" s="2">
        <f t="shared" si="49"/>
        <v>0.4362230337470851</v>
      </c>
      <c r="I363" s="2">
        <f t="shared" si="50"/>
        <v>30.37293118806106</v>
      </c>
    </row>
    <row r="364" spans="1:9" ht="13.5" x14ac:dyDescent="0.25">
      <c r="A364" s="3">
        <f>TITRES_STAT!B367</f>
        <v>45448</v>
      </c>
      <c r="B364" s="5">
        <f>TITRES_STAT!D367</f>
        <v>4.9409999999999998</v>
      </c>
      <c r="C364" s="2">
        <f t="shared" si="45"/>
        <v>-2.5999999999999801E-2</v>
      </c>
      <c r="D364" s="2">
        <f t="shared" si="46"/>
        <v>0</v>
      </c>
      <c r="E364" s="2">
        <f t="shared" si="47"/>
        <v>2.5999999999999801E-2</v>
      </c>
      <c r="F364" s="2">
        <f t="shared" si="51"/>
        <v>1.3502691380250767E-2</v>
      </c>
      <c r="G364" s="2">
        <f t="shared" si="51"/>
        <v>3.281078431038028E-2</v>
      </c>
      <c r="H364" s="2">
        <f t="shared" si="49"/>
        <v>0.41153211250664767</v>
      </c>
      <c r="I364" s="2">
        <f t="shared" si="50"/>
        <v>29.154994694087037</v>
      </c>
    </row>
    <row r="365" spans="1:9" ht="13.5" x14ac:dyDescent="0.25">
      <c r="A365" s="3">
        <f>TITRES_STAT!B368</f>
        <v>45449</v>
      </c>
      <c r="B365" s="5">
        <f>TITRES_STAT!D368</f>
        <v>4.8789999999999996</v>
      </c>
      <c r="C365" s="2">
        <f t="shared" si="45"/>
        <v>-6.2000000000000277E-2</v>
      </c>
      <c r="D365" s="2">
        <f t="shared" si="46"/>
        <v>0</v>
      </c>
      <c r="E365" s="2">
        <f t="shared" si="47"/>
        <v>6.2000000000000277E-2</v>
      </c>
      <c r="F365" s="2">
        <f t="shared" ref="F365:G380" si="52">((F364*13)+D365)/14</f>
        <v>1.2538213424518569E-2</v>
      </c>
      <c r="G365" s="2">
        <f t="shared" si="52"/>
        <v>3.4895728288210283E-2</v>
      </c>
      <c r="H365" s="2">
        <f t="shared" si="49"/>
        <v>0.3593051080912581</v>
      </c>
      <c r="I365" s="2">
        <f t="shared" si="50"/>
        <v>26.432999181162188</v>
      </c>
    </row>
    <row r="366" spans="1:9" ht="13.5" x14ac:dyDescent="0.25">
      <c r="A366" s="3">
        <f>TITRES_STAT!B369</f>
        <v>45450</v>
      </c>
      <c r="B366" s="5">
        <f>TITRES_STAT!D369</f>
        <v>5.056</v>
      </c>
      <c r="C366" s="2">
        <f t="shared" si="45"/>
        <v>0.17700000000000049</v>
      </c>
      <c r="D366" s="2">
        <f t="shared" si="46"/>
        <v>0.17700000000000049</v>
      </c>
      <c r="E366" s="2">
        <f t="shared" si="47"/>
        <v>0</v>
      </c>
      <c r="F366" s="2">
        <f t="shared" si="52"/>
        <v>2.4285483894195849E-2</v>
      </c>
      <c r="G366" s="2">
        <f t="shared" si="52"/>
        <v>3.2403176267623832E-2</v>
      </c>
      <c r="H366" s="2">
        <f t="shared" si="49"/>
        <v>0.7494784984539028</v>
      </c>
      <c r="I366" s="2">
        <f t="shared" si="50"/>
        <v>42.840109159172435</v>
      </c>
    </row>
    <row r="367" spans="1:9" ht="13.5" x14ac:dyDescent="0.25">
      <c r="A367" s="3">
        <f>TITRES_STAT!B370</f>
        <v>45453</v>
      </c>
      <c r="B367" s="5">
        <f>TITRES_STAT!D370</f>
        <v>5.1449999999999996</v>
      </c>
      <c r="C367" s="2">
        <f t="shared" si="45"/>
        <v>8.8999999999999524E-2</v>
      </c>
      <c r="D367" s="2">
        <f t="shared" si="46"/>
        <v>8.8999999999999524E-2</v>
      </c>
      <c r="E367" s="2">
        <f t="shared" si="47"/>
        <v>0</v>
      </c>
      <c r="F367" s="2">
        <f t="shared" si="52"/>
        <v>2.8907949330324683E-2</v>
      </c>
      <c r="G367" s="2">
        <f t="shared" si="52"/>
        <v>3.0088663677079273E-2</v>
      </c>
      <c r="H367" s="2">
        <f t="shared" si="49"/>
        <v>0.96075883065375134</v>
      </c>
      <c r="I367" s="2">
        <f t="shared" si="50"/>
        <v>48.999337176689778</v>
      </c>
    </row>
    <row r="368" spans="1:9" ht="13.5" x14ac:dyDescent="0.25">
      <c r="A368" s="3">
        <f>TITRES_STAT!B371</f>
        <v>45454</v>
      </c>
      <c r="B368" s="5">
        <f>TITRES_STAT!D371</f>
        <v>5.1449999999999996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2.6843095806730062E-2</v>
      </c>
      <c r="G368" s="2">
        <f t="shared" si="52"/>
        <v>2.7939473414430753E-2</v>
      </c>
      <c r="H368" s="2">
        <f t="shared" si="49"/>
        <v>0.96075883065375134</v>
      </c>
      <c r="I368" s="2">
        <f t="shared" si="50"/>
        <v>48.999337176689778</v>
      </c>
    </row>
    <row r="369" spans="1:9" ht="13.5" x14ac:dyDescent="0.25">
      <c r="A369" s="3">
        <f>TITRES_STAT!B372</f>
        <v>45455</v>
      </c>
      <c r="B369" s="5">
        <f>TITRES_STAT!D372</f>
        <v>5.1449999999999996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2.492573182053506E-2</v>
      </c>
      <c r="G369" s="2">
        <f t="shared" si="52"/>
        <v>2.5943796741971413E-2</v>
      </c>
      <c r="H369" s="2">
        <f t="shared" si="49"/>
        <v>0.96075883065375134</v>
      </c>
      <c r="I369" s="2">
        <f t="shared" si="50"/>
        <v>48.999337176689778</v>
      </c>
    </row>
    <row r="370" spans="1:9" ht="13.5" x14ac:dyDescent="0.25">
      <c r="A370" s="3">
        <f>TITRES_STAT!B373</f>
        <v>45456</v>
      </c>
      <c r="B370" s="5">
        <f>TITRES_STAT!D373</f>
        <v>5.1449999999999996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2.3145322404782558E-2</v>
      </c>
      <c r="G370" s="2">
        <f t="shared" si="52"/>
        <v>2.4090668403259168E-2</v>
      </c>
      <c r="H370" s="2">
        <f t="shared" si="49"/>
        <v>0.96075883065375156</v>
      </c>
      <c r="I370" s="2">
        <f t="shared" si="50"/>
        <v>48.999337176689785</v>
      </c>
    </row>
    <row r="371" spans="1:9" ht="13.5" x14ac:dyDescent="0.25">
      <c r="A371" s="3">
        <f>TITRES_STAT!B374</f>
        <v>45457</v>
      </c>
      <c r="B371" s="5">
        <f>TITRES_STAT!D374</f>
        <v>5.0119999999999996</v>
      </c>
      <c r="C371" s="2">
        <f t="shared" si="45"/>
        <v>-0.13300000000000001</v>
      </c>
      <c r="D371" s="2">
        <f t="shared" si="46"/>
        <v>0</v>
      </c>
      <c r="E371" s="2">
        <f t="shared" si="47"/>
        <v>0.13300000000000001</v>
      </c>
      <c r="F371" s="2">
        <f t="shared" si="52"/>
        <v>2.1492085090155232E-2</v>
      </c>
      <c r="G371" s="2">
        <f t="shared" si="52"/>
        <v>3.1869906374454943E-2</v>
      </c>
      <c r="H371" s="2">
        <f t="shared" si="49"/>
        <v>0.67436925724331698</v>
      </c>
      <c r="I371" s="2">
        <f t="shared" si="50"/>
        <v>40.276017630280613</v>
      </c>
    </row>
    <row r="372" spans="1:9" ht="13.5" x14ac:dyDescent="0.25">
      <c r="A372" s="3">
        <f>TITRES_STAT!B375</f>
        <v>45461</v>
      </c>
      <c r="B372" s="5">
        <f>TITRES_STAT!D375</f>
        <v>4.8789999999999996</v>
      </c>
      <c r="C372" s="2">
        <f t="shared" si="45"/>
        <v>-0.13300000000000001</v>
      </c>
      <c r="D372" s="2">
        <f t="shared" si="46"/>
        <v>0</v>
      </c>
      <c r="E372" s="2">
        <f t="shared" si="47"/>
        <v>0.13300000000000001</v>
      </c>
      <c r="F372" s="2">
        <f t="shared" si="52"/>
        <v>1.9956936155144146E-2</v>
      </c>
      <c r="G372" s="2">
        <f t="shared" si="52"/>
        <v>3.9093484490565308E-2</v>
      </c>
      <c r="H372" s="2">
        <f t="shared" si="49"/>
        <v>0.51049264129833416</v>
      </c>
      <c r="I372" s="2">
        <f t="shared" si="50"/>
        <v>33.796433517183075</v>
      </c>
    </row>
    <row r="373" spans="1:9" ht="13.5" x14ac:dyDescent="0.25">
      <c r="A373" s="3">
        <f>TITRES_STAT!B376</f>
        <v>45462</v>
      </c>
      <c r="B373" s="5">
        <f>TITRES_STAT!D376</f>
        <v>4.8339999999999996</v>
      </c>
      <c r="C373" s="2">
        <f t="shared" si="45"/>
        <v>-4.4999999999999929E-2</v>
      </c>
      <c r="D373" s="2">
        <f t="shared" si="46"/>
        <v>0</v>
      </c>
      <c r="E373" s="2">
        <f t="shared" si="47"/>
        <v>4.4999999999999929E-2</v>
      </c>
      <c r="F373" s="2">
        <f t="shared" si="52"/>
        <v>1.8531440715490993E-2</v>
      </c>
      <c r="G373" s="2">
        <f t="shared" si="52"/>
        <v>3.9515378455524927E-2</v>
      </c>
      <c r="H373" s="2">
        <f t="shared" si="49"/>
        <v>0.4689678155644737</v>
      </c>
      <c r="I373" s="2">
        <f t="shared" si="50"/>
        <v>31.924989138326737</v>
      </c>
    </row>
    <row r="374" spans="1:9" ht="13.5" x14ac:dyDescent="0.25">
      <c r="A374" s="3">
        <f>TITRES_STAT!B377</f>
        <v>45463</v>
      </c>
      <c r="B374" s="5">
        <f>TITRES_STAT!D377</f>
        <v>4.8170000000000002</v>
      </c>
      <c r="C374" s="2">
        <f t="shared" si="45"/>
        <v>-1.699999999999946E-2</v>
      </c>
      <c r="D374" s="2">
        <f t="shared" si="46"/>
        <v>0</v>
      </c>
      <c r="E374" s="2">
        <f t="shared" si="47"/>
        <v>1.699999999999946E-2</v>
      </c>
      <c r="F374" s="2">
        <f t="shared" si="52"/>
        <v>1.7207766378670209E-2</v>
      </c>
      <c r="G374" s="2">
        <f t="shared" si="52"/>
        <v>3.790713713727311E-2</v>
      </c>
      <c r="H374" s="2">
        <f t="shared" si="49"/>
        <v>0.4539452904701225</v>
      </c>
      <c r="I374" s="2">
        <f t="shared" si="50"/>
        <v>31.221621160404368</v>
      </c>
    </row>
    <row r="375" spans="1:9" ht="13.5" x14ac:dyDescent="0.25">
      <c r="A375" s="3">
        <f>TITRES_STAT!B378</f>
        <v>45464</v>
      </c>
      <c r="B375" s="5">
        <f>TITRES_STAT!D378</f>
        <v>5.0999999999999996</v>
      </c>
      <c r="C375" s="2">
        <f t="shared" si="45"/>
        <v>0.28299999999999947</v>
      </c>
      <c r="D375" s="2">
        <f t="shared" si="46"/>
        <v>0.28299999999999947</v>
      </c>
      <c r="E375" s="2">
        <f t="shared" si="47"/>
        <v>0</v>
      </c>
      <c r="F375" s="2">
        <f t="shared" si="52"/>
        <v>3.6192925923050866E-2</v>
      </c>
      <c r="G375" s="2">
        <f t="shared" si="52"/>
        <v>3.5199484484610744E-2</v>
      </c>
      <c r="H375" s="2">
        <f t="shared" si="49"/>
        <v>1.0282231814751279</v>
      </c>
      <c r="I375" s="2">
        <f t="shared" si="50"/>
        <v>50.695761239022062</v>
      </c>
    </row>
    <row r="376" spans="1:9" ht="13.5" x14ac:dyDescent="0.25">
      <c r="A376" s="3">
        <f>TITRES_STAT!B379</f>
        <v>45467</v>
      </c>
      <c r="B376" s="5">
        <f>TITRES_STAT!D379</f>
        <v>5.0999999999999996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3.3607716928547235E-2</v>
      </c>
      <c r="G376" s="2">
        <f t="shared" si="52"/>
        <v>3.2685235592852836E-2</v>
      </c>
      <c r="H376" s="2">
        <f t="shared" si="49"/>
        <v>1.0282231814751279</v>
      </c>
      <c r="I376" s="2">
        <f t="shared" si="50"/>
        <v>50.695761239022062</v>
      </c>
    </row>
    <row r="377" spans="1:9" ht="13.5" x14ac:dyDescent="0.25">
      <c r="A377" s="3">
        <f>TITRES_STAT!B380</f>
        <v>45468</v>
      </c>
      <c r="B377" s="5">
        <f>TITRES_STAT!D380</f>
        <v>5.0380000000000003</v>
      </c>
      <c r="C377" s="2">
        <f t="shared" si="45"/>
        <v>-6.1999999999999389E-2</v>
      </c>
      <c r="D377" s="2">
        <f t="shared" si="46"/>
        <v>0</v>
      </c>
      <c r="E377" s="2">
        <f t="shared" si="47"/>
        <v>6.1999999999999389E-2</v>
      </c>
      <c r="F377" s="2">
        <f t="shared" si="52"/>
        <v>3.1207165719365292E-2</v>
      </c>
      <c r="G377" s="2">
        <f t="shared" si="52"/>
        <v>3.4779147336220444E-2</v>
      </c>
      <c r="H377" s="2">
        <f t="shared" si="49"/>
        <v>0.89729530795209744</v>
      </c>
      <c r="I377" s="2">
        <f t="shared" si="50"/>
        <v>47.293392029763673</v>
      </c>
    </row>
    <row r="378" spans="1:9" ht="13.5" x14ac:dyDescent="0.25">
      <c r="A378" s="3">
        <f>TITRES_STAT!B381</f>
        <v>45469</v>
      </c>
      <c r="B378" s="5">
        <f>TITRES_STAT!D381</f>
        <v>4.8869999999999996</v>
      </c>
      <c r="C378" s="2">
        <f t="shared" si="45"/>
        <v>-0.15100000000000069</v>
      </c>
      <c r="D378" s="2">
        <f t="shared" si="46"/>
        <v>0</v>
      </c>
      <c r="E378" s="2">
        <f t="shared" si="47"/>
        <v>0.15100000000000069</v>
      </c>
      <c r="F378" s="2">
        <f t="shared" si="52"/>
        <v>2.8978082453696343E-2</v>
      </c>
      <c r="G378" s="2">
        <f t="shared" si="52"/>
        <v>4.3080636812204746E-2</v>
      </c>
      <c r="H378" s="2">
        <f t="shared" si="49"/>
        <v>0.67264749544015212</v>
      </c>
      <c r="I378" s="2">
        <f t="shared" si="50"/>
        <v>40.214539959786741</v>
      </c>
    </row>
    <row r="379" spans="1:9" ht="13.5" x14ac:dyDescent="0.25">
      <c r="A379" s="3">
        <f>TITRES_STAT!B382</f>
        <v>45470</v>
      </c>
      <c r="B379" s="5">
        <f>TITRES_STAT!D382</f>
        <v>4.79</v>
      </c>
      <c r="C379" s="2">
        <f t="shared" si="45"/>
        <v>-9.6999999999999531E-2</v>
      </c>
      <c r="D379" s="2">
        <f t="shared" si="46"/>
        <v>0</v>
      </c>
      <c r="E379" s="2">
        <f t="shared" si="47"/>
        <v>9.6999999999999531E-2</v>
      </c>
      <c r="F379" s="2">
        <f t="shared" si="52"/>
        <v>2.6908219421289462E-2</v>
      </c>
      <c r="G379" s="2">
        <f t="shared" si="52"/>
        <v>4.6932019897047227E-2</v>
      </c>
      <c r="H379" s="2">
        <f t="shared" si="49"/>
        <v>0.57334458393900112</v>
      </c>
      <c r="I379" s="2">
        <f t="shared" si="50"/>
        <v>36.441132463403825</v>
      </c>
    </row>
    <row r="380" spans="1:9" ht="13.5" x14ac:dyDescent="0.25">
      <c r="A380" s="3">
        <f>TITRES_STAT!B383</f>
        <v>45471</v>
      </c>
      <c r="B380" s="5">
        <f>TITRES_STAT!D383</f>
        <v>4.79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2.4986203748340215E-2</v>
      </c>
      <c r="G380" s="2">
        <f t="shared" si="52"/>
        <v>4.3579732761543852E-2</v>
      </c>
      <c r="H380" s="2">
        <f t="shared" si="49"/>
        <v>0.57334458393900112</v>
      </c>
      <c r="I380" s="2">
        <f t="shared" si="50"/>
        <v>36.441132463403825</v>
      </c>
    </row>
    <row r="381" spans="1:9" ht="13.5" x14ac:dyDescent="0.25">
      <c r="A381" s="3">
        <f>TITRES_STAT!B384</f>
        <v>45474</v>
      </c>
      <c r="B381" s="5">
        <f>TITRES_STAT!D384</f>
        <v>4.79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2.3201474909173059E-2</v>
      </c>
      <c r="G381" s="2">
        <f t="shared" si="53"/>
        <v>4.0466894707147864E-2</v>
      </c>
      <c r="H381" s="2">
        <f t="shared" si="49"/>
        <v>0.57334458393900112</v>
      </c>
      <c r="I381" s="2">
        <f t="shared" si="50"/>
        <v>36.441132463403825</v>
      </c>
    </row>
    <row r="382" spans="1:9" ht="13.5" x14ac:dyDescent="0.25">
      <c r="A382" s="3">
        <f>TITRES_STAT!B385</f>
        <v>45475</v>
      </c>
      <c r="B382" s="5">
        <f>TITRES_STAT!D385</f>
        <v>5.0469999999999997</v>
      </c>
      <c r="C382" s="2">
        <f t="shared" si="45"/>
        <v>0.25699999999999967</v>
      </c>
      <c r="D382" s="2">
        <f t="shared" si="46"/>
        <v>0.25699999999999967</v>
      </c>
      <c r="E382" s="2">
        <f t="shared" si="47"/>
        <v>0</v>
      </c>
      <c r="F382" s="2">
        <f t="shared" si="53"/>
        <v>3.9901369558517814E-2</v>
      </c>
      <c r="G382" s="2">
        <f t="shared" si="53"/>
        <v>3.7576402228065874E-2</v>
      </c>
      <c r="H382" s="2">
        <f t="shared" si="49"/>
        <v>1.0618730690698062</v>
      </c>
      <c r="I382" s="2">
        <f t="shared" si="50"/>
        <v>51.500409263740941</v>
      </c>
    </row>
    <row r="383" spans="1:9" ht="13.5" x14ac:dyDescent="0.25">
      <c r="A383" s="3">
        <f>TITRES_STAT!B386</f>
        <v>45476</v>
      </c>
      <c r="B383" s="5">
        <f>TITRES_STAT!D386</f>
        <v>5.1449999999999996</v>
      </c>
      <c r="C383" s="2">
        <f t="shared" si="45"/>
        <v>9.7999999999999865E-2</v>
      </c>
      <c r="D383" s="2">
        <f t="shared" si="46"/>
        <v>9.7999999999999865E-2</v>
      </c>
      <c r="E383" s="2">
        <f t="shared" si="47"/>
        <v>0</v>
      </c>
      <c r="F383" s="2">
        <f t="shared" si="53"/>
        <v>4.4051271732909389E-2</v>
      </c>
      <c r="G383" s="2">
        <f t="shared" si="53"/>
        <v>3.4892373497489741E-2</v>
      </c>
      <c r="H383" s="2">
        <f t="shared" si="49"/>
        <v>1.2624899746667726</v>
      </c>
      <c r="I383" s="2">
        <f t="shared" si="50"/>
        <v>55.800909122380375</v>
      </c>
    </row>
    <row r="384" spans="1:9" ht="13.5" x14ac:dyDescent="0.25">
      <c r="A384" s="3">
        <f>TITRES_STAT!B387</f>
        <v>45477</v>
      </c>
      <c r="B384" s="5">
        <f>TITRES_STAT!D387</f>
        <v>5.258</v>
      </c>
      <c r="C384" s="2">
        <f t="shared" si="45"/>
        <v>0.11300000000000043</v>
      </c>
      <c r="D384" s="2">
        <f t="shared" si="46"/>
        <v>0.11300000000000043</v>
      </c>
      <c r="E384" s="2">
        <f t="shared" si="47"/>
        <v>0</v>
      </c>
      <c r="F384" s="2">
        <f t="shared" si="53"/>
        <v>4.8976180894844464E-2</v>
      </c>
      <c r="G384" s="2">
        <f t="shared" si="53"/>
        <v>3.2400061104811903E-2</v>
      </c>
      <c r="H384" s="2">
        <f t="shared" si="49"/>
        <v>1.5116076706278418</v>
      </c>
      <c r="I384" s="2">
        <f t="shared" si="50"/>
        <v>60.18486439205595</v>
      </c>
    </row>
    <row r="385" spans="1:9" ht="13.5" x14ac:dyDescent="0.25">
      <c r="A385" s="3">
        <f>TITRES_STAT!B388</f>
        <v>45478</v>
      </c>
      <c r="B385" s="5">
        <f>TITRES_STAT!D388</f>
        <v>5.399</v>
      </c>
      <c r="C385" s="2">
        <f t="shared" si="45"/>
        <v>0.14100000000000001</v>
      </c>
      <c r="D385" s="2">
        <f t="shared" si="46"/>
        <v>0.14100000000000001</v>
      </c>
      <c r="E385" s="2">
        <f t="shared" si="47"/>
        <v>0</v>
      </c>
      <c r="F385" s="2">
        <f t="shared" si="53"/>
        <v>5.5549310830927005E-2</v>
      </c>
      <c r="G385" s="2">
        <f t="shared" si="53"/>
        <v>3.0085771025896768E-2</v>
      </c>
      <c r="H385" s="2">
        <f t="shared" si="49"/>
        <v>1.8463648740499994</v>
      </c>
      <c r="I385" s="2">
        <f t="shared" si="50"/>
        <v>64.867469764087815</v>
      </c>
    </row>
    <row r="386" spans="1:9" ht="13.5" x14ac:dyDescent="0.25">
      <c r="A386" s="3">
        <f>TITRES_STAT!B389</f>
        <v>45481</v>
      </c>
      <c r="B386" s="5">
        <f>TITRES_STAT!D389</f>
        <v>5.4459999999999997</v>
      </c>
      <c r="C386" s="2">
        <f t="shared" si="45"/>
        <v>4.6999999999999709E-2</v>
      </c>
      <c r="D386" s="2">
        <f t="shared" si="46"/>
        <v>4.6999999999999709E-2</v>
      </c>
      <c r="E386" s="2">
        <f t="shared" si="47"/>
        <v>0</v>
      </c>
      <c r="F386" s="2">
        <f t="shared" si="53"/>
        <v>5.4938645771575055E-2</v>
      </c>
      <c r="G386" s="2">
        <f t="shared" si="53"/>
        <v>2.7936787381189855E-2</v>
      </c>
      <c r="H386" s="2">
        <f t="shared" si="49"/>
        <v>1.9665341265605167</v>
      </c>
      <c r="I386" s="2">
        <f t="shared" si="50"/>
        <v>66.290628816752289</v>
      </c>
    </row>
    <row r="387" spans="1:9" ht="13.5" x14ac:dyDescent="0.25">
      <c r="A387" s="3">
        <f>TITRES_STAT!B390</f>
        <v>45482</v>
      </c>
      <c r="B387" s="5">
        <f>TITRES_STAT!D390</f>
        <v>5.4459999999999997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5.101445678789112E-2</v>
      </c>
      <c r="G387" s="2">
        <f t="shared" si="53"/>
        <v>2.5941302568247723E-2</v>
      </c>
      <c r="H387" s="2">
        <f t="shared" si="49"/>
        <v>1.9665341265605165</v>
      </c>
      <c r="I387" s="2">
        <f t="shared" si="50"/>
        <v>66.290628816752289</v>
      </c>
    </row>
    <row r="388" spans="1:9" ht="13.5" x14ac:dyDescent="0.25">
      <c r="A388" s="3">
        <f>TITRES_STAT!B391</f>
        <v>45483</v>
      </c>
      <c r="B388" s="5">
        <f>TITRES_STAT!D391</f>
        <v>5.6340000000000003</v>
      </c>
      <c r="C388" s="2">
        <f t="shared" si="54"/>
        <v>0.18800000000000061</v>
      </c>
      <c r="D388" s="2">
        <f t="shared" si="55"/>
        <v>0.18800000000000061</v>
      </c>
      <c r="E388" s="2">
        <f t="shared" si="56"/>
        <v>0</v>
      </c>
      <c r="F388" s="2">
        <f t="shared" si="53"/>
        <v>6.0799138445898945E-2</v>
      </c>
      <c r="G388" s="2">
        <f t="shared" si="53"/>
        <v>2.4088352384801455E-2</v>
      </c>
      <c r="H388" s="2">
        <f t="shared" si="49"/>
        <v>2.5240056885028035</v>
      </c>
      <c r="I388" s="2">
        <f t="shared" si="50"/>
        <v>71.623201311435551</v>
      </c>
    </row>
    <row r="389" spans="1:9" ht="13.5" x14ac:dyDescent="0.25">
      <c r="A389" s="3">
        <f>TITRES_STAT!B392</f>
        <v>45484</v>
      </c>
      <c r="B389" s="5">
        <f>TITRES_STAT!D392</f>
        <v>5.8120000000000003</v>
      </c>
      <c r="C389" s="2">
        <f t="shared" si="54"/>
        <v>0.17799999999999994</v>
      </c>
      <c r="D389" s="2">
        <f t="shared" si="55"/>
        <v>0.17799999999999994</v>
      </c>
      <c r="E389" s="2">
        <f t="shared" si="56"/>
        <v>0</v>
      </c>
      <c r="F389" s="2">
        <f t="shared" si="53"/>
        <v>6.9170628556906158E-2</v>
      </c>
      <c r="G389" s="2">
        <f t="shared" si="53"/>
        <v>2.2367755785887067E-2</v>
      </c>
      <c r="H389" s="2">
        <f t="shared" si="49"/>
        <v>3.0924259554259512</v>
      </c>
      <c r="I389" s="2">
        <f t="shared" si="50"/>
        <v>75.564615929723828</v>
      </c>
    </row>
    <row r="390" spans="1:9" ht="13.5" x14ac:dyDescent="0.25">
      <c r="A390" s="3">
        <f>TITRES_STAT!B393</f>
        <v>45485</v>
      </c>
      <c r="B390" s="5">
        <f>TITRES_STAT!D393</f>
        <v>5.8780000000000001</v>
      </c>
      <c r="C390" s="2">
        <f t="shared" si="54"/>
        <v>6.5999999999999837E-2</v>
      </c>
      <c r="D390" s="2">
        <f t="shared" si="55"/>
        <v>6.5999999999999837E-2</v>
      </c>
      <c r="E390" s="2">
        <f t="shared" si="56"/>
        <v>0</v>
      </c>
      <c r="F390" s="2">
        <f t="shared" si="53"/>
        <v>6.8944155088555711E-2</v>
      </c>
      <c r="G390" s="2">
        <f t="shared" si="53"/>
        <v>2.0770058944037991E-2</v>
      </c>
      <c r="H390" s="2">
        <f t="shared" si="49"/>
        <v>3.3194010317599996</v>
      </c>
      <c r="I390" s="2">
        <f t="shared" si="50"/>
        <v>76.848641914767143</v>
      </c>
    </row>
    <row r="391" spans="1:9" ht="13.5" x14ac:dyDescent="0.25">
      <c r="A391" s="3">
        <f>TITRES_STAT!B394</f>
        <v>45488</v>
      </c>
      <c r="B391" s="5">
        <f>TITRES_STAT!D394</f>
        <v>5.9160000000000004</v>
      </c>
      <c r="C391" s="2">
        <f t="shared" si="54"/>
        <v>3.8000000000000256E-2</v>
      </c>
      <c r="D391" s="2">
        <f t="shared" si="55"/>
        <v>3.8000000000000256E-2</v>
      </c>
      <c r="E391" s="2">
        <f t="shared" si="56"/>
        <v>0</v>
      </c>
      <c r="F391" s="2">
        <f t="shared" si="53"/>
        <v>6.6733858296516041E-2</v>
      </c>
      <c r="G391" s="2">
        <f t="shared" si="53"/>
        <v>1.9286483305178133E-2</v>
      </c>
      <c r="H391" s="2">
        <f t="shared" si="49"/>
        <v>3.4601361606757512</v>
      </c>
      <c r="I391" s="2">
        <f t="shared" si="50"/>
        <v>77.579159828867404</v>
      </c>
    </row>
    <row r="392" spans="1:9" ht="13.5" x14ac:dyDescent="0.25">
      <c r="A392" s="3">
        <f>TITRES_STAT!B395</f>
        <v>45489</v>
      </c>
      <c r="B392" s="5">
        <f>TITRES_STAT!D395</f>
        <v>5.9630000000000001</v>
      </c>
      <c r="C392" s="2">
        <f t="shared" si="54"/>
        <v>4.6999999999999709E-2</v>
      </c>
      <c r="D392" s="2">
        <f t="shared" si="55"/>
        <v>4.6999999999999709E-2</v>
      </c>
      <c r="E392" s="2">
        <f t="shared" si="56"/>
        <v>0</v>
      </c>
      <c r="F392" s="2">
        <f t="shared" si="53"/>
        <v>6.5324296989622013E-2</v>
      </c>
      <c r="G392" s="2">
        <f t="shared" si="53"/>
        <v>1.7908877354808266E-2</v>
      </c>
      <c r="H392" s="2">
        <f t="shared" si="49"/>
        <v>3.64759307328013</v>
      </c>
      <c r="I392" s="2">
        <f t="shared" si="50"/>
        <v>78.483486307155744</v>
      </c>
    </row>
    <row r="393" spans="1:9" ht="13.5" x14ac:dyDescent="0.25">
      <c r="A393" s="3">
        <f>TITRES_STAT!B396</f>
        <v>45490</v>
      </c>
      <c r="B393" s="5">
        <f>TITRES_STAT!D396</f>
        <v>5.944</v>
      </c>
      <c r="C393" s="2">
        <f t="shared" si="54"/>
        <v>-1.9000000000000128E-2</v>
      </c>
      <c r="D393" s="2">
        <f t="shared" si="55"/>
        <v>0</v>
      </c>
      <c r="E393" s="2">
        <f t="shared" si="56"/>
        <v>1.9000000000000128E-2</v>
      </c>
      <c r="F393" s="2">
        <f t="shared" si="53"/>
        <v>6.0658275776077582E-2</v>
      </c>
      <c r="G393" s="2">
        <f t="shared" si="53"/>
        <v>1.7986814686607684E-2</v>
      </c>
      <c r="H393" s="2">
        <f t="shared" si="49"/>
        <v>3.372374532842743</v>
      </c>
      <c r="I393" s="2">
        <f t="shared" si="50"/>
        <v>77.12913218004131</v>
      </c>
    </row>
    <row r="394" spans="1:9" ht="13.5" x14ac:dyDescent="0.25">
      <c r="A394" s="3">
        <f>TITRES_STAT!B397</f>
        <v>45491</v>
      </c>
      <c r="B394" s="5">
        <f>TITRES_STAT!D397</f>
        <v>5.8869999999999996</v>
      </c>
      <c r="C394" s="2">
        <f t="shared" si="54"/>
        <v>-5.7000000000000384E-2</v>
      </c>
      <c r="D394" s="2">
        <f t="shared" si="55"/>
        <v>0</v>
      </c>
      <c r="E394" s="2">
        <f t="shared" si="56"/>
        <v>5.7000000000000384E-2</v>
      </c>
      <c r="F394" s="2">
        <f t="shared" si="53"/>
        <v>5.632554179207204E-2</v>
      </c>
      <c r="G394" s="2">
        <f t="shared" si="53"/>
        <v>2.0773470780421448E-2</v>
      </c>
      <c r="H394" s="2">
        <f t="shared" si="49"/>
        <v>2.7114169985093515</v>
      </c>
      <c r="I394" s="2">
        <f t="shared" si="50"/>
        <v>73.056113058660912</v>
      </c>
    </row>
    <row r="395" spans="1:9" ht="13.5" x14ac:dyDescent="0.25">
      <c r="A395" s="3">
        <f>TITRES_STAT!B398</f>
        <v>45492</v>
      </c>
      <c r="B395" s="5">
        <f>TITRES_STAT!D398</f>
        <v>5.8869999999999996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5.2302288806924037E-2</v>
      </c>
      <c r="G395" s="2">
        <f t="shared" si="53"/>
        <v>1.9289651438962774E-2</v>
      </c>
      <c r="H395" s="2">
        <f t="shared" si="49"/>
        <v>2.7114169985093515</v>
      </c>
      <c r="I395" s="2">
        <f t="shared" si="50"/>
        <v>73.056113058660912</v>
      </c>
    </row>
    <row r="396" spans="1:9" ht="13.5" x14ac:dyDescent="0.25">
      <c r="A396" s="3">
        <f>TITRES_STAT!B399</f>
        <v>45495</v>
      </c>
      <c r="B396" s="5">
        <f>TITRES_STAT!D399</f>
        <v>5.859</v>
      </c>
      <c r="C396" s="2">
        <f t="shared" si="54"/>
        <v>-2.7999999999999581E-2</v>
      </c>
      <c r="D396" s="2">
        <f t="shared" si="55"/>
        <v>0</v>
      </c>
      <c r="E396" s="2">
        <f t="shared" si="56"/>
        <v>2.7999999999999581E-2</v>
      </c>
      <c r="F396" s="2">
        <f t="shared" si="53"/>
        <v>4.8566411035000888E-2</v>
      </c>
      <c r="G396" s="2">
        <f t="shared" si="53"/>
        <v>1.9911819193322546E-2</v>
      </c>
      <c r="H396" s="2">
        <f t="shared" si="49"/>
        <v>2.4390745297289409</v>
      </c>
      <c r="I396" s="2">
        <f t="shared" si="50"/>
        <v>70.922409754265558</v>
      </c>
    </row>
    <row r="397" spans="1:9" ht="13.5" x14ac:dyDescent="0.25">
      <c r="A397" s="3">
        <f>TITRES_STAT!B400</f>
        <v>45496</v>
      </c>
      <c r="B397" s="5">
        <f>TITRES_STAT!D400</f>
        <v>5.859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4.509738167535797E-2</v>
      </c>
      <c r="G397" s="2">
        <f t="shared" si="57"/>
        <v>1.8489546393799509E-2</v>
      </c>
      <c r="H397" s="2">
        <f t="shared" si="49"/>
        <v>2.4390745297289409</v>
      </c>
      <c r="I397" s="2">
        <f t="shared" si="50"/>
        <v>70.922409754265558</v>
      </c>
    </row>
    <row r="398" spans="1:9" ht="13.5" x14ac:dyDescent="0.25">
      <c r="A398" s="3">
        <f>TITRES_STAT!B401</f>
        <v>45497</v>
      </c>
      <c r="B398" s="5">
        <f>TITRES_STAT!D401</f>
        <v>5.9160000000000004</v>
      </c>
      <c r="C398" s="2">
        <f t="shared" si="54"/>
        <v>5.7000000000000384E-2</v>
      </c>
      <c r="D398" s="2">
        <f t="shared" si="55"/>
        <v>5.7000000000000384E-2</v>
      </c>
      <c r="E398" s="2">
        <f t="shared" si="56"/>
        <v>0</v>
      </c>
      <c r="F398" s="2">
        <f t="shared" si="57"/>
        <v>4.5947568698546715E-2</v>
      </c>
      <c r="G398" s="2">
        <f t="shared" si="57"/>
        <v>1.7168864508528118E-2</v>
      </c>
      <c r="H398" s="2">
        <f t="shared" si="49"/>
        <v>2.6762147651479014</v>
      </c>
      <c r="I398" s="2">
        <f t="shared" si="50"/>
        <v>72.798107186760944</v>
      </c>
    </row>
    <row r="399" spans="1:9" ht="13.5" x14ac:dyDescent="0.25">
      <c r="A399" s="3">
        <f>TITRES_STAT!B402</f>
        <v>45499</v>
      </c>
      <c r="B399" s="5">
        <f>TITRES_STAT!D402</f>
        <v>5.8970000000000002</v>
      </c>
      <c r="C399" s="2">
        <f t="shared" si="54"/>
        <v>-1.9000000000000128E-2</v>
      </c>
      <c r="D399" s="2">
        <f t="shared" si="55"/>
        <v>0</v>
      </c>
      <c r="E399" s="2">
        <f t="shared" si="56"/>
        <v>1.9000000000000128E-2</v>
      </c>
      <c r="F399" s="2">
        <f t="shared" si="57"/>
        <v>4.2665599505793371E-2</v>
      </c>
      <c r="G399" s="2">
        <f t="shared" si="57"/>
        <v>1.7299659900776119E-2</v>
      </c>
      <c r="H399" s="2">
        <f t="shared" si="49"/>
        <v>2.4662681087666498</v>
      </c>
      <c r="I399" s="2">
        <f t="shared" si="50"/>
        <v>71.150529369875699</v>
      </c>
    </row>
    <row r="400" spans="1:9" ht="13.5" x14ac:dyDescent="0.25">
      <c r="A400" s="3">
        <f>TITRES_STAT!B403</f>
        <v>45502</v>
      </c>
      <c r="B400" s="5">
        <f>TITRES_STAT!D403</f>
        <v>5.8970000000000002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3.9618056683950985E-2</v>
      </c>
      <c r="G400" s="2">
        <f t="shared" si="57"/>
        <v>1.6063969907863539E-2</v>
      </c>
      <c r="H400" s="2">
        <f t="shared" si="49"/>
        <v>2.4662681087666498</v>
      </c>
      <c r="I400" s="2">
        <f t="shared" si="50"/>
        <v>71.150529369875699</v>
      </c>
    </row>
    <row r="401" spans="1:9" ht="13.5" x14ac:dyDescent="0.25">
      <c r="A401" s="3">
        <f>TITRES_STAT!B404</f>
        <v>45503</v>
      </c>
      <c r="B401" s="5">
        <f>TITRES_STAT!D404</f>
        <v>5.8220000000000001</v>
      </c>
      <c r="C401" s="2">
        <f t="shared" si="54"/>
        <v>-7.5000000000000178E-2</v>
      </c>
      <c r="D401" s="2">
        <f t="shared" si="55"/>
        <v>0</v>
      </c>
      <c r="E401" s="2">
        <f t="shared" si="56"/>
        <v>7.5000000000000178E-2</v>
      </c>
      <c r="F401" s="2">
        <f t="shared" si="57"/>
        <v>3.6788195492240203E-2</v>
      </c>
      <c r="G401" s="2">
        <f t="shared" si="57"/>
        <v>2.0273686343016156E-2</v>
      </c>
      <c r="H401" s="2">
        <f t="shared" ref="H401:H464" si="58">F401/G401</f>
        <v>1.8145785068295157</v>
      </c>
      <c r="I401" s="2">
        <f t="shared" ref="I401:I464" si="59">IF(G401=0,100,100-(100/(1+H401)))</f>
        <v>64.470701471871507</v>
      </c>
    </row>
    <row r="402" spans="1:9" ht="13.5" x14ac:dyDescent="0.25">
      <c r="A402" s="3">
        <f>TITRES_STAT!B405</f>
        <v>45504</v>
      </c>
      <c r="B402" s="5">
        <f>TITRES_STAT!D405</f>
        <v>5.9160000000000004</v>
      </c>
      <c r="C402" s="2">
        <f t="shared" si="54"/>
        <v>9.4000000000000306E-2</v>
      </c>
      <c r="D402" s="2">
        <f t="shared" si="55"/>
        <v>9.4000000000000306E-2</v>
      </c>
      <c r="E402" s="2">
        <f t="shared" si="56"/>
        <v>0</v>
      </c>
      <c r="F402" s="2">
        <f t="shared" si="57"/>
        <v>4.0874752957080207E-2</v>
      </c>
      <c r="G402" s="2">
        <f t="shared" si="57"/>
        <v>1.8825565889943576E-2</v>
      </c>
      <c r="H402" s="2">
        <f t="shared" si="58"/>
        <v>2.1712363493367857</v>
      </c>
      <c r="I402" s="2">
        <f t="shared" si="59"/>
        <v>68.466557208543151</v>
      </c>
    </row>
    <row r="403" spans="1:9" ht="13.5" x14ac:dyDescent="0.25">
      <c r="A403" s="3">
        <f>TITRES_STAT!B406</f>
        <v>45505</v>
      </c>
      <c r="B403" s="5">
        <f>TITRES_STAT!D406</f>
        <v>5.9160000000000004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3.7955127745860191E-2</v>
      </c>
      <c r="G403" s="2">
        <f t="shared" si="57"/>
        <v>1.7480882612090461E-2</v>
      </c>
      <c r="H403" s="2">
        <f t="shared" si="58"/>
        <v>2.1712363493367861</v>
      </c>
      <c r="I403" s="2">
        <f t="shared" si="59"/>
        <v>68.466557208543151</v>
      </c>
    </row>
    <row r="404" spans="1:9" ht="13.5" x14ac:dyDescent="0.25">
      <c r="A404" s="3">
        <f>TITRES_STAT!B407</f>
        <v>45506</v>
      </c>
      <c r="B404" s="5">
        <f>TITRES_STAT!D407</f>
        <v>5.8970000000000002</v>
      </c>
      <c r="C404" s="2">
        <f t="shared" si="54"/>
        <v>-1.9000000000000128E-2</v>
      </c>
      <c r="D404" s="2">
        <f t="shared" si="55"/>
        <v>0</v>
      </c>
      <c r="E404" s="2">
        <f t="shared" si="56"/>
        <v>1.9000000000000128E-2</v>
      </c>
      <c r="F404" s="2">
        <f t="shared" si="57"/>
        <v>3.5244047192584463E-2</v>
      </c>
      <c r="G404" s="2">
        <f t="shared" si="57"/>
        <v>1.7589390996941151E-2</v>
      </c>
      <c r="H404" s="2">
        <f t="shared" si="58"/>
        <v>2.0037104865491653</v>
      </c>
      <c r="I404" s="2">
        <f t="shared" si="59"/>
        <v>66.70784336646048</v>
      </c>
    </row>
    <row r="405" spans="1:9" ht="13.5" x14ac:dyDescent="0.25">
      <c r="A405" s="3">
        <f>TITRES_STAT!B408</f>
        <v>45509</v>
      </c>
      <c r="B405" s="5">
        <f>TITRES_STAT!D408</f>
        <v>5.8780000000000001</v>
      </c>
      <c r="C405" s="2">
        <f t="shared" si="54"/>
        <v>-1.9000000000000128E-2</v>
      </c>
      <c r="D405" s="2">
        <f t="shared" si="55"/>
        <v>0</v>
      </c>
      <c r="E405" s="2">
        <f t="shared" si="56"/>
        <v>1.9000000000000128E-2</v>
      </c>
      <c r="F405" s="2">
        <f t="shared" si="57"/>
        <v>3.2726615250257003E-2</v>
      </c>
      <c r="G405" s="2">
        <f t="shared" si="57"/>
        <v>1.7690148782873935E-2</v>
      </c>
      <c r="H405" s="2">
        <f t="shared" si="58"/>
        <v>1.8499909555277494</v>
      </c>
      <c r="I405" s="2">
        <f t="shared" si="59"/>
        <v>64.912169350557662</v>
      </c>
    </row>
    <row r="406" spans="1:9" ht="13.5" x14ac:dyDescent="0.25">
      <c r="A406" s="3">
        <f>TITRES_STAT!B409</f>
        <v>45510</v>
      </c>
      <c r="B406" s="5">
        <f>TITRES_STAT!D409</f>
        <v>5.8120000000000003</v>
      </c>
      <c r="C406" s="2">
        <f t="shared" si="54"/>
        <v>-6.5999999999999837E-2</v>
      </c>
      <c r="D406" s="2">
        <f t="shared" si="55"/>
        <v>0</v>
      </c>
      <c r="E406" s="2">
        <f t="shared" si="56"/>
        <v>6.5999999999999837E-2</v>
      </c>
      <c r="F406" s="2">
        <f t="shared" si="57"/>
        <v>3.0388999875238649E-2</v>
      </c>
      <c r="G406" s="2">
        <f t="shared" si="57"/>
        <v>2.114085244124007E-2</v>
      </c>
      <c r="H406" s="2">
        <f t="shared" si="58"/>
        <v>1.4374538566835626</v>
      </c>
      <c r="I406" s="2">
        <f t="shared" si="59"/>
        <v>58.973582320010955</v>
      </c>
    </row>
    <row r="407" spans="1:9" ht="13.5" x14ac:dyDescent="0.25">
      <c r="A407" s="3">
        <f>TITRES_STAT!B410</f>
        <v>45511</v>
      </c>
      <c r="B407" s="5">
        <f>TITRES_STAT!D410</f>
        <v>5.8120000000000003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2.8218357027007316E-2</v>
      </c>
      <c r="G407" s="2">
        <f t="shared" si="57"/>
        <v>1.9630791552580067E-2</v>
      </c>
      <c r="H407" s="2">
        <f t="shared" si="58"/>
        <v>1.4374538566835624</v>
      </c>
      <c r="I407" s="2">
        <f t="shared" si="59"/>
        <v>58.973582320010948</v>
      </c>
    </row>
    <row r="408" spans="1:9" ht="13.5" x14ac:dyDescent="0.25">
      <c r="A408" s="3">
        <f>TITRES_STAT!B411</f>
        <v>45512</v>
      </c>
      <c r="B408" s="5">
        <f>TITRES_STAT!D411</f>
        <v>5.8120000000000003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2.6202760096506794E-2</v>
      </c>
      <c r="G408" s="2">
        <f t="shared" si="57"/>
        <v>1.8228592155967203E-2</v>
      </c>
      <c r="H408" s="2">
        <f t="shared" si="58"/>
        <v>1.4374538566835626</v>
      </c>
      <c r="I408" s="2">
        <f t="shared" si="59"/>
        <v>58.973582320010955</v>
      </c>
    </row>
    <row r="409" spans="1:9" ht="13.5" x14ac:dyDescent="0.25">
      <c r="A409" s="3">
        <f>TITRES_STAT!B412</f>
        <v>45513</v>
      </c>
      <c r="B409" s="5">
        <f>TITRES_STAT!D412</f>
        <v>5.8120000000000003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2.4331134375327738E-2</v>
      </c>
      <c r="G409" s="2">
        <f t="shared" si="57"/>
        <v>1.6926549859112402E-2</v>
      </c>
      <c r="H409" s="2">
        <f t="shared" si="58"/>
        <v>1.4374538566835628</v>
      </c>
      <c r="I409" s="2">
        <f t="shared" si="59"/>
        <v>58.973582320010955</v>
      </c>
    </row>
    <row r="410" spans="1:9" ht="13.5" x14ac:dyDescent="0.25">
      <c r="A410" s="3">
        <f>TITRES_STAT!B413</f>
        <v>45516</v>
      </c>
      <c r="B410" s="5">
        <f>TITRES_STAT!D413</f>
        <v>5.7839999999999998</v>
      </c>
      <c r="C410" s="2">
        <f t="shared" si="54"/>
        <v>-2.8000000000000469E-2</v>
      </c>
      <c r="D410" s="2">
        <f t="shared" si="55"/>
        <v>0</v>
      </c>
      <c r="E410" s="2">
        <f t="shared" si="56"/>
        <v>2.8000000000000469E-2</v>
      </c>
      <c r="F410" s="2">
        <f t="shared" si="57"/>
        <v>2.259319620566147E-2</v>
      </c>
      <c r="G410" s="2">
        <f t="shared" si="57"/>
        <v>1.7717510583461549E-2</v>
      </c>
      <c r="H410" s="2">
        <f t="shared" si="58"/>
        <v>1.2751902192597611</v>
      </c>
      <c r="I410" s="2">
        <f t="shared" si="59"/>
        <v>56.047631027292624</v>
      </c>
    </row>
    <row r="411" spans="1:9" ht="13.5" x14ac:dyDescent="0.25">
      <c r="A411" s="3">
        <f>TITRES_STAT!B414</f>
        <v>45518</v>
      </c>
      <c r="B411" s="5">
        <f>TITRES_STAT!D414</f>
        <v>5.7279999999999998</v>
      </c>
      <c r="C411" s="2">
        <f t="shared" si="54"/>
        <v>-5.600000000000005E-2</v>
      </c>
      <c r="D411" s="2">
        <f t="shared" si="55"/>
        <v>0</v>
      </c>
      <c r="E411" s="2">
        <f t="shared" si="56"/>
        <v>5.600000000000005E-2</v>
      </c>
      <c r="F411" s="2">
        <f t="shared" si="57"/>
        <v>2.097939647668565E-2</v>
      </c>
      <c r="G411" s="2">
        <f t="shared" si="57"/>
        <v>2.04519741132143E-2</v>
      </c>
      <c r="H411" s="2">
        <f t="shared" si="58"/>
        <v>1.0257883351774133</v>
      </c>
      <c r="I411" s="2">
        <f t="shared" si="59"/>
        <v>50.636501225957417</v>
      </c>
    </row>
    <row r="412" spans="1:9" ht="13.5" x14ac:dyDescent="0.25">
      <c r="A412" s="3">
        <f>TITRES_STAT!B415</f>
        <v>45519</v>
      </c>
      <c r="B412" s="5">
        <f>TITRES_STAT!D415</f>
        <v>5.718</v>
      </c>
      <c r="C412" s="2">
        <f t="shared" si="54"/>
        <v>-9.9999999999997868E-3</v>
      </c>
      <c r="D412" s="2">
        <f t="shared" si="55"/>
        <v>0</v>
      </c>
      <c r="E412" s="2">
        <f t="shared" si="56"/>
        <v>9.9999999999997868E-3</v>
      </c>
      <c r="F412" s="2">
        <f t="shared" si="57"/>
        <v>1.9480868156922387E-2</v>
      </c>
      <c r="G412" s="2">
        <f t="shared" si="57"/>
        <v>1.970540453369898E-2</v>
      </c>
      <c r="H412" s="2">
        <f t="shared" si="58"/>
        <v>0.98860534040838366</v>
      </c>
      <c r="I412" s="2">
        <f t="shared" si="59"/>
        <v>49.713501232243594</v>
      </c>
    </row>
    <row r="413" spans="1:9" ht="13.5" x14ac:dyDescent="0.25">
      <c r="A413" s="3">
        <f>TITRES_STAT!B416</f>
        <v>45520</v>
      </c>
      <c r="B413" s="5">
        <f>TITRES_STAT!D416</f>
        <v>5.718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1.8089377574285075E-2</v>
      </c>
      <c r="G413" s="2">
        <f t="shared" si="60"/>
        <v>1.8297875638434768E-2</v>
      </c>
      <c r="H413" s="2">
        <f t="shared" si="58"/>
        <v>0.98860534040838366</v>
      </c>
      <c r="I413" s="2">
        <f t="shared" si="59"/>
        <v>49.713501232243594</v>
      </c>
    </row>
    <row r="414" spans="1:9" ht="13.5" x14ac:dyDescent="0.25">
      <c r="A414" s="3">
        <f>TITRES_STAT!B417</f>
        <v>45523</v>
      </c>
      <c r="B414" s="5">
        <f>TITRES_STAT!D417</f>
        <v>5.718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1.6797279176121855E-2</v>
      </c>
      <c r="G414" s="2">
        <f t="shared" si="60"/>
        <v>1.6990884521403713E-2</v>
      </c>
      <c r="H414" s="2">
        <f t="shared" si="58"/>
        <v>0.98860534040838366</v>
      </c>
      <c r="I414" s="2">
        <f t="shared" si="59"/>
        <v>49.713501232243594</v>
      </c>
    </row>
    <row r="415" spans="1:9" ht="13.5" x14ac:dyDescent="0.25">
      <c r="A415" s="3">
        <f>TITRES_STAT!B418</f>
        <v>45524</v>
      </c>
      <c r="B415" s="5">
        <f>TITRES_STAT!D418</f>
        <v>5.718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1.5597473520684579E-2</v>
      </c>
      <c r="G415" s="2">
        <f t="shared" si="60"/>
        <v>1.5777249912732019E-2</v>
      </c>
      <c r="H415" s="2">
        <f t="shared" si="58"/>
        <v>0.98860534040838366</v>
      </c>
      <c r="I415" s="2">
        <f t="shared" si="59"/>
        <v>49.713501232243594</v>
      </c>
    </row>
    <row r="416" spans="1:9" ht="13.5" x14ac:dyDescent="0.25">
      <c r="A416" s="3">
        <f>TITRES_STAT!B419</f>
        <v>45525</v>
      </c>
      <c r="B416" s="5">
        <f>TITRES_STAT!D419</f>
        <v>5.6340000000000003</v>
      </c>
      <c r="C416" s="2">
        <f t="shared" si="54"/>
        <v>-8.3999999999999631E-2</v>
      </c>
      <c r="D416" s="2">
        <f t="shared" si="55"/>
        <v>0</v>
      </c>
      <c r="E416" s="2">
        <f t="shared" si="56"/>
        <v>8.3999999999999631E-2</v>
      </c>
      <c r="F416" s="2">
        <f t="shared" si="60"/>
        <v>1.448336826920711E-2</v>
      </c>
      <c r="G416" s="2">
        <f t="shared" si="60"/>
        <v>2.0650303490393991E-2</v>
      </c>
      <c r="H416" s="2">
        <f t="shared" si="58"/>
        <v>0.70136345821476243</v>
      </c>
      <c r="I416" s="2">
        <f t="shared" si="59"/>
        <v>41.223611264738324</v>
      </c>
    </row>
    <row r="417" spans="1:9" ht="13.5" x14ac:dyDescent="0.25">
      <c r="A417" s="3">
        <f>TITRES_STAT!B420</f>
        <v>45526</v>
      </c>
      <c r="B417" s="5">
        <f>TITRES_STAT!D420</f>
        <v>5.6340000000000003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1.3448841964263745E-2</v>
      </c>
      <c r="G417" s="2">
        <f t="shared" si="60"/>
        <v>1.9175281812508709E-2</v>
      </c>
      <c r="H417" s="2">
        <f t="shared" si="58"/>
        <v>0.70136345821476243</v>
      </c>
      <c r="I417" s="2">
        <f t="shared" si="59"/>
        <v>41.223611264738324</v>
      </c>
    </row>
    <row r="418" spans="1:9" ht="13.5" x14ac:dyDescent="0.25">
      <c r="A418" s="3">
        <f>TITRES_STAT!B421</f>
        <v>45527</v>
      </c>
      <c r="B418" s="5">
        <f>TITRES_STAT!D421</f>
        <v>5.6340000000000003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1.2488210395387764E-2</v>
      </c>
      <c r="G418" s="2">
        <f t="shared" si="60"/>
        <v>1.7805618825900944E-2</v>
      </c>
      <c r="H418" s="2">
        <f t="shared" si="58"/>
        <v>0.70136345821476243</v>
      </c>
      <c r="I418" s="2">
        <f t="shared" si="59"/>
        <v>41.223611264738324</v>
      </c>
    </row>
    <row r="419" spans="1:9" ht="13.5" x14ac:dyDescent="0.25">
      <c r="A419" s="3">
        <f>TITRES_STAT!B422</f>
        <v>45530</v>
      </c>
      <c r="B419" s="5">
        <f>TITRES_STAT!D422</f>
        <v>5.6340000000000003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1.1596195367145781E-2</v>
      </c>
      <c r="G419" s="2">
        <f t="shared" si="60"/>
        <v>1.6533788909765163E-2</v>
      </c>
      <c r="H419" s="2">
        <f t="shared" si="58"/>
        <v>0.70136345821476243</v>
      </c>
      <c r="I419" s="2">
        <f t="shared" si="59"/>
        <v>41.223611264738324</v>
      </c>
    </row>
    <row r="420" spans="1:9" ht="13.5" x14ac:dyDescent="0.25">
      <c r="A420" s="3">
        <f>TITRES_STAT!B423</f>
        <v>45531</v>
      </c>
      <c r="B420" s="5">
        <f>TITRES_STAT!D423</f>
        <v>5.625</v>
      </c>
      <c r="C420" s="2">
        <f t="shared" si="54"/>
        <v>-9.0000000000003411E-3</v>
      </c>
      <c r="D420" s="2">
        <f t="shared" si="55"/>
        <v>0</v>
      </c>
      <c r="E420" s="2">
        <f t="shared" si="56"/>
        <v>9.0000000000003411E-3</v>
      </c>
      <c r="F420" s="2">
        <f t="shared" si="60"/>
        <v>1.076789569806394E-2</v>
      </c>
      <c r="G420" s="2">
        <f t="shared" si="60"/>
        <v>1.5995661130496247E-2</v>
      </c>
      <c r="H420" s="2">
        <f t="shared" si="58"/>
        <v>0.67317603256389302</v>
      </c>
      <c r="I420" s="2">
        <f t="shared" si="59"/>
        <v>40.233425501102303</v>
      </c>
    </row>
    <row r="421" spans="1:9" ht="13.5" x14ac:dyDescent="0.25">
      <c r="A421" s="3">
        <f>TITRES_STAT!B424</f>
        <v>45532</v>
      </c>
      <c r="B421" s="5">
        <f>TITRES_STAT!D424</f>
        <v>5.6340000000000003</v>
      </c>
      <c r="C421" s="2">
        <f t="shared" si="54"/>
        <v>9.0000000000003411E-3</v>
      </c>
      <c r="D421" s="2">
        <f t="shared" si="55"/>
        <v>9.0000000000003411E-3</v>
      </c>
      <c r="E421" s="2">
        <f t="shared" si="56"/>
        <v>0</v>
      </c>
      <c r="F421" s="2">
        <f t="shared" si="60"/>
        <v>1.0641617433916539E-2</v>
      </c>
      <c r="G421" s="2">
        <f t="shared" si="60"/>
        <v>1.4853113906889372E-2</v>
      </c>
      <c r="H421" s="2">
        <f t="shared" si="58"/>
        <v>0.7164570002375461</v>
      </c>
      <c r="I421" s="2">
        <f t="shared" si="59"/>
        <v>41.740457240606275</v>
      </c>
    </row>
    <row r="422" spans="1:9" ht="13.5" x14ac:dyDescent="0.25">
      <c r="A422" s="3">
        <f>TITRES_STAT!B425</f>
        <v>45533</v>
      </c>
      <c r="B422" s="5">
        <f>TITRES_STAT!D425</f>
        <v>5.6340000000000003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9.8815019029224998E-3</v>
      </c>
      <c r="G422" s="2">
        <f t="shared" si="60"/>
        <v>1.3792177199254418E-2</v>
      </c>
      <c r="H422" s="2">
        <f t="shared" si="58"/>
        <v>0.7164570002375461</v>
      </c>
      <c r="I422" s="2">
        <f t="shared" si="59"/>
        <v>41.740457240606275</v>
      </c>
    </row>
    <row r="423" spans="1:9" ht="13.5" x14ac:dyDescent="0.25">
      <c r="A423" s="3">
        <f>TITRES_STAT!B426</f>
        <v>45534</v>
      </c>
      <c r="B423" s="5">
        <f>TITRES_STAT!D426</f>
        <v>5.681</v>
      </c>
      <c r="C423" s="2">
        <f t="shared" si="54"/>
        <v>4.6999999999999709E-2</v>
      </c>
      <c r="D423" s="2">
        <f t="shared" si="55"/>
        <v>4.6999999999999709E-2</v>
      </c>
      <c r="E423" s="2">
        <f t="shared" si="56"/>
        <v>0</v>
      </c>
      <c r="F423" s="2">
        <f t="shared" si="60"/>
        <v>1.2532823195570872E-2</v>
      </c>
      <c r="G423" s="2">
        <f t="shared" si="60"/>
        <v>1.2807021685021959E-2</v>
      </c>
      <c r="H423" s="2">
        <f t="shared" si="58"/>
        <v>0.97858998788361795</v>
      </c>
      <c r="I423" s="2">
        <f t="shared" si="59"/>
        <v>49.458957837462748</v>
      </c>
    </row>
    <row r="424" spans="1:9" ht="13.5" x14ac:dyDescent="0.25">
      <c r="A424" s="3">
        <f>TITRES_STAT!B427</f>
        <v>45537</v>
      </c>
      <c r="B424" s="5">
        <f>TITRES_STAT!D427</f>
        <v>5.6340000000000003</v>
      </c>
      <c r="C424" s="2">
        <f t="shared" si="54"/>
        <v>-4.6999999999999709E-2</v>
      </c>
      <c r="D424" s="2">
        <f t="shared" si="55"/>
        <v>0</v>
      </c>
      <c r="E424" s="2">
        <f t="shared" si="56"/>
        <v>4.6999999999999709E-2</v>
      </c>
      <c r="F424" s="2">
        <f t="shared" si="60"/>
        <v>1.1637621538744381E-2</v>
      </c>
      <c r="G424" s="2">
        <f t="shared" si="60"/>
        <v>1.5249377278948942E-2</v>
      </c>
      <c r="H424" s="2">
        <f t="shared" si="58"/>
        <v>0.7631538866055585</v>
      </c>
      <c r="I424" s="2">
        <f t="shared" si="59"/>
        <v>43.283453157613486</v>
      </c>
    </row>
    <row r="425" spans="1:9" ht="13.5" x14ac:dyDescent="0.25">
      <c r="A425" s="3">
        <f>TITRES_STAT!B428</f>
        <v>45538</v>
      </c>
      <c r="B425" s="5">
        <f>TITRES_STAT!D428</f>
        <v>5.6619999999999999</v>
      </c>
      <c r="C425" s="2">
        <f t="shared" si="54"/>
        <v>2.7999999999999581E-2</v>
      </c>
      <c r="D425" s="2">
        <f t="shared" si="55"/>
        <v>2.7999999999999581E-2</v>
      </c>
      <c r="E425" s="2">
        <f t="shared" si="56"/>
        <v>0</v>
      </c>
      <c r="F425" s="2">
        <f t="shared" si="60"/>
        <v>1.2806362857405468E-2</v>
      </c>
      <c r="G425" s="2">
        <f t="shared" si="60"/>
        <v>1.4160136044738302E-2</v>
      </c>
      <c r="H425" s="2">
        <f t="shared" si="58"/>
        <v>0.9043954674548571</v>
      </c>
      <c r="I425" s="2">
        <f t="shared" si="59"/>
        <v>47.489898128330609</v>
      </c>
    </row>
    <row r="426" spans="1:9" ht="13.5" x14ac:dyDescent="0.25">
      <c r="A426" s="3">
        <f>TITRES_STAT!B429</f>
        <v>45539</v>
      </c>
      <c r="B426" s="5">
        <f>TITRES_STAT!D429</f>
        <v>5.6340000000000003</v>
      </c>
      <c r="C426" s="2">
        <f t="shared" si="54"/>
        <v>-2.7999999999999581E-2</v>
      </c>
      <c r="D426" s="2">
        <f t="shared" si="55"/>
        <v>0</v>
      </c>
      <c r="E426" s="2">
        <f t="shared" si="56"/>
        <v>2.7999999999999581E-2</v>
      </c>
      <c r="F426" s="2">
        <f t="shared" si="60"/>
        <v>1.1891622653305078E-2</v>
      </c>
      <c r="G426" s="2">
        <f t="shared" si="60"/>
        <v>1.5148697755828392E-2</v>
      </c>
      <c r="H426" s="2">
        <f t="shared" si="58"/>
        <v>0.78499306309876238</v>
      </c>
      <c r="I426" s="2">
        <f t="shared" si="59"/>
        <v>43.977373320208201</v>
      </c>
    </row>
    <row r="427" spans="1:9" ht="13.5" x14ac:dyDescent="0.25">
      <c r="A427" s="3">
        <f>TITRES_STAT!B430</f>
        <v>45540</v>
      </c>
      <c r="B427" s="5">
        <f>TITRES_STAT!D430</f>
        <v>5.6340000000000003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1.1042221035211857E-2</v>
      </c>
      <c r="G427" s="2">
        <f t="shared" si="60"/>
        <v>1.4066647916126366E-2</v>
      </c>
      <c r="H427" s="2">
        <f t="shared" si="58"/>
        <v>0.78499306309876227</v>
      </c>
      <c r="I427" s="2">
        <f t="shared" si="59"/>
        <v>43.977373320208201</v>
      </c>
    </row>
    <row r="428" spans="1:9" ht="13.5" x14ac:dyDescent="0.25">
      <c r="A428" s="3">
        <f>TITRES_STAT!B431</f>
        <v>45541</v>
      </c>
      <c r="B428" s="5">
        <f>TITRES_STAT!D431</f>
        <v>5.6340000000000003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1.0253490961268152E-2</v>
      </c>
      <c r="G428" s="2">
        <f t="shared" si="60"/>
        <v>1.3061887350688767E-2</v>
      </c>
      <c r="H428" s="2">
        <f t="shared" si="58"/>
        <v>0.78499306309876227</v>
      </c>
      <c r="I428" s="2">
        <f t="shared" si="59"/>
        <v>43.977373320208201</v>
      </c>
    </row>
    <row r="429" spans="1:9" ht="13.5" x14ac:dyDescent="0.25">
      <c r="A429" s="3">
        <f>TITRES_STAT!B432</f>
        <v>45544</v>
      </c>
      <c r="B429" s="5">
        <f>TITRES_STAT!D432</f>
        <v>5.6150000000000002</v>
      </c>
      <c r="C429" s="2">
        <f t="shared" si="54"/>
        <v>-1.9000000000000128E-2</v>
      </c>
      <c r="D429" s="2">
        <f t="shared" si="55"/>
        <v>0</v>
      </c>
      <c r="E429" s="2">
        <f t="shared" si="56"/>
        <v>1.9000000000000128E-2</v>
      </c>
      <c r="F429" s="2">
        <f t="shared" ref="F429:G444" si="61">((F428*13)+D429)/14</f>
        <v>9.5210987497489994E-3</v>
      </c>
      <c r="G429" s="2">
        <f t="shared" si="61"/>
        <v>1.3486038254211007E-2</v>
      </c>
      <c r="H429" s="2">
        <f t="shared" si="58"/>
        <v>0.70599671825608545</v>
      </c>
      <c r="I429" s="2">
        <f t="shared" si="59"/>
        <v>41.383240114188133</v>
      </c>
    </row>
    <row r="430" spans="1:9" ht="13.5" x14ac:dyDescent="0.25">
      <c r="A430" s="3">
        <f>TITRES_STAT!B433</f>
        <v>45545</v>
      </c>
      <c r="B430" s="5">
        <f>TITRES_STAT!D433</f>
        <v>5.6150000000000002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8.8410202676240703E-3</v>
      </c>
      <c r="G430" s="2">
        <f t="shared" si="61"/>
        <v>1.2522749807481649E-2</v>
      </c>
      <c r="H430" s="2">
        <f t="shared" si="58"/>
        <v>0.70599671825608545</v>
      </c>
      <c r="I430" s="2">
        <f t="shared" si="59"/>
        <v>41.383240114188133</v>
      </c>
    </row>
    <row r="431" spans="1:9" ht="13.5" x14ac:dyDescent="0.25">
      <c r="A431" s="3">
        <f>TITRES_STAT!B434</f>
        <v>45546</v>
      </c>
      <c r="B431" s="5">
        <f>TITRES_STAT!D434</f>
        <v>5.6150000000000002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8.2095188199366367E-3</v>
      </c>
      <c r="G431" s="2">
        <f t="shared" si="61"/>
        <v>1.1628267678375817E-2</v>
      </c>
      <c r="H431" s="2">
        <f t="shared" si="58"/>
        <v>0.70599671825608545</v>
      </c>
      <c r="I431" s="2">
        <f t="shared" si="59"/>
        <v>41.383240114188133</v>
      </c>
    </row>
    <row r="432" spans="1:9" ht="13.5" x14ac:dyDescent="0.25">
      <c r="A432" s="3">
        <f>TITRES_STAT!B435</f>
        <v>45547</v>
      </c>
      <c r="B432" s="5">
        <f>TITRES_STAT!D435</f>
        <v>5.6150000000000002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7.6231246185125912E-3</v>
      </c>
      <c r="G432" s="2">
        <f t="shared" si="61"/>
        <v>1.0797677129920401E-2</v>
      </c>
      <c r="H432" s="2">
        <f t="shared" si="58"/>
        <v>0.70599671825608545</v>
      </c>
      <c r="I432" s="2">
        <f t="shared" si="59"/>
        <v>41.383240114188133</v>
      </c>
    </row>
    <row r="433" spans="1:9" ht="13.5" x14ac:dyDescent="0.25">
      <c r="A433" s="3">
        <f>TITRES_STAT!B436</f>
        <v>45548</v>
      </c>
      <c r="B433" s="5">
        <f>TITRES_STAT!D436</f>
        <v>5.6340000000000003</v>
      </c>
      <c r="C433" s="2">
        <f t="shared" si="54"/>
        <v>1.9000000000000128E-2</v>
      </c>
      <c r="D433" s="2">
        <f t="shared" si="55"/>
        <v>1.9000000000000128E-2</v>
      </c>
      <c r="E433" s="2">
        <f t="shared" si="56"/>
        <v>0</v>
      </c>
      <c r="F433" s="2">
        <f t="shared" si="61"/>
        <v>8.4357585743331295E-3</v>
      </c>
      <c r="G433" s="2">
        <f t="shared" si="61"/>
        <v>1.0026414477783229E-2</v>
      </c>
      <c r="H433" s="2">
        <f t="shared" si="58"/>
        <v>0.8413534661892631</v>
      </c>
      <c r="I433" s="2">
        <f t="shared" si="59"/>
        <v>45.692121672351675</v>
      </c>
    </row>
    <row r="434" spans="1:9" ht="13.5" x14ac:dyDescent="0.25">
      <c r="A434" s="3">
        <f>TITRES_STAT!B437</f>
        <v>45551</v>
      </c>
      <c r="B434" s="5">
        <f>TITRES_STAT!D437</f>
        <v>5.6340000000000003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7.8332043904521913E-3</v>
      </c>
      <c r="G434" s="2">
        <f t="shared" si="61"/>
        <v>9.3102420150844266E-3</v>
      </c>
      <c r="H434" s="2">
        <f t="shared" si="58"/>
        <v>0.84135346618926299</v>
      </c>
      <c r="I434" s="2">
        <f t="shared" si="59"/>
        <v>45.692121672351675</v>
      </c>
    </row>
    <row r="435" spans="1:9" ht="13.5" x14ac:dyDescent="0.25">
      <c r="A435" s="3">
        <f>TITRES_STAT!B438</f>
        <v>45552</v>
      </c>
      <c r="B435" s="5">
        <f>TITRES_STAT!D438</f>
        <v>5.6340000000000003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7.273689791134178E-3</v>
      </c>
      <c r="G435" s="2">
        <f t="shared" si="61"/>
        <v>8.6452247282926813E-3</v>
      </c>
      <c r="H435" s="2">
        <f t="shared" si="58"/>
        <v>0.8413534661892631</v>
      </c>
      <c r="I435" s="2">
        <f t="shared" si="59"/>
        <v>45.692121672351675</v>
      </c>
    </row>
    <row r="436" spans="1:9" ht="13.5" x14ac:dyDescent="0.25">
      <c r="A436" s="3">
        <f>TITRES_STAT!B439</f>
        <v>45553</v>
      </c>
      <c r="B436" s="5">
        <f>TITRES_STAT!D439</f>
        <v>5.6340000000000003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6.7541405203388801E-3</v>
      </c>
      <c r="G436" s="2">
        <f t="shared" si="61"/>
        <v>8.0277086762717744E-3</v>
      </c>
      <c r="H436" s="2">
        <f t="shared" si="58"/>
        <v>0.84135346618926332</v>
      </c>
      <c r="I436" s="2">
        <f t="shared" si="59"/>
        <v>45.692121672351689</v>
      </c>
    </row>
    <row r="437" spans="1:9" ht="13.5" x14ac:dyDescent="0.25">
      <c r="A437" s="3">
        <f>TITRES_STAT!B440</f>
        <v>45554</v>
      </c>
      <c r="B437" s="5">
        <f>TITRES_STAT!D440</f>
        <v>5.7279999999999998</v>
      </c>
      <c r="C437" s="2">
        <f t="shared" si="54"/>
        <v>9.3999999999999417E-2</v>
      </c>
      <c r="D437" s="2">
        <f t="shared" si="55"/>
        <v>9.3999999999999417E-2</v>
      </c>
      <c r="E437" s="2">
        <f t="shared" si="56"/>
        <v>0</v>
      </c>
      <c r="F437" s="2">
        <f t="shared" si="61"/>
        <v>1.2985987626028919E-2</v>
      </c>
      <c r="G437" s="2">
        <f t="shared" si="61"/>
        <v>7.4543009136809335E-3</v>
      </c>
      <c r="H437" s="2">
        <f t="shared" si="58"/>
        <v>1.742079877966241</v>
      </c>
      <c r="I437" s="2">
        <f t="shared" si="59"/>
        <v>63.53133225492742</v>
      </c>
    </row>
    <row r="438" spans="1:9" ht="13.5" x14ac:dyDescent="0.25">
      <c r="A438" s="3">
        <f>TITRES_STAT!B441</f>
        <v>45555</v>
      </c>
      <c r="B438" s="5">
        <f>TITRES_STAT!D441</f>
        <v>5.7649999999999997</v>
      </c>
      <c r="C438" s="2">
        <f t="shared" si="54"/>
        <v>3.6999999999999922E-2</v>
      </c>
      <c r="D438" s="2">
        <f t="shared" si="55"/>
        <v>3.6999999999999922E-2</v>
      </c>
      <c r="E438" s="2">
        <f t="shared" si="56"/>
        <v>0</v>
      </c>
      <c r="F438" s="2">
        <f t="shared" si="61"/>
        <v>1.4701274224169706E-2</v>
      </c>
      <c r="G438" s="2">
        <f t="shared" si="61"/>
        <v>6.9218508484180097E-3</v>
      </c>
      <c r="H438" s="2">
        <f t="shared" si="58"/>
        <v>2.1238935287849614</v>
      </c>
      <c r="I438" s="2">
        <f t="shared" si="59"/>
        <v>67.988665721621118</v>
      </c>
    </row>
    <row r="439" spans="1:9" ht="13.5" x14ac:dyDescent="0.25">
      <c r="A439" s="3">
        <f>TITRES_STAT!B442</f>
        <v>45558</v>
      </c>
      <c r="B439" s="5">
        <f>TITRES_STAT!D442</f>
        <v>5.7750000000000004</v>
      </c>
      <c r="C439" s="2">
        <f t="shared" si="54"/>
        <v>1.0000000000000675E-2</v>
      </c>
      <c r="D439" s="2">
        <f t="shared" si="55"/>
        <v>1.0000000000000675E-2</v>
      </c>
      <c r="E439" s="2">
        <f t="shared" si="56"/>
        <v>0</v>
      </c>
      <c r="F439" s="2">
        <f t="shared" si="61"/>
        <v>1.4365468922443347E-2</v>
      </c>
      <c r="G439" s="2">
        <f t="shared" si="61"/>
        <v>6.4274329306738664E-3</v>
      </c>
      <c r="H439" s="2">
        <f t="shared" si="58"/>
        <v>2.235024321123058</v>
      </c>
      <c r="I439" s="2">
        <f t="shared" si="59"/>
        <v>69.088331315764449</v>
      </c>
    </row>
    <row r="440" spans="1:9" ht="13.5" x14ac:dyDescent="0.25">
      <c r="A440" s="3">
        <f>TITRES_STAT!B443</f>
        <v>45559</v>
      </c>
      <c r="B440" s="5">
        <f>TITRES_STAT!D443</f>
        <v>5.7750000000000004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1.333936399941168E-2</v>
      </c>
      <c r="G440" s="2">
        <f t="shared" si="61"/>
        <v>5.9683305784828753E-3</v>
      </c>
      <c r="H440" s="2">
        <f t="shared" si="58"/>
        <v>2.2350243211230585</v>
      </c>
      <c r="I440" s="2">
        <f t="shared" si="59"/>
        <v>69.088331315764464</v>
      </c>
    </row>
    <row r="441" spans="1:9" ht="13.5" x14ac:dyDescent="0.25">
      <c r="A441" s="3">
        <f>TITRES_STAT!B444</f>
        <v>45560</v>
      </c>
      <c r="B441" s="5">
        <f>TITRES_STAT!D444</f>
        <v>5.7649999999999997</v>
      </c>
      <c r="C441" s="2">
        <f t="shared" si="54"/>
        <v>-1.0000000000000675E-2</v>
      </c>
      <c r="D441" s="2">
        <f t="shared" si="55"/>
        <v>0</v>
      </c>
      <c r="E441" s="2">
        <f t="shared" si="56"/>
        <v>1.0000000000000675E-2</v>
      </c>
      <c r="F441" s="2">
        <f t="shared" si="61"/>
        <v>1.238655228516799E-2</v>
      </c>
      <c r="G441" s="2">
        <f t="shared" si="61"/>
        <v>6.2563069657341468E-3</v>
      </c>
      <c r="H441" s="2">
        <f t="shared" si="58"/>
        <v>1.9798504697754211</v>
      </c>
      <c r="I441" s="2">
        <f t="shared" si="59"/>
        <v>66.441269112561685</v>
      </c>
    </row>
    <row r="442" spans="1:9" ht="13.5" x14ac:dyDescent="0.25">
      <c r="A442" s="3">
        <f>TITRES_STAT!B445</f>
        <v>45561</v>
      </c>
      <c r="B442" s="5">
        <f>TITRES_STAT!D445</f>
        <v>5.7750000000000004</v>
      </c>
      <c r="C442" s="2">
        <f t="shared" si="54"/>
        <v>1.0000000000000675E-2</v>
      </c>
      <c r="D442" s="2">
        <f t="shared" si="55"/>
        <v>1.0000000000000675E-2</v>
      </c>
      <c r="E442" s="2">
        <f t="shared" si="56"/>
        <v>0</v>
      </c>
      <c r="F442" s="2">
        <f t="shared" si="61"/>
        <v>1.2216084264798897E-2</v>
      </c>
      <c r="G442" s="2">
        <f t="shared" si="61"/>
        <v>5.809427896753136E-3</v>
      </c>
      <c r="H442" s="2">
        <f t="shared" si="58"/>
        <v>2.1028033193468865</v>
      </c>
      <c r="I442" s="2">
        <f t="shared" si="59"/>
        <v>67.771079985485784</v>
      </c>
    </row>
    <row r="443" spans="1:9" ht="13.5" x14ac:dyDescent="0.25">
      <c r="A443" s="3">
        <f>TITRES_STAT!B446</f>
        <v>45562</v>
      </c>
      <c r="B443" s="5">
        <f>TITRES_STAT!D446</f>
        <v>5.8220000000000001</v>
      </c>
      <c r="C443" s="2">
        <f t="shared" si="54"/>
        <v>4.6999999999999709E-2</v>
      </c>
      <c r="D443" s="2">
        <f t="shared" si="55"/>
        <v>4.6999999999999709E-2</v>
      </c>
      <c r="E443" s="2">
        <f t="shared" si="56"/>
        <v>0</v>
      </c>
      <c r="F443" s="2">
        <f t="shared" si="61"/>
        <v>1.4700649674456098E-2</v>
      </c>
      <c r="G443" s="2">
        <f t="shared" si="61"/>
        <v>5.394468761270769E-3</v>
      </c>
      <c r="H443" s="2">
        <f t="shared" si="58"/>
        <v>2.7251338964085656</v>
      </c>
      <c r="I443" s="2">
        <f t="shared" si="59"/>
        <v>73.155327357115709</v>
      </c>
    </row>
    <row r="444" spans="1:9" ht="13.5" x14ac:dyDescent="0.25">
      <c r="A444" s="3">
        <f>TITRES_STAT!B447</f>
        <v>45565</v>
      </c>
      <c r="B444" s="5">
        <f>TITRES_STAT!D447</f>
        <v>5.8220000000000001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1.3650603269137807E-2</v>
      </c>
      <c r="G444" s="2">
        <f t="shared" si="61"/>
        <v>5.0091495640371426E-3</v>
      </c>
      <c r="H444" s="2">
        <f t="shared" si="58"/>
        <v>2.7251338964085656</v>
      </c>
      <c r="I444" s="2">
        <f t="shared" si="59"/>
        <v>73.155327357115709</v>
      </c>
    </row>
    <row r="445" spans="1:9" ht="13.5" x14ac:dyDescent="0.25">
      <c r="A445" s="3">
        <f>TITRES_STAT!B448</f>
        <v>45566</v>
      </c>
      <c r="B445" s="5">
        <f>TITRES_STAT!D448</f>
        <v>5.8220000000000001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1.2675560178485106E-2</v>
      </c>
      <c r="G445" s="2">
        <f t="shared" si="62"/>
        <v>4.6513531666059187E-3</v>
      </c>
      <c r="H445" s="2">
        <f t="shared" si="58"/>
        <v>2.7251338964085652</v>
      </c>
      <c r="I445" s="2">
        <f t="shared" si="59"/>
        <v>73.155327357115709</v>
      </c>
    </row>
    <row r="446" spans="1:9" ht="13.5" x14ac:dyDescent="0.25">
      <c r="A446" s="3">
        <f>TITRES_STAT!B449</f>
        <v>45567</v>
      </c>
      <c r="B446" s="5">
        <f>TITRES_STAT!D449</f>
        <v>5.8120000000000003</v>
      </c>
      <c r="C446" s="2">
        <f t="shared" si="54"/>
        <v>-9.9999999999997868E-3</v>
      </c>
      <c r="D446" s="2">
        <f t="shared" si="55"/>
        <v>0</v>
      </c>
      <c r="E446" s="2">
        <f t="shared" si="56"/>
        <v>9.9999999999997868E-3</v>
      </c>
      <c r="F446" s="2">
        <f t="shared" si="62"/>
        <v>1.1770163022879027E-2</v>
      </c>
      <c r="G446" s="2">
        <f t="shared" si="62"/>
        <v>5.0333993689911944E-3</v>
      </c>
      <c r="H446" s="2">
        <f t="shared" si="58"/>
        <v>2.3384123054869042</v>
      </c>
      <c r="I446" s="2">
        <f t="shared" si="59"/>
        <v>70.045641206257443</v>
      </c>
    </row>
    <row r="447" spans="1:9" ht="13.5" x14ac:dyDescent="0.25">
      <c r="A447" s="3">
        <f>TITRES_STAT!B450</f>
        <v>45568</v>
      </c>
      <c r="B447" s="5">
        <f>TITRES_STAT!D450</f>
        <v>5.7750000000000004</v>
      </c>
      <c r="C447" s="2">
        <f t="shared" si="54"/>
        <v>-3.6999999999999922E-2</v>
      </c>
      <c r="D447" s="2">
        <f t="shared" si="55"/>
        <v>0</v>
      </c>
      <c r="E447" s="2">
        <f t="shared" si="56"/>
        <v>3.6999999999999922E-2</v>
      </c>
      <c r="F447" s="2">
        <f t="shared" si="62"/>
        <v>1.0929437092673383E-2</v>
      </c>
      <c r="G447" s="2">
        <f t="shared" si="62"/>
        <v>7.3167279854918178E-3</v>
      </c>
      <c r="H447" s="2">
        <f t="shared" si="58"/>
        <v>1.493760204608553</v>
      </c>
      <c r="I447" s="2">
        <f t="shared" si="59"/>
        <v>59.899913465939257</v>
      </c>
    </row>
    <row r="448" spans="1:9" ht="13.5" x14ac:dyDescent="0.25">
      <c r="A448" s="3">
        <f>TITRES_STAT!B451</f>
        <v>45569</v>
      </c>
      <c r="B448" s="5">
        <f>TITRES_STAT!D451</f>
        <v>5.7750000000000004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1.0148763014625284E-2</v>
      </c>
      <c r="G448" s="2">
        <f t="shared" si="62"/>
        <v>6.7941045579566883E-3</v>
      </c>
      <c r="H448" s="2">
        <f t="shared" si="58"/>
        <v>1.4937602046085527</v>
      </c>
      <c r="I448" s="2">
        <f t="shared" si="59"/>
        <v>59.89991346593925</v>
      </c>
    </row>
    <row r="449" spans="1:9" ht="13.5" x14ac:dyDescent="0.25">
      <c r="A449" s="3">
        <f>TITRES_STAT!B452</f>
        <v>45572</v>
      </c>
      <c r="B449" s="5">
        <f>TITRES_STAT!D452</f>
        <v>5.8220000000000001</v>
      </c>
      <c r="C449" s="2">
        <f t="shared" si="54"/>
        <v>4.6999999999999709E-2</v>
      </c>
      <c r="D449" s="2">
        <f t="shared" si="55"/>
        <v>4.6999999999999709E-2</v>
      </c>
      <c r="E449" s="2">
        <f t="shared" si="56"/>
        <v>0</v>
      </c>
      <c r="F449" s="2">
        <f t="shared" si="62"/>
        <v>1.2780994227866313E-2</v>
      </c>
      <c r="G449" s="2">
        <f t="shared" si="62"/>
        <v>6.3088113752454962E-3</v>
      </c>
      <c r="H449" s="2">
        <f t="shared" si="58"/>
        <v>2.0258957619205984</v>
      </c>
      <c r="I449" s="2">
        <f t="shared" si="59"/>
        <v>66.951934941563252</v>
      </c>
    </row>
    <row r="450" spans="1:9" ht="13.5" x14ac:dyDescent="0.25">
      <c r="A450" s="3">
        <f>TITRES_STAT!B453</f>
        <v>45573</v>
      </c>
      <c r="B450" s="5">
        <f>TITRES_STAT!D453</f>
        <v>5.6619999999999999</v>
      </c>
      <c r="C450" s="2">
        <f t="shared" si="54"/>
        <v>-0.16000000000000014</v>
      </c>
      <c r="D450" s="2">
        <f t="shared" si="55"/>
        <v>0</v>
      </c>
      <c r="E450" s="2">
        <f t="shared" si="56"/>
        <v>0.16000000000000014</v>
      </c>
      <c r="F450" s="2">
        <f t="shared" si="62"/>
        <v>1.1868066068733005E-2</v>
      </c>
      <c r="G450" s="2">
        <f t="shared" si="62"/>
        <v>1.7286753419870828E-2</v>
      </c>
      <c r="H450" s="2">
        <f t="shared" si="58"/>
        <v>0.68654106300208262</v>
      </c>
      <c r="I450" s="2">
        <f t="shared" si="59"/>
        <v>40.707046988824779</v>
      </c>
    </row>
    <row r="451" spans="1:9" ht="13.5" x14ac:dyDescent="0.25">
      <c r="A451" s="3">
        <f>TITRES_STAT!B454</f>
        <v>45574</v>
      </c>
      <c r="B451" s="5">
        <f>TITRES_STAT!D454</f>
        <v>5.7750000000000004</v>
      </c>
      <c r="C451" s="2">
        <f t="shared" ref="C451:C514" si="63">B451-B450</f>
        <v>0.11300000000000043</v>
      </c>
      <c r="D451" s="2">
        <f t="shared" ref="D451:D514" si="64">IF(C451&gt;0,C451,0)</f>
        <v>0.11300000000000043</v>
      </c>
      <c r="E451" s="2">
        <f t="shared" ref="E451:E514" si="65">IF(C451&lt;0,-C451,0)</f>
        <v>0</v>
      </c>
      <c r="F451" s="2">
        <f t="shared" si="62"/>
        <v>1.9091775635252106E-2</v>
      </c>
      <c r="G451" s="2">
        <f t="shared" si="62"/>
        <v>1.6051985318451482E-2</v>
      </c>
      <c r="H451" s="2">
        <f t="shared" si="58"/>
        <v>1.189371610831617</v>
      </c>
      <c r="I451" s="2">
        <f t="shared" si="59"/>
        <v>54.324793696390479</v>
      </c>
    </row>
    <row r="452" spans="1:9" ht="13.5" x14ac:dyDescent="0.25">
      <c r="A452" s="3">
        <f>TITRES_STAT!B455</f>
        <v>45575</v>
      </c>
      <c r="B452" s="5">
        <f>TITRES_STAT!D455</f>
        <v>5.7750000000000004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1.772807737559124E-2</v>
      </c>
      <c r="G452" s="2">
        <f t="shared" si="62"/>
        <v>1.4905414938562091E-2</v>
      </c>
      <c r="H452" s="2">
        <f t="shared" si="58"/>
        <v>1.1893716108316168</v>
      </c>
      <c r="I452" s="2">
        <f t="shared" si="59"/>
        <v>54.324793696390479</v>
      </c>
    </row>
    <row r="453" spans="1:9" ht="13.5" x14ac:dyDescent="0.25">
      <c r="A453" s="3">
        <f>TITRES_STAT!B456</f>
        <v>45576</v>
      </c>
      <c r="B453" s="5">
        <f>TITRES_STAT!D456</f>
        <v>5.85</v>
      </c>
      <c r="C453" s="2">
        <f t="shared" si="63"/>
        <v>7.4999999999999289E-2</v>
      </c>
      <c r="D453" s="2">
        <f t="shared" si="64"/>
        <v>7.4999999999999289E-2</v>
      </c>
      <c r="E453" s="2">
        <f t="shared" si="65"/>
        <v>0</v>
      </c>
      <c r="F453" s="2">
        <f t="shared" si="62"/>
        <v>2.1818928991620388E-2</v>
      </c>
      <c r="G453" s="2">
        <f t="shared" si="62"/>
        <v>1.3840742442950513E-2</v>
      </c>
      <c r="H453" s="2">
        <f t="shared" si="58"/>
        <v>1.5764276433547388</v>
      </c>
      <c r="I453" s="2">
        <f t="shared" si="59"/>
        <v>61.186567665532785</v>
      </c>
    </row>
    <row r="454" spans="1:9" ht="13.5" x14ac:dyDescent="0.25">
      <c r="A454" s="3">
        <f>TITRES_STAT!B457</f>
        <v>45579</v>
      </c>
      <c r="B454" s="5">
        <f>TITRES_STAT!D457</f>
        <v>5.7089999999999996</v>
      </c>
      <c r="C454" s="2">
        <f t="shared" si="63"/>
        <v>-0.14100000000000001</v>
      </c>
      <c r="D454" s="2">
        <f t="shared" si="64"/>
        <v>0</v>
      </c>
      <c r="E454" s="2">
        <f t="shared" si="65"/>
        <v>0.14100000000000001</v>
      </c>
      <c r="F454" s="2">
        <f t="shared" si="62"/>
        <v>2.0260434063647501E-2</v>
      </c>
      <c r="G454" s="2">
        <f t="shared" si="62"/>
        <v>2.2923546554168336E-2</v>
      </c>
      <c r="H454" s="2">
        <f t="shared" si="58"/>
        <v>0.8838263318362235</v>
      </c>
      <c r="I454" s="2">
        <f t="shared" si="59"/>
        <v>46.916550474943769</v>
      </c>
    </row>
    <row r="455" spans="1:9" ht="13.5" x14ac:dyDescent="0.25">
      <c r="A455" s="3">
        <f>TITRES_STAT!B458</f>
        <v>45581</v>
      </c>
      <c r="B455" s="5">
        <f>TITRES_STAT!D458</f>
        <v>5.7750000000000004</v>
      </c>
      <c r="C455" s="2">
        <f t="shared" si="63"/>
        <v>6.6000000000000725E-2</v>
      </c>
      <c r="D455" s="2">
        <f t="shared" si="64"/>
        <v>6.6000000000000725E-2</v>
      </c>
      <c r="E455" s="2">
        <f t="shared" si="65"/>
        <v>0</v>
      </c>
      <c r="F455" s="2">
        <f t="shared" si="62"/>
        <v>2.3527545916244157E-2</v>
      </c>
      <c r="G455" s="2">
        <f t="shared" si="62"/>
        <v>2.1286150371727739E-2</v>
      </c>
      <c r="H455" s="2">
        <f t="shared" si="58"/>
        <v>1.1052983045489257</v>
      </c>
      <c r="I455" s="2">
        <f t="shared" si="59"/>
        <v>52.50079298314656</v>
      </c>
    </row>
    <row r="456" spans="1:9" ht="13.5" x14ac:dyDescent="0.25">
      <c r="A456" s="3">
        <f>TITRES_STAT!B459</f>
        <v>45582</v>
      </c>
      <c r="B456" s="5">
        <f>TITRES_STAT!D459</f>
        <v>5.7750000000000004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2.1847006922226717E-2</v>
      </c>
      <c r="G456" s="2">
        <f t="shared" si="62"/>
        <v>1.9765711059461472E-2</v>
      </c>
      <c r="H456" s="2">
        <f t="shared" si="58"/>
        <v>1.1052983045489257</v>
      </c>
      <c r="I456" s="2">
        <f t="shared" si="59"/>
        <v>52.50079298314656</v>
      </c>
    </row>
    <row r="457" spans="1:9" ht="13.5" x14ac:dyDescent="0.25">
      <c r="A457" s="3">
        <f>TITRES_STAT!B460</f>
        <v>45583</v>
      </c>
      <c r="B457" s="5">
        <f>TITRES_STAT!D460</f>
        <v>5.85</v>
      </c>
      <c r="C457" s="2">
        <f t="shared" si="63"/>
        <v>7.4999999999999289E-2</v>
      </c>
      <c r="D457" s="2">
        <f t="shared" si="64"/>
        <v>7.4999999999999289E-2</v>
      </c>
      <c r="E457" s="2">
        <f t="shared" si="65"/>
        <v>0</v>
      </c>
      <c r="F457" s="2">
        <f t="shared" si="62"/>
        <v>2.5643649284924758E-2</v>
      </c>
      <c r="G457" s="2">
        <f t="shared" si="62"/>
        <v>1.8353874555214224E-2</v>
      </c>
      <c r="H457" s="2">
        <f t="shared" si="58"/>
        <v>1.3971790647135895</v>
      </c>
      <c r="I457" s="2">
        <f t="shared" si="59"/>
        <v>58.28430113044233</v>
      </c>
    </row>
    <row r="458" spans="1:9" ht="13.5" x14ac:dyDescent="0.25">
      <c r="A458" s="3">
        <f>TITRES_STAT!B461</f>
        <v>45586</v>
      </c>
      <c r="B458" s="5">
        <f>TITRES_STAT!D461</f>
        <v>5.8120000000000003</v>
      </c>
      <c r="C458" s="2">
        <f t="shared" si="63"/>
        <v>-3.7999999999999368E-2</v>
      </c>
      <c r="D458" s="2">
        <f t="shared" si="64"/>
        <v>0</v>
      </c>
      <c r="E458" s="2">
        <f t="shared" si="65"/>
        <v>3.7999999999999368E-2</v>
      </c>
      <c r="F458" s="2">
        <f t="shared" si="62"/>
        <v>2.3811960050287274E-2</v>
      </c>
      <c r="G458" s="2">
        <f t="shared" si="62"/>
        <v>1.9757169229841737E-2</v>
      </c>
      <c r="H458" s="2">
        <f t="shared" si="58"/>
        <v>1.2052313655501354</v>
      </c>
      <c r="I458" s="2">
        <f t="shared" si="59"/>
        <v>54.653284203105301</v>
      </c>
    </row>
    <row r="459" spans="1:9" ht="13.5" x14ac:dyDescent="0.25">
      <c r="A459" s="3">
        <f>TITRES_STAT!B462</f>
        <v>45587</v>
      </c>
      <c r="B459" s="5">
        <f>TITRES_STAT!D462</f>
        <v>5.8220000000000001</v>
      </c>
      <c r="C459" s="2">
        <f t="shared" si="63"/>
        <v>9.9999999999997868E-3</v>
      </c>
      <c r="D459" s="2">
        <f t="shared" si="64"/>
        <v>9.9999999999997868E-3</v>
      </c>
      <c r="E459" s="2">
        <f t="shared" si="65"/>
        <v>0</v>
      </c>
      <c r="F459" s="2">
        <f t="shared" si="62"/>
        <v>2.282539147526674E-2</v>
      </c>
      <c r="G459" s="2">
        <f t="shared" si="62"/>
        <v>1.8345942856281612E-2</v>
      </c>
      <c r="H459" s="2">
        <f t="shared" si="58"/>
        <v>1.2441656258321645</v>
      </c>
      <c r="I459" s="2">
        <f t="shared" si="59"/>
        <v>55.44000903992157</v>
      </c>
    </row>
    <row r="460" spans="1:9" ht="13.5" x14ac:dyDescent="0.25">
      <c r="A460" s="3">
        <f>TITRES_STAT!B463</f>
        <v>45588</v>
      </c>
      <c r="B460" s="5">
        <f>TITRES_STAT!D463</f>
        <v>5.7750000000000004</v>
      </c>
      <c r="C460" s="2">
        <f t="shared" si="63"/>
        <v>-4.6999999999999709E-2</v>
      </c>
      <c r="D460" s="2">
        <f t="shared" si="64"/>
        <v>0</v>
      </c>
      <c r="E460" s="2">
        <f t="shared" si="65"/>
        <v>4.6999999999999709E-2</v>
      </c>
      <c r="F460" s="2">
        <f t="shared" si="62"/>
        <v>2.1195006369890544E-2</v>
      </c>
      <c r="G460" s="2">
        <f t="shared" si="62"/>
        <v>2.0392661223690045E-2</v>
      </c>
      <c r="H460" s="2">
        <f t="shared" si="58"/>
        <v>1.0393447984742874</v>
      </c>
      <c r="I460" s="2">
        <f t="shared" si="59"/>
        <v>50.964643117331676</v>
      </c>
    </row>
    <row r="461" spans="1:9" ht="13.5" x14ac:dyDescent="0.25">
      <c r="A461" s="3">
        <f>TITRES_STAT!B464</f>
        <v>45589</v>
      </c>
      <c r="B461" s="5">
        <f>TITRES_STAT!D464</f>
        <v>5.8689999999999998</v>
      </c>
      <c r="C461" s="2">
        <f t="shared" si="63"/>
        <v>9.3999999999999417E-2</v>
      </c>
      <c r="D461" s="2">
        <f t="shared" si="64"/>
        <v>9.3999999999999417E-2</v>
      </c>
      <c r="E461" s="2">
        <f t="shared" si="65"/>
        <v>0</v>
      </c>
      <c r="F461" s="2">
        <f t="shared" ref="F461:G476" si="66">((F460*13)+D461)/14</f>
        <v>2.6395363057755465E-2</v>
      </c>
      <c r="G461" s="2">
        <f t="shared" si="66"/>
        <v>1.8936042564855041E-2</v>
      </c>
      <c r="H461" s="2">
        <f t="shared" si="58"/>
        <v>1.3939218275071261</v>
      </c>
      <c r="I461" s="2">
        <f t="shared" si="59"/>
        <v>58.227541580113552</v>
      </c>
    </row>
    <row r="462" spans="1:9" ht="13.5" x14ac:dyDescent="0.25">
      <c r="A462" s="3">
        <f>TITRES_STAT!B465</f>
        <v>45590</v>
      </c>
      <c r="B462" s="5">
        <f>TITRES_STAT!D465</f>
        <v>5.8689999999999998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2.4509979982201502E-2</v>
      </c>
      <c r="G462" s="2">
        <f t="shared" si="66"/>
        <v>1.7583468095936826E-2</v>
      </c>
      <c r="H462" s="2">
        <f t="shared" si="58"/>
        <v>1.3939218275071259</v>
      </c>
      <c r="I462" s="2">
        <f t="shared" si="59"/>
        <v>58.227541580113545</v>
      </c>
    </row>
    <row r="463" spans="1:9" ht="13.5" x14ac:dyDescent="0.25">
      <c r="A463" s="3">
        <f>TITRES_STAT!B466</f>
        <v>45593</v>
      </c>
      <c r="B463" s="5">
        <f>TITRES_STAT!D466</f>
        <v>5.8689999999999998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2.2759267126329967E-2</v>
      </c>
      <c r="G463" s="2">
        <f t="shared" si="66"/>
        <v>1.6327506089084197E-2</v>
      </c>
      <c r="H463" s="2">
        <f t="shared" si="58"/>
        <v>1.3939218275071257</v>
      </c>
      <c r="I463" s="2">
        <f t="shared" si="59"/>
        <v>58.227541580113545</v>
      </c>
    </row>
    <row r="464" spans="1:9" ht="13.5" x14ac:dyDescent="0.25">
      <c r="A464" s="3">
        <f>TITRES_STAT!B467</f>
        <v>45594</v>
      </c>
      <c r="B464" s="5">
        <f>TITRES_STAT!D467</f>
        <v>5.8689999999999998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2.1133605188734968E-2</v>
      </c>
      <c r="G464" s="2">
        <f t="shared" si="66"/>
        <v>1.5161255654149611E-2</v>
      </c>
      <c r="H464" s="2">
        <f t="shared" si="58"/>
        <v>1.3939218275071257</v>
      </c>
      <c r="I464" s="2">
        <f t="shared" si="59"/>
        <v>58.227541580113545</v>
      </c>
    </row>
    <row r="465" spans="1:9" ht="13.5" x14ac:dyDescent="0.25">
      <c r="A465" s="3">
        <f>TITRES_STAT!B468</f>
        <v>45595</v>
      </c>
      <c r="B465" s="5">
        <f>TITRES_STAT!D468</f>
        <v>5.8220000000000001</v>
      </c>
      <c r="C465" s="2">
        <f t="shared" si="63"/>
        <v>-4.6999999999999709E-2</v>
      </c>
      <c r="D465" s="2">
        <f t="shared" si="64"/>
        <v>0</v>
      </c>
      <c r="E465" s="2">
        <f t="shared" si="65"/>
        <v>4.6999999999999709E-2</v>
      </c>
      <c r="F465" s="2">
        <f t="shared" si="66"/>
        <v>1.9624061960968185E-2</v>
      </c>
      <c r="G465" s="2">
        <f t="shared" si="66"/>
        <v>1.743545167885319E-2</v>
      </c>
      <c r="H465" s="2">
        <f t="shared" ref="H465:H528" si="67">F465/G465</f>
        <v>1.1255264459118934</v>
      </c>
      <c r="I465" s="2">
        <f t="shared" ref="I465:I528" si="68">IF(G465=0,100,100-(100/(1+H465)))</f>
        <v>52.952831900852686</v>
      </c>
    </row>
    <row r="466" spans="1:9" ht="13.5" x14ac:dyDescent="0.25">
      <c r="A466" s="3">
        <f>TITRES_STAT!B469</f>
        <v>45596</v>
      </c>
      <c r="B466" s="5">
        <f>TITRES_STAT!D469</f>
        <v>5.8220000000000001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1.8222343249470457E-2</v>
      </c>
      <c r="G466" s="2">
        <f t="shared" si="66"/>
        <v>1.6190062273220819E-2</v>
      </c>
      <c r="H466" s="2">
        <f t="shared" si="67"/>
        <v>1.1255264459118932</v>
      </c>
      <c r="I466" s="2">
        <f t="shared" si="68"/>
        <v>52.952831900852679</v>
      </c>
    </row>
    <row r="467" spans="1:9" ht="13.5" x14ac:dyDescent="0.25">
      <c r="A467" s="3">
        <f>TITRES_STAT!B470</f>
        <v>45597</v>
      </c>
      <c r="B467" s="5">
        <f>TITRES_STAT!D470</f>
        <v>5.8220000000000001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1.6920747303079711E-2</v>
      </c>
      <c r="G467" s="2">
        <f t="shared" si="66"/>
        <v>1.5033629253705046E-2</v>
      </c>
      <c r="H467" s="2">
        <f t="shared" si="67"/>
        <v>1.1255264459118934</v>
      </c>
      <c r="I467" s="2">
        <f t="shared" si="68"/>
        <v>52.952831900852686</v>
      </c>
    </row>
    <row r="468" spans="1:9" ht="13.5" x14ac:dyDescent="0.25">
      <c r="A468" s="3">
        <f>TITRES_STAT!B471</f>
        <v>45600</v>
      </c>
      <c r="B468" s="5">
        <f>TITRES_STAT!D471</f>
        <v>5.7750000000000004</v>
      </c>
      <c r="C468" s="2">
        <f t="shared" si="63"/>
        <v>-4.6999999999999709E-2</v>
      </c>
      <c r="D468" s="2">
        <f t="shared" si="64"/>
        <v>0</v>
      </c>
      <c r="E468" s="2">
        <f t="shared" si="65"/>
        <v>4.6999999999999709E-2</v>
      </c>
      <c r="F468" s="2">
        <f t="shared" si="66"/>
        <v>1.5712122495716872E-2</v>
      </c>
      <c r="G468" s="2">
        <f t="shared" si="66"/>
        <v>1.731694144986895E-2</v>
      </c>
      <c r="H468" s="2">
        <f t="shared" si="67"/>
        <v>0.90732665125663847</v>
      </c>
      <c r="I468" s="2">
        <f t="shared" si="68"/>
        <v>47.570595768629779</v>
      </c>
    </row>
    <row r="469" spans="1:9" ht="13.5" x14ac:dyDescent="0.25">
      <c r="A469" s="3">
        <f>TITRES_STAT!B472</f>
        <v>45601</v>
      </c>
      <c r="B469" s="5">
        <f>TITRES_STAT!D472</f>
        <v>5.8120000000000003</v>
      </c>
      <c r="C469" s="2">
        <f t="shared" si="63"/>
        <v>3.6999999999999922E-2</v>
      </c>
      <c r="D469" s="2">
        <f t="shared" si="64"/>
        <v>3.6999999999999922E-2</v>
      </c>
      <c r="E469" s="2">
        <f t="shared" si="65"/>
        <v>0</v>
      </c>
      <c r="F469" s="2">
        <f t="shared" si="66"/>
        <v>1.7232685174594232E-2</v>
      </c>
      <c r="G469" s="2">
        <f t="shared" si="66"/>
        <v>1.6080017060592595E-2</v>
      </c>
      <c r="H469" s="2">
        <f t="shared" si="67"/>
        <v>1.0716832643683252</v>
      </c>
      <c r="I469" s="2">
        <f t="shared" si="68"/>
        <v>51.730072970159895</v>
      </c>
    </row>
    <row r="470" spans="1:9" ht="13.5" x14ac:dyDescent="0.25">
      <c r="A470" s="3">
        <f>TITRES_STAT!B473</f>
        <v>45602</v>
      </c>
      <c r="B470" s="5">
        <f>TITRES_STAT!D473</f>
        <v>5.7939999999999996</v>
      </c>
      <c r="C470" s="2">
        <f t="shared" si="63"/>
        <v>-1.8000000000000682E-2</v>
      </c>
      <c r="D470" s="2">
        <f t="shared" si="64"/>
        <v>0</v>
      </c>
      <c r="E470" s="2">
        <f t="shared" si="65"/>
        <v>1.8000000000000682E-2</v>
      </c>
      <c r="F470" s="2">
        <f t="shared" si="66"/>
        <v>1.6001779090694643E-2</v>
      </c>
      <c r="G470" s="2">
        <f t="shared" si="66"/>
        <v>1.6217158699121745E-2</v>
      </c>
      <c r="H470" s="2">
        <f t="shared" si="67"/>
        <v>0.98671902936740907</v>
      </c>
      <c r="I470" s="2">
        <f t="shared" si="68"/>
        <v>49.665756193093401</v>
      </c>
    </row>
    <row r="471" spans="1:9" ht="13.5" x14ac:dyDescent="0.25">
      <c r="A471" s="3">
        <f>TITRES_STAT!B474</f>
        <v>45603</v>
      </c>
      <c r="B471" s="5">
        <f>TITRES_STAT!D474</f>
        <v>5.718</v>
      </c>
      <c r="C471" s="2">
        <f t="shared" si="63"/>
        <v>-7.5999999999999623E-2</v>
      </c>
      <c r="D471" s="2">
        <f t="shared" si="64"/>
        <v>0</v>
      </c>
      <c r="E471" s="2">
        <f t="shared" si="65"/>
        <v>7.5999999999999623E-2</v>
      </c>
      <c r="F471" s="2">
        <f t="shared" si="66"/>
        <v>1.4858794869930742E-2</v>
      </c>
      <c r="G471" s="2">
        <f t="shared" si="66"/>
        <v>2.0487361649184448E-2</v>
      </c>
      <c r="H471" s="2">
        <f t="shared" si="67"/>
        <v>0.72526639224539846</v>
      </c>
      <c r="I471" s="2">
        <f t="shared" si="68"/>
        <v>42.037936605342388</v>
      </c>
    </row>
    <row r="472" spans="1:9" ht="13.5" x14ac:dyDescent="0.25">
      <c r="A472" s="3">
        <f>TITRES_STAT!B475</f>
        <v>45604</v>
      </c>
      <c r="B472" s="5">
        <f>TITRES_STAT!D475</f>
        <v>5.8029999999999999</v>
      </c>
      <c r="C472" s="2">
        <f t="shared" si="63"/>
        <v>8.4999999999999964E-2</v>
      </c>
      <c r="D472" s="2">
        <f t="shared" si="64"/>
        <v>8.4999999999999964E-2</v>
      </c>
      <c r="E472" s="2">
        <f t="shared" si="65"/>
        <v>0</v>
      </c>
      <c r="F472" s="2">
        <f t="shared" si="66"/>
        <v>1.9868880950649974E-2</v>
      </c>
      <c r="G472" s="2">
        <f t="shared" si="66"/>
        <v>1.9023978674242704E-2</v>
      </c>
      <c r="H472" s="2">
        <f t="shared" si="67"/>
        <v>1.0444124907242045</v>
      </c>
      <c r="I472" s="2">
        <f t="shared" si="68"/>
        <v>51.08619202156391</v>
      </c>
    </row>
    <row r="473" spans="1:9" ht="13.5" x14ac:dyDescent="0.25">
      <c r="A473" s="3">
        <f>TITRES_STAT!B476</f>
        <v>45607</v>
      </c>
      <c r="B473" s="5">
        <f>TITRES_STAT!D476</f>
        <v>5.8689999999999998</v>
      </c>
      <c r="C473" s="2">
        <f t="shared" si="63"/>
        <v>6.5999999999999837E-2</v>
      </c>
      <c r="D473" s="2">
        <f t="shared" si="64"/>
        <v>6.5999999999999837E-2</v>
      </c>
      <c r="E473" s="2">
        <f t="shared" si="65"/>
        <v>0</v>
      </c>
      <c r="F473" s="2">
        <f t="shared" si="66"/>
        <v>2.3163960882746391E-2</v>
      </c>
      <c r="G473" s="2">
        <f t="shared" si="66"/>
        <v>1.7665123054653939E-2</v>
      </c>
      <c r="H473" s="2">
        <f t="shared" si="67"/>
        <v>1.311282169452183</v>
      </c>
      <c r="I473" s="2">
        <f t="shared" si="68"/>
        <v>56.733971593047919</v>
      </c>
    </row>
    <row r="474" spans="1:9" ht="13.5" x14ac:dyDescent="0.25">
      <c r="A474" s="3">
        <f>TITRES_STAT!B477</f>
        <v>45608</v>
      </c>
      <c r="B474" s="5">
        <f>TITRES_STAT!D477</f>
        <v>5.8410000000000002</v>
      </c>
      <c r="C474" s="2">
        <f t="shared" si="63"/>
        <v>-2.7999999999999581E-2</v>
      </c>
      <c r="D474" s="2">
        <f t="shared" si="64"/>
        <v>0</v>
      </c>
      <c r="E474" s="2">
        <f t="shared" si="65"/>
        <v>2.7999999999999581E-2</v>
      </c>
      <c r="F474" s="2">
        <f t="shared" si="66"/>
        <v>2.1509392248264505E-2</v>
      </c>
      <c r="G474" s="2">
        <f t="shared" si="66"/>
        <v>1.8403328550750057E-2</v>
      </c>
      <c r="H474" s="2">
        <f t="shared" si="67"/>
        <v>1.168777277922795</v>
      </c>
      <c r="I474" s="2">
        <f t="shared" si="68"/>
        <v>53.891069858598989</v>
      </c>
    </row>
    <row r="475" spans="1:9" ht="13.5" x14ac:dyDescent="0.25">
      <c r="A475" s="3">
        <f>TITRES_STAT!B478</f>
        <v>45609</v>
      </c>
      <c r="B475" s="5">
        <f>TITRES_STAT!D478</f>
        <v>5.8120000000000003</v>
      </c>
      <c r="C475" s="2">
        <f t="shared" si="63"/>
        <v>-2.8999999999999915E-2</v>
      </c>
      <c r="D475" s="2">
        <f t="shared" si="64"/>
        <v>0</v>
      </c>
      <c r="E475" s="2">
        <f t="shared" si="65"/>
        <v>2.8999999999999915E-2</v>
      </c>
      <c r="F475" s="2">
        <f t="shared" si="66"/>
        <v>1.9973007087674185E-2</v>
      </c>
      <c r="G475" s="2">
        <f t="shared" si="66"/>
        <v>1.9160233654267906E-2</v>
      </c>
      <c r="H475" s="2">
        <f t="shared" si="67"/>
        <v>1.0424198080290756</v>
      </c>
      <c r="I475" s="2">
        <f t="shared" si="68"/>
        <v>51.038469365169597</v>
      </c>
    </row>
    <row r="476" spans="1:9" ht="13.5" x14ac:dyDescent="0.25">
      <c r="A476" s="3">
        <f>TITRES_STAT!B479</f>
        <v>45610</v>
      </c>
      <c r="B476" s="5">
        <f>TITRES_STAT!D479</f>
        <v>5.8120000000000003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1.8546363724268884E-2</v>
      </c>
      <c r="G476" s="2">
        <f t="shared" si="66"/>
        <v>1.7791645536105911E-2</v>
      </c>
      <c r="H476" s="2">
        <f t="shared" si="67"/>
        <v>1.0424198080290756</v>
      </c>
      <c r="I476" s="2">
        <f t="shared" si="68"/>
        <v>51.038469365169597</v>
      </c>
    </row>
    <row r="477" spans="1:9" ht="13.5" x14ac:dyDescent="0.25">
      <c r="A477" s="3">
        <f>TITRES_STAT!B480</f>
        <v>45611</v>
      </c>
      <c r="B477" s="5">
        <f>TITRES_STAT!D480</f>
        <v>5.8220000000000001</v>
      </c>
      <c r="C477" s="2">
        <f t="shared" si="63"/>
        <v>9.9999999999997868E-3</v>
      </c>
      <c r="D477" s="2">
        <f t="shared" si="64"/>
        <v>9.9999999999997868E-3</v>
      </c>
      <c r="E477" s="2">
        <f t="shared" si="65"/>
        <v>0</v>
      </c>
      <c r="F477" s="2">
        <f t="shared" ref="F477:G492" si="69">((F476*13)+D477)/14</f>
        <v>1.7935909172535378E-2</v>
      </c>
      <c r="G477" s="2">
        <f t="shared" si="69"/>
        <v>1.6520813712098344E-2</v>
      </c>
      <c r="H477" s="2">
        <f t="shared" si="67"/>
        <v>1.0856553124499397</v>
      </c>
      <c r="I477" s="2">
        <f t="shared" si="68"/>
        <v>52.053438838590345</v>
      </c>
    </row>
    <row r="478" spans="1:9" ht="13.5" x14ac:dyDescent="0.25">
      <c r="A478" s="3">
        <f>TITRES_STAT!B481</f>
        <v>45614</v>
      </c>
      <c r="B478" s="5">
        <f>TITRES_STAT!D481</f>
        <v>5.8220000000000001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1.6654772803068565E-2</v>
      </c>
      <c r="G478" s="2">
        <f t="shared" si="69"/>
        <v>1.5340755589805605E-2</v>
      </c>
      <c r="H478" s="2">
        <f t="shared" si="67"/>
        <v>1.0856553124499397</v>
      </c>
      <c r="I478" s="2">
        <f t="shared" si="68"/>
        <v>52.053438838590345</v>
      </c>
    </row>
    <row r="479" spans="1:9" ht="13.5" x14ac:dyDescent="0.25">
      <c r="A479" s="3">
        <f>TITRES_STAT!B482</f>
        <v>45615</v>
      </c>
      <c r="B479" s="5">
        <f>TITRES_STAT!D482</f>
        <v>5.7939999999999996</v>
      </c>
      <c r="C479" s="2">
        <f t="shared" si="63"/>
        <v>-2.8000000000000469E-2</v>
      </c>
      <c r="D479" s="2">
        <f t="shared" si="64"/>
        <v>0</v>
      </c>
      <c r="E479" s="2">
        <f t="shared" si="65"/>
        <v>2.8000000000000469E-2</v>
      </c>
      <c r="F479" s="2">
        <f t="shared" si="69"/>
        <v>1.5465146174277952E-2</v>
      </c>
      <c r="G479" s="2">
        <f t="shared" si="69"/>
        <v>1.6244987333390953E-2</v>
      </c>
      <c r="H479" s="2">
        <f t="shared" si="67"/>
        <v>0.95199496662517757</v>
      </c>
      <c r="I479" s="2">
        <f t="shared" si="68"/>
        <v>48.770359703902855</v>
      </c>
    </row>
    <row r="480" spans="1:9" ht="13.5" x14ac:dyDescent="0.25">
      <c r="A480" s="3">
        <f>TITRES_STAT!B483</f>
        <v>45616</v>
      </c>
      <c r="B480" s="5">
        <f>TITRES_STAT!D483</f>
        <v>5.7939999999999996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1.4360492876115242E-2</v>
      </c>
      <c r="G480" s="2">
        <f t="shared" si="69"/>
        <v>1.5084631095291599E-2</v>
      </c>
      <c r="H480" s="2">
        <f t="shared" si="67"/>
        <v>0.95199496662517757</v>
      </c>
      <c r="I480" s="2">
        <f t="shared" si="68"/>
        <v>48.770359703902855</v>
      </c>
    </row>
    <row r="481" spans="1:9" ht="13.5" x14ac:dyDescent="0.25">
      <c r="A481" s="3">
        <f>TITRES_STAT!B484</f>
        <v>45617</v>
      </c>
      <c r="B481" s="5">
        <f>TITRES_STAT!D484</f>
        <v>5.7939999999999996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1.3334743384964154E-2</v>
      </c>
      <c r="G481" s="2">
        <f t="shared" si="69"/>
        <v>1.4007157445627914E-2</v>
      </c>
      <c r="H481" s="2">
        <f t="shared" si="67"/>
        <v>0.95199496662517757</v>
      </c>
      <c r="I481" s="2">
        <f t="shared" si="68"/>
        <v>48.770359703902855</v>
      </c>
    </row>
    <row r="482" spans="1:9" ht="13.5" x14ac:dyDescent="0.25">
      <c r="A482" s="3">
        <f>TITRES_STAT!B485</f>
        <v>45618</v>
      </c>
      <c r="B482" s="5">
        <f>TITRES_STAT!D485</f>
        <v>5.7750000000000004</v>
      </c>
      <c r="C482" s="2">
        <f t="shared" si="63"/>
        <v>-1.899999999999924E-2</v>
      </c>
      <c r="D482" s="2">
        <f t="shared" si="64"/>
        <v>0</v>
      </c>
      <c r="E482" s="2">
        <f t="shared" si="65"/>
        <v>1.899999999999924E-2</v>
      </c>
      <c r="F482" s="2">
        <f t="shared" si="69"/>
        <v>1.2382261714609571E-2</v>
      </c>
      <c r="G482" s="2">
        <f t="shared" si="69"/>
        <v>1.4363789056654436E-2</v>
      </c>
      <c r="H482" s="2">
        <f t="shared" si="67"/>
        <v>0.86204703130704463</v>
      </c>
      <c r="I482" s="2">
        <f t="shared" si="68"/>
        <v>46.295663686966037</v>
      </c>
    </row>
    <row r="483" spans="1:9" ht="13.5" x14ac:dyDescent="0.25">
      <c r="A483" s="3">
        <f>TITRES_STAT!B486</f>
        <v>45621</v>
      </c>
      <c r="B483" s="5">
        <f>TITRES_STAT!D486</f>
        <v>5.8029999999999999</v>
      </c>
      <c r="C483" s="2">
        <f t="shared" si="63"/>
        <v>2.7999999999999581E-2</v>
      </c>
      <c r="D483" s="2">
        <f t="shared" si="64"/>
        <v>2.7999999999999581E-2</v>
      </c>
      <c r="E483" s="2">
        <f t="shared" si="65"/>
        <v>0</v>
      </c>
      <c r="F483" s="2">
        <f t="shared" si="69"/>
        <v>1.3497814449280287E-2</v>
      </c>
      <c r="G483" s="2">
        <f t="shared" si="69"/>
        <v>1.3337804124036262E-2</v>
      </c>
      <c r="H483" s="2">
        <f t="shared" si="67"/>
        <v>1.0119967517708306</v>
      </c>
      <c r="I483" s="2">
        <f t="shared" si="68"/>
        <v>50.298130495495869</v>
      </c>
    </row>
    <row r="484" spans="1:9" ht="13.5" x14ac:dyDescent="0.25">
      <c r="A484" s="3">
        <f>TITRES_STAT!B487</f>
        <v>45622</v>
      </c>
      <c r="B484" s="5">
        <f>TITRES_STAT!D487</f>
        <v>5.7839999999999998</v>
      </c>
      <c r="C484" s="2">
        <f t="shared" si="63"/>
        <v>-1.9000000000000128E-2</v>
      </c>
      <c r="D484" s="2">
        <f t="shared" si="64"/>
        <v>0</v>
      </c>
      <c r="E484" s="2">
        <f t="shared" si="65"/>
        <v>1.9000000000000128E-2</v>
      </c>
      <c r="F484" s="2">
        <f t="shared" si="69"/>
        <v>1.2533684845760267E-2</v>
      </c>
      <c r="G484" s="2">
        <f t="shared" si="69"/>
        <v>1.3742246686605109E-2</v>
      </c>
      <c r="H484" s="2">
        <f t="shared" si="67"/>
        <v>0.91205500320243449</v>
      </c>
      <c r="I484" s="2">
        <f t="shared" si="68"/>
        <v>47.700249295907554</v>
      </c>
    </row>
    <row r="485" spans="1:9" ht="13.5" x14ac:dyDescent="0.25">
      <c r="A485" s="3">
        <f>TITRES_STAT!B488</f>
        <v>45623</v>
      </c>
      <c r="B485" s="5">
        <f>TITRES_STAT!D488</f>
        <v>5.7279999999999998</v>
      </c>
      <c r="C485" s="2">
        <f t="shared" si="63"/>
        <v>-5.600000000000005E-2</v>
      </c>
      <c r="D485" s="2">
        <f t="shared" si="64"/>
        <v>0</v>
      </c>
      <c r="E485" s="2">
        <f t="shared" si="65"/>
        <v>5.600000000000005E-2</v>
      </c>
      <c r="F485" s="2">
        <f t="shared" si="69"/>
        <v>1.1638421642491677E-2</v>
      </c>
      <c r="G485" s="2">
        <f t="shared" si="69"/>
        <v>1.676065763756189E-2</v>
      </c>
      <c r="H485" s="2">
        <f t="shared" si="67"/>
        <v>0.69438931897332612</v>
      </c>
      <c r="I485" s="2">
        <f t="shared" si="68"/>
        <v>40.981686510752702</v>
      </c>
    </row>
    <row r="486" spans="1:9" ht="13.5" x14ac:dyDescent="0.25">
      <c r="A486" s="3">
        <f>TITRES_STAT!B489</f>
        <v>45624</v>
      </c>
      <c r="B486" s="5">
        <f>TITRES_STAT!D489</f>
        <v>5.6340000000000003</v>
      </c>
      <c r="C486" s="2">
        <f t="shared" si="63"/>
        <v>-9.3999999999999417E-2</v>
      </c>
      <c r="D486" s="2">
        <f t="shared" si="64"/>
        <v>0</v>
      </c>
      <c r="E486" s="2">
        <f t="shared" si="65"/>
        <v>9.3999999999999417E-2</v>
      </c>
      <c r="F486" s="2">
        <f t="shared" si="69"/>
        <v>1.0807105810885129E-2</v>
      </c>
      <c r="G486" s="2">
        <f t="shared" si="69"/>
        <v>2.2277753520593142E-2</v>
      </c>
      <c r="H486" s="2">
        <f t="shared" si="67"/>
        <v>0.48510752221471704</v>
      </c>
      <c r="I486" s="2">
        <f t="shared" si="68"/>
        <v>32.664808100310736</v>
      </c>
    </row>
    <row r="487" spans="1:9" ht="13.5" x14ac:dyDescent="0.25">
      <c r="A487" s="3">
        <f>TITRES_STAT!B490</f>
        <v>45625</v>
      </c>
      <c r="B487" s="5">
        <f>TITRES_STAT!D490</f>
        <v>5.7939999999999996</v>
      </c>
      <c r="C487" s="2">
        <f t="shared" si="63"/>
        <v>0.15999999999999925</v>
      </c>
      <c r="D487" s="2">
        <f t="shared" si="64"/>
        <v>0.15999999999999925</v>
      </c>
      <c r="E487" s="2">
        <f t="shared" si="65"/>
        <v>0</v>
      </c>
      <c r="F487" s="2">
        <f t="shared" si="69"/>
        <v>2.1463741110107567E-2</v>
      </c>
      <c r="G487" s="2">
        <f t="shared" si="69"/>
        <v>2.0686485411979347E-2</v>
      </c>
      <c r="H487" s="2">
        <f t="shared" si="67"/>
        <v>1.0375731151352621</v>
      </c>
      <c r="I487" s="2">
        <f t="shared" si="68"/>
        <v>50.922006549266037</v>
      </c>
    </row>
    <row r="488" spans="1:9" ht="13.5" x14ac:dyDescent="0.25">
      <c r="A488" s="3">
        <f>TITRES_STAT!B491</f>
        <v>45628</v>
      </c>
      <c r="B488" s="5">
        <f>TITRES_STAT!D491</f>
        <v>5.7839999999999998</v>
      </c>
      <c r="C488" s="2">
        <f t="shared" si="63"/>
        <v>-9.9999999999997868E-3</v>
      </c>
      <c r="D488" s="2">
        <f t="shared" si="64"/>
        <v>0</v>
      </c>
      <c r="E488" s="2">
        <f t="shared" si="65"/>
        <v>9.9999999999997868E-3</v>
      </c>
      <c r="F488" s="2">
        <f t="shared" si="69"/>
        <v>1.9930616745099883E-2</v>
      </c>
      <c r="G488" s="2">
        <f t="shared" si="69"/>
        <v>1.9923165025409379E-2</v>
      </c>
      <c r="H488" s="2">
        <f t="shared" si="67"/>
        <v>1.0003740228864741</v>
      </c>
      <c r="I488" s="2">
        <f t="shared" si="68"/>
        <v>50.009348823824809</v>
      </c>
    </row>
    <row r="489" spans="1:9" ht="13.5" x14ac:dyDescent="0.25">
      <c r="A489" s="3">
        <f>TITRES_STAT!B492</f>
        <v>45629</v>
      </c>
      <c r="B489" s="5">
        <f>TITRES_STAT!D492</f>
        <v>5.7839999999999998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1.8507001263307035E-2</v>
      </c>
      <c r="G489" s="2">
        <f t="shared" si="69"/>
        <v>1.8500081809308708E-2</v>
      </c>
      <c r="H489" s="2">
        <f t="shared" si="67"/>
        <v>1.0003740228864741</v>
      </c>
      <c r="I489" s="2">
        <f t="shared" si="68"/>
        <v>50.009348823824809</v>
      </c>
    </row>
    <row r="490" spans="1:9" ht="13.5" x14ac:dyDescent="0.25">
      <c r="A490" s="3">
        <f>TITRES_STAT!B493</f>
        <v>45630</v>
      </c>
      <c r="B490" s="5">
        <f>TITRES_STAT!D493</f>
        <v>5.7839999999999998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1.7185072601642246E-2</v>
      </c>
      <c r="G490" s="2">
        <f t="shared" si="69"/>
        <v>1.7178647394358086E-2</v>
      </c>
      <c r="H490" s="2">
        <f t="shared" si="67"/>
        <v>1.0003740228864741</v>
      </c>
      <c r="I490" s="2">
        <f t="shared" si="68"/>
        <v>50.009348823824809</v>
      </c>
    </row>
    <row r="491" spans="1:9" ht="13.5" x14ac:dyDescent="0.25">
      <c r="A491" s="3">
        <f>TITRES_STAT!B494</f>
        <v>45631</v>
      </c>
      <c r="B491" s="5">
        <f>TITRES_STAT!D494</f>
        <v>5.7839999999999998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1.5957567415810659E-2</v>
      </c>
      <c r="G491" s="2">
        <f t="shared" si="69"/>
        <v>1.5951601151903937E-2</v>
      </c>
      <c r="H491" s="2">
        <f t="shared" si="67"/>
        <v>1.0003740228864744</v>
      </c>
      <c r="I491" s="2">
        <f t="shared" si="68"/>
        <v>50.009348823824823</v>
      </c>
    </row>
    <row r="492" spans="1:9" ht="13.5" x14ac:dyDescent="0.25">
      <c r="A492" s="3">
        <f>TITRES_STAT!B495</f>
        <v>45632</v>
      </c>
      <c r="B492" s="5">
        <f>TITRES_STAT!D495</f>
        <v>5.8220000000000001</v>
      </c>
      <c r="C492" s="2">
        <f t="shared" si="63"/>
        <v>3.8000000000000256E-2</v>
      </c>
      <c r="D492" s="2">
        <f t="shared" si="64"/>
        <v>3.8000000000000256E-2</v>
      </c>
      <c r="E492" s="2">
        <f t="shared" si="65"/>
        <v>0</v>
      </c>
      <c r="F492" s="2">
        <f t="shared" si="69"/>
        <v>1.7532026886109917E-2</v>
      </c>
      <c r="G492" s="2">
        <f t="shared" si="69"/>
        <v>1.4812201069625084E-2</v>
      </c>
      <c r="H492" s="2">
        <f t="shared" si="67"/>
        <v>1.1836206383980497</v>
      </c>
      <c r="I492" s="2">
        <f t="shared" si="68"/>
        <v>54.204499517204539</v>
      </c>
    </row>
    <row r="493" spans="1:9" ht="13.5" x14ac:dyDescent="0.25">
      <c r="A493" s="3">
        <f>TITRES_STAT!B496</f>
        <v>45635</v>
      </c>
      <c r="B493" s="5">
        <f>TITRES_STAT!D496</f>
        <v>5.9160000000000004</v>
      </c>
      <c r="C493" s="2">
        <f t="shared" si="63"/>
        <v>9.4000000000000306E-2</v>
      </c>
      <c r="D493" s="2">
        <f t="shared" si="64"/>
        <v>9.4000000000000306E-2</v>
      </c>
      <c r="E493" s="2">
        <f t="shared" si="65"/>
        <v>0</v>
      </c>
      <c r="F493" s="2">
        <f t="shared" ref="F493:G508" si="70">((F492*13)+D493)/14</f>
        <v>2.2994024965673519E-2</v>
      </c>
      <c r="G493" s="2">
        <f t="shared" si="70"/>
        <v>1.3754186707509008E-2</v>
      </c>
      <c r="H493" s="2">
        <f t="shared" si="67"/>
        <v>1.6717836870078318</v>
      </c>
      <c r="I493" s="2">
        <f t="shared" si="68"/>
        <v>62.57182028385261</v>
      </c>
    </row>
    <row r="494" spans="1:9" ht="13.5" x14ac:dyDescent="0.25">
      <c r="A494" s="3">
        <f>TITRES_STAT!B497</f>
        <v>45636</v>
      </c>
      <c r="B494" s="5">
        <f>TITRES_STAT!D497</f>
        <v>5.9059999999999997</v>
      </c>
      <c r="C494" s="2">
        <f t="shared" si="63"/>
        <v>-1.0000000000000675E-2</v>
      </c>
      <c r="D494" s="2">
        <f t="shared" si="64"/>
        <v>0</v>
      </c>
      <c r="E494" s="2">
        <f t="shared" si="65"/>
        <v>1.0000000000000675E-2</v>
      </c>
      <c r="F494" s="2">
        <f t="shared" si="70"/>
        <v>2.1351594610982551E-2</v>
      </c>
      <c r="G494" s="2">
        <f t="shared" si="70"/>
        <v>1.3486030514115555E-2</v>
      </c>
      <c r="H494" s="2">
        <f t="shared" si="67"/>
        <v>1.5832378985524516</v>
      </c>
      <c r="I494" s="2">
        <f t="shared" si="68"/>
        <v>61.288892495717796</v>
      </c>
    </row>
    <row r="495" spans="1:9" ht="13.5" x14ac:dyDescent="0.25">
      <c r="A495" s="3">
        <f>TITRES_STAT!B498</f>
        <v>45637</v>
      </c>
      <c r="B495" s="5">
        <f>TITRES_STAT!D498</f>
        <v>5.9059999999999997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1.9826480710198081E-2</v>
      </c>
      <c r="G495" s="2">
        <f t="shared" si="70"/>
        <v>1.2522742620250158E-2</v>
      </c>
      <c r="H495" s="2">
        <f t="shared" si="67"/>
        <v>1.5832378985524516</v>
      </c>
      <c r="I495" s="2">
        <f t="shared" si="68"/>
        <v>61.288892495717796</v>
      </c>
    </row>
    <row r="496" spans="1:9" ht="13.5" x14ac:dyDescent="0.25">
      <c r="A496" s="3">
        <f>TITRES_STAT!B499</f>
        <v>45638</v>
      </c>
      <c r="B496" s="5">
        <f>TITRES_STAT!D499</f>
        <v>5.9340000000000002</v>
      </c>
      <c r="C496" s="2">
        <f t="shared" si="63"/>
        <v>2.8000000000000469E-2</v>
      </c>
      <c r="D496" s="2">
        <f t="shared" si="64"/>
        <v>2.8000000000000469E-2</v>
      </c>
      <c r="E496" s="2">
        <f t="shared" si="65"/>
        <v>0</v>
      </c>
      <c r="F496" s="2">
        <f t="shared" si="70"/>
        <v>2.0410303516612539E-2</v>
      </c>
      <c r="G496" s="2">
        <f t="shared" si="70"/>
        <v>1.1628261004518003E-2</v>
      </c>
      <c r="H496" s="2">
        <f t="shared" si="67"/>
        <v>1.7552326619330605</v>
      </c>
      <c r="I496" s="2">
        <f t="shared" si="68"/>
        <v>63.705424452307277</v>
      </c>
    </row>
    <row r="497" spans="1:9" ht="13.5" x14ac:dyDescent="0.25">
      <c r="A497" s="3">
        <f>TITRES_STAT!B500</f>
        <v>45639</v>
      </c>
      <c r="B497" s="5">
        <f>TITRES_STAT!D500</f>
        <v>5.8970000000000002</v>
      </c>
      <c r="C497" s="2">
        <f t="shared" si="63"/>
        <v>-3.6999999999999922E-2</v>
      </c>
      <c r="D497" s="2">
        <f t="shared" si="64"/>
        <v>0</v>
      </c>
      <c r="E497" s="2">
        <f t="shared" si="65"/>
        <v>3.6999999999999922E-2</v>
      </c>
      <c r="F497" s="2">
        <f t="shared" si="70"/>
        <v>1.8952424693997359E-2</v>
      </c>
      <c r="G497" s="2">
        <f t="shared" si="70"/>
        <v>1.3440528075623853E-2</v>
      </c>
      <c r="H497" s="2">
        <f t="shared" si="67"/>
        <v>1.4100952423417088</v>
      </c>
      <c r="I497" s="2">
        <f t="shared" si="68"/>
        <v>58.507863820834935</v>
      </c>
    </row>
    <row r="498" spans="1:9" ht="13.5" x14ac:dyDescent="0.25">
      <c r="A498" s="3">
        <f>TITRES_STAT!B501</f>
        <v>45642</v>
      </c>
      <c r="B498" s="5">
        <f>TITRES_STAT!D501</f>
        <v>5.8869999999999996</v>
      </c>
      <c r="C498" s="2">
        <f t="shared" si="63"/>
        <v>-1.0000000000000675E-2</v>
      </c>
      <c r="D498" s="2">
        <f t="shared" si="64"/>
        <v>0</v>
      </c>
      <c r="E498" s="2">
        <f t="shared" si="65"/>
        <v>1.0000000000000675E-2</v>
      </c>
      <c r="F498" s="2">
        <f t="shared" si="70"/>
        <v>1.7598680072997547E-2</v>
      </c>
      <c r="G498" s="2">
        <f t="shared" si="70"/>
        <v>1.3194776070222196E-2</v>
      </c>
      <c r="H498" s="2">
        <f t="shared" si="67"/>
        <v>1.3337611778584122</v>
      </c>
      <c r="I498" s="2">
        <f t="shared" si="68"/>
        <v>57.150714071023543</v>
      </c>
    </row>
    <row r="499" spans="1:9" ht="13.5" x14ac:dyDescent="0.25">
      <c r="A499" s="3">
        <f>TITRES_STAT!B502</f>
        <v>45644</v>
      </c>
      <c r="B499" s="5">
        <f>TITRES_STAT!D502</f>
        <v>5.7939999999999996</v>
      </c>
      <c r="C499" s="2">
        <f t="shared" si="63"/>
        <v>-9.2999999999999972E-2</v>
      </c>
      <c r="D499" s="2">
        <f t="shared" si="64"/>
        <v>0</v>
      </c>
      <c r="E499" s="2">
        <f t="shared" si="65"/>
        <v>9.2999999999999972E-2</v>
      </c>
      <c r="F499" s="2">
        <f t="shared" si="70"/>
        <v>1.6341631496354866E-2</v>
      </c>
      <c r="G499" s="2">
        <f t="shared" si="70"/>
        <v>1.8895149208063462E-2</v>
      </c>
      <c r="H499" s="2">
        <f t="shared" si="67"/>
        <v>0.86485855795100641</v>
      </c>
      <c r="I499" s="2">
        <f t="shared" si="68"/>
        <v>46.376630241666184</v>
      </c>
    </row>
    <row r="500" spans="1:9" ht="13.5" x14ac:dyDescent="0.25">
      <c r="A500" s="3">
        <f>TITRES_STAT!B503</f>
        <v>45645</v>
      </c>
      <c r="B500" s="5">
        <f>TITRES_STAT!D503</f>
        <v>5.8120000000000003</v>
      </c>
      <c r="C500" s="2">
        <f t="shared" si="63"/>
        <v>1.8000000000000682E-2</v>
      </c>
      <c r="D500" s="2">
        <f t="shared" si="64"/>
        <v>1.8000000000000682E-2</v>
      </c>
      <c r="E500" s="2">
        <f t="shared" si="65"/>
        <v>0</v>
      </c>
      <c r="F500" s="2">
        <f t="shared" si="70"/>
        <v>1.6460086389472422E-2</v>
      </c>
      <c r="G500" s="2">
        <f t="shared" si="70"/>
        <v>1.7545495693201785E-2</v>
      </c>
      <c r="H500" s="2">
        <f t="shared" si="67"/>
        <v>0.93813743865042709</v>
      </c>
      <c r="I500" s="2">
        <f t="shared" si="68"/>
        <v>48.404071865185955</v>
      </c>
    </row>
    <row r="501" spans="1:9" ht="13.5" x14ac:dyDescent="0.25">
      <c r="A501" s="3">
        <f>TITRES_STAT!B504</f>
        <v>45646</v>
      </c>
      <c r="B501" s="5">
        <f>TITRES_STAT!D504</f>
        <v>5.8120000000000003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1.5284365933081535E-2</v>
      </c>
      <c r="G501" s="2">
        <f t="shared" si="70"/>
        <v>1.6292246000830228E-2</v>
      </c>
      <c r="H501" s="2">
        <f t="shared" si="67"/>
        <v>0.93813743865042709</v>
      </c>
      <c r="I501" s="2">
        <f t="shared" si="68"/>
        <v>48.404071865185955</v>
      </c>
    </row>
    <row r="502" spans="1:9" ht="13.5" x14ac:dyDescent="0.25">
      <c r="A502" s="3">
        <f>TITRES_STAT!B505</f>
        <v>45649</v>
      </c>
      <c r="B502" s="5">
        <f>TITRES_STAT!D505</f>
        <v>5.8120000000000003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1.4192625509289998E-2</v>
      </c>
      <c r="G502" s="2">
        <f t="shared" si="70"/>
        <v>1.5128514143628069E-2</v>
      </c>
      <c r="H502" s="2">
        <f t="shared" si="67"/>
        <v>0.9381374386504272</v>
      </c>
      <c r="I502" s="2">
        <f t="shared" si="68"/>
        <v>48.404071865185962</v>
      </c>
    </row>
    <row r="503" spans="1:9" ht="13.5" x14ac:dyDescent="0.25">
      <c r="A503" s="3">
        <f>TITRES_STAT!B506</f>
        <v>45650</v>
      </c>
      <c r="B503" s="5">
        <f>TITRES_STAT!D506</f>
        <v>5.7839999999999998</v>
      </c>
      <c r="C503" s="2">
        <f t="shared" si="63"/>
        <v>-2.8000000000000469E-2</v>
      </c>
      <c r="D503" s="2">
        <f t="shared" si="64"/>
        <v>0</v>
      </c>
      <c r="E503" s="2">
        <f t="shared" si="65"/>
        <v>2.8000000000000469E-2</v>
      </c>
      <c r="F503" s="2">
        <f t="shared" si="70"/>
        <v>1.3178866544340712E-2</v>
      </c>
      <c r="G503" s="2">
        <f t="shared" si="70"/>
        <v>1.6047905990511809E-2</v>
      </c>
      <c r="H503" s="2">
        <f t="shared" si="67"/>
        <v>0.8212203232080626</v>
      </c>
      <c r="I503" s="2">
        <f t="shared" si="68"/>
        <v>45.091761427386814</v>
      </c>
    </row>
    <row r="504" spans="1:9" ht="13.5" x14ac:dyDescent="0.25">
      <c r="A504" s="3">
        <f>TITRES_STAT!B507</f>
        <v>45651</v>
      </c>
      <c r="B504" s="5">
        <f>TITRES_STAT!D507</f>
        <v>5.7939999999999996</v>
      </c>
      <c r="C504" s="2">
        <f t="shared" si="63"/>
        <v>9.9999999999997868E-3</v>
      </c>
      <c r="D504" s="2">
        <f t="shared" si="64"/>
        <v>9.9999999999997868E-3</v>
      </c>
      <c r="E504" s="2">
        <f t="shared" si="65"/>
        <v>0</v>
      </c>
      <c r="F504" s="2">
        <f t="shared" si="70"/>
        <v>1.295180464831636E-2</v>
      </c>
      <c r="G504" s="2">
        <f t="shared" si="70"/>
        <v>1.4901626991189536E-2</v>
      </c>
      <c r="H504" s="2">
        <f t="shared" si="67"/>
        <v>0.8691537277086594</v>
      </c>
      <c r="I504" s="2">
        <f t="shared" si="68"/>
        <v>46.499852570934834</v>
      </c>
    </row>
    <row r="505" spans="1:9" ht="13.5" x14ac:dyDescent="0.25">
      <c r="A505" s="3">
        <f>TITRES_STAT!B508</f>
        <v>45652</v>
      </c>
      <c r="B505" s="5">
        <f>TITRES_STAT!D508</f>
        <v>5.7839999999999998</v>
      </c>
      <c r="C505" s="2">
        <f t="shared" si="63"/>
        <v>-9.9999999999997868E-3</v>
      </c>
      <c r="D505" s="2">
        <f t="shared" si="64"/>
        <v>0</v>
      </c>
      <c r="E505" s="2">
        <f t="shared" si="65"/>
        <v>9.9999999999997868E-3</v>
      </c>
      <c r="F505" s="2">
        <f t="shared" si="70"/>
        <v>1.2026675744865193E-2</v>
      </c>
      <c r="G505" s="2">
        <f t="shared" si="70"/>
        <v>1.4551510777533125E-2</v>
      </c>
      <c r="H505" s="2">
        <f t="shared" si="67"/>
        <v>0.82648983522960628</v>
      </c>
      <c r="I505" s="2">
        <f t="shared" si="68"/>
        <v>45.250174366599147</v>
      </c>
    </row>
    <row r="506" spans="1:9" ht="13.5" x14ac:dyDescent="0.25">
      <c r="A506" s="3">
        <f>TITRES_STAT!B509</f>
        <v>45653</v>
      </c>
      <c r="B506" s="5">
        <f>TITRES_STAT!D509</f>
        <v>5.7750000000000004</v>
      </c>
      <c r="C506" s="2">
        <f t="shared" si="63"/>
        <v>-8.9999999999994529E-3</v>
      </c>
      <c r="D506" s="2">
        <f t="shared" si="64"/>
        <v>0</v>
      </c>
      <c r="E506" s="2">
        <f t="shared" si="65"/>
        <v>8.9999999999994529E-3</v>
      </c>
      <c r="F506" s="2">
        <f t="shared" si="70"/>
        <v>1.1167627477374821E-2</v>
      </c>
      <c r="G506" s="2">
        <f t="shared" si="70"/>
        <v>1.4154974293423578E-2</v>
      </c>
      <c r="H506" s="2">
        <f t="shared" si="67"/>
        <v>0.78895427472187762</v>
      </c>
      <c r="I506" s="2">
        <f t="shared" si="68"/>
        <v>44.101422035760727</v>
      </c>
    </row>
    <row r="507" spans="1:9" ht="13.5" x14ac:dyDescent="0.25">
      <c r="A507" s="3">
        <f>TITRES_STAT!B510</f>
        <v>45656</v>
      </c>
      <c r="B507" s="5">
        <f>TITRES_STAT!D510</f>
        <v>5.7750000000000004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1.0369939800419477E-2</v>
      </c>
      <c r="G507" s="2">
        <f t="shared" si="70"/>
        <v>1.314390470103618E-2</v>
      </c>
      <c r="H507" s="2">
        <f t="shared" si="67"/>
        <v>0.78895427472187762</v>
      </c>
      <c r="I507" s="2">
        <f t="shared" si="68"/>
        <v>44.101422035760727</v>
      </c>
    </row>
    <row r="508" spans="1:9" ht="13.5" x14ac:dyDescent="0.25">
      <c r="A508" s="3">
        <f>TITRES_STAT!B511</f>
        <v>45657</v>
      </c>
      <c r="B508" s="5">
        <f>TITRES_STAT!D511</f>
        <v>5.7750000000000004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9.6292298146752296E-3</v>
      </c>
      <c r="G508" s="2">
        <f t="shared" si="70"/>
        <v>1.2205054365247882E-2</v>
      </c>
      <c r="H508" s="2">
        <f t="shared" si="67"/>
        <v>0.78895427472187762</v>
      </c>
      <c r="I508" s="2">
        <f t="shared" si="68"/>
        <v>44.101422035760727</v>
      </c>
    </row>
    <row r="509" spans="1:9" ht="13.5" x14ac:dyDescent="0.25">
      <c r="A509" s="3">
        <f>TITRES_STAT!B512</f>
        <v>45659</v>
      </c>
      <c r="B509" s="5">
        <f>TITRES_STAT!D512</f>
        <v>5.7750000000000004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8.9414276850555696E-3</v>
      </c>
      <c r="G509" s="2">
        <f t="shared" si="71"/>
        <v>1.1333264767730177E-2</v>
      </c>
      <c r="H509" s="2">
        <f t="shared" si="67"/>
        <v>0.78895427472187751</v>
      </c>
      <c r="I509" s="2">
        <f t="shared" si="68"/>
        <v>44.101422035760727</v>
      </c>
    </row>
    <row r="510" spans="1:9" ht="13.5" x14ac:dyDescent="0.25">
      <c r="A510" s="3">
        <f>TITRES_STAT!B513</f>
        <v>45660</v>
      </c>
      <c r="B510" s="5">
        <f>TITRES_STAT!D513</f>
        <v>5.7750000000000004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8.3027542789801713E-3</v>
      </c>
      <c r="G510" s="2">
        <f t="shared" si="71"/>
        <v>1.052374585574945E-2</v>
      </c>
      <c r="H510" s="2">
        <f t="shared" si="67"/>
        <v>0.78895427472187751</v>
      </c>
      <c r="I510" s="2">
        <f t="shared" si="68"/>
        <v>44.101422035760727</v>
      </c>
    </row>
    <row r="511" spans="1:9" ht="13.5" x14ac:dyDescent="0.25">
      <c r="A511" s="3">
        <f>TITRES_STAT!B514</f>
        <v>45663</v>
      </c>
      <c r="B511" s="5">
        <f>TITRES_STAT!D514</f>
        <v>5.718</v>
      </c>
      <c r="C511" s="2">
        <f t="shared" si="63"/>
        <v>-5.7000000000000384E-2</v>
      </c>
      <c r="D511" s="2">
        <f t="shared" si="64"/>
        <v>0</v>
      </c>
      <c r="E511" s="2">
        <f t="shared" si="65"/>
        <v>5.7000000000000384E-2</v>
      </c>
      <c r="F511" s="2">
        <f t="shared" si="71"/>
        <v>7.7097004019101587E-3</v>
      </c>
      <c r="G511" s="2">
        <f t="shared" si="71"/>
        <v>1.3843478294624515E-2</v>
      </c>
      <c r="H511" s="2">
        <f t="shared" si="67"/>
        <v>0.55691931159410057</v>
      </c>
      <c r="I511" s="2">
        <f t="shared" si="68"/>
        <v>35.770595653019498</v>
      </c>
    </row>
    <row r="512" spans="1:9" ht="13.5" x14ac:dyDescent="0.25">
      <c r="A512" s="3">
        <f>TITRES_STAT!B515</f>
        <v>45664</v>
      </c>
      <c r="B512" s="5">
        <f>TITRES_STAT!D515</f>
        <v>5.7</v>
      </c>
      <c r="C512" s="2">
        <f t="shared" si="63"/>
        <v>-1.7999999999999794E-2</v>
      </c>
      <c r="D512" s="2">
        <f t="shared" si="64"/>
        <v>0</v>
      </c>
      <c r="E512" s="2">
        <f t="shared" si="65"/>
        <v>1.7999999999999794E-2</v>
      </c>
      <c r="F512" s="2">
        <f t="shared" si="71"/>
        <v>7.1590075160594333E-3</v>
      </c>
      <c r="G512" s="2">
        <f t="shared" si="71"/>
        <v>1.4140372702151321E-2</v>
      </c>
      <c r="H512" s="2">
        <f t="shared" si="67"/>
        <v>0.50628138782864329</v>
      </c>
      <c r="I512" s="2">
        <f t="shared" si="68"/>
        <v>33.611341939135656</v>
      </c>
    </row>
    <row r="513" spans="1:9" ht="13.5" x14ac:dyDescent="0.25">
      <c r="A513" s="3">
        <f>TITRES_STAT!B516</f>
        <v>45665</v>
      </c>
      <c r="B513" s="5">
        <f>TITRES_STAT!D516</f>
        <v>5.8120000000000003</v>
      </c>
      <c r="C513" s="2">
        <f t="shared" si="63"/>
        <v>0.1120000000000001</v>
      </c>
      <c r="D513" s="2">
        <f t="shared" si="64"/>
        <v>0.1120000000000001</v>
      </c>
      <c r="E513" s="2">
        <f t="shared" si="65"/>
        <v>0</v>
      </c>
      <c r="F513" s="2">
        <f t="shared" si="71"/>
        <v>1.464764983634091E-2</v>
      </c>
      <c r="G513" s="2">
        <f t="shared" si="71"/>
        <v>1.3130346080569084E-2</v>
      </c>
      <c r="H513" s="2">
        <f t="shared" si="67"/>
        <v>1.1155570269406079</v>
      </c>
      <c r="I513" s="2">
        <f t="shared" si="68"/>
        <v>52.73112531283828</v>
      </c>
    </row>
    <row r="514" spans="1:9" ht="13.5" x14ac:dyDescent="0.25">
      <c r="A514" s="3">
        <f>TITRES_STAT!B517</f>
        <v>45666</v>
      </c>
      <c r="B514" s="5">
        <f>TITRES_STAT!D517</f>
        <v>5.8120000000000003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1.3601389133745131E-2</v>
      </c>
      <c r="G514" s="2">
        <f t="shared" si="71"/>
        <v>1.2192464217671293E-2</v>
      </c>
      <c r="H514" s="2">
        <f t="shared" si="67"/>
        <v>1.1155570269406079</v>
      </c>
      <c r="I514" s="2">
        <f t="shared" si="68"/>
        <v>52.73112531283828</v>
      </c>
    </row>
    <row r="515" spans="1:9" ht="13.5" x14ac:dyDescent="0.25">
      <c r="A515" s="3">
        <f>TITRES_STAT!B518</f>
        <v>45667</v>
      </c>
      <c r="B515" s="5">
        <f>TITRES_STAT!D518</f>
        <v>5.8029999999999999</v>
      </c>
      <c r="C515" s="2">
        <f t="shared" ref="C515:C578" si="72">B515-B514</f>
        <v>-9.0000000000003411E-3</v>
      </c>
      <c r="D515" s="2">
        <f t="shared" ref="D515:D578" si="73">IF(C515&gt;0,C515,0)</f>
        <v>0</v>
      </c>
      <c r="E515" s="2">
        <f t="shared" ref="E515:E578" si="74">IF(C515&lt;0,-C515,0)</f>
        <v>9.0000000000003411E-3</v>
      </c>
      <c r="F515" s="2">
        <f t="shared" si="71"/>
        <v>1.2629861338477624E-2</v>
      </c>
      <c r="G515" s="2">
        <f t="shared" si="71"/>
        <v>1.1964431059266225E-2</v>
      </c>
      <c r="H515" s="2">
        <f t="shared" si="67"/>
        <v>1.0556173775347248</v>
      </c>
      <c r="I515" s="2">
        <f t="shared" si="68"/>
        <v>51.352814442574577</v>
      </c>
    </row>
    <row r="516" spans="1:9" ht="13.5" x14ac:dyDescent="0.25">
      <c r="A516" s="3">
        <f>TITRES_STAT!B519</f>
        <v>45670</v>
      </c>
      <c r="B516" s="5">
        <f>TITRES_STAT!D519</f>
        <v>5.8029999999999999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1.1727728385729221E-2</v>
      </c>
      <c r="G516" s="2">
        <f t="shared" si="71"/>
        <v>1.1109828840747208E-2</v>
      </c>
      <c r="H516" s="2">
        <f t="shared" si="67"/>
        <v>1.0556173775347248</v>
      </c>
      <c r="I516" s="2">
        <f t="shared" si="68"/>
        <v>51.352814442574577</v>
      </c>
    </row>
    <row r="517" spans="1:9" ht="13.5" x14ac:dyDescent="0.25">
      <c r="A517" s="3">
        <f>TITRES_STAT!B520</f>
        <v>45671</v>
      </c>
      <c r="B517" s="5">
        <f>TITRES_STAT!D520</f>
        <v>5.8029999999999999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1.0890033501034277E-2</v>
      </c>
      <c r="G517" s="2">
        <f t="shared" si="71"/>
        <v>1.0316269637836693E-2</v>
      </c>
      <c r="H517" s="2">
        <f t="shared" si="67"/>
        <v>1.0556173775347251</v>
      </c>
      <c r="I517" s="2">
        <f t="shared" si="68"/>
        <v>51.352814442574577</v>
      </c>
    </row>
    <row r="518" spans="1:9" ht="13.5" x14ac:dyDescent="0.25">
      <c r="A518" s="3">
        <f>TITRES_STAT!B521</f>
        <v>45672</v>
      </c>
      <c r="B518" s="5">
        <f>TITRES_STAT!D521</f>
        <v>5.7939999999999996</v>
      </c>
      <c r="C518" s="2">
        <f t="shared" si="72"/>
        <v>-9.0000000000003411E-3</v>
      </c>
      <c r="D518" s="2">
        <f t="shared" si="73"/>
        <v>0</v>
      </c>
      <c r="E518" s="2">
        <f t="shared" si="74"/>
        <v>9.0000000000003411E-3</v>
      </c>
      <c r="F518" s="2">
        <f t="shared" si="71"/>
        <v>1.0112173965246116E-2</v>
      </c>
      <c r="G518" s="2">
        <f t="shared" si="71"/>
        <v>1.0222250377991239E-2</v>
      </c>
      <c r="H518" s="2">
        <f t="shared" si="67"/>
        <v>0.98923168493484359</v>
      </c>
      <c r="I518" s="2">
        <f t="shared" si="68"/>
        <v>49.729334819400158</v>
      </c>
    </row>
    <row r="519" spans="1:9" ht="13.5" x14ac:dyDescent="0.25">
      <c r="A519" s="3">
        <f>TITRES_STAT!B522</f>
        <v>45673</v>
      </c>
      <c r="B519" s="5">
        <f>TITRES_STAT!D522</f>
        <v>5.7939999999999996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9.3898758248713941E-3</v>
      </c>
      <c r="G519" s="2">
        <f t="shared" si="71"/>
        <v>9.4920896367061518E-3</v>
      </c>
      <c r="H519" s="2">
        <f t="shared" si="67"/>
        <v>0.98923168493484359</v>
      </c>
      <c r="I519" s="2">
        <f t="shared" si="68"/>
        <v>49.729334819400158</v>
      </c>
    </row>
    <row r="520" spans="1:9" ht="13.5" x14ac:dyDescent="0.25">
      <c r="A520" s="3">
        <f>TITRES_STAT!B523</f>
        <v>45674</v>
      </c>
      <c r="B520" s="5">
        <f>TITRES_STAT!D523</f>
        <v>5.7839999999999998</v>
      </c>
      <c r="C520" s="2">
        <f t="shared" si="72"/>
        <v>-9.9999999999997868E-3</v>
      </c>
      <c r="D520" s="2">
        <f t="shared" si="73"/>
        <v>0</v>
      </c>
      <c r="E520" s="2">
        <f t="shared" si="74"/>
        <v>9.9999999999997868E-3</v>
      </c>
      <c r="F520" s="2">
        <f t="shared" si="71"/>
        <v>8.7191704088091515E-3</v>
      </c>
      <c r="G520" s="2">
        <f t="shared" si="71"/>
        <v>9.5283689483699838E-3</v>
      </c>
      <c r="H520" s="2">
        <f t="shared" si="67"/>
        <v>0.91507481039561744</v>
      </c>
      <c r="I520" s="2">
        <f t="shared" si="68"/>
        <v>47.782718744370129</v>
      </c>
    </row>
    <row r="521" spans="1:9" ht="13.5" x14ac:dyDescent="0.25">
      <c r="A521" s="3">
        <f>TITRES_STAT!B524</f>
        <v>45677</v>
      </c>
      <c r="B521" s="5">
        <f>TITRES_STAT!D524</f>
        <v>5.7839999999999998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8.0963725224656412E-3</v>
      </c>
      <c r="G521" s="2">
        <f t="shared" si="71"/>
        <v>8.8477711663435561E-3</v>
      </c>
      <c r="H521" s="2">
        <f t="shared" si="67"/>
        <v>0.91507481039561755</v>
      </c>
      <c r="I521" s="2">
        <f t="shared" si="68"/>
        <v>47.782718744370129</v>
      </c>
    </row>
    <row r="522" spans="1:9" ht="13.5" x14ac:dyDescent="0.25">
      <c r="A522" s="3">
        <f>TITRES_STAT!B525</f>
        <v>45678</v>
      </c>
      <c r="B522" s="5">
        <f>TITRES_STAT!D525</f>
        <v>5.7560000000000002</v>
      </c>
      <c r="C522" s="2">
        <f t="shared" si="72"/>
        <v>-2.7999999999999581E-2</v>
      </c>
      <c r="D522" s="2">
        <f t="shared" si="73"/>
        <v>0</v>
      </c>
      <c r="E522" s="2">
        <f t="shared" si="74"/>
        <v>2.7999999999999581E-2</v>
      </c>
      <c r="F522" s="2">
        <f t="shared" si="71"/>
        <v>7.5180601994323812E-3</v>
      </c>
      <c r="G522" s="2">
        <f t="shared" si="71"/>
        <v>1.0215787511604702E-2</v>
      </c>
      <c r="H522" s="2">
        <f t="shared" si="67"/>
        <v>0.73592566318476993</v>
      </c>
      <c r="I522" s="2">
        <f t="shared" si="68"/>
        <v>42.393846625587841</v>
      </c>
    </row>
    <row r="523" spans="1:9" ht="13.5" x14ac:dyDescent="0.25">
      <c r="A523" s="3">
        <f>TITRES_STAT!B526</f>
        <v>45679</v>
      </c>
      <c r="B523" s="5">
        <f>TITRES_STAT!D526</f>
        <v>5.7560000000000002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6.9810558994729257E-3</v>
      </c>
      <c r="G523" s="2">
        <f t="shared" si="71"/>
        <v>9.486088403632938E-3</v>
      </c>
      <c r="H523" s="2">
        <f t="shared" si="67"/>
        <v>0.73592566318476993</v>
      </c>
      <c r="I523" s="2">
        <f t="shared" si="68"/>
        <v>42.393846625587841</v>
      </c>
    </row>
    <row r="524" spans="1:9" ht="13.5" x14ac:dyDescent="0.25">
      <c r="A524" s="3">
        <f>TITRES_STAT!B527</f>
        <v>45680</v>
      </c>
      <c r="B524" s="5">
        <f>TITRES_STAT!D527</f>
        <v>5.7279999999999998</v>
      </c>
      <c r="C524" s="2">
        <f t="shared" si="72"/>
        <v>-2.8000000000000469E-2</v>
      </c>
      <c r="D524" s="2">
        <f t="shared" si="73"/>
        <v>0</v>
      </c>
      <c r="E524" s="2">
        <f t="shared" si="74"/>
        <v>2.8000000000000469E-2</v>
      </c>
      <c r="F524" s="2">
        <f t="shared" si="71"/>
        <v>6.4824090495105733E-3</v>
      </c>
      <c r="G524" s="2">
        <f t="shared" si="71"/>
        <v>1.0808510660516333E-2</v>
      </c>
      <c r="H524" s="2">
        <f t="shared" si="67"/>
        <v>0.5997504423242066</v>
      </c>
      <c r="I524" s="2">
        <f t="shared" si="68"/>
        <v>37.490250132567908</v>
      </c>
    </row>
    <row r="525" spans="1:9" ht="13.5" x14ac:dyDescent="0.25">
      <c r="A525" s="3">
        <f>TITRES_STAT!B528</f>
        <v>45681</v>
      </c>
      <c r="B525" s="5">
        <f>TITRES_STAT!D528</f>
        <v>5.7279999999999998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6.0193798316883892E-3</v>
      </c>
      <c r="G525" s="2">
        <f t="shared" si="75"/>
        <v>1.0036474184765167E-2</v>
      </c>
      <c r="H525" s="2">
        <f t="shared" si="67"/>
        <v>0.5997504423242066</v>
      </c>
      <c r="I525" s="2">
        <f t="shared" si="68"/>
        <v>37.490250132567908</v>
      </c>
    </row>
    <row r="526" spans="1:9" ht="13.5" x14ac:dyDescent="0.25">
      <c r="A526" s="3">
        <f>TITRES_STAT!B529</f>
        <v>45684</v>
      </c>
      <c r="B526" s="5">
        <f>TITRES_STAT!D529</f>
        <v>5.7560000000000002</v>
      </c>
      <c r="C526" s="2">
        <f t="shared" si="72"/>
        <v>2.8000000000000469E-2</v>
      </c>
      <c r="D526" s="2">
        <f t="shared" si="73"/>
        <v>2.8000000000000469E-2</v>
      </c>
      <c r="E526" s="2">
        <f t="shared" si="74"/>
        <v>0</v>
      </c>
      <c r="F526" s="2">
        <f t="shared" si="75"/>
        <v>7.5894241294249664E-3</v>
      </c>
      <c r="G526" s="2">
        <f t="shared" si="75"/>
        <v>9.3195831715676553E-3</v>
      </c>
      <c r="H526" s="2">
        <f t="shared" si="67"/>
        <v>0.81435231487379311</v>
      </c>
      <c r="I526" s="2">
        <f t="shared" si="68"/>
        <v>44.883913019420362</v>
      </c>
    </row>
    <row r="527" spans="1:9" ht="13.5" x14ac:dyDescent="0.25">
      <c r="A527" s="3">
        <f>TITRES_STAT!B530</f>
        <v>45685</v>
      </c>
      <c r="B527" s="5">
        <f>TITRES_STAT!D530</f>
        <v>5.7560000000000002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7.0473224058946113E-3</v>
      </c>
      <c r="G527" s="2">
        <f t="shared" si="75"/>
        <v>8.6538986593128232E-3</v>
      </c>
      <c r="H527" s="2">
        <f t="shared" si="67"/>
        <v>0.814352314873793</v>
      </c>
      <c r="I527" s="2">
        <f t="shared" si="68"/>
        <v>44.883913019420355</v>
      </c>
    </row>
    <row r="528" spans="1:9" ht="13.5" x14ac:dyDescent="0.25">
      <c r="A528" s="3">
        <f>TITRES_STAT!B531</f>
        <v>45686</v>
      </c>
      <c r="B528" s="5">
        <f>TITRES_STAT!D531</f>
        <v>5.7560000000000002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6.5439422340449966E-3</v>
      </c>
      <c r="G528" s="2">
        <f t="shared" si="75"/>
        <v>8.0357630407904782E-3</v>
      </c>
      <c r="H528" s="2">
        <f t="shared" si="67"/>
        <v>0.81435231487379311</v>
      </c>
      <c r="I528" s="2">
        <f t="shared" si="68"/>
        <v>44.883913019420362</v>
      </c>
    </row>
    <row r="529" spans="1:9" ht="13.5" x14ac:dyDescent="0.25">
      <c r="A529" s="3">
        <f>TITRES_STAT!B532</f>
        <v>45687</v>
      </c>
      <c r="B529" s="5">
        <f>TITRES_STAT!D532</f>
        <v>5.7469999999999999</v>
      </c>
      <c r="C529" s="2">
        <f t="shared" si="72"/>
        <v>-9.0000000000003411E-3</v>
      </c>
      <c r="D529" s="2">
        <f t="shared" si="73"/>
        <v>0</v>
      </c>
      <c r="E529" s="2">
        <f t="shared" si="74"/>
        <v>9.0000000000003411E-3</v>
      </c>
      <c r="F529" s="2">
        <f t="shared" si="75"/>
        <v>6.0765177887560683E-3</v>
      </c>
      <c r="G529" s="2">
        <f t="shared" si="75"/>
        <v>8.1046371093054688E-3</v>
      </c>
      <c r="H529" s="2">
        <f t="shared" ref="H529:H592" si="76">F529/G529</f>
        <v>0.74975815780563659</v>
      </c>
      <c r="I529" s="2">
        <f t="shared" ref="I529:I592" si="77">IF(G529=0,100,100-(100/(1+H529)))</f>
        <v>42.849244877698112</v>
      </c>
    </row>
    <row r="530" spans="1:9" ht="13.5" x14ac:dyDescent="0.25">
      <c r="A530" s="3">
        <f>TITRES_STAT!B533</f>
        <v>45688</v>
      </c>
      <c r="B530" s="5">
        <f>TITRES_STAT!D533</f>
        <v>5.7469999999999999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5.6424808038449204E-3</v>
      </c>
      <c r="G530" s="2">
        <f t="shared" si="75"/>
        <v>7.5257344586407921E-3</v>
      </c>
      <c r="H530" s="2">
        <f t="shared" si="76"/>
        <v>0.74975815780563659</v>
      </c>
      <c r="I530" s="2">
        <f t="shared" si="77"/>
        <v>42.849244877698112</v>
      </c>
    </row>
    <row r="531" spans="1:9" ht="13.5" x14ac:dyDescent="0.25">
      <c r="A531" s="3">
        <f>TITRES_STAT!B534</f>
        <v>45691</v>
      </c>
      <c r="B531" s="5">
        <f>TITRES_STAT!D534</f>
        <v>5.8120000000000003</v>
      </c>
      <c r="C531" s="2">
        <f t="shared" si="72"/>
        <v>6.5000000000000391E-2</v>
      </c>
      <c r="D531" s="2">
        <f t="shared" si="73"/>
        <v>6.5000000000000391E-2</v>
      </c>
      <c r="E531" s="2">
        <f t="shared" si="74"/>
        <v>0</v>
      </c>
      <c r="F531" s="2">
        <f t="shared" si="75"/>
        <v>9.8823036035703103E-3</v>
      </c>
      <c r="G531" s="2">
        <f t="shared" si="75"/>
        <v>6.9881819973093067E-3</v>
      </c>
      <c r="H531" s="2">
        <f t="shared" si="76"/>
        <v>1.4141451392329709</v>
      </c>
      <c r="I531" s="2">
        <f t="shared" si="77"/>
        <v>58.577469773929053</v>
      </c>
    </row>
    <row r="532" spans="1:9" ht="13.5" x14ac:dyDescent="0.25">
      <c r="A532" s="3">
        <f>TITRES_STAT!B535</f>
        <v>45692</v>
      </c>
      <c r="B532" s="5">
        <f>TITRES_STAT!D535</f>
        <v>5.8120000000000003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9.1764247747438583E-3</v>
      </c>
      <c r="G532" s="2">
        <f t="shared" si="75"/>
        <v>6.4890261403586424E-3</v>
      </c>
      <c r="H532" s="2">
        <f t="shared" si="76"/>
        <v>1.4141451392329707</v>
      </c>
      <c r="I532" s="2">
        <f t="shared" si="77"/>
        <v>58.577469773929039</v>
      </c>
    </row>
    <row r="533" spans="1:9" ht="13.5" x14ac:dyDescent="0.25">
      <c r="A533" s="3">
        <f>TITRES_STAT!B536</f>
        <v>45693</v>
      </c>
      <c r="B533" s="5">
        <f>TITRES_STAT!D536</f>
        <v>5.8120000000000003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8.5209658622621542E-3</v>
      </c>
      <c r="G533" s="2">
        <f t="shared" si="75"/>
        <v>6.0255242731901684E-3</v>
      </c>
      <c r="H533" s="2">
        <f t="shared" si="76"/>
        <v>1.4141451392329705</v>
      </c>
      <c r="I533" s="2">
        <f t="shared" si="77"/>
        <v>58.577469773929039</v>
      </c>
    </row>
    <row r="534" spans="1:9" ht="13.5" x14ac:dyDescent="0.25">
      <c r="A534" s="3">
        <f>TITRES_STAT!B537</f>
        <v>45694</v>
      </c>
      <c r="B534" s="5">
        <f>TITRES_STAT!D537</f>
        <v>5.8120000000000003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7.9123254435291435E-3</v>
      </c>
      <c r="G534" s="2">
        <f t="shared" si="75"/>
        <v>5.5951296822480132E-3</v>
      </c>
      <c r="H534" s="2">
        <f t="shared" si="76"/>
        <v>1.4141451392329707</v>
      </c>
      <c r="I534" s="2">
        <f t="shared" si="77"/>
        <v>58.577469773929039</v>
      </c>
    </row>
    <row r="535" spans="1:9" ht="13.5" x14ac:dyDescent="0.25">
      <c r="A535" s="3">
        <f>TITRES_STAT!B538</f>
        <v>45695</v>
      </c>
      <c r="B535" s="5">
        <f>TITRES_STAT!D538</f>
        <v>5.7469999999999999</v>
      </c>
      <c r="C535" s="2">
        <f t="shared" si="72"/>
        <v>-6.5000000000000391E-2</v>
      </c>
      <c r="D535" s="2">
        <f t="shared" si="73"/>
        <v>0</v>
      </c>
      <c r="E535" s="2">
        <f t="shared" si="74"/>
        <v>6.5000000000000391E-2</v>
      </c>
      <c r="F535" s="2">
        <f t="shared" si="75"/>
        <v>7.3471593404199195E-3</v>
      </c>
      <c r="G535" s="2">
        <f t="shared" si="75"/>
        <v>9.8383347049446103E-3</v>
      </c>
      <c r="H535" s="2">
        <f t="shared" si="76"/>
        <v>0.74678891913764012</v>
      </c>
      <c r="I535" s="2">
        <f t="shared" si="77"/>
        <v>42.752098490887903</v>
      </c>
    </row>
    <row r="536" spans="1:9" ht="13.5" x14ac:dyDescent="0.25">
      <c r="A536" s="3">
        <f>TITRES_STAT!B539</f>
        <v>45698</v>
      </c>
      <c r="B536" s="5">
        <f>TITRES_STAT!D539</f>
        <v>5.681</v>
      </c>
      <c r="C536" s="2">
        <f t="shared" si="72"/>
        <v>-6.5999999999999837E-2</v>
      </c>
      <c r="D536" s="2">
        <f t="shared" si="73"/>
        <v>0</v>
      </c>
      <c r="E536" s="2">
        <f t="shared" si="74"/>
        <v>6.5999999999999837E-2</v>
      </c>
      <c r="F536" s="2">
        <f t="shared" si="75"/>
        <v>6.8223622446756393E-3</v>
      </c>
      <c r="G536" s="2">
        <f t="shared" si="75"/>
        <v>1.3849882226019985E-2</v>
      </c>
      <c r="H536" s="2">
        <f t="shared" si="76"/>
        <v>0.49259352053249689</v>
      </c>
      <c r="I536" s="2">
        <f t="shared" si="77"/>
        <v>33.002523041689173</v>
      </c>
    </row>
    <row r="537" spans="1:9" ht="13.5" x14ac:dyDescent="0.25">
      <c r="A537" s="3">
        <f>TITRES_STAT!B540</f>
        <v>45699</v>
      </c>
      <c r="B537" s="5">
        <f>TITRES_STAT!D540</f>
        <v>5.718</v>
      </c>
      <c r="C537" s="2">
        <f t="shared" si="72"/>
        <v>3.6999999999999922E-2</v>
      </c>
      <c r="D537" s="2">
        <f t="shared" si="73"/>
        <v>3.6999999999999922E-2</v>
      </c>
      <c r="E537" s="2">
        <f t="shared" si="74"/>
        <v>0</v>
      </c>
      <c r="F537" s="2">
        <f t="shared" si="75"/>
        <v>8.9779077986273745E-3</v>
      </c>
      <c r="G537" s="2">
        <f t="shared" si="75"/>
        <v>1.2860604924161414E-2</v>
      </c>
      <c r="H537" s="2">
        <f t="shared" si="76"/>
        <v>0.69809374065759866</v>
      </c>
      <c r="I537" s="2">
        <f t="shared" si="77"/>
        <v>41.110436010868106</v>
      </c>
    </row>
    <row r="538" spans="1:9" ht="13.5" x14ac:dyDescent="0.25">
      <c r="A538" s="3">
        <f>TITRES_STAT!B541</f>
        <v>45700</v>
      </c>
      <c r="B538" s="5">
        <f>TITRES_STAT!D541</f>
        <v>5.718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8.33662867015399E-3</v>
      </c>
      <c r="G538" s="2">
        <f t="shared" si="75"/>
        <v>1.1941990286721313E-2</v>
      </c>
      <c r="H538" s="2">
        <f t="shared" si="76"/>
        <v>0.69809374065759866</v>
      </c>
      <c r="I538" s="2">
        <f t="shared" si="77"/>
        <v>41.110436010868106</v>
      </c>
    </row>
    <row r="539" spans="1:9" ht="13.5" x14ac:dyDescent="0.25">
      <c r="A539" s="3">
        <f>TITRES_STAT!B542</f>
        <v>45701</v>
      </c>
      <c r="B539" s="5">
        <f>TITRES_STAT!D542</f>
        <v>5.681</v>
      </c>
      <c r="C539" s="2">
        <f t="shared" si="72"/>
        <v>-3.6999999999999922E-2</v>
      </c>
      <c r="D539" s="2">
        <f t="shared" si="73"/>
        <v>0</v>
      </c>
      <c r="E539" s="2">
        <f t="shared" si="74"/>
        <v>3.6999999999999922E-2</v>
      </c>
      <c r="F539" s="2">
        <f t="shared" si="75"/>
        <v>7.7411551937144191E-3</v>
      </c>
      <c r="G539" s="2">
        <f t="shared" si="75"/>
        <v>1.3731848123384072E-2</v>
      </c>
      <c r="H539" s="2">
        <f t="shared" si="76"/>
        <v>0.56373731519298886</v>
      </c>
      <c r="I539" s="2">
        <f t="shared" si="77"/>
        <v>36.050640329153687</v>
      </c>
    </row>
    <row r="540" spans="1:9" ht="13.5" x14ac:dyDescent="0.25">
      <c r="A540" s="3">
        <f>TITRES_STAT!B543</f>
        <v>45702</v>
      </c>
      <c r="B540" s="5">
        <f>TITRES_STAT!D543</f>
        <v>5.681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7.1882155370205317E-3</v>
      </c>
      <c r="G540" s="2">
        <f t="shared" si="75"/>
        <v>1.2751001828856637E-2</v>
      </c>
      <c r="H540" s="2">
        <f t="shared" si="76"/>
        <v>0.56373731519298886</v>
      </c>
      <c r="I540" s="2">
        <f t="shared" si="77"/>
        <v>36.050640329153687</v>
      </c>
    </row>
    <row r="541" spans="1:9" ht="13.5" x14ac:dyDescent="0.25">
      <c r="A541" s="3">
        <f>TITRES_STAT!B544</f>
        <v>45705</v>
      </c>
      <c r="B541" s="5">
        <f>TITRES_STAT!D544</f>
        <v>5.681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6.6747715700904934E-3</v>
      </c>
      <c r="G541" s="2">
        <f t="shared" si="78"/>
        <v>1.1840215983938307E-2</v>
      </c>
      <c r="H541" s="2">
        <f t="shared" si="76"/>
        <v>0.56373731519298875</v>
      </c>
      <c r="I541" s="2">
        <f t="shared" si="77"/>
        <v>36.050640329153687</v>
      </c>
    </row>
    <row r="542" spans="1:9" ht="13.5" x14ac:dyDescent="0.25">
      <c r="A542" s="3">
        <f>TITRES_STAT!B545</f>
        <v>45706</v>
      </c>
      <c r="B542" s="5">
        <f>TITRES_STAT!D545</f>
        <v>5.681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6.1980021722268866E-3</v>
      </c>
      <c r="G542" s="2">
        <f t="shared" si="78"/>
        <v>1.0994486270799856E-2</v>
      </c>
      <c r="H542" s="2">
        <f t="shared" si="76"/>
        <v>0.56373731519298886</v>
      </c>
      <c r="I542" s="2">
        <f t="shared" si="77"/>
        <v>36.050640329153687</v>
      </c>
    </row>
    <row r="543" spans="1:9" ht="13.5" x14ac:dyDescent="0.25">
      <c r="A543" s="3">
        <f>TITRES_STAT!B546</f>
        <v>45707</v>
      </c>
      <c r="B543" s="5">
        <f>TITRES_STAT!D546</f>
        <v>5.681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5.7552877313535372E-3</v>
      </c>
      <c r="G543" s="2">
        <f t="shared" si="78"/>
        <v>1.0209165822885582E-2</v>
      </c>
      <c r="H543" s="2">
        <f t="shared" si="76"/>
        <v>0.56373731519298875</v>
      </c>
      <c r="I543" s="2">
        <f t="shared" si="77"/>
        <v>36.050640329153687</v>
      </c>
    </row>
    <row r="544" spans="1:9" ht="13.5" x14ac:dyDescent="0.25">
      <c r="A544" s="3">
        <f>TITRES_STAT!B547</f>
        <v>45708</v>
      </c>
      <c r="B544" s="5">
        <f>TITRES_STAT!D547</f>
        <v>5.6719999999999997</v>
      </c>
      <c r="C544" s="2">
        <f t="shared" si="72"/>
        <v>-9.0000000000003411E-3</v>
      </c>
      <c r="D544" s="2">
        <f t="shared" si="73"/>
        <v>0</v>
      </c>
      <c r="E544" s="2">
        <f t="shared" si="74"/>
        <v>9.0000000000003411E-3</v>
      </c>
      <c r="F544" s="2">
        <f t="shared" si="78"/>
        <v>5.3441957505425703E-3</v>
      </c>
      <c r="G544" s="2">
        <f t="shared" si="78"/>
        <v>1.0122796835536635E-2</v>
      </c>
      <c r="H544" s="2">
        <f t="shared" si="76"/>
        <v>0.52793667969127633</v>
      </c>
      <c r="I544" s="2">
        <f t="shared" si="77"/>
        <v>34.552261668196053</v>
      </c>
    </row>
    <row r="545" spans="1:9" ht="13.5" x14ac:dyDescent="0.25">
      <c r="A545" s="3">
        <f>TITRES_STAT!B548</f>
        <v>45709</v>
      </c>
      <c r="B545" s="5">
        <f>TITRES_STAT!D548</f>
        <v>5.6340000000000003</v>
      </c>
      <c r="C545" s="2">
        <f t="shared" si="72"/>
        <v>-3.7999999999999368E-2</v>
      </c>
      <c r="D545" s="2">
        <f t="shared" si="73"/>
        <v>0</v>
      </c>
      <c r="E545" s="2">
        <f t="shared" si="74"/>
        <v>3.7999999999999368E-2</v>
      </c>
      <c r="F545" s="2">
        <f t="shared" si="78"/>
        <v>4.9624674826466725E-3</v>
      </c>
      <c r="G545" s="2">
        <f t="shared" si="78"/>
        <v>1.2114025632998257E-2</v>
      </c>
      <c r="H545" s="2">
        <f t="shared" si="76"/>
        <v>0.40964644066205819</v>
      </c>
      <c r="I545" s="2">
        <f t="shared" si="77"/>
        <v>29.060225943582182</v>
      </c>
    </row>
    <row r="546" spans="1:9" ht="13.5" x14ac:dyDescent="0.25">
      <c r="A546" s="3">
        <f>TITRES_STAT!B549</f>
        <v>45712</v>
      </c>
      <c r="B546" s="5">
        <f>TITRES_STAT!D549</f>
        <v>5.625</v>
      </c>
      <c r="C546" s="2">
        <f t="shared" si="72"/>
        <v>-9.0000000000003411E-3</v>
      </c>
      <c r="D546" s="2">
        <f t="shared" si="73"/>
        <v>0</v>
      </c>
      <c r="E546" s="2">
        <f t="shared" si="74"/>
        <v>9.0000000000003411E-3</v>
      </c>
      <c r="F546" s="2">
        <f t="shared" si="78"/>
        <v>4.6080055196004817E-3</v>
      </c>
      <c r="G546" s="2">
        <f t="shared" si="78"/>
        <v>1.1891595230641263E-2</v>
      </c>
      <c r="H546" s="2">
        <f t="shared" si="76"/>
        <v>0.38750104003935154</v>
      </c>
      <c r="I546" s="2">
        <f t="shared" si="77"/>
        <v>27.92798195152065</v>
      </c>
    </row>
    <row r="547" spans="1:9" ht="13.5" x14ac:dyDescent="0.25">
      <c r="A547" s="3">
        <f>TITRES_STAT!B550</f>
        <v>45713</v>
      </c>
      <c r="B547" s="5">
        <f>TITRES_STAT!D550</f>
        <v>5.6340000000000003</v>
      </c>
      <c r="C547" s="2">
        <f t="shared" si="72"/>
        <v>9.0000000000003411E-3</v>
      </c>
      <c r="D547" s="2">
        <f t="shared" si="73"/>
        <v>9.0000000000003411E-3</v>
      </c>
      <c r="E547" s="2">
        <f t="shared" si="74"/>
        <v>0</v>
      </c>
      <c r="F547" s="2">
        <f t="shared" si="78"/>
        <v>4.9217194110576148E-3</v>
      </c>
      <c r="G547" s="2">
        <f t="shared" si="78"/>
        <v>1.1042195571309744E-2</v>
      </c>
      <c r="H547" s="2">
        <f t="shared" si="76"/>
        <v>0.44571927559818042</v>
      </c>
      <c r="I547" s="2">
        <f t="shared" si="77"/>
        <v>30.830278265035915</v>
      </c>
    </row>
    <row r="548" spans="1:9" ht="13.5" x14ac:dyDescent="0.25">
      <c r="A548" s="3">
        <f>TITRES_STAT!B551</f>
        <v>45714</v>
      </c>
      <c r="B548" s="5">
        <f>TITRES_STAT!D551</f>
        <v>5.6340000000000003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4.5701680245534993E-3</v>
      </c>
      <c r="G548" s="2">
        <f t="shared" si="78"/>
        <v>1.0253467316216191E-2</v>
      </c>
      <c r="H548" s="2">
        <f t="shared" si="76"/>
        <v>0.44571927559818036</v>
      </c>
      <c r="I548" s="2">
        <f t="shared" si="77"/>
        <v>30.830278265035901</v>
      </c>
    </row>
    <row r="549" spans="1:9" ht="13.5" x14ac:dyDescent="0.25">
      <c r="A549" s="3">
        <f>TITRES_STAT!B552</f>
        <v>45715</v>
      </c>
      <c r="B549" s="5">
        <f>TITRES_STAT!D552</f>
        <v>5.5309999999999997</v>
      </c>
      <c r="C549" s="2">
        <f t="shared" si="72"/>
        <v>-0.10300000000000065</v>
      </c>
      <c r="D549" s="2">
        <f t="shared" si="73"/>
        <v>0</v>
      </c>
      <c r="E549" s="2">
        <f t="shared" si="74"/>
        <v>0.10300000000000065</v>
      </c>
      <c r="F549" s="2">
        <f t="shared" si="78"/>
        <v>4.2437274513711064E-3</v>
      </c>
      <c r="G549" s="2">
        <f t="shared" si="78"/>
        <v>1.6878219650772224E-2</v>
      </c>
      <c r="H549" s="2">
        <f t="shared" si="76"/>
        <v>0.25143217348619729</v>
      </c>
      <c r="I549" s="2">
        <f t="shared" si="77"/>
        <v>20.091554205911621</v>
      </c>
    </row>
    <row r="550" spans="1:9" ht="13.5" x14ac:dyDescent="0.25">
      <c r="A550" s="3">
        <f>TITRES_STAT!B553</f>
        <v>45716</v>
      </c>
      <c r="B550" s="5">
        <f>TITRES_STAT!D553</f>
        <v>5.5309999999999997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3.9406040619874563E-3</v>
      </c>
      <c r="G550" s="2">
        <f t="shared" si="78"/>
        <v>1.5672632532859922E-2</v>
      </c>
      <c r="H550" s="2">
        <f t="shared" si="76"/>
        <v>0.25143217348619734</v>
      </c>
      <c r="I550" s="2">
        <f t="shared" si="77"/>
        <v>20.091554205911621</v>
      </c>
    </row>
    <row r="551" spans="1:9" ht="13.5" x14ac:dyDescent="0.25">
      <c r="A551" s="3">
        <f>TITRES_STAT!B554</f>
        <v>45719</v>
      </c>
      <c r="B551" s="5">
        <f>TITRES_STAT!D554</f>
        <v>5.4459999999999997</v>
      </c>
      <c r="C551" s="2">
        <f t="shared" si="72"/>
        <v>-8.4999999999999964E-2</v>
      </c>
      <c r="D551" s="2">
        <f t="shared" si="73"/>
        <v>0</v>
      </c>
      <c r="E551" s="2">
        <f t="shared" si="74"/>
        <v>8.4999999999999964E-2</v>
      </c>
      <c r="F551" s="2">
        <f t="shared" si="78"/>
        <v>3.6591323432740666E-3</v>
      </c>
      <c r="G551" s="2">
        <f t="shared" si="78"/>
        <v>2.0624587351941354E-2</v>
      </c>
      <c r="H551" s="2">
        <f t="shared" si="76"/>
        <v>0.17741602684378746</v>
      </c>
      <c r="I551" s="2">
        <f t="shared" si="77"/>
        <v>15.068253089723399</v>
      </c>
    </row>
    <row r="552" spans="1:9" ht="13.5" x14ac:dyDescent="0.25">
      <c r="A552" s="3">
        <f>TITRES_STAT!B555</f>
        <v>45720</v>
      </c>
      <c r="B552" s="5">
        <f>TITRES_STAT!D555</f>
        <v>5.4459999999999997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3.3977657473259191E-3</v>
      </c>
      <c r="G552" s="2">
        <f t="shared" si="78"/>
        <v>1.9151402541088401E-2</v>
      </c>
      <c r="H552" s="2">
        <f t="shared" si="76"/>
        <v>0.17741602684378746</v>
      </c>
      <c r="I552" s="2">
        <f t="shared" si="77"/>
        <v>15.068253089723399</v>
      </c>
    </row>
    <row r="553" spans="1:9" ht="13.5" x14ac:dyDescent="0.25">
      <c r="A553" s="3">
        <f>TITRES_STAT!B556</f>
        <v>45721</v>
      </c>
      <c r="B553" s="5">
        <f>TITRES_STAT!D556</f>
        <v>5.5869999999999997</v>
      </c>
      <c r="C553" s="2">
        <f t="shared" si="72"/>
        <v>0.14100000000000001</v>
      </c>
      <c r="D553" s="2">
        <f t="shared" si="73"/>
        <v>0.14100000000000001</v>
      </c>
      <c r="E553" s="2">
        <f t="shared" si="74"/>
        <v>0</v>
      </c>
      <c r="F553" s="2">
        <f t="shared" si="78"/>
        <v>1.322649676537407E-2</v>
      </c>
      <c r="G553" s="2">
        <f t="shared" si="78"/>
        <v>1.7783445216724945E-2</v>
      </c>
      <c r="H553" s="2">
        <f t="shared" si="76"/>
        <v>0.74375333936614463</v>
      </c>
      <c r="I553" s="2">
        <f t="shared" si="77"/>
        <v>42.65243957247413</v>
      </c>
    </row>
    <row r="554" spans="1:9" ht="13.5" x14ac:dyDescent="0.25">
      <c r="A554" s="3">
        <f>TITRES_STAT!B557</f>
        <v>45722</v>
      </c>
      <c r="B554" s="5">
        <f>TITRES_STAT!D557</f>
        <v>5.5960000000000001</v>
      </c>
      <c r="C554" s="2">
        <f t="shared" si="72"/>
        <v>9.0000000000003411E-3</v>
      </c>
      <c r="D554" s="2">
        <f t="shared" si="73"/>
        <v>9.0000000000003411E-3</v>
      </c>
      <c r="E554" s="2">
        <f t="shared" si="74"/>
        <v>0</v>
      </c>
      <c r="F554" s="2">
        <f t="shared" si="78"/>
        <v>1.2924604139275946E-2</v>
      </c>
      <c r="G554" s="2">
        <f t="shared" si="78"/>
        <v>1.6513199129816022E-2</v>
      </c>
      <c r="H554" s="2">
        <f t="shared" si="76"/>
        <v>0.78268323646260918</v>
      </c>
      <c r="I554" s="2">
        <f t="shared" si="77"/>
        <v>43.904784678162621</v>
      </c>
    </row>
    <row r="555" spans="1:9" ht="13.5" x14ac:dyDescent="0.25">
      <c r="A555" s="3">
        <f>TITRES_STAT!B558</f>
        <v>45723</v>
      </c>
      <c r="B555" s="5">
        <f>TITRES_STAT!D558</f>
        <v>5.5869999999999997</v>
      </c>
      <c r="C555" s="2">
        <f t="shared" si="72"/>
        <v>-9.0000000000003411E-3</v>
      </c>
      <c r="D555" s="2">
        <f t="shared" si="73"/>
        <v>0</v>
      </c>
      <c r="E555" s="2">
        <f t="shared" si="74"/>
        <v>9.0000000000003411E-3</v>
      </c>
      <c r="F555" s="2">
        <f t="shared" si="78"/>
        <v>1.2001418129327663E-2</v>
      </c>
      <c r="G555" s="2">
        <f t="shared" si="78"/>
        <v>1.5976542049114899E-2</v>
      </c>
      <c r="H555" s="2">
        <f t="shared" si="76"/>
        <v>0.75118996917061542</v>
      </c>
      <c r="I555" s="2">
        <f t="shared" si="77"/>
        <v>42.895972589792073</v>
      </c>
    </row>
    <row r="556" spans="1:9" ht="13.5" x14ac:dyDescent="0.25">
      <c r="A556" s="3">
        <f>TITRES_STAT!B559</f>
        <v>45726</v>
      </c>
      <c r="B556" s="5">
        <f>TITRES_STAT!D559</f>
        <v>5.5869999999999997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1.114417397723283E-2</v>
      </c>
      <c r="G556" s="2">
        <f t="shared" si="78"/>
        <v>1.4835360474178121E-2</v>
      </c>
      <c r="H556" s="2">
        <f t="shared" si="76"/>
        <v>0.75118996917061542</v>
      </c>
      <c r="I556" s="2">
        <f t="shared" si="77"/>
        <v>42.895972589792073</v>
      </c>
    </row>
    <row r="557" spans="1:9" ht="13.5" x14ac:dyDescent="0.25">
      <c r="A557" s="3">
        <f>TITRES_STAT!B560</f>
        <v>45727</v>
      </c>
      <c r="B557" s="5">
        <f>TITRES_STAT!D560</f>
        <v>5.4930000000000003</v>
      </c>
      <c r="C557" s="2">
        <f t="shared" si="72"/>
        <v>-9.3999999999999417E-2</v>
      </c>
      <c r="D557" s="2">
        <f t="shared" si="73"/>
        <v>0</v>
      </c>
      <c r="E557" s="2">
        <f t="shared" si="74"/>
        <v>9.3999999999999417E-2</v>
      </c>
      <c r="F557" s="2">
        <f t="shared" ref="F557:G572" si="79">((F556*13)+D557)/14</f>
        <v>1.0348161550287628E-2</v>
      </c>
      <c r="G557" s="2">
        <f t="shared" si="79"/>
        <v>2.0489977583165359E-2</v>
      </c>
      <c r="H557" s="2">
        <f t="shared" si="76"/>
        <v>0.50503527923767544</v>
      </c>
      <c r="I557" s="2">
        <f t="shared" si="77"/>
        <v>33.556374804282598</v>
      </c>
    </row>
    <row r="558" spans="1:9" ht="13.5" x14ac:dyDescent="0.25">
      <c r="A558" s="3">
        <f>TITRES_STAT!B561</f>
        <v>45728</v>
      </c>
      <c r="B558" s="5">
        <f>TITRES_STAT!D561</f>
        <v>5.4649999999999999</v>
      </c>
      <c r="C558" s="2">
        <f t="shared" si="72"/>
        <v>-2.8000000000000469E-2</v>
      </c>
      <c r="D558" s="2">
        <f t="shared" si="73"/>
        <v>0</v>
      </c>
      <c r="E558" s="2">
        <f t="shared" si="74"/>
        <v>2.8000000000000469E-2</v>
      </c>
      <c r="F558" s="2">
        <f t="shared" si="79"/>
        <v>9.6090071538385124E-3</v>
      </c>
      <c r="G558" s="2">
        <f t="shared" si="79"/>
        <v>2.102640775579644E-2</v>
      </c>
      <c r="H558" s="2">
        <f t="shared" si="76"/>
        <v>0.45699708982337017</v>
      </c>
      <c r="I558" s="2">
        <f t="shared" si="77"/>
        <v>31.365683089921021</v>
      </c>
    </row>
    <row r="559" spans="1:9" ht="13.5" x14ac:dyDescent="0.25">
      <c r="A559" s="3">
        <f>TITRES_STAT!B562</f>
        <v>45729</v>
      </c>
      <c r="B559" s="5">
        <f>TITRES_STAT!D562</f>
        <v>5.4180000000000001</v>
      </c>
      <c r="C559" s="2">
        <f t="shared" si="72"/>
        <v>-4.6999999999999709E-2</v>
      </c>
      <c r="D559" s="2">
        <f t="shared" si="73"/>
        <v>0</v>
      </c>
      <c r="E559" s="2">
        <f t="shared" si="74"/>
        <v>4.6999999999999709E-2</v>
      </c>
      <c r="F559" s="2">
        <f t="shared" si="79"/>
        <v>8.9226494999929042E-3</v>
      </c>
      <c r="G559" s="2">
        <f t="shared" si="79"/>
        <v>2.2881664344668103E-2</v>
      </c>
      <c r="H559" s="2">
        <f t="shared" si="76"/>
        <v>0.38994757398720714</v>
      </c>
      <c r="I559" s="2">
        <f t="shared" si="77"/>
        <v>28.054840433197242</v>
      </c>
    </row>
    <row r="560" spans="1:9" ht="13.5" x14ac:dyDescent="0.25">
      <c r="A560" s="3">
        <f>TITRES_STAT!B563</f>
        <v>45730</v>
      </c>
      <c r="B560" s="5">
        <f>TITRES_STAT!D563</f>
        <v>5.4180000000000001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8.2853173928505545E-3</v>
      </c>
      <c r="G560" s="2">
        <f t="shared" si="79"/>
        <v>2.1247259748620382E-2</v>
      </c>
      <c r="H560" s="2">
        <f t="shared" si="76"/>
        <v>0.38994757398720714</v>
      </c>
      <c r="I560" s="2">
        <f t="shared" si="77"/>
        <v>28.054840433197242</v>
      </c>
    </row>
    <row r="561" spans="1:9" ht="13.5" x14ac:dyDescent="0.25">
      <c r="A561" s="3">
        <f>TITRES_STAT!B564</f>
        <v>45733</v>
      </c>
      <c r="B561" s="5">
        <f>TITRES_STAT!D564</f>
        <v>5.4180000000000001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7.6935090076469441E-3</v>
      </c>
      <c r="G561" s="2">
        <f t="shared" si="79"/>
        <v>1.9729598338004639E-2</v>
      </c>
      <c r="H561" s="2">
        <f t="shared" si="76"/>
        <v>0.3899475739872072</v>
      </c>
      <c r="I561" s="2">
        <f t="shared" si="77"/>
        <v>28.054840433197242</v>
      </c>
    </row>
    <row r="562" spans="1:9" ht="13.5" x14ac:dyDescent="0.25">
      <c r="A562" s="3">
        <f>TITRES_STAT!B565</f>
        <v>45734</v>
      </c>
      <c r="B562" s="5">
        <f>TITRES_STAT!D565</f>
        <v>5.54</v>
      </c>
      <c r="C562" s="2">
        <f t="shared" si="72"/>
        <v>0.12199999999999989</v>
      </c>
      <c r="D562" s="2">
        <f t="shared" si="73"/>
        <v>0.12199999999999989</v>
      </c>
      <c r="E562" s="2">
        <f t="shared" si="74"/>
        <v>0</v>
      </c>
      <c r="F562" s="2">
        <f t="shared" si="79"/>
        <v>1.5858258364243583E-2</v>
      </c>
      <c r="G562" s="2">
        <f t="shared" si="79"/>
        <v>1.8320341313861451E-2</v>
      </c>
      <c r="H562" s="2">
        <f t="shared" si="76"/>
        <v>0.86560932968235593</v>
      </c>
      <c r="I562" s="2">
        <f t="shared" si="77"/>
        <v>46.398209738248738</v>
      </c>
    </row>
    <row r="563" spans="1:9" ht="13.5" x14ac:dyDescent="0.25">
      <c r="A563" s="3">
        <f>TITRES_STAT!B566</f>
        <v>45735</v>
      </c>
      <c r="B563" s="5">
        <f>TITRES_STAT!D566</f>
        <v>5.4180000000000001</v>
      </c>
      <c r="C563" s="2">
        <f t="shared" si="72"/>
        <v>-0.12199999999999989</v>
      </c>
      <c r="D563" s="2">
        <f t="shared" si="73"/>
        <v>0</v>
      </c>
      <c r="E563" s="2">
        <f t="shared" si="74"/>
        <v>0.12199999999999989</v>
      </c>
      <c r="F563" s="2">
        <f t="shared" si="79"/>
        <v>1.472552562394047E-2</v>
      </c>
      <c r="G563" s="2">
        <f t="shared" si="79"/>
        <v>2.5726031220014194E-2</v>
      </c>
      <c r="H563" s="2">
        <f t="shared" si="76"/>
        <v>0.57239787583264645</v>
      </c>
      <c r="I563" s="2">
        <f t="shared" si="77"/>
        <v>36.402864989215232</v>
      </c>
    </row>
    <row r="564" spans="1:9" ht="13.5" x14ac:dyDescent="0.25">
      <c r="A564" s="3">
        <f>TITRES_STAT!B567</f>
        <v>45737</v>
      </c>
      <c r="B564" s="5">
        <f>TITRES_STAT!D567</f>
        <v>5.4459999999999997</v>
      </c>
      <c r="C564" s="2">
        <f t="shared" si="72"/>
        <v>2.7999999999999581E-2</v>
      </c>
      <c r="D564" s="2">
        <f t="shared" si="73"/>
        <v>2.7999999999999581E-2</v>
      </c>
      <c r="E564" s="2">
        <f t="shared" si="74"/>
        <v>0</v>
      </c>
      <c r="F564" s="2">
        <f t="shared" si="79"/>
        <v>1.5673702365087548E-2</v>
      </c>
      <c r="G564" s="2">
        <f t="shared" si="79"/>
        <v>2.3888457561441753E-2</v>
      </c>
      <c r="H564" s="2">
        <f t="shared" si="76"/>
        <v>0.65612031772140855</v>
      </c>
      <c r="I564" s="2">
        <f t="shared" si="77"/>
        <v>39.617913668503199</v>
      </c>
    </row>
    <row r="565" spans="1:9" ht="13.5" x14ac:dyDescent="0.25">
      <c r="A565" s="3">
        <f>TITRES_STAT!B568</f>
        <v>45740</v>
      </c>
      <c r="B565" s="5">
        <f>TITRES_STAT!D568</f>
        <v>5.399</v>
      </c>
      <c r="C565" s="2">
        <f t="shared" si="72"/>
        <v>-4.6999999999999709E-2</v>
      </c>
      <c r="D565" s="2">
        <f t="shared" si="73"/>
        <v>0</v>
      </c>
      <c r="E565" s="2">
        <f t="shared" si="74"/>
        <v>4.6999999999999709E-2</v>
      </c>
      <c r="F565" s="2">
        <f t="shared" si="79"/>
        <v>1.4554152196152723E-2</v>
      </c>
      <c r="G565" s="2">
        <f t="shared" si="79"/>
        <v>2.553928202133875E-2</v>
      </c>
      <c r="H565" s="2">
        <f t="shared" si="76"/>
        <v>0.5698731931458505</v>
      </c>
      <c r="I565" s="2">
        <f t="shared" si="77"/>
        <v>36.300587565540134</v>
      </c>
    </row>
    <row r="566" spans="1:9" ht="13.5" x14ac:dyDescent="0.25">
      <c r="A566" s="3">
        <f>TITRES_STAT!B569</f>
        <v>45741</v>
      </c>
      <c r="B566" s="5">
        <f>TITRES_STAT!D569</f>
        <v>5.39</v>
      </c>
      <c r="C566" s="2">
        <f t="shared" si="72"/>
        <v>-9.0000000000003411E-3</v>
      </c>
      <c r="D566" s="2">
        <f t="shared" si="73"/>
        <v>0</v>
      </c>
      <c r="E566" s="2">
        <f t="shared" si="74"/>
        <v>9.0000000000003411E-3</v>
      </c>
      <c r="F566" s="2">
        <f t="shared" si="79"/>
        <v>1.351456989642753E-2</v>
      </c>
      <c r="G566" s="2">
        <f t="shared" si="79"/>
        <v>2.4357904734100294E-2</v>
      </c>
      <c r="H566" s="2">
        <f t="shared" si="76"/>
        <v>0.55483302213213603</v>
      </c>
      <c r="I566" s="2">
        <f t="shared" si="77"/>
        <v>35.684412038747141</v>
      </c>
    </row>
    <row r="567" spans="1:9" ht="13.5" x14ac:dyDescent="0.25">
      <c r="A567" s="3">
        <f>TITRES_STAT!B570</f>
        <v>45742</v>
      </c>
      <c r="B567" s="5">
        <f>TITRES_STAT!D570</f>
        <v>5.4089999999999998</v>
      </c>
      <c r="C567" s="2">
        <f t="shared" si="72"/>
        <v>1.9000000000000128E-2</v>
      </c>
      <c r="D567" s="2">
        <f t="shared" si="73"/>
        <v>1.9000000000000128E-2</v>
      </c>
      <c r="E567" s="2">
        <f t="shared" si="74"/>
        <v>0</v>
      </c>
      <c r="F567" s="2">
        <f t="shared" si="79"/>
        <v>1.3906386332397002E-2</v>
      </c>
      <c r="G567" s="2">
        <f t="shared" si="79"/>
        <v>2.2618054395950271E-2</v>
      </c>
      <c r="H567" s="2">
        <f t="shared" si="76"/>
        <v>0.61483565690278474</v>
      </c>
      <c r="I567" s="2">
        <f t="shared" si="77"/>
        <v>38.07419375925997</v>
      </c>
    </row>
    <row r="568" spans="1:9" ht="13.5" x14ac:dyDescent="0.25">
      <c r="A568" s="3">
        <f>TITRES_STAT!B571</f>
        <v>45743</v>
      </c>
      <c r="B568" s="5">
        <f>TITRES_STAT!D571</f>
        <v>5.54</v>
      </c>
      <c r="C568" s="2">
        <f t="shared" si="72"/>
        <v>0.13100000000000023</v>
      </c>
      <c r="D568" s="2">
        <f t="shared" si="73"/>
        <v>0.13100000000000023</v>
      </c>
      <c r="E568" s="2">
        <f t="shared" si="74"/>
        <v>0</v>
      </c>
      <c r="F568" s="2">
        <f t="shared" si="79"/>
        <v>2.227021588008295E-2</v>
      </c>
      <c r="G568" s="2">
        <f t="shared" si="79"/>
        <v>2.1002479081953823E-2</v>
      </c>
      <c r="H568" s="2">
        <f t="shared" si="76"/>
        <v>1.0603612932160194</v>
      </c>
      <c r="I568" s="2">
        <f t="shared" si="77"/>
        <v>51.464823024359028</v>
      </c>
    </row>
    <row r="569" spans="1:9" ht="13.5" x14ac:dyDescent="0.25">
      <c r="A569" s="3">
        <f>TITRES_STAT!B572</f>
        <v>45744</v>
      </c>
      <c r="B569" s="5">
        <f>TITRES_STAT!D572</f>
        <v>5.4459999999999997</v>
      </c>
      <c r="C569" s="2">
        <f t="shared" si="72"/>
        <v>-9.4000000000000306E-2</v>
      </c>
      <c r="D569" s="2">
        <f t="shared" si="73"/>
        <v>0</v>
      </c>
      <c r="E569" s="2">
        <f t="shared" si="74"/>
        <v>9.4000000000000306E-2</v>
      </c>
      <c r="F569" s="2">
        <f t="shared" si="79"/>
        <v>2.067948617436274E-2</v>
      </c>
      <c r="G569" s="2">
        <f t="shared" si="79"/>
        <v>2.6216587718957147E-2</v>
      </c>
      <c r="H569" s="2">
        <f t="shared" si="76"/>
        <v>0.78879396495255771</v>
      </c>
      <c r="I569" s="2">
        <f t="shared" si="77"/>
        <v>44.096412466009077</v>
      </c>
    </row>
    <row r="570" spans="1:9" ht="13.5" x14ac:dyDescent="0.25">
      <c r="A570" s="3">
        <f>TITRES_STAT!B573</f>
        <v>45749</v>
      </c>
      <c r="B570" s="5">
        <f>TITRES_STAT!D573</f>
        <v>5.4089999999999998</v>
      </c>
      <c r="C570" s="2">
        <f t="shared" si="72"/>
        <v>-3.6999999999999922E-2</v>
      </c>
      <c r="D570" s="2">
        <f t="shared" si="73"/>
        <v>0</v>
      </c>
      <c r="E570" s="2">
        <f t="shared" si="74"/>
        <v>3.6999999999999922E-2</v>
      </c>
      <c r="F570" s="2">
        <f t="shared" si="79"/>
        <v>1.9202380019051116E-2</v>
      </c>
      <c r="G570" s="2">
        <f t="shared" si="79"/>
        <v>2.6986831453317345E-2</v>
      </c>
      <c r="H570" s="2">
        <f t="shared" si="76"/>
        <v>0.71154629813685188</v>
      </c>
      <c r="I570" s="2">
        <f t="shared" si="77"/>
        <v>41.573301225413772</v>
      </c>
    </row>
    <row r="571" spans="1:9" ht="13.5" x14ac:dyDescent="0.25">
      <c r="A571" s="3">
        <f>TITRES_STAT!B574</f>
        <v>45750</v>
      </c>
      <c r="B571" s="5">
        <f>TITRES_STAT!D574</f>
        <v>5.4459999999999997</v>
      </c>
      <c r="C571" s="2">
        <f t="shared" si="72"/>
        <v>3.6999999999999922E-2</v>
      </c>
      <c r="D571" s="2">
        <f t="shared" si="73"/>
        <v>3.6999999999999922E-2</v>
      </c>
      <c r="E571" s="2">
        <f t="shared" si="74"/>
        <v>0</v>
      </c>
      <c r="F571" s="2">
        <f t="shared" si="79"/>
        <v>2.0473638589118888E-2</v>
      </c>
      <c r="G571" s="2">
        <f t="shared" si="79"/>
        <v>2.5059200635223249E-2</v>
      </c>
      <c r="H571" s="2">
        <f t="shared" si="76"/>
        <v>0.81701084113357991</v>
      </c>
      <c r="I571" s="2">
        <f t="shared" si="77"/>
        <v>44.964555116460986</v>
      </c>
    </row>
    <row r="572" spans="1:9" ht="13.5" x14ac:dyDescent="0.25">
      <c r="A572" s="3">
        <f>TITRES_STAT!B575</f>
        <v>45751</v>
      </c>
      <c r="B572" s="5">
        <f>TITRES_STAT!D575</f>
        <v>5.4269999999999996</v>
      </c>
      <c r="C572" s="2">
        <f t="shared" si="72"/>
        <v>-1.9000000000000128E-2</v>
      </c>
      <c r="D572" s="2">
        <f t="shared" si="73"/>
        <v>0</v>
      </c>
      <c r="E572" s="2">
        <f t="shared" si="74"/>
        <v>1.9000000000000128E-2</v>
      </c>
      <c r="F572" s="2">
        <f t="shared" si="79"/>
        <v>1.9011235832753253E-2</v>
      </c>
      <c r="G572" s="2">
        <f t="shared" si="79"/>
        <v>2.4626400589850168E-2</v>
      </c>
      <c r="H572" s="2">
        <f t="shared" si="76"/>
        <v>0.77198597348362719</v>
      </c>
      <c r="I572" s="2">
        <f t="shared" si="77"/>
        <v>43.566144711966601</v>
      </c>
    </row>
    <row r="573" spans="1:9" ht="13.5" x14ac:dyDescent="0.25">
      <c r="A573" s="3">
        <f>TITRES_STAT!B576</f>
        <v>45754</v>
      </c>
      <c r="B573" s="5">
        <f>TITRES_STAT!D576</f>
        <v>5.4930000000000003</v>
      </c>
      <c r="C573" s="2">
        <f t="shared" si="72"/>
        <v>6.6000000000000725E-2</v>
      </c>
      <c r="D573" s="2">
        <f t="shared" si="73"/>
        <v>6.6000000000000725E-2</v>
      </c>
      <c r="E573" s="2">
        <f t="shared" si="74"/>
        <v>0</v>
      </c>
      <c r="F573" s="2">
        <f t="shared" ref="F573:G588" si="80">((F572*13)+D573)/14</f>
        <v>2.2367576130413788E-2</v>
      </c>
      <c r="G573" s="2">
        <f t="shared" si="80"/>
        <v>2.2867371976289443E-2</v>
      </c>
      <c r="H573" s="2">
        <f t="shared" si="76"/>
        <v>0.97814371295512748</v>
      </c>
      <c r="I573" s="2">
        <f t="shared" si="77"/>
        <v>49.447555632542453</v>
      </c>
    </row>
    <row r="574" spans="1:9" ht="13.5" x14ac:dyDescent="0.25">
      <c r="A574" s="3">
        <f>TITRES_STAT!B577</f>
        <v>45755</v>
      </c>
      <c r="B574" s="5">
        <f>TITRES_STAT!D577</f>
        <v>5.4930000000000003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2.0769892121098515E-2</v>
      </c>
      <c r="G574" s="2">
        <f t="shared" si="80"/>
        <v>2.1233988263697341E-2</v>
      </c>
      <c r="H574" s="2">
        <f t="shared" si="76"/>
        <v>0.97814371295512736</v>
      </c>
      <c r="I574" s="2">
        <f t="shared" si="77"/>
        <v>49.447555632542446</v>
      </c>
    </row>
    <row r="575" spans="1:9" ht="13.5" x14ac:dyDescent="0.25">
      <c r="A575" s="3">
        <f>TITRES_STAT!B578</f>
        <v>45757</v>
      </c>
      <c r="B575" s="5">
        <f>TITRES_STAT!D578</f>
        <v>5.399</v>
      </c>
      <c r="C575" s="2">
        <f t="shared" si="72"/>
        <v>-9.4000000000000306E-2</v>
      </c>
      <c r="D575" s="2">
        <f t="shared" si="73"/>
        <v>0</v>
      </c>
      <c r="E575" s="2">
        <f t="shared" si="74"/>
        <v>9.4000000000000306E-2</v>
      </c>
      <c r="F575" s="2">
        <f t="shared" si="80"/>
        <v>1.9286328398162907E-2</v>
      </c>
      <c r="G575" s="2">
        <f t="shared" si="80"/>
        <v>2.6431560530576124E-2</v>
      </c>
      <c r="H575" s="2">
        <f t="shared" si="76"/>
        <v>0.7296704398460474</v>
      </c>
      <c r="I575" s="2">
        <f t="shared" si="77"/>
        <v>42.185518295091697</v>
      </c>
    </row>
    <row r="576" spans="1:9" ht="13.5" x14ac:dyDescent="0.25">
      <c r="A576" s="3">
        <f>TITRES_STAT!B579</f>
        <v>45758</v>
      </c>
      <c r="B576" s="5">
        <f>TITRES_STAT!D579</f>
        <v>5.4269999999999996</v>
      </c>
      <c r="C576" s="2">
        <f t="shared" si="72"/>
        <v>2.7999999999999581E-2</v>
      </c>
      <c r="D576" s="2">
        <f t="shared" si="73"/>
        <v>2.7999999999999581E-2</v>
      </c>
      <c r="E576" s="2">
        <f t="shared" si="74"/>
        <v>0</v>
      </c>
      <c r="F576" s="2">
        <f t="shared" si="80"/>
        <v>1.9908733512579813E-2</v>
      </c>
      <c r="G576" s="2">
        <f t="shared" si="80"/>
        <v>2.4543591921249257E-2</v>
      </c>
      <c r="H576" s="2">
        <f t="shared" si="76"/>
        <v>0.81115810499372365</v>
      </c>
      <c r="I576" s="2">
        <f t="shared" si="77"/>
        <v>44.786708722844196</v>
      </c>
    </row>
    <row r="577" spans="1:9" ht="13.5" x14ac:dyDescent="0.25">
      <c r="A577" s="3">
        <f>TITRES_STAT!B580</f>
        <v>45761</v>
      </c>
      <c r="B577" s="5">
        <f>TITRES_STAT!D580</f>
        <v>5.4269999999999996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1.8486681118824115E-2</v>
      </c>
      <c r="G577" s="2">
        <f t="shared" si="80"/>
        <v>2.2790478212588595E-2</v>
      </c>
      <c r="H577" s="2">
        <f t="shared" si="76"/>
        <v>0.81115810499372387</v>
      </c>
      <c r="I577" s="2">
        <f t="shared" si="77"/>
        <v>44.786708722844196</v>
      </c>
    </row>
    <row r="578" spans="1:9" ht="13.5" x14ac:dyDescent="0.25">
      <c r="A578" s="3">
        <f>TITRES_STAT!B581</f>
        <v>45762</v>
      </c>
      <c r="B578" s="5">
        <f>TITRES_STAT!D581</f>
        <v>5.4269999999999996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1.7166203896050964E-2</v>
      </c>
      <c r="G578" s="2">
        <f t="shared" si="80"/>
        <v>2.1162586911689409E-2</v>
      </c>
      <c r="H578" s="2">
        <f t="shared" si="76"/>
        <v>0.81115810499372387</v>
      </c>
      <c r="I578" s="2">
        <f t="shared" si="77"/>
        <v>44.786708722844196</v>
      </c>
    </row>
    <row r="579" spans="1:9" ht="13.5" x14ac:dyDescent="0.25">
      <c r="A579" s="3">
        <f>TITRES_STAT!B582</f>
        <v>45763</v>
      </c>
      <c r="B579" s="5">
        <f>TITRES_STAT!D582</f>
        <v>5.4269999999999996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1.5940046474904466E-2</v>
      </c>
      <c r="G579" s="2">
        <f t="shared" si="80"/>
        <v>1.9650973560854452E-2</v>
      </c>
      <c r="H579" s="2">
        <f t="shared" si="76"/>
        <v>0.81115810499372376</v>
      </c>
      <c r="I579" s="2">
        <f t="shared" si="77"/>
        <v>44.786708722844196</v>
      </c>
    </row>
    <row r="580" spans="1:9" ht="13.5" x14ac:dyDescent="0.25">
      <c r="A580" s="3">
        <f>TITRES_STAT!B583</f>
        <v>45764</v>
      </c>
      <c r="B580" s="5">
        <f>TITRES_STAT!D583</f>
        <v>5.4459999999999997</v>
      </c>
      <c r="C580" s="2">
        <f t="shared" si="81"/>
        <v>1.9000000000000128E-2</v>
      </c>
      <c r="D580" s="2">
        <f t="shared" si="82"/>
        <v>1.9000000000000128E-2</v>
      </c>
      <c r="E580" s="2">
        <f t="shared" si="83"/>
        <v>0</v>
      </c>
      <c r="F580" s="2">
        <f t="shared" si="80"/>
        <v>1.6158614583839871E-2</v>
      </c>
      <c r="G580" s="2">
        <f t="shared" si="80"/>
        <v>1.8247332592221992E-2</v>
      </c>
      <c r="H580" s="2">
        <f t="shared" si="76"/>
        <v>0.88553296774606682</v>
      </c>
      <c r="I580" s="2">
        <f t="shared" si="77"/>
        <v>46.964597431813537</v>
      </c>
    </row>
    <row r="581" spans="1:9" ht="13.5" x14ac:dyDescent="0.25">
      <c r="A581" s="3">
        <f>TITRES_STAT!B584</f>
        <v>45765</v>
      </c>
      <c r="B581" s="5">
        <f>TITRES_STAT!D584</f>
        <v>5.4459999999999997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1.5004427827851307E-2</v>
      </c>
      <c r="G581" s="2">
        <f t="shared" si="80"/>
        <v>1.6943951692777563E-2</v>
      </c>
      <c r="H581" s="2">
        <f t="shared" si="76"/>
        <v>0.88553296774606682</v>
      </c>
      <c r="I581" s="2">
        <f t="shared" si="77"/>
        <v>46.964597431813537</v>
      </c>
    </row>
    <row r="582" spans="1:9" ht="13.5" x14ac:dyDescent="0.25">
      <c r="A582" s="3">
        <f>TITRES_STAT!B585</f>
        <v>45768</v>
      </c>
      <c r="B582" s="5">
        <f>TITRES_STAT!D585</f>
        <v>5.4930000000000003</v>
      </c>
      <c r="C582" s="2">
        <f t="shared" si="81"/>
        <v>4.7000000000000597E-2</v>
      </c>
      <c r="D582" s="2">
        <f t="shared" si="82"/>
        <v>4.7000000000000597E-2</v>
      </c>
      <c r="E582" s="2">
        <f t="shared" si="83"/>
        <v>0</v>
      </c>
      <c r="F582" s="2">
        <f t="shared" si="80"/>
        <v>1.7289825840147686E-2</v>
      </c>
      <c r="G582" s="2">
        <f t="shared" si="80"/>
        <v>1.5733669429007738E-2</v>
      </c>
      <c r="H582" s="2">
        <f t="shared" si="76"/>
        <v>1.0989061336366268</v>
      </c>
      <c r="I582" s="2">
        <f t="shared" si="77"/>
        <v>52.356135228049929</v>
      </c>
    </row>
    <row r="583" spans="1:9" ht="13.5" x14ac:dyDescent="0.25">
      <c r="A583" s="3">
        <f>TITRES_STAT!B586</f>
        <v>45769</v>
      </c>
      <c r="B583" s="5">
        <f>TITRES_STAT!D586</f>
        <v>5.6340000000000003</v>
      </c>
      <c r="C583" s="2">
        <f t="shared" si="81"/>
        <v>0.14100000000000001</v>
      </c>
      <c r="D583" s="2">
        <f t="shared" si="82"/>
        <v>0.14100000000000001</v>
      </c>
      <c r="E583" s="2">
        <f t="shared" si="83"/>
        <v>0</v>
      </c>
      <c r="F583" s="2">
        <f t="shared" si="80"/>
        <v>2.6126266851565709E-2</v>
      </c>
      <c r="G583" s="2">
        <f t="shared" si="80"/>
        <v>1.4609835898364327E-2</v>
      </c>
      <c r="H583" s="2">
        <f t="shared" si="76"/>
        <v>1.7882655926676581</v>
      </c>
      <c r="I583" s="2">
        <f t="shared" si="77"/>
        <v>64.135410822063932</v>
      </c>
    </row>
    <row r="584" spans="1:9" ht="13.5" x14ac:dyDescent="0.25">
      <c r="A584" s="3">
        <f>TITRES_STAT!B587</f>
        <v>45770</v>
      </c>
      <c r="B584" s="5">
        <f>TITRES_STAT!D587</f>
        <v>5.4180000000000001</v>
      </c>
      <c r="C584" s="2">
        <f t="shared" si="81"/>
        <v>-0.21600000000000019</v>
      </c>
      <c r="D584" s="2">
        <f t="shared" si="82"/>
        <v>0</v>
      </c>
      <c r="E584" s="2">
        <f t="shared" si="83"/>
        <v>0.21600000000000019</v>
      </c>
      <c r="F584" s="2">
        <f t="shared" si="80"/>
        <v>2.4260104933596729E-2</v>
      </c>
      <c r="G584" s="2">
        <f t="shared" si="80"/>
        <v>2.8994847619909749E-2</v>
      </c>
      <c r="H584" s="2">
        <f t="shared" si="76"/>
        <v>0.83670399829720654</v>
      </c>
      <c r="I584" s="2">
        <f t="shared" si="77"/>
        <v>45.554645662714741</v>
      </c>
    </row>
    <row r="585" spans="1:9" ht="13.5" x14ac:dyDescent="0.25">
      <c r="A585" s="3">
        <f>TITRES_STAT!B588</f>
        <v>45771</v>
      </c>
      <c r="B585" s="5">
        <f>TITRES_STAT!D588</f>
        <v>5.625</v>
      </c>
      <c r="C585" s="2">
        <f t="shared" si="81"/>
        <v>0.20699999999999985</v>
      </c>
      <c r="D585" s="2">
        <f t="shared" si="82"/>
        <v>0.20699999999999985</v>
      </c>
      <c r="E585" s="2">
        <f t="shared" si="83"/>
        <v>0</v>
      </c>
      <c r="F585" s="2">
        <f t="shared" si="80"/>
        <v>3.7312954581196954E-2</v>
      </c>
      <c r="G585" s="2">
        <f t="shared" si="80"/>
        <v>2.6923787075630482E-2</v>
      </c>
      <c r="H585" s="2">
        <f t="shared" si="76"/>
        <v>1.3858731862788358</v>
      </c>
      <c r="I585" s="2">
        <f t="shared" si="77"/>
        <v>58.086623976873412</v>
      </c>
    </row>
    <row r="586" spans="1:9" ht="13.5" x14ac:dyDescent="0.25">
      <c r="A586" s="3">
        <f>TITRES_STAT!B589</f>
        <v>45772</v>
      </c>
      <c r="B586" s="5">
        <f>TITRES_STAT!D589</f>
        <v>5.5590000000000002</v>
      </c>
      <c r="C586" s="2">
        <f t="shared" si="81"/>
        <v>-6.5999999999999837E-2</v>
      </c>
      <c r="D586" s="2">
        <f t="shared" si="82"/>
        <v>0</v>
      </c>
      <c r="E586" s="2">
        <f t="shared" si="83"/>
        <v>6.5999999999999837E-2</v>
      </c>
      <c r="F586" s="2">
        <f t="shared" si="80"/>
        <v>3.4647743539682883E-2</v>
      </c>
      <c r="G586" s="2">
        <f t="shared" si="80"/>
        <v>2.9714945141656866E-2</v>
      </c>
      <c r="H586" s="2">
        <f t="shared" si="76"/>
        <v>1.1660039543909779</v>
      </c>
      <c r="I586" s="2">
        <f t="shared" si="77"/>
        <v>53.832032579036856</v>
      </c>
    </row>
    <row r="587" spans="1:9" ht="13.5" x14ac:dyDescent="0.25">
      <c r="A587" s="3">
        <f>TITRES_STAT!B590</f>
        <v>45775</v>
      </c>
      <c r="B587" s="5">
        <f>TITRES_STAT!D590</f>
        <v>5.4459999999999997</v>
      </c>
      <c r="C587" s="2">
        <f t="shared" si="81"/>
        <v>-0.11300000000000043</v>
      </c>
      <c r="D587" s="2">
        <f t="shared" si="82"/>
        <v>0</v>
      </c>
      <c r="E587" s="2">
        <f t="shared" si="83"/>
        <v>0.11300000000000043</v>
      </c>
      <c r="F587" s="2">
        <f t="shared" si="80"/>
        <v>3.2172904715419823E-2</v>
      </c>
      <c r="G587" s="2">
        <f t="shared" si="80"/>
        <v>3.5663877631538547E-2</v>
      </c>
      <c r="H587" s="2">
        <f t="shared" si="76"/>
        <v>0.9021146003195244</v>
      </c>
      <c r="I587" s="2">
        <f t="shared" si="77"/>
        <v>47.42693211902079</v>
      </c>
    </row>
    <row r="588" spans="1:9" ht="13.5" x14ac:dyDescent="0.25">
      <c r="A588" s="3">
        <f>TITRES_STAT!B591</f>
        <v>45776</v>
      </c>
      <c r="B588" s="5">
        <f>TITRES_STAT!D591</f>
        <v>5.4459999999999997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2.9874840092889838E-2</v>
      </c>
      <c r="G588" s="2">
        <f t="shared" si="80"/>
        <v>3.3116457800714365E-2</v>
      </c>
      <c r="H588" s="2">
        <f t="shared" si="76"/>
        <v>0.90211460031952451</v>
      </c>
      <c r="I588" s="2">
        <f t="shared" si="77"/>
        <v>47.42693211902079</v>
      </c>
    </row>
    <row r="589" spans="1:9" ht="13.5" x14ac:dyDescent="0.25">
      <c r="A589" s="3">
        <f>TITRES_STAT!B592</f>
        <v>45777</v>
      </c>
      <c r="B589" s="5">
        <f>TITRES_STAT!D592</f>
        <v>5.6340000000000003</v>
      </c>
      <c r="C589" s="2">
        <f t="shared" si="81"/>
        <v>0.18800000000000061</v>
      </c>
      <c r="D589" s="2">
        <f t="shared" si="82"/>
        <v>0.18800000000000061</v>
      </c>
      <c r="E589" s="2">
        <f t="shared" si="83"/>
        <v>0</v>
      </c>
      <c r="F589" s="2">
        <f t="shared" ref="F589:G604" si="84">((F588*13)+D589)/14</f>
        <v>4.1169494371969186E-2</v>
      </c>
      <c r="G589" s="2">
        <f t="shared" si="84"/>
        <v>3.0750996529234766E-2</v>
      </c>
      <c r="H589" s="2">
        <f t="shared" si="76"/>
        <v>1.338801958265958</v>
      </c>
      <c r="I589" s="2">
        <f t="shared" si="77"/>
        <v>57.243066414164325</v>
      </c>
    </row>
    <row r="590" spans="1:9" ht="13.5" x14ac:dyDescent="0.25">
      <c r="A590" s="3">
        <f>TITRES_STAT!B593</f>
        <v>45779</v>
      </c>
      <c r="B590" s="5">
        <f>TITRES_STAT!D593</f>
        <v>5.6340000000000003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3.8228816202542815E-2</v>
      </c>
      <c r="G590" s="2">
        <f t="shared" si="84"/>
        <v>2.8554496777146571E-2</v>
      </c>
      <c r="H590" s="2">
        <f t="shared" si="76"/>
        <v>1.338801958265958</v>
      </c>
      <c r="I590" s="2">
        <f t="shared" si="77"/>
        <v>57.243066414164325</v>
      </c>
    </row>
    <row r="591" spans="1:9" ht="13.5" x14ac:dyDescent="0.25">
      <c r="A591" s="3">
        <f>TITRES_STAT!B594</f>
        <v>45782</v>
      </c>
      <c r="B591" s="5">
        <f>TITRES_STAT!D594</f>
        <v>5.6340000000000003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3.5498186473789758E-2</v>
      </c>
      <c r="G591" s="2">
        <f t="shared" si="84"/>
        <v>2.6514889864493244E-2</v>
      </c>
      <c r="H591" s="2">
        <f t="shared" si="76"/>
        <v>1.338801958265958</v>
      </c>
      <c r="I591" s="2">
        <f t="shared" si="77"/>
        <v>57.243066414164325</v>
      </c>
    </row>
    <row r="592" spans="1:9" ht="13.5" x14ac:dyDescent="0.25">
      <c r="A592" s="3">
        <f>TITRES_STAT!B595</f>
        <v>45783</v>
      </c>
      <c r="B592" s="5">
        <f>TITRES_STAT!D595</f>
        <v>5.6340000000000003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3.2962601725661921E-2</v>
      </c>
      <c r="G592" s="2">
        <f t="shared" si="84"/>
        <v>2.4620969159886586E-2</v>
      </c>
      <c r="H592" s="2">
        <f t="shared" si="76"/>
        <v>1.338801958265958</v>
      </c>
      <c r="I592" s="2">
        <f t="shared" si="77"/>
        <v>57.243066414164325</v>
      </c>
    </row>
    <row r="593" spans="1:9" ht="13.5" x14ac:dyDescent="0.25">
      <c r="A593" s="3">
        <f>TITRES_STAT!B596</f>
        <v>45784</v>
      </c>
      <c r="B593" s="5">
        <f>TITRES_STAT!D596</f>
        <v>5.5209999999999999</v>
      </c>
      <c r="C593" s="2">
        <f t="shared" si="81"/>
        <v>-0.11300000000000043</v>
      </c>
      <c r="D593" s="2">
        <f t="shared" si="82"/>
        <v>0</v>
      </c>
      <c r="E593" s="2">
        <f t="shared" si="83"/>
        <v>0.11300000000000043</v>
      </c>
      <c r="F593" s="2">
        <f t="shared" si="84"/>
        <v>3.0608130173828928E-2</v>
      </c>
      <c r="G593" s="2">
        <f t="shared" si="84"/>
        <v>3.0933757077037577E-2</v>
      </c>
      <c r="H593" s="2">
        <f t="shared" ref="H593:H656" si="85">F593/G593</f>
        <v>0.98947341241486753</v>
      </c>
      <c r="I593" s="2">
        <f t="shared" ref="I593:I656" si="86">IF(G593=0,100,100-(100/(1+H593)))</f>
        <v>49.735442868463487</v>
      </c>
    </row>
    <row r="594" spans="1:9" ht="13.5" x14ac:dyDescent="0.25">
      <c r="A594" s="3">
        <f>TITRES_STAT!B597</f>
        <v>45785</v>
      </c>
      <c r="B594" s="5">
        <f>TITRES_STAT!D597</f>
        <v>5.5209999999999999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2.8421835161412577E-2</v>
      </c>
      <c r="G594" s="2">
        <f t="shared" si="84"/>
        <v>2.8724203000106325E-2</v>
      </c>
      <c r="H594" s="2">
        <f t="shared" si="85"/>
        <v>0.98947341241486741</v>
      </c>
      <c r="I594" s="2">
        <f t="shared" si="86"/>
        <v>49.735442868463487</v>
      </c>
    </row>
    <row r="595" spans="1:9" ht="13.5" x14ac:dyDescent="0.25">
      <c r="A595" s="3">
        <f>TITRES_STAT!B598</f>
        <v>45786</v>
      </c>
      <c r="B595" s="5">
        <f>TITRES_STAT!D598</f>
        <v>5.54</v>
      </c>
      <c r="C595" s="2">
        <f t="shared" si="81"/>
        <v>1.9000000000000128E-2</v>
      </c>
      <c r="D595" s="2">
        <f t="shared" si="82"/>
        <v>1.9000000000000128E-2</v>
      </c>
      <c r="E595" s="2">
        <f t="shared" si="83"/>
        <v>0</v>
      </c>
      <c r="F595" s="2">
        <f t="shared" si="84"/>
        <v>2.7748846935597402E-2</v>
      </c>
      <c r="G595" s="2">
        <f t="shared" si="84"/>
        <v>2.6672474214384446E-2</v>
      </c>
      <c r="H595" s="2">
        <f t="shared" si="85"/>
        <v>1.0403551883699065</v>
      </c>
      <c r="I595" s="2">
        <f t="shared" si="86"/>
        <v>50.988925570408824</v>
      </c>
    </row>
    <row r="596" spans="1:9" ht="13.5" x14ac:dyDescent="0.25">
      <c r="A596" s="3">
        <f>TITRES_STAT!B599</f>
        <v>45789</v>
      </c>
      <c r="B596" s="5">
        <f>TITRES_STAT!D599</f>
        <v>5.625</v>
      </c>
      <c r="C596" s="2">
        <f t="shared" si="81"/>
        <v>8.4999999999999964E-2</v>
      </c>
      <c r="D596" s="2">
        <f t="shared" si="82"/>
        <v>8.4999999999999964E-2</v>
      </c>
      <c r="E596" s="2">
        <f t="shared" si="83"/>
        <v>0</v>
      </c>
      <c r="F596" s="2">
        <f t="shared" si="84"/>
        <v>3.1838215011626154E-2</v>
      </c>
      <c r="G596" s="2">
        <f t="shared" si="84"/>
        <v>2.476729748478556E-2</v>
      </c>
      <c r="H596" s="2">
        <f t="shared" si="85"/>
        <v>1.2854941089630076</v>
      </c>
      <c r="I596" s="2">
        <f t="shared" si="86"/>
        <v>56.245785273376704</v>
      </c>
    </row>
    <row r="597" spans="1:9" ht="13.5" x14ac:dyDescent="0.25">
      <c r="A597" s="3">
        <f>TITRES_STAT!B600</f>
        <v>45790</v>
      </c>
      <c r="B597" s="5">
        <f>TITRES_STAT!D600</f>
        <v>5.625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2.9564056796510002E-2</v>
      </c>
      <c r="G597" s="2">
        <f t="shared" si="84"/>
        <v>2.2998204807300877E-2</v>
      </c>
      <c r="H597" s="2">
        <f t="shared" si="85"/>
        <v>1.2854941089630079</v>
      </c>
      <c r="I597" s="2">
        <f t="shared" si="86"/>
        <v>56.245785273376718</v>
      </c>
    </row>
    <row r="598" spans="1:9" ht="13.5" x14ac:dyDescent="0.25">
      <c r="A598" s="3">
        <f>TITRES_STAT!B601</f>
        <v>45791</v>
      </c>
      <c r="B598" s="5">
        <f>TITRES_STAT!D601</f>
        <v>5.625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2.7452338453902141E-2</v>
      </c>
      <c r="G598" s="2">
        <f t="shared" si="84"/>
        <v>2.1355475892493671E-2</v>
      </c>
      <c r="H598" s="2">
        <f t="shared" si="85"/>
        <v>1.2854941089630076</v>
      </c>
      <c r="I598" s="2">
        <f t="shared" si="86"/>
        <v>56.245785273376704</v>
      </c>
    </row>
    <row r="599" spans="1:9" ht="13.5" x14ac:dyDescent="0.25">
      <c r="A599" s="3">
        <f>TITRES_STAT!B602</f>
        <v>45792</v>
      </c>
      <c r="B599" s="5">
        <f>TITRES_STAT!D602</f>
        <v>5.4930000000000003</v>
      </c>
      <c r="C599" s="2">
        <f t="shared" si="81"/>
        <v>-0.13199999999999967</v>
      </c>
      <c r="D599" s="2">
        <f t="shared" si="82"/>
        <v>0</v>
      </c>
      <c r="E599" s="2">
        <f t="shared" si="83"/>
        <v>0.13199999999999967</v>
      </c>
      <c r="F599" s="2">
        <f t="shared" si="84"/>
        <v>2.5491457135766275E-2</v>
      </c>
      <c r="G599" s="2">
        <f t="shared" si="84"/>
        <v>2.925865618588696E-2</v>
      </c>
      <c r="H599" s="2">
        <f t="shared" si="85"/>
        <v>0.87124497358365316</v>
      </c>
      <c r="I599" s="2">
        <f t="shared" si="86"/>
        <v>46.559642691524083</v>
      </c>
    </row>
    <row r="600" spans="1:9" ht="13.5" x14ac:dyDescent="0.25">
      <c r="A600" s="3">
        <f>TITRES_STAT!B603</f>
        <v>45793</v>
      </c>
      <c r="B600" s="5">
        <f>TITRES_STAT!D603</f>
        <v>5.4649999999999999</v>
      </c>
      <c r="C600" s="2">
        <f t="shared" si="81"/>
        <v>-2.8000000000000469E-2</v>
      </c>
      <c r="D600" s="2">
        <f t="shared" si="82"/>
        <v>0</v>
      </c>
      <c r="E600" s="2">
        <f t="shared" si="83"/>
        <v>2.8000000000000469E-2</v>
      </c>
      <c r="F600" s="2">
        <f t="shared" si="84"/>
        <v>2.3670638768925827E-2</v>
      </c>
      <c r="G600" s="2">
        <f t="shared" si="84"/>
        <v>2.9168752172609353E-2</v>
      </c>
      <c r="H600" s="2">
        <f t="shared" si="85"/>
        <v>0.81150673257642891</v>
      </c>
      <c r="I600" s="2">
        <f t="shared" si="86"/>
        <v>44.797334615602416</v>
      </c>
    </row>
    <row r="601" spans="1:9" ht="13.5" x14ac:dyDescent="0.25">
      <c r="A601" s="3">
        <f>TITRES_STAT!B604</f>
        <v>45796</v>
      </c>
      <c r="B601" s="5">
        <f>TITRES_STAT!D604</f>
        <v>5.5960000000000001</v>
      </c>
      <c r="C601" s="2">
        <f t="shared" si="81"/>
        <v>0.13100000000000023</v>
      </c>
      <c r="D601" s="2">
        <f t="shared" si="82"/>
        <v>0.13100000000000023</v>
      </c>
      <c r="E601" s="2">
        <f t="shared" si="83"/>
        <v>0</v>
      </c>
      <c r="F601" s="2">
        <f t="shared" si="84"/>
        <v>3.1337021714002565E-2</v>
      </c>
      <c r="G601" s="2">
        <f t="shared" si="84"/>
        <v>2.7085269874565828E-2</v>
      </c>
      <c r="H601" s="2">
        <f t="shared" si="85"/>
        <v>1.1569765359225497</v>
      </c>
      <c r="I601" s="2">
        <f t="shared" si="86"/>
        <v>53.638809539840686</v>
      </c>
    </row>
    <row r="602" spans="1:9" ht="13.5" x14ac:dyDescent="0.25">
      <c r="A602" s="3">
        <f>TITRES_STAT!B605</f>
        <v>45797</v>
      </c>
      <c r="B602" s="5">
        <f>TITRES_STAT!D605</f>
        <v>5.5679999999999996</v>
      </c>
      <c r="C602" s="2">
        <f t="shared" si="81"/>
        <v>-2.8000000000000469E-2</v>
      </c>
      <c r="D602" s="2">
        <f t="shared" si="82"/>
        <v>0</v>
      </c>
      <c r="E602" s="2">
        <f t="shared" si="83"/>
        <v>2.8000000000000469E-2</v>
      </c>
      <c r="F602" s="2">
        <f t="shared" si="84"/>
        <v>2.909866302014524E-2</v>
      </c>
      <c r="G602" s="2">
        <f t="shared" si="84"/>
        <v>2.7150607740668301E-2</v>
      </c>
      <c r="H602" s="2">
        <f t="shared" si="85"/>
        <v>1.0717499695802017</v>
      </c>
      <c r="I602" s="2">
        <f t="shared" si="86"/>
        <v>51.731627142119379</v>
      </c>
    </row>
    <row r="603" spans="1:9" ht="13.5" x14ac:dyDescent="0.25">
      <c r="A603" s="3">
        <f>TITRES_STAT!B606</f>
        <v>45798</v>
      </c>
      <c r="B603" s="5">
        <f>TITRES_STAT!D606</f>
        <v>5.5679999999999996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2.7020187090134866E-2</v>
      </c>
      <c r="G603" s="2">
        <f t="shared" si="84"/>
        <v>2.5211278616334851E-2</v>
      </c>
      <c r="H603" s="2">
        <f t="shared" si="85"/>
        <v>1.0717499695802017</v>
      </c>
      <c r="I603" s="2">
        <f t="shared" si="86"/>
        <v>51.731627142119379</v>
      </c>
    </row>
    <row r="604" spans="1:9" ht="13.5" x14ac:dyDescent="0.25">
      <c r="A604" s="3">
        <f>TITRES_STAT!B607</f>
        <v>45799</v>
      </c>
      <c r="B604" s="5">
        <f>TITRES_STAT!D607</f>
        <v>5.5019999999999998</v>
      </c>
      <c r="C604" s="2">
        <f t="shared" si="81"/>
        <v>-6.5999999999999837E-2</v>
      </c>
      <c r="D604" s="2">
        <f t="shared" si="82"/>
        <v>0</v>
      </c>
      <c r="E604" s="2">
        <f t="shared" si="83"/>
        <v>6.5999999999999837E-2</v>
      </c>
      <c r="F604" s="2">
        <f t="shared" si="84"/>
        <v>2.5090173726553804E-2</v>
      </c>
      <c r="G604" s="2">
        <f t="shared" si="84"/>
        <v>2.8124758715168063E-2</v>
      </c>
      <c r="H604" s="2">
        <f t="shared" si="85"/>
        <v>0.89210271919674577</v>
      </c>
      <c r="I604" s="2">
        <f t="shared" si="86"/>
        <v>47.148746743277762</v>
      </c>
    </row>
    <row r="605" spans="1:9" ht="13.5" x14ac:dyDescent="0.25">
      <c r="A605" s="3">
        <f>TITRES_STAT!B608</f>
        <v>45800</v>
      </c>
      <c r="B605" s="5">
        <f>TITRES_STAT!D608</f>
        <v>5.5869999999999997</v>
      </c>
      <c r="C605" s="2">
        <f t="shared" si="81"/>
        <v>8.4999999999999964E-2</v>
      </c>
      <c r="D605" s="2">
        <f t="shared" si="82"/>
        <v>8.4999999999999964E-2</v>
      </c>
      <c r="E605" s="2">
        <f t="shared" si="83"/>
        <v>0</v>
      </c>
      <c r="F605" s="2">
        <f t="shared" ref="F605:G620" si="87">((F604*13)+D605)/14</f>
        <v>2.9369447031799955E-2</v>
      </c>
      <c r="G605" s="2">
        <f t="shared" si="87"/>
        <v>2.6115847378370343E-2</v>
      </c>
      <c r="H605" s="2">
        <f t="shared" si="85"/>
        <v>1.1245833461304535</v>
      </c>
      <c r="I605" s="2">
        <f t="shared" si="86"/>
        <v>52.931947724182244</v>
      </c>
    </row>
    <row r="606" spans="1:9" ht="13.5" x14ac:dyDescent="0.25">
      <c r="A606" s="3">
        <f>TITRES_STAT!B609</f>
        <v>45803</v>
      </c>
      <c r="B606" s="5">
        <f>TITRES_STAT!D609</f>
        <v>5.5869999999999997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2.7271629386671385E-2</v>
      </c>
      <c r="G606" s="2">
        <f t="shared" si="87"/>
        <v>2.4250429708486749E-2</v>
      </c>
      <c r="H606" s="2">
        <f t="shared" si="85"/>
        <v>1.1245833461304535</v>
      </c>
      <c r="I606" s="2">
        <f t="shared" si="86"/>
        <v>52.931947724182244</v>
      </c>
    </row>
    <row r="607" spans="1:9" ht="13.5" x14ac:dyDescent="0.25">
      <c r="A607" s="3">
        <f>TITRES_STAT!B610</f>
        <v>45804</v>
      </c>
      <c r="B607" s="5">
        <f>TITRES_STAT!D610</f>
        <v>5.625</v>
      </c>
      <c r="C607" s="2">
        <f t="shared" si="81"/>
        <v>3.8000000000000256E-2</v>
      </c>
      <c r="D607" s="2">
        <f t="shared" si="82"/>
        <v>3.8000000000000256E-2</v>
      </c>
      <c r="E607" s="2">
        <f t="shared" si="83"/>
        <v>0</v>
      </c>
      <c r="F607" s="2">
        <f t="shared" si="87"/>
        <v>2.8037941573337732E-2</v>
      </c>
      <c r="G607" s="2">
        <f t="shared" si="87"/>
        <v>2.2518256157880553E-2</v>
      </c>
      <c r="H607" s="2">
        <f t="shared" si="85"/>
        <v>1.2451204647801066</v>
      </c>
      <c r="I607" s="2">
        <f t="shared" si="86"/>
        <v>55.458960190007325</v>
      </c>
    </row>
    <row r="608" spans="1:9" ht="13.5" x14ac:dyDescent="0.25">
      <c r="A608" s="3">
        <f>TITRES_STAT!B611</f>
        <v>45805</v>
      </c>
      <c r="B608" s="5">
        <f>TITRES_STAT!D611</f>
        <v>5.6340000000000003</v>
      </c>
      <c r="C608" s="2">
        <f t="shared" si="81"/>
        <v>9.0000000000003411E-3</v>
      </c>
      <c r="D608" s="2">
        <f t="shared" si="82"/>
        <v>9.0000000000003411E-3</v>
      </c>
      <c r="E608" s="2">
        <f t="shared" si="83"/>
        <v>0</v>
      </c>
      <c r="F608" s="2">
        <f t="shared" si="87"/>
        <v>2.667808860381363E-2</v>
      </c>
      <c r="G608" s="2">
        <f t="shared" si="87"/>
        <v>2.0909809289460513E-2</v>
      </c>
      <c r="H608" s="2">
        <f t="shared" si="85"/>
        <v>1.2758647501037033</v>
      </c>
      <c r="I608" s="2">
        <f t="shared" si="86"/>
        <v>56.0606578244848</v>
      </c>
    </row>
    <row r="609" spans="1:9" ht="13.5" x14ac:dyDescent="0.25">
      <c r="A609" s="3">
        <f>TITRES_STAT!B612</f>
        <v>45806</v>
      </c>
      <c r="B609" s="5">
        <f>TITRES_STAT!D612</f>
        <v>5.6340000000000003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2.4772510846398369E-2</v>
      </c>
      <c r="G609" s="2">
        <f t="shared" si="87"/>
        <v>1.9416251483070475E-2</v>
      </c>
      <c r="H609" s="2">
        <f t="shared" si="85"/>
        <v>1.2758647501037033</v>
      </c>
      <c r="I609" s="2">
        <f t="shared" si="86"/>
        <v>56.0606578244848</v>
      </c>
    </row>
    <row r="610" spans="1:9" ht="13.5" x14ac:dyDescent="0.25">
      <c r="A610" s="3">
        <f>TITRES_STAT!B613</f>
        <v>45807</v>
      </c>
      <c r="B610" s="5">
        <f>TITRES_STAT!D613</f>
        <v>5.625</v>
      </c>
      <c r="C610" s="2">
        <f t="shared" si="81"/>
        <v>-9.0000000000003411E-3</v>
      </c>
      <c r="D610" s="2">
        <f t="shared" si="82"/>
        <v>0</v>
      </c>
      <c r="E610" s="2">
        <f t="shared" si="83"/>
        <v>9.0000000000003411E-3</v>
      </c>
      <c r="F610" s="2">
        <f t="shared" si="87"/>
        <v>2.3003045785941343E-2</v>
      </c>
      <c r="G610" s="2">
        <f t="shared" si="87"/>
        <v>1.8672233519994037E-2</v>
      </c>
      <c r="H610" s="2">
        <f t="shared" si="85"/>
        <v>1.2319386302292072</v>
      </c>
      <c r="I610" s="2">
        <f t="shared" si="86"/>
        <v>55.195900709093159</v>
      </c>
    </row>
    <row r="611" spans="1:9" ht="13.5" x14ac:dyDescent="0.25">
      <c r="A611" s="3">
        <f>TITRES_STAT!B614</f>
        <v>45810</v>
      </c>
      <c r="B611" s="5">
        <f>TITRES_STAT!D614</f>
        <v>5.6150000000000002</v>
      </c>
      <c r="C611" s="2">
        <f t="shared" si="81"/>
        <v>-9.9999999999997868E-3</v>
      </c>
      <c r="D611" s="2">
        <f t="shared" si="82"/>
        <v>0</v>
      </c>
      <c r="E611" s="2">
        <f t="shared" si="83"/>
        <v>9.9999999999997868E-3</v>
      </c>
      <c r="F611" s="2">
        <f t="shared" si="87"/>
        <v>2.1359971086945533E-2</v>
      </c>
      <c r="G611" s="2">
        <f t="shared" si="87"/>
        <v>1.8052788268565878E-2</v>
      </c>
      <c r="H611" s="2">
        <f t="shared" si="85"/>
        <v>1.1831951258265314</v>
      </c>
      <c r="I611" s="2">
        <f t="shared" si="86"/>
        <v>54.195573809674386</v>
      </c>
    </row>
    <row r="612" spans="1:9" ht="13.5" x14ac:dyDescent="0.25">
      <c r="A612" s="3">
        <f>TITRES_STAT!B615</f>
        <v>45811</v>
      </c>
      <c r="B612" s="5">
        <f>TITRES_STAT!D615</f>
        <v>5.6150000000000002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1.9834258866449423E-2</v>
      </c>
      <c r="G612" s="2">
        <f t="shared" si="87"/>
        <v>1.6763303392239744E-2</v>
      </c>
      <c r="H612" s="2">
        <f t="shared" si="85"/>
        <v>1.1831951258265312</v>
      </c>
      <c r="I612" s="2">
        <f t="shared" si="86"/>
        <v>54.195573809674379</v>
      </c>
    </row>
    <row r="613" spans="1:9" ht="13.5" x14ac:dyDescent="0.25">
      <c r="A613" s="3">
        <f>TITRES_STAT!B616</f>
        <v>45812</v>
      </c>
      <c r="B613" s="5">
        <f>TITRES_STAT!D616</f>
        <v>5.5209999999999999</v>
      </c>
      <c r="C613" s="2">
        <f t="shared" si="81"/>
        <v>-9.4000000000000306E-2</v>
      </c>
      <c r="D613" s="2">
        <f t="shared" si="82"/>
        <v>0</v>
      </c>
      <c r="E613" s="2">
        <f t="shared" si="83"/>
        <v>9.4000000000000306E-2</v>
      </c>
      <c r="F613" s="2">
        <f t="shared" si="87"/>
        <v>1.8417526090274465E-2</v>
      </c>
      <c r="G613" s="2">
        <f t="shared" si="87"/>
        <v>2.2280210292794068E-2</v>
      </c>
      <c r="H613" s="2">
        <f t="shared" si="85"/>
        <v>0.82663160931793878</v>
      </c>
      <c r="I613" s="2">
        <f t="shared" si="86"/>
        <v>45.254423776592894</v>
      </c>
    </row>
    <row r="614" spans="1:9" ht="13.5" x14ac:dyDescent="0.25">
      <c r="A614" s="3">
        <f>TITRES_STAT!B617</f>
        <v>45813</v>
      </c>
      <c r="B614" s="5">
        <f>TITRES_STAT!D617</f>
        <v>5.5209999999999999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1.7101988512397717E-2</v>
      </c>
      <c r="G614" s="2">
        <f t="shared" si="87"/>
        <v>2.0688766700451635E-2</v>
      </c>
      <c r="H614" s="2">
        <f t="shared" si="85"/>
        <v>0.82663160931793878</v>
      </c>
      <c r="I614" s="2">
        <f t="shared" si="86"/>
        <v>45.254423776592894</v>
      </c>
    </row>
    <row r="615" spans="1:9" ht="13.5" x14ac:dyDescent="0.25">
      <c r="A615" s="3">
        <f>TITRES_STAT!B618</f>
        <v>45817</v>
      </c>
      <c r="B615" s="5">
        <f>TITRES_STAT!D618</f>
        <v>5.5679999999999996</v>
      </c>
      <c r="C615" s="2">
        <f t="shared" si="81"/>
        <v>4.6999999999999709E-2</v>
      </c>
      <c r="D615" s="2">
        <f t="shared" si="82"/>
        <v>4.6999999999999709E-2</v>
      </c>
      <c r="E615" s="2">
        <f t="shared" si="83"/>
        <v>0</v>
      </c>
      <c r="F615" s="2">
        <f t="shared" si="87"/>
        <v>1.9237560761512142E-2</v>
      </c>
      <c r="G615" s="2">
        <f t="shared" si="87"/>
        <v>1.9210997650419375E-2</v>
      </c>
      <c r="H615" s="2">
        <f t="shared" si="85"/>
        <v>1.001382703364819</v>
      </c>
      <c r="I615" s="2">
        <f t="shared" si="86"/>
        <v>50.034543702273801</v>
      </c>
    </row>
    <row r="616" spans="1:9" ht="13.5" x14ac:dyDescent="0.25">
      <c r="A616" s="3">
        <f>TITRES_STAT!B619</f>
        <v>45818</v>
      </c>
      <c r="B616" s="5">
        <f>TITRES_STAT!D619</f>
        <v>5.6150000000000002</v>
      </c>
      <c r="C616" s="2">
        <f t="shared" si="81"/>
        <v>4.7000000000000597E-2</v>
      </c>
      <c r="D616" s="2">
        <f t="shared" si="82"/>
        <v>4.7000000000000597E-2</v>
      </c>
      <c r="E616" s="2">
        <f t="shared" si="83"/>
        <v>0</v>
      </c>
      <c r="F616" s="2">
        <f t="shared" si="87"/>
        <v>2.122059213568989E-2</v>
      </c>
      <c r="G616" s="2">
        <f t="shared" si="87"/>
        <v>1.7838783532532276E-2</v>
      </c>
      <c r="H616" s="2">
        <f t="shared" si="85"/>
        <v>1.1895761892614634</v>
      </c>
      <c r="I616" s="2">
        <f t="shared" si="86"/>
        <v>54.329061262887741</v>
      </c>
    </row>
    <row r="617" spans="1:9" ht="13.5" x14ac:dyDescent="0.25">
      <c r="A617" s="3">
        <f>TITRES_STAT!B620</f>
        <v>45819</v>
      </c>
      <c r="B617" s="5">
        <f>TITRES_STAT!D620</f>
        <v>5.6150000000000002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1.9704835554569183E-2</v>
      </c>
      <c r="G617" s="2">
        <f t="shared" si="87"/>
        <v>1.6564584708779969E-2</v>
      </c>
      <c r="H617" s="2">
        <f t="shared" si="85"/>
        <v>1.1895761892614634</v>
      </c>
      <c r="I617" s="2">
        <f t="shared" si="86"/>
        <v>54.329061262887741</v>
      </c>
    </row>
    <row r="618" spans="1:9" ht="13.5" x14ac:dyDescent="0.25">
      <c r="A618" s="3">
        <f>TITRES_STAT!B621</f>
        <v>45820</v>
      </c>
      <c r="B618" s="5">
        <f>TITRES_STAT!D621</f>
        <v>5.6150000000000002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1.8297347300671386E-2</v>
      </c>
      <c r="G618" s="2">
        <f t="shared" si="87"/>
        <v>1.5381400086724256E-2</v>
      </c>
      <c r="H618" s="2">
        <f t="shared" si="85"/>
        <v>1.1895761892614636</v>
      </c>
      <c r="I618" s="2">
        <f t="shared" si="86"/>
        <v>54.329061262887748</v>
      </c>
    </row>
    <row r="619" spans="1:9" ht="13.5" x14ac:dyDescent="0.25">
      <c r="A619" s="3">
        <f>TITRES_STAT!B622</f>
        <v>45821</v>
      </c>
      <c r="B619" s="5">
        <f>TITRES_STAT!D622</f>
        <v>5.54</v>
      </c>
      <c r="C619" s="2">
        <f t="shared" si="81"/>
        <v>-7.5000000000000178E-2</v>
      </c>
      <c r="D619" s="2">
        <f t="shared" si="82"/>
        <v>0</v>
      </c>
      <c r="E619" s="2">
        <f t="shared" si="83"/>
        <v>7.5000000000000178E-2</v>
      </c>
      <c r="F619" s="2">
        <f t="shared" si="87"/>
        <v>1.6990393922052E-2</v>
      </c>
      <c r="G619" s="2">
        <f t="shared" si="87"/>
        <v>1.9639871509101108E-2</v>
      </c>
      <c r="H619" s="2">
        <f t="shared" si="85"/>
        <v>0.86509699995637235</v>
      </c>
      <c r="I619" s="2">
        <f t="shared" si="86"/>
        <v>46.383485683404579</v>
      </c>
    </row>
    <row r="620" spans="1:9" ht="13.5" x14ac:dyDescent="0.25">
      <c r="A620" s="3">
        <f>TITRES_STAT!B623</f>
        <v>45824</v>
      </c>
      <c r="B620" s="5">
        <f>TITRES_STAT!D623</f>
        <v>5.54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1.5776794356191143E-2</v>
      </c>
      <c r="G620" s="2">
        <f t="shared" si="87"/>
        <v>1.8237023544165315E-2</v>
      </c>
      <c r="H620" s="2">
        <f t="shared" si="85"/>
        <v>0.86509699995637235</v>
      </c>
      <c r="I620" s="2">
        <f t="shared" si="86"/>
        <v>46.383485683404579</v>
      </c>
    </row>
    <row r="621" spans="1:9" ht="13.5" x14ac:dyDescent="0.25">
      <c r="A621" s="3">
        <f>TITRES_STAT!B624</f>
        <v>45825</v>
      </c>
      <c r="B621" s="5">
        <f>TITRES_STAT!D624</f>
        <v>5.54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1.4649880473606061E-2</v>
      </c>
      <c r="G621" s="2">
        <f t="shared" si="88"/>
        <v>1.6934379005296363E-2</v>
      </c>
      <c r="H621" s="2">
        <f t="shared" si="85"/>
        <v>0.86509699995637235</v>
      </c>
      <c r="I621" s="2">
        <f t="shared" si="86"/>
        <v>46.383485683404579</v>
      </c>
    </row>
    <row r="622" spans="1:9" ht="13.5" x14ac:dyDescent="0.25">
      <c r="A622" s="3">
        <f>TITRES_STAT!B625</f>
        <v>45826</v>
      </c>
      <c r="B622" s="5">
        <f>TITRES_STAT!D625</f>
        <v>5.5869999999999997</v>
      </c>
      <c r="C622" s="2">
        <f t="shared" si="81"/>
        <v>4.6999999999999709E-2</v>
      </c>
      <c r="D622" s="2">
        <f t="shared" si="82"/>
        <v>4.6999999999999709E-2</v>
      </c>
      <c r="E622" s="2">
        <f t="shared" si="83"/>
        <v>0</v>
      </c>
      <c r="F622" s="2">
        <f t="shared" si="88"/>
        <v>1.6960603296919893E-2</v>
      </c>
      <c r="G622" s="2">
        <f t="shared" si="88"/>
        <v>1.5724780504918053E-2</v>
      </c>
      <c r="H622" s="2">
        <f t="shared" si="85"/>
        <v>1.0785907817037781</v>
      </c>
      <c r="I622" s="2">
        <f t="shared" si="86"/>
        <v>51.890482301652447</v>
      </c>
    </row>
    <row r="623" spans="1:9" ht="13.5" x14ac:dyDescent="0.25">
      <c r="A623" s="3">
        <f>TITRES_STAT!B626</f>
        <v>45827</v>
      </c>
      <c r="B623" s="5">
        <f>TITRES_STAT!D626</f>
        <v>5.54</v>
      </c>
      <c r="C623" s="2">
        <f t="shared" si="81"/>
        <v>-4.6999999999999709E-2</v>
      </c>
      <c r="D623" s="2">
        <f t="shared" si="82"/>
        <v>0</v>
      </c>
      <c r="E623" s="2">
        <f t="shared" si="83"/>
        <v>4.6999999999999709E-2</v>
      </c>
      <c r="F623" s="2">
        <f t="shared" si="88"/>
        <v>1.5749131632854185E-2</v>
      </c>
      <c r="G623" s="2">
        <f t="shared" si="88"/>
        <v>1.7958724754566741E-2</v>
      </c>
      <c r="H623" s="2">
        <f t="shared" si="85"/>
        <v>0.87696269351471201</v>
      </c>
      <c r="I623" s="2">
        <f t="shared" si="86"/>
        <v>46.722436015632951</v>
      </c>
    </row>
    <row r="624" spans="1:9" ht="13.5" x14ac:dyDescent="0.25">
      <c r="A624" s="3">
        <f>TITRES_STAT!B627</f>
        <v>45828</v>
      </c>
      <c r="B624" s="5">
        <f>TITRES_STAT!D627</f>
        <v>5.54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1.4624193659078886E-2</v>
      </c>
      <c r="G624" s="2">
        <f t="shared" si="88"/>
        <v>1.6675958700669118E-2</v>
      </c>
      <c r="H624" s="2">
        <f t="shared" si="85"/>
        <v>0.87696269351471201</v>
      </c>
      <c r="I624" s="2">
        <f t="shared" si="86"/>
        <v>46.722436015632951</v>
      </c>
    </row>
    <row r="625" spans="1:9" ht="13.5" x14ac:dyDescent="0.25">
      <c r="A625" s="3">
        <f>TITRES_STAT!B628</f>
        <v>45831</v>
      </c>
      <c r="B625" s="5">
        <f>TITRES_STAT!D628</f>
        <v>5.5869999999999997</v>
      </c>
      <c r="C625" s="2">
        <f t="shared" si="81"/>
        <v>4.6999999999999709E-2</v>
      </c>
      <c r="D625" s="2">
        <f t="shared" si="82"/>
        <v>4.6999999999999709E-2</v>
      </c>
      <c r="E625" s="2">
        <f t="shared" si="83"/>
        <v>0</v>
      </c>
      <c r="F625" s="2">
        <f t="shared" si="88"/>
        <v>1.6936751254858946E-2</v>
      </c>
      <c r="G625" s="2">
        <f t="shared" si="88"/>
        <v>1.5484818793478466E-2</v>
      </c>
      <c r="H625" s="2">
        <f t="shared" si="85"/>
        <v>1.0937648984301949</v>
      </c>
      <c r="I625" s="2">
        <f t="shared" si="86"/>
        <v>52.23914582053829</v>
      </c>
    </row>
    <row r="626" spans="1:9" ht="13.5" x14ac:dyDescent="0.25">
      <c r="A626" s="3">
        <f>TITRES_STAT!B629</f>
        <v>45832</v>
      </c>
      <c r="B626" s="5">
        <f>TITRES_STAT!D629</f>
        <v>5.6340000000000003</v>
      </c>
      <c r="C626" s="2">
        <f t="shared" si="81"/>
        <v>4.7000000000000597E-2</v>
      </c>
      <c r="D626" s="2">
        <f t="shared" si="82"/>
        <v>4.7000000000000597E-2</v>
      </c>
      <c r="E626" s="2">
        <f t="shared" si="83"/>
        <v>0</v>
      </c>
      <c r="F626" s="2">
        <f t="shared" si="88"/>
        <v>1.9084126165226208E-2</v>
      </c>
      <c r="G626" s="2">
        <f t="shared" si="88"/>
        <v>1.4378760308230003E-2</v>
      </c>
      <c r="H626" s="2">
        <f t="shared" si="85"/>
        <v>1.3272441960314885</v>
      </c>
      <c r="I626" s="2">
        <f t="shared" si="86"/>
        <v>57.03072321738987</v>
      </c>
    </row>
    <row r="627" spans="1:9" ht="13.5" x14ac:dyDescent="0.25">
      <c r="A627" s="3">
        <f>TITRES_STAT!B630</f>
        <v>45833</v>
      </c>
      <c r="B627" s="5">
        <f>TITRES_STAT!D630</f>
        <v>5.5869999999999997</v>
      </c>
      <c r="C627" s="2">
        <f t="shared" si="81"/>
        <v>-4.7000000000000597E-2</v>
      </c>
      <c r="D627" s="2">
        <f t="shared" si="82"/>
        <v>0</v>
      </c>
      <c r="E627" s="2">
        <f t="shared" si="83"/>
        <v>4.7000000000000597E-2</v>
      </c>
      <c r="F627" s="2">
        <f t="shared" si="88"/>
        <v>1.7720974296281479E-2</v>
      </c>
      <c r="G627" s="2">
        <f t="shared" si="88"/>
        <v>1.6708848857642188E-2</v>
      </c>
      <c r="H627" s="2">
        <f t="shared" si="85"/>
        <v>1.0605742171266557</v>
      </c>
      <c r="I627" s="2">
        <f t="shared" si="86"/>
        <v>51.469838276709169</v>
      </c>
    </row>
    <row r="628" spans="1:9" ht="13.5" x14ac:dyDescent="0.25">
      <c r="A628" s="3">
        <f>TITRES_STAT!B631</f>
        <v>45835</v>
      </c>
      <c r="B628" s="5">
        <f>TITRES_STAT!D631</f>
        <v>5.5209999999999999</v>
      </c>
      <c r="C628" s="2">
        <f t="shared" si="81"/>
        <v>-6.5999999999999837E-2</v>
      </c>
      <c r="D628" s="2">
        <f t="shared" si="82"/>
        <v>0</v>
      </c>
      <c r="E628" s="2">
        <f t="shared" si="83"/>
        <v>6.5999999999999837E-2</v>
      </c>
      <c r="F628" s="2">
        <f t="shared" si="88"/>
        <v>1.6455190417975659E-2</v>
      </c>
      <c r="G628" s="2">
        <f t="shared" si="88"/>
        <v>2.0229645367810595E-2</v>
      </c>
      <c r="H628" s="2">
        <f t="shared" si="85"/>
        <v>0.8134196185247593</v>
      </c>
      <c r="I628" s="2">
        <f t="shared" si="86"/>
        <v>44.855565155211394</v>
      </c>
    </row>
    <row r="629" spans="1:9" ht="13.5" x14ac:dyDescent="0.25">
      <c r="A629" s="3">
        <f>TITRES_STAT!B632</f>
        <v>45838</v>
      </c>
      <c r="B629" s="5">
        <f>TITRES_STAT!D632</f>
        <v>5.5209999999999999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1.527981967383454E-2</v>
      </c>
      <c r="G629" s="2">
        <f t="shared" si="88"/>
        <v>1.8784670698681265E-2</v>
      </c>
      <c r="H629" s="2">
        <f t="shared" si="85"/>
        <v>0.81341961852475941</v>
      </c>
      <c r="I629" s="2">
        <f t="shared" si="86"/>
        <v>44.855565155211401</v>
      </c>
    </row>
    <row r="630" spans="1:9" ht="13.5" x14ac:dyDescent="0.25">
      <c r="A630" s="3">
        <f>TITRES_STAT!B633</f>
        <v>45839</v>
      </c>
      <c r="B630" s="5">
        <f>TITRES_STAT!D633</f>
        <v>5.5119999999999996</v>
      </c>
      <c r="C630" s="2">
        <f t="shared" si="81"/>
        <v>-9.0000000000003411E-3</v>
      </c>
      <c r="D630" s="2">
        <f t="shared" si="82"/>
        <v>0</v>
      </c>
      <c r="E630" s="2">
        <f t="shared" si="83"/>
        <v>9.0000000000003411E-3</v>
      </c>
      <c r="F630" s="2">
        <f t="shared" si="88"/>
        <v>1.4188403982846359E-2</v>
      </c>
      <c r="G630" s="2">
        <f t="shared" si="88"/>
        <v>1.8085765648775485E-2</v>
      </c>
      <c r="H630" s="2">
        <f t="shared" si="85"/>
        <v>0.78450668102110455</v>
      </c>
      <c r="I630" s="2">
        <f t="shared" si="86"/>
        <v>43.962103889249967</v>
      </c>
    </row>
    <row r="631" spans="1:9" ht="13.5" x14ac:dyDescent="0.25">
      <c r="A631" s="3">
        <f>TITRES_STAT!B634</f>
        <v>45840</v>
      </c>
      <c r="B631" s="5">
        <f>TITRES_STAT!D634</f>
        <v>5.5119999999999996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1.3174946555500191E-2</v>
      </c>
      <c r="G631" s="2">
        <f t="shared" si="88"/>
        <v>1.6793925245291521E-2</v>
      </c>
      <c r="H631" s="2">
        <f t="shared" si="85"/>
        <v>0.78450668102110455</v>
      </c>
      <c r="I631" s="2">
        <f t="shared" si="86"/>
        <v>43.962103889249967</v>
      </c>
    </row>
    <row r="632" spans="1:9" ht="13.5" x14ac:dyDescent="0.25">
      <c r="A632" s="3">
        <f>TITRES_STAT!B635</f>
        <v>45841</v>
      </c>
      <c r="B632" s="5">
        <f>TITRES_STAT!D635</f>
        <v>5.5869999999999997</v>
      </c>
      <c r="C632" s="2">
        <f t="shared" si="81"/>
        <v>7.5000000000000178E-2</v>
      </c>
      <c r="D632" s="2">
        <f t="shared" si="82"/>
        <v>7.5000000000000178E-2</v>
      </c>
      <c r="E632" s="2">
        <f t="shared" si="83"/>
        <v>0</v>
      </c>
      <c r="F632" s="2">
        <f t="shared" si="88"/>
        <v>1.7591021801535902E-2</v>
      </c>
      <c r="G632" s="2">
        <f t="shared" si="88"/>
        <v>1.5594359156342125E-2</v>
      </c>
      <c r="H632" s="2">
        <f t="shared" si="85"/>
        <v>1.1280374926071743</v>
      </c>
      <c r="I632" s="2">
        <f t="shared" si="86"/>
        <v>53.008346729133727</v>
      </c>
    </row>
    <row r="633" spans="1:9" ht="13.5" x14ac:dyDescent="0.25">
      <c r="A633" s="3">
        <f>TITRES_STAT!B636</f>
        <v>45842</v>
      </c>
      <c r="B633" s="5">
        <f>TITRES_STAT!D636</f>
        <v>5.72</v>
      </c>
      <c r="C633" s="2">
        <f t="shared" si="81"/>
        <v>0.13300000000000001</v>
      </c>
      <c r="D633" s="2">
        <f t="shared" si="82"/>
        <v>0.13300000000000001</v>
      </c>
      <c r="E633" s="2">
        <f t="shared" si="83"/>
        <v>0</v>
      </c>
      <c r="F633" s="2">
        <f t="shared" si="88"/>
        <v>2.5834520244283336E-2</v>
      </c>
      <c r="G633" s="2">
        <f t="shared" si="88"/>
        <v>1.4480476359460545E-2</v>
      </c>
      <c r="H633" s="2">
        <f t="shared" si="85"/>
        <v>1.7840932579130824</v>
      </c>
      <c r="I633" s="2">
        <f t="shared" si="86"/>
        <v>64.081662955874322</v>
      </c>
    </row>
    <row r="634" spans="1:9" ht="13.5" x14ac:dyDescent="0.25">
      <c r="A634" s="3">
        <f>TITRES_STAT!B637</f>
        <v>45845</v>
      </c>
      <c r="B634" s="5">
        <f>TITRES_STAT!D637</f>
        <v>5.72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2.3989197369691666E-2</v>
      </c>
      <c r="G634" s="2">
        <f t="shared" si="88"/>
        <v>1.3446156619499078E-2</v>
      </c>
      <c r="H634" s="2">
        <f t="shared" si="85"/>
        <v>1.7840932579130822</v>
      </c>
      <c r="I634" s="2">
        <f t="shared" si="86"/>
        <v>64.081662955874322</v>
      </c>
    </row>
    <row r="635" spans="1:9" ht="13.5" x14ac:dyDescent="0.25">
      <c r="A635" s="3">
        <f>TITRES_STAT!B638</f>
        <v>45846</v>
      </c>
      <c r="B635" s="5">
        <f>TITRES_STAT!D638</f>
        <v>5.75</v>
      </c>
      <c r="C635" s="2">
        <f t="shared" si="81"/>
        <v>3.0000000000000249E-2</v>
      </c>
      <c r="D635" s="2">
        <f t="shared" si="82"/>
        <v>3.0000000000000249E-2</v>
      </c>
      <c r="E635" s="2">
        <f t="shared" si="83"/>
        <v>0</v>
      </c>
      <c r="F635" s="2">
        <f t="shared" si="88"/>
        <v>2.4418540414713707E-2</v>
      </c>
      <c r="G635" s="2">
        <f t="shared" si="88"/>
        <v>1.248571686096343E-2</v>
      </c>
      <c r="H635" s="2">
        <f t="shared" si="85"/>
        <v>1.9557179364733335</v>
      </c>
      <c r="I635" s="2">
        <f t="shared" si="86"/>
        <v>66.167272334748986</v>
      </c>
    </row>
    <row r="636" spans="1:9" ht="13.5" x14ac:dyDescent="0.25">
      <c r="A636" s="3">
        <f>TITRES_STAT!B639</f>
        <v>45847</v>
      </c>
      <c r="B636" s="5">
        <f>TITRES_STAT!D639</f>
        <v>5.7</v>
      </c>
      <c r="C636" s="2">
        <f t="shared" si="81"/>
        <v>-4.9999999999999822E-2</v>
      </c>
      <c r="D636" s="2">
        <f t="shared" si="82"/>
        <v>0</v>
      </c>
      <c r="E636" s="2">
        <f t="shared" si="83"/>
        <v>4.9999999999999822E-2</v>
      </c>
      <c r="F636" s="2">
        <f t="shared" si="88"/>
        <v>2.2674358956519869E-2</v>
      </c>
      <c r="G636" s="2">
        <f t="shared" si="88"/>
        <v>1.5165308513751743E-2</v>
      </c>
      <c r="H636" s="2">
        <f t="shared" si="85"/>
        <v>1.4951465666497321</v>
      </c>
      <c r="I636" s="2">
        <f t="shared" si="86"/>
        <v>59.922194015932547</v>
      </c>
    </row>
    <row r="637" spans="1:9" ht="13.5" x14ac:dyDescent="0.25">
      <c r="A637" s="3">
        <f>TITRES_STAT!B640</f>
        <v>45848</v>
      </c>
      <c r="B637" s="5">
        <f>TITRES_STAT!D640</f>
        <v>5.7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2.1054761888197021E-2</v>
      </c>
      <c r="G637" s="2">
        <f t="shared" si="89"/>
        <v>1.4082072191340904E-2</v>
      </c>
      <c r="H637" s="2">
        <f t="shared" si="85"/>
        <v>1.4951465666497321</v>
      </c>
      <c r="I637" s="2">
        <f t="shared" si="86"/>
        <v>59.922194015932547</v>
      </c>
    </row>
    <row r="638" spans="1:9" ht="13.5" x14ac:dyDescent="0.25">
      <c r="A638" s="3">
        <f>TITRES_STAT!B641</f>
        <v>45849</v>
      </c>
      <c r="B638" s="5">
        <f>TITRES_STAT!D641</f>
        <v>5.68</v>
      </c>
      <c r="C638" s="2">
        <f t="shared" si="81"/>
        <v>-2.0000000000000462E-2</v>
      </c>
      <c r="D638" s="2">
        <f t="shared" si="82"/>
        <v>0</v>
      </c>
      <c r="E638" s="2">
        <f t="shared" si="83"/>
        <v>2.0000000000000462E-2</v>
      </c>
      <c r="F638" s="2">
        <f t="shared" si="89"/>
        <v>1.9550850324754374E-2</v>
      </c>
      <c r="G638" s="2">
        <f t="shared" si="89"/>
        <v>1.4504781320530872E-2</v>
      </c>
      <c r="H638" s="2">
        <f t="shared" si="85"/>
        <v>1.3478900434769752</v>
      </c>
      <c r="I638" s="2">
        <f t="shared" si="86"/>
        <v>57.408567629551065</v>
      </c>
    </row>
    <row r="639" spans="1:9" ht="13.5" x14ac:dyDescent="0.25">
      <c r="A639" s="3">
        <f>TITRES_STAT!B642</f>
        <v>45852</v>
      </c>
      <c r="B639" s="5">
        <f>TITRES_STAT!D642</f>
        <v>5.69</v>
      </c>
      <c r="C639" s="2">
        <f t="shared" si="81"/>
        <v>1.0000000000000675E-2</v>
      </c>
      <c r="D639" s="2">
        <f t="shared" si="82"/>
        <v>1.0000000000000675E-2</v>
      </c>
      <c r="E639" s="2">
        <f t="shared" si="83"/>
        <v>0</v>
      </c>
      <c r="F639" s="2">
        <f t="shared" si="89"/>
        <v>1.8868646730129109E-2</v>
      </c>
      <c r="G639" s="2">
        <f t="shared" si="89"/>
        <v>1.3468725511921523E-2</v>
      </c>
      <c r="H639" s="2">
        <f t="shared" si="85"/>
        <v>1.4009229539519514</v>
      </c>
      <c r="I639" s="2">
        <f t="shared" si="86"/>
        <v>58.349350679746451</v>
      </c>
    </row>
    <row r="640" spans="1:9" ht="13.5" x14ac:dyDescent="0.25">
      <c r="A640" s="3">
        <f>TITRES_STAT!B643</f>
        <v>45853</v>
      </c>
      <c r="B640" s="5">
        <f>TITRES_STAT!D643</f>
        <v>5.67</v>
      </c>
      <c r="C640" s="2">
        <f t="shared" si="81"/>
        <v>-2.0000000000000462E-2</v>
      </c>
      <c r="D640" s="2">
        <f t="shared" si="82"/>
        <v>0</v>
      </c>
      <c r="E640" s="2">
        <f t="shared" si="83"/>
        <v>2.0000000000000462E-2</v>
      </c>
      <c r="F640" s="2">
        <f t="shared" si="89"/>
        <v>1.75208862494056E-2</v>
      </c>
      <c r="G640" s="2">
        <f t="shared" si="89"/>
        <v>1.3935245118212878E-2</v>
      </c>
      <c r="H640" s="2">
        <f t="shared" si="85"/>
        <v>1.2573073599190885</v>
      </c>
      <c r="I640" s="2">
        <f t="shared" si="86"/>
        <v>55.699431200372977</v>
      </c>
    </row>
    <row r="641" spans="1:9" ht="13.5" x14ac:dyDescent="0.25">
      <c r="A641" s="3">
        <f>TITRES_STAT!B644</f>
        <v>45854</v>
      </c>
      <c r="B641" s="5">
        <f>TITRES_STAT!D644</f>
        <v>5.67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1.6269394374448055E-2</v>
      </c>
      <c r="G641" s="2">
        <f t="shared" si="89"/>
        <v>1.2939870466911958E-2</v>
      </c>
      <c r="H641" s="2">
        <f t="shared" si="85"/>
        <v>1.2573073599190885</v>
      </c>
      <c r="I641" s="2">
        <f t="shared" si="86"/>
        <v>55.699431200372977</v>
      </c>
    </row>
    <row r="642" spans="1:9" ht="13.5" x14ac:dyDescent="0.25">
      <c r="A642" s="3">
        <f>TITRES_STAT!B645</f>
        <v>45855</v>
      </c>
      <c r="B642" s="5">
        <f>TITRES_STAT!D645</f>
        <v>5.66</v>
      </c>
      <c r="C642" s="2">
        <f t="shared" si="81"/>
        <v>-9.9999999999997868E-3</v>
      </c>
      <c r="D642" s="2">
        <f t="shared" si="82"/>
        <v>0</v>
      </c>
      <c r="E642" s="2">
        <f t="shared" si="83"/>
        <v>9.9999999999997868E-3</v>
      </c>
      <c r="F642" s="2">
        <f t="shared" si="89"/>
        <v>1.5107294776273194E-2</v>
      </c>
      <c r="G642" s="2">
        <f t="shared" si="89"/>
        <v>1.2729879719275375E-2</v>
      </c>
      <c r="H642" s="2">
        <f t="shared" si="85"/>
        <v>1.1867586426129366</v>
      </c>
      <c r="I642" s="2">
        <f t="shared" si="86"/>
        <v>54.270216176893221</v>
      </c>
    </row>
    <row r="643" spans="1:9" ht="13.5" x14ac:dyDescent="0.25">
      <c r="A643" s="3">
        <f>TITRES_STAT!B646</f>
        <v>45856</v>
      </c>
      <c r="B643" s="5">
        <f>TITRES_STAT!D646</f>
        <v>5.7</v>
      </c>
      <c r="C643" s="2">
        <f t="shared" ref="C643:C691" si="90">B643-B642</f>
        <v>4.0000000000000036E-2</v>
      </c>
      <c r="D643" s="2">
        <f t="shared" ref="D643:D691" si="91">IF(C643&gt;0,C643,0)</f>
        <v>4.0000000000000036E-2</v>
      </c>
      <c r="E643" s="2">
        <f t="shared" ref="E643:E691" si="92">IF(C643&lt;0,-C643,0)</f>
        <v>0</v>
      </c>
      <c r="F643" s="2">
        <f t="shared" si="89"/>
        <v>1.688534514939654E-2</v>
      </c>
      <c r="G643" s="2">
        <f t="shared" si="89"/>
        <v>1.1820602596469989E-2</v>
      </c>
      <c r="H643" s="2">
        <f t="shared" si="85"/>
        <v>1.4284673739424287</v>
      </c>
      <c r="I643" s="2">
        <f t="shared" si="86"/>
        <v>58.821765088135507</v>
      </c>
    </row>
    <row r="644" spans="1:9" ht="13.5" x14ac:dyDescent="0.25">
      <c r="A644" s="3">
        <f>TITRES_STAT!B647</f>
        <v>45859</v>
      </c>
      <c r="B644" s="5">
        <f>TITRES_STAT!D647</f>
        <v>5.7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1.5679249067296789E-2</v>
      </c>
      <c r="G644" s="2">
        <f t="shared" si="89"/>
        <v>1.0976273839579276E-2</v>
      </c>
      <c r="H644" s="2">
        <f t="shared" si="85"/>
        <v>1.428467373942429</v>
      </c>
      <c r="I644" s="2">
        <f t="shared" si="86"/>
        <v>58.821765088135514</v>
      </c>
    </row>
    <row r="645" spans="1:9" ht="13.5" x14ac:dyDescent="0.25">
      <c r="A645" s="3">
        <f>TITRES_STAT!B648</f>
        <v>45860</v>
      </c>
      <c r="B645" s="5">
        <f>TITRES_STAT!D648</f>
        <v>5.7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1.4559302705347018E-2</v>
      </c>
      <c r="G645" s="2">
        <f t="shared" si="89"/>
        <v>1.0192254279609328E-2</v>
      </c>
      <c r="H645" s="2">
        <f t="shared" si="85"/>
        <v>1.4284673739424287</v>
      </c>
      <c r="I645" s="2">
        <f t="shared" si="86"/>
        <v>58.821765088135507</v>
      </c>
    </row>
    <row r="646" spans="1:9" ht="13.5" x14ac:dyDescent="0.25">
      <c r="A646" s="3">
        <f>TITRES_STAT!B649</f>
        <v>45861</v>
      </c>
      <c r="B646" s="5">
        <f>TITRES_STAT!D649</f>
        <v>5.69</v>
      </c>
      <c r="C646" s="2">
        <f t="shared" si="90"/>
        <v>-9.9999999999997868E-3</v>
      </c>
      <c r="D646" s="2">
        <f t="shared" si="91"/>
        <v>0</v>
      </c>
      <c r="E646" s="2">
        <f t="shared" si="92"/>
        <v>9.9999999999997868E-3</v>
      </c>
      <c r="F646" s="2">
        <f t="shared" si="89"/>
        <v>1.3519352512107946E-2</v>
      </c>
      <c r="G646" s="2">
        <f t="shared" si="89"/>
        <v>1.017852183106579E-2</v>
      </c>
      <c r="H646" s="2">
        <f t="shared" si="85"/>
        <v>1.3282235609934669</v>
      </c>
      <c r="I646" s="2">
        <f t="shared" si="86"/>
        <v>57.048798201608527</v>
      </c>
    </row>
    <row r="647" spans="1:9" ht="13.5" x14ac:dyDescent="0.25">
      <c r="A647" s="3">
        <f>TITRES_STAT!B650</f>
        <v>45862</v>
      </c>
      <c r="B647" s="5">
        <f>TITRES_STAT!D650</f>
        <v>5.66</v>
      </c>
      <c r="C647" s="2">
        <f t="shared" si="90"/>
        <v>-3.0000000000000249E-2</v>
      </c>
      <c r="D647" s="2">
        <f t="shared" si="91"/>
        <v>0</v>
      </c>
      <c r="E647" s="2">
        <f t="shared" si="92"/>
        <v>3.0000000000000249E-2</v>
      </c>
      <c r="F647" s="2">
        <f t="shared" si="89"/>
        <v>1.2553684475528808E-2</v>
      </c>
      <c r="G647" s="2">
        <f t="shared" si="89"/>
        <v>1.1594341700275396E-2</v>
      </c>
      <c r="H647" s="2">
        <f t="shared" si="85"/>
        <v>1.0827423238035692</v>
      </c>
      <c r="I647" s="2">
        <f t="shared" si="86"/>
        <v>51.986379276445078</v>
      </c>
    </row>
    <row r="648" spans="1:9" ht="13.5" x14ac:dyDescent="0.25">
      <c r="A648" s="3">
        <f>TITRES_STAT!B651</f>
        <v>45866</v>
      </c>
      <c r="B648" s="5">
        <f>TITRES_STAT!D651</f>
        <v>5.69</v>
      </c>
      <c r="C648" s="2">
        <f t="shared" si="90"/>
        <v>3.0000000000000249E-2</v>
      </c>
      <c r="D648" s="2">
        <f t="shared" si="91"/>
        <v>3.0000000000000249E-2</v>
      </c>
      <c r="E648" s="2">
        <f t="shared" si="92"/>
        <v>0</v>
      </c>
      <c r="F648" s="2">
        <f t="shared" si="89"/>
        <v>1.3799849870133911E-2</v>
      </c>
      <c r="G648" s="2">
        <f t="shared" si="89"/>
        <v>1.0766174435970012E-2</v>
      </c>
      <c r="H648" s="2">
        <f t="shared" si="85"/>
        <v>1.2817784025520083</v>
      </c>
      <c r="I648" s="2">
        <f t="shared" si="86"/>
        <v>56.174534789111398</v>
      </c>
    </row>
    <row r="649" spans="1:9" ht="13.5" x14ac:dyDescent="0.25">
      <c r="A649" s="3">
        <f>TITRES_STAT!B652</f>
        <v>45867</v>
      </c>
      <c r="B649" s="5">
        <f>TITRES_STAT!D652</f>
        <v>5.66</v>
      </c>
      <c r="C649" s="2">
        <f t="shared" si="90"/>
        <v>-3.0000000000000249E-2</v>
      </c>
      <c r="D649" s="2">
        <f t="shared" si="91"/>
        <v>0</v>
      </c>
      <c r="E649" s="2">
        <f t="shared" si="92"/>
        <v>3.0000000000000249E-2</v>
      </c>
      <c r="F649" s="2">
        <f t="shared" si="89"/>
        <v>1.2814146307981488E-2</v>
      </c>
      <c r="G649" s="2">
        <f t="shared" si="89"/>
        <v>1.2140019119115029E-2</v>
      </c>
      <c r="H649" s="2">
        <f t="shared" si="85"/>
        <v>1.0555293350242765</v>
      </c>
      <c r="I649" s="2">
        <f t="shared" si="86"/>
        <v>51.350730784477491</v>
      </c>
    </row>
    <row r="650" spans="1:9" ht="13.5" x14ac:dyDescent="0.25">
      <c r="A650" s="3">
        <f>TITRES_STAT!B653</f>
        <v>45868</v>
      </c>
      <c r="B650" s="5">
        <f>TITRES_STAT!D653</f>
        <v>5.67</v>
      </c>
      <c r="C650" s="2">
        <f t="shared" si="90"/>
        <v>9.9999999999997868E-3</v>
      </c>
      <c r="D650" s="2">
        <f t="shared" si="91"/>
        <v>9.9999999999997868E-3</v>
      </c>
      <c r="E650" s="2">
        <f t="shared" si="92"/>
        <v>0</v>
      </c>
      <c r="F650" s="2">
        <f t="shared" si="89"/>
        <v>1.2613135857411365E-2</v>
      </c>
      <c r="G650" s="2">
        <f t="shared" si="89"/>
        <v>1.1272874896321099E-2</v>
      </c>
      <c r="H650" s="2">
        <f t="shared" si="85"/>
        <v>1.1188925605417355</v>
      </c>
      <c r="I650" s="2">
        <f t="shared" si="86"/>
        <v>52.805535371537154</v>
      </c>
    </row>
    <row r="651" spans="1:9" ht="13.5" x14ac:dyDescent="0.25">
      <c r="A651" s="3">
        <f>TITRES_STAT!B654</f>
        <v>45869</v>
      </c>
      <c r="B651" s="5">
        <f>TITRES_STAT!D654</f>
        <v>5.67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1.1712197581881982E-2</v>
      </c>
      <c r="G651" s="2">
        <f t="shared" si="89"/>
        <v>1.0467669546583878E-2</v>
      </c>
      <c r="H651" s="2">
        <f t="shared" si="85"/>
        <v>1.1188925605417355</v>
      </c>
      <c r="I651" s="2">
        <f t="shared" si="86"/>
        <v>52.805535371537154</v>
      </c>
    </row>
    <row r="652" spans="1:9" ht="13.5" x14ac:dyDescent="0.25">
      <c r="A652" s="3">
        <f>TITRES_STAT!B655</f>
        <v>45870</v>
      </c>
      <c r="B652" s="5">
        <f>TITRES_STAT!D655</f>
        <v>5.7</v>
      </c>
      <c r="C652" s="2">
        <f t="shared" si="90"/>
        <v>3.0000000000000249E-2</v>
      </c>
      <c r="D652" s="2">
        <f t="shared" si="91"/>
        <v>3.0000000000000249E-2</v>
      </c>
      <c r="E652" s="2">
        <f t="shared" si="92"/>
        <v>0</v>
      </c>
      <c r="F652" s="2">
        <f t="shared" si="89"/>
        <v>1.3018469183176144E-2</v>
      </c>
      <c r="G652" s="2">
        <f t="shared" si="89"/>
        <v>9.7199788646850308E-3</v>
      </c>
      <c r="H652" s="2">
        <f t="shared" si="85"/>
        <v>1.3393515937030793</v>
      </c>
      <c r="I652" s="2">
        <f t="shared" si="86"/>
        <v>57.25311224307891</v>
      </c>
    </row>
    <row r="653" spans="1:9" ht="13.5" x14ac:dyDescent="0.25">
      <c r="A653" s="3">
        <f>TITRES_STAT!B656</f>
        <v>45873</v>
      </c>
      <c r="B653" s="5">
        <f>TITRES_STAT!D656</f>
        <v>5.7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1.2088578527234991E-2</v>
      </c>
      <c r="G653" s="2">
        <f t="shared" si="93"/>
        <v>9.0256946600646721E-3</v>
      </c>
      <c r="H653" s="2">
        <f t="shared" si="85"/>
        <v>1.3393515937030793</v>
      </c>
      <c r="I653" s="2">
        <f t="shared" si="86"/>
        <v>57.25311224307891</v>
      </c>
    </row>
    <row r="654" spans="1:9" ht="13.5" x14ac:dyDescent="0.25">
      <c r="A654" s="3">
        <f>TITRES_STAT!B657</f>
        <v>45874</v>
      </c>
      <c r="B654" s="5">
        <f>TITRES_STAT!D657</f>
        <v>5.6</v>
      </c>
      <c r="C654" s="2">
        <f t="shared" si="90"/>
        <v>-0.10000000000000053</v>
      </c>
      <c r="D654" s="2">
        <f t="shared" si="91"/>
        <v>0</v>
      </c>
      <c r="E654" s="2">
        <f t="shared" si="92"/>
        <v>0.10000000000000053</v>
      </c>
      <c r="F654" s="2">
        <f t="shared" si="93"/>
        <v>1.1225108632432491E-2</v>
      </c>
      <c r="G654" s="2">
        <f t="shared" si="93"/>
        <v>1.5523859327202948E-2</v>
      </c>
      <c r="H654" s="2">
        <f t="shared" si="85"/>
        <v>0.72308750007560163</v>
      </c>
      <c r="I654" s="2">
        <f t="shared" si="86"/>
        <v>41.964641960659321</v>
      </c>
    </row>
    <row r="655" spans="1:9" ht="13.5" x14ac:dyDescent="0.25">
      <c r="A655" s="3">
        <f>TITRES_STAT!B658</f>
        <v>45875</v>
      </c>
      <c r="B655" s="5">
        <f>TITRES_STAT!D658</f>
        <v>5.66</v>
      </c>
      <c r="C655" s="2">
        <f t="shared" si="90"/>
        <v>6.0000000000000497E-2</v>
      </c>
      <c r="D655" s="2">
        <f t="shared" si="91"/>
        <v>6.0000000000000497E-2</v>
      </c>
      <c r="E655" s="2">
        <f t="shared" si="92"/>
        <v>0</v>
      </c>
      <c r="F655" s="2">
        <f t="shared" si="93"/>
        <v>1.4709029444401635E-2</v>
      </c>
      <c r="G655" s="2">
        <f t="shared" si="93"/>
        <v>1.4415012232402737E-2</v>
      </c>
      <c r="H655" s="2">
        <f t="shared" si="85"/>
        <v>1.0203965981616021</v>
      </c>
      <c r="I655" s="2">
        <f t="shared" si="86"/>
        <v>50.504767187297809</v>
      </c>
    </row>
    <row r="656" spans="1:9" ht="13.5" x14ac:dyDescent="0.25">
      <c r="A656" s="3">
        <f>TITRES_STAT!B659</f>
        <v>45876</v>
      </c>
      <c r="B656" s="5">
        <f>TITRES_STAT!D659</f>
        <v>5.65</v>
      </c>
      <c r="C656" s="2">
        <f t="shared" si="90"/>
        <v>-9.9999999999997868E-3</v>
      </c>
      <c r="D656" s="2">
        <f t="shared" si="91"/>
        <v>0</v>
      </c>
      <c r="E656" s="2">
        <f t="shared" si="92"/>
        <v>9.9999999999997868E-3</v>
      </c>
      <c r="F656" s="2">
        <f t="shared" si="93"/>
        <v>1.3658384484087233E-2</v>
      </c>
      <c r="G656" s="2">
        <f t="shared" si="93"/>
        <v>1.4099654215802527E-2</v>
      </c>
      <c r="H656" s="2">
        <f t="shared" si="85"/>
        <v>0.96870350684056283</v>
      </c>
      <c r="I656" s="2">
        <f t="shared" si="86"/>
        <v>49.205149656850494</v>
      </c>
    </row>
    <row r="657" spans="1:9" ht="13.5" x14ac:dyDescent="0.25">
      <c r="A657" s="3">
        <f>TITRES_STAT!B660</f>
        <v>45877</v>
      </c>
      <c r="B657" s="5">
        <f>TITRES_STAT!D660</f>
        <v>5.58</v>
      </c>
      <c r="C657" s="2">
        <f t="shared" si="90"/>
        <v>-7.0000000000000284E-2</v>
      </c>
      <c r="D657" s="2">
        <f t="shared" si="91"/>
        <v>0</v>
      </c>
      <c r="E657" s="2">
        <f t="shared" si="92"/>
        <v>7.0000000000000284E-2</v>
      </c>
      <c r="F657" s="2">
        <f t="shared" si="93"/>
        <v>1.2682785592366717E-2</v>
      </c>
      <c r="G657" s="2">
        <f t="shared" si="93"/>
        <v>1.8092536057530941E-2</v>
      </c>
      <c r="H657" s="2">
        <f t="shared" ref="H657:H691" si="94">F657/G657</f>
        <v>0.70099545757641646</v>
      </c>
      <c r="I657" s="2">
        <f t="shared" ref="I657:I691" si="95">IF(G657=0,100,100-(100/(1+H657)))</f>
        <v>41.210895329208995</v>
      </c>
    </row>
    <row r="658" spans="1:9" ht="13.5" x14ac:dyDescent="0.25">
      <c r="A658" s="3">
        <f>TITRES_STAT!B661</f>
        <v>45880</v>
      </c>
      <c r="B658" s="5">
        <f>TITRES_STAT!D661</f>
        <v>5.64</v>
      </c>
      <c r="C658" s="2">
        <f t="shared" si="90"/>
        <v>5.9999999999999609E-2</v>
      </c>
      <c r="D658" s="2">
        <f t="shared" si="91"/>
        <v>5.9999999999999609E-2</v>
      </c>
      <c r="E658" s="2">
        <f t="shared" si="92"/>
        <v>0</v>
      </c>
      <c r="F658" s="2">
        <f t="shared" si="93"/>
        <v>1.6062586621483351E-2</v>
      </c>
      <c r="G658" s="2">
        <f t="shared" si="93"/>
        <v>1.6800212053421588E-2</v>
      </c>
      <c r="H658" s="2">
        <f t="shared" si="94"/>
        <v>0.95609427847739514</v>
      </c>
      <c r="I658" s="2">
        <f t="shared" si="95"/>
        <v>48.877719698746304</v>
      </c>
    </row>
    <row r="659" spans="1:9" ht="13.5" x14ac:dyDescent="0.25">
      <c r="A659" s="3">
        <f>TITRES_STAT!B662</f>
        <v>45881</v>
      </c>
      <c r="B659" s="5">
        <f>TITRES_STAT!D662</f>
        <v>5.64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1.4915259005663111E-2</v>
      </c>
      <c r="G659" s="2">
        <f t="shared" si="93"/>
        <v>1.5600196906748617E-2</v>
      </c>
      <c r="H659" s="2">
        <f t="shared" si="94"/>
        <v>0.95609427847739514</v>
      </c>
      <c r="I659" s="2">
        <f t="shared" si="95"/>
        <v>48.877719698746304</v>
      </c>
    </row>
    <row r="660" spans="1:9" ht="13.5" x14ac:dyDescent="0.25">
      <c r="A660" s="3">
        <f>TITRES_STAT!B663</f>
        <v>45883</v>
      </c>
      <c r="B660" s="5">
        <f>TITRES_STAT!D663</f>
        <v>5.64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1.384988336240146E-2</v>
      </c>
      <c r="G660" s="2">
        <f t="shared" si="93"/>
        <v>1.4485897127695145E-2</v>
      </c>
      <c r="H660" s="2">
        <f t="shared" si="94"/>
        <v>0.95609427847739503</v>
      </c>
      <c r="I660" s="2">
        <f t="shared" si="95"/>
        <v>48.877719698746304</v>
      </c>
    </row>
    <row r="661" spans="1:9" ht="13.5" x14ac:dyDescent="0.25">
      <c r="A661" s="3">
        <f>TITRES_STAT!B664</f>
        <v>45884</v>
      </c>
      <c r="B661" s="5">
        <f>TITRES_STAT!D664</f>
        <v>5.52</v>
      </c>
      <c r="C661" s="2">
        <f t="shared" si="90"/>
        <v>-0.12000000000000011</v>
      </c>
      <c r="D661" s="2">
        <f t="shared" si="91"/>
        <v>0</v>
      </c>
      <c r="E661" s="2">
        <f t="shared" si="92"/>
        <v>0.12000000000000011</v>
      </c>
      <c r="F661" s="2">
        <f t="shared" si="93"/>
        <v>1.2860605979372785E-2</v>
      </c>
      <c r="G661" s="2">
        <f t="shared" si="93"/>
        <v>2.2022618761431214E-2</v>
      </c>
      <c r="H661" s="2">
        <f t="shared" si="94"/>
        <v>0.58397260192760991</v>
      </c>
      <c r="I661" s="2">
        <f t="shared" si="95"/>
        <v>36.867594882445978</v>
      </c>
    </row>
    <row r="662" spans="1:9" ht="13.5" x14ac:dyDescent="0.25">
      <c r="A662" s="3">
        <f>TITRES_STAT!B665</f>
        <v>45887</v>
      </c>
      <c r="B662" s="5">
        <f>TITRES_STAT!D665</f>
        <v>5.56</v>
      </c>
      <c r="C662" s="2">
        <f t="shared" si="90"/>
        <v>4.0000000000000036E-2</v>
      </c>
      <c r="D662" s="2">
        <f t="shared" si="91"/>
        <v>4.0000000000000036E-2</v>
      </c>
      <c r="E662" s="2">
        <f t="shared" si="92"/>
        <v>0</v>
      </c>
      <c r="F662" s="2">
        <f t="shared" si="93"/>
        <v>1.4799134123703303E-2</v>
      </c>
      <c r="G662" s="2">
        <f t="shared" si="93"/>
        <v>2.044957456418613E-2</v>
      </c>
      <c r="H662" s="2">
        <f t="shared" si="94"/>
        <v>0.72368909569499851</v>
      </c>
      <c r="I662" s="2">
        <f t="shared" si="95"/>
        <v>41.984897247563318</v>
      </c>
    </row>
    <row r="663" spans="1:9" ht="13.5" x14ac:dyDescent="0.25">
      <c r="A663" s="3">
        <f>TITRES_STAT!B666</f>
        <v>45888</v>
      </c>
      <c r="B663" s="5">
        <f>TITRES_STAT!D666</f>
        <v>5.69</v>
      </c>
      <c r="C663" s="2">
        <f t="shared" si="90"/>
        <v>0.13000000000000078</v>
      </c>
      <c r="D663" s="2">
        <f t="shared" si="91"/>
        <v>0.13000000000000078</v>
      </c>
      <c r="E663" s="2">
        <f t="shared" si="92"/>
        <v>0</v>
      </c>
      <c r="F663" s="2">
        <f t="shared" si="93"/>
        <v>2.3027767400581694E-2</v>
      </c>
      <c r="G663" s="2">
        <f t="shared" si="93"/>
        <v>1.8988890666744262E-2</v>
      </c>
      <c r="H663" s="2">
        <f t="shared" si="94"/>
        <v>1.2126968238808611</v>
      </c>
      <c r="I663" s="2">
        <f t="shared" si="95"/>
        <v>54.806280317874979</v>
      </c>
    </row>
    <row r="664" spans="1:9" ht="13.5" x14ac:dyDescent="0.25">
      <c r="A664" s="3">
        <f>TITRES_STAT!B667</f>
        <v>45889</v>
      </c>
      <c r="B664" s="5">
        <f>TITRES_STAT!D667</f>
        <v>5.74</v>
      </c>
      <c r="C664" s="2">
        <f t="shared" si="90"/>
        <v>4.9999999999999822E-2</v>
      </c>
      <c r="D664" s="2">
        <f t="shared" si="91"/>
        <v>4.9999999999999822E-2</v>
      </c>
      <c r="E664" s="2">
        <f t="shared" si="92"/>
        <v>0</v>
      </c>
      <c r="F664" s="2">
        <f t="shared" si="93"/>
        <v>2.4954355443397275E-2</v>
      </c>
      <c r="G664" s="2">
        <f t="shared" si="93"/>
        <v>1.7632541333405385E-2</v>
      </c>
      <c r="H664" s="2">
        <f t="shared" si="94"/>
        <v>1.4152444036028142</v>
      </c>
      <c r="I664" s="2">
        <f t="shared" si="95"/>
        <v>58.596322653380234</v>
      </c>
    </row>
    <row r="665" spans="1:9" ht="13.5" x14ac:dyDescent="0.25">
      <c r="A665" s="3">
        <f>TITRES_STAT!B668</f>
        <v>45890</v>
      </c>
      <c r="B665" s="5">
        <f>TITRES_STAT!D668</f>
        <v>5.74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2.3171901483154615E-2</v>
      </c>
      <c r="G665" s="2">
        <f t="shared" si="93"/>
        <v>1.6373074095304998E-2</v>
      </c>
      <c r="H665" s="2">
        <f t="shared" si="94"/>
        <v>1.4152444036028147</v>
      </c>
      <c r="I665" s="2">
        <f t="shared" si="95"/>
        <v>58.596322653380241</v>
      </c>
    </row>
    <row r="666" spans="1:9" ht="13.5" x14ac:dyDescent="0.25">
      <c r="A666" s="3">
        <f>TITRES_STAT!B669</f>
        <v>45891</v>
      </c>
      <c r="B666" s="5">
        <f>TITRES_STAT!D669</f>
        <v>5.74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2.1516765662929285E-2</v>
      </c>
      <c r="G666" s="2">
        <f t="shared" si="93"/>
        <v>1.5203568802783212E-2</v>
      </c>
      <c r="H666" s="2">
        <f t="shared" si="94"/>
        <v>1.4152444036028147</v>
      </c>
      <c r="I666" s="2">
        <f t="shared" si="95"/>
        <v>58.596322653380241</v>
      </c>
    </row>
    <row r="667" spans="1:9" ht="13.5" x14ac:dyDescent="0.25">
      <c r="A667" s="3">
        <f>TITRES_STAT!B670</f>
        <v>45894</v>
      </c>
      <c r="B667" s="5">
        <f>TITRES_STAT!D670</f>
        <v>5.7</v>
      </c>
      <c r="C667" s="2">
        <f t="shared" si="90"/>
        <v>-4.0000000000000036E-2</v>
      </c>
      <c r="D667" s="2">
        <f t="shared" si="91"/>
        <v>0</v>
      </c>
      <c r="E667" s="2">
        <f t="shared" si="92"/>
        <v>4.0000000000000036E-2</v>
      </c>
      <c r="F667" s="2">
        <f t="shared" si="93"/>
        <v>1.997985382986291E-2</v>
      </c>
      <c r="G667" s="2">
        <f t="shared" si="93"/>
        <v>1.6974742459727271E-2</v>
      </c>
      <c r="H667" s="2">
        <f t="shared" si="94"/>
        <v>1.1770342835695617</v>
      </c>
      <c r="I667" s="2">
        <f t="shared" si="95"/>
        <v>54.065950750194169</v>
      </c>
    </row>
    <row r="668" spans="1:9" ht="13.5" x14ac:dyDescent="0.25">
      <c r="A668" s="3">
        <f>TITRES_STAT!B671</f>
        <v>45895</v>
      </c>
      <c r="B668" s="5">
        <f>TITRES_STAT!D671</f>
        <v>5.7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1.8552721413444131E-2</v>
      </c>
      <c r="G668" s="2">
        <f t="shared" si="93"/>
        <v>1.5762260855461039E-2</v>
      </c>
      <c r="H668" s="2">
        <f t="shared" si="94"/>
        <v>1.1770342835695617</v>
      </c>
      <c r="I668" s="2">
        <f t="shared" si="95"/>
        <v>54.065950750194169</v>
      </c>
    </row>
    <row r="669" spans="1:9" ht="13.5" x14ac:dyDescent="0.25">
      <c r="A669" s="3">
        <f>TITRES_STAT!B672</f>
        <v>45896</v>
      </c>
      <c r="B669" s="5">
        <f>TITRES_STAT!D672</f>
        <v>5.69</v>
      </c>
      <c r="C669" s="2">
        <f t="shared" si="90"/>
        <v>-9.9999999999997868E-3</v>
      </c>
      <c r="D669" s="2">
        <f t="shared" si="91"/>
        <v>0</v>
      </c>
      <c r="E669" s="2">
        <f t="shared" si="92"/>
        <v>9.9999999999997868E-3</v>
      </c>
      <c r="F669" s="2">
        <f t="shared" ref="F669:G684" si="96">((F668*13)+D669)/14</f>
        <v>1.7227527026769548E-2</v>
      </c>
      <c r="G669" s="2">
        <f t="shared" si="96"/>
        <v>1.5350670794356664E-2</v>
      </c>
      <c r="H669" s="2">
        <f t="shared" si="94"/>
        <v>1.1222654213327843</v>
      </c>
      <c r="I669" s="2">
        <f t="shared" si="95"/>
        <v>52.880540296792887</v>
      </c>
    </row>
    <row r="670" spans="1:9" ht="13.5" x14ac:dyDescent="0.25">
      <c r="A670" s="3">
        <f>TITRES_STAT!B673</f>
        <v>45897</v>
      </c>
      <c r="B670" s="5">
        <f>TITRES_STAT!D673</f>
        <v>5.69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1.5996989382000292E-2</v>
      </c>
      <c r="G670" s="2">
        <f t="shared" si="96"/>
        <v>1.4254194309045473E-2</v>
      </c>
      <c r="H670" s="2">
        <f t="shared" si="94"/>
        <v>1.1222654213327843</v>
      </c>
      <c r="I670" s="2">
        <f t="shared" si="95"/>
        <v>52.880540296792887</v>
      </c>
    </row>
    <row r="671" spans="1:9" ht="13.5" x14ac:dyDescent="0.25">
      <c r="A671" s="3">
        <f>TITRES_STAT!B674</f>
        <v>45898</v>
      </c>
      <c r="B671" s="5">
        <f>TITRES_STAT!D674</f>
        <v>5.7</v>
      </c>
      <c r="C671" s="2">
        <f t="shared" si="90"/>
        <v>9.9999999999997868E-3</v>
      </c>
      <c r="D671" s="2">
        <f t="shared" si="91"/>
        <v>9.9999999999997868E-3</v>
      </c>
      <c r="E671" s="2">
        <f t="shared" si="92"/>
        <v>0</v>
      </c>
      <c r="F671" s="2">
        <f t="shared" si="96"/>
        <v>1.5568632997571686E-2</v>
      </c>
      <c r="G671" s="2">
        <f t="shared" si="96"/>
        <v>1.3236037572685082E-2</v>
      </c>
      <c r="H671" s="2">
        <f t="shared" si="94"/>
        <v>1.1762306439580021</v>
      </c>
      <c r="I671" s="2">
        <f t="shared" si="95"/>
        <v>54.048988200016424</v>
      </c>
    </row>
    <row r="672" spans="1:9" ht="13.5" x14ac:dyDescent="0.25">
      <c r="A672" s="3">
        <f>TITRES_STAT!B675</f>
        <v>45901</v>
      </c>
      <c r="B672" s="5">
        <f>TITRES_STAT!D675</f>
        <v>6</v>
      </c>
      <c r="C672" s="2">
        <f t="shared" si="90"/>
        <v>0.29999999999999982</v>
      </c>
      <c r="D672" s="2">
        <f t="shared" si="91"/>
        <v>0.29999999999999982</v>
      </c>
      <c r="E672" s="2">
        <f t="shared" si="92"/>
        <v>0</v>
      </c>
      <c r="F672" s="2">
        <f t="shared" si="96"/>
        <v>3.5885159212030837E-2</v>
      </c>
      <c r="G672" s="2">
        <f t="shared" si="96"/>
        <v>1.2290606317493291E-2</v>
      </c>
      <c r="H672" s="2">
        <f t="shared" si="94"/>
        <v>2.9197224518496929</v>
      </c>
      <c r="I672" s="2">
        <f t="shared" si="95"/>
        <v>74.487989588954036</v>
      </c>
    </row>
    <row r="673" spans="1:9" ht="13.5" x14ac:dyDescent="0.25">
      <c r="A673" s="3">
        <f>TITRES_STAT!B676</f>
        <v>45902</v>
      </c>
      <c r="B673" s="5">
        <f>TITRES_STAT!D676</f>
        <v>6.06</v>
      </c>
      <c r="C673" s="2">
        <f t="shared" si="90"/>
        <v>5.9999999999999609E-2</v>
      </c>
      <c r="D673" s="2">
        <f t="shared" si="91"/>
        <v>5.9999999999999609E-2</v>
      </c>
      <c r="E673" s="2">
        <f t="shared" si="92"/>
        <v>0</v>
      </c>
      <c r="F673" s="2">
        <f t="shared" si="96"/>
        <v>3.7607647839742894E-2</v>
      </c>
      <c r="G673" s="2">
        <f t="shared" si="96"/>
        <v>1.141270586624377E-2</v>
      </c>
      <c r="H673" s="2">
        <f t="shared" si="94"/>
        <v>3.2952437643186707</v>
      </c>
      <c r="I673" s="2">
        <f t="shared" si="95"/>
        <v>76.718434275903689</v>
      </c>
    </row>
    <row r="674" spans="1:9" ht="13.5" x14ac:dyDescent="0.25">
      <c r="A674" s="3">
        <f>TITRES_STAT!B677</f>
        <v>45903</v>
      </c>
      <c r="B674" s="5">
        <f>TITRES_STAT!D677</f>
        <v>6.05</v>
      </c>
      <c r="C674" s="2">
        <f t="shared" si="90"/>
        <v>-9.9999999999997868E-3</v>
      </c>
      <c r="D674" s="2">
        <f t="shared" si="91"/>
        <v>0</v>
      </c>
      <c r="E674" s="2">
        <f t="shared" si="92"/>
        <v>9.9999999999997868E-3</v>
      </c>
      <c r="F674" s="2">
        <f t="shared" si="96"/>
        <v>3.4921387279761261E-2</v>
      </c>
      <c r="G674" s="2">
        <f t="shared" si="96"/>
        <v>1.13117983043692E-2</v>
      </c>
      <c r="H674" s="2">
        <f t="shared" si="94"/>
        <v>3.08716495292113</v>
      </c>
      <c r="I674" s="2">
        <f t="shared" si="95"/>
        <v>75.533162680765017</v>
      </c>
    </row>
    <row r="675" spans="1:9" ht="13.5" x14ac:dyDescent="0.25">
      <c r="A675" s="3">
        <f>TITRES_STAT!B678</f>
        <v>45905</v>
      </c>
      <c r="B675" s="5">
        <f>TITRES_STAT!D678</f>
        <v>5.95</v>
      </c>
      <c r="C675" s="2">
        <f t="shared" si="90"/>
        <v>-9.9999999999999645E-2</v>
      </c>
      <c r="D675" s="2">
        <f t="shared" si="91"/>
        <v>0</v>
      </c>
      <c r="E675" s="2">
        <f t="shared" si="92"/>
        <v>9.9999999999999645E-2</v>
      </c>
      <c r="F675" s="2">
        <f t="shared" si="96"/>
        <v>3.2427002474064028E-2</v>
      </c>
      <c r="G675" s="2">
        <f t="shared" si="96"/>
        <v>1.7646669854057089E-2</v>
      </c>
      <c r="H675" s="2">
        <f t="shared" si="94"/>
        <v>1.8375706432003565</v>
      </c>
      <c r="I675" s="2">
        <f t="shared" si="95"/>
        <v>64.758586631268884</v>
      </c>
    </row>
    <row r="676" spans="1:9" ht="13.5" x14ac:dyDescent="0.25">
      <c r="A676" s="3">
        <f>TITRES_STAT!B679</f>
        <v>45908</v>
      </c>
      <c r="B676" s="5">
        <f>TITRES_STAT!D679</f>
        <v>6</v>
      </c>
      <c r="C676" s="2">
        <f t="shared" si="90"/>
        <v>4.9999999999999822E-2</v>
      </c>
      <c r="D676" s="2">
        <f t="shared" si="91"/>
        <v>4.9999999999999822E-2</v>
      </c>
      <c r="E676" s="2">
        <f t="shared" si="92"/>
        <v>0</v>
      </c>
      <c r="F676" s="2">
        <f t="shared" si="96"/>
        <v>3.3682216583059442E-2</v>
      </c>
      <c r="G676" s="2">
        <f t="shared" si="96"/>
        <v>1.6386193435910155E-2</v>
      </c>
      <c r="H676" s="2">
        <f t="shared" si="94"/>
        <v>2.0555241651941718</v>
      </c>
      <c r="I676" s="2">
        <f t="shared" si="95"/>
        <v>67.272391055154614</v>
      </c>
    </row>
    <row r="677" spans="1:9" ht="13.5" x14ac:dyDescent="0.25">
      <c r="A677" s="3">
        <f>TITRES_STAT!B680</f>
        <v>45909</v>
      </c>
      <c r="B677" s="5">
        <f>TITRES_STAT!D680</f>
        <v>5.93</v>
      </c>
      <c r="C677" s="2">
        <f t="shared" si="90"/>
        <v>-7.0000000000000284E-2</v>
      </c>
      <c r="D677" s="2">
        <f t="shared" si="91"/>
        <v>0</v>
      </c>
      <c r="E677" s="2">
        <f t="shared" si="92"/>
        <v>7.0000000000000284E-2</v>
      </c>
      <c r="F677" s="2">
        <f t="shared" si="96"/>
        <v>3.1276343969983765E-2</v>
      </c>
      <c r="G677" s="2">
        <f t="shared" si="96"/>
        <v>2.0215751047630879E-2</v>
      </c>
      <c r="H677" s="2">
        <f t="shared" si="94"/>
        <v>1.5471274797702408</v>
      </c>
      <c r="I677" s="2">
        <f t="shared" si="95"/>
        <v>60.740088278180593</v>
      </c>
    </row>
    <row r="678" spans="1:9" ht="13.5" x14ac:dyDescent="0.25">
      <c r="A678" s="3">
        <f>TITRES_STAT!B681</f>
        <v>45910</v>
      </c>
      <c r="B678" s="5">
        <f>TITRES_STAT!D681</f>
        <v>5.95</v>
      </c>
      <c r="C678" s="2">
        <f t="shared" si="90"/>
        <v>2.0000000000000462E-2</v>
      </c>
      <c r="D678" s="2">
        <f t="shared" si="91"/>
        <v>2.0000000000000462E-2</v>
      </c>
      <c r="E678" s="2">
        <f t="shared" si="92"/>
        <v>0</v>
      </c>
      <c r="F678" s="2">
        <f t="shared" si="96"/>
        <v>3.0470890829270673E-2</v>
      </c>
      <c r="G678" s="2">
        <f t="shared" si="96"/>
        <v>1.8771768829942959E-2</v>
      </c>
      <c r="H678" s="2">
        <f t="shared" si="94"/>
        <v>1.6232296010734149</v>
      </c>
      <c r="I678" s="2">
        <f t="shared" si="95"/>
        <v>61.879051700590594</v>
      </c>
    </row>
    <row r="679" spans="1:9" ht="13.5" x14ac:dyDescent="0.25">
      <c r="A679" s="3">
        <f>TITRES_STAT!B682</f>
        <v>45911</v>
      </c>
      <c r="B679" s="5">
        <f>TITRES_STAT!D682</f>
        <v>6.14</v>
      </c>
      <c r="C679" s="2">
        <f t="shared" si="90"/>
        <v>0.1899999999999995</v>
      </c>
      <c r="D679" s="2">
        <f t="shared" si="91"/>
        <v>0.1899999999999995</v>
      </c>
      <c r="E679" s="2">
        <f t="shared" si="92"/>
        <v>0</v>
      </c>
      <c r="F679" s="2">
        <f t="shared" si="96"/>
        <v>4.1865827198608443E-2</v>
      </c>
      <c r="G679" s="2">
        <f t="shared" si="96"/>
        <v>1.7430928199232747E-2</v>
      </c>
      <c r="H679" s="2">
        <f t="shared" si="94"/>
        <v>2.4018128420981761</v>
      </c>
      <c r="I679" s="2">
        <f t="shared" si="95"/>
        <v>70.603908962163302</v>
      </c>
    </row>
    <row r="680" spans="1:9" ht="13.5" x14ac:dyDescent="0.25">
      <c r="A680" s="3">
        <f>TITRES_STAT!B683</f>
        <v>45912</v>
      </c>
      <c r="B680" s="5">
        <f>TITRES_STAT!D683</f>
        <v>6.2</v>
      </c>
      <c r="C680" s="2">
        <f t="shared" si="90"/>
        <v>6.0000000000000497E-2</v>
      </c>
      <c r="D680" s="2">
        <f t="shared" si="91"/>
        <v>6.0000000000000497E-2</v>
      </c>
      <c r="E680" s="2">
        <f t="shared" si="92"/>
        <v>0</v>
      </c>
      <c r="F680" s="2">
        <f t="shared" si="96"/>
        <v>4.3161125255850738E-2</v>
      </c>
      <c r="G680" s="2">
        <f t="shared" si="96"/>
        <v>1.618586189928755E-2</v>
      </c>
      <c r="H680" s="2">
        <f t="shared" si="94"/>
        <v>2.6665941872240091</v>
      </c>
      <c r="I680" s="2">
        <f t="shared" si="95"/>
        <v>72.726733613323503</v>
      </c>
    </row>
    <row r="681" spans="1:9" ht="13.5" x14ac:dyDescent="0.25">
      <c r="A681" s="3">
        <f>TITRES_STAT!B684</f>
        <v>45915</v>
      </c>
      <c r="B681" s="5">
        <f>TITRES_STAT!D684</f>
        <v>6.1</v>
      </c>
      <c r="C681" s="2">
        <f t="shared" si="90"/>
        <v>-0.10000000000000053</v>
      </c>
      <c r="D681" s="2">
        <f t="shared" si="91"/>
        <v>0</v>
      </c>
      <c r="E681" s="2">
        <f t="shared" si="92"/>
        <v>0.10000000000000053</v>
      </c>
      <c r="F681" s="2">
        <f t="shared" si="96"/>
        <v>4.0078187737575689E-2</v>
      </c>
      <c r="G681" s="2">
        <f t="shared" si="96"/>
        <v>2.2172586049338479E-2</v>
      </c>
      <c r="H681" s="2">
        <f t="shared" si="94"/>
        <v>1.80755585516248</v>
      </c>
      <c r="I681" s="2">
        <f t="shared" si="95"/>
        <v>64.381830617502445</v>
      </c>
    </row>
    <row r="682" spans="1:9" ht="13.5" x14ac:dyDescent="0.25">
      <c r="A682" s="3">
        <f>TITRES_STAT!B685</f>
        <v>45916</v>
      </c>
      <c r="B682" s="5">
        <f>TITRES_STAT!D685</f>
        <v>6.12</v>
      </c>
      <c r="C682" s="2">
        <f t="shared" si="90"/>
        <v>2.0000000000000462E-2</v>
      </c>
      <c r="D682" s="2">
        <f t="shared" si="91"/>
        <v>2.0000000000000462E-2</v>
      </c>
      <c r="E682" s="2">
        <f t="shared" si="92"/>
        <v>0</v>
      </c>
      <c r="F682" s="2">
        <f t="shared" si="96"/>
        <v>3.8644031470606029E-2</v>
      </c>
      <c r="G682" s="2">
        <f t="shared" si="96"/>
        <v>2.058882990295716E-2</v>
      </c>
      <c r="H682" s="2">
        <f t="shared" si="94"/>
        <v>1.876941606334589</v>
      </c>
      <c r="I682" s="2">
        <f t="shared" si="95"/>
        <v>65.24086558454465</v>
      </c>
    </row>
    <row r="683" spans="1:9" ht="13.5" x14ac:dyDescent="0.25">
      <c r="A683" s="3">
        <f>TITRES_STAT!B686</f>
        <v>45917</v>
      </c>
      <c r="B683" s="5">
        <f>TITRES_STAT!D686</f>
        <v>6.23</v>
      </c>
      <c r="C683" s="2">
        <f t="shared" si="90"/>
        <v>0.11000000000000032</v>
      </c>
      <c r="D683" s="2">
        <f t="shared" si="91"/>
        <v>0.11000000000000032</v>
      </c>
      <c r="E683" s="2">
        <f t="shared" si="92"/>
        <v>0</v>
      </c>
      <c r="F683" s="2">
        <f t="shared" si="96"/>
        <v>4.3740886365562767E-2</v>
      </c>
      <c r="G683" s="2">
        <f t="shared" si="96"/>
        <v>1.9118199195603074E-2</v>
      </c>
      <c r="H683" s="2">
        <f t="shared" si="94"/>
        <v>2.2879187478924572</v>
      </c>
      <c r="I683" s="2">
        <f t="shared" si="95"/>
        <v>69.585623104555253</v>
      </c>
    </row>
    <row r="684" spans="1:9" ht="13.5" x14ac:dyDescent="0.25">
      <c r="A684" s="3">
        <f>TITRES_STAT!B687</f>
        <v>45918</v>
      </c>
      <c r="B684" s="5">
        <f>TITRES_STAT!D687</f>
        <v>6.27</v>
      </c>
      <c r="C684" s="2">
        <f t="shared" si="90"/>
        <v>3.9999999999999147E-2</v>
      </c>
      <c r="D684" s="2">
        <f t="shared" si="91"/>
        <v>3.9999999999999147E-2</v>
      </c>
      <c r="E684" s="2">
        <f t="shared" si="92"/>
        <v>0</v>
      </c>
      <c r="F684" s="2">
        <f t="shared" si="96"/>
        <v>4.3473680196593936E-2</v>
      </c>
      <c r="G684" s="2">
        <f t="shared" si="96"/>
        <v>1.7752613538774283E-2</v>
      </c>
      <c r="H684" s="2">
        <f t="shared" si="94"/>
        <v>2.4488608452857443</v>
      </c>
      <c r="I684" s="2">
        <f t="shared" si="95"/>
        <v>71.004918874390015</v>
      </c>
    </row>
    <row r="685" spans="1:9" ht="13.5" x14ac:dyDescent="0.25">
      <c r="A685" s="3">
        <f>TITRES_STAT!B688</f>
        <v>45919</v>
      </c>
      <c r="B685" s="5">
        <f>TITRES_STAT!D688</f>
        <v>6.34</v>
      </c>
      <c r="C685" s="2">
        <f t="shared" si="90"/>
        <v>7.0000000000000284E-2</v>
      </c>
      <c r="D685" s="2">
        <f t="shared" si="91"/>
        <v>7.0000000000000284E-2</v>
      </c>
      <c r="E685" s="2">
        <f t="shared" si="92"/>
        <v>0</v>
      </c>
      <c r="F685" s="2">
        <f t="shared" ref="F685:G691" si="97">((F684*13)+D685)/14</f>
        <v>4.536841732540868E-2</v>
      </c>
      <c r="G685" s="2">
        <f t="shared" si="97"/>
        <v>1.6484569714576118E-2</v>
      </c>
      <c r="H685" s="2">
        <f t="shared" si="94"/>
        <v>2.7521747980654085</v>
      </c>
      <c r="I685" s="2">
        <f t="shared" si="95"/>
        <v>73.348789600218197</v>
      </c>
    </row>
    <row r="686" spans="1:9" ht="13.5" x14ac:dyDescent="0.25">
      <c r="A686" s="3">
        <f>TITRES_STAT!B689</f>
        <v>45922</v>
      </c>
      <c r="B686" s="5">
        <f>TITRES_STAT!D689</f>
        <v>6.49</v>
      </c>
      <c r="C686" s="2">
        <f t="shared" si="90"/>
        <v>0.15000000000000036</v>
      </c>
      <c r="D686" s="2">
        <f t="shared" si="91"/>
        <v>0.15000000000000036</v>
      </c>
      <c r="E686" s="2">
        <f t="shared" si="92"/>
        <v>0</v>
      </c>
      <c r="F686" s="2">
        <f t="shared" si="97"/>
        <v>5.2842101802165233E-2</v>
      </c>
      <c r="G686" s="2">
        <f t="shared" si="97"/>
        <v>1.5307100449249253E-2</v>
      </c>
      <c r="H686" s="2">
        <f t="shared" si="94"/>
        <v>3.4521300737107863</v>
      </c>
      <c r="I686" s="2">
        <f t="shared" si="95"/>
        <v>77.538841331144795</v>
      </c>
    </row>
    <row r="687" spans="1:9" ht="13.5" x14ac:dyDescent="0.25">
      <c r="A687" s="3">
        <f>TITRES_STAT!B690</f>
        <v>45923</v>
      </c>
      <c r="B687" s="5">
        <f>TITRES_STAT!D690</f>
        <v>6.48</v>
      </c>
      <c r="C687" s="2">
        <f t="shared" si="90"/>
        <v>-9.9999999999997868E-3</v>
      </c>
      <c r="D687" s="2">
        <f t="shared" si="91"/>
        <v>0</v>
      </c>
      <c r="E687" s="2">
        <f t="shared" si="92"/>
        <v>9.9999999999997868E-3</v>
      </c>
      <c r="F687" s="2">
        <f t="shared" si="97"/>
        <v>4.9067665959153427E-2</v>
      </c>
      <c r="G687" s="2">
        <f t="shared" si="97"/>
        <v>1.4928021845731434E-2</v>
      </c>
      <c r="H687" s="2">
        <f t="shared" si="94"/>
        <v>3.286950305018745</v>
      </c>
      <c r="I687" s="2">
        <f t="shared" si="95"/>
        <v>76.673394164861278</v>
      </c>
    </row>
    <row r="688" spans="1:9" ht="13.5" x14ac:dyDescent="0.25">
      <c r="A688" s="3">
        <f>TITRES_STAT!B691</f>
        <v>45924</v>
      </c>
      <c r="B688" s="5">
        <f>TITRES_STAT!D691</f>
        <v>6.5</v>
      </c>
      <c r="C688" s="2">
        <f t="shared" si="90"/>
        <v>1.9999999999999574E-2</v>
      </c>
      <c r="D688" s="2">
        <f t="shared" si="91"/>
        <v>1.9999999999999574E-2</v>
      </c>
      <c r="E688" s="2">
        <f t="shared" si="92"/>
        <v>0</v>
      </c>
      <c r="F688" s="2">
        <f t="shared" si="97"/>
        <v>4.699140410492815E-2</v>
      </c>
      <c r="G688" s="2">
        <f t="shared" si="97"/>
        <v>1.3861734571036332E-2</v>
      </c>
      <c r="H688" s="2">
        <f t="shared" si="94"/>
        <v>3.3900089389328838</v>
      </c>
      <c r="I688" s="2">
        <f t="shared" si="95"/>
        <v>77.221003102488481</v>
      </c>
    </row>
    <row r="689" spans="1:9" ht="13.5" x14ac:dyDescent="0.25">
      <c r="A689" s="3">
        <f>TITRES_STAT!B692</f>
        <v>45925</v>
      </c>
      <c r="B689" s="5">
        <f>TITRES_STAT!D692</f>
        <v>6.48</v>
      </c>
      <c r="C689" s="2">
        <f t="shared" si="90"/>
        <v>-1.9999999999999574E-2</v>
      </c>
      <c r="D689" s="2">
        <f t="shared" si="91"/>
        <v>0</v>
      </c>
      <c r="E689" s="2">
        <f t="shared" si="92"/>
        <v>1.9999999999999574E-2</v>
      </c>
      <c r="F689" s="2">
        <f t="shared" si="97"/>
        <v>4.3634875240290423E-2</v>
      </c>
      <c r="G689" s="2">
        <f t="shared" si="97"/>
        <v>1.4300182101676563E-2</v>
      </c>
      <c r="H689" s="2">
        <f t="shared" si="94"/>
        <v>3.0513510198709035</v>
      </c>
      <c r="I689" s="2">
        <f t="shared" si="95"/>
        <v>75.316875899046011</v>
      </c>
    </row>
    <row r="690" spans="1:9" ht="13.5" x14ac:dyDescent="0.25">
      <c r="A690" s="3">
        <f>TITRES_STAT!B693</f>
        <v>45926</v>
      </c>
      <c r="B690" s="5">
        <f>TITRES_STAT!D693</f>
        <v>6.44</v>
      </c>
      <c r="C690" s="2">
        <f t="shared" si="90"/>
        <v>-4.0000000000000036E-2</v>
      </c>
      <c r="D690" s="2">
        <f t="shared" si="91"/>
        <v>0</v>
      </c>
      <c r="E690" s="2">
        <f t="shared" si="92"/>
        <v>4.0000000000000036E-2</v>
      </c>
      <c r="F690" s="2">
        <f t="shared" si="97"/>
        <v>4.0518098437412539E-2</v>
      </c>
      <c r="G690" s="2">
        <f t="shared" si="97"/>
        <v>1.6135883380128242E-2</v>
      </c>
      <c r="H690" s="2">
        <f t="shared" si="94"/>
        <v>2.5110554831668916</v>
      </c>
      <c r="I690" s="2">
        <f t="shared" si="95"/>
        <v>71.518536098494721</v>
      </c>
    </row>
    <row r="691" spans="1:9" ht="13.5" x14ac:dyDescent="0.25">
      <c r="A691" s="3">
        <f>TITRES_STAT!B694</f>
        <v>45929</v>
      </c>
      <c r="B691" s="5">
        <f>TITRES_STAT!D694</f>
        <v>6.45</v>
      </c>
      <c r="C691" s="2">
        <f t="shared" si="90"/>
        <v>9.9999999999997868E-3</v>
      </c>
      <c r="D691" s="2">
        <f t="shared" si="91"/>
        <v>9.9999999999997868E-3</v>
      </c>
      <c r="E691" s="2">
        <f t="shared" si="92"/>
        <v>0</v>
      </c>
      <c r="F691" s="2">
        <f t="shared" si="97"/>
        <v>3.8338234263311628E-2</v>
      </c>
      <c r="G691" s="2">
        <f t="shared" si="97"/>
        <v>1.4983320281547653E-2</v>
      </c>
      <c r="H691" s="2">
        <f t="shared" si="94"/>
        <v>2.5587275412196959</v>
      </c>
      <c r="I691" s="2">
        <f t="shared" si="95"/>
        <v>71.900068538057667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691"/>
  <sheetViews>
    <sheetView topLeftCell="A679" workbookViewId="0">
      <selection activeCell="A692" sqref="A692:XFD2693"/>
    </sheetView>
  </sheetViews>
  <sheetFormatPr defaultRowHeight="12.5" x14ac:dyDescent="0.25"/>
  <cols>
    <col min="1" max="1" width="11" bestFit="1" customWidth="1"/>
    <col min="4" max="4" width="10.54296875" bestFit="1" customWidth="1"/>
    <col min="6" max="6" width="11.63281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ht="13.5" x14ac:dyDescent="0.25">
      <c r="A2" s="3">
        <f>TITRES_STAT!B5</f>
        <v>44922</v>
      </c>
      <c r="B2" s="5">
        <f>TITRES_STAT!D5</f>
        <v>0</v>
      </c>
      <c r="C2" s="2" t="s">
        <v>21</v>
      </c>
      <c r="D2" s="2" t="s">
        <v>21</v>
      </c>
      <c r="E2" s="2"/>
      <c r="F2" s="2"/>
      <c r="G2" s="2"/>
      <c r="H2" s="2"/>
    </row>
    <row r="3" spans="1:8" ht="13.5" x14ac:dyDescent="0.25">
      <c r="A3" s="3">
        <f>TITRES_STAT!B6</f>
        <v>44923</v>
      </c>
      <c r="B3" s="5">
        <f>TITRES_STAT!D6</f>
        <v>0</v>
      </c>
      <c r="C3" s="4" t="s">
        <v>37</v>
      </c>
      <c r="D3" s="4" t="s">
        <v>38</v>
      </c>
      <c r="E3" s="2"/>
      <c r="F3" s="2"/>
      <c r="G3" s="2"/>
      <c r="H3" s="2"/>
    </row>
    <row r="4" spans="1:8" ht="13.5" x14ac:dyDescent="0.25">
      <c r="A4" s="3">
        <f>TITRES_STAT!B7</f>
        <v>44924</v>
      </c>
      <c r="B4" s="5">
        <f>TITRES_STAT!D7</f>
        <v>5.266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44925</v>
      </c>
      <c r="B5" s="5">
        <f>TITRES_STAT!D8</f>
        <v>5.4020000000000001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44928</v>
      </c>
      <c r="B6" s="5">
        <f>TITRES_STAT!D9</f>
        <v>5.3680000000000003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44929</v>
      </c>
      <c r="B7" s="5">
        <f>TITRES_STAT!D10</f>
        <v>5.3940000000000001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44930</v>
      </c>
      <c r="B8" s="5">
        <f>TITRES_STAT!D11</f>
        <v>5.266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44931</v>
      </c>
      <c r="B9" s="5">
        <f>TITRES_STAT!D12</f>
        <v>5.351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44932</v>
      </c>
      <c r="B10" s="5">
        <f>TITRES_STAT!D13</f>
        <v>5.351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44935</v>
      </c>
      <c r="B11" s="5">
        <f>TITRES_STAT!D14</f>
        <v>5.3170000000000002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44936</v>
      </c>
      <c r="B12" s="5">
        <f>TITRES_STAT!D15</f>
        <v>5.266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44937</v>
      </c>
      <c r="B13" s="5">
        <f>TITRES_STAT!D16</f>
        <v>5.3090000000000002</v>
      </c>
      <c r="C13" s="2">
        <f>AVERAGE(B2:B13)</f>
        <v>4.440833333333333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44938</v>
      </c>
      <c r="B14" s="5">
        <f>TITRES_STAT!D17</f>
        <v>5.181</v>
      </c>
      <c r="C14" s="2">
        <f>$C$4*B4+C13*(1-$C$4)</f>
        <v>4.5677820512820508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44939</v>
      </c>
      <c r="B15" s="5">
        <f>TITRES_STAT!D18</f>
        <v>5.4189999999999996</v>
      </c>
      <c r="C15" s="2">
        <f t="shared" ref="C15:C78" si="0">$C$4*B5+C14*(1-$C$4)</f>
        <v>4.6961232741617351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44942</v>
      </c>
      <c r="B16" s="5">
        <f>TITRES_STAT!D19</f>
        <v>5.47</v>
      </c>
      <c r="C16" s="2">
        <f t="shared" si="0"/>
        <v>4.7994889242906993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44943</v>
      </c>
      <c r="B17" s="5">
        <f>TITRES_STAT!D20</f>
        <v>5.4359999999999999</v>
      </c>
      <c r="C17" s="2">
        <f t="shared" si="0"/>
        <v>4.890952166707514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44944</v>
      </c>
      <c r="B18" s="5">
        <f>TITRES_STAT!D21</f>
        <v>5.4619999999999997</v>
      </c>
      <c r="C18" s="2">
        <f t="shared" si="0"/>
        <v>4.9486518333678964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44945</v>
      </c>
      <c r="B19" s="5">
        <f>TITRES_STAT!D22</f>
        <v>5.4619999999999997</v>
      </c>
      <c r="C19" s="2">
        <f t="shared" si="0"/>
        <v>5.0105515513112975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44946</v>
      </c>
      <c r="B20" s="5">
        <f>TITRES_STAT!D23</f>
        <v>5.4359999999999999</v>
      </c>
      <c r="C20" s="2">
        <f t="shared" si="0"/>
        <v>5.0629282357249439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44949</v>
      </c>
      <c r="B21" s="5">
        <f>TITRES_STAT!D24</f>
        <v>5.3940000000000001</v>
      </c>
      <c r="C21" s="2">
        <f t="shared" si="0"/>
        <v>5.1020161994595679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44950</v>
      </c>
      <c r="B22" s="5">
        <f>TITRES_STAT!D25</f>
        <v>5.4189999999999996</v>
      </c>
      <c r="C22" s="2">
        <f t="shared" si="0"/>
        <v>5.1272444764657878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44951</v>
      </c>
      <c r="B23" s="5">
        <f>TITRES_STAT!D26</f>
        <v>5.3259999999999996</v>
      </c>
      <c r="C23" s="2">
        <f t="shared" si="0"/>
        <v>5.155206864701821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44952</v>
      </c>
      <c r="B24" s="5">
        <f>TITRES_STAT!D27</f>
        <v>5.351</v>
      </c>
      <c r="C24" s="2">
        <f t="shared" si="0"/>
        <v>5.1591750393630793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44953</v>
      </c>
      <c r="B25" s="5">
        <f>TITRES_STAT!D28</f>
        <v>5.4020000000000001</v>
      </c>
      <c r="C25" s="2">
        <f t="shared" si="0"/>
        <v>5.199148110230297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44956</v>
      </c>
      <c r="B26" s="5">
        <f>TITRES_STAT!D29</f>
        <v>5.4279999999999999</v>
      </c>
      <c r="C26" s="2">
        <f t="shared" si="0"/>
        <v>5.2408176317333286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44957</v>
      </c>
      <c r="B27" s="5">
        <f>TITRES_STAT!D30</f>
        <v>5.4279999999999999</v>
      </c>
      <c r="C27" s="2">
        <f t="shared" si="0"/>
        <v>5.2708456883897394</v>
      </c>
      <c r="D27" s="2">
        <f>AVERAGE(B2:B27)</f>
        <v>4.9578461538461536</v>
      </c>
      <c r="E27" s="2">
        <f>C27-D27</f>
        <v>0.31299953454358587</v>
      </c>
      <c r="F27" s="2"/>
      <c r="G27" s="2"/>
      <c r="H27" s="2"/>
    </row>
    <row r="28" spans="1:8" ht="13.5" x14ac:dyDescent="0.25">
      <c r="A28" s="3">
        <f>TITRES_STAT!B31</f>
        <v>44958</v>
      </c>
      <c r="B28" s="5">
        <f>TITRES_STAT!D31</f>
        <v>5.4279999999999999</v>
      </c>
      <c r="C28" s="2">
        <f t="shared" si="0"/>
        <v>5.3002540440220871</v>
      </c>
      <c r="D28" s="2">
        <f>$D$4*B28+(1-$D$4)*D27</f>
        <v>4.9926723646723641</v>
      </c>
      <c r="E28" s="2">
        <f t="shared" ref="E28:E91" si="1">C28-D28</f>
        <v>0.30758167934972303</v>
      </c>
      <c r="F28" s="2"/>
      <c r="G28" s="2"/>
      <c r="H28" s="2"/>
    </row>
    <row r="29" spans="1:8" ht="13.5" x14ac:dyDescent="0.25">
      <c r="A29" s="3">
        <f>TITRES_STAT!B32</f>
        <v>44959</v>
      </c>
      <c r="B29" s="5">
        <f>TITRES_STAT!D32</f>
        <v>5.4279999999999999</v>
      </c>
      <c r="C29" s="2">
        <f t="shared" si="0"/>
        <v>5.3251380372494586</v>
      </c>
      <c r="D29" s="2">
        <f t="shared" ref="D29:D92" si="2">$D$4*B29+(1-$D$4)*D28</f>
        <v>5.0249188561781146</v>
      </c>
      <c r="E29" s="2">
        <f t="shared" si="1"/>
        <v>0.30021918107134393</v>
      </c>
      <c r="F29" s="2"/>
      <c r="G29" s="2"/>
      <c r="H29" s="2"/>
    </row>
    <row r="30" spans="1:8" ht="13.5" x14ac:dyDescent="0.25">
      <c r="A30" s="3">
        <f>TITRES_STAT!B33</f>
        <v>44960</v>
      </c>
      <c r="B30" s="5">
        <f>TITRES_STAT!D33</f>
        <v>5.3940000000000001</v>
      </c>
      <c r="C30" s="2">
        <f t="shared" si="0"/>
        <v>5.3421937238264654</v>
      </c>
      <c r="D30" s="2">
        <f t="shared" si="2"/>
        <v>5.0522582001649212</v>
      </c>
      <c r="E30" s="2">
        <f t="shared" si="1"/>
        <v>0.28993552366154418</v>
      </c>
      <c r="F30" s="2"/>
      <c r="G30" s="2"/>
      <c r="H30" s="2"/>
    </row>
    <row r="31" spans="1:8" ht="13.5" x14ac:dyDescent="0.25">
      <c r="A31" s="3">
        <f>TITRES_STAT!B34</f>
        <v>44963</v>
      </c>
      <c r="B31" s="5">
        <f>TITRES_STAT!D34</f>
        <v>5.3849999999999998</v>
      </c>
      <c r="C31" s="2">
        <f t="shared" si="0"/>
        <v>5.3501639201608562</v>
      </c>
      <c r="D31" s="2">
        <f t="shared" si="2"/>
        <v>5.0769057408934462</v>
      </c>
      <c r="E31" s="2">
        <f t="shared" si="1"/>
        <v>0.27325817926741003</v>
      </c>
      <c r="F31" s="2"/>
      <c r="G31" s="2"/>
      <c r="H31" s="2"/>
    </row>
    <row r="32" spans="1:8" ht="13.5" x14ac:dyDescent="0.25">
      <c r="A32" s="3">
        <f>TITRES_STAT!B35</f>
        <v>44964</v>
      </c>
      <c r="B32" s="5">
        <f>TITRES_STAT!D35</f>
        <v>5.3</v>
      </c>
      <c r="C32" s="2">
        <f t="shared" si="0"/>
        <v>5.3607540862899548</v>
      </c>
      <c r="D32" s="2">
        <f t="shared" si="2"/>
        <v>5.0934312415680054</v>
      </c>
      <c r="E32" s="2">
        <f t="shared" si="1"/>
        <v>0.26732284472194934</v>
      </c>
      <c r="F32" s="2"/>
      <c r="G32" s="2"/>
      <c r="H32" s="2"/>
    </row>
    <row r="33" spans="1:8" ht="13.5" x14ac:dyDescent="0.25">
      <c r="A33" s="3">
        <f>TITRES_STAT!B36</f>
        <v>44965</v>
      </c>
      <c r="B33" s="5">
        <f>TITRES_STAT!D36</f>
        <v>5.181</v>
      </c>
      <c r="C33" s="2">
        <f t="shared" si="0"/>
        <v>5.3554073037838084</v>
      </c>
      <c r="D33" s="2">
        <f t="shared" si="2"/>
        <v>5.0999178162666716</v>
      </c>
      <c r="E33" s="2">
        <f t="shared" si="1"/>
        <v>0.25548948751713674</v>
      </c>
      <c r="F33" s="2"/>
      <c r="G33" s="2"/>
      <c r="H33" s="2"/>
    </row>
    <row r="34" spans="1:8" ht="13.5" x14ac:dyDescent="0.25">
      <c r="A34" s="3">
        <f>TITRES_STAT!B37</f>
        <v>44966</v>
      </c>
      <c r="B34" s="5">
        <f>TITRES_STAT!D37</f>
        <v>5.2149999999999999</v>
      </c>
      <c r="C34" s="2">
        <f t="shared" si="0"/>
        <v>5.354729257047838</v>
      </c>
      <c r="D34" s="2">
        <f t="shared" si="2"/>
        <v>5.1084424224691407</v>
      </c>
      <c r="E34" s="2">
        <f t="shared" si="1"/>
        <v>0.24628683457869727</v>
      </c>
      <c r="F34" s="2"/>
      <c r="G34" s="2"/>
      <c r="H34" s="2"/>
    </row>
    <row r="35" spans="1:8" ht="13.5" x14ac:dyDescent="0.25">
      <c r="A35" s="3">
        <f>TITRES_STAT!B38</f>
        <v>44967</v>
      </c>
      <c r="B35" s="5">
        <f>TITRES_STAT!D38</f>
        <v>5.2069999999999999</v>
      </c>
      <c r="C35" s="2">
        <f t="shared" si="0"/>
        <v>5.3620016790404783</v>
      </c>
      <c r="D35" s="2">
        <f t="shared" si="2"/>
        <v>5.1157429837677233</v>
      </c>
      <c r="E35" s="2">
        <f t="shared" si="1"/>
        <v>0.24625869527275501</v>
      </c>
      <c r="F35" s="2">
        <f>AVERAGE(E27:E35)</f>
        <v>0.2777057733315717</v>
      </c>
      <c r="G35" s="2">
        <f>E35-F35</f>
        <v>-3.1447078058816691E-2</v>
      </c>
      <c r="H35" s="2" t="str">
        <f>IF(G35&lt;0,"Hold","Sell")</f>
        <v>Hold</v>
      </c>
    </row>
    <row r="36" spans="1:8" ht="13.5" x14ac:dyDescent="0.25">
      <c r="A36" s="3">
        <f>TITRES_STAT!B39</f>
        <v>44970</v>
      </c>
      <c r="B36" s="5">
        <f>TITRES_STAT!D39</f>
        <v>5.181</v>
      </c>
      <c r="C36" s="2">
        <f t="shared" si="0"/>
        <v>5.3721552668804051</v>
      </c>
      <c r="D36" s="2">
        <f t="shared" si="2"/>
        <v>5.1205768368219662</v>
      </c>
      <c r="E36" s="2">
        <f t="shared" si="1"/>
        <v>0.25157843005843894</v>
      </c>
      <c r="F36" s="2">
        <f>(E36*(2/(10)))+((1-(2/10))*F35)</f>
        <v>0.27248030467694517</v>
      </c>
      <c r="G36" s="2">
        <f t="shared" ref="G36:G99" si="3">E36-F36</f>
        <v>-2.0901874618506233E-2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44971</v>
      </c>
      <c r="B37" s="5">
        <f>TITRES_STAT!D40</f>
        <v>5.173</v>
      </c>
      <c r="C37" s="2">
        <f t="shared" si="0"/>
        <v>5.3807467642834199</v>
      </c>
      <c r="D37" s="2">
        <f t="shared" si="2"/>
        <v>5.1244600340944135</v>
      </c>
      <c r="E37" s="2">
        <f t="shared" si="1"/>
        <v>0.25628673018900638</v>
      </c>
      <c r="F37" s="2">
        <f t="shared" ref="F37:F100" si="5">(E37*(2/(10)))+((1-(2/10))*F36)</f>
        <v>0.26924158977935742</v>
      </c>
      <c r="G37" s="2">
        <f t="shared" si="3"/>
        <v>-1.2954859590351031E-2</v>
      </c>
      <c r="H37" s="2" t="str">
        <f t="shared" si="4"/>
        <v>Hold</v>
      </c>
    </row>
    <row r="38" spans="1:8" ht="13.5" x14ac:dyDescent="0.25">
      <c r="A38" s="3">
        <f>TITRES_STAT!B41</f>
        <v>44972</v>
      </c>
      <c r="B38" s="5">
        <f>TITRES_STAT!D41</f>
        <v>5.1639999999999997</v>
      </c>
      <c r="C38" s="2">
        <f t="shared" si="0"/>
        <v>5.3880164928552015</v>
      </c>
      <c r="D38" s="2">
        <f t="shared" si="2"/>
        <v>5.1273889204577898</v>
      </c>
      <c r="E38" s="2">
        <f t="shared" si="1"/>
        <v>0.26062757239741163</v>
      </c>
      <c r="F38" s="2">
        <f t="shared" si="5"/>
        <v>0.26751878630296827</v>
      </c>
      <c r="G38" s="2">
        <f t="shared" si="3"/>
        <v>-6.8912139055566368E-3</v>
      </c>
      <c r="H38" s="2" t="str">
        <f t="shared" si="4"/>
        <v>Hold</v>
      </c>
    </row>
    <row r="39" spans="1:8" ht="13.5" x14ac:dyDescent="0.25">
      <c r="A39" s="3">
        <f>TITRES_STAT!B42</f>
        <v>44973</v>
      </c>
      <c r="B39" s="5">
        <f>TITRES_STAT!D42</f>
        <v>5.181</v>
      </c>
      <c r="C39" s="2">
        <f t="shared" si="0"/>
        <v>5.3941678016467094</v>
      </c>
      <c r="D39" s="2">
        <f t="shared" si="2"/>
        <v>5.1313601115349901</v>
      </c>
      <c r="E39" s="2">
        <f t="shared" si="1"/>
        <v>0.26280769011171934</v>
      </c>
      <c r="F39" s="2">
        <f t="shared" si="5"/>
        <v>0.26657656706471849</v>
      </c>
      <c r="G39" s="2">
        <f t="shared" si="3"/>
        <v>-3.7688769529991561E-3</v>
      </c>
      <c r="H39" s="2" t="str">
        <f t="shared" si="4"/>
        <v>Hold</v>
      </c>
    </row>
    <row r="40" spans="1:8" ht="13.5" x14ac:dyDescent="0.25">
      <c r="A40" s="3">
        <f>TITRES_STAT!B43</f>
        <v>44974</v>
      </c>
      <c r="B40" s="5">
        <f>TITRES_STAT!D43</f>
        <v>5.1639999999999997</v>
      </c>
      <c r="C40" s="2">
        <f t="shared" si="0"/>
        <v>5.3941419860087549</v>
      </c>
      <c r="D40" s="2">
        <f t="shared" si="2"/>
        <v>5.133777881050916</v>
      </c>
      <c r="E40" s="2">
        <f t="shared" si="1"/>
        <v>0.2603641049578389</v>
      </c>
      <c r="F40" s="2">
        <f t="shared" si="5"/>
        <v>0.26533407464334258</v>
      </c>
      <c r="G40" s="2">
        <f t="shared" si="3"/>
        <v>-4.9699696855036724E-3</v>
      </c>
      <c r="H40" s="2" t="str">
        <f t="shared" si="4"/>
        <v>Hold</v>
      </c>
    </row>
    <row r="41" spans="1:8" ht="13.5" x14ac:dyDescent="0.25">
      <c r="A41" s="3">
        <f>TITRES_STAT!B44</f>
        <v>44977</v>
      </c>
      <c r="B41" s="5">
        <f>TITRES_STAT!D44</f>
        <v>5.1639999999999997</v>
      </c>
      <c r="C41" s="2">
        <f t="shared" si="0"/>
        <v>5.3927355266227925</v>
      </c>
      <c r="D41" s="2">
        <f t="shared" si="2"/>
        <v>5.1360165565286255</v>
      </c>
      <c r="E41" s="2">
        <f t="shared" si="1"/>
        <v>0.256718970094167</v>
      </c>
      <c r="F41" s="2">
        <f t="shared" si="5"/>
        <v>0.26361105373350746</v>
      </c>
      <c r="G41" s="2">
        <f t="shared" si="3"/>
        <v>-6.8920836393404628E-3</v>
      </c>
      <c r="H41" s="2" t="str">
        <f t="shared" si="4"/>
        <v>Hold</v>
      </c>
    </row>
    <row r="42" spans="1:8" ht="13.5" x14ac:dyDescent="0.25">
      <c r="A42" s="3">
        <f>TITRES_STAT!B45</f>
        <v>44978</v>
      </c>
      <c r="B42" s="5">
        <f>TITRES_STAT!D45</f>
        <v>5.1639999999999997</v>
      </c>
      <c r="C42" s="2">
        <f t="shared" si="0"/>
        <v>5.3784685225269779</v>
      </c>
      <c r="D42" s="2">
        <f t="shared" si="2"/>
        <v>5.1380894041931722</v>
      </c>
      <c r="E42" s="2">
        <f t="shared" si="1"/>
        <v>0.24037911833380576</v>
      </c>
      <c r="F42" s="2">
        <f t="shared" si="5"/>
        <v>0.25896466665356715</v>
      </c>
      <c r="G42" s="2">
        <f t="shared" si="3"/>
        <v>-1.8585548319761391E-2</v>
      </c>
      <c r="H42" s="2" t="str">
        <f t="shared" si="4"/>
        <v>Hold</v>
      </c>
    </row>
    <row r="43" spans="1:8" ht="13.5" x14ac:dyDescent="0.25">
      <c r="A43" s="3">
        <f>TITRES_STAT!B46</f>
        <v>44979</v>
      </c>
      <c r="B43" s="5">
        <f>TITRES_STAT!D46</f>
        <v>5.1639999999999997</v>
      </c>
      <c r="C43" s="2">
        <f t="shared" si="0"/>
        <v>5.3480887498305201</v>
      </c>
      <c r="D43" s="2">
        <f t="shared" si="2"/>
        <v>5.1400087075862704</v>
      </c>
      <c r="E43" s="2">
        <f t="shared" si="1"/>
        <v>0.2080800422442497</v>
      </c>
      <c r="F43" s="2">
        <f t="shared" si="5"/>
        <v>0.24878774177170368</v>
      </c>
      <c r="G43" s="2">
        <f t="shared" si="3"/>
        <v>-4.0707699527453983E-2</v>
      </c>
      <c r="H43" s="2" t="str">
        <f t="shared" si="4"/>
        <v>Hold</v>
      </c>
    </row>
    <row r="44" spans="1:8" ht="13.5" x14ac:dyDescent="0.25">
      <c r="A44" s="3">
        <f>TITRES_STAT!B47</f>
        <v>44980</v>
      </c>
      <c r="B44" s="5">
        <f>TITRES_STAT!D47</f>
        <v>5.1559999999999997</v>
      </c>
      <c r="C44" s="2">
        <f t="shared" si="0"/>
        <v>5.3276135575489008</v>
      </c>
      <c r="D44" s="2">
        <f t="shared" si="2"/>
        <v>5.1411932477650657</v>
      </c>
      <c r="E44" s="2">
        <f t="shared" si="1"/>
        <v>0.18642030978383506</v>
      </c>
      <c r="F44" s="2">
        <f t="shared" si="5"/>
        <v>0.23631425537412995</v>
      </c>
      <c r="G44" s="2">
        <f t="shared" si="3"/>
        <v>-4.9893945590294891E-2</v>
      </c>
      <c r="H44" s="2" t="str">
        <f t="shared" si="4"/>
        <v>Hold</v>
      </c>
    </row>
    <row r="45" spans="1:8" ht="13.5" x14ac:dyDescent="0.25">
      <c r="A45" s="3">
        <f>TITRES_STAT!B48</f>
        <v>44981</v>
      </c>
      <c r="B45" s="5">
        <f>TITRES_STAT!D48</f>
        <v>5.1559999999999997</v>
      </c>
      <c r="C45" s="2">
        <f t="shared" si="0"/>
        <v>5.3090576256183013</v>
      </c>
      <c r="D45" s="2">
        <f t="shared" si="2"/>
        <v>5.1422900442269128</v>
      </c>
      <c r="E45" s="2">
        <f t="shared" si="1"/>
        <v>0.16676758139138848</v>
      </c>
      <c r="F45" s="2">
        <f t="shared" si="5"/>
        <v>0.22240492057758168</v>
      </c>
      <c r="G45" s="2">
        <f t="shared" si="3"/>
        <v>-5.5637339186193208E-2</v>
      </c>
      <c r="H45" s="2" t="str">
        <f t="shared" si="4"/>
        <v>Hold</v>
      </c>
    </row>
    <row r="46" spans="1:8" ht="13.5" x14ac:dyDescent="0.25">
      <c r="A46" s="3">
        <f>TITRES_STAT!B49</f>
        <v>44984</v>
      </c>
      <c r="B46" s="5">
        <f>TITRES_STAT!D49</f>
        <v>5.1559999999999997</v>
      </c>
      <c r="C46" s="2">
        <f t="shared" si="0"/>
        <v>5.2893564524462544</v>
      </c>
      <c r="D46" s="2">
        <f t="shared" si="2"/>
        <v>5.1433055965064005</v>
      </c>
      <c r="E46" s="2">
        <f t="shared" si="1"/>
        <v>0.1460508559398539</v>
      </c>
      <c r="F46" s="2">
        <f t="shared" si="5"/>
        <v>0.20713410765003615</v>
      </c>
      <c r="G46" s="2">
        <f t="shared" si="3"/>
        <v>-6.1083251710182251E-2</v>
      </c>
      <c r="H46" s="2" t="str">
        <f t="shared" si="4"/>
        <v>Hold</v>
      </c>
    </row>
    <row r="47" spans="1:8" ht="13.5" x14ac:dyDescent="0.25">
      <c r="A47" s="3">
        <f>TITRES_STAT!B50</f>
        <v>44985</v>
      </c>
      <c r="B47" s="5">
        <f>TITRES_STAT!D50</f>
        <v>5.1470000000000002</v>
      </c>
      <c r="C47" s="2">
        <f t="shared" si="0"/>
        <v>5.2714554597622154</v>
      </c>
      <c r="D47" s="2">
        <f t="shared" si="2"/>
        <v>5.1435792560244451</v>
      </c>
      <c r="E47" s="2">
        <f t="shared" si="1"/>
        <v>0.12787620373777031</v>
      </c>
      <c r="F47" s="2">
        <f t="shared" si="5"/>
        <v>0.19128252686758301</v>
      </c>
      <c r="G47" s="2">
        <f t="shared" si="3"/>
        <v>-6.3406323129812703E-2</v>
      </c>
      <c r="H47" s="2" t="str">
        <f t="shared" si="4"/>
        <v>Hold</v>
      </c>
    </row>
    <row r="48" spans="1:8" ht="13.5" x14ac:dyDescent="0.25">
      <c r="A48" s="3">
        <f>TITRES_STAT!B51</f>
        <v>44986</v>
      </c>
      <c r="B48" s="5">
        <f>TITRES_STAT!D51</f>
        <v>5.1390000000000002</v>
      </c>
      <c r="C48" s="2">
        <f t="shared" si="0"/>
        <v>5.2549238505680282</v>
      </c>
      <c r="D48" s="2">
        <f t="shared" si="2"/>
        <v>5.1432400518744856</v>
      </c>
      <c r="E48" s="2">
        <f t="shared" si="1"/>
        <v>0.11168379869354261</v>
      </c>
      <c r="F48" s="2">
        <f t="shared" si="5"/>
        <v>0.17536278123277493</v>
      </c>
      <c r="G48" s="2">
        <f t="shared" si="3"/>
        <v>-6.3678982539232321E-2</v>
      </c>
      <c r="H48" s="2" t="str">
        <f t="shared" si="4"/>
        <v>Hold</v>
      </c>
    </row>
    <row r="49" spans="1:8" ht="13.5" x14ac:dyDescent="0.25">
      <c r="A49" s="3">
        <f>TITRES_STAT!B52</f>
        <v>44987</v>
      </c>
      <c r="B49" s="5">
        <f>TITRES_STAT!D52</f>
        <v>5.1390000000000002</v>
      </c>
      <c r="C49" s="2">
        <f t="shared" si="0"/>
        <v>5.243550950480639</v>
      </c>
      <c r="D49" s="2">
        <f t="shared" si="2"/>
        <v>5.1429259739578566</v>
      </c>
      <c r="E49" s="2">
        <f t="shared" si="1"/>
        <v>0.10062497652278246</v>
      </c>
      <c r="F49" s="2">
        <f t="shared" si="5"/>
        <v>0.16041522029077646</v>
      </c>
      <c r="G49" s="2">
        <f t="shared" si="3"/>
        <v>-5.9790243767993995E-2</v>
      </c>
      <c r="H49" s="2" t="str">
        <f t="shared" si="4"/>
        <v>Hold</v>
      </c>
    </row>
    <row r="50" spans="1:8" ht="13.5" x14ac:dyDescent="0.25">
      <c r="A50" s="3">
        <f>TITRES_STAT!B53</f>
        <v>44988</v>
      </c>
      <c r="B50" s="5">
        <f>TITRES_STAT!D53</f>
        <v>5.13</v>
      </c>
      <c r="C50" s="2">
        <f t="shared" si="0"/>
        <v>5.2313123427143866</v>
      </c>
      <c r="D50" s="2">
        <f t="shared" si="2"/>
        <v>5.1419684944054227</v>
      </c>
      <c r="E50" s="2">
        <f t="shared" si="1"/>
        <v>8.9343848308963913E-2</v>
      </c>
      <c r="F50" s="2">
        <f t="shared" si="5"/>
        <v>0.14620094589441396</v>
      </c>
      <c r="G50" s="2">
        <f t="shared" si="3"/>
        <v>-5.6857097585450045E-2</v>
      </c>
      <c r="H50" s="2" t="str">
        <f t="shared" si="4"/>
        <v>Hold</v>
      </c>
    </row>
    <row r="51" spans="1:8" ht="13.5" x14ac:dyDescent="0.25">
      <c r="A51" s="3">
        <f>TITRES_STAT!B54</f>
        <v>44991</v>
      </c>
      <c r="B51" s="5">
        <f>TITRES_STAT!D54</f>
        <v>5.0960000000000001</v>
      </c>
      <c r="C51" s="2">
        <f t="shared" si="0"/>
        <v>5.2209565976814041</v>
      </c>
      <c r="D51" s="2">
        <f t="shared" si="2"/>
        <v>5.1385634207457622</v>
      </c>
      <c r="E51" s="2">
        <f t="shared" si="1"/>
        <v>8.2393176935641854E-2</v>
      </c>
      <c r="F51" s="2">
        <f t="shared" si="5"/>
        <v>0.13343939210265954</v>
      </c>
      <c r="G51" s="2">
        <f t="shared" si="3"/>
        <v>-5.1046215167017683E-2</v>
      </c>
      <c r="H51" s="2" t="str">
        <f t="shared" si="4"/>
        <v>Hold</v>
      </c>
    </row>
    <row r="52" spans="1:8" ht="13.5" x14ac:dyDescent="0.25">
      <c r="A52" s="3">
        <f>TITRES_STAT!B55</f>
        <v>44992</v>
      </c>
      <c r="B52" s="5">
        <f>TITRES_STAT!D55</f>
        <v>5.0960000000000001</v>
      </c>
      <c r="C52" s="2">
        <f t="shared" si="0"/>
        <v>5.212194044191957</v>
      </c>
      <c r="D52" s="2">
        <f t="shared" si="2"/>
        <v>5.1354105747645953</v>
      </c>
      <c r="E52" s="2">
        <f t="shared" si="1"/>
        <v>7.6783469427361695E-2</v>
      </c>
      <c r="F52" s="2">
        <f t="shared" si="5"/>
        <v>0.12210820756759998</v>
      </c>
      <c r="G52" s="2">
        <f t="shared" si="3"/>
        <v>-4.5324738140238283E-2</v>
      </c>
      <c r="H52" s="2" t="str">
        <f t="shared" si="4"/>
        <v>Hold</v>
      </c>
    </row>
    <row r="53" spans="1:8" ht="13.5" x14ac:dyDescent="0.25">
      <c r="A53" s="3">
        <f>TITRES_STAT!B56</f>
        <v>44993</v>
      </c>
      <c r="B53" s="5">
        <f>TITRES_STAT!D56</f>
        <v>5.0880000000000001</v>
      </c>
      <c r="C53" s="2">
        <f t="shared" si="0"/>
        <v>5.2047795758547331</v>
      </c>
      <c r="D53" s="2">
        <f t="shared" si="2"/>
        <v>5.1318986803375886</v>
      </c>
      <c r="E53" s="2">
        <f t="shared" si="1"/>
        <v>7.2880895517144495E-2</v>
      </c>
      <c r="F53" s="2">
        <f t="shared" si="5"/>
        <v>0.11226274515750889</v>
      </c>
      <c r="G53" s="2">
        <f t="shared" si="3"/>
        <v>-3.9381849640364397E-2</v>
      </c>
      <c r="H53" s="2" t="str">
        <f t="shared" si="4"/>
        <v>Hold</v>
      </c>
    </row>
    <row r="54" spans="1:8" ht="13.5" x14ac:dyDescent="0.25">
      <c r="A54" s="3">
        <f>TITRES_STAT!B57</f>
        <v>44994</v>
      </c>
      <c r="B54" s="5">
        <f>TITRES_STAT!D57</f>
        <v>5.3090000000000002</v>
      </c>
      <c r="C54" s="2">
        <f t="shared" si="0"/>
        <v>5.1972750257232354</v>
      </c>
      <c r="D54" s="2">
        <f t="shared" si="2"/>
        <v>5.1450172966088781</v>
      </c>
      <c r="E54" s="2">
        <f t="shared" si="1"/>
        <v>5.2257729114357332E-2</v>
      </c>
      <c r="F54" s="2">
        <f t="shared" si="5"/>
        <v>0.10026174194887859</v>
      </c>
      <c r="G54" s="2">
        <f t="shared" si="3"/>
        <v>-4.8004012834521256E-2</v>
      </c>
      <c r="H54" s="2" t="str">
        <f t="shared" si="4"/>
        <v>Hold</v>
      </c>
    </row>
    <row r="55" spans="1:8" ht="13.5" x14ac:dyDescent="0.25">
      <c r="A55" s="3">
        <f>TITRES_STAT!B58</f>
        <v>44995</v>
      </c>
      <c r="B55" s="5">
        <f>TITRES_STAT!D58</f>
        <v>5.3339999999999996</v>
      </c>
      <c r="C55" s="2">
        <f t="shared" si="0"/>
        <v>5.1909250217658141</v>
      </c>
      <c r="D55" s="2">
        <f t="shared" si="2"/>
        <v>5.1590160153785911</v>
      </c>
      <c r="E55" s="2">
        <f t="shared" si="1"/>
        <v>3.1909006387222938E-2</v>
      </c>
      <c r="F55" s="2">
        <f t="shared" si="5"/>
        <v>8.6591194836547467E-2</v>
      </c>
      <c r="G55" s="2">
        <f t="shared" si="3"/>
        <v>-5.4682188449324529E-2</v>
      </c>
      <c r="H55" s="2" t="str">
        <f t="shared" si="4"/>
        <v>Hold</v>
      </c>
    </row>
    <row r="56" spans="1:8" ht="13.5" x14ac:dyDescent="0.25">
      <c r="A56" s="3">
        <f>TITRES_STAT!B59</f>
        <v>44998</v>
      </c>
      <c r="B56" s="5">
        <f>TITRES_STAT!D59</f>
        <v>5.3259999999999996</v>
      </c>
      <c r="C56" s="2">
        <f t="shared" si="0"/>
        <v>5.1855519414941504</v>
      </c>
      <c r="D56" s="2">
        <f t="shared" si="2"/>
        <v>5.1713851994246216</v>
      </c>
      <c r="E56" s="2">
        <f t="shared" si="1"/>
        <v>1.4166742069528837E-2</v>
      </c>
      <c r="F56" s="2">
        <f t="shared" si="5"/>
        <v>7.2106304283143741E-2</v>
      </c>
      <c r="G56" s="2">
        <f t="shared" si="3"/>
        <v>-5.7939562213614904E-2</v>
      </c>
      <c r="H56" s="2" t="str">
        <f t="shared" si="4"/>
        <v>Hold</v>
      </c>
    </row>
    <row r="57" spans="1:8" ht="13.5" x14ac:dyDescent="0.25">
      <c r="A57" s="3">
        <f>TITRES_STAT!B60</f>
        <v>44999</v>
      </c>
      <c r="B57" s="5">
        <f>TITRES_STAT!D60</f>
        <v>5.3849999999999998</v>
      </c>
      <c r="C57" s="2">
        <f t="shared" si="0"/>
        <v>5.1796208735719738</v>
      </c>
      <c r="D57" s="2">
        <f t="shared" si="2"/>
        <v>5.187208517985761</v>
      </c>
      <c r="E57" s="2">
        <f t="shared" si="1"/>
        <v>-7.5876444137872312E-3</v>
      </c>
      <c r="F57" s="2">
        <f t="shared" si="5"/>
        <v>5.6167514543757548E-2</v>
      </c>
      <c r="G57" s="2">
        <f t="shared" si="3"/>
        <v>-6.3755158957544772E-2</v>
      </c>
      <c r="H57" s="2" t="str">
        <f t="shared" si="4"/>
        <v>Hold</v>
      </c>
    </row>
    <row r="58" spans="1:8" ht="13.5" x14ac:dyDescent="0.25">
      <c r="A58" s="3">
        <f>TITRES_STAT!B61</f>
        <v>45000</v>
      </c>
      <c r="B58" s="5">
        <f>TITRES_STAT!D61</f>
        <v>5.4359999999999999</v>
      </c>
      <c r="C58" s="2">
        <f t="shared" si="0"/>
        <v>5.1733715084070546</v>
      </c>
      <c r="D58" s="2">
        <f t="shared" si="2"/>
        <v>5.2056375166534821</v>
      </c>
      <c r="E58" s="2">
        <f t="shared" si="1"/>
        <v>-3.2266008246427447E-2</v>
      </c>
      <c r="F58" s="2">
        <f t="shared" si="5"/>
        <v>3.8480809985720552E-2</v>
      </c>
      <c r="G58" s="2">
        <f t="shared" si="3"/>
        <v>-7.0746818232147998E-2</v>
      </c>
      <c r="H58" s="2" t="str">
        <f t="shared" si="4"/>
        <v>Hold</v>
      </c>
    </row>
    <row r="59" spans="1:8" ht="13.5" x14ac:dyDescent="0.25">
      <c r="A59" s="3">
        <f>TITRES_STAT!B62</f>
        <v>45001</v>
      </c>
      <c r="B59" s="5">
        <f>TITRES_STAT!D62</f>
        <v>5.4359999999999999</v>
      </c>
      <c r="C59" s="2">
        <f t="shared" si="0"/>
        <v>5.1680835840367383</v>
      </c>
      <c r="D59" s="2">
        <f t="shared" si="2"/>
        <v>5.22270140430878</v>
      </c>
      <c r="E59" s="2">
        <f t="shared" si="1"/>
        <v>-5.4617820272041762E-2</v>
      </c>
      <c r="F59" s="2">
        <f t="shared" si="5"/>
        <v>1.9861083934168088E-2</v>
      </c>
      <c r="G59" s="2">
        <f t="shared" si="3"/>
        <v>-7.4478904206209853E-2</v>
      </c>
      <c r="H59" s="2" t="str">
        <f t="shared" si="4"/>
        <v>Hold</v>
      </c>
    </row>
    <row r="60" spans="1:8" ht="13.5" x14ac:dyDescent="0.25">
      <c r="A60" s="3">
        <f>TITRES_STAT!B63</f>
        <v>45002</v>
      </c>
      <c r="B60" s="5">
        <f>TITRES_STAT!D63</f>
        <v>5.3940000000000001</v>
      </c>
      <c r="C60" s="2">
        <f t="shared" si="0"/>
        <v>5.1622245711080099</v>
      </c>
      <c r="D60" s="2">
        <f t="shared" si="2"/>
        <v>5.2353901891747965</v>
      </c>
      <c r="E60" s="2">
        <f t="shared" si="1"/>
        <v>-7.3165618066786564E-2</v>
      </c>
      <c r="F60" s="2">
        <f t="shared" si="5"/>
        <v>1.2557435339771578E-3</v>
      </c>
      <c r="G60" s="2">
        <f t="shared" si="3"/>
        <v>-7.4421361600763722E-2</v>
      </c>
      <c r="H60" s="2" t="str">
        <f t="shared" si="4"/>
        <v>Hold</v>
      </c>
    </row>
    <row r="61" spans="1:8" ht="13.5" x14ac:dyDescent="0.25">
      <c r="A61" s="3">
        <f>TITRES_STAT!B64</f>
        <v>45006</v>
      </c>
      <c r="B61" s="5">
        <f>TITRES_STAT!D64</f>
        <v>5.3940000000000001</v>
      </c>
      <c r="C61" s="2">
        <f t="shared" si="0"/>
        <v>5.1520361755529311</v>
      </c>
      <c r="D61" s="2">
        <f t="shared" si="2"/>
        <v>5.2471390640507378</v>
      </c>
      <c r="E61" s="2">
        <f t="shared" si="1"/>
        <v>-9.5102888497806681E-2</v>
      </c>
      <c r="F61" s="2">
        <f t="shared" si="5"/>
        <v>-1.8015982872379609E-2</v>
      </c>
      <c r="G61" s="2">
        <f t="shared" si="3"/>
        <v>-7.7086905625427068E-2</v>
      </c>
      <c r="H61" s="2" t="str">
        <f t="shared" si="4"/>
        <v>Hold</v>
      </c>
    </row>
    <row r="62" spans="1:8" ht="13.5" x14ac:dyDescent="0.25">
      <c r="A62" s="3">
        <f>TITRES_STAT!B65</f>
        <v>45007</v>
      </c>
      <c r="B62" s="5">
        <f>TITRES_STAT!D65</f>
        <v>5.3849999999999998</v>
      </c>
      <c r="C62" s="2">
        <f t="shared" si="0"/>
        <v>5.1434152254678649</v>
      </c>
      <c r="D62" s="2">
        <f t="shared" si="2"/>
        <v>5.2573509852321649</v>
      </c>
      <c r="E62" s="2">
        <f t="shared" si="1"/>
        <v>-0.11393575976430004</v>
      </c>
      <c r="F62" s="2">
        <f t="shared" si="5"/>
        <v>-3.7199938250763696E-2</v>
      </c>
      <c r="G62" s="2">
        <f t="shared" si="3"/>
        <v>-7.6735821513536334E-2</v>
      </c>
      <c r="H62" s="2" t="str">
        <f t="shared" si="4"/>
        <v>Hold</v>
      </c>
    </row>
    <row r="63" spans="1:8" ht="13.5" x14ac:dyDescent="0.25">
      <c r="A63" s="3">
        <f>TITRES_STAT!B66</f>
        <v>45008</v>
      </c>
      <c r="B63" s="5">
        <f>TITRES_STAT!D66</f>
        <v>5.3849999999999998</v>
      </c>
      <c r="C63" s="2">
        <f t="shared" si="0"/>
        <v>5.1348898061651163</v>
      </c>
      <c r="D63" s="2">
        <f t="shared" si="2"/>
        <v>5.2668064678075606</v>
      </c>
      <c r="E63" s="2">
        <f t="shared" si="1"/>
        <v>-0.13191666164244431</v>
      </c>
      <c r="F63" s="2">
        <f t="shared" si="5"/>
        <v>-5.6143282929099821E-2</v>
      </c>
      <c r="G63" s="2">
        <f t="shared" si="3"/>
        <v>-7.5773378713344497E-2</v>
      </c>
      <c r="H63" s="2" t="str">
        <f t="shared" si="4"/>
        <v>Hold</v>
      </c>
    </row>
    <row r="64" spans="1:8" ht="13.5" x14ac:dyDescent="0.25">
      <c r="A64" s="3">
        <f>TITRES_STAT!B67</f>
        <v>45009</v>
      </c>
      <c r="B64" s="5">
        <f>TITRES_STAT!D67</f>
        <v>5.351</v>
      </c>
      <c r="C64" s="2">
        <f t="shared" si="0"/>
        <v>5.1616759898320215</v>
      </c>
      <c r="D64" s="2">
        <f t="shared" si="2"/>
        <v>5.2730430257477412</v>
      </c>
      <c r="E64" s="2">
        <f t="shared" si="1"/>
        <v>-0.11136703591571973</v>
      </c>
      <c r="F64" s="2">
        <f t="shared" si="5"/>
        <v>-6.7188033526423802E-2</v>
      </c>
      <c r="G64" s="2">
        <f t="shared" si="3"/>
        <v>-4.4179002389295924E-2</v>
      </c>
      <c r="H64" s="2" t="str">
        <f t="shared" si="4"/>
        <v>Hold</v>
      </c>
    </row>
    <row r="65" spans="1:8" ht="13.5" x14ac:dyDescent="0.25">
      <c r="A65" s="3">
        <f>TITRES_STAT!B68</f>
        <v>45012</v>
      </c>
      <c r="B65" s="5">
        <f>TITRES_STAT!D68</f>
        <v>5.3259999999999996</v>
      </c>
      <c r="C65" s="2">
        <f t="shared" si="0"/>
        <v>5.1881873760117108</v>
      </c>
      <c r="D65" s="2">
        <f t="shared" si="2"/>
        <v>5.2769657645812416</v>
      </c>
      <c r="E65" s="2">
        <f t="shared" si="1"/>
        <v>-8.8778388569530797E-2</v>
      </c>
      <c r="F65" s="2">
        <f t="shared" si="5"/>
        <v>-7.1506104535045203E-2</v>
      </c>
      <c r="G65" s="2">
        <f t="shared" si="3"/>
        <v>-1.7272284034485594E-2</v>
      </c>
      <c r="H65" s="2" t="str">
        <f t="shared" si="4"/>
        <v>Hold</v>
      </c>
    </row>
    <row r="66" spans="1:8" ht="13.5" x14ac:dyDescent="0.25">
      <c r="A66" s="3">
        <f>TITRES_STAT!B69</f>
        <v>45013</v>
      </c>
      <c r="B66" s="5">
        <f>TITRES_STAT!D69</f>
        <v>5.3</v>
      </c>
      <c r="C66" s="2">
        <f t="shared" si="0"/>
        <v>5.2093893181637556</v>
      </c>
      <c r="D66" s="2">
        <f t="shared" si="2"/>
        <v>5.2786720042418898</v>
      </c>
      <c r="E66" s="2">
        <f t="shared" si="1"/>
        <v>-6.9282686078134148E-2</v>
      </c>
      <c r="F66" s="2">
        <f t="shared" si="5"/>
        <v>-7.1061420843662987E-2</v>
      </c>
      <c r="G66" s="2">
        <f t="shared" si="3"/>
        <v>1.7787347655288388E-3</v>
      </c>
      <c r="H66" s="2" t="str">
        <f t="shared" si="4"/>
        <v>Sell</v>
      </c>
    </row>
    <row r="67" spans="1:8" ht="13.5" x14ac:dyDescent="0.25">
      <c r="A67" s="3">
        <f>TITRES_STAT!B70</f>
        <v>45014</v>
      </c>
      <c r="B67" s="5">
        <f>TITRES_STAT!D70</f>
        <v>5.2830000000000004</v>
      </c>
      <c r="C67" s="2">
        <f t="shared" si="0"/>
        <v>5.2364063461385619</v>
      </c>
      <c r="D67" s="2">
        <f t="shared" si="2"/>
        <v>5.2789925965202684</v>
      </c>
      <c r="E67" s="2">
        <f t="shared" si="1"/>
        <v>-4.2586250381706492E-2</v>
      </c>
      <c r="F67" s="2">
        <f t="shared" si="5"/>
        <v>-6.5366386751271682E-2</v>
      </c>
      <c r="G67" s="2">
        <f t="shared" si="3"/>
        <v>2.278013636956519E-2</v>
      </c>
      <c r="H67" s="2" t="str">
        <f t="shared" si="4"/>
        <v>Sell</v>
      </c>
    </row>
    <row r="68" spans="1:8" ht="13.5" x14ac:dyDescent="0.25">
      <c r="A68" s="3">
        <f>TITRES_STAT!B71</f>
        <v>45015</v>
      </c>
      <c r="B68" s="5">
        <f>TITRES_STAT!D71</f>
        <v>5.3170000000000002</v>
      </c>
      <c r="C68" s="2">
        <f t="shared" si="0"/>
        <v>5.2671130621172448</v>
      </c>
      <c r="D68" s="2">
        <f t="shared" si="2"/>
        <v>5.2818079597409895</v>
      </c>
      <c r="E68" s="2">
        <f t="shared" si="1"/>
        <v>-1.4694897623744652E-2</v>
      </c>
      <c r="F68" s="2">
        <f t="shared" si="5"/>
        <v>-5.5232088925766282E-2</v>
      </c>
      <c r="G68" s="2">
        <f t="shared" si="3"/>
        <v>4.053719130202163E-2</v>
      </c>
      <c r="H68" s="2" t="str">
        <f t="shared" si="4"/>
        <v>Sell</v>
      </c>
    </row>
    <row r="69" spans="1:8" ht="13.5" x14ac:dyDescent="0.25">
      <c r="A69" s="3">
        <f>TITRES_STAT!B72</f>
        <v>45016</v>
      </c>
      <c r="B69" s="5">
        <f>TITRES_STAT!D72</f>
        <v>5.351</v>
      </c>
      <c r="C69" s="2">
        <f t="shared" si="0"/>
        <v>5.2930956679453613</v>
      </c>
      <c r="D69" s="2">
        <f t="shared" si="2"/>
        <v>5.2869332960564712</v>
      </c>
      <c r="E69" s="2">
        <f t="shared" si="1"/>
        <v>6.162371888890128E-3</v>
      </c>
      <c r="F69" s="2">
        <f t="shared" si="5"/>
        <v>-4.2953196762835003E-2</v>
      </c>
      <c r="G69" s="2">
        <f t="shared" si="3"/>
        <v>4.9115568651725131E-2</v>
      </c>
      <c r="H69" s="2" t="str">
        <f t="shared" si="4"/>
        <v>Sell</v>
      </c>
    </row>
    <row r="70" spans="1:8" ht="13.5" x14ac:dyDescent="0.25">
      <c r="A70" s="3">
        <f>TITRES_STAT!B73</f>
        <v>45019</v>
      </c>
      <c r="B70" s="5">
        <f>TITRES_STAT!D73</f>
        <v>5.351</v>
      </c>
      <c r="C70" s="2">
        <f t="shared" si="0"/>
        <v>5.3086194113383822</v>
      </c>
      <c r="D70" s="2">
        <f t="shared" si="2"/>
        <v>5.2916789778300659</v>
      </c>
      <c r="E70" s="2">
        <f t="shared" si="1"/>
        <v>1.694043350831631E-2</v>
      </c>
      <c r="F70" s="2">
        <f t="shared" si="5"/>
        <v>-3.0974470708604741E-2</v>
      </c>
      <c r="G70" s="2">
        <f t="shared" si="3"/>
        <v>4.7914904216921052E-2</v>
      </c>
      <c r="H70" s="2" t="str">
        <f t="shared" si="4"/>
        <v>Sell</v>
      </c>
    </row>
    <row r="71" spans="1:8" ht="13.5" x14ac:dyDescent="0.25">
      <c r="A71" s="3">
        <f>TITRES_STAT!B74</f>
        <v>45020</v>
      </c>
      <c r="B71" s="5">
        <f>TITRES_STAT!D74</f>
        <v>5.351</v>
      </c>
      <c r="C71" s="2">
        <f t="shared" si="0"/>
        <v>5.3217548865170929</v>
      </c>
      <c r="D71" s="2">
        <f t="shared" si="2"/>
        <v>5.2960731276204314</v>
      </c>
      <c r="E71" s="2">
        <f t="shared" si="1"/>
        <v>2.5681758896661577E-2</v>
      </c>
      <c r="F71" s="2">
        <f t="shared" si="5"/>
        <v>-1.964322478755148E-2</v>
      </c>
      <c r="G71" s="2">
        <f t="shared" si="3"/>
        <v>4.532498368421306E-2</v>
      </c>
      <c r="H71" s="2" t="str">
        <f t="shared" si="4"/>
        <v>Sell</v>
      </c>
    </row>
    <row r="72" spans="1:8" ht="13.5" x14ac:dyDescent="0.25">
      <c r="A72" s="3">
        <f>TITRES_STAT!B75</f>
        <v>45021</v>
      </c>
      <c r="B72" s="5">
        <f>TITRES_STAT!D75</f>
        <v>5.351</v>
      </c>
      <c r="C72" s="2">
        <f t="shared" si="0"/>
        <v>5.3314849039760013</v>
      </c>
      <c r="D72" s="2">
        <f t="shared" si="2"/>
        <v>5.3001417848337322</v>
      </c>
      <c r="E72" s="2">
        <f t="shared" si="1"/>
        <v>3.134311914226906E-2</v>
      </c>
      <c r="F72" s="2">
        <f t="shared" si="5"/>
        <v>-9.445956001587371E-3</v>
      </c>
      <c r="G72" s="2">
        <f t="shared" si="3"/>
        <v>4.0789075143856435E-2</v>
      </c>
      <c r="H72" s="2" t="str">
        <f t="shared" si="4"/>
        <v>Sell</v>
      </c>
    </row>
    <row r="73" spans="1:8" ht="13.5" x14ac:dyDescent="0.25">
      <c r="A73" s="3">
        <f>TITRES_STAT!B76</f>
        <v>45022</v>
      </c>
      <c r="B73" s="5">
        <f>TITRES_STAT!D76</f>
        <v>5.3940000000000001</v>
      </c>
      <c r="C73" s="2">
        <f t="shared" si="0"/>
        <v>5.3397179956720011</v>
      </c>
      <c r="D73" s="2">
        <f t="shared" si="2"/>
        <v>5.3070942452164189</v>
      </c>
      <c r="E73" s="2">
        <f t="shared" si="1"/>
        <v>3.262375045558219E-2</v>
      </c>
      <c r="F73" s="2">
        <f t="shared" si="5"/>
        <v>-1.032014710153459E-3</v>
      </c>
      <c r="G73" s="2">
        <f t="shared" si="3"/>
        <v>3.3655765165735652E-2</v>
      </c>
      <c r="H73" s="2" t="str">
        <f t="shared" si="4"/>
        <v>Sell</v>
      </c>
    </row>
    <row r="74" spans="1:8" ht="13.5" x14ac:dyDescent="0.25">
      <c r="A74" s="3">
        <f>TITRES_STAT!B77</f>
        <v>45023</v>
      </c>
      <c r="B74" s="5">
        <f>TITRES_STAT!D77</f>
        <v>5.3940000000000001</v>
      </c>
      <c r="C74" s="2">
        <f t="shared" si="0"/>
        <v>5.3414536886455393</v>
      </c>
      <c r="D74" s="2">
        <f t="shared" si="2"/>
        <v>5.3135317085337217</v>
      </c>
      <c r="E74" s="2">
        <f t="shared" si="1"/>
        <v>2.7921980111817568E-2</v>
      </c>
      <c r="F74" s="2">
        <f t="shared" si="5"/>
        <v>4.7587842542407468E-3</v>
      </c>
      <c r="G74" s="2">
        <f t="shared" si="3"/>
        <v>2.316319585757682E-2</v>
      </c>
      <c r="H74" s="2" t="str">
        <f t="shared" si="4"/>
        <v>Sell</v>
      </c>
    </row>
    <row r="75" spans="1:8" ht="13.5" x14ac:dyDescent="0.25">
      <c r="A75" s="3">
        <f>TITRES_STAT!B78</f>
        <v>45026</v>
      </c>
      <c r="B75" s="5">
        <f>TITRES_STAT!D78</f>
        <v>5.4359999999999999</v>
      </c>
      <c r="C75" s="2">
        <f t="shared" si="0"/>
        <v>5.3390761980846868</v>
      </c>
      <c r="D75" s="2">
        <f t="shared" si="2"/>
        <v>5.3226034338275205</v>
      </c>
      <c r="E75" s="2">
        <f t="shared" si="1"/>
        <v>1.6472764257166261E-2</v>
      </c>
      <c r="F75" s="2">
        <f t="shared" si="5"/>
        <v>7.1015802548258502E-3</v>
      </c>
      <c r="G75" s="2">
        <f t="shared" si="3"/>
        <v>9.3711840023404103E-3</v>
      </c>
      <c r="H75" s="2" t="str">
        <f t="shared" si="4"/>
        <v>Sell</v>
      </c>
    </row>
    <row r="76" spans="1:8" ht="13.5" x14ac:dyDescent="0.25">
      <c r="A76" s="3">
        <f>TITRES_STAT!B79</f>
        <v>45027</v>
      </c>
      <c r="B76" s="5">
        <f>TITRES_STAT!D79</f>
        <v>5.5129999999999999</v>
      </c>
      <c r="C76" s="2">
        <f t="shared" si="0"/>
        <v>5.333064475302427</v>
      </c>
      <c r="D76" s="2">
        <f t="shared" si="2"/>
        <v>5.3367068831736306</v>
      </c>
      <c r="E76" s="2">
        <f t="shared" si="1"/>
        <v>-3.6424078712036234E-3</v>
      </c>
      <c r="F76" s="2">
        <f t="shared" si="5"/>
        <v>4.9527826296199553E-3</v>
      </c>
      <c r="G76" s="2">
        <f t="shared" si="3"/>
        <v>-8.5951905008235796E-3</v>
      </c>
      <c r="H76" s="2" t="str">
        <f t="shared" si="4"/>
        <v>Hold</v>
      </c>
    </row>
    <row r="77" spans="1:8" ht="13.5" x14ac:dyDescent="0.25">
      <c r="A77" s="3">
        <f>TITRES_STAT!B80</f>
        <v>45028</v>
      </c>
      <c r="B77" s="5">
        <f>TITRES_STAT!D80</f>
        <v>5.4960000000000004</v>
      </c>
      <c r="C77" s="2">
        <f t="shared" si="0"/>
        <v>5.3253622483328229</v>
      </c>
      <c r="D77" s="2">
        <f t="shared" si="2"/>
        <v>5.3485063733089175</v>
      </c>
      <c r="E77" s="2">
        <f t="shared" si="1"/>
        <v>-2.3144124976094638E-2</v>
      </c>
      <c r="F77" s="2">
        <f t="shared" si="5"/>
        <v>-6.6659889152296311E-4</v>
      </c>
      <c r="G77" s="2">
        <f t="shared" si="3"/>
        <v>-2.2477526084571674E-2</v>
      </c>
      <c r="H77" s="2" t="str">
        <f t="shared" si="4"/>
        <v>Hold</v>
      </c>
    </row>
    <row r="78" spans="1:8" ht="13.5" x14ac:dyDescent="0.25">
      <c r="A78" s="3">
        <f>TITRES_STAT!B81</f>
        <v>45029</v>
      </c>
      <c r="B78" s="5">
        <f>TITRES_STAT!D81</f>
        <v>5.4960000000000004</v>
      </c>
      <c r="C78" s="2">
        <f t="shared" si="0"/>
        <v>5.324075748589312</v>
      </c>
      <c r="D78" s="2">
        <f t="shared" si="2"/>
        <v>5.3594318271378869</v>
      </c>
      <c r="E78" s="2">
        <f t="shared" si="1"/>
        <v>-3.5356078548574921E-2</v>
      </c>
      <c r="F78" s="2">
        <f t="shared" si="5"/>
        <v>-7.604494822933355E-3</v>
      </c>
      <c r="G78" s="2">
        <f t="shared" si="3"/>
        <v>-2.7751583725641564E-2</v>
      </c>
      <c r="H78" s="2" t="str">
        <f t="shared" si="4"/>
        <v>Hold</v>
      </c>
    </row>
    <row r="79" spans="1:8" ht="13.5" x14ac:dyDescent="0.25">
      <c r="A79" s="3">
        <f>TITRES_STAT!B82</f>
        <v>45030</v>
      </c>
      <c r="B79" s="5">
        <f>TITRES_STAT!D82</f>
        <v>5.47</v>
      </c>
      <c r="C79" s="2">
        <f t="shared" ref="C79:C142" si="6">$C$4*B69+C78*(1-$C$4)</f>
        <v>5.3282179411140334</v>
      </c>
      <c r="D79" s="2">
        <f t="shared" si="2"/>
        <v>5.3676220621647097</v>
      </c>
      <c r="E79" s="2">
        <f t="shared" si="1"/>
        <v>-3.9404121050676366E-2</v>
      </c>
      <c r="F79" s="2">
        <f t="shared" si="5"/>
        <v>-1.3964420068481958E-2</v>
      </c>
      <c r="G79" s="2">
        <f t="shared" si="3"/>
        <v>-2.5439700982194408E-2</v>
      </c>
      <c r="H79" s="2" t="str">
        <f t="shared" si="4"/>
        <v>Hold</v>
      </c>
    </row>
    <row r="80" spans="1:8" ht="13.5" x14ac:dyDescent="0.25">
      <c r="A80" s="3">
        <f>TITRES_STAT!B83</f>
        <v>45033</v>
      </c>
      <c r="B80" s="5">
        <f>TITRES_STAT!D83</f>
        <v>5.47</v>
      </c>
      <c r="C80" s="2">
        <f t="shared" si="6"/>
        <v>5.3317228732503361</v>
      </c>
      <c r="D80" s="2">
        <f t="shared" si="2"/>
        <v>5.3752056131154715</v>
      </c>
      <c r="E80" s="2">
        <f t="shared" si="1"/>
        <v>-4.34827398651354E-2</v>
      </c>
      <c r="F80" s="2">
        <f t="shared" si="5"/>
        <v>-1.9868084027812649E-2</v>
      </c>
      <c r="G80" s="2">
        <f t="shared" si="3"/>
        <v>-2.3614655837322751E-2</v>
      </c>
      <c r="H80" s="2" t="str">
        <f t="shared" si="4"/>
        <v>Hold</v>
      </c>
    </row>
    <row r="81" spans="1:8" ht="13.5" x14ac:dyDescent="0.25">
      <c r="A81" s="3">
        <f>TITRES_STAT!B84</f>
        <v>45034</v>
      </c>
      <c r="B81" s="5">
        <f>TITRES_STAT!D84</f>
        <v>5.47</v>
      </c>
      <c r="C81" s="2">
        <f t="shared" si="6"/>
        <v>5.3346885850579771</v>
      </c>
      <c r="D81" s="2">
        <f t="shared" si="2"/>
        <v>5.382227419551362</v>
      </c>
      <c r="E81" s="2">
        <f t="shared" si="1"/>
        <v>-4.7538834493384918E-2</v>
      </c>
      <c r="F81" s="2">
        <f t="shared" si="5"/>
        <v>-2.5402234120927104E-2</v>
      </c>
      <c r="G81" s="2">
        <f t="shared" si="3"/>
        <v>-2.2136600372457814E-2</v>
      </c>
      <c r="H81" s="2" t="str">
        <f t="shared" si="4"/>
        <v>Hold</v>
      </c>
    </row>
    <row r="82" spans="1:8" ht="13.5" x14ac:dyDescent="0.25">
      <c r="A82" s="3">
        <f>TITRES_STAT!B85</f>
        <v>45035</v>
      </c>
      <c r="B82" s="5">
        <f>TITRES_STAT!D85</f>
        <v>5.47</v>
      </c>
      <c r="C82" s="2">
        <f t="shared" si="6"/>
        <v>5.337198033510596</v>
      </c>
      <c r="D82" s="2">
        <f t="shared" si="2"/>
        <v>5.3887290921771864</v>
      </c>
      <c r="E82" s="2">
        <f t="shared" si="1"/>
        <v>-5.1531058666590468E-2</v>
      </c>
      <c r="F82" s="2">
        <f t="shared" si="5"/>
        <v>-3.0627999030059777E-2</v>
      </c>
      <c r="G82" s="2">
        <f t="shared" si="3"/>
        <v>-2.0903059636530691E-2</v>
      </c>
      <c r="H82" s="2" t="str">
        <f t="shared" si="4"/>
        <v>Hold</v>
      </c>
    </row>
    <row r="83" spans="1:8" ht="13.5" x14ac:dyDescent="0.25">
      <c r="A83" s="3">
        <f>TITRES_STAT!B86</f>
        <v>45036</v>
      </c>
      <c r="B83" s="5">
        <f>TITRES_STAT!D86</f>
        <v>5.47</v>
      </c>
      <c r="C83" s="2">
        <f t="shared" si="6"/>
        <v>5.3459367975858889</v>
      </c>
      <c r="D83" s="2">
        <f t="shared" si="2"/>
        <v>5.3947491594233208</v>
      </c>
      <c r="E83" s="2">
        <f t="shared" si="1"/>
        <v>-4.8812361837431872E-2</v>
      </c>
      <c r="F83" s="2">
        <f t="shared" si="5"/>
        <v>-3.4264871591534199E-2</v>
      </c>
      <c r="G83" s="2">
        <f t="shared" si="3"/>
        <v>-1.4547490245897673E-2</v>
      </c>
      <c r="H83" s="2" t="str">
        <f t="shared" si="4"/>
        <v>Hold</v>
      </c>
    </row>
    <row r="84" spans="1:8" ht="13.5" x14ac:dyDescent="0.25">
      <c r="A84" s="3">
        <f>TITRES_STAT!B87</f>
        <v>45040</v>
      </c>
      <c r="B84" s="5">
        <f>TITRES_STAT!D87</f>
        <v>5.4619999999999997</v>
      </c>
      <c r="C84" s="2">
        <f t="shared" si="6"/>
        <v>5.353331136418829</v>
      </c>
      <c r="D84" s="2">
        <f t="shared" si="2"/>
        <v>5.3997307031697419</v>
      </c>
      <c r="E84" s="2">
        <f t="shared" si="1"/>
        <v>-4.6399566750912946E-2</v>
      </c>
      <c r="F84" s="2">
        <f t="shared" si="5"/>
        <v>-3.6691810623409954E-2</v>
      </c>
      <c r="G84" s="2">
        <f t="shared" si="3"/>
        <v>-9.7077561275029922E-3</v>
      </c>
      <c r="H84" s="2" t="str">
        <f t="shared" si="4"/>
        <v>Hold</v>
      </c>
    </row>
    <row r="85" spans="1:8" ht="13.5" x14ac:dyDescent="0.25">
      <c r="A85" s="3">
        <f>TITRES_STAT!B88</f>
        <v>45041</v>
      </c>
      <c r="B85" s="5">
        <f>TITRES_STAT!D88</f>
        <v>5.4619999999999997</v>
      </c>
      <c r="C85" s="2">
        <f t="shared" si="6"/>
        <v>5.3660494231236244</v>
      </c>
      <c r="D85" s="2">
        <f t="shared" si="2"/>
        <v>5.4043432436756875</v>
      </c>
      <c r="E85" s="2">
        <f t="shared" si="1"/>
        <v>-3.8293820552063096E-2</v>
      </c>
      <c r="F85" s="2">
        <f t="shared" si="5"/>
        <v>-3.7012212609140588E-2</v>
      </c>
      <c r="G85" s="2">
        <f t="shared" si="3"/>
        <v>-1.281607942922508E-3</v>
      </c>
      <c r="H85" s="2" t="str">
        <f t="shared" si="4"/>
        <v>Hold</v>
      </c>
    </row>
    <row r="86" spans="1:8" ht="13.5" x14ac:dyDescent="0.25">
      <c r="A86" s="3">
        <f>TITRES_STAT!B89</f>
        <v>45042</v>
      </c>
      <c r="B86" s="5">
        <f>TITRES_STAT!D89</f>
        <v>5.4530000000000003</v>
      </c>
      <c r="C86" s="2">
        <f t="shared" si="6"/>
        <v>5.3886572041815288</v>
      </c>
      <c r="D86" s="2">
        <f t="shared" si="2"/>
        <v>5.4079474478478593</v>
      </c>
      <c r="E86" s="2">
        <f t="shared" si="1"/>
        <v>-1.9290243666330475E-2</v>
      </c>
      <c r="F86" s="2">
        <f t="shared" si="5"/>
        <v>-3.3467818820578567E-2</v>
      </c>
      <c r="G86" s="2">
        <f t="shared" si="3"/>
        <v>1.4177575154248091E-2</v>
      </c>
      <c r="H86" s="2" t="str">
        <f t="shared" si="4"/>
        <v>Sell</v>
      </c>
    </row>
    <row r="87" spans="1:8" ht="13.5" x14ac:dyDescent="0.25">
      <c r="A87" s="3">
        <f>TITRES_STAT!B90</f>
        <v>45043</v>
      </c>
      <c r="B87" s="5">
        <f>TITRES_STAT!D90</f>
        <v>5.4530000000000003</v>
      </c>
      <c r="C87" s="2">
        <f t="shared" si="6"/>
        <v>5.405171480461294</v>
      </c>
      <c r="D87" s="2">
        <f t="shared" si="2"/>
        <v>5.4112846739332037</v>
      </c>
      <c r="E87" s="2">
        <f t="shared" si="1"/>
        <v>-6.1131934719096392E-3</v>
      </c>
      <c r="F87" s="2">
        <f t="shared" si="5"/>
        <v>-2.7996893750844784E-2</v>
      </c>
      <c r="G87" s="2">
        <f t="shared" si="3"/>
        <v>2.1883700278935145E-2</v>
      </c>
      <c r="H87" s="2" t="str">
        <f t="shared" si="4"/>
        <v>Sell</v>
      </c>
    </row>
    <row r="88" spans="1:8" ht="13.5" x14ac:dyDescent="0.25">
      <c r="A88" s="3">
        <f>TITRES_STAT!B91</f>
        <v>45044</v>
      </c>
      <c r="B88" s="5">
        <f>TITRES_STAT!D91</f>
        <v>5.4359999999999999</v>
      </c>
      <c r="C88" s="2">
        <f t="shared" si="6"/>
        <v>5.4191450988518648</v>
      </c>
      <c r="D88" s="2">
        <f t="shared" si="2"/>
        <v>5.4131154388270408</v>
      </c>
      <c r="E88" s="2">
        <f t="shared" si="1"/>
        <v>6.0296600248239685E-3</v>
      </c>
      <c r="F88" s="2">
        <f t="shared" si="5"/>
        <v>-2.1191582995711035E-2</v>
      </c>
      <c r="G88" s="2">
        <f t="shared" si="3"/>
        <v>2.7221243020535003E-2</v>
      </c>
      <c r="H88" s="2" t="str">
        <f t="shared" si="4"/>
        <v>Sell</v>
      </c>
    </row>
    <row r="89" spans="1:8" ht="13.5" x14ac:dyDescent="0.25">
      <c r="A89" s="3">
        <f>TITRES_STAT!B92</f>
        <v>45048</v>
      </c>
      <c r="B89" s="5">
        <f>TITRES_STAT!D92</f>
        <v>5.4359999999999999</v>
      </c>
      <c r="C89" s="2">
        <f t="shared" si="6"/>
        <v>5.4269689297977317</v>
      </c>
      <c r="D89" s="2">
        <f t="shared" si="2"/>
        <v>5.4148105915065194</v>
      </c>
      <c r="E89" s="2">
        <f t="shared" si="1"/>
        <v>1.2158338291212267E-2</v>
      </c>
      <c r="F89" s="2">
        <f t="shared" si="5"/>
        <v>-1.4521598738326374E-2</v>
      </c>
      <c r="G89" s="2">
        <f t="shared" si="3"/>
        <v>2.6679937029538643E-2</v>
      </c>
      <c r="H89" s="2" t="str">
        <f t="shared" si="4"/>
        <v>Sell</v>
      </c>
    </row>
    <row r="90" spans="1:8" ht="13.5" x14ac:dyDescent="0.25">
      <c r="A90" s="3">
        <f>TITRES_STAT!B93</f>
        <v>45049</v>
      </c>
      <c r="B90" s="5">
        <f>TITRES_STAT!D93</f>
        <v>5.4189999999999996</v>
      </c>
      <c r="C90" s="2">
        <f t="shared" si="6"/>
        <v>5.4335890944442342</v>
      </c>
      <c r="D90" s="2">
        <f t="shared" si="2"/>
        <v>5.415120918061592</v>
      </c>
      <c r="E90" s="2">
        <f t="shared" si="1"/>
        <v>1.8468176382642199E-2</v>
      </c>
      <c r="F90" s="2">
        <f t="shared" si="5"/>
        <v>-7.9236437141326603E-3</v>
      </c>
      <c r="G90" s="2">
        <f t="shared" si="3"/>
        <v>2.6391820096774859E-2</v>
      </c>
      <c r="H90" s="2" t="str">
        <f t="shared" si="4"/>
        <v>Sell</v>
      </c>
    </row>
    <row r="91" spans="1:8" ht="13.5" x14ac:dyDescent="0.25">
      <c r="A91" s="3">
        <f>TITRES_STAT!B94</f>
        <v>45050</v>
      </c>
      <c r="B91" s="5">
        <f>TITRES_STAT!D94</f>
        <v>5.5209999999999999</v>
      </c>
      <c r="C91" s="2">
        <f t="shared" si="6"/>
        <v>5.4391907722220445</v>
      </c>
      <c r="D91" s="2">
        <f t="shared" si="2"/>
        <v>5.422963813019992</v>
      </c>
      <c r="E91" s="2">
        <f t="shared" si="1"/>
        <v>1.6226959202052527E-2</v>
      </c>
      <c r="F91" s="2">
        <f t="shared" si="5"/>
        <v>-3.0935231308956233E-3</v>
      </c>
      <c r="G91" s="2">
        <f t="shared" si="3"/>
        <v>1.9320482332948148E-2</v>
      </c>
      <c r="H91" s="2" t="str">
        <f t="shared" si="4"/>
        <v>Sell</v>
      </c>
    </row>
    <row r="92" spans="1:8" ht="13.5" x14ac:dyDescent="0.25">
      <c r="A92" s="3">
        <f>TITRES_STAT!B95</f>
        <v>45051</v>
      </c>
      <c r="B92" s="5">
        <f>TITRES_STAT!D95</f>
        <v>5.5209999999999999</v>
      </c>
      <c r="C92" s="2">
        <f t="shared" si="6"/>
        <v>5.4439306534186533</v>
      </c>
      <c r="D92" s="2">
        <f t="shared" si="2"/>
        <v>5.4302257527962885</v>
      </c>
      <c r="E92" s="2">
        <f t="shared" ref="E92:E155" si="7">C92-D92</f>
        <v>1.3704900622364846E-2</v>
      </c>
      <c r="F92" s="2">
        <f t="shared" si="5"/>
        <v>2.6616161975647054E-4</v>
      </c>
      <c r="G92" s="2">
        <f t="shared" si="3"/>
        <v>1.3438739002608375E-2</v>
      </c>
      <c r="H92" s="2" t="str">
        <f t="shared" si="4"/>
        <v>Sell</v>
      </c>
    </row>
    <row r="93" spans="1:8" ht="13.5" x14ac:dyDescent="0.25">
      <c r="A93" s="3">
        <f>TITRES_STAT!B96</f>
        <v>45054</v>
      </c>
      <c r="B93" s="5">
        <f>TITRES_STAT!D96</f>
        <v>5.5209999999999999</v>
      </c>
      <c r="C93" s="2">
        <f t="shared" si="6"/>
        <v>5.4479413221234756</v>
      </c>
      <c r="D93" s="2">
        <f t="shared" ref="D93:D156" si="8">$D$4*B93+(1-$D$4)*D92</f>
        <v>5.436949771107674</v>
      </c>
      <c r="E93" s="2">
        <f t="shared" si="7"/>
        <v>1.0991551015801626E-2</v>
      </c>
      <c r="F93" s="2">
        <f t="shared" si="5"/>
        <v>2.4112394989655016E-3</v>
      </c>
      <c r="G93" s="2">
        <f t="shared" si="3"/>
        <v>8.5803115168361244E-3</v>
      </c>
      <c r="H93" s="2" t="str">
        <f t="shared" si="4"/>
        <v>Sell</v>
      </c>
    </row>
    <row r="94" spans="1:8" ht="13.5" x14ac:dyDescent="0.25">
      <c r="A94" s="3">
        <f>TITRES_STAT!B97</f>
        <v>45055</v>
      </c>
      <c r="B94" s="5">
        <f>TITRES_STAT!D97</f>
        <v>5.5209999999999999</v>
      </c>
      <c r="C94" s="2">
        <f t="shared" si="6"/>
        <v>5.4501041956429406</v>
      </c>
      <c r="D94" s="2">
        <f t="shared" si="8"/>
        <v>5.4431757139885866</v>
      </c>
      <c r="E94" s="2">
        <f t="shared" si="7"/>
        <v>6.9284816543540018E-3</v>
      </c>
      <c r="F94" s="2">
        <f t="shared" si="5"/>
        <v>3.3146879300432019E-3</v>
      </c>
      <c r="G94" s="2">
        <f t="shared" si="3"/>
        <v>3.6137937243107998E-3</v>
      </c>
      <c r="H94" s="2" t="str">
        <f t="shared" si="4"/>
        <v>Sell</v>
      </c>
    </row>
    <row r="95" spans="1:8" ht="13.5" x14ac:dyDescent="0.25">
      <c r="A95" s="3">
        <f>TITRES_STAT!B98</f>
        <v>45056</v>
      </c>
      <c r="B95" s="5">
        <f>TITRES_STAT!D98</f>
        <v>5.5469999999999997</v>
      </c>
      <c r="C95" s="2">
        <f t="shared" si="6"/>
        <v>5.4519343193901806</v>
      </c>
      <c r="D95" s="2">
        <f t="shared" si="8"/>
        <v>5.4508664018412833</v>
      </c>
      <c r="E95" s="2">
        <f t="shared" si="7"/>
        <v>1.0679175488972348E-3</v>
      </c>
      <c r="F95" s="2">
        <f t="shared" si="5"/>
        <v>2.8653338538140085E-3</v>
      </c>
      <c r="G95" s="2">
        <f t="shared" si="3"/>
        <v>-1.7974163049167737E-3</v>
      </c>
      <c r="H95" s="2" t="str">
        <f t="shared" si="4"/>
        <v>Hold</v>
      </c>
    </row>
    <row r="96" spans="1:8" ht="13.5" x14ac:dyDescent="0.25">
      <c r="A96" s="3">
        <f>TITRES_STAT!B99</f>
        <v>45057</v>
      </c>
      <c r="B96" s="5">
        <f>TITRES_STAT!D99</f>
        <v>5.5549999999999997</v>
      </c>
      <c r="C96" s="2">
        <f t="shared" si="6"/>
        <v>5.4520982702532299</v>
      </c>
      <c r="D96" s="2">
        <f t="shared" si="8"/>
        <v>5.4585800017048918</v>
      </c>
      <c r="E96" s="2">
        <f t="shared" si="7"/>
        <v>-6.4817314516618652E-3</v>
      </c>
      <c r="F96" s="2">
        <f t="shared" si="5"/>
        <v>9.9592079271883368E-4</v>
      </c>
      <c r="G96" s="2">
        <f t="shared" si="3"/>
        <v>-7.4776522443806993E-3</v>
      </c>
      <c r="H96" s="2" t="str">
        <f t="shared" si="4"/>
        <v>Hold</v>
      </c>
    </row>
    <row r="97" spans="1:8" ht="13.5" x14ac:dyDescent="0.25">
      <c r="A97" s="3">
        <f>TITRES_STAT!B100</f>
        <v>45058</v>
      </c>
      <c r="B97" s="5">
        <f>TITRES_STAT!D100</f>
        <v>5.5640000000000001</v>
      </c>
      <c r="C97" s="2">
        <f t="shared" si="6"/>
        <v>5.4522369979065797</v>
      </c>
      <c r="D97" s="2">
        <f t="shared" si="8"/>
        <v>5.466388890467492</v>
      </c>
      <c r="E97" s="2">
        <f t="shared" si="7"/>
        <v>-1.4151892560912316E-2</v>
      </c>
      <c r="F97" s="2">
        <f t="shared" si="5"/>
        <v>-2.033641878007396E-3</v>
      </c>
      <c r="G97" s="2">
        <f t="shared" si="3"/>
        <v>-1.2118250682904921E-2</v>
      </c>
      <c r="H97" s="2" t="str">
        <f t="shared" si="4"/>
        <v>Hold</v>
      </c>
    </row>
    <row r="98" spans="1:8" ht="13.5" x14ac:dyDescent="0.25">
      <c r="A98" s="3">
        <f>TITRES_STAT!B101</f>
        <v>45061</v>
      </c>
      <c r="B98" s="5">
        <f>TITRES_STAT!D101</f>
        <v>5.5640000000000001</v>
      </c>
      <c r="C98" s="2">
        <f t="shared" si="6"/>
        <v>5.4497389982286446</v>
      </c>
      <c r="D98" s="2">
        <f t="shared" si="8"/>
        <v>5.4736193430254554</v>
      </c>
      <c r="E98" s="2">
        <f t="shared" si="7"/>
        <v>-2.3880344796810782E-2</v>
      </c>
      <c r="F98" s="2">
        <f t="shared" si="5"/>
        <v>-6.4029824617680741E-3</v>
      </c>
      <c r="G98" s="2">
        <f t="shared" si="3"/>
        <v>-1.7477362335042709E-2</v>
      </c>
      <c r="H98" s="2" t="str">
        <f t="shared" si="4"/>
        <v>Hold</v>
      </c>
    </row>
    <row r="99" spans="1:8" ht="13.5" x14ac:dyDescent="0.25">
      <c r="A99" s="3">
        <f>TITRES_STAT!B102</f>
        <v>45062</v>
      </c>
      <c r="B99" s="5">
        <f>TITRES_STAT!D102</f>
        <v>5.5890000000000004</v>
      </c>
      <c r="C99" s="2">
        <f t="shared" si="6"/>
        <v>5.4476253061934692</v>
      </c>
      <c r="D99" s="2">
        <f t="shared" si="8"/>
        <v>5.4821660583569027</v>
      </c>
      <c r="E99" s="2">
        <f t="shared" si="7"/>
        <v>-3.4540752163433552E-2</v>
      </c>
      <c r="F99" s="2">
        <f t="shared" si="5"/>
        <v>-1.203053640210117E-2</v>
      </c>
      <c r="G99" s="2">
        <f t="shared" si="3"/>
        <v>-2.2510215761332383E-2</v>
      </c>
      <c r="H99" s="2" t="str">
        <f t="shared" si="4"/>
        <v>Hold</v>
      </c>
    </row>
    <row r="100" spans="1:8" ht="13.5" x14ac:dyDescent="0.25">
      <c r="A100" s="3">
        <f>TITRES_STAT!B103</f>
        <v>45063</v>
      </c>
      <c r="B100" s="5">
        <f>TITRES_STAT!D103</f>
        <v>5.5979999999999999</v>
      </c>
      <c r="C100" s="2">
        <f t="shared" si="6"/>
        <v>5.4432214129329353</v>
      </c>
      <c r="D100" s="2">
        <f t="shared" si="8"/>
        <v>5.4907463503304648</v>
      </c>
      <c r="E100" s="2">
        <f t="shared" si="7"/>
        <v>-4.7524937397529499E-2</v>
      </c>
      <c r="F100" s="2">
        <f t="shared" si="5"/>
        <v>-1.9129416601186836E-2</v>
      </c>
      <c r="G100" s="2">
        <f t="shared" ref="G100:G163" si="9">E100-F100</f>
        <v>-2.8395520796342662E-2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45064</v>
      </c>
      <c r="B101" s="5">
        <f>TITRES_STAT!D104</f>
        <v>5.5890000000000004</v>
      </c>
      <c r="C101" s="2">
        <f t="shared" si="6"/>
        <v>5.4551873494047918</v>
      </c>
      <c r="D101" s="2">
        <f t="shared" si="8"/>
        <v>5.4980243984541337</v>
      </c>
      <c r="E101" s="2">
        <f t="shared" si="7"/>
        <v>-4.2837049049341935E-2</v>
      </c>
      <c r="F101" s="2">
        <f t="shared" ref="F101:F164" si="11">(E101*(2/(10)))+((1-(2/10))*F100)</f>
        <v>-2.3870943090817859E-2</v>
      </c>
      <c r="G101" s="2">
        <f t="shared" si="9"/>
        <v>-1.8966105958524077E-2</v>
      </c>
      <c r="H101" s="2" t="str">
        <f t="shared" si="10"/>
        <v>Hold</v>
      </c>
    </row>
    <row r="102" spans="1:8" ht="13.5" x14ac:dyDescent="0.25">
      <c r="A102" s="3">
        <f>TITRES_STAT!B105</f>
        <v>45065</v>
      </c>
      <c r="B102" s="5">
        <f>TITRES_STAT!D105</f>
        <v>5.5810000000000004</v>
      </c>
      <c r="C102" s="2">
        <f t="shared" si="6"/>
        <v>5.4653123725732851</v>
      </c>
      <c r="D102" s="2">
        <f t="shared" si="8"/>
        <v>5.5041707393093837</v>
      </c>
      <c r="E102" s="2">
        <f t="shared" si="7"/>
        <v>-3.885836673609866E-2</v>
      </c>
      <c r="F102" s="2">
        <f t="shared" si="11"/>
        <v>-2.686842781987402E-2</v>
      </c>
      <c r="G102" s="2">
        <f t="shared" si="9"/>
        <v>-1.198993891622464E-2</v>
      </c>
      <c r="H102" s="2" t="str">
        <f t="shared" si="10"/>
        <v>Hold</v>
      </c>
    </row>
    <row r="103" spans="1:8" ht="13.5" x14ac:dyDescent="0.25">
      <c r="A103" s="3">
        <f>TITRES_STAT!B106</f>
        <v>45068</v>
      </c>
      <c r="B103" s="5">
        <f>TITRES_STAT!D106</f>
        <v>5.6059999999999999</v>
      </c>
      <c r="C103" s="2">
        <f t="shared" si="6"/>
        <v>5.4738796998697019</v>
      </c>
      <c r="D103" s="2">
        <f t="shared" si="8"/>
        <v>5.5117136475086888</v>
      </c>
      <c r="E103" s="2">
        <f t="shared" si="7"/>
        <v>-3.7833947638986842E-2</v>
      </c>
      <c r="F103" s="2">
        <f t="shared" si="11"/>
        <v>-2.9061531783696585E-2</v>
      </c>
      <c r="G103" s="2">
        <f t="shared" si="9"/>
        <v>-8.7724158552902574E-3</v>
      </c>
      <c r="H103" s="2" t="str">
        <f t="shared" si="10"/>
        <v>Hold</v>
      </c>
    </row>
    <row r="104" spans="1:8" ht="13.5" x14ac:dyDescent="0.25">
      <c r="A104" s="3">
        <f>TITRES_STAT!B107</f>
        <v>45069</v>
      </c>
      <c r="B104" s="5">
        <f>TITRES_STAT!D107</f>
        <v>5.6059999999999999</v>
      </c>
      <c r="C104" s="2">
        <f t="shared" si="6"/>
        <v>5.4811289768128244</v>
      </c>
      <c r="D104" s="2">
        <f t="shared" si="8"/>
        <v>5.5186978217673044</v>
      </c>
      <c r="E104" s="2">
        <f t="shared" si="7"/>
        <v>-3.7568844954479985E-2</v>
      </c>
      <c r="F104" s="2">
        <f t="shared" si="11"/>
        <v>-3.0762994417853268E-2</v>
      </c>
      <c r="G104" s="2">
        <f t="shared" si="9"/>
        <v>-6.8058505366267175E-3</v>
      </c>
      <c r="H104" s="2" t="str">
        <f t="shared" si="10"/>
        <v>Hold</v>
      </c>
    </row>
    <row r="105" spans="1:8" ht="13.5" x14ac:dyDescent="0.25">
      <c r="A105" s="3">
        <f>TITRES_STAT!B108</f>
        <v>45070</v>
      </c>
      <c r="B105" s="5">
        <f>TITRES_STAT!D108</f>
        <v>5.657</v>
      </c>
      <c r="C105" s="2">
        <f t="shared" si="6"/>
        <v>5.4912629803800819</v>
      </c>
      <c r="D105" s="2">
        <f t="shared" si="8"/>
        <v>5.5289424275623187</v>
      </c>
      <c r="E105" s="2">
        <f t="shared" si="7"/>
        <v>-3.7679447182236814E-2</v>
      </c>
      <c r="F105" s="2">
        <f t="shared" si="11"/>
        <v>-3.214628497072998E-2</v>
      </c>
      <c r="G105" s="2">
        <f t="shared" si="9"/>
        <v>-5.5331622115068341E-3</v>
      </c>
      <c r="H105" s="2" t="str">
        <f t="shared" si="10"/>
        <v>Hold</v>
      </c>
    </row>
    <row r="106" spans="1:8" ht="13.5" x14ac:dyDescent="0.25">
      <c r="A106" s="3">
        <f>TITRES_STAT!B109</f>
        <v>45071</v>
      </c>
      <c r="B106" s="5">
        <f>TITRES_STAT!D109</f>
        <v>5.665</v>
      </c>
      <c r="C106" s="2">
        <f t="shared" si="6"/>
        <v>5.5010686757062235</v>
      </c>
      <c r="D106" s="2">
        <f t="shared" si="8"/>
        <v>5.5390207662614062</v>
      </c>
      <c r="E106" s="2">
        <f t="shared" si="7"/>
        <v>-3.7952090555182671E-2</v>
      </c>
      <c r="F106" s="2">
        <f t="shared" si="11"/>
        <v>-3.3307446087620519E-2</v>
      </c>
      <c r="G106" s="2">
        <f t="shared" si="9"/>
        <v>-4.644644467562152E-3</v>
      </c>
      <c r="H106" s="2" t="str">
        <f t="shared" si="10"/>
        <v>Hold</v>
      </c>
    </row>
    <row r="107" spans="1:8" ht="13.5" x14ac:dyDescent="0.25">
      <c r="A107" s="3">
        <f>TITRES_STAT!B110</f>
        <v>45072</v>
      </c>
      <c r="B107" s="5">
        <f>TITRES_STAT!D110</f>
        <v>5.6479999999999997</v>
      </c>
      <c r="C107" s="2">
        <f t="shared" si="6"/>
        <v>5.5107504179052658</v>
      </c>
      <c r="D107" s="2">
        <f t="shared" si="8"/>
        <v>5.5470933020938942</v>
      </c>
      <c r="E107" s="2">
        <f t="shared" si="7"/>
        <v>-3.634288418862841E-2</v>
      </c>
      <c r="F107" s="2">
        <f t="shared" si="11"/>
        <v>-3.3914533707822103E-2</v>
      </c>
      <c r="G107" s="2">
        <f t="shared" si="9"/>
        <v>-2.4283504808063072E-3</v>
      </c>
      <c r="H107" s="2" t="str">
        <f t="shared" si="10"/>
        <v>Hold</v>
      </c>
    </row>
    <row r="108" spans="1:8" ht="13.5" x14ac:dyDescent="0.25">
      <c r="A108" s="3">
        <f>TITRES_STAT!B111</f>
        <v>45075</v>
      </c>
      <c r="B108" s="5">
        <f>TITRES_STAT!D111</f>
        <v>5.8689999999999998</v>
      </c>
      <c r="C108" s="2">
        <f t="shared" si="6"/>
        <v>5.5189426613044557</v>
      </c>
      <c r="D108" s="2">
        <f t="shared" si="8"/>
        <v>5.5709382426795315</v>
      </c>
      <c r="E108" s="2">
        <f t="shared" si="7"/>
        <v>-5.1995581375075872E-2</v>
      </c>
      <c r="F108" s="2">
        <f t="shared" si="11"/>
        <v>-3.7530743241272861E-2</v>
      </c>
      <c r="G108" s="2">
        <f t="shared" si="9"/>
        <v>-1.4464838133803011E-2</v>
      </c>
      <c r="H108" s="2" t="str">
        <f t="shared" si="10"/>
        <v>Hold</v>
      </c>
    </row>
    <row r="109" spans="1:8" ht="13.5" x14ac:dyDescent="0.25">
      <c r="A109" s="3">
        <f>TITRES_STAT!B112</f>
        <v>45076</v>
      </c>
      <c r="B109" s="5">
        <f>TITRES_STAT!D112</f>
        <v>5.827</v>
      </c>
      <c r="C109" s="2">
        <f t="shared" si="6"/>
        <v>5.5297207134114625</v>
      </c>
      <c r="D109" s="2">
        <f t="shared" si="8"/>
        <v>5.5899057802588255</v>
      </c>
      <c r="E109" s="2">
        <f t="shared" si="7"/>
        <v>-6.0185066847362911E-2</v>
      </c>
      <c r="F109" s="2">
        <f t="shared" si="11"/>
        <v>-4.2061607962490873E-2</v>
      </c>
      <c r="G109" s="2">
        <f t="shared" si="9"/>
        <v>-1.8123458884872039E-2</v>
      </c>
      <c r="H109" s="2" t="str">
        <f t="shared" si="10"/>
        <v>Hold</v>
      </c>
    </row>
    <row r="110" spans="1:8" ht="13.5" x14ac:dyDescent="0.25">
      <c r="A110" s="3">
        <f>TITRES_STAT!B113</f>
        <v>45077</v>
      </c>
      <c r="B110" s="5">
        <f>TITRES_STAT!D113</f>
        <v>5.9429999999999996</v>
      </c>
      <c r="C110" s="2">
        <f t="shared" si="6"/>
        <v>5.5402252190404688</v>
      </c>
      <c r="D110" s="2">
        <f t="shared" si="8"/>
        <v>5.6160609076470607</v>
      </c>
      <c r="E110" s="2">
        <f t="shared" si="7"/>
        <v>-7.5835688606591845E-2</v>
      </c>
      <c r="F110" s="2">
        <f t="shared" si="11"/>
        <v>-4.8816424091311067E-2</v>
      </c>
      <c r="G110" s="2">
        <f t="shared" si="9"/>
        <v>-2.7019264515280778E-2</v>
      </c>
      <c r="H110" s="2" t="str">
        <f t="shared" si="10"/>
        <v>Hold</v>
      </c>
    </row>
    <row r="111" spans="1:8" ht="13.5" x14ac:dyDescent="0.25">
      <c r="A111" s="3">
        <f>TITRES_STAT!B114</f>
        <v>45078</v>
      </c>
      <c r="B111" s="5">
        <f>TITRES_STAT!D114</f>
        <v>5.8540000000000001</v>
      </c>
      <c r="C111" s="2">
        <f t="shared" si="6"/>
        <v>5.5477290314957814</v>
      </c>
      <c r="D111" s="2">
        <f t="shared" si="8"/>
        <v>5.6336860255991308</v>
      </c>
      <c r="E111" s="2">
        <f t="shared" si="7"/>
        <v>-8.5956994103349338E-2</v>
      </c>
      <c r="F111" s="2">
        <f t="shared" si="11"/>
        <v>-5.6244538093718724E-2</v>
      </c>
      <c r="G111" s="2">
        <f t="shared" si="9"/>
        <v>-2.9712456009630614E-2</v>
      </c>
      <c r="H111" s="2" t="str">
        <f t="shared" si="10"/>
        <v>Hold</v>
      </c>
    </row>
    <row r="112" spans="1:8" ht="13.5" x14ac:dyDescent="0.25">
      <c r="A112" s="3">
        <f>TITRES_STAT!B115</f>
        <v>45079</v>
      </c>
      <c r="B112" s="5">
        <f>TITRES_STAT!D115</f>
        <v>5.9249999999999998</v>
      </c>
      <c r="C112" s="2">
        <f t="shared" si="6"/>
        <v>5.5528476420348927</v>
      </c>
      <c r="D112" s="2">
        <f t="shared" si="8"/>
        <v>5.6552648385177138</v>
      </c>
      <c r="E112" s="2">
        <f t="shared" si="7"/>
        <v>-0.1024171964828211</v>
      </c>
      <c r="F112" s="2">
        <f t="shared" si="11"/>
        <v>-6.5479069771539208E-2</v>
      </c>
      <c r="G112" s="2">
        <f t="shared" si="9"/>
        <v>-3.6938126711281896E-2</v>
      </c>
      <c r="H112" s="2" t="str">
        <f t="shared" si="10"/>
        <v>Hold</v>
      </c>
    </row>
    <row r="113" spans="1:8" ht="13.5" x14ac:dyDescent="0.25">
      <c r="A113" s="3">
        <f>TITRES_STAT!B116</f>
        <v>45082</v>
      </c>
      <c r="B113" s="5">
        <f>TITRES_STAT!D116</f>
        <v>5.899</v>
      </c>
      <c r="C113" s="2">
        <f t="shared" si="6"/>
        <v>5.5610249278756783</v>
      </c>
      <c r="D113" s="2">
        <f t="shared" si="8"/>
        <v>5.6733192949238092</v>
      </c>
      <c r="E113" s="2">
        <f t="shared" si="7"/>
        <v>-0.11229436704813089</v>
      </c>
      <c r="F113" s="2">
        <f t="shared" si="11"/>
        <v>-7.4842129226857554E-2</v>
      </c>
      <c r="G113" s="2">
        <f t="shared" si="9"/>
        <v>-3.745223782127334E-2</v>
      </c>
      <c r="H113" s="2" t="str">
        <f t="shared" si="10"/>
        <v>Hold</v>
      </c>
    </row>
    <row r="114" spans="1:8" ht="13.5" x14ac:dyDescent="0.25">
      <c r="A114" s="3">
        <f>TITRES_STAT!B117</f>
        <v>45083</v>
      </c>
      <c r="B114" s="5">
        <f>TITRES_STAT!D117</f>
        <v>5.97</v>
      </c>
      <c r="C114" s="2">
        <f t="shared" si="6"/>
        <v>5.567944169740958</v>
      </c>
      <c r="D114" s="2">
        <f t="shared" si="8"/>
        <v>5.6952956434479711</v>
      </c>
      <c r="E114" s="2">
        <f t="shared" si="7"/>
        <v>-0.12735147370701316</v>
      </c>
      <c r="F114" s="2">
        <f t="shared" si="11"/>
        <v>-8.5343998122888676E-2</v>
      </c>
      <c r="G114" s="2">
        <f t="shared" si="9"/>
        <v>-4.2007475584124487E-2</v>
      </c>
      <c r="H114" s="2" t="str">
        <f t="shared" si="10"/>
        <v>Hold</v>
      </c>
    </row>
    <row r="115" spans="1:8" ht="13.5" x14ac:dyDescent="0.25">
      <c r="A115" s="3">
        <f>TITRES_STAT!B118</f>
        <v>45084</v>
      </c>
      <c r="B115" s="5">
        <f>TITRES_STAT!D118</f>
        <v>5.9610000000000003</v>
      </c>
      <c r="C115" s="2">
        <f t="shared" si="6"/>
        <v>5.5816450667038877</v>
      </c>
      <c r="D115" s="2">
        <f t="shared" si="8"/>
        <v>5.7149774476370103</v>
      </c>
      <c r="E115" s="2">
        <f t="shared" si="7"/>
        <v>-0.13333238093312261</v>
      </c>
      <c r="F115" s="2">
        <f t="shared" si="11"/>
        <v>-9.4941674684935473E-2</v>
      </c>
      <c r="G115" s="2">
        <f t="shared" si="9"/>
        <v>-3.8390706248187134E-2</v>
      </c>
      <c r="H115" s="2" t="str">
        <f t="shared" si="10"/>
        <v>Hold</v>
      </c>
    </row>
    <row r="116" spans="1:8" ht="13.5" x14ac:dyDescent="0.25">
      <c r="A116" s="3">
        <f>TITRES_STAT!B119</f>
        <v>45085</v>
      </c>
      <c r="B116" s="5">
        <f>TITRES_STAT!D119</f>
        <v>5.952</v>
      </c>
      <c r="C116" s="2">
        <f t="shared" si="6"/>
        <v>5.5944689025955974</v>
      </c>
      <c r="D116" s="2">
        <f t="shared" si="8"/>
        <v>5.7325346737379723</v>
      </c>
      <c r="E116" s="2">
        <f t="shared" si="7"/>
        <v>-0.13806577114237495</v>
      </c>
      <c r="F116" s="2">
        <f t="shared" si="11"/>
        <v>-0.10356649397642337</v>
      </c>
      <c r="G116" s="2">
        <f t="shared" si="9"/>
        <v>-3.4499277165951581E-2</v>
      </c>
      <c r="H116" s="2" t="str">
        <f t="shared" si="10"/>
        <v>Hold</v>
      </c>
    </row>
    <row r="117" spans="1:8" ht="13.5" x14ac:dyDescent="0.25">
      <c r="A117" s="3">
        <f>TITRES_STAT!B120</f>
        <v>45086</v>
      </c>
      <c r="B117" s="5">
        <f>TITRES_STAT!D120</f>
        <v>5.952</v>
      </c>
      <c r="C117" s="2">
        <f t="shared" si="6"/>
        <v>5.6027044560424279</v>
      </c>
      <c r="D117" s="2">
        <f t="shared" si="8"/>
        <v>5.7487913645721962</v>
      </c>
      <c r="E117" s="2">
        <f t="shared" si="7"/>
        <v>-0.14608690852976824</v>
      </c>
      <c r="F117" s="2">
        <f t="shared" si="11"/>
        <v>-0.11207057688709235</v>
      </c>
      <c r="G117" s="2">
        <f t="shared" si="9"/>
        <v>-3.4016331642675895E-2</v>
      </c>
      <c r="H117" s="2" t="str">
        <f t="shared" si="10"/>
        <v>Hold</v>
      </c>
    </row>
    <row r="118" spans="1:8" ht="13.5" x14ac:dyDescent="0.25">
      <c r="A118" s="3">
        <f>TITRES_STAT!B121</f>
        <v>45089</v>
      </c>
      <c r="B118" s="5">
        <f>TITRES_STAT!D121</f>
        <v>5.9340000000000002</v>
      </c>
      <c r="C118" s="2">
        <f t="shared" si="6"/>
        <v>5.64367300126667</v>
      </c>
      <c r="D118" s="2">
        <f t="shared" si="8"/>
        <v>5.7625105227520335</v>
      </c>
      <c r="E118" s="2">
        <f t="shared" si="7"/>
        <v>-0.11883752148536342</v>
      </c>
      <c r="F118" s="2">
        <f t="shared" si="11"/>
        <v>-0.11342396580674656</v>
      </c>
      <c r="G118" s="2">
        <f t="shared" si="9"/>
        <v>-5.4135556786168576E-3</v>
      </c>
      <c r="H118" s="2" t="str">
        <f t="shared" si="10"/>
        <v>Hold</v>
      </c>
    </row>
    <row r="119" spans="1:8" ht="13.5" x14ac:dyDescent="0.25">
      <c r="A119" s="3">
        <f>TITRES_STAT!B122</f>
        <v>45090</v>
      </c>
      <c r="B119" s="5">
        <f>TITRES_STAT!D122</f>
        <v>5.952</v>
      </c>
      <c r="C119" s="2">
        <f t="shared" si="6"/>
        <v>5.6718771549179516</v>
      </c>
      <c r="D119" s="2">
        <f t="shared" si="8"/>
        <v>5.7765467803259574</v>
      </c>
      <c r="E119" s="2">
        <f t="shared" si="7"/>
        <v>-0.10466962540800573</v>
      </c>
      <c r="F119" s="2">
        <f t="shared" si="11"/>
        <v>-0.1116730977269984</v>
      </c>
      <c r="G119" s="2">
        <f t="shared" si="9"/>
        <v>7.0034723189926762E-3</v>
      </c>
      <c r="H119" s="2" t="str">
        <f t="shared" si="10"/>
        <v>Sell</v>
      </c>
    </row>
    <row r="120" spans="1:8" ht="13.5" x14ac:dyDescent="0.25">
      <c r="A120" s="3">
        <f>TITRES_STAT!B123</f>
        <v>45091</v>
      </c>
      <c r="B120" s="5">
        <f>TITRES_STAT!D123</f>
        <v>5.9610000000000003</v>
      </c>
      <c r="C120" s="2">
        <f t="shared" si="6"/>
        <v>5.7135883618536507</v>
      </c>
      <c r="D120" s="2">
        <f t="shared" si="8"/>
        <v>5.7902099817832937</v>
      </c>
      <c r="E120" s="2">
        <f t="shared" si="7"/>
        <v>-7.6621619929643003E-2</v>
      </c>
      <c r="F120" s="2">
        <f t="shared" si="11"/>
        <v>-0.10466280216752734</v>
      </c>
      <c r="G120" s="2">
        <f t="shared" si="9"/>
        <v>2.8041182237884335E-2</v>
      </c>
      <c r="H120" s="2" t="str">
        <f t="shared" si="10"/>
        <v>Sell</v>
      </c>
    </row>
    <row r="121" spans="1:8" ht="13.5" x14ac:dyDescent="0.25">
      <c r="A121" s="3">
        <f>TITRES_STAT!B124</f>
        <v>45092</v>
      </c>
      <c r="B121" s="5">
        <f>TITRES_STAT!D124</f>
        <v>5.9610000000000003</v>
      </c>
      <c r="C121" s="2">
        <f t="shared" si="6"/>
        <v>5.7351901523377045</v>
      </c>
      <c r="D121" s="2">
        <f t="shared" si="8"/>
        <v>5.8028610942437906</v>
      </c>
      <c r="E121" s="2">
        <f t="shared" si="7"/>
        <v>-6.7670941906086135E-2</v>
      </c>
      <c r="F121" s="2">
        <f t="shared" si="11"/>
        <v>-9.7264430115239109E-2</v>
      </c>
      <c r="G121" s="2">
        <f t="shared" si="9"/>
        <v>2.9593488209152974E-2</v>
      </c>
      <c r="H121" s="2" t="str">
        <f t="shared" si="10"/>
        <v>Sell</v>
      </c>
    </row>
    <row r="122" spans="1:8" ht="13.5" x14ac:dyDescent="0.25">
      <c r="A122" s="3">
        <f>TITRES_STAT!B125</f>
        <v>45093</v>
      </c>
      <c r="B122" s="5">
        <f>TITRES_STAT!D125</f>
        <v>5.9429999999999996</v>
      </c>
      <c r="C122" s="2">
        <f t="shared" si="6"/>
        <v>5.7643916673626734</v>
      </c>
      <c r="D122" s="2">
        <f t="shared" si="8"/>
        <v>5.8132417539294359</v>
      </c>
      <c r="E122" s="2">
        <f t="shared" si="7"/>
        <v>-4.8850086566762485E-2</v>
      </c>
      <c r="F122" s="2">
        <f t="shared" si="11"/>
        <v>-8.7581561405543795E-2</v>
      </c>
      <c r="G122" s="2">
        <f t="shared" si="9"/>
        <v>3.873147483878131E-2</v>
      </c>
      <c r="H122" s="2" t="str">
        <f t="shared" si="10"/>
        <v>Sell</v>
      </c>
    </row>
    <row r="123" spans="1:8" ht="13.5" x14ac:dyDescent="0.25">
      <c r="A123" s="3">
        <f>TITRES_STAT!B126</f>
        <v>45096</v>
      </c>
      <c r="B123" s="5">
        <f>TITRES_STAT!D126</f>
        <v>5.9429999999999996</v>
      </c>
      <c r="C123" s="2">
        <f t="shared" si="6"/>
        <v>5.7851006416145694</v>
      </c>
      <c r="D123" s="2">
        <f t="shared" si="8"/>
        <v>5.8228534758605885</v>
      </c>
      <c r="E123" s="2">
        <f t="shared" si="7"/>
        <v>-3.7752834246019162E-2</v>
      </c>
      <c r="F123" s="2">
        <f t="shared" si="11"/>
        <v>-7.7615815973638869E-2</v>
      </c>
      <c r="G123" s="2">
        <f t="shared" si="9"/>
        <v>3.9862981727619706E-2</v>
      </c>
      <c r="H123" s="2" t="str">
        <f t="shared" si="10"/>
        <v>Sell</v>
      </c>
    </row>
    <row r="124" spans="1:8" ht="13.5" x14ac:dyDescent="0.25">
      <c r="A124" s="3">
        <f>TITRES_STAT!B127</f>
        <v>45097</v>
      </c>
      <c r="B124" s="5">
        <f>TITRES_STAT!D127</f>
        <v>5.9249999999999998</v>
      </c>
      <c r="C124" s="2">
        <f t="shared" si="6"/>
        <v>5.8135466967507892</v>
      </c>
      <c r="D124" s="2">
        <f t="shared" si="8"/>
        <v>5.8304198850561004</v>
      </c>
      <c r="E124" s="2">
        <f t="shared" si="7"/>
        <v>-1.687318830531126E-2</v>
      </c>
      <c r="F124" s="2">
        <f t="shared" si="11"/>
        <v>-6.5467290439973347E-2</v>
      </c>
      <c r="G124" s="2">
        <f t="shared" si="9"/>
        <v>4.8594102134662087E-2</v>
      </c>
      <c r="H124" s="2" t="str">
        <f t="shared" si="10"/>
        <v>Sell</v>
      </c>
    </row>
    <row r="125" spans="1:8" ht="13.5" x14ac:dyDescent="0.25">
      <c r="A125" s="3">
        <f>TITRES_STAT!B128</f>
        <v>45098</v>
      </c>
      <c r="B125" s="5">
        <f>TITRES_STAT!D128</f>
        <v>5.9340000000000002</v>
      </c>
      <c r="C125" s="2">
        <f t="shared" si="6"/>
        <v>5.8362318203275905</v>
      </c>
      <c r="D125" s="2">
        <f t="shared" si="8"/>
        <v>5.8380924861630561</v>
      </c>
      <c r="E125" s="2">
        <f t="shared" si="7"/>
        <v>-1.8606658354656247E-3</v>
      </c>
      <c r="F125" s="2">
        <f t="shared" si="11"/>
        <v>-5.2745965519071805E-2</v>
      </c>
      <c r="G125" s="2">
        <f t="shared" si="9"/>
        <v>5.088529968360618E-2</v>
      </c>
      <c r="H125" s="2" t="str">
        <f t="shared" si="10"/>
        <v>Sell</v>
      </c>
    </row>
    <row r="126" spans="1:8" ht="13.5" x14ac:dyDescent="0.25">
      <c r="A126" s="3">
        <f>TITRES_STAT!B129</f>
        <v>45099</v>
      </c>
      <c r="B126" s="5">
        <f>TITRES_STAT!D129</f>
        <v>5.9429999999999996</v>
      </c>
      <c r="C126" s="2">
        <f t="shared" si="6"/>
        <v>5.8540423095079612</v>
      </c>
      <c r="D126" s="2">
        <f t="shared" si="8"/>
        <v>5.8458634131139409</v>
      </c>
      <c r="E126" s="2">
        <f t="shared" si="7"/>
        <v>8.1788963940203629E-3</v>
      </c>
      <c r="F126" s="2">
        <f t="shared" si="11"/>
        <v>-4.0560993136453373E-2</v>
      </c>
      <c r="G126" s="2">
        <f t="shared" si="9"/>
        <v>4.8739889530473736E-2</v>
      </c>
      <c r="H126" s="2" t="str">
        <f t="shared" si="10"/>
        <v>Sell</v>
      </c>
    </row>
    <row r="127" spans="1:8" ht="13.5" x14ac:dyDescent="0.25">
      <c r="A127" s="3">
        <f>TITRES_STAT!B130</f>
        <v>45100</v>
      </c>
      <c r="B127" s="5">
        <f>TITRES_STAT!D130</f>
        <v>5.9340000000000002</v>
      </c>
      <c r="C127" s="2">
        <f t="shared" si="6"/>
        <v>5.8691127234298133</v>
      </c>
      <c r="D127" s="2">
        <f t="shared" si="8"/>
        <v>5.8523920491795751</v>
      </c>
      <c r="E127" s="2">
        <f t="shared" si="7"/>
        <v>1.6720674250238154E-2</v>
      </c>
      <c r="F127" s="2">
        <f t="shared" si="11"/>
        <v>-2.910465965911507E-2</v>
      </c>
      <c r="G127" s="2">
        <f t="shared" si="9"/>
        <v>4.5825333909353227E-2</v>
      </c>
      <c r="H127" s="2" t="str">
        <f t="shared" si="10"/>
        <v>Sell</v>
      </c>
    </row>
    <row r="128" spans="1:8" ht="13.5" x14ac:dyDescent="0.25">
      <c r="A128" s="3">
        <f>TITRES_STAT!B131</f>
        <v>45103</v>
      </c>
      <c r="B128" s="5">
        <f>TITRES_STAT!D131</f>
        <v>5.9249999999999998</v>
      </c>
      <c r="C128" s="2">
        <f t="shared" si="6"/>
        <v>5.8790953813636877</v>
      </c>
      <c r="D128" s="2">
        <f t="shared" si="8"/>
        <v>5.8577704159070141</v>
      </c>
      <c r="E128" s="2">
        <f t="shared" si="7"/>
        <v>2.1324965456673617E-2</v>
      </c>
      <c r="F128" s="2">
        <f t="shared" si="11"/>
        <v>-1.9018734635957334E-2</v>
      </c>
      <c r="G128" s="2">
        <f t="shared" si="9"/>
        <v>4.0343700092630955E-2</v>
      </c>
      <c r="H128" s="2" t="str">
        <f t="shared" si="10"/>
        <v>Sell</v>
      </c>
    </row>
    <row r="129" spans="1:8" ht="13.5" x14ac:dyDescent="0.25">
      <c r="A129" s="3">
        <f>TITRES_STAT!B132</f>
        <v>45104</v>
      </c>
      <c r="B129" s="5">
        <f>TITRES_STAT!D132</f>
        <v>5.9249999999999998</v>
      </c>
      <c r="C129" s="2">
        <f t="shared" si="6"/>
        <v>5.8903114765385052</v>
      </c>
      <c r="D129" s="2">
        <f t="shared" si="8"/>
        <v>5.862750385099087</v>
      </c>
      <c r="E129" s="2">
        <f t="shared" si="7"/>
        <v>2.7561091439418206E-2</v>
      </c>
      <c r="F129" s="2">
        <f t="shared" si="11"/>
        <v>-9.7027694208822266E-3</v>
      </c>
      <c r="G129" s="2">
        <f t="shared" si="9"/>
        <v>3.7263860860300431E-2</v>
      </c>
      <c r="H129" s="2" t="str">
        <f t="shared" si="10"/>
        <v>Sell</v>
      </c>
    </row>
    <row r="130" spans="1:8" ht="13.5" x14ac:dyDescent="0.25">
      <c r="A130" s="3">
        <f>TITRES_STAT!B133</f>
        <v>45107</v>
      </c>
      <c r="B130" s="5">
        <f>TITRES_STAT!D133</f>
        <v>5.89</v>
      </c>
      <c r="C130" s="2">
        <f t="shared" si="6"/>
        <v>5.9011866339941195</v>
      </c>
      <c r="D130" s="2">
        <f t="shared" si="8"/>
        <v>5.8647688750917473</v>
      </c>
      <c r="E130" s="2">
        <f t="shared" si="7"/>
        <v>3.6417758902372199E-2</v>
      </c>
      <c r="F130" s="2">
        <f t="shared" si="11"/>
        <v>-4.7866375623134127E-4</v>
      </c>
      <c r="G130" s="2">
        <f t="shared" si="9"/>
        <v>3.6896422658603538E-2</v>
      </c>
      <c r="H130" s="2" t="str">
        <f t="shared" si="10"/>
        <v>Sell</v>
      </c>
    </row>
    <row r="131" spans="1:8" ht="13.5" x14ac:dyDescent="0.25">
      <c r="A131" s="3">
        <f>TITRES_STAT!B134</f>
        <v>45110</v>
      </c>
      <c r="B131" s="5">
        <f>TITRES_STAT!D134</f>
        <v>5.89</v>
      </c>
      <c r="C131" s="2">
        <f t="shared" si="6"/>
        <v>5.9103886903027165</v>
      </c>
      <c r="D131" s="2">
        <f t="shared" si="8"/>
        <v>5.8666378473071736</v>
      </c>
      <c r="E131" s="2">
        <f t="shared" si="7"/>
        <v>4.3750842995542882E-2</v>
      </c>
      <c r="F131" s="2">
        <f t="shared" si="11"/>
        <v>8.3672375941235035E-3</v>
      </c>
      <c r="G131" s="2">
        <f t="shared" si="9"/>
        <v>3.5383605401419382E-2</v>
      </c>
      <c r="H131" s="2" t="str">
        <f t="shared" si="10"/>
        <v>Sell</v>
      </c>
    </row>
    <row r="132" spans="1:8" ht="13.5" x14ac:dyDescent="0.25">
      <c r="A132" s="3">
        <f>TITRES_STAT!B135</f>
        <v>45111</v>
      </c>
      <c r="B132" s="5">
        <f>TITRES_STAT!D135</f>
        <v>5.8630000000000004</v>
      </c>
      <c r="C132" s="2">
        <f t="shared" si="6"/>
        <v>5.9154058148715292</v>
      </c>
      <c r="D132" s="2">
        <f t="shared" si="8"/>
        <v>5.866368377136272</v>
      </c>
      <c r="E132" s="2">
        <f t="shared" si="7"/>
        <v>4.903743773525715E-2</v>
      </c>
      <c r="F132" s="2">
        <f t="shared" si="11"/>
        <v>1.6501277622350236E-2</v>
      </c>
      <c r="G132" s="2">
        <f t="shared" si="9"/>
        <v>3.2536160112906914E-2</v>
      </c>
      <c r="H132" s="2" t="str">
        <f t="shared" si="10"/>
        <v>Sell</v>
      </c>
    </row>
    <row r="133" spans="1:8" ht="13.5" x14ac:dyDescent="0.25">
      <c r="A133" s="3">
        <f>TITRES_STAT!B136</f>
        <v>45112</v>
      </c>
      <c r="B133" s="5">
        <f>TITRES_STAT!D136</f>
        <v>5.766</v>
      </c>
      <c r="C133" s="2">
        <f t="shared" si="6"/>
        <v>5.9196510741220632</v>
      </c>
      <c r="D133" s="2">
        <f t="shared" si="8"/>
        <v>5.8589336825335856</v>
      </c>
      <c r="E133" s="2">
        <f t="shared" si="7"/>
        <v>6.0717391588477554E-2</v>
      </c>
      <c r="F133" s="2">
        <f t="shared" si="11"/>
        <v>2.5344500415575701E-2</v>
      </c>
      <c r="G133" s="2">
        <f t="shared" si="9"/>
        <v>3.5372891172901849E-2</v>
      </c>
      <c r="H133" s="2" t="str">
        <f t="shared" si="10"/>
        <v>Sell</v>
      </c>
    </row>
    <row r="134" spans="1:8" ht="13.5" x14ac:dyDescent="0.25">
      <c r="A134" s="3">
        <f>TITRES_STAT!B137</f>
        <v>45113</v>
      </c>
      <c r="B134" s="5">
        <f>TITRES_STAT!D137</f>
        <v>5.766</v>
      </c>
      <c r="C134" s="2">
        <f t="shared" si="6"/>
        <v>5.9204739857955921</v>
      </c>
      <c r="D134" s="2">
        <f t="shared" si="8"/>
        <v>5.8520497060496171</v>
      </c>
      <c r="E134" s="2">
        <f t="shared" si="7"/>
        <v>6.8424279745975092E-2</v>
      </c>
      <c r="F134" s="2">
        <f t="shared" si="11"/>
        <v>3.3960456281655581E-2</v>
      </c>
      <c r="G134" s="2">
        <f t="shared" si="9"/>
        <v>3.4463823464319511E-2</v>
      </c>
      <c r="H134" s="2" t="str">
        <f t="shared" si="10"/>
        <v>Sell</v>
      </c>
    </row>
    <row r="135" spans="1:8" ht="13.5" x14ac:dyDescent="0.25">
      <c r="A135" s="3">
        <f>TITRES_STAT!B138</f>
        <v>45114</v>
      </c>
      <c r="B135" s="5">
        <f>TITRES_STAT!D138</f>
        <v>5.766</v>
      </c>
      <c r="C135" s="2">
        <f t="shared" si="6"/>
        <v>5.9225549110578086</v>
      </c>
      <c r="D135" s="2">
        <f t="shared" si="8"/>
        <v>5.8456756537496455</v>
      </c>
      <c r="E135" s="2">
        <f t="shared" si="7"/>
        <v>7.687925730816314E-2</v>
      </c>
      <c r="F135" s="2">
        <f t="shared" si="11"/>
        <v>4.2544216486957095E-2</v>
      </c>
      <c r="G135" s="2">
        <f t="shared" si="9"/>
        <v>3.4335040821206045E-2</v>
      </c>
      <c r="H135" s="2" t="str">
        <f t="shared" si="10"/>
        <v>Sell</v>
      </c>
    </row>
    <row r="136" spans="1:8" ht="13.5" x14ac:dyDescent="0.25">
      <c r="A136" s="3">
        <f>TITRES_STAT!B139</f>
        <v>45117</v>
      </c>
      <c r="B136" s="5">
        <f>TITRES_STAT!D139</f>
        <v>5.6769999999999996</v>
      </c>
      <c r="C136" s="2">
        <f t="shared" si="6"/>
        <v>5.925700309356607</v>
      </c>
      <c r="D136" s="2">
        <f t="shared" si="8"/>
        <v>5.8331811608793016</v>
      </c>
      <c r="E136" s="2">
        <f t="shared" si="7"/>
        <v>9.2519148477305357E-2</v>
      </c>
      <c r="F136" s="2">
        <f t="shared" si="11"/>
        <v>5.2539202885026753E-2</v>
      </c>
      <c r="G136" s="2">
        <f t="shared" si="9"/>
        <v>3.9979945592278604E-2</v>
      </c>
      <c r="H136" s="2" t="str">
        <f t="shared" si="10"/>
        <v>Sell</v>
      </c>
    </row>
    <row r="137" spans="1:8" ht="13.5" x14ac:dyDescent="0.25">
      <c r="A137" s="3">
        <f>TITRES_STAT!B140</f>
        <v>45118</v>
      </c>
      <c r="B137" s="5">
        <f>TITRES_STAT!D140</f>
        <v>5.6769999999999996</v>
      </c>
      <c r="C137" s="2">
        <f t="shared" si="6"/>
        <v>5.9269771848402062</v>
      </c>
      <c r="D137" s="2">
        <f t="shared" si="8"/>
        <v>5.8216121859993528</v>
      </c>
      <c r="E137" s="2">
        <f t="shared" si="7"/>
        <v>0.10536499884085337</v>
      </c>
      <c r="F137" s="2">
        <f t="shared" si="11"/>
        <v>6.3104362076192078E-2</v>
      </c>
      <c r="G137" s="2">
        <f t="shared" si="9"/>
        <v>4.2260636764661297E-2</v>
      </c>
      <c r="H137" s="2" t="str">
        <f t="shared" si="10"/>
        <v>Sell</v>
      </c>
    </row>
    <row r="138" spans="1:8" ht="13.5" x14ac:dyDescent="0.25">
      <c r="A138" s="3">
        <f>TITRES_STAT!B141</f>
        <v>45119</v>
      </c>
      <c r="B138" s="5">
        <f>TITRES_STAT!D141</f>
        <v>5.6769999999999996</v>
      </c>
      <c r="C138" s="2">
        <f t="shared" si="6"/>
        <v>5.9266730025570977</v>
      </c>
      <c r="D138" s="2">
        <f t="shared" si="8"/>
        <v>5.8109001722216229</v>
      </c>
      <c r="E138" s="2">
        <f t="shared" si="7"/>
        <v>0.11577283033547481</v>
      </c>
      <c r="F138" s="2">
        <f t="shared" si="11"/>
        <v>7.3638055728048629E-2</v>
      </c>
      <c r="G138" s="2">
        <f t="shared" si="9"/>
        <v>4.2134774607426179E-2</v>
      </c>
      <c r="H138" s="2" t="str">
        <f t="shared" si="10"/>
        <v>Sell</v>
      </c>
    </row>
    <row r="139" spans="1:8" ht="13.5" x14ac:dyDescent="0.25">
      <c r="A139" s="3">
        <f>TITRES_STAT!B142</f>
        <v>45120</v>
      </c>
      <c r="B139" s="5">
        <f>TITRES_STAT!D142</f>
        <v>5.6769999999999996</v>
      </c>
      <c r="C139" s="2">
        <f t="shared" si="6"/>
        <v>5.9264156175483134</v>
      </c>
      <c r="D139" s="2">
        <f t="shared" si="8"/>
        <v>5.8009816409459471</v>
      </c>
      <c r="E139" s="2">
        <f t="shared" si="7"/>
        <v>0.12543397660236622</v>
      </c>
      <c r="F139" s="2">
        <f t="shared" si="11"/>
        <v>8.3997239902912149E-2</v>
      </c>
      <c r="G139" s="2">
        <f t="shared" si="9"/>
        <v>4.1436736699454066E-2</v>
      </c>
      <c r="H139" s="2" t="str">
        <f t="shared" si="10"/>
        <v>Sell</v>
      </c>
    </row>
    <row r="140" spans="1:8" ht="13.5" x14ac:dyDescent="0.25">
      <c r="A140" s="3">
        <f>TITRES_STAT!B143</f>
        <v>45121</v>
      </c>
      <c r="B140" s="5">
        <f>TITRES_STAT!D143</f>
        <v>5.6769999999999996</v>
      </c>
      <c r="C140" s="2">
        <f t="shared" si="6"/>
        <v>5.9208132148485726</v>
      </c>
      <c r="D140" s="2">
        <f t="shared" si="8"/>
        <v>5.7917978156906917</v>
      </c>
      <c r="E140" s="2">
        <f t="shared" si="7"/>
        <v>0.12901539915788085</v>
      </c>
      <c r="F140" s="2">
        <f t="shared" si="11"/>
        <v>9.3000871753905895E-2</v>
      </c>
      <c r="G140" s="2">
        <f t="shared" si="9"/>
        <v>3.6014527403974955E-2</v>
      </c>
      <c r="H140" s="2" t="str">
        <f t="shared" si="10"/>
        <v>Sell</v>
      </c>
    </row>
    <row r="141" spans="1:8" ht="13.5" x14ac:dyDescent="0.25">
      <c r="A141" s="3">
        <f>TITRES_STAT!B144</f>
        <v>45124</v>
      </c>
      <c r="B141" s="5">
        <f>TITRES_STAT!D144</f>
        <v>5.6769999999999996</v>
      </c>
      <c r="C141" s="2">
        <f t="shared" si="6"/>
        <v>5.9160727202564845</v>
      </c>
      <c r="D141" s="2">
        <f t="shared" si="8"/>
        <v>5.7832942737876776</v>
      </c>
      <c r="E141" s="2">
        <f t="shared" si="7"/>
        <v>0.13277844646880688</v>
      </c>
      <c r="F141" s="2">
        <f t="shared" si="11"/>
        <v>0.10095638669688609</v>
      </c>
      <c r="G141" s="2">
        <f t="shared" si="9"/>
        <v>3.1822059771920791E-2</v>
      </c>
      <c r="H141" s="2" t="str">
        <f t="shared" si="10"/>
        <v>Sell</v>
      </c>
    </row>
    <row r="142" spans="1:8" ht="13.5" x14ac:dyDescent="0.25">
      <c r="A142" s="3">
        <f>TITRES_STAT!B145</f>
        <v>45125</v>
      </c>
      <c r="B142" s="5">
        <f>TITRES_STAT!D145</f>
        <v>5.7210000000000001</v>
      </c>
      <c r="C142" s="2">
        <f t="shared" si="6"/>
        <v>5.9079076863708719</v>
      </c>
      <c r="D142" s="2">
        <f t="shared" si="8"/>
        <v>5.7786798831367383</v>
      </c>
      <c r="E142" s="2">
        <f t="shared" si="7"/>
        <v>0.12922780323413363</v>
      </c>
      <c r="F142" s="2">
        <f t="shared" si="11"/>
        <v>0.10661067000433561</v>
      </c>
      <c r="G142" s="2">
        <f t="shared" si="9"/>
        <v>2.2617133229798025E-2</v>
      </c>
      <c r="H142" s="2" t="str">
        <f t="shared" si="10"/>
        <v>Sell</v>
      </c>
    </row>
    <row r="143" spans="1:8" ht="13.5" x14ac:dyDescent="0.25">
      <c r="A143" s="3">
        <f>TITRES_STAT!B146</f>
        <v>45127</v>
      </c>
      <c r="B143" s="5">
        <f>TITRES_STAT!D146</f>
        <v>5.7210000000000001</v>
      </c>
      <c r="C143" s="2">
        <f t="shared" ref="C143:C206" si="12">$C$4*B133+C142*(1-$C$4)</f>
        <v>5.8860757346215067</v>
      </c>
      <c r="D143" s="2">
        <f t="shared" si="8"/>
        <v>5.7744072992006839</v>
      </c>
      <c r="E143" s="2">
        <f t="shared" si="7"/>
        <v>0.11166843542082283</v>
      </c>
      <c r="F143" s="2">
        <f t="shared" si="11"/>
        <v>0.10762222308763306</v>
      </c>
      <c r="G143" s="2">
        <f t="shared" si="9"/>
        <v>4.0462123331897748E-3</v>
      </c>
      <c r="H143" s="2" t="str">
        <f t="shared" si="10"/>
        <v>Sell</v>
      </c>
    </row>
    <row r="144" spans="1:8" ht="13.5" x14ac:dyDescent="0.25">
      <c r="A144" s="3">
        <f>TITRES_STAT!B147</f>
        <v>45128</v>
      </c>
      <c r="B144" s="5">
        <f>TITRES_STAT!D147</f>
        <v>5.7210000000000001</v>
      </c>
      <c r="C144" s="2">
        <f t="shared" si="12"/>
        <v>5.8676025446797357</v>
      </c>
      <c r="D144" s="2">
        <f t="shared" si="8"/>
        <v>5.7704512029635957</v>
      </c>
      <c r="E144" s="2">
        <f t="shared" si="7"/>
        <v>9.7151341716140038E-2</v>
      </c>
      <c r="F144" s="2">
        <f t="shared" si="11"/>
        <v>0.10552804681333447</v>
      </c>
      <c r="G144" s="2">
        <f t="shared" si="9"/>
        <v>-8.3767050971944312E-3</v>
      </c>
      <c r="H144" s="2" t="str">
        <f t="shared" si="10"/>
        <v>Hold</v>
      </c>
    </row>
    <row r="145" spans="1:8" ht="13.5" x14ac:dyDescent="0.25">
      <c r="A145" s="3">
        <f>TITRES_STAT!B148</f>
        <v>45131</v>
      </c>
      <c r="B145" s="5">
        <f>TITRES_STAT!D148</f>
        <v>5.766</v>
      </c>
      <c r="C145" s="2">
        <f t="shared" si="12"/>
        <v>5.8519713839597758</v>
      </c>
      <c r="D145" s="2">
        <f t="shared" si="8"/>
        <v>5.7701214842255517</v>
      </c>
      <c r="E145" s="2">
        <f t="shared" si="7"/>
        <v>8.1849899734224074E-2</v>
      </c>
      <c r="F145" s="2">
        <f t="shared" si="11"/>
        <v>0.10079241739751239</v>
      </c>
      <c r="G145" s="2">
        <f t="shared" si="9"/>
        <v>-1.8942517663288319E-2</v>
      </c>
      <c r="H145" s="2" t="str">
        <f t="shared" si="10"/>
        <v>Hold</v>
      </c>
    </row>
    <row r="146" spans="1:8" ht="13.5" x14ac:dyDescent="0.25">
      <c r="A146" s="3">
        <f>TITRES_STAT!B149</f>
        <v>45133</v>
      </c>
      <c r="B146" s="5">
        <f>TITRES_STAT!D149</f>
        <v>5.766</v>
      </c>
      <c r="C146" s="2">
        <f t="shared" si="12"/>
        <v>5.8250527095044262</v>
      </c>
      <c r="D146" s="2">
        <f t="shared" si="8"/>
        <v>5.7698161890977335</v>
      </c>
      <c r="E146" s="2">
        <f t="shared" si="7"/>
        <v>5.5236520406692691E-2</v>
      </c>
      <c r="F146" s="2">
        <f t="shared" si="11"/>
        <v>9.1681237999348464E-2</v>
      </c>
      <c r="G146" s="2">
        <f t="shared" si="9"/>
        <v>-3.6444717592655773E-2</v>
      </c>
      <c r="H146" s="2" t="str">
        <f t="shared" si="10"/>
        <v>Hold</v>
      </c>
    </row>
    <row r="147" spans="1:8" ht="13.5" x14ac:dyDescent="0.25">
      <c r="A147" s="3">
        <f>TITRES_STAT!B150</f>
        <v>45134</v>
      </c>
      <c r="B147" s="5">
        <f>TITRES_STAT!D150</f>
        <v>5.766</v>
      </c>
      <c r="C147" s="2">
        <f t="shared" si="12"/>
        <v>5.8022753695806681</v>
      </c>
      <c r="D147" s="2">
        <f t="shared" si="8"/>
        <v>5.7695335084238275</v>
      </c>
      <c r="E147" s="2">
        <f t="shared" si="7"/>
        <v>3.2741861156840635E-2</v>
      </c>
      <c r="F147" s="2">
        <f t="shared" si="11"/>
        <v>7.9893362630846898E-2</v>
      </c>
      <c r="G147" s="2">
        <f t="shared" si="9"/>
        <v>-4.7151501474006263E-2</v>
      </c>
      <c r="H147" s="2" t="str">
        <f t="shared" si="10"/>
        <v>Hold</v>
      </c>
    </row>
    <row r="148" spans="1:8" ht="13.5" x14ac:dyDescent="0.25">
      <c r="A148" s="3">
        <f>TITRES_STAT!B151</f>
        <v>45135</v>
      </c>
      <c r="B148" s="5">
        <f>TITRES_STAT!D151</f>
        <v>5.766</v>
      </c>
      <c r="C148" s="2">
        <f t="shared" si="12"/>
        <v>5.7830022357990263</v>
      </c>
      <c r="D148" s="2">
        <f t="shared" si="8"/>
        <v>5.7692717670590996</v>
      </c>
      <c r="E148" s="2">
        <f t="shared" si="7"/>
        <v>1.3730468739926671E-2</v>
      </c>
      <c r="F148" s="2">
        <f t="shared" si="11"/>
        <v>6.6660783852662858E-2</v>
      </c>
      <c r="G148" s="2">
        <f t="shared" si="9"/>
        <v>-5.2930315112736187E-2</v>
      </c>
      <c r="H148" s="2" t="str">
        <f t="shared" si="10"/>
        <v>Hold</v>
      </c>
    </row>
    <row r="149" spans="1:8" ht="13.5" x14ac:dyDescent="0.25">
      <c r="A149" s="3">
        <f>TITRES_STAT!B152</f>
        <v>45138</v>
      </c>
      <c r="B149" s="5">
        <f>TITRES_STAT!D152</f>
        <v>5.766</v>
      </c>
      <c r="C149" s="2">
        <f t="shared" si="12"/>
        <v>5.7666941995222523</v>
      </c>
      <c r="D149" s="2">
        <f t="shared" si="8"/>
        <v>5.7690294139436107</v>
      </c>
      <c r="E149" s="2">
        <f t="shared" si="7"/>
        <v>-2.3352144213584225E-3</v>
      </c>
      <c r="F149" s="2">
        <f t="shared" si="11"/>
        <v>5.2861584197858608E-2</v>
      </c>
      <c r="G149" s="2">
        <f t="shared" si="9"/>
        <v>-5.519679861921703E-2</v>
      </c>
      <c r="H149" s="2" t="str">
        <f t="shared" si="10"/>
        <v>Hold</v>
      </c>
    </row>
    <row r="150" spans="1:8" ht="13.5" x14ac:dyDescent="0.25">
      <c r="A150" s="3">
        <f>TITRES_STAT!B153</f>
        <v>45139</v>
      </c>
      <c r="B150" s="5">
        <f>TITRES_STAT!D153</f>
        <v>5.766</v>
      </c>
      <c r="C150" s="2">
        <f t="shared" si="12"/>
        <v>5.7528950919034436</v>
      </c>
      <c r="D150" s="2">
        <f t="shared" si="8"/>
        <v>5.7688050129107511</v>
      </c>
      <c r="E150" s="2">
        <f t="shared" si="7"/>
        <v>-1.5909921007307481E-2</v>
      </c>
      <c r="F150" s="2">
        <f t="shared" si="11"/>
        <v>3.9107283156825393E-2</v>
      </c>
      <c r="G150" s="2">
        <f t="shared" si="9"/>
        <v>-5.5017204164132874E-2</v>
      </c>
      <c r="H150" s="2" t="str">
        <f t="shared" si="10"/>
        <v>Hold</v>
      </c>
    </row>
    <row r="151" spans="1:8" ht="13.5" x14ac:dyDescent="0.25">
      <c r="A151" s="3">
        <f>TITRES_STAT!B154</f>
        <v>45140</v>
      </c>
      <c r="B151" s="5">
        <f>TITRES_STAT!D154</f>
        <v>5.766</v>
      </c>
      <c r="C151" s="2">
        <f t="shared" si="12"/>
        <v>5.7412189239182982</v>
      </c>
      <c r="D151" s="2">
        <f t="shared" si="8"/>
        <v>5.7685972341766218</v>
      </c>
      <c r="E151" s="2">
        <f t="shared" si="7"/>
        <v>-2.7378310258323602E-2</v>
      </c>
      <c r="F151" s="2">
        <f t="shared" si="11"/>
        <v>2.5810164473795597E-2</v>
      </c>
      <c r="G151" s="2">
        <f t="shared" si="9"/>
        <v>-5.3188474732119198E-2</v>
      </c>
      <c r="H151" s="2" t="str">
        <f t="shared" si="10"/>
        <v>Hold</v>
      </c>
    </row>
    <row r="152" spans="1:8" ht="13.5" x14ac:dyDescent="0.25">
      <c r="A152" s="3">
        <f>TITRES_STAT!B155</f>
        <v>45141</v>
      </c>
      <c r="B152" s="5">
        <f>TITRES_STAT!D155</f>
        <v>5.7210000000000001</v>
      </c>
      <c r="C152" s="2">
        <f t="shared" si="12"/>
        <v>5.7381083202385605</v>
      </c>
      <c r="D152" s="2">
        <f t="shared" si="8"/>
        <v>5.7650715131265011</v>
      </c>
      <c r="E152" s="2">
        <f t="shared" si="7"/>
        <v>-2.6963192887940579E-2</v>
      </c>
      <c r="F152" s="2">
        <f t="shared" si="11"/>
        <v>1.5255493001448362E-2</v>
      </c>
      <c r="G152" s="2">
        <f t="shared" si="9"/>
        <v>-4.2218685889388943E-2</v>
      </c>
      <c r="H152" s="2" t="str">
        <f t="shared" si="10"/>
        <v>Hold</v>
      </c>
    </row>
    <row r="153" spans="1:8" ht="13.5" x14ac:dyDescent="0.25">
      <c r="A153" s="3">
        <f>TITRES_STAT!B156</f>
        <v>45142</v>
      </c>
      <c r="B153" s="5">
        <f>TITRES_STAT!D156</f>
        <v>5.7210000000000001</v>
      </c>
      <c r="C153" s="2">
        <f t="shared" si="12"/>
        <v>5.7354762709710903</v>
      </c>
      <c r="D153" s="2">
        <f t="shared" si="8"/>
        <v>5.7618069565986119</v>
      </c>
      <c r="E153" s="2">
        <f t="shared" si="7"/>
        <v>-2.6330685627521611E-2</v>
      </c>
      <c r="F153" s="2">
        <f t="shared" si="11"/>
        <v>6.9382572756543671E-3</v>
      </c>
      <c r="G153" s="2">
        <f t="shared" si="9"/>
        <v>-3.3268942903175974E-2</v>
      </c>
      <c r="H153" s="2" t="str">
        <f t="shared" si="10"/>
        <v>Hold</v>
      </c>
    </row>
    <row r="154" spans="1:8" ht="13.5" x14ac:dyDescent="0.25">
      <c r="A154" s="3">
        <f>TITRES_STAT!B157</f>
        <v>45145</v>
      </c>
      <c r="B154" s="5">
        <f>TITRES_STAT!D157</f>
        <v>5.7210000000000001</v>
      </c>
      <c r="C154" s="2">
        <f t="shared" si="12"/>
        <v>5.7332491523601536</v>
      </c>
      <c r="D154" s="2">
        <f t="shared" si="8"/>
        <v>5.7587842190727887</v>
      </c>
      <c r="E154" s="2">
        <f t="shared" si="7"/>
        <v>-2.5535066712635057E-2</v>
      </c>
      <c r="F154" s="2">
        <f t="shared" si="11"/>
        <v>4.4359247799648227E-4</v>
      </c>
      <c r="G154" s="2">
        <f t="shared" si="9"/>
        <v>-2.5978659190631539E-2</v>
      </c>
      <c r="H154" s="2" t="str">
        <f t="shared" si="10"/>
        <v>Hold</v>
      </c>
    </row>
    <row r="155" spans="1:8" ht="13.5" x14ac:dyDescent="0.25">
      <c r="A155" s="3">
        <f>TITRES_STAT!B158</f>
        <v>45146</v>
      </c>
      <c r="B155" s="5">
        <f>TITRES_STAT!D158</f>
        <v>5.766</v>
      </c>
      <c r="C155" s="2">
        <f t="shared" si="12"/>
        <v>5.7382877443047455</v>
      </c>
      <c r="D155" s="2">
        <f t="shared" si="8"/>
        <v>5.7593187213636936</v>
      </c>
      <c r="E155" s="2">
        <f t="shared" si="7"/>
        <v>-2.1030977058948075E-2</v>
      </c>
      <c r="F155" s="2">
        <f t="shared" si="11"/>
        <v>-3.8513214293924292E-3</v>
      </c>
      <c r="G155" s="2">
        <f t="shared" si="9"/>
        <v>-1.7179655629555646E-2</v>
      </c>
      <c r="H155" s="2" t="str">
        <f t="shared" si="10"/>
        <v>Hold</v>
      </c>
    </row>
    <row r="156" spans="1:8" ht="13.5" x14ac:dyDescent="0.25">
      <c r="A156" s="3">
        <f>TITRES_STAT!B159</f>
        <v>45147</v>
      </c>
      <c r="B156" s="5">
        <f>TITRES_STAT!D159</f>
        <v>5.766</v>
      </c>
      <c r="C156" s="2">
        <f t="shared" si="12"/>
        <v>5.7425511682578616</v>
      </c>
      <c r="D156" s="2">
        <f t="shared" si="8"/>
        <v>5.7598136308923094</v>
      </c>
      <c r="E156" s="2">
        <f t="shared" ref="E156:E219" si="13">C156-D156</f>
        <v>-1.7262462634447751E-2</v>
      </c>
      <c r="F156" s="2">
        <f t="shared" si="11"/>
        <v>-6.5335496704034945E-3</v>
      </c>
      <c r="G156" s="2">
        <f t="shared" si="9"/>
        <v>-1.0728912964044256E-2</v>
      </c>
      <c r="H156" s="2" t="str">
        <f t="shared" si="10"/>
        <v>Hold</v>
      </c>
    </row>
    <row r="157" spans="1:8" ht="13.5" x14ac:dyDescent="0.25">
      <c r="A157" s="3">
        <f>TITRES_STAT!B160</f>
        <v>45148</v>
      </c>
      <c r="B157" s="5">
        <f>TITRES_STAT!D160</f>
        <v>5.766</v>
      </c>
      <c r="C157" s="2">
        <f t="shared" si="12"/>
        <v>5.7461586808335747</v>
      </c>
      <c r="D157" s="2">
        <f t="shared" ref="D157:D220" si="14">$D$4*B157+(1-$D$4)*D156</f>
        <v>5.7602718804558419</v>
      </c>
      <c r="E157" s="2">
        <f t="shared" si="13"/>
        <v>-1.4113199622267203E-2</v>
      </c>
      <c r="F157" s="2">
        <f t="shared" si="11"/>
        <v>-8.0494796607762376E-3</v>
      </c>
      <c r="G157" s="2">
        <f t="shared" si="9"/>
        <v>-6.0637199614909654E-3</v>
      </c>
      <c r="H157" s="2" t="str">
        <f t="shared" si="10"/>
        <v>Hold</v>
      </c>
    </row>
    <row r="158" spans="1:8" ht="13.5" x14ac:dyDescent="0.25">
      <c r="A158" s="3">
        <f>TITRES_STAT!B161</f>
        <v>45149</v>
      </c>
      <c r="B158" s="5">
        <f>TITRES_STAT!D161</f>
        <v>5.766</v>
      </c>
      <c r="C158" s="2">
        <f t="shared" si="12"/>
        <v>5.7492111914745632</v>
      </c>
      <c r="D158" s="2">
        <f t="shared" si="14"/>
        <v>5.7606961856072614</v>
      </c>
      <c r="E158" s="2">
        <f t="shared" si="13"/>
        <v>-1.1484994132698212E-2</v>
      </c>
      <c r="F158" s="2">
        <f t="shared" si="11"/>
        <v>-8.7365825551606324E-3</v>
      </c>
      <c r="G158" s="2">
        <f t="shared" si="9"/>
        <v>-2.7484115775375795E-3</v>
      </c>
      <c r="H158" s="2" t="str">
        <f t="shared" si="10"/>
        <v>Hold</v>
      </c>
    </row>
    <row r="159" spans="1:8" ht="13.5" x14ac:dyDescent="0.25">
      <c r="A159" s="3">
        <f>TITRES_STAT!B162</f>
        <v>45152</v>
      </c>
      <c r="B159" s="5">
        <f>TITRES_STAT!D162</f>
        <v>5.766</v>
      </c>
      <c r="C159" s="2">
        <f t="shared" si="12"/>
        <v>5.7517940850938611</v>
      </c>
      <c r="D159" s="2">
        <f t="shared" si="14"/>
        <v>5.761089060747465</v>
      </c>
      <c r="E159" s="2">
        <f t="shared" si="13"/>
        <v>-9.2949756536038208E-3</v>
      </c>
      <c r="F159" s="2">
        <f t="shared" si="11"/>
        <v>-8.8482611748492701E-3</v>
      </c>
      <c r="G159" s="2">
        <f t="shared" si="9"/>
        <v>-4.4671447875455073E-4</v>
      </c>
      <c r="H159" s="2" t="str">
        <f t="shared" si="10"/>
        <v>Hold</v>
      </c>
    </row>
    <row r="160" spans="1:8" ht="13.5" x14ac:dyDescent="0.25">
      <c r="A160" s="3">
        <f>TITRES_STAT!B163</f>
        <v>45153</v>
      </c>
      <c r="B160" s="5">
        <f>TITRES_STAT!D163</f>
        <v>5.766</v>
      </c>
      <c r="C160" s="2">
        <f t="shared" si="12"/>
        <v>5.7539796104640359</v>
      </c>
      <c r="D160" s="2">
        <f t="shared" si="14"/>
        <v>5.7614528340254312</v>
      </c>
      <c r="E160" s="2">
        <f t="shared" si="13"/>
        <v>-7.4732235613952369E-3</v>
      </c>
      <c r="F160" s="2">
        <f t="shared" si="11"/>
        <v>-8.5732536521584638E-3</v>
      </c>
      <c r="G160" s="2">
        <f t="shared" si="9"/>
        <v>1.1000300907632269E-3</v>
      </c>
      <c r="H160" s="2" t="str">
        <f t="shared" si="10"/>
        <v>Sell</v>
      </c>
    </row>
    <row r="161" spans="1:8" ht="13.5" x14ac:dyDescent="0.25">
      <c r="A161" s="3">
        <f>TITRES_STAT!B164</f>
        <v>45154</v>
      </c>
      <c r="B161" s="5">
        <f>TITRES_STAT!D164</f>
        <v>5.766</v>
      </c>
      <c r="C161" s="2">
        <f t="shared" si="12"/>
        <v>5.755828901161876</v>
      </c>
      <c r="D161" s="2">
        <f t="shared" si="14"/>
        <v>5.7617896611346593</v>
      </c>
      <c r="E161" s="2">
        <f t="shared" si="13"/>
        <v>-5.960759972783336E-3</v>
      </c>
      <c r="F161" s="2">
        <f t="shared" si="11"/>
        <v>-8.0507549162834383E-3</v>
      </c>
      <c r="G161" s="2">
        <f t="shared" si="9"/>
        <v>2.0899949435001022E-3</v>
      </c>
      <c r="H161" s="2" t="str">
        <f t="shared" si="10"/>
        <v>Sell</v>
      </c>
    </row>
    <row r="162" spans="1:8" ht="13.5" x14ac:dyDescent="0.25">
      <c r="A162" s="3">
        <f>TITRES_STAT!B165</f>
        <v>45155</v>
      </c>
      <c r="B162" s="5">
        <f>TITRES_STAT!D165</f>
        <v>5.7569999999999997</v>
      </c>
      <c r="C162" s="2">
        <f t="shared" si="12"/>
        <v>5.7504706086754336</v>
      </c>
      <c r="D162" s="2">
        <f t="shared" si="14"/>
        <v>5.7614348714209811</v>
      </c>
      <c r="E162" s="2">
        <f t="shared" si="13"/>
        <v>-1.0964262745547515E-2</v>
      </c>
      <c r="F162" s="2">
        <f t="shared" si="11"/>
        <v>-8.633456482136254E-3</v>
      </c>
      <c r="G162" s="2">
        <f t="shared" si="9"/>
        <v>-2.3308062634112611E-3</v>
      </c>
      <c r="H162" s="2" t="str">
        <f t="shared" si="10"/>
        <v>Hold</v>
      </c>
    </row>
    <row r="163" spans="1:8" ht="13.5" x14ac:dyDescent="0.25">
      <c r="A163" s="3">
        <f>TITRES_STAT!B166</f>
        <v>45156</v>
      </c>
      <c r="B163" s="5">
        <f>TITRES_STAT!D166</f>
        <v>5.766</v>
      </c>
      <c r="C163" s="2">
        <f t="shared" si="12"/>
        <v>5.7459366688792137</v>
      </c>
      <c r="D163" s="2">
        <f t="shared" si="14"/>
        <v>5.7617730290935016</v>
      </c>
      <c r="E163" s="2">
        <f t="shared" si="13"/>
        <v>-1.5836360214287915E-2</v>
      </c>
      <c r="F163" s="2">
        <f t="shared" si="11"/>
        <v>-1.0074037228566587E-2</v>
      </c>
      <c r="G163" s="2">
        <f t="shared" si="9"/>
        <v>-5.7623229857213278E-3</v>
      </c>
      <c r="H163" s="2" t="str">
        <f t="shared" si="10"/>
        <v>Hold</v>
      </c>
    </row>
    <row r="164" spans="1:8" ht="13.5" x14ac:dyDescent="0.25">
      <c r="A164" s="3">
        <f>TITRES_STAT!B167</f>
        <v>45159</v>
      </c>
      <c r="B164" s="5">
        <f>TITRES_STAT!D167</f>
        <v>5.766</v>
      </c>
      <c r="C164" s="2">
        <f t="shared" si="12"/>
        <v>5.7421002582824121</v>
      </c>
      <c r="D164" s="2">
        <f t="shared" si="14"/>
        <v>5.762086138049539</v>
      </c>
      <c r="E164" s="2">
        <f t="shared" si="13"/>
        <v>-1.9985879767126846E-2</v>
      </c>
      <c r="F164" s="2">
        <f t="shared" si="11"/>
        <v>-1.2056405736278638E-2</v>
      </c>
      <c r="G164" s="2">
        <f t="shared" ref="G164:G227" si="15">E164-F164</f>
        <v>-7.9294740308482083E-3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45160</v>
      </c>
      <c r="B165" s="5">
        <f>TITRES_STAT!D168</f>
        <v>5.766</v>
      </c>
      <c r="C165" s="2">
        <f t="shared" si="12"/>
        <v>5.745777141623579</v>
      </c>
      <c r="D165" s="2">
        <f t="shared" si="14"/>
        <v>5.7623760537495734</v>
      </c>
      <c r="E165" s="2">
        <f t="shared" si="13"/>
        <v>-1.6598912125994403E-2</v>
      </c>
      <c r="F165" s="2">
        <f t="shared" ref="F165:F228" si="17">(E165*(2/(10)))+((1-(2/10))*F164)</f>
        <v>-1.2964907014221792E-2</v>
      </c>
      <c r="G165" s="2">
        <f t="shared" si="15"/>
        <v>-3.6340051117726112E-3</v>
      </c>
      <c r="H165" s="2" t="str">
        <f t="shared" si="16"/>
        <v>Hold</v>
      </c>
    </row>
    <row r="166" spans="1:8" ht="13.5" x14ac:dyDescent="0.25">
      <c r="A166" s="3">
        <f>TITRES_STAT!B169</f>
        <v>45161</v>
      </c>
      <c r="B166" s="5">
        <f>TITRES_STAT!D169</f>
        <v>5.8010000000000002</v>
      </c>
      <c r="C166" s="2">
        <f t="shared" si="12"/>
        <v>5.7488883506045667</v>
      </c>
      <c r="D166" s="2">
        <f t="shared" si="14"/>
        <v>5.7652370868051612</v>
      </c>
      <c r="E166" s="2">
        <f t="shared" si="13"/>
        <v>-1.6348736200594516E-2</v>
      </c>
      <c r="F166" s="2">
        <f t="shared" si="17"/>
        <v>-1.3641672851496338E-2</v>
      </c>
      <c r="G166" s="2">
        <f t="shared" si="15"/>
        <v>-2.7070633490981783E-3</v>
      </c>
      <c r="H166" s="2" t="str">
        <f t="shared" si="16"/>
        <v>Hold</v>
      </c>
    </row>
    <row r="167" spans="1:8" ht="13.5" x14ac:dyDescent="0.25">
      <c r="A167" s="3">
        <f>TITRES_STAT!B170</f>
        <v>45162</v>
      </c>
      <c r="B167" s="5">
        <f>TITRES_STAT!D170</f>
        <v>5.8010000000000002</v>
      </c>
      <c r="C167" s="2">
        <f t="shared" si="12"/>
        <v>5.7515209120500179</v>
      </c>
      <c r="D167" s="2">
        <f t="shared" si="14"/>
        <v>5.7678861914862605</v>
      </c>
      <c r="E167" s="2">
        <f t="shared" si="13"/>
        <v>-1.6365279436242552E-2</v>
      </c>
      <c r="F167" s="2">
        <f t="shared" si="17"/>
        <v>-1.4186394168445582E-2</v>
      </c>
      <c r="G167" s="2">
        <f t="shared" si="15"/>
        <v>-2.1788852677969706E-3</v>
      </c>
      <c r="H167" s="2" t="str">
        <f t="shared" si="16"/>
        <v>Hold</v>
      </c>
    </row>
    <row r="168" spans="1:8" ht="13.5" x14ac:dyDescent="0.25">
      <c r="A168" s="3">
        <f>TITRES_STAT!B171</f>
        <v>45163</v>
      </c>
      <c r="B168" s="5">
        <f>TITRES_STAT!D171</f>
        <v>5.8010000000000002</v>
      </c>
      <c r="C168" s="2">
        <f t="shared" si="12"/>
        <v>5.7537484640423227</v>
      </c>
      <c r="D168" s="2">
        <f t="shared" si="14"/>
        <v>5.7703390661909815</v>
      </c>
      <c r="E168" s="2">
        <f t="shared" si="13"/>
        <v>-1.6590602148658817E-2</v>
      </c>
      <c r="F168" s="2">
        <f t="shared" si="17"/>
        <v>-1.4667235764488229E-2</v>
      </c>
      <c r="G168" s="2">
        <f t="shared" si="15"/>
        <v>-1.9233663841705887E-3</v>
      </c>
      <c r="H168" s="2" t="str">
        <f t="shared" si="16"/>
        <v>Hold</v>
      </c>
    </row>
    <row r="169" spans="1:8" ht="13.5" x14ac:dyDescent="0.25">
      <c r="A169" s="3">
        <f>TITRES_STAT!B172</f>
        <v>45166</v>
      </c>
      <c r="B169" s="5">
        <f>TITRES_STAT!D172</f>
        <v>5.8010000000000002</v>
      </c>
      <c r="C169" s="2">
        <f t="shared" si="12"/>
        <v>5.7556333157281188</v>
      </c>
      <c r="D169" s="2">
        <f t="shared" si="14"/>
        <v>5.7726102464731301</v>
      </c>
      <c r="E169" s="2">
        <f t="shared" si="13"/>
        <v>-1.6976930745011387E-2</v>
      </c>
      <c r="F169" s="2">
        <f t="shared" si="17"/>
        <v>-1.5129174760592862E-2</v>
      </c>
      <c r="G169" s="2">
        <f t="shared" si="15"/>
        <v>-1.8477559844185254E-3</v>
      </c>
      <c r="H169" s="2" t="str">
        <f t="shared" si="16"/>
        <v>Hold</v>
      </c>
    </row>
    <row r="170" spans="1:8" ht="13.5" x14ac:dyDescent="0.25">
      <c r="A170" s="3">
        <f>TITRES_STAT!B173</f>
        <v>45167</v>
      </c>
      <c r="B170" s="5">
        <f>TITRES_STAT!D173</f>
        <v>5.7830000000000004</v>
      </c>
      <c r="C170" s="2">
        <f t="shared" si="12"/>
        <v>5.7572281902314852</v>
      </c>
      <c r="D170" s="2">
        <f t="shared" si="14"/>
        <v>5.7733798578454909</v>
      </c>
      <c r="E170" s="2">
        <f t="shared" si="13"/>
        <v>-1.615166761400566E-2</v>
      </c>
      <c r="F170" s="2">
        <f t="shared" si="17"/>
        <v>-1.5333673331275423E-2</v>
      </c>
      <c r="G170" s="2">
        <f t="shared" si="15"/>
        <v>-8.179942827302375E-4</v>
      </c>
      <c r="H170" s="2" t="str">
        <f t="shared" si="16"/>
        <v>Hold</v>
      </c>
    </row>
    <row r="171" spans="1:8" ht="13.5" x14ac:dyDescent="0.25">
      <c r="A171" s="3">
        <f>TITRES_STAT!B174</f>
        <v>45168</v>
      </c>
      <c r="B171" s="5">
        <f>TITRES_STAT!D174</f>
        <v>5.7830000000000004</v>
      </c>
      <c r="C171" s="2">
        <f t="shared" si="12"/>
        <v>5.7585776994266409</v>
      </c>
      <c r="D171" s="2">
        <f t="shared" si="14"/>
        <v>5.7740924609680473</v>
      </c>
      <c r="E171" s="2">
        <f t="shared" si="13"/>
        <v>-1.5514761541406408E-2</v>
      </c>
      <c r="F171" s="2">
        <f t="shared" si="17"/>
        <v>-1.536989097330162E-2</v>
      </c>
      <c r="G171" s="2">
        <f t="shared" si="15"/>
        <v>-1.4487056810478724E-4</v>
      </c>
      <c r="H171" s="2" t="str">
        <f t="shared" si="16"/>
        <v>Hold</v>
      </c>
    </row>
    <row r="172" spans="1:8" ht="13.5" x14ac:dyDescent="0.25">
      <c r="A172" s="3">
        <f>TITRES_STAT!B175</f>
        <v>45169</v>
      </c>
      <c r="B172" s="5">
        <f>TITRES_STAT!D175</f>
        <v>5.766</v>
      </c>
      <c r="C172" s="2">
        <f t="shared" si="12"/>
        <v>5.7583349764379266</v>
      </c>
      <c r="D172" s="2">
        <f t="shared" si="14"/>
        <v>5.7734930194148593</v>
      </c>
      <c r="E172" s="2">
        <f t="shared" si="13"/>
        <v>-1.5158042976932684E-2</v>
      </c>
      <c r="F172" s="2">
        <f t="shared" si="17"/>
        <v>-1.5327521374027833E-2</v>
      </c>
      <c r="G172" s="2">
        <f t="shared" si="15"/>
        <v>1.6947839709514911E-4</v>
      </c>
      <c r="H172" s="2" t="str">
        <f t="shared" si="16"/>
        <v>Sell</v>
      </c>
    </row>
    <row r="173" spans="1:8" ht="13.5" x14ac:dyDescent="0.25">
      <c r="A173" s="3">
        <f>TITRES_STAT!B176</f>
        <v>45170</v>
      </c>
      <c r="B173" s="5">
        <f>TITRES_STAT!D176</f>
        <v>5.766</v>
      </c>
      <c r="C173" s="2">
        <f t="shared" si="12"/>
        <v>5.7595142108320916</v>
      </c>
      <c r="D173" s="2">
        <f t="shared" si="14"/>
        <v>5.7729379809396848</v>
      </c>
      <c r="E173" s="2">
        <f t="shared" si="13"/>
        <v>-1.3423770107593214E-2</v>
      </c>
      <c r="F173" s="2">
        <f t="shared" si="17"/>
        <v>-1.4946771120740911E-2</v>
      </c>
      <c r="G173" s="2">
        <f t="shared" si="15"/>
        <v>1.5230010131476977E-3</v>
      </c>
      <c r="H173" s="2" t="str">
        <f t="shared" si="16"/>
        <v>Sell</v>
      </c>
    </row>
    <row r="174" spans="1:8" ht="13.5" x14ac:dyDescent="0.25">
      <c r="A174" s="3">
        <f>TITRES_STAT!B177</f>
        <v>45173</v>
      </c>
      <c r="B174" s="5">
        <f>TITRES_STAT!D177</f>
        <v>5.7569999999999997</v>
      </c>
      <c r="C174" s="2">
        <f t="shared" si="12"/>
        <v>5.7605120245502315</v>
      </c>
      <c r="D174" s="2">
        <f t="shared" si="14"/>
        <v>5.7717573897589673</v>
      </c>
      <c r="E174" s="2">
        <f t="shared" si="13"/>
        <v>-1.1245365208735869E-2</v>
      </c>
      <c r="F174" s="2">
        <f t="shared" si="17"/>
        <v>-1.4206489938339903E-2</v>
      </c>
      <c r="G174" s="2">
        <f t="shared" si="15"/>
        <v>2.9611247296040342E-3</v>
      </c>
      <c r="H174" s="2" t="str">
        <f t="shared" si="16"/>
        <v>Sell</v>
      </c>
    </row>
    <row r="175" spans="1:8" ht="13.5" x14ac:dyDescent="0.25">
      <c r="A175" s="3">
        <f>TITRES_STAT!B178</f>
        <v>45174</v>
      </c>
      <c r="B175" s="5">
        <f>TITRES_STAT!D178</f>
        <v>5.7569999999999997</v>
      </c>
      <c r="C175" s="2">
        <f t="shared" si="12"/>
        <v>5.7613563284655802</v>
      </c>
      <c r="D175" s="2">
        <f t="shared" si="14"/>
        <v>5.7706642497768215</v>
      </c>
      <c r="E175" s="2">
        <f t="shared" si="13"/>
        <v>-9.3079213112412518E-3</v>
      </c>
      <c r="F175" s="2">
        <f t="shared" si="17"/>
        <v>-1.3226776212920174E-2</v>
      </c>
      <c r="G175" s="2">
        <f t="shared" si="15"/>
        <v>3.9188549016789219E-3</v>
      </c>
      <c r="H175" s="2" t="str">
        <f t="shared" si="16"/>
        <v>Sell</v>
      </c>
    </row>
    <row r="176" spans="1:8" ht="13.5" x14ac:dyDescent="0.25">
      <c r="A176" s="3">
        <f>TITRES_STAT!B179</f>
        <v>45175</v>
      </c>
      <c r="B176" s="5">
        <f>TITRES_STAT!D179</f>
        <v>5.7569999999999997</v>
      </c>
      <c r="C176" s="2">
        <f t="shared" si="12"/>
        <v>5.7674553548554908</v>
      </c>
      <c r="D176" s="2">
        <f t="shared" si="14"/>
        <v>5.7696520831266866</v>
      </c>
      <c r="E176" s="2">
        <f t="shared" si="13"/>
        <v>-2.1967282711958802E-3</v>
      </c>
      <c r="F176" s="2">
        <f t="shared" si="17"/>
        <v>-1.1020766624575315E-2</v>
      </c>
      <c r="G176" s="2">
        <f t="shared" si="15"/>
        <v>8.8240383533794344E-3</v>
      </c>
      <c r="H176" s="2" t="str">
        <f t="shared" si="16"/>
        <v>Sell</v>
      </c>
    </row>
    <row r="177" spans="1:8" ht="13.5" x14ac:dyDescent="0.25">
      <c r="A177" s="3">
        <f>TITRES_STAT!B180</f>
        <v>45176</v>
      </c>
      <c r="B177" s="5">
        <f>TITRES_STAT!D180</f>
        <v>5.7569999999999997</v>
      </c>
      <c r="C177" s="2">
        <f t="shared" si="12"/>
        <v>5.7726160694931075</v>
      </c>
      <c r="D177" s="2">
        <f t="shared" si="14"/>
        <v>5.7687148917839686</v>
      </c>
      <c r="E177" s="2">
        <f t="shared" si="13"/>
        <v>3.9011777091388922E-3</v>
      </c>
      <c r="F177" s="2">
        <f t="shared" si="17"/>
        <v>-8.0363777578324747E-3</v>
      </c>
      <c r="G177" s="2">
        <f t="shared" si="15"/>
        <v>1.1937555466971367E-2</v>
      </c>
      <c r="H177" s="2" t="str">
        <f t="shared" si="16"/>
        <v>Sell</v>
      </c>
    </row>
    <row r="178" spans="1:8" ht="13.5" x14ac:dyDescent="0.25">
      <c r="A178" s="3">
        <f>TITRES_STAT!B181</f>
        <v>45177</v>
      </c>
      <c r="B178" s="5">
        <f>TITRES_STAT!D181</f>
        <v>5.7569999999999997</v>
      </c>
      <c r="C178" s="2">
        <f t="shared" si="12"/>
        <v>5.7769828280326294</v>
      </c>
      <c r="D178" s="2">
        <f t="shared" si="14"/>
        <v>5.767847122022193</v>
      </c>
      <c r="E178" s="2">
        <f t="shared" si="13"/>
        <v>9.1357060104364507E-3</v>
      </c>
      <c r="F178" s="2">
        <f t="shared" si="17"/>
        <v>-4.6019610041786894E-3</v>
      </c>
      <c r="G178" s="2">
        <f t="shared" si="15"/>
        <v>1.3737667014615141E-2</v>
      </c>
      <c r="H178" s="2" t="str">
        <f t="shared" si="16"/>
        <v>Sell</v>
      </c>
    </row>
    <row r="179" spans="1:8" ht="13.5" x14ac:dyDescent="0.25">
      <c r="A179" s="3">
        <f>TITRES_STAT!B182</f>
        <v>45180</v>
      </c>
      <c r="B179" s="5">
        <f>TITRES_STAT!D182</f>
        <v>5.7569999999999997</v>
      </c>
      <c r="C179" s="2">
        <f t="shared" si="12"/>
        <v>5.7806777775660709</v>
      </c>
      <c r="D179" s="2">
        <f t="shared" si="14"/>
        <v>5.7670436315020304</v>
      </c>
      <c r="E179" s="2">
        <f t="shared" si="13"/>
        <v>1.3634146064040564E-2</v>
      </c>
      <c r="F179" s="2">
        <f t="shared" si="17"/>
        <v>-9.547395905348385E-4</v>
      </c>
      <c r="G179" s="2">
        <f t="shared" si="15"/>
        <v>1.4588885654575404E-2</v>
      </c>
      <c r="H179" s="2" t="str">
        <f t="shared" si="16"/>
        <v>Sell</v>
      </c>
    </row>
    <row r="180" spans="1:8" ht="13.5" x14ac:dyDescent="0.25">
      <c r="A180" s="3">
        <f>TITRES_STAT!B183</f>
        <v>45181</v>
      </c>
      <c r="B180" s="5">
        <f>TITRES_STAT!D183</f>
        <v>5.7569999999999997</v>
      </c>
      <c r="C180" s="2">
        <f t="shared" si="12"/>
        <v>5.7810350425559065</v>
      </c>
      <c r="D180" s="2">
        <f t="shared" si="14"/>
        <v>5.766299658798177</v>
      </c>
      <c r="E180" s="2">
        <f t="shared" si="13"/>
        <v>1.4735383757729537E-2</v>
      </c>
      <c r="F180" s="2">
        <f t="shared" si="17"/>
        <v>2.1832850791180364E-3</v>
      </c>
      <c r="G180" s="2">
        <f t="shared" si="15"/>
        <v>1.25520986786115E-2</v>
      </c>
      <c r="H180" s="2" t="str">
        <f t="shared" si="16"/>
        <v>Sell</v>
      </c>
    </row>
    <row r="181" spans="1:8" ht="13.5" x14ac:dyDescent="0.25">
      <c r="A181" s="3">
        <f>TITRES_STAT!B184</f>
        <v>45182</v>
      </c>
      <c r="B181" s="5">
        <f>TITRES_STAT!D184</f>
        <v>5.7480000000000002</v>
      </c>
      <c r="C181" s="2">
        <f t="shared" si="12"/>
        <v>5.7813373437011517</v>
      </c>
      <c r="D181" s="2">
        <f t="shared" si="14"/>
        <v>5.7649441285168299</v>
      </c>
      <c r="E181" s="2">
        <f t="shared" si="13"/>
        <v>1.6393215184321797E-2</v>
      </c>
      <c r="F181" s="2">
        <f t="shared" si="17"/>
        <v>5.0252711001587888E-3</v>
      </c>
      <c r="G181" s="2">
        <f t="shared" si="15"/>
        <v>1.1367944084163008E-2</v>
      </c>
      <c r="H181" s="2" t="str">
        <f t="shared" si="16"/>
        <v>Sell</v>
      </c>
    </row>
    <row r="182" spans="1:8" ht="13.5" x14ac:dyDescent="0.25">
      <c r="A182" s="3">
        <f>TITRES_STAT!B185</f>
        <v>45183</v>
      </c>
      <c r="B182" s="5">
        <f>TITRES_STAT!D185</f>
        <v>5.7389999999999999</v>
      </c>
      <c r="C182" s="2">
        <f t="shared" si="12"/>
        <v>5.778977752362513</v>
      </c>
      <c r="D182" s="2">
        <f t="shared" si="14"/>
        <v>5.7630223412192869</v>
      </c>
      <c r="E182" s="2">
        <f t="shared" si="13"/>
        <v>1.5955411143226073E-2</v>
      </c>
      <c r="F182" s="2">
        <f t="shared" si="17"/>
        <v>7.2112991087722456E-3</v>
      </c>
      <c r="G182" s="2">
        <f t="shared" si="15"/>
        <v>8.744112034453827E-3</v>
      </c>
      <c r="H182" s="2" t="str">
        <f t="shared" si="16"/>
        <v>Sell</v>
      </c>
    </row>
    <row r="183" spans="1:8" ht="13.5" x14ac:dyDescent="0.25">
      <c r="A183" s="3">
        <f>TITRES_STAT!B186</f>
        <v>45184</v>
      </c>
      <c r="B183" s="5">
        <f>TITRES_STAT!D186</f>
        <v>5.7389999999999999</v>
      </c>
      <c r="C183" s="2">
        <f t="shared" si="12"/>
        <v>5.7769811750759725</v>
      </c>
      <c r="D183" s="2">
        <f t="shared" si="14"/>
        <v>5.7612429085363761</v>
      </c>
      <c r="E183" s="2">
        <f t="shared" si="13"/>
        <v>1.5738266539596424E-2</v>
      </c>
      <c r="F183" s="2">
        <f t="shared" si="17"/>
        <v>8.9166925949370826E-3</v>
      </c>
      <c r="G183" s="2">
        <f t="shared" si="15"/>
        <v>6.8215739446593412E-3</v>
      </c>
      <c r="H183" s="2" t="str">
        <f t="shared" si="16"/>
        <v>Sell</v>
      </c>
    </row>
    <row r="184" spans="1:8" ht="13.5" x14ac:dyDescent="0.25">
      <c r="A184" s="3">
        <f>TITRES_STAT!B187</f>
        <v>45187</v>
      </c>
      <c r="B184" s="5">
        <f>TITRES_STAT!D187</f>
        <v>5.7119999999999997</v>
      </c>
      <c r="C184" s="2">
        <f t="shared" si="12"/>
        <v>5.7739071481412072</v>
      </c>
      <c r="D184" s="2">
        <f t="shared" si="14"/>
        <v>5.7575952856818295</v>
      </c>
      <c r="E184" s="2">
        <f t="shared" si="13"/>
        <v>1.6311862459377657E-2</v>
      </c>
      <c r="F184" s="2">
        <f t="shared" si="17"/>
        <v>1.0395726567825198E-2</v>
      </c>
      <c r="G184" s="2">
        <f t="shared" si="15"/>
        <v>5.9161358915524598E-3</v>
      </c>
      <c r="H184" s="2" t="str">
        <f t="shared" si="16"/>
        <v>Sell</v>
      </c>
    </row>
    <row r="185" spans="1:8" ht="13.5" x14ac:dyDescent="0.25">
      <c r="A185" s="3">
        <f>TITRES_STAT!B188</f>
        <v>45188</v>
      </c>
      <c r="B185" s="5">
        <f>TITRES_STAT!D188</f>
        <v>5.7210000000000001</v>
      </c>
      <c r="C185" s="2">
        <f t="shared" si="12"/>
        <v>5.7713060484271752</v>
      </c>
      <c r="D185" s="2">
        <f t="shared" si="14"/>
        <v>5.7548845237794719</v>
      </c>
      <c r="E185" s="2">
        <f t="shared" si="13"/>
        <v>1.6421524647703301E-2</v>
      </c>
      <c r="F185" s="2">
        <f t="shared" si="17"/>
        <v>1.1600886183800818E-2</v>
      </c>
      <c r="G185" s="2">
        <f t="shared" si="15"/>
        <v>4.8206384639024828E-3</v>
      </c>
      <c r="H185" s="2" t="str">
        <f t="shared" si="16"/>
        <v>Sell</v>
      </c>
    </row>
    <row r="186" spans="1:8" ht="13.5" x14ac:dyDescent="0.25">
      <c r="A186" s="3">
        <f>TITRES_STAT!B189</f>
        <v>45189</v>
      </c>
      <c r="B186" s="5">
        <f>TITRES_STAT!D189</f>
        <v>5.7210000000000001</v>
      </c>
      <c r="C186" s="2">
        <f t="shared" si="12"/>
        <v>5.7691051178999171</v>
      </c>
      <c r="D186" s="2">
        <f t="shared" si="14"/>
        <v>5.7523745590550668</v>
      </c>
      <c r="E186" s="2">
        <f t="shared" si="13"/>
        <v>1.6730558844850307E-2</v>
      </c>
      <c r="F186" s="2">
        <f t="shared" si="17"/>
        <v>1.2626820716010716E-2</v>
      </c>
      <c r="G186" s="2">
        <f t="shared" si="15"/>
        <v>4.1037381288395909E-3</v>
      </c>
      <c r="H186" s="2" t="str">
        <f t="shared" si="16"/>
        <v>Sell</v>
      </c>
    </row>
    <row r="187" spans="1:8" ht="13.5" x14ac:dyDescent="0.25">
      <c r="A187" s="3">
        <f>TITRES_STAT!B190</f>
        <v>45190</v>
      </c>
      <c r="B187" s="5">
        <f>TITRES_STAT!D190</f>
        <v>5.7389999999999999</v>
      </c>
      <c r="C187" s="2">
        <f t="shared" si="12"/>
        <v>5.7672427920691609</v>
      </c>
      <c r="D187" s="2">
        <f t="shared" si="14"/>
        <v>5.7513838509769135</v>
      </c>
      <c r="E187" s="2">
        <f t="shared" si="13"/>
        <v>1.5858941092247392E-2</v>
      </c>
      <c r="F187" s="2">
        <f t="shared" si="17"/>
        <v>1.3273244791258052E-2</v>
      </c>
      <c r="G187" s="2">
        <f t="shared" si="15"/>
        <v>2.5856963009893395E-3</v>
      </c>
      <c r="H187" s="2" t="str">
        <f t="shared" si="16"/>
        <v>Sell</v>
      </c>
    </row>
    <row r="188" spans="1:8" ht="13.5" x14ac:dyDescent="0.25">
      <c r="A188" s="3">
        <f>TITRES_STAT!B191</f>
        <v>45191</v>
      </c>
      <c r="B188" s="5">
        <f>TITRES_STAT!D191</f>
        <v>5.7389999999999999</v>
      </c>
      <c r="C188" s="2">
        <f t="shared" si="12"/>
        <v>5.765666977904675</v>
      </c>
      <c r="D188" s="2">
        <f t="shared" si="14"/>
        <v>5.7504665286823267</v>
      </c>
      <c r="E188" s="2">
        <f t="shared" si="13"/>
        <v>1.5200449222348311E-2</v>
      </c>
      <c r="F188" s="2">
        <f t="shared" si="17"/>
        <v>1.3658685677476105E-2</v>
      </c>
      <c r="G188" s="2">
        <f t="shared" si="15"/>
        <v>1.5417635448722062E-3</v>
      </c>
      <c r="H188" s="2" t="str">
        <f t="shared" si="16"/>
        <v>Sell</v>
      </c>
    </row>
    <row r="189" spans="1:8" ht="13.5" x14ac:dyDescent="0.25">
      <c r="A189" s="3">
        <f>TITRES_STAT!B192</f>
        <v>45194</v>
      </c>
      <c r="B189" s="5">
        <f>TITRES_STAT!D192</f>
        <v>5.73</v>
      </c>
      <c r="C189" s="2">
        <f t="shared" si="12"/>
        <v>5.7643335966885711</v>
      </c>
      <c r="D189" s="2">
        <f t="shared" si="14"/>
        <v>5.7489504895206727</v>
      </c>
      <c r="E189" s="2">
        <f t="shared" si="13"/>
        <v>1.538310716789848E-2</v>
      </c>
      <c r="F189" s="2">
        <f t="shared" si="17"/>
        <v>1.4003569975560581E-2</v>
      </c>
      <c r="G189" s="2">
        <f t="shared" si="15"/>
        <v>1.3795371923378992E-3</v>
      </c>
      <c r="H189" s="2" t="str">
        <f t="shared" si="16"/>
        <v>Sell</v>
      </c>
    </row>
    <row r="190" spans="1:8" ht="13.5" x14ac:dyDescent="0.25">
      <c r="A190" s="3">
        <f>TITRES_STAT!B193</f>
        <v>45195</v>
      </c>
      <c r="B190" s="5">
        <f>TITRES_STAT!D193</f>
        <v>5.73</v>
      </c>
      <c r="C190" s="2">
        <f t="shared" si="12"/>
        <v>5.7632053510441752</v>
      </c>
      <c r="D190" s="2">
        <f t="shared" si="14"/>
        <v>5.7475467495561778</v>
      </c>
      <c r="E190" s="2">
        <f t="shared" si="13"/>
        <v>1.5658601487997359E-2</v>
      </c>
      <c r="F190" s="2">
        <f t="shared" si="17"/>
        <v>1.4334576278047937E-2</v>
      </c>
      <c r="G190" s="2">
        <f t="shared" si="15"/>
        <v>1.3240252099494219E-3</v>
      </c>
      <c r="H190" s="2" t="str">
        <f t="shared" si="16"/>
        <v>Sell</v>
      </c>
    </row>
    <row r="191" spans="1:8" ht="13.5" x14ac:dyDescent="0.25">
      <c r="A191" s="3">
        <f>TITRES_STAT!B194</f>
        <v>45197</v>
      </c>
      <c r="B191" s="5">
        <f>TITRES_STAT!D194</f>
        <v>5.7210000000000001</v>
      </c>
      <c r="C191" s="2">
        <f t="shared" si="12"/>
        <v>5.7608660662681483</v>
      </c>
      <c r="D191" s="2">
        <f t="shared" si="14"/>
        <v>5.7455803236631278</v>
      </c>
      <c r="E191" s="2">
        <f t="shared" si="13"/>
        <v>1.528574260502058E-2</v>
      </c>
      <c r="F191" s="2">
        <f t="shared" si="17"/>
        <v>1.4524809543442466E-2</v>
      </c>
      <c r="G191" s="2">
        <f t="shared" si="15"/>
        <v>7.6093306157811423E-4</v>
      </c>
      <c r="H191" s="2" t="str">
        <f t="shared" si="16"/>
        <v>Sell</v>
      </c>
    </row>
    <row r="192" spans="1:8" ht="13.5" x14ac:dyDescent="0.25">
      <c r="A192" s="3">
        <f>TITRES_STAT!B195</f>
        <v>45198</v>
      </c>
      <c r="B192" s="5">
        <f>TITRES_STAT!D195</f>
        <v>5.7039999999999997</v>
      </c>
      <c r="C192" s="2">
        <f t="shared" si="12"/>
        <v>5.7575020560730481</v>
      </c>
      <c r="D192" s="2">
        <f t="shared" si="14"/>
        <v>5.7425002996880812</v>
      </c>
      <c r="E192" s="2">
        <f t="shared" si="13"/>
        <v>1.5001756384966924E-2</v>
      </c>
      <c r="F192" s="2">
        <f t="shared" si="17"/>
        <v>1.4620198911747359E-2</v>
      </c>
      <c r="G192" s="2">
        <f t="shared" si="15"/>
        <v>3.8155747321956535E-4</v>
      </c>
      <c r="H192" s="2" t="str">
        <f t="shared" si="16"/>
        <v>Sell</v>
      </c>
    </row>
    <row r="193" spans="1:8" ht="13.5" x14ac:dyDescent="0.25">
      <c r="A193" s="3">
        <f>TITRES_STAT!B196</f>
        <v>45201</v>
      </c>
      <c r="B193" s="5">
        <f>TITRES_STAT!D196</f>
        <v>5.7119999999999997</v>
      </c>
      <c r="C193" s="2">
        <f t="shared" si="12"/>
        <v>5.7546555859079636</v>
      </c>
      <c r="D193" s="2">
        <f t="shared" si="14"/>
        <v>5.740241018229705</v>
      </c>
      <c r="E193" s="2">
        <f t="shared" si="13"/>
        <v>1.441456767825855E-2</v>
      </c>
      <c r="F193" s="2">
        <f t="shared" si="17"/>
        <v>1.4579072665049597E-2</v>
      </c>
      <c r="G193" s="2">
        <f t="shared" si="15"/>
        <v>-1.6450498679104752E-4</v>
      </c>
      <c r="H193" s="2" t="str">
        <f t="shared" si="16"/>
        <v>Hold</v>
      </c>
    </row>
    <row r="194" spans="1:8" ht="13.5" x14ac:dyDescent="0.25">
      <c r="A194" s="3">
        <f>TITRES_STAT!B197</f>
        <v>45202</v>
      </c>
      <c r="B194" s="5">
        <f>TITRES_STAT!D197</f>
        <v>5.7039999999999997</v>
      </c>
      <c r="C194" s="2">
        <f t="shared" si="12"/>
        <v>5.7480931880759689</v>
      </c>
      <c r="D194" s="2">
        <f t="shared" si="14"/>
        <v>5.7375564983608376</v>
      </c>
      <c r="E194" s="2">
        <f t="shared" si="13"/>
        <v>1.0536689715131331E-2</v>
      </c>
      <c r="F194" s="2">
        <f t="shared" si="17"/>
        <v>1.3770596075065946E-2</v>
      </c>
      <c r="G194" s="2">
        <f t="shared" si="15"/>
        <v>-3.233906359934615E-3</v>
      </c>
      <c r="H194" s="2" t="str">
        <f t="shared" si="16"/>
        <v>Hold</v>
      </c>
    </row>
    <row r="195" spans="1:8" ht="13.5" x14ac:dyDescent="0.25">
      <c r="A195" s="3">
        <f>TITRES_STAT!B198</f>
        <v>45203</v>
      </c>
      <c r="B195" s="5">
        <f>TITRES_STAT!D198</f>
        <v>5.7039999999999997</v>
      </c>
      <c r="C195" s="2">
        <f t="shared" si="12"/>
        <v>5.7439250052950506</v>
      </c>
      <c r="D195" s="2">
        <f t="shared" si="14"/>
        <v>5.7350708318155901</v>
      </c>
      <c r="E195" s="2">
        <f t="shared" si="13"/>
        <v>8.854173479460492E-3</v>
      </c>
      <c r="F195" s="2">
        <f t="shared" si="17"/>
        <v>1.2787311555944855E-2</v>
      </c>
      <c r="G195" s="2">
        <f t="shared" si="15"/>
        <v>-3.9331380764843632E-3</v>
      </c>
      <c r="H195" s="2" t="str">
        <f t="shared" si="16"/>
        <v>Hold</v>
      </c>
    </row>
    <row r="196" spans="1:8" ht="13.5" x14ac:dyDescent="0.25">
      <c r="A196" s="3">
        <f>TITRES_STAT!B199</f>
        <v>45204</v>
      </c>
      <c r="B196" s="5">
        <f>TITRES_STAT!D199</f>
        <v>5.7039999999999997</v>
      </c>
      <c r="C196" s="2">
        <f t="shared" si="12"/>
        <v>5.7403980814035043</v>
      </c>
      <c r="D196" s="2">
        <f t="shared" si="14"/>
        <v>5.7327692887181385</v>
      </c>
      <c r="E196" s="2">
        <f t="shared" si="13"/>
        <v>7.6287926853657595E-3</v>
      </c>
      <c r="F196" s="2">
        <f t="shared" si="17"/>
        <v>1.1755607781829037E-2</v>
      </c>
      <c r="G196" s="2">
        <f t="shared" si="15"/>
        <v>-4.1268150964632773E-3</v>
      </c>
      <c r="H196" s="2" t="str">
        <f t="shared" si="16"/>
        <v>Hold</v>
      </c>
    </row>
    <row r="197" spans="1:8" ht="13.5" x14ac:dyDescent="0.25">
      <c r="A197" s="3">
        <f>TITRES_STAT!B200</f>
        <v>45205</v>
      </c>
      <c r="B197" s="5">
        <f>TITRES_STAT!D200</f>
        <v>5.7039999999999997</v>
      </c>
      <c r="C197" s="2">
        <f t="shared" si="12"/>
        <v>5.7401829919568108</v>
      </c>
      <c r="D197" s="2">
        <f t="shared" si="14"/>
        <v>5.7306382302945726</v>
      </c>
      <c r="E197" s="2">
        <f t="shared" si="13"/>
        <v>9.5447616622381659E-3</v>
      </c>
      <c r="F197" s="2">
        <f t="shared" si="17"/>
        <v>1.1313438557910864E-2</v>
      </c>
      <c r="G197" s="2">
        <f t="shared" si="15"/>
        <v>-1.7686768956726977E-3</v>
      </c>
      <c r="H197" s="2" t="str">
        <f t="shared" si="16"/>
        <v>Hold</v>
      </c>
    </row>
    <row r="198" spans="1:8" ht="13.5" x14ac:dyDescent="0.25">
      <c r="A198" s="3">
        <f>TITRES_STAT!B201</f>
        <v>45208</v>
      </c>
      <c r="B198" s="5">
        <f>TITRES_STAT!D201</f>
        <v>5.7210000000000001</v>
      </c>
      <c r="C198" s="2">
        <f t="shared" si="12"/>
        <v>5.740000993194224</v>
      </c>
      <c r="D198" s="2">
        <f t="shared" si="14"/>
        <v>5.7299242873097898</v>
      </c>
      <c r="E198" s="2">
        <f t="shared" si="13"/>
        <v>1.0076705884434212E-2</v>
      </c>
      <c r="F198" s="2">
        <f t="shared" si="17"/>
        <v>1.1066092023215533E-2</v>
      </c>
      <c r="G198" s="2">
        <f t="shared" si="15"/>
        <v>-9.8938613878132159E-4</v>
      </c>
      <c r="H198" s="2" t="str">
        <f t="shared" si="16"/>
        <v>Hold</v>
      </c>
    </row>
    <row r="199" spans="1:8" ht="13.5" x14ac:dyDescent="0.25">
      <c r="A199" s="3">
        <f>TITRES_STAT!B202</f>
        <v>45209</v>
      </c>
      <c r="B199" s="5">
        <f>TITRES_STAT!D202</f>
        <v>5.6859999999999999</v>
      </c>
      <c r="C199" s="2">
        <f t="shared" si="12"/>
        <v>5.7384623788566511</v>
      </c>
      <c r="D199" s="2">
        <f t="shared" si="14"/>
        <v>5.7266706363979534</v>
      </c>
      <c r="E199" s="2">
        <f t="shared" si="13"/>
        <v>1.179174245869774E-2</v>
      </c>
      <c r="F199" s="2">
        <f t="shared" si="17"/>
        <v>1.1211222110311975E-2</v>
      </c>
      <c r="G199" s="2">
        <f t="shared" si="15"/>
        <v>5.8052034838576572E-4</v>
      </c>
      <c r="H199" s="2" t="str">
        <f t="shared" si="16"/>
        <v>Sell</v>
      </c>
    </row>
    <row r="200" spans="1:8" ht="13.5" x14ac:dyDescent="0.25">
      <c r="A200" s="3">
        <f>TITRES_STAT!B203</f>
        <v>45210</v>
      </c>
      <c r="B200" s="5">
        <f>TITRES_STAT!D203</f>
        <v>5.6859999999999999</v>
      </c>
      <c r="C200" s="2">
        <f t="shared" si="12"/>
        <v>5.7371604744171663</v>
      </c>
      <c r="D200" s="2">
        <f t="shared" si="14"/>
        <v>5.7236579966647714</v>
      </c>
      <c r="E200" s="2">
        <f t="shared" si="13"/>
        <v>1.3502477752394881E-2</v>
      </c>
      <c r="F200" s="2">
        <f t="shared" si="17"/>
        <v>1.1669473238728557E-2</v>
      </c>
      <c r="G200" s="2">
        <f t="shared" si="15"/>
        <v>1.8330045136663239E-3</v>
      </c>
      <c r="H200" s="2" t="str">
        <f t="shared" si="16"/>
        <v>Sell</v>
      </c>
    </row>
    <row r="201" spans="1:8" ht="13.5" x14ac:dyDescent="0.25">
      <c r="A201" s="3">
        <f>TITRES_STAT!B204</f>
        <v>45211</v>
      </c>
      <c r="B201" s="5">
        <f>TITRES_STAT!D204</f>
        <v>5.6859999999999999</v>
      </c>
      <c r="C201" s="2">
        <f t="shared" si="12"/>
        <v>5.7346742475837562</v>
      </c>
      <c r="D201" s="2">
        <f t="shared" si="14"/>
        <v>5.720868515430344</v>
      </c>
      <c r="E201" s="2">
        <f t="shared" si="13"/>
        <v>1.3805732153412187E-2</v>
      </c>
      <c r="F201" s="2">
        <f t="shared" si="17"/>
        <v>1.2096725021665283E-2</v>
      </c>
      <c r="G201" s="2">
        <f t="shared" si="15"/>
        <v>1.7090071317469036E-3</v>
      </c>
      <c r="H201" s="2" t="str">
        <f t="shared" si="16"/>
        <v>Sell</v>
      </c>
    </row>
    <row r="202" spans="1:8" ht="13.5" x14ac:dyDescent="0.25">
      <c r="A202" s="3">
        <f>TITRES_STAT!B205</f>
        <v>45212</v>
      </c>
      <c r="B202" s="5">
        <f>TITRES_STAT!D205</f>
        <v>5.6950000000000003</v>
      </c>
      <c r="C202" s="2">
        <f t="shared" si="12"/>
        <v>5.7299551325708702</v>
      </c>
      <c r="D202" s="2">
        <f t="shared" si="14"/>
        <v>5.7189523291021702</v>
      </c>
      <c r="E202" s="2">
        <f t="shared" si="13"/>
        <v>1.1002803468699973E-2</v>
      </c>
      <c r="F202" s="2">
        <f t="shared" si="17"/>
        <v>1.1877940711072222E-2</v>
      </c>
      <c r="G202" s="2">
        <f t="shared" si="15"/>
        <v>-8.751372423722488E-4</v>
      </c>
      <c r="H202" s="2" t="str">
        <f t="shared" si="16"/>
        <v>Hold</v>
      </c>
    </row>
    <row r="203" spans="1:8" ht="13.5" x14ac:dyDescent="0.25">
      <c r="A203" s="3">
        <f>TITRES_STAT!B206</f>
        <v>45215</v>
      </c>
      <c r="B203" s="5">
        <f>TITRES_STAT!D206</f>
        <v>5.6950000000000003</v>
      </c>
      <c r="C203" s="2">
        <f t="shared" si="12"/>
        <v>5.7271928044830434</v>
      </c>
      <c r="D203" s="2">
        <f t="shared" si="14"/>
        <v>5.7171780825020093</v>
      </c>
      <c r="E203" s="2">
        <f t="shared" si="13"/>
        <v>1.0014721981034036E-2</v>
      </c>
      <c r="F203" s="2">
        <f t="shared" si="17"/>
        <v>1.1505296965064585E-2</v>
      </c>
      <c r="G203" s="2">
        <f t="shared" si="15"/>
        <v>-1.4905749840305495E-3</v>
      </c>
      <c r="H203" s="2" t="str">
        <f t="shared" si="16"/>
        <v>Hold</v>
      </c>
    </row>
    <row r="204" spans="1:8" ht="13.5" x14ac:dyDescent="0.25">
      <c r="A204" s="3">
        <f>TITRES_STAT!B207</f>
        <v>45216</v>
      </c>
      <c r="B204" s="5">
        <f>TITRES_STAT!D207</f>
        <v>5.6950000000000003</v>
      </c>
      <c r="C204" s="2">
        <f t="shared" si="12"/>
        <v>5.7236246807164211</v>
      </c>
      <c r="D204" s="2">
        <f t="shared" si="14"/>
        <v>5.7155352615759343</v>
      </c>
      <c r="E204" s="2">
        <f t="shared" si="13"/>
        <v>8.0894191404867755E-3</v>
      </c>
      <c r="F204" s="2">
        <f t="shared" si="17"/>
        <v>1.0822121400149024E-2</v>
      </c>
      <c r="G204" s="2">
        <f t="shared" si="15"/>
        <v>-2.7327022596622483E-3</v>
      </c>
      <c r="H204" s="2" t="str">
        <f t="shared" si="16"/>
        <v>Hold</v>
      </c>
    </row>
    <row r="205" spans="1:8" ht="13.5" x14ac:dyDescent="0.25">
      <c r="A205" s="3">
        <f>TITRES_STAT!B208</f>
        <v>45217</v>
      </c>
      <c r="B205" s="5">
        <f>TITRES_STAT!D208</f>
        <v>5.6769999999999996</v>
      </c>
      <c r="C205" s="2">
        <f t="shared" si="12"/>
        <v>5.7206054990677409</v>
      </c>
      <c r="D205" s="2">
        <f t="shared" si="14"/>
        <v>5.7126807977554943</v>
      </c>
      <c r="E205" s="2">
        <f t="shared" si="13"/>
        <v>7.9247013122465404E-3</v>
      </c>
      <c r="F205" s="2">
        <f t="shared" si="17"/>
        <v>1.0242637382568528E-2</v>
      </c>
      <c r="G205" s="2">
        <f t="shared" si="15"/>
        <v>-2.3179360703219874E-3</v>
      </c>
      <c r="H205" s="2" t="str">
        <f t="shared" si="16"/>
        <v>Hold</v>
      </c>
    </row>
    <row r="206" spans="1:8" ht="13.5" x14ac:dyDescent="0.25">
      <c r="A206" s="3">
        <f>TITRES_STAT!B209</f>
        <v>45218</v>
      </c>
      <c r="B206" s="5">
        <f>TITRES_STAT!D209</f>
        <v>5.6769999999999996</v>
      </c>
      <c r="C206" s="2">
        <f t="shared" si="12"/>
        <v>5.7180508069034737</v>
      </c>
      <c r="D206" s="2">
        <f t="shared" si="14"/>
        <v>5.710037775699532</v>
      </c>
      <c r="E206" s="2">
        <f t="shared" si="13"/>
        <v>8.0130312039417007E-3</v>
      </c>
      <c r="F206" s="2">
        <f t="shared" si="17"/>
        <v>9.7967161468431631E-3</v>
      </c>
      <c r="G206" s="2">
        <f t="shared" si="15"/>
        <v>-1.7836849429014624E-3</v>
      </c>
      <c r="H206" s="2" t="str">
        <f t="shared" si="16"/>
        <v>Hold</v>
      </c>
    </row>
    <row r="207" spans="1:8" ht="13.5" x14ac:dyDescent="0.25">
      <c r="A207" s="3">
        <f>TITRES_STAT!B210</f>
        <v>45219</v>
      </c>
      <c r="B207" s="5">
        <f>TITRES_STAT!D210</f>
        <v>5.6950000000000003</v>
      </c>
      <c r="C207" s="2">
        <f t="shared" ref="C207:C270" si="18">$C$4*B197+C206*(1-$C$4)</f>
        <v>5.71588914430294</v>
      </c>
      <c r="D207" s="2">
        <f t="shared" si="14"/>
        <v>5.7089238663884556</v>
      </c>
      <c r="E207" s="2">
        <f t="shared" si="13"/>
        <v>6.9652779144844246E-3</v>
      </c>
      <c r="F207" s="2">
        <f t="shared" si="17"/>
        <v>9.2304285003714168E-3</v>
      </c>
      <c r="G207" s="2">
        <f t="shared" si="15"/>
        <v>-2.2651505858869922E-3</v>
      </c>
      <c r="H207" s="2" t="str">
        <f t="shared" si="16"/>
        <v>Hold</v>
      </c>
    </row>
    <row r="208" spans="1:8" ht="13.5" x14ac:dyDescent="0.25">
      <c r="A208" s="3">
        <f>TITRES_STAT!B211</f>
        <v>45222</v>
      </c>
      <c r="B208" s="5">
        <f>TITRES_STAT!D211</f>
        <v>5.6769999999999996</v>
      </c>
      <c r="C208" s="2">
        <f t="shared" si="18"/>
        <v>5.7166754297947957</v>
      </c>
      <c r="D208" s="2">
        <f t="shared" si="14"/>
        <v>5.7065591355448664</v>
      </c>
      <c r="E208" s="2">
        <f t="shared" si="13"/>
        <v>1.0116294249929325E-2</v>
      </c>
      <c r="F208" s="2">
        <f t="shared" si="17"/>
        <v>9.4076016502829991E-3</v>
      </c>
      <c r="G208" s="2">
        <f t="shared" si="15"/>
        <v>7.08692599646326E-4</v>
      </c>
      <c r="H208" s="2" t="str">
        <f t="shared" si="16"/>
        <v>Sell</v>
      </c>
    </row>
    <row r="209" spans="1:8" ht="13.5" x14ac:dyDescent="0.25">
      <c r="A209" s="3">
        <f>TITRES_STAT!B212</f>
        <v>45223</v>
      </c>
      <c r="B209" s="5">
        <f>TITRES_STAT!D212</f>
        <v>5.6769999999999996</v>
      </c>
      <c r="C209" s="2">
        <f t="shared" si="18"/>
        <v>5.7119561329032891</v>
      </c>
      <c r="D209" s="2">
        <f t="shared" si="14"/>
        <v>5.7043695699489501</v>
      </c>
      <c r="E209" s="2">
        <f t="shared" si="13"/>
        <v>7.5865629543390156E-3</v>
      </c>
      <c r="F209" s="2">
        <f t="shared" si="17"/>
        <v>9.0433939110942038E-3</v>
      </c>
      <c r="G209" s="2">
        <f t="shared" si="15"/>
        <v>-1.4568309567551882E-3</v>
      </c>
      <c r="H209" s="2" t="str">
        <f t="shared" si="16"/>
        <v>Hold</v>
      </c>
    </row>
    <row r="210" spans="1:8" ht="13.5" x14ac:dyDescent="0.25">
      <c r="A210" s="3">
        <f>TITRES_STAT!B213</f>
        <v>45224</v>
      </c>
      <c r="B210" s="5">
        <f>TITRES_STAT!D213</f>
        <v>5.6769999999999996</v>
      </c>
      <c r="C210" s="2">
        <f t="shared" si="18"/>
        <v>5.7079628816873988</v>
      </c>
      <c r="D210" s="2">
        <f t="shared" si="14"/>
        <v>5.7023421943971755</v>
      </c>
      <c r="E210" s="2">
        <f t="shared" si="13"/>
        <v>5.6206872902233584E-3</v>
      </c>
      <c r="F210" s="2">
        <f t="shared" si="17"/>
        <v>8.3588525869200351E-3</v>
      </c>
      <c r="G210" s="2">
        <f t="shared" si="15"/>
        <v>-2.7381652966966766E-3</v>
      </c>
      <c r="H210" s="2" t="str">
        <f t="shared" si="16"/>
        <v>Hold</v>
      </c>
    </row>
    <row r="211" spans="1:8" ht="13.5" x14ac:dyDescent="0.25">
      <c r="A211" s="3">
        <f>TITRES_STAT!B214</f>
        <v>45225</v>
      </c>
      <c r="B211" s="5">
        <f>TITRES_STAT!D214</f>
        <v>5.6769999999999996</v>
      </c>
      <c r="C211" s="2">
        <f t="shared" si="18"/>
        <v>5.7045839768124145</v>
      </c>
      <c r="D211" s="2">
        <f t="shared" si="14"/>
        <v>5.700464994812199</v>
      </c>
      <c r="E211" s="2">
        <f t="shared" si="13"/>
        <v>4.118982000215432E-3</v>
      </c>
      <c r="F211" s="2">
        <f t="shared" si="17"/>
        <v>7.5108784695791147E-3</v>
      </c>
      <c r="G211" s="2">
        <f t="shared" si="15"/>
        <v>-3.3918964693636826E-3</v>
      </c>
      <c r="H211" s="2" t="str">
        <f t="shared" si="16"/>
        <v>Hold</v>
      </c>
    </row>
    <row r="212" spans="1:8" ht="13.5" x14ac:dyDescent="0.25">
      <c r="A212" s="3">
        <f>TITRES_STAT!B215</f>
        <v>45226</v>
      </c>
      <c r="B212" s="5">
        <f>TITRES_STAT!D215</f>
        <v>5.6769999999999996</v>
      </c>
      <c r="C212" s="2">
        <f t="shared" si="18"/>
        <v>5.7031095188412735</v>
      </c>
      <c r="D212" s="2">
        <f t="shared" si="14"/>
        <v>5.6987268470483325</v>
      </c>
      <c r="E212" s="2">
        <f t="shared" si="13"/>
        <v>4.3826717929409398E-3</v>
      </c>
      <c r="F212" s="2">
        <f t="shared" si="17"/>
        <v>6.8852371342514795E-3</v>
      </c>
      <c r="G212" s="2">
        <f t="shared" si="15"/>
        <v>-2.5025653413105397E-3</v>
      </c>
      <c r="H212" s="2" t="str">
        <f t="shared" si="16"/>
        <v>Hold</v>
      </c>
    </row>
    <row r="213" spans="1:8" ht="13.5" x14ac:dyDescent="0.25">
      <c r="A213" s="3">
        <f>TITRES_STAT!B216</f>
        <v>45229</v>
      </c>
      <c r="B213" s="5">
        <f>TITRES_STAT!D216</f>
        <v>5.6769999999999996</v>
      </c>
      <c r="C213" s="2">
        <f t="shared" si="18"/>
        <v>5.7018619005580007</v>
      </c>
      <c r="D213" s="2">
        <f t="shared" si="14"/>
        <v>5.6971174509706781</v>
      </c>
      <c r="E213" s="2">
        <f t="shared" si="13"/>
        <v>4.7444495873225634E-3</v>
      </c>
      <c r="F213" s="2">
        <f t="shared" si="17"/>
        <v>6.4570796248656966E-3</v>
      </c>
      <c r="G213" s="2">
        <f t="shared" si="15"/>
        <v>-1.7126300375431332E-3</v>
      </c>
      <c r="H213" s="2" t="str">
        <f t="shared" si="16"/>
        <v>Hold</v>
      </c>
    </row>
    <row r="214" spans="1:8" ht="13.5" x14ac:dyDescent="0.25">
      <c r="A214" s="3">
        <f>TITRES_STAT!B217</f>
        <v>45230</v>
      </c>
      <c r="B214" s="5">
        <f>TITRES_STAT!D217</f>
        <v>5.6769999999999996</v>
      </c>
      <c r="C214" s="2">
        <f t="shared" si="18"/>
        <v>5.7008062235490771</v>
      </c>
      <c r="D214" s="2">
        <f t="shared" si="14"/>
        <v>5.6956272694172947</v>
      </c>
      <c r="E214" s="2">
        <f t="shared" si="13"/>
        <v>5.1789541317823762E-3</v>
      </c>
      <c r="F214" s="2">
        <f t="shared" si="17"/>
        <v>6.2014545262490334E-3</v>
      </c>
      <c r="G214" s="2">
        <f t="shared" si="15"/>
        <v>-1.0225003944666572E-3</v>
      </c>
      <c r="H214" s="2" t="str">
        <f t="shared" si="16"/>
        <v>Hold</v>
      </c>
    </row>
    <row r="215" spans="1:8" ht="13.5" x14ac:dyDescent="0.25">
      <c r="A215" s="3">
        <f>TITRES_STAT!B218</f>
        <v>45231</v>
      </c>
      <c r="B215" s="5">
        <f>TITRES_STAT!D218</f>
        <v>5.6239999999999997</v>
      </c>
      <c r="C215" s="2">
        <f t="shared" si="18"/>
        <v>5.6971437276184496</v>
      </c>
      <c r="D215" s="2">
        <f t="shared" si="14"/>
        <v>5.6903215457567544</v>
      </c>
      <c r="E215" s="2">
        <f t="shared" si="13"/>
        <v>6.8221818616951424E-3</v>
      </c>
      <c r="F215" s="2">
        <f t="shared" si="17"/>
        <v>6.3255999933382557E-3</v>
      </c>
      <c r="G215" s="2">
        <f t="shared" si="15"/>
        <v>4.9658186835688668E-4</v>
      </c>
      <c r="H215" s="2" t="str">
        <f t="shared" si="16"/>
        <v>Sell</v>
      </c>
    </row>
    <row r="216" spans="1:8" ht="13.5" x14ac:dyDescent="0.25">
      <c r="A216" s="3">
        <f>TITRES_STAT!B219</f>
        <v>45232</v>
      </c>
      <c r="B216" s="5">
        <f>TITRES_STAT!D219</f>
        <v>5.633</v>
      </c>
      <c r="C216" s="2">
        <f t="shared" si="18"/>
        <v>5.6940446926002259</v>
      </c>
      <c r="D216" s="2">
        <f t="shared" si="14"/>
        <v>5.6860755053303276</v>
      </c>
      <c r="E216" s="2">
        <f t="shared" si="13"/>
        <v>7.9691872698983701E-3</v>
      </c>
      <c r="F216" s="2">
        <f t="shared" si="17"/>
        <v>6.6543174486502791E-3</v>
      </c>
      <c r="G216" s="2">
        <f t="shared" si="15"/>
        <v>1.314869821248091E-3</v>
      </c>
      <c r="H216" s="2" t="str">
        <f t="shared" si="16"/>
        <v>Sell</v>
      </c>
    </row>
    <row r="217" spans="1:8" ht="13.5" x14ac:dyDescent="0.25">
      <c r="A217" s="3">
        <f>TITRES_STAT!B220</f>
        <v>45233</v>
      </c>
      <c r="B217" s="5">
        <f>TITRES_STAT!D220</f>
        <v>5.6150000000000002</v>
      </c>
      <c r="C217" s="2">
        <f t="shared" si="18"/>
        <v>5.6941916629694216</v>
      </c>
      <c r="D217" s="2">
        <f t="shared" si="14"/>
        <v>5.6808106530836362</v>
      </c>
      <c r="E217" s="2">
        <f t="shared" si="13"/>
        <v>1.3381009885785389E-2</v>
      </c>
      <c r="F217" s="2">
        <f t="shared" si="17"/>
        <v>7.9996559360773004E-3</v>
      </c>
      <c r="G217" s="2">
        <f t="shared" si="15"/>
        <v>5.3813539497080884E-3</v>
      </c>
      <c r="H217" s="2" t="str">
        <f t="shared" si="16"/>
        <v>Sell</v>
      </c>
    </row>
    <row r="218" spans="1:8" ht="13.5" x14ac:dyDescent="0.25">
      <c r="A218" s="3">
        <f>TITRES_STAT!B221</f>
        <v>45236</v>
      </c>
      <c r="B218" s="5">
        <f>TITRES_STAT!D221</f>
        <v>5.6150000000000002</v>
      </c>
      <c r="C218" s="2">
        <f t="shared" si="18"/>
        <v>5.691546791743356</v>
      </c>
      <c r="D218" s="2">
        <f t="shared" si="14"/>
        <v>5.6759357898922556</v>
      </c>
      <c r="E218" s="2">
        <f t="shared" si="13"/>
        <v>1.5611001851100426E-2</v>
      </c>
      <c r="F218" s="2">
        <f t="shared" si="17"/>
        <v>9.5219251190819254E-3</v>
      </c>
      <c r="G218" s="2">
        <f t="shared" si="15"/>
        <v>6.0890767320185002E-3</v>
      </c>
      <c r="H218" s="2" t="str">
        <f t="shared" si="16"/>
        <v>Sell</v>
      </c>
    </row>
    <row r="219" spans="1:8" ht="13.5" x14ac:dyDescent="0.25">
      <c r="A219" s="3">
        <f>TITRES_STAT!B222</f>
        <v>45237</v>
      </c>
      <c r="B219" s="5">
        <f>TITRES_STAT!D222</f>
        <v>5.5880000000000001</v>
      </c>
      <c r="C219" s="2">
        <f t="shared" si="18"/>
        <v>5.6893088237828398</v>
      </c>
      <c r="D219" s="2">
        <f t="shared" si="14"/>
        <v>5.6694220276780145</v>
      </c>
      <c r="E219" s="2">
        <f t="shared" si="13"/>
        <v>1.9886796104825244E-2</v>
      </c>
      <c r="F219" s="2">
        <f t="shared" si="17"/>
        <v>1.1594899316230589E-2</v>
      </c>
      <c r="G219" s="2">
        <f t="shared" si="15"/>
        <v>8.2918967885946548E-3</v>
      </c>
      <c r="H219" s="2" t="str">
        <f t="shared" si="16"/>
        <v>Sell</v>
      </c>
    </row>
    <row r="220" spans="1:8" ht="13.5" x14ac:dyDescent="0.25">
      <c r="A220" s="3">
        <f>TITRES_STAT!B223</f>
        <v>45238</v>
      </c>
      <c r="B220" s="5">
        <f>TITRES_STAT!D223</f>
        <v>5.5880000000000001</v>
      </c>
      <c r="C220" s="2">
        <f t="shared" si="18"/>
        <v>5.6874151585854804</v>
      </c>
      <c r="D220" s="2">
        <f t="shared" si="14"/>
        <v>5.6633907663685319</v>
      </c>
      <c r="E220" s="2">
        <f t="shared" ref="E220:E283" si="19">C220-D220</f>
        <v>2.402439221694852E-2</v>
      </c>
      <c r="F220" s="2">
        <f t="shared" si="17"/>
        <v>1.4080797896374175E-2</v>
      </c>
      <c r="G220" s="2">
        <f t="shared" si="15"/>
        <v>9.9435943205743449E-3</v>
      </c>
      <c r="H220" s="2" t="str">
        <f t="shared" si="16"/>
        <v>Sell</v>
      </c>
    </row>
    <row r="221" spans="1:8" ht="13.5" x14ac:dyDescent="0.25">
      <c r="A221" s="3">
        <f>TITRES_STAT!B224</f>
        <v>45239</v>
      </c>
      <c r="B221" s="5">
        <f>TITRES_STAT!D224</f>
        <v>5.5880000000000001</v>
      </c>
      <c r="C221" s="2">
        <f t="shared" si="18"/>
        <v>5.6858128264954058</v>
      </c>
      <c r="D221" s="2">
        <f t="shared" ref="D221:D284" si="20">$D$4*B221+(1-$D$4)*D220</f>
        <v>5.6578062651560481</v>
      </c>
      <c r="E221" s="2">
        <f t="shared" si="19"/>
        <v>2.8006561339357638E-2</v>
      </c>
      <c r="F221" s="2">
        <f t="shared" si="17"/>
        <v>1.6865950584970868E-2</v>
      </c>
      <c r="G221" s="2">
        <f t="shared" si="15"/>
        <v>1.1140610754386771E-2</v>
      </c>
      <c r="H221" s="2" t="str">
        <f t="shared" si="16"/>
        <v>Sell</v>
      </c>
    </row>
    <row r="222" spans="1:8" ht="13.5" x14ac:dyDescent="0.25">
      <c r="A222" s="3">
        <f>TITRES_STAT!B225</f>
        <v>45240</v>
      </c>
      <c r="B222" s="5">
        <f>TITRES_STAT!D225</f>
        <v>5.5880000000000001</v>
      </c>
      <c r="C222" s="2">
        <f t="shared" si="18"/>
        <v>5.6844570070345739</v>
      </c>
      <c r="D222" s="2">
        <f t="shared" si="20"/>
        <v>5.6526354307000446</v>
      </c>
      <c r="E222" s="2">
        <f t="shared" si="19"/>
        <v>3.1821576334529311E-2</v>
      </c>
      <c r="F222" s="2">
        <f t="shared" si="17"/>
        <v>1.9857075734882559E-2</v>
      </c>
      <c r="G222" s="2">
        <f t="shared" si="15"/>
        <v>1.1964500599646752E-2</v>
      </c>
      <c r="H222" s="2" t="str">
        <f t="shared" si="16"/>
        <v>Sell</v>
      </c>
    </row>
    <row r="223" spans="1:8" ht="13.5" x14ac:dyDescent="0.25">
      <c r="A223" s="3">
        <f>TITRES_STAT!B226</f>
        <v>45243</v>
      </c>
      <c r="B223" s="5">
        <f>TITRES_STAT!D226</f>
        <v>5.5789999999999997</v>
      </c>
      <c r="C223" s="2">
        <f t="shared" si="18"/>
        <v>5.6833097751831012</v>
      </c>
      <c r="D223" s="2">
        <f t="shared" si="20"/>
        <v>5.6471809543518932</v>
      </c>
      <c r="E223" s="2">
        <f t="shared" si="19"/>
        <v>3.6128820831208053E-2</v>
      </c>
      <c r="F223" s="2">
        <f t="shared" si="17"/>
        <v>2.3111424754147659E-2</v>
      </c>
      <c r="G223" s="2">
        <f t="shared" si="15"/>
        <v>1.3017396077060393E-2</v>
      </c>
      <c r="H223" s="2" t="str">
        <f t="shared" si="16"/>
        <v>Sell</v>
      </c>
    </row>
    <row r="224" spans="1:8" ht="13.5" x14ac:dyDescent="0.25">
      <c r="A224" s="3">
        <f>TITRES_STAT!B227</f>
        <v>45244</v>
      </c>
      <c r="B224" s="5">
        <f>TITRES_STAT!D227</f>
        <v>5.5789999999999997</v>
      </c>
      <c r="C224" s="2">
        <f t="shared" si="18"/>
        <v>5.6823390405395475</v>
      </c>
      <c r="D224" s="2">
        <f t="shared" si="20"/>
        <v>5.64213051328879</v>
      </c>
      <c r="E224" s="2">
        <f t="shared" si="19"/>
        <v>4.020852725075752E-2</v>
      </c>
      <c r="F224" s="2">
        <f t="shared" si="17"/>
        <v>2.6530845253469632E-2</v>
      </c>
      <c r="G224" s="2">
        <f t="shared" si="15"/>
        <v>1.3677681997287888E-2</v>
      </c>
      <c r="H224" s="2" t="str">
        <f t="shared" si="16"/>
        <v>Sell</v>
      </c>
    </row>
    <row r="225" spans="1:8" ht="13.5" x14ac:dyDescent="0.25">
      <c r="A225" s="3">
        <f>TITRES_STAT!B228</f>
        <v>45245</v>
      </c>
      <c r="B225" s="5">
        <f>TITRES_STAT!D228</f>
        <v>5.5789999999999997</v>
      </c>
      <c r="C225" s="2">
        <f t="shared" si="18"/>
        <v>5.673363803533463</v>
      </c>
      <c r="D225" s="2">
        <f t="shared" si="20"/>
        <v>5.6374541789711019</v>
      </c>
      <c r="E225" s="2">
        <f t="shared" si="19"/>
        <v>3.5909624562361131E-2</v>
      </c>
      <c r="F225" s="2">
        <f t="shared" si="17"/>
        <v>2.8406601115247933E-2</v>
      </c>
      <c r="G225" s="2">
        <f t="shared" si="15"/>
        <v>7.5030234471131982E-3</v>
      </c>
      <c r="H225" s="2" t="str">
        <f t="shared" si="16"/>
        <v>Sell</v>
      </c>
    </row>
    <row r="226" spans="1:8" ht="13.5" x14ac:dyDescent="0.25">
      <c r="A226" s="3">
        <f>TITRES_STAT!B229</f>
        <v>45246</v>
      </c>
      <c r="B226" s="5">
        <f>TITRES_STAT!D229</f>
        <v>5.5880000000000001</v>
      </c>
      <c r="C226" s="2">
        <f t="shared" si="18"/>
        <v>5.6671539876052375</v>
      </c>
      <c r="D226" s="2">
        <f t="shared" si="20"/>
        <v>5.633790906454724</v>
      </c>
      <c r="E226" s="2">
        <f t="shared" si="19"/>
        <v>3.3363081150513452E-2</v>
      </c>
      <c r="F226" s="2">
        <f t="shared" si="17"/>
        <v>2.9397897122301037E-2</v>
      </c>
      <c r="G226" s="2">
        <f t="shared" si="15"/>
        <v>3.9651840282124151E-3</v>
      </c>
      <c r="H226" s="2" t="str">
        <f t="shared" si="16"/>
        <v>Sell</v>
      </c>
    </row>
    <row r="227" spans="1:8" ht="13.5" x14ac:dyDescent="0.25">
      <c r="A227" s="3">
        <f>TITRES_STAT!B230</f>
        <v>45247</v>
      </c>
      <c r="B227" s="5">
        <f>TITRES_STAT!D230</f>
        <v>5.5880000000000001</v>
      </c>
      <c r="C227" s="2">
        <f t="shared" si="18"/>
        <v>5.6591302972044319</v>
      </c>
      <c r="D227" s="2">
        <f t="shared" si="20"/>
        <v>5.6303989874580775</v>
      </c>
      <c r="E227" s="2">
        <f t="shared" si="19"/>
        <v>2.8731309746354405E-2</v>
      </c>
      <c r="F227" s="2">
        <f t="shared" si="17"/>
        <v>2.926457964711171E-2</v>
      </c>
      <c r="G227" s="2">
        <f t="shared" si="15"/>
        <v>-5.3326990075730496E-4</v>
      </c>
      <c r="H227" s="2" t="str">
        <f t="shared" si="16"/>
        <v>Hold</v>
      </c>
    </row>
    <row r="228" spans="1:8" ht="13.5" x14ac:dyDescent="0.25">
      <c r="A228" s="3">
        <f>TITRES_STAT!B231</f>
        <v>45250</v>
      </c>
      <c r="B228" s="5">
        <f>TITRES_STAT!D231</f>
        <v>5.5880000000000001</v>
      </c>
      <c r="C228" s="2">
        <f t="shared" si="18"/>
        <v>5.6523410207114431</v>
      </c>
      <c r="D228" s="2">
        <f t="shared" si="20"/>
        <v>5.6272583217204426</v>
      </c>
      <c r="E228" s="2">
        <f t="shared" si="19"/>
        <v>2.5082698991000463E-2</v>
      </c>
      <c r="F228" s="2">
        <f t="shared" si="17"/>
        <v>2.8428203515889462E-2</v>
      </c>
      <c r="G228" s="2">
        <f t="shared" ref="G228:G291" si="21">E228-F228</f>
        <v>-3.3455045248889995E-3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45251</v>
      </c>
      <c r="B229" s="5">
        <f>TITRES_STAT!D232</f>
        <v>5.5709999999999997</v>
      </c>
      <c r="C229" s="2">
        <f t="shared" si="18"/>
        <v>5.6424424021404525</v>
      </c>
      <c r="D229" s="2">
        <f t="shared" si="20"/>
        <v>5.6230910386300392</v>
      </c>
      <c r="E229" s="2">
        <f t="shared" si="19"/>
        <v>1.9351363510413222E-2</v>
      </c>
      <c r="F229" s="2">
        <f t="shared" ref="F229:F292" si="23">(E229*(2/(10)))+((1-(2/10))*F228)</f>
        <v>2.6612835514794216E-2</v>
      </c>
      <c r="G229" s="2">
        <f t="shared" si="21"/>
        <v>-7.2614720043809936E-3</v>
      </c>
      <c r="H229" s="2" t="str">
        <f t="shared" si="22"/>
        <v>Hold</v>
      </c>
    </row>
    <row r="230" spans="1:8" ht="13.5" x14ac:dyDescent="0.25">
      <c r="A230" s="3">
        <f>TITRES_STAT!B233</f>
        <v>45252</v>
      </c>
      <c r="B230" s="5">
        <f>TITRES_STAT!D233</f>
        <v>5.5789999999999997</v>
      </c>
      <c r="C230" s="2">
        <f t="shared" si="18"/>
        <v>5.6340666479649988</v>
      </c>
      <c r="D230" s="2">
        <f t="shared" si="20"/>
        <v>5.6198250357685549</v>
      </c>
      <c r="E230" s="2">
        <f t="shared" si="19"/>
        <v>1.4241612196443931E-2</v>
      </c>
      <c r="F230" s="2">
        <f t="shared" si="23"/>
        <v>2.4138590851124159E-2</v>
      </c>
      <c r="G230" s="2">
        <f t="shared" si="21"/>
        <v>-9.8969786546802274E-3</v>
      </c>
      <c r="H230" s="2" t="str">
        <f t="shared" si="22"/>
        <v>Hold</v>
      </c>
    </row>
    <row r="231" spans="1:8" ht="13.5" x14ac:dyDescent="0.25">
      <c r="A231" s="3">
        <f>TITRES_STAT!B234</f>
        <v>45253</v>
      </c>
      <c r="B231" s="5">
        <f>TITRES_STAT!D234</f>
        <v>5.5709999999999997</v>
      </c>
      <c r="C231" s="2">
        <f t="shared" si="18"/>
        <v>5.626979471354999</v>
      </c>
      <c r="D231" s="2">
        <f t="shared" si="20"/>
        <v>5.6162083664523657</v>
      </c>
      <c r="E231" s="2">
        <f t="shared" si="19"/>
        <v>1.0771104902633333E-2</v>
      </c>
      <c r="F231" s="2">
        <f t="shared" si="23"/>
        <v>2.1465093661425995E-2</v>
      </c>
      <c r="G231" s="2">
        <f t="shared" si="21"/>
        <v>-1.0693988758792662E-2</v>
      </c>
      <c r="H231" s="2" t="str">
        <f t="shared" si="22"/>
        <v>Hold</v>
      </c>
    </row>
    <row r="232" spans="1:8" ht="13.5" x14ac:dyDescent="0.25">
      <c r="A232" s="3">
        <f>TITRES_STAT!B235</f>
        <v>45254</v>
      </c>
      <c r="B232" s="5">
        <f>TITRES_STAT!D235</f>
        <v>5.5620000000000003</v>
      </c>
      <c r="C232" s="2">
        <f t="shared" si="18"/>
        <v>5.6209826296080765</v>
      </c>
      <c r="D232" s="2">
        <f t="shared" si="20"/>
        <v>5.6121929319003385</v>
      </c>
      <c r="E232" s="2">
        <f t="shared" si="19"/>
        <v>8.7896977077379645E-3</v>
      </c>
      <c r="F232" s="2">
        <f t="shared" si="23"/>
        <v>1.893001447068839E-2</v>
      </c>
      <c r="G232" s="2">
        <f t="shared" si="21"/>
        <v>-1.0140316762950425E-2</v>
      </c>
      <c r="H232" s="2" t="str">
        <f t="shared" si="22"/>
        <v>Hold</v>
      </c>
    </row>
    <row r="233" spans="1:8" ht="13.5" x14ac:dyDescent="0.25">
      <c r="A233" s="3">
        <f>TITRES_STAT!B236</f>
        <v>45257</v>
      </c>
      <c r="B233" s="5">
        <f>TITRES_STAT!D236</f>
        <v>5.5620000000000003</v>
      </c>
      <c r="C233" s="2">
        <f t="shared" si="18"/>
        <v>5.6145237635145255</v>
      </c>
      <c r="D233" s="2">
        <f t="shared" si="20"/>
        <v>5.6084749369447575</v>
      </c>
      <c r="E233" s="2">
        <f t="shared" si="19"/>
        <v>6.0488265697680177E-3</v>
      </c>
      <c r="F233" s="2">
        <f t="shared" si="23"/>
        <v>1.6353776890504317E-2</v>
      </c>
      <c r="G233" s="2">
        <f t="shared" si="21"/>
        <v>-1.0304950320736299E-2</v>
      </c>
      <c r="H233" s="2" t="str">
        <f t="shared" si="22"/>
        <v>Hold</v>
      </c>
    </row>
    <row r="234" spans="1:8" ht="13.5" x14ac:dyDescent="0.25">
      <c r="A234" s="3">
        <f>TITRES_STAT!B237</f>
        <v>45258</v>
      </c>
      <c r="B234" s="5">
        <f>TITRES_STAT!D237</f>
        <v>5.5529999999999999</v>
      </c>
      <c r="C234" s="2">
        <f t="shared" si="18"/>
        <v>5.6090585691276749</v>
      </c>
      <c r="D234" s="2">
        <f t="shared" si="20"/>
        <v>5.6043656823562573</v>
      </c>
      <c r="E234" s="2">
        <f t="shared" si="19"/>
        <v>4.6928867714175482E-3</v>
      </c>
      <c r="F234" s="2">
        <f t="shared" si="23"/>
        <v>1.4021598866686963E-2</v>
      </c>
      <c r="G234" s="2">
        <f t="shared" si="21"/>
        <v>-9.328712095269415E-3</v>
      </c>
      <c r="H234" s="2" t="str">
        <f t="shared" si="22"/>
        <v>Hold</v>
      </c>
    </row>
    <row r="235" spans="1:8" ht="13.5" x14ac:dyDescent="0.25">
      <c r="A235" s="3">
        <f>TITRES_STAT!B238</f>
        <v>45259</v>
      </c>
      <c r="B235" s="5">
        <f>TITRES_STAT!D238</f>
        <v>5.5620000000000003</v>
      </c>
      <c r="C235" s="2">
        <f t="shared" si="18"/>
        <v>5.6044341738772632</v>
      </c>
      <c r="D235" s="2">
        <f t="shared" si="20"/>
        <v>5.6012274836632008</v>
      </c>
      <c r="E235" s="2">
        <f t="shared" si="19"/>
        <v>3.206690214062391E-3</v>
      </c>
      <c r="F235" s="2">
        <f t="shared" si="23"/>
        <v>1.1858617136162049E-2</v>
      </c>
      <c r="G235" s="2">
        <f t="shared" si="21"/>
        <v>-8.6519269220996578E-3</v>
      </c>
      <c r="H235" s="2" t="str">
        <f t="shared" si="22"/>
        <v>Hold</v>
      </c>
    </row>
    <row r="236" spans="1:8" ht="13.5" x14ac:dyDescent="0.25">
      <c r="A236" s="3">
        <f>TITRES_STAT!B239</f>
        <v>45260</v>
      </c>
      <c r="B236" s="5">
        <f>TITRES_STAT!D239</f>
        <v>5.5439999999999996</v>
      </c>
      <c r="C236" s="2">
        <f t="shared" si="18"/>
        <v>5.6019058394346075</v>
      </c>
      <c r="D236" s="2">
        <f t="shared" si="20"/>
        <v>5.59698841079926</v>
      </c>
      <c r="E236" s="2">
        <f t="shared" si="19"/>
        <v>4.9174286353474983E-3</v>
      </c>
      <c r="F236" s="2">
        <f t="shared" si="23"/>
        <v>1.047037943599914E-2</v>
      </c>
      <c r="G236" s="2">
        <f t="shared" si="21"/>
        <v>-5.5529508006516414E-3</v>
      </c>
      <c r="H236" s="2" t="str">
        <f t="shared" si="22"/>
        <v>Hold</v>
      </c>
    </row>
    <row r="237" spans="1:8" ht="13.5" x14ac:dyDescent="0.25">
      <c r="A237" s="3">
        <f>TITRES_STAT!B240</f>
        <v>45261</v>
      </c>
      <c r="B237" s="5">
        <f>TITRES_STAT!D240</f>
        <v>5.5350000000000001</v>
      </c>
      <c r="C237" s="2">
        <f t="shared" si="18"/>
        <v>5.5997664795215911</v>
      </c>
      <c r="D237" s="2">
        <f t="shared" si="20"/>
        <v>5.5923966766659818</v>
      </c>
      <c r="E237" s="2">
        <f t="shared" si="19"/>
        <v>7.3698028556092865E-3</v>
      </c>
      <c r="F237" s="2">
        <f t="shared" si="23"/>
        <v>9.8502641199211694E-3</v>
      </c>
      <c r="G237" s="2">
        <f t="shared" si="21"/>
        <v>-2.4804612643118829E-3</v>
      </c>
      <c r="H237" s="2" t="str">
        <f t="shared" si="22"/>
        <v>Hold</v>
      </c>
    </row>
    <row r="238" spans="1:8" ht="13.5" x14ac:dyDescent="0.25">
      <c r="A238" s="3">
        <f>TITRES_STAT!B241</f>
        <v>45264</v>
      </c>
      <c r="B238" s="5">
        <f>TITRES_STAT!D241</f>
        <v>5.5350000000000001</v>
      </c>
      <c r="C238" s="2">
        <f t="shared" si="18"/>
        <v>5.5979562519028851</v>
      </c>
      <c r="D238" s="2">
        <f t="shared" si="20"/>
        <v>5.5881450709870206</v>
      </c>
      <c r="E238" s="2">
        <f t="shared" si="19"/>
        <v>9.8111809158645258E-3</v>
      </c>
      <c r="F238" s="2">
        <f t="shared" si="23"/>
        <v>9.842447479109841E-3</v>
      </c>
      <c r="G238" s="2">
        <f t="shared" si="21"/>
        <v>-3.1266563245315251E-5</v>
      </c>
      <c r="H238" s="2" t="str">
        <f t="shared" si="22"/>
        <v>Hold</v>
      </c>
    </row>
    <row r="239" spans="1:8" ht="13.5" x14ac:dyDescent="0.25">
      <c r="A239" s="3">
        <f>TITRES_STAT!B242</f>
        <v>45265</v>
      </c>
      <c r="B239" s="5">
        <f>TITRES_STAT!D242</f>
        <v>5.5259999999999998</v>
      </c>
      <c r="C239" s="2">
        <f t="shared" si="18"/>
        <v>5.5938091362255182</v>
      </c>
      <c r="D239" s="2">
        <f t="shared" si="20"/>
        <v>5.58354173239539</v>
      </c>
      <c r="E239" s="2">
        <f t="shared" si="19"/>
        <v>1.0267403830128252E-2</v>
      </c>
      <c r="F239" s="2">
        <f t="shared" si="23"/>
        <v>9.9274387493135247E-3</v>
      </c>
      <c r="G239" s="2">
        <f t="shared" si="21"/>
        <v>3.3996508081472754E-4</v>
      </c>
      <c r="H239" s="2" t="str">
        <f t="shared" si="22"/>
        <v>Sell</v>
      </c>
    </row>
    <row r="240" spans="1:8" ht="13.5" x14ac:dyDescent="0.25">
      <c r="A240" s="3">
        <f>TITRES_STAT!B243</f>
        <v>45266</v>
      </c>
      <c r="B240" s="5">
        <f>TITRES_STAT!D243</f>
        <v>5.5259999999999998</v>
      </c>
      <c r="C240" s="2">
        <f t="shared" si="18"/>
        <v>5.5915308075754382</v>
      </c>
      <c r="D240" s="2">
        <f t="shared" si="20"/>
        <v>5.5792793818475834</v>
      </c>
      <c r="E240" s="2">
        <f t="shared" si="19"/>
        <v>1.2251425727854759E-2</v>
      </c>
      <c r="F240" s="2">
        <f t="shared" si="23"/>
        <v>1.0392236145021772E-2</v>
      </c>
      <c r="G240" s="2">
        <f t="shared" si="21"/>
        <v>1.8591895828329874E-3</v>
      </c>
      <c r="H240" s="2" t="str">
        <f t="shared" si="22"/>
        <v>Sell</v>
      </c>
    </row>
    <row r="241" spans="1:8" ht="13.5" x14ac:dyDescent="0.25">
      <c r="A241" s="3">
        <f>TITRES_STAT!B244</f>
        <v>45267</v>
      </c>
      <c r="B241" s="5">
        <f>TITRES_STAT!D244</f>
        <v>5.5259999999999998</v>
      </c>
      <c r="C241" s="2">
        <f t="shared" si="18"/>
        <v>5.5883722217946019</v>
      </c>
      <c r="D241" s="2">
        <f t="shared" si="20"/>
        <v>5.5753327609699852</v>
      </c>
      <c r="E241" s="2">
        <f t="shared" si="19"/>
        <v>1.3039460824616711E-2</v>
      </c>
      <c r="F241" s="2">
        <f t="shared" si="23"/>
        <v>1.092168108094076E-2</v>
      </c>
      <c r="G241" s="2">
        <f t="shared" si="21"/>
        <v>2.1177797436759509E-3</v>
      </c>
      <c r="H241" s="2" t="str">
        <f t="shared" si="22"/>
        <v>Sell</v>
      </c>
    </row>
    <row r="242" spans="1:8" ht="13.5" x14ac:dyDescent="0.25">
      <c r="A242" s="3">
        <f>TITRES_STAT!B245</f>
        <v>45268</v>
      </c>
      <c r="B242" s="5">
        <f>TITRES_STAT!D245</f>
        <v>5.5259999999999998</v>
      </c>
      <c r="C242" s="2">
        <f t="shared" si="18"/>
        <v>5.5843149569031247</v>
      </c>
      <c r="D242" s="2">
        <f t="shared" si="20"/>
        <v>5.5716784823796166</v>
      </c>
      <c r="E242" s="2">
        <f t="shared" si="19"/>
        <v>1.2636474523508134E-2</v>
      </c>
      <c r="F242" s="2">
        <f t="shared" si="23"/>
        <v>1.1264639769454236E-2</v>
      </c>
      <c r="G242" s="2">
        <f t="shared" si="21"/>
        <v>1.371834754053898E-3</v>
      </c>
      <c r="H242" s="2" t="str">
        <f t="shared" si="22"/>
        <v>Sell</v>
      </c>
    </row>
    <row r="243" spans="1:8" ht="13.5" x14ac:dyDescent="0.25">
      <c r="A243" s="3">
        <f>TITRES_STAT!B246</f>
        <v>45271</v>
      </c>
      <c r="B243" s="5">
        <f>TITRES_STAT!D246</f>
        <v>5.5</v>
      </c>
      <c r="C243" s="2">
        <f t="shared" si="18"/>
        <v>5.580881886610336</v>
      </c>
      <c r="D243" s="2">
        <f t="shared" si="20"/>
        <v>5.566368965166312</v>
      </c>
      <c r="E243" s="2">
        <f t="shared" si="19"/>
        <v>1.4512921444024052E-2</v>
      </c>
      <c r="F243" s="2">
        <f t="shared" si="23"/>
        <v>1.1914296104368199E-2</v>
      </c>
      <c r="G243" s="2">
        <f t="shared" si="21"/>
        <v>2.5986253396558523E-3</v>
      </c>
      <c r="H243" s="2" t="str">
        <f t="shared" si="22"/>
        <v>Sell</v>
      </c>
    </row>
    <row r="244" spans="1:8" ht="13.5" x14ac:dyDescent="0.25">
      <c r="A244" s="3">
        <f>TITRES_STAT!B247</f>
        <v>45272</v>
      </c>
      <c r="B244" s="5">
        <f>TITRES_STAT!D247</f>
        <v>5.4109999999999996</v>
      </c>
      <c r="C244" s="2">
        <f t="shared" si="18"/>
        <v>5.5765923655933616</v>
      </c>
      <c r="D244" s="2">
        <f t="shared" si="20"/>
        <v>5.55486015293177</v>
      </c>
      <c r="E244" s="2">
        <f t="shared" si="19"/>
        <v>2.1732212661591532E-2</v>
      </c>
      <c r="F244" s="2">
        <f t="shared" si="23"/>
        <v>1.3877879415812866E-2</v>
      </c>
      <c r="G244" s="2">
        <f t="shared" si="21"/>
        <v>7.8543332457786663E-3</v>
      </c>
      <c r="H244" s="2" t="str">
        <f t="shared" si="22"/>
        <v>Sell</v>
      </c>
    </row>
    <row r="245" spans="1:8" ht="13.5" x14ac:dyDescent="0.25">
      <c r="A245" s="3">
        <f>TITRES_STAT!B248</f>
        <v>45273</v>
      </c>
      <c r="B245" s="5">
        <f>TITRES_STAT!D248</f>
        <v>5.4020000000000001</v>
      </c>
      <c r="C245" s="2">
        <f t="shared" si="18"/>
        <v>5.574347386271306</v>
      </c>
      <c r="D245" s="2">
        <f t="shared" si="20"/>
        <v>5.543537178640527</v>
      </c>
      <c r="E245" s="2">
        <f t="shared" si="19"/>
        <v>3.0810207630779018E-2</v>
      </c>
      <c r="F245" s="2">
        <f t="shared" si="23"/>
        <v>1.7264345058806096E-2</v>
      </c>
      <c r="G245" s="2">
        <f t="shared" si="21"/>
        <v>1.3545862571972923E-2</v>
      </c>
      <c r="H245" s="2" t="str">
        <f t="shared" si="22"/>
        <v>Sell</v>
      </c>
    </row>
    <row r="246" spans="1:8" ht="13.5" x14ac:dyDescent="0.25">
      <c r="A246" s="3">
        <f>TITRES_STAT!B249</f>
        <v>45274</v>
      </c>
      <c r="B246" s="5">
        <f>TITRES_STAT!D249</f>
        <v>5.4459999999999997</v>
      </c>
      <c r="C246" s="2">
        <f t="shared" si="18"/>
        <v>5.5696785576141821</v>
      </c>
      <c r="D246" s="2">
        <f t="shared" si="20"/>
        <v>5.5363122024449316</v>
      </c>
      <c r="E246" s="2">
        <f t="shared" si="19"/>
        <v>3.3366355169250461E-2</v>
      </c>
      <c r="F246" s="2">
        <f t="shared" si="23"/>
        <v>2.0484747080894969E-2</v>
      </c>
      <c r="G246" s="2">
        <f t="shared" si="21"/>
        <v>1.2881608088355492E-2</v>
      </c>
      <c r="H246" s="2" t="str">
        <f t="shared" si="22"/>
        <v>Sell</v>
      </c>
    </row>
    <row r="247" spans="1:8" ht="13.5" x14ac:dyDescent="0.25">
      <c r="A247" s="3">
        <f>TITRES_STAT!B250</f>
        <v>45275</v>
      </c>
      <c r="B247" s="5">
        <f>TITRES_STAT!D250</f>
        <v>5.4290000000000003</v>
      </c>
      <c r="C247" s="2">
        <f t="shared" si="18"/>
        <v>5.5643433949043075</v>
      </c>
      <c r="D247" s="2">
        <f t="shared" si="20"/>
        <v>5.5283631504119741</v>
      </c>
      <c r="E247" s="2">
        <f t="shared" si="19"/>
        <v>3.5980244492333391E-2</v>
      </c>
      <c r="F247" s="2">
        <f t="shared" si="23"/>
        <v>2.3583846563182655E-2</v>
      </c>
      <c r="G247" s="2">
        <f t="shared" si="21"/>
        <v>1.2396397929150735E-2</v>
      </c>
      <c r="H247" s="2" t="str">
        <f t="shared" si="22"/>
        <v>Sell</v>
      </c>
    </row>
    <row r="248" spans="1:8" ht="13.5" x14ac:dyDescent="0.25">
      <c r="A248" s="3">
        <f>TITRES_STAT!B251</f>
        <v>45278</v>
      </c>
      <c r="B248" s="5">
        <f>TITRES_STAT!D251</f>
        <v>5.4109999999999996</v>
      </c>
      <c r="C248" s="2">
        <f t="shared" si="18"/>
        <v>5.559829026457491</v>
      </c>
      <c r="D248" s="2">
        <f t="shared" si="20"/>
        <v>5.5196695837147907</v>
      </c>
      <c r="E248" s="2">
        <f t="shared" si="19"/>
        <v>4.0159442742700335E-2</v>
      </c>
      <c r="F248" s="2">
        <f t="shared" si="23"/>
        <v>2.689896579908619E-2</v>
      </c>
      <c r="G248" s="2">
        <f t="shared" si="21"/>
        <v>1.3260476943614145E-2</v>
      </c>
      <c r="H248" s="2" t="str">
        <f t="shared" si="22"/>
        <v>Sell</v>
      </c>
    </row>
    <row r="249" spans="1:8" ht="13.5" x14ac:dyDescent="0.25">
      <c r="A249" s="3">
        <f>TITRES_STAT!B252</f>
        <v>45279</v>
      </c>
      <c r="B249" s="5">
        <f>TITRES_STAT!D252</f>
        <v>5.42</v>
      </c>
      <c r="C249" s="2">
        <f t="shared" si="18"/>
        <v>5.5546245608486462</v>
      </c>
      <c r="D249" s="2">
        <f t="shared" si="20"/>
        <v>5.5122866515877691</v>
      </c>
      <c r="E249" s="2">
        <f t="shared" si="19"/>
        <v>4.2337909260877105E-2</v>
      </c>
      <c r="F249" s="2">
        <f t="shared" si="23"/>
        <v>2.9986754491444376E-2</v>
      </c>
      <c r="G249" s="2">
        <f t="shared" si="21"/>
        <v>1.2351154769432729E-2</v>
      </c>
      <c r="H249" s="2" t="str">
        <f t="shared" si="22"/>
        <v>Sell</v>
      </c>
    </row>
    <row r="250" spans="1:8" ht="13.5" x14ac:dyDescent="0.25">
      <c r="A250" s="3">
        <f>TITRES_STAT!B253</f>
        <v>45280</v>
      </c>
      <c r="B250" s="5">
        <f>TITRES_STAT!D253</f>
        <v>5.4020000000000001</v>
      </c>
      <c r="C250" s="2">
        <f t="shared" si="18"/>
        <v>5.550220782256547</v>
      </c>
      <c r="D250" s="2">
        <f t="shared" si="20"/>
        <v>5.5041172699886758</v>
      </c>
      <c r="E250" s="2">
        <f t="shared" si="19"/>
        <v>4.6103512267871238E-2</v>
      </c>
      <c r="F250" s="2">
        <f t="shared" si="23"/>
        <v>3.3210106046729748E-2</v>
      </c>
      <c r="G250" s="2">
        <f t="shared" si="21"/>
        <v>1.289340622114149E-2</v>
      </c>
      <c r="H250" s="2" t="str">
        <f t="shared" si="22"/>
        <v>Sell</v>
      </c>
    </row>
    <row r="251" spans="1:8" ht="13.5" x14ac:dyDescent="0.25">
      <c r="A251" s="3">
        <f>TITRES_STAT!B254</f>
        <v>45281</v>
      </c>
      <c r="B251" s="5">
        <f>TITRES_STAT!D254</f>
        <v>5.3929999999999998</v>
      </c>
      <c r="C251" s="2">
        <f t="shared" si="18"/>
        <v>5.5464945080632324</v>
      </c>
      <c r="D251" s="2">
        <f t="shared" si="20"/>
        <v>5.4958863611006255</v>
      </c>
      <c r="E251" s="2">
        <f t="shared" si="19"/>
        <v>5.0608146962606959E-2</v>
      </c>
      <c r="F251" s="2">
        <f t="shared" si="23"/>
        <v>3.668971422990519E-2</v>
      </c>
      <c r="G251" s="2">
        <f t="shared" si="21"/>
        <v>1.3918432732701769E-2</v>
      </c>
      <c r="H251" s="2" t="str">
        <f t="shared" si="22"/>
        <v>Sell</v>
      </c>
    </row>
    <row r="252" spans="1:8" ht="13.5" x14ac:dyDescent="0.25">
      <c r="A252" s="3">
        <f>TITRES_STAT!B255</f>
        <v>45282</v>
      </c>
      <c r="B252" s="5">
        <f>TITRES_STAT!D255</f>
        <v>5.3929999999999998</v>
      </c>
      <c r="C252" s="2">
        <f t="shared" si="18"/>
        <v>5.5433415068227347</v>
      </c>
      <c r="D252" s="2">
        <f t="shared" si="20"/>
        <v>5.4882651491672458</v>
      </c>
      <c r="E252" s="2">
        <f t="shared" si="19"/>
        <v>5.5076357655488906E-2</v>
      </c>
      <c r="F252" s="2">
        <f t="shared" si="23"/>
        <v>4.0367042915021939E-2</v>
      </c>
      <c r="G252" s="2">
        <f t="shared" si="21"/>
        <v>1.4709314740466967E-2</v>
      </c>
      <c r="H252" s="2" t="str">
        <f t="shared" si="22"/>
        <v>Sell</v>
      </c>
    </row>
    <row r="253" spans="1:8" ht="13.5" x14ac:dyDescent="0.25">
      <c r="A253" s="3">
        <f>TITRES_STAT!B256</f>
        <v>45285</v>
      </c>
      <c r="B253" s="5">
        <f>TITRES_STAT!D256</f>
        <v>5.3929999999999998</v>
      </c>
      <c r="C253" s="2">
        <f t="shared" si="18"/>
        <v>5.5366735826961602</v>
      </c>
      <c r="D253" s="2">
        <f t="shared" si="20"/>
        <v>5.4812084714511533</v>
      </c>
      <c r="E253" s="2">
        <f t="shared" si="19"/>
        <v>5.546511124500686E-2</v>
      </c>
      <c r="F253" s="2">
        <f t="shared" si="23"/>
        <v>4.3386656581018923E-2</v>
      </c>
      <c r="G253" s="2">
        <f t="shared" si="21"/>
        <v>1.2078454663987936E-2</v>
      </c>
      <c r="H253" s="2" t="str">
        <f t="shared" si="22"/>
        <v>Sell</v>
      </c>
    </row>
    <row r="254" spans="1:8" ht="13.5" x14ac:dyDescent="0.25">
      <c r="A254" s="3">
        <f>TITRES_STAT!B257</f>
        <v>45286</v>
      </c>
      <c r="B254" s="5">
        <f>TITRES_STAT!D257</f>
        <v>5.3929999999999998</v>
      </c>
      <c r="C254" s="2">
        <f t="shared" si="18"/>
        <v>5.5173391853582894</v>
      </c>
      <c r="D254" s="2">
        <f t="shared" si="20"/>
        <v>5.4746745106029193</v>
      </c>
      <c r="E254" s="2">
        <f t="shared" si="19"/>
        <v>4.2664674755370058E-2</v>
      </c>
      <c r="F254" s="2">
        <f t="shared" si="23"/>
        <v>4.3242260215889151E-2</v>
      </c>
      <c r="G254" s="2">
        <f t="shared" si="21"/>
        <v>-5.775854605190936E-4</v>
      </c>
      <c r="H254" s="2" t="str">
        <f t="shared" si="22"/>
        <v>Hold</v>
      </c>
    </row>
    <row r="255" spans="1:8" ht="13.5" x14ac:dyDescent="0.25">
      <c r="A255" s="3">
        <f>TITRES_STAT!B258</f>
        <v>45287</v>
      </c>
      <c r="B255" s="5">
        <f>TITRES_STAT!D258</f>
        <v>5.3220000000000001</v>
      </c>
      <c r="C255" s="2">
        <f t="shared" si="18"/>
        <v>5.499594695303168</v>
      </c>
      <c r="D255" s="2">
        <f t="shared" si="20"/>
        <v>5.4633652875952956</v>
      </c>
      <c r="E255" s="2">
        <f t="shared" si="19"/>
        <v>3.6229407707872419E-2</v>
      </c>
      <c r="F255" s="2">
        <f t="shared" si="23"/>
        <v>4.1839689714285803E-2</v>
      </c>
      <c r="G255" s="2">
        <f t="shared" si="21"/>
        <v>-5.6102820064133849E-3</v>
      </c>
      <c r="H255" s="2" t="str">
        <f t="shared" si="22"/>
        <v>Hold</v>
      </c>
    </row>
    <row r="256" spans="1:8" ht="13.5" x14ac:dyDescent="0.25">
      <c r="A256" s="3">
        <f>TITRES_STAT!B259</f>
        <v>45288</v>
      </c>
      <c r="B256" s="5">
        <f>TITRES_STAT!D259</f>
        <v>5.3579999999999997</v>
      </c>
      <c r="C256" s="2">
        <f t="shared" si="18"/>
        <v>5.4913493575642187</v>
      </c>
      <c r="D256" s="2">
        <f t="shared" si="20"/>
        <v>5.4555604514771261</v>
      </c>
      <c r="E256" s="2">
        <f t="shared" si="19"/>
        <v>3.578890608709262E-2</v>
      </c>
      <c r="F256" s="2">
        <f t="shared" si="23"/>
        <v>4.0629532988847167E-2</v>
      </c>
      <c r="G256" s="2">
        <f t="shared" si="21"/>
        <v>-4.8406269017545467E-3</v>
      </c>
      <c r="H256" s="2" t="str">
        <f t="shared" si="22"/>
        <v>Hold</v>
      </c>
    </row>
    <row r="257" spans="1:8" ht="13.5" x14ac:dyDescent="0.25">
      <c r="A257" s="3">
        <f>TITRES_STAT!B260</f>
        <v>45289</v>
      </c>
      <c r="B257" s="5">
        <f>TITRES_STAT!D260</f>
        <v>5.3579999999999997</v>
      </c>
      <c r="C257" s="2">
        <f t="shared" si="18"/>
        <v>5.4817571487081844</v>
      </c>
      <c r="D257" s="2">
        <f t="shared" si="20"/>
        <v>5.4483337513677093</v>
      </c>
      <c r="E257" s="2">
        <f t="shared" si="19"/>
        <v>3.3423397340475169E-2</v>
      </c>
      <c r="F257" s="2">
        <f t="shared" si="23"/>
        <v>3.9188305859172767E-2</v>
      </c>
      <c r="G257" s="2">
        <f t="shared" si="21"/>
        <v>-5.7649085186975979E-3</v>
      </c>
      <c r="H257" s="2" t="str">
        <f t="shared" si="22"/>
        <v>Hold</v>
      </c>
    </row>
    <row r="258" spans="1:8" ht="13.5" x14ac:dyDescent="0.25">
      <c r="A258" s="3">
        <f>TITRES_STAT!B261</f>
        <v>45293</v>
      </c>
      <c r="B258" s="5">
        <f>TITRES_STAT!D261</f>
        <v>5.1449999999999996</v>
      </c>
      <c r="C258" s="2">
        <f t="shared" si="18"/>
        <v>5.4708714335223103</v>
      </c>
      <c r="D258" s="2">
        <f t="shared" si="20"/>
        <v>5.4258645845997311</v>
      </c>
      <c r="E258" s="2">
        <f t="shared" si="19"/>
        <v>4.5006848922579223E-2</v>
      </c>
      <c r="F258" s="2">
        <f t="shared" si="23"/>
        <v>4.0352014471854061E-2</v>
      </c>
      <c r="G258" s="2">
        <f t="shared" si="21"/>
        <v>4.6548344507251621E-3</v>
      </c>
      <c r="H258" s="2" t="str">
        <f t="shared" si="22"/>
        <v>Sell</v>
      </c>
    </row>
    <row r="259" spans="1:8" ht="13.5" x14ac:dyDescent="0.25">
      <c r="A259" s="3">
        <f>TITRES_STAT!B262</f>
        <v>45294</v>
      </c>
      <c r="B259" s="5">
        <f>TITRES_STAT!D262</f>
        <v>5.0919999999999996</v>
      </c>
      <c r="C259" s="2">
        <f t="shared" si="18"/>
        <v>5.463045059134263</v>
      </c>
      <c r="D259" s="2">
        <f t="shared" si="20"/>
        <v>5.4011338746293811</v>
      </c>
      <c r="E259" s="2">
        <f t="shared" si="19"/>
        <v>6.1911184504881867E-2</v>
      </c>
      <c r="F259" s="2">
        <f t="shared" si="23"/>
        <v>4.4663848478459625E-2</v>
      </c>
      <c r="G259" s="2">
        <f t="shared" si="21"/>
        <v>1.7247336026422241E-2</v>
      </c>
      <c r="H259" s="2" t="str">
        <f t="shared" si="22"/>
        <v>Sell</v>
      </c>
    </row>
    <row r="260" spans="1:8" ht="13.5" x14ac:dyDescent="0.25">
      <c r="A260" s="3">
        <f>TITRES_STAT!B263</f>
        <v>45295</v>
      </c>
      <c r="B260" s="5">
        <f>TITRES_STAT!D263</f>
        <v>5.056</v>
      </c>
      <c r="C260" s="2">
        <f t="shared" si="18"/>
        <v>5.453653511575145</v>
      </c>
      <c r="D260" s="2">
        <f t="shared" si="20"/>
        <v>5.3755684024346122</v>
      </c>
      <c r="E260" s="2">
        <f t="shared" si="19"/>
        <v>7.8085109140532794E-2</v>
      </c>
      <c r="F260" s="2">
        <f t="shared" si="23"/>
        <v>5.1348100610874262E-2</v>
      </c>
      <c r="G260" s="2">
        <f t="shared" si="21"/>
        <v>2.6737008529658532E-2</v>
      </c>
      <c r="H260" s="2" t="str">
        <f t="shared" si="22"/>
        <v>Sell</v>
      </c>
    </row>
    <row r="261" spans="1:8" ht="13.5" x14ac:dyDescent="0.25">
      <c r="A261" s="3">
        <f>TITRES_STAT!B264</f>
        <v>45296</v>
      </c>
      <c r="B261" s="5">
        <f>TITRES_STAT!D264</f>
        <v>5.056</v>
      </c>
      <c r="C261" s="2">
        <f t="shared" si="18"/>
        <v>5.4443222021020459</v>
      </c>
      <c r="D261" s="2">
        <f t="shared" si="20"/>
        <v>5.3518966689209373</v>
      </c>
      <c r="E261" s="2">
        <f t="shared" si="19"/>
        <v>9.2425533181108577E-2</v>
      </c>
      <c r="F261" s="2">
        <f t="shared" si="23"/>
        <v>5.956358712492113E-2</v>
      </c>
      <c r="G261" s="2">
        <f t="shared" si="21"/>
        <v>3.2861946056187447E-2</v>
      </c>
      <c r="H261" s="2" t="str">
        <f t="shared" si="22"/>
        <v>Sell</v>
      </c>
    </row>
    <row r="262" spans="1:8" ht="13.5" x14ac:dyDescent="0.25">
      <c r="A262" s="3">
        <f>TITRES_STAT!B265</f>
        <v>45299</v>
      </c>
      <c r="B262" s="5">
        <f>TITRES_STAT!D265</f>
        <v>5.0469999999999997</v>
      </c>
      <c r="C262" s="2">
        <f t="shared" si="18"/>
        <v>5.4364264787017307</v>
      </c>
      <c r="D262" s="2">
        <f t="shared" si="20"/>
        <v>5.329311730482349</v>
      </c>
      <c r="E262" s="2">
        <f t="shared" si="19"/>
        <v>0.10711474821938172</v>
      </c>
      <c r="F262" s="2">
        <f t="shared" si="23"/>
        <v>6.907381934381325E-2</v>
      </c>
      <c r="G262" s="2">
        <f t="shared" si="21"/>
        <v>3.8040928875568467E-2</v>
      </c>
      <c r="H262" s="2" t="str">
        <f t="shared" si="22"/>
        <v>Sell</v>
      </c>
    </row>
    <row r="263" spans="1:8" ht="13.5" x14ac:dyDescent="0.25">
      <c r="A263" s="3">
        <f>TITRES_STAT!B266</f>
        <v>45300</v>
      </c>
      <c r="B263" s="5">
        <f>TITRES_STAT!D266</f>
        <v>4.8789999999999996</v>
      </c>
      <c r="C263" s="2">
        <f t="shared" si="18"/>
        <v>5.4297454819783875</v>
      </c>
      <c r="D263" s="2">
        <f t="shared" si="20"/>
        <v>5.2959553060021749</v>
      </c>
      <c r="E263" s="2">
        <f t="shared" si="19"/>
        <v>0.13379017597621257</v>
      </c>
      <c r="F263" s="2">
        <f t="shared" si="23"/>
        <v>8.2017090670293114E-2</v>
      </c>
      <c r="G263" s="2">
        <f t="shared" si="21"/>
        <v>5.1773085305919453E-2</v>
      </c>
      <c r="H263" s="2" t="str">
        <f t="shared" si="22"/>
        <v>Sell</v>
      </c>
    </row>
    <row r="264" spans="1:8" ht="13.5" x14ac:dyDescent="0.25">
      <c r="A264" s="3">
        <f>TITRES_STAT!B267</f>
        <v>45301</v>
      </c>
      <c r="B264" s="5">
        <f>TITRES_STAT!D267</f>
        <v>4.9669999999999996</v>
      </c>
      <c r="C264" s="2">
        <f t="shared" si="18"/>
        <v>5.4240923309047897</v>
      </c>
      <c r="D264" s="2">
        <f t="shared" si="20"/>
        <v>5.2715882462983101</v>
      </c>
      <c r="E264" s="2">
        <f t="shared" si="19"/>
        <v>0.15250408460647957</v>
      </c>
      <c r="F264" s="2">
        <f t="shared" si="23"/>
        <v>9.6114489457530414E-2</v>
      </c>
      <c r="G264" s="2">
        <f t="shared" si="21"/>
        <v>5.6389595148949159E-2</v>
      </c>
      <c r="H264" s="2" t="str">
        <f t="shared" si="22"/>
        <v>Sell</v>
      </c>
    </row>
    <row r="265" spans="1:8" ht="13.5" x14ac:dyDescent="0.25">
      <c r="A265" s="3">
        <f>TITRES_STAT!B268</f>
        <v>45302</v>
      </c>
      <c r="B265" s="5">
        <f>TITRES_STAT!D268</f>
        <v>5.0469999999999997</v>
      </c>
      <c r="C265" s="2">
        <f t="shared" si="18"/>
        <v>5.4083858184578988</v>
      </c>
      <c r="D265" s="2">
        <f t="shared" si="20"/>
        <v>5.2549520799058422</v>
      </c>
      <c r="E265" s="2">
        <f t="shared" si="19"/>
        <v>0.15343373855205655</v>
      </c>
      <c r="F265" s="2">
        <f t="shared" si="23"/>
        <v>0.10757833927643565</v>
      </c>
      <c r="G265" s="2">
        <f t="shared" si="21"/>
        <v>4.5855399275620906E-2</v>
      </c>
      <c r="H265" s="2" t="str">
        <f t="shared" si="22"/>
        <v>Sell</v>
      </c>
    </row>
    <row r="266" spans="1:8" ht="13.5" x14ac:dyDescent="0.25">
      <c r="A266" s="3">
        <f>TITRES_STAT!B269</f>
        <v>45303</v>
      </c>
      <c r="B266" s="5">
        <f>TITRES_STAT!D269</f>
        <v>4.9320000000000004</v>
      </c>
      <c r="C266" s="2">
        <f t="shared" si="18"/>
        <v>5.4006341540797607</v>
      </c>
      <c r="D266" s="2">
        <f t="shared" si="20"/>
        <v>5.2310297036165201</v>
      </c>
      <c r="E266" s="2">
        <f t="shared" si="19"/>
        <v>0.16960445046324057</v>
      </c>
      <c r="F266" s="2">
        <f t="shared" si="23"/>
        <v>0.11998356151379663</v>
      </c>
      <c r="G266" s="2">
        <f t="shared" si="21"/>
        <v>4.9620888949443942E-2</v>
      </c>
      <c r="H266" s="2" t="str">
        <f t="shared" si="22"/>
        <v>Sell</v>
      </c>
    </row>
    <row r="267" spans="1:8" ht="13.5" x14ac:dyDescent="0.25">
      <c r="A267" s="3">
        <f>TITRES_STAT!B270</f>
        <v>45306</v>
      </c>
      <c r="B267" s="5">
        <f>TITRES_STAT!D270</f>
        <v>4.9669999999999996</v>
      </c>
      <c r="C267" s="2">
        <f t="shared" si="18"/>
        <v>5.3940750534521049</v>
      </c>
      <c r="D267" s="2">
        <f t="shared" si="20"/>
        <v>5.2114719477930738</v>
      </c>
      <c r="E267" s="2">
        <f t="shared" si="19"/>
        <v>0.18260310565903115</v>
      </c>
      <c r="F267" s="2">
        <f t="shared" si="23"/>
        <v>0.13250747034284355</v>
      </c>
      <c r="G267" s="2">
        <f t="shared" si="21"/>
        <v>5.0095635316187603E-2</v>
      </c>
      <c r="H267" s="2" t="str">
        <f t="shared" si="22"/>
        <v>Sell</v>
      </c>
    </row>
    <row r="268" spans="1:8" ht="13.5" x14ac:dyDescent="0.25">
      <c r="A268" s="3">
        <f>TITRES_STAT!B271</f>
        <v>45307</v>
      </c>
      <c r="B268" s="5">
        <f>TITRES_STAT!D271</f>
        <v>4.9669999999999996</v>
      </c>
      <c r="C268" s="2">
        <f t="shared" si="18"/>
        <v>5.3557558144594735</v>
      </c>
      <c r="D268" s="2">
        <f t="shared" si="20"/>
        <v>5.1933629146232168</v>
      </c>
      <c r="E268" s="2">
        <f t="shared" si="19"/>
        <v>0.16239289983625671</v>
      </c>
      <c r="F268" s="2">
        <f t="shared" si="23"/>
        <v>0.13848455624152617</v>
      </c>
      <c r="G268" s="2">
        <f t="shared" si="21"/>
        <v>2.3908343594730541E-2</v>
      </c>
      <c r="H268" s="2" t="str">
        <f t="shared" si="22"/>
        <v>Sell</v>
      </c>
    </row>
    <row r="269" spans="1:8" ht="13.5" x14ac:dyDescent="0.25">
      <c r="A269" s="3">
        <f>TITRES_STAT!B272</f>
        <v>45308</v>
      </c>
      <c r="B269" s="5">
        <f>TITRES_STAT!D272</f>
        <v>4.9320000000000004</v>
      </c>
      <c r="C269" s="2">
        <f t="shared" si="18"/>
        <v>5.3151779968503234</v>
      </c>
      <c r="D269" s="2">
        <f t="shared" si="20"/>
        <v>5.1740026987252001</v>
      </c>
      <c r="E269" s="2">
        <f t="shared" si="19"/>
        <v>0.14117529812512331</v>
      </c>
      <c r="F269" s="2">
        <f t="shared" si="23"/>
        <v>0.13902270461824562</v>
      </c>
      <c r="G269" s="2">
        <f t="shared" si="21"/>
        <v>2.1525935068776869E-3</v>
      </c>
      <c r="H269" s="2" t="str">
        <f t="shared" si="22"/>
        <v>Sell</v>
      </c>
    </row>
    <row r="270" spans="1:8" ht="13.5" x14ac:dyDescent="0.25">
      <c r="A270" s="3">
        <f>TITRES_STAT!B273</f>
        <v>45309</v>
      </c>
      <c r="B270" s="5">
        <f>TITRES_STAT!D273</f>
        <v>4.9669999999999996</v>
      </c>
      <c r="C270" s="2">
        <f t="shared" si="18"/>
        <v>5.2753044588733502</v>
      </c>
      <c r="D270" s="2">
        <f t="shared" si="20"/>
        <v>5.1586691654862964</v>
      </c>
      <c r="E270" s="2">
        <f t="shared" si="19"/>
        <v>0.11663529338705381</v>
      </c>
      <c r="F270" s="2">
        <f t="shared" si="23"/>
        <v>0.13454522237200728</v>
      </c>
      <c r="G270" s="2">
        <f t="shared" si="21"/>
        <v>-1.7909928984953472E-2</v>
      </c>
      <c r="H270" s="2" t="str">
        <f t="shared" si="22"/>
        <v>Hold</v>
      </c>
    </row>
    <row r="271" spans="1:8" ht="13.5" x14ac:dyDescent="0.25">
      <c r="A271" s="3">
        <f>TITRES_STAT!B274</f>
        <v>45310</v>
      </c>
      <c r="B271" s="5">
        <f>TITRES_STAT!D274</f>
        <v>4.9669999999999996</v>
      </c>
      <c r="C271" s="2">
        <f t="shared" ref="C271:C334" si="24">$C$4*B261+C270*(1-$C$4)</f>
        <v>5.241565311354373</v>
      </c>
      <c r="D271" s="2">
        <f t="shared" si="20"/>
        <v>5.1444714495243486</v>
      </c>
      <c r="E271" s="2">
        <f t="shared" si="19"/>
        <v>9.7093861830024331E-2</v>
      </c>
      <c r="F271" s="2">
        <f t="shared" si="23"/>
        <v>0.12705495026361069</v>
      </c>
      <c r="G271" s="2">
        <f t="shared" si="21"/>
        <v>-2.9961088433586358E-2</v>
      </c>
      <c r="H271" s="2" t="str">
        <f t="shared" si="22"/>
        <v>Hold</v>
      </c>
    </row>
    <row r="272" spans="1:8" ht="13.5" x14ac:dyDescent="0.25">
      <c r="A272" s="3">
        <f>TITRES_STAT!B275</f>
        <v>45313</v>
      </c>
      <c r="B272" s="5">
        <f>TITRES_STAT!D275</f>
        <v>5.0380000000000003</v>
      </c>
      <c r="C272" s="2">
        <f t="shared" si="24"/>
        <v>5.2116321865306237</v>
      </c>
      <c r="D272" s="2">
        <f t="shared" si="20"/>
        <v>5.1365846754855076</v>
      </c>
      <c r="E272" s="2">
        <f t="shared" si="19"/>
        <v>7.5047511045116089E-2</v>
      </c>
      <c r="F272" s="2">
        <f t="shared" si="23"/>
        <v>0.11665346241991179</v>
      </c>
      <c r="G272" s="2">
        <f t="shared" si="21"/>
        <v>-4.1605951374795697E-2</v>
      </c>
      <c r="H272" s="2" t="str">
        <f t="shared" si="22"/>
        <v>Hold</v>
      </c>
    </row>
    <row r="273" spans="1:8" ht="13.5" x14ac:dyDescent="0.25">
      <c r="A273" s="3">
        <f>TITRES_STAT!B276</f>
        <v>45314</v>
      </c>
      <c r="B273" s="5">
        <f>TITRES_STAT!D276</f>
        <v>4.9669999999999996</v>
      </c>
      <c r="C273" s="2">
        <f t="shared" si="24"/>
        <v>5.1604580039874506</v>
      </c>
      <c r="D273" s="2">
        <f t="shared" si="20"/>
        <v>5.1240228476717657</v>
      </c>
      <c r="E273" s="2">
        <f t="shared" si="19"/>
        <v>3.6435156315684836E-2</v>
      </c>
      <c r="F273" s="2">
        <f t="shared" si="23"/>
        <v>0.1006098011990664</v>
      </c>
      <c r="G273" s="2">
        <f t="shared" si="21"/>
        <v>-6.4174644883381565E-2</v>
      </c>
      <c r="H273" s="2" t="str">
        <f t="shared" si="22"/>
        <v>Hold</v>
      </c>
    </row>
    <row r="274" spans="1:8" ht="13.5" x14ac:dyDescent="0.25">
      <c r="A274" s="3">
        <f>TITRES_STAT!B277</f>
        <v>45315</v>
      </c>
      <c r="B274" s="5">
        <f>TITRES_STAT!D277</f>
        <v>4.8789999999999996</v>
      </c>
      <c r="C274" s="2">
        <f t="shared" si="24"/>
        <v>5.1306952341432268</v>
      </c>
      <c r="D274" s="2">
        <f t="shared" si="20"/>
        <v>5.1058730071034866</v>
      </c>
      <c r="E274" s="2">
        <f t="shared" si="19"/>
        <v>2.4822227039740241E-2</v>
      </c>
      <c r="F274" s="2">
        <f t="shared" si="23"/>
        <v>8.5452286367201175E-2</v>
      </c>
      <c r="G274" s="2">
        <f t="shared" si="21"/>
        <v>-6.0630059327460933E-2</v>
      </c>
      <c r="H274" s="2" t="str">
        <f t="shared" si="22"/>
        <v>Hold</v>
      </c>
    </row>
    <row r="275" spans="1:8" ht="13.5" x14ac:dyDescent="0.25">
      <c r="A275" s="3">
        <f>TITRES_STAT!B278</f>
        <v>45316</v>
      </c>
      <c r="B275" s="5">
        <f>TITRES_STAT!D278</f>
        <v>4.9669999999999996</v>
      </c>
      <c r="C275" s="2">
        <f t="shared" si="24"/>
        <v>5.1178190442750386</v>
      </c>
      <c r="D275" s="2">
        <f t="shared" si="20"/>
        <v>5.0955861176884136</v>
      </c>
      <c r="E275" s="2">
        <f t="shared" si="19"/>
        <v>2.2232926586625013E-2</v>
      </c>
      <c r="F275" s="2">
        <f t="shared" si="23"/>
        <v>7.2808414411085945E-2</v>
      </c>
      <c r="G275" s="2">
        <f t="shared" si="21"/>
        <v>-5.0575487824460932E-2</v>
      </c>
      <c r="H275" s="2" t="str">
        <f t="shared" si="22"/>
        <v>Hold</v>
      </c>
    </row>
    <row r="276" spans="1:8" ht="13.5" x14ac:dyDescent="0.25">
      <c r="A276" s="3">
        <f>TITRES_STAT!B279</f>
        <v>45317</v>
      </c>
      <c r="B276" s="5">
        <f>TITRES_STAT!D279</f>
        <v>4.7720000000000002</v>
      </c>
      <c r="C276" s="2">
        <f t="shared" si="24"/>
        <v>5.089231499001956</v>
      </c>
      <c r="D276" s="2">
        <f t="shared" si="20"/>
        <v>5.0716167756374206</v>
      </c>
      <c r="E276" s="2">
        <f t="shared" si="19"/>
        <v>1.7614723364535401E-2</v>
      </c>
      <c r="F276" s="2">
        <f t="shared" si="23"/>
        <v>6.1769676201775835E-2</v>
      </c>
      <c r="G276" s="2">
        <f t="shared" si="21"/>
        <v>-4.4154952837240434E-2</v>
      </c>
      <c r="H276" s="2" t="str">
        <f t="shared" si="22"/>
        <v>Hold</v>
      </c>
    </row>
    <row r="277" spans="1:8" ht="13.5" x14ac:dyDescent="0.25">
      <c r="A277" s="3">
        <f>TITRES_STAT!B280</f>
        <v>45320</v>
      </c>
      <c r="B277" s="5">
        <f>TITRES_STAT!D280</f>
        <v>4.923</v>
      </c>
      <c r="C277" s="2">
        <f t="shared" si="24"/>
        <v>5.0704266530016548</v>
      </c>
      <c r="D277" s="2">
        <f t="shared" si="20"/>
        <v>5.0606081255902042</v>
      </c>
      <c r="E277" s="2">
        <f t="shared" si="19"/>
        <v>9.8185274114506171E-3</v>
      </c>
      <c r="F277" s="2">
        <f t="shared" si="23"/>
        <v>5.1379446443710793E-2</v>
      </c>
      <c r="G277" s="2">
        <f t="shared" si="21"/>
        <v>-4.1560919032260175E-2</v>
      </c>
      <c r="H277" s="2" t="str">
        <f t="shared" si="22"/>
        <v>Hold</v>
      </c>
    </row>
    <row r="278" spans="1:8" ht="13.5" x14ac:dyDescent="0.25">
      <c r="A278" s="3">
        <f>TITRES_STAT!B281</f>
        <v>45321</v>
      </c>
      <c r="B278" s="5">
        <f>TITRES_STAT!D281</f>
        <v>4.9669999999999996</v>
      </c>
      <c r="C278" s="2">
        <f t="shared" si="24"/>
        <v>5.0545148602321692</v>
      </c>
      <c r="D278" s="2">
        <f t="shared" si="20"/>
        <v>5.0536741903613001</v>
      </c>
      <c r="E278" s="2">
        <f t="shared" si="19"/>
        <v>8.4066987086917067E-4</v>
      </c>
      <c r="F278" s="2">
        <f t="shared" si="23"/>
        <v>4.1271691129142467E-2</v>
      </c>
      <c r="G278" s="2">
        <f t="shared" si="21"/>
        <v>-4.0431021258273296E-2</v>
      </c>
      <c r="H278" s="2" t="str">
        <f t="shared" si="22"/>
        <v>Hold</v>
      </c>
    </row>
    <row r="279" spans="1:8" ht="13.5" x14ac:dyDescent="0.25">
      <c r="A279" s="3">
        <f>TITRES_STAT!B282</f>
        <v>45322</v>
      </c>
      <c r="B279" s="5">
        <f>TITRES_STAT!D282</f>
        <v>4.8339999999999996</v>
      </c>
      <c r="C279" s="2">
        <f t="shared" si="24"/>
        <v>5.0356664201964509</v>
      </c>
      <c r="D279" s="2">
        <f t="shared" si="20"/>
        <v>5.0374020281123153</v>
      </c>
      <c r="E279" s="2">
        <f t="shared" si="19"/>
        <v>-1.7356079158643567E-3</v>
      </c>
      <c r="F279" s="2">
        <f t="shared" si="23"/>
        <v>3.2670231320141102E-2</v>
      </c>
      <c r="G279" s="2">
        <f t="shared" si="21"/>
        <v>-3.4405839236005459E-2</v>
      </c>
      <c r="H279" s="2" t="str">
        <f t="shared" si="22"/>
        <v>Hold</v>
      </c>
    </row>
    <row r="280" spans="1:8" ht="13.5" x14ac:dyDescent="0.25">
      <c r="A280" s="3">
        <f>TITRES_STAT!B283</f>
        <v>45323</v>
      </c>
      <c r="B280" s="5">
        <f>TITRES_STAT!D283</f>
        <v>4.8789999999999996</v>
      </c>
      <c r="C280" s="2">
        <f t="shared" si="24"/>
        <v>5.0251023555508425</v>
      </c>
      <c r="D280" s="2">
        <f t="shared" si="20"/>
        <v>5.0256685445484397</v>
      </c>
      <c r="E280" s="2">
        <f t="shared" si="19"/>
        <v>-5.6618899759719454E-4</v>
      </c>
      <c r="F280" s="2">
        <f t="shared" si="23"/>
        <v>2.6022947256593446E-2</v>
      </c>
      <c r="G280" s="2">
        <f t="shared" si="21"/>
        <v>-2.658913625419064E-2</v>
      </c>
      <c r="H280" s="2" t="str">
        <f t="shared" si="22"/>
        <v>Hold</v>
      </c>
    </row>
    <row r="281" spans="1:8" ht="13.5" x14ac:dyDescent="0.25">
      <c r="A281" s="3">
        <f>TITRES_STAT!B284</f>
        <v>45324</v>
      </c>
      <c r="B281" s="5">
        <f>TITRES_STAT!D284</f>
        <v>4.87</v>
      </c>
      <c r="C281" s="2">
        <f t="shared" si="24"/>
        <v>5.0161635316199433</v>
      </c>
      <c r="D281" s="2">
        <f t="shared" si="20"/>
        <v>5.0141375412485552</v>
      </c>
      <c r="E281" s="2">
        <f t="shared" si="19"/>
        <v>2.0259903713881755E-3</v>
      </c>
      <c r="F281" s="2">
        <f t="shared" si="23"/>
        <v>2.1223555879552394E-2</v>
      </c>
      <c r="G281" s="2">
        <f t="shared" si="21"/>
        <v>-1.9197565508164219E-2</v>
      </c>
      <c r="H281" s="2" t="str">
        <f t="shared" si="22"/>
        <v>Hold</v>
      </c>
    </row>
    <row r="282" spans="1:8" ht="13.5" x14ac:dyDescent="0.25">
      <c r="A282" s="3">
        <f>TITRES_STAT!B285</f>
        <v>45327</v>
      </c>
      <c r="B282" s="5">
        <f>TITRES_STAT!D285</f>
        <v>4.6920000000000002</v>
      </c>
      <c r="C282" s="2">
        <f t="shared" si="24"/>
        <v>5.0195229882937982</v>
      </c>
      <c r="D282" s="2">
        <f t="shared" si="20"/>
        <v>4.9902755011560691</v>
      </c>
      <c r="E282" s="2">
        <f t="shared" si="19"/>
        <v>2.9247487137729067E-2</v>
      </c>
      <c r="F282" s="2">
        <f t="shared" si="23"/>
        <v>2.2828342131187729E-2</v>
      </c>
      <c r="G282" s="2">
        <f t="shared" si="21"/>
        <v>6.419145006541338E-3</v>
      </c>
      <c r="H282" s="2" t="str">
        <f t="shared" si="22"/>
        <v>Sell</v>
      </c>
    </row>
    <row r="283" spans="1:8" ht="13.5" x14ac:dyDescent="0.25">
      <c r="A283" s="3">
        <f>TITRES_STAT!B286</f>
        <v>45328</v>
      </c>
      <c r="B283" s="5">
        <f>TITRES_STAT!D286</f>
        <v>4.7720000000000002</v>
      </c>
      <c r="C283" s="2">
        <f t="shared" si="24"/>
        <v>5.0114425285562909</v>
      </c>
      <c r="D283" s="2">
        <f t="shared" si="20"/>
        <v>4.9741069455148788</v>
      </c>
      <c r="E283" s="2">
        <f t="shared" si="19"/>
        <v>3.7335583041412157E-2</v>
      </c>
      <c r="F283" s="2">
        <f t="shared" si="23"/>
        <v>2.5729790313232616E-2</v>
      </c>
      <c r="G283" s="2">
        <f t="shared" si="21"/>
        <v>1.1605792728179541E-2</v>
      </c>
      <c r="H283" s="2" t="str">
        <f t="shared" si="22"/>
        <v>Sell</v>
      </c>
    </row>
    <row r="284" spans="1:8" ht="13.5" x14ac:dyDescent="0.25">
      <c r="A284" s="3">
        <f>TITRES_STAT!B287</f>
        <v>45329</v>
      </c>
      <c r="B284" s="5">
        <f>TITRES_STAT!D287</f>
        <v>4.7009999999999996</v>
      </c>
      <c r="C284" s="2">
        <f t="shared" si="24"/>
        <v>4.9910667549322465</v>
      </c>
      <c r="D284" s="2">
        <f t="shared" si="20"/>
        <v>4.9538768014026653</v>
      </c>
      <c r="E284" s="2">
        <f t="shared" ref="E284:E347" si="25">C284-D284</f>
        <v>3.718995352958121E-2</v>
      </c>
      <c r="F284" s="2">
        <f t="shared" si="23"/>
        <v>2.8021822956502337E-2</v>
      </c>
      <c r="G284" s="2">
        <f t="shared" si="21"/>
        <v>9.1681305730788726E-3</v>
      </c>
      <c r="H284" s="2" t="str">
        <f t="shared" si="22"/>
        <v>Sell</v>
      </c>
    </row>
    <row r="285" spans="1:8" ht="13.5" x14ac:dyDescent="0.25">
      <c r="A285" s="3">
        <f>TITRES_STAT!B288</f>
        <v>45330</v>
      </c>
      <c r="B285" s="5">
        <f>TITRES_STAT!D288</f>
        <v>4.7809999999999997</v>
      </c>
      <c r="C285" s="2">
        <f t="shared" si="24"/>
        <v>4.9873641772503623</v>
      </c>
      <c r="D285" s="2">
        <f t="shared" ref="D285:D348" si="26">$D$4*B285+(1-$D$4)*D284</f>
        <v>4.9410711124098752</v>
      </c>
      <c r="E285" s="2">
        <f t="shared" si="25"/>
        <v>4.6293064840487119E-2</v>
      </c>
      <c r="F285" s="2">
        <f t="shared" si="23"/>
        <v>3.1676071333299291E-2</v>
      </c>
      <c r="G285" s="2">
        <f t="shared" si="21"/>
        <v>1.4616993507187828E-2</v>
      </c>
      <c r="H285" s="2" t="str">
        <f t="shared" si="22"/>
        <v>Sell</v>
      </c>
    </row>
    <row r="286" spans="1:8" ht="13.5" x14ac:dyDescent="0.25">
      <c r="A286" s="3">
        <f>TITRES_STAT!B289</f>
        <v>45331</v>
      </c>
      <c r="B286" s="5">
        <f>TITRES_STAT!D289</f>
        <v>4.7809999999999997</v>
      </c>
      <c r="C286" s="2">
        <f t="shared" si="24"/>
        <v>4.9542312269041533</v>
      </c>
      <c r="D286" s="2">
        <f t="shared" si="26"/>
        <v>4.9292139929721071</v>
      </c>
      <c r="E286" s="2">
        <f t="shared" si="25"/>
        <v>2.5017233932046246E-2</v>
      </c>
      <c r="F286" s="2">
        <f t="shared" si="23"/>
        <v>3.0344303853048683E-2</v>
      </c>
      <c r="G286" s="2">
        <f t="shared" si="21"/>
        <v>-5.3270699210024378E-3</v>
      </c>
      <c r="H286" s="2" t="str">
        <f t="shared" si="22"/>
        <v>Hold</v>
      </c>
    </row>
    <row r="287" spans="1:8" ht="13.5" x14ac:dyDescent="0.25">
      <c r="A287" s="3">
        <f>TITRES_STAT!B290</f>
        <v>45334</v>
      </c>
      <c r="B287" s="5">
        <f>TITRES_STAT!D290</f>
        <v>4.7009999999999996</v>
      </c>
      <c r="C287" s="2">
        <f t="shared" si="24"/>
        <v>4.9494264227650531</v>
      </c>
      <c r="D287" s="2">
        <f t="shared" si="26"/>
        <v>4.9123092527519505</v>
      </c>
      <c r="E287" s="2">
        <f t="shared" si="25"/>
        <v>3.7117170013102552E-2</v>
      </c>
      <c r="F287" s="2">
        <f t="shared" si="23"/>
        <v>3.169887708505946E-2</v>
      </c>
      <c r="G287" s="2">
        <f t="shared" si="21"/>
        <v>5.4182929280430919E-3</v>
      </c>
      <c r="H287" s="2" t="str">
        <f t="shared" si="22"/>
        <v>Sell</v>
      </c>
    </row>
    <row r="288" spans="1:8" ht="13.5" x14ac:dyDescent="0.25">
      <c r="A288" s="3">
        <f>TITRES_STAT!B291</f>
        <v>45335</v>
      </c>
      <c r="B288" s="5">
        <f>TITRES_STAT!D291</f>
        <v>4.7009999999999996</v>
      </c>
      <c r="C288" s="2">
        <f t="shared" si="24"/>
        <v>4.9521300500319674</v>
      </c>
      <c r="D288" s="2">
        <f t="shared" si="26"/>
        <v>4.8966567155110647</v>
      </c>
      <c r="E288" s="2">
        <f t="shared" si="25"/>
        <v>5.547333452090264E-2</v>
      </c>
      <c r="F288" s="2">
        <f t="shared" si="23"/>
        <v>3.6453768572228096E-2</v>
      </c>
      <c r="G288" s="2">
        <f t="shared" si="21"/>
        <v>1.9019565948674544E-2</v>
      </c>
      <c r="H288" s="2" t="str">
        <f t="shared" si="22"/>
        <v>Sell</v>
      </c>
    </row>
    <row r="289" spans="1:8" ht="13.5" x14ac:dyDescent="0.25">
      <c r="A289" s="3">
        <f>TITRES_STAT!B292</f>
        <v>45336</v>
      </c>
      <c r="B289" s="5">
        <f>TITRES_STAT!D292</f>
        <v>4.6920000000000002</v>
      </c>
      <c r="C289" s="2">
        <f t="shared" si="24"/>
        <v>4.9339561961808949</v>
      </c>
      <c r="D289" s="2">
        <f t="shared" si="26"/>
        <v>4.8814969588065411</v>
      </c>
      <c r="E289" s="2">
        <f t="shared" si="25"/>
        <v>5.2459237374353762E-2</v>
      </c>
      <c r="F289" s="2">
        <f t="shared" si="23"/>
        <v>3.965486233265323E-2</v>
      </c>
      <c r="G289" s="2">
        <f t="shared" si="21"/>
        <v>1.2804375041700532E-2</v>
      </c>
      <c r="H289" s="2" t="str">
        <f t="shared" si="22"/>
        <v>Sell</v>
      </c>
    </row>
    <row r="290" spans="1:8" ht="13.5" x14ac:dyDescent="0.25">
      <c r="A290" s="3">
        <f>TITRES_STAT!B293</f>
        <v>45337</v>
      </c>
      <c r="B290" s="5">
        <f>TITRES_STAT!D293</f>
        <v>4.6920000000000002</v>
      </c>
      <c r="C290" s="2">
        <f t="shared" si="24"/>
        <v>4.9255013967684498</v>
      </c>
      <c r="D290" s="2">
        <f t="shared" si="26"/>
        <v>4.8674601470430936</v>
      </c>
      <c r="E290" s="2">
        <f t="shared" si="25"/>
        <v>5.8041249725356181E-2</v>
      </c>
      <c r="F290" s="2">
        <f t="shared" si="23"/>
        <v>4.3332139811193826E-2</v>
      </c>
      <c r="G290" s="2">
        <f t="shared" si="21"/>
        <v>1.4709109914162355E-2</v>
      </c>
      <c r="H290" s="2" t="str">
        <f t="shared" si="22"/>
        <v>Sell</v>
      </c>
    </row>
    <row r="291" spans="1:8" ht="13.5" x14ac:dyDescent="0.25">
      <c r="A291" s="3">
        <f>TITRES_STAT!B294</f>
        <v>45338</v>
      </c>
      <c r="B291" s="5">
        <f>TITRES_STAT!D294</f>
        <v>4.7009999999999996</v>
      </c>
      <c r="C291" s="2">
        <f t="shared" si="24"/>
        <v>4.9169627203425348</v>
      </c>
      <c r="D291" s="2">
        <f t="shared" si="26"/>
        <v>4.8551297657806414</v>
      </c>
      <c r="E291" s="2">
        <f t="shared" si="25"/>
        <v>6.1832954561893416E-2</v>
      </c>
      <c r="F291" s="2">
        <f t="shared" si="23"/>
        <v>4.7032302761333744E-2</v>
      </c>
      <c r="G291" s="2">
        <f t="shared" si="21"/>
        <v>1.4800651800559672E-2</v>
      </c>
      <c r="H291" s="2" t="str">
        <f t="shared" si="22"/>
        <v>Sell</v>
      </c>
    </row>
    <row r="292" spans="1:8" ht="13.5" x14ac:dyDescent="0.25">
      <c r="A292" s="3">
        <f>TITRES_STAT!B295</f>
        <v>45341</v>
      </c>
      <c r="B292" s="5">
        <f>TITRES_STAT!D295</f>
        <v>4.95</v>
      </c>
      <c r="C292" s="2">
        <f t="shared" si="24"/>
        <v>4.8823530710590681</v>
      </c>
      <c r="D292" s="2">
        <f t="shared" si="26"/>
        <v>4.8621571905376308</v>
      </c>
      <c r="E292" s="2">
        <f t="shared" si="25"/>
        <v>2.0195880521437282E-2</v>
      </c>
      <c r="F292" s="2">
        <f t="shared" si="23"/>
        <v>4.1665018313354459E-2</v>
      </c>
      <c r="G292" s="2">
        <f t="shared" ref="G292:G355" si="27">E292-F292</f>
        <v>-2.1469137791917177E-2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45342</v>
      </c>
      <c r="B293" s="5">
        <f>TITRES_STAT!D296</f>
        <v>4.95</v>
      </c>
      <c r="C293" s="2">
        <f t="shared" si="24"/>
        <v>4.8653756755115198</v>
      </c>
      <c r="D293" s="2">
        <f t="shared" si="26"/>
        <v>4.868664065312621</v>
      </c>
      <c r="E293" s="2">
        <f t="shared" si="25"/>
        <v>-3.2883898011011325E-3</v>
      </c>
      <c r="F293" s="2">
        <f t="shared" ref="F293:F356" si="29">(E293*(2/(10)))+((1-(2/10))*F292)</f>
        <v>3.2674336690463344E-2</v>
      </c>
      <c r="G293" s="2">
        <f t="shared" si="27"/>
        <v>-3.5962726491564477E-2</v>
      </c>
      <c r="H293" s="2" t="str">
        <f t="shared" si="28"/>
        <v>Hold</v>
      </c>
    </row>
    <row r="294" spans="1:8" ht="13.5" x14ac:dyDescent="0.25">
      <c r="A294" s="3">
        <f>TITRES_STAT!B297</f>
        <v>45343</v>
      </c>
      <c r="B294" s="5">
        <f>TITRES_STAT!D297</f>
        <v>4.923</v>
      </c>
      <c r="C294" s="2">
        <f t="shared" si="24"/>
        <v>4.8400871100482084</v>
      </c>
      <c r="D294" s="2">
        <f t="shared" si="26"/>
        <v>4.8726889493635381</v>
      </c>
      <c r="E294" s="2">
        <f t="shared" si="25"/>
        <v>-3.2601839315329784E-2</v>
      </c>
      <c r="F294" s="2">
        <f t="shared" si="29"/>
        <v>1.9619101489304718E-2</v>
      </c>
      <c r="G294" s="2">
        <f t="shared" si="27"/>
        <v>-5.2220940804634505E-2</v>
      </c>
      <c r="H294" s="2" t="str">
        <f t="shared" si="28"/>
        <v>Hold</v>
      </c>
    </row>
    <row r="295" spans="1:8" ht="13.5" x14ac:dyDescent="0.25">
      <c r="A295" s="3">
        <f>TITRES_STAT!B298</f>
        <v>45344</v>
      </c>
      <c r="B295" s="5">
        <f>TITRES_STAT!D298</f>
        <v>4.95</v>
      </c>
      <c r="C295" s="2">
        <f t="shared" si="24"/>
        <v>4.8309967854254072</v>
      </c>
      <c r="D295" s="2">
        <f t="shared" si="26"/>
        <v>4.8784156938551275</v>
      </c>
      <c r="E295" s="2">
        <f t="shared" si="25"/>
        <v>-4.7418908429720297E-2</v>
      </c>
      <c r="F295" s="2">
        <f t="shared" si="29"/>
        <v>6.2114995054997155E-3</v>
      </c>
      <c r="G295" s="2">
        <f t="shared" si="27"/>
        <v>-5.3630407935220011E-2</v>
      </c>
      <c r="H295" s="2" t="str">
        <f t="shared" si="28"/>
        <v>Hold</v>
      </c>
    </row>
    <row r="296" spans="1:8" ht="13.5" x14ac:dyDescent="0.25">
      <c r="A296" s="3">
        <f>TITRES_STAT!B299</f>
        <v>45345</v>
      </c>
      <c r="B296" s="5">
        <f>TITRES_STAT!D299</f>
        <v>4.95</v>
      </c>
      <c r="C296" s="2">
        <f t="shared" si="24"/>
        <v>4.8233049722830366</v>
      </c>
      <c r="D296" s="2">
        <f t="shared" si="26"/>
        <v>4.8837182350510435</v>
      </c>
      <c r="E296" s="2">
        <f t="shared" si="25"/>
        <v>-6.0413262768006959E-2</v>
      </c>
      <c r="F296" s="2">
        <f t="shared" si="29"/>
        <v>-7.1134529492016202E-3</v>
      </c>
      <c r="G296" s="2">
        <f t="shared" si="27"/>
        <v>-5.329980981880534E-2</v>
      </c>
      <c r="H296" s="2" t="str">
        <f t="shared" si="28"/>
        <v>Hold</v>
      </c>
    </row>
    <row r="297" spans="1:8" ht="13.5" x14ac:dyDescent="0.25">
      <c r="A297" s="3">
        <f>TITRES_STAT!B300</f>
        <v>45348</v>
      </c>
      <c r="B297" s="5">
        <f>TITRES_STAT!D300</f>
        <v>4.9409999999999998</v>
      </c>
      <c r="C297" s="2">
        <f t="shared" si="24"/>
        <v>4.8044888227010309</v>
      </c>
      <c r="D297" s="2">
        <f t="shared" si="26"/>
        <v>4.8879613287509658</v>
      </c>
      <c r="E297" s="2">
        <f t="shared" si="25"/>
        <v>-8.3472506049934836E-2</v>
      </c>
      <c r="F297" s="2">
        <f t="shared" si="29"/>
        <v>-2.2385263569348265E-2</v>
      </c>
      <c r="G297" s="2">
        <f t="shared" si="27"/>
        <v>-6.108724248058657E-2</v>
      </c>
      <c r="H297" s="2" t="str">
        <f t="shared" si="28"/>
        <v>Hold</v>
      </c>
    </row>
    <row r="298" spans="1:8" ht="13.5" x14ac:dyDescent="0.25">
      <c r="A298" s="3">
        <f>TITRES_STAT!B301</f>
        <v>45349</v>
      </c>
      <c r="B298" s="5">
        <f>TITRES_STAT!D301</f>
        <v>5.0380000000000003</v>
      </c>
      <c r="C298" s="2">
        <f t="shared" si="24"/>
        <v>4.7885674653624104</v>
      </c>
      <c r="D298" s="2">
        <f t="shared" si="26"/>
        <v>4.8990753043990418</v>
      </c>
      <c r="E298" s="2">
        <f t="shared" si="25"/>
        <v>-0.11050783903663142</v>
      </c>
      <c r="F298" s="2">
        <f t="shared" si="29"/>
        <v>-4.0009778662804897E-2</v>
      </c>
      <c r="G298" s="2">
        <f t="shared" si="27"/>
        <v>-7.0498060373826527E-2</v>
      </c>
      <c r="H298" s="2" t="str">
        <f t="shared" si="28"/>
        <v>Hold</v>
      </c>
    </row>
    <row r="299" spans="1:8" ht="13.5" x14ac:dyDescent="0.25">
      <c r="A299" s="3">
        <f>TITRES_STAT!B302</f>
        <v>45350</v>
      </c>
      <c r="B299" s="5">
        <f>TITRES_STAT!D302</f>
        <v>5.0380000000000003</v>
      </c>
      <c r="C299" s="2">
        <f t="shared" si="24"/>
        <v>4.773710932229732</v>
      </c>
      <c r="D299" s="2">
        <f t="shared" si="26"/>
        <v>4.9093660225917048</v>
      </c>
      <c r="E299" s="2">
        <f t="shared" si="25"/>
        <v>-0.13565509036197287</v>
      </c>
      <c r="F299" s="2">
        <f t="shared" si="29"/>
        <v>-5.9138841002638498E-2</v>
      </c>
      <c r="G299" s="2">
        <f t="shared" si="27"/>
        <v>-7.6516249359334376E-2</v>
      </c>
      <c r="H299" s="2" t="str">
        <f t="shared" si="28"/>
        <v>Hold</v>
      </c>
    </row>
    <row r="300" spans="1:8" ht="13.5" x14ac:dyDescent="0.25">
      <c r="A300" s="3">
        <f>TITRES_STAT!B303</f>
        <v>45351</v>
      </c>
      <c r="B300" s="5">
        <f>TITRES_STAT!D303</f>
        <v>5.0999999999999996</v>
      </c>
      <c r="C300" s="2">
        <f t="shared" si="24"/>
        <v>4.7611400195790035</v>
      </c>
      <c r="D300" s="2">
        <f t="shared" si="26"/>
        <v>4.9234870579552821</v>
      </c>
      <c r="E300" s="2">
        <f t="shared" si="25"/>
        <v>-0.16234703837627862</v>
      </c>
      <c r="F300" s="2">
        <f t="shared" si="29"/>
        <v>-7.9780480477366522E-2</v>
      </c>
      <c r="G300" s="2">
        <f t="shared" si="27"/>
        <v>-8.2566557898912096E-2</v>
      </c>
      <c r="H300" s="2" t="str">
        <f t="shared" si="28"/>
        <v>Hold</v>
      </c>
    </row>
    <row r="301" spans="1:8" ht="13.5" x14ac:dyDescent="0.25">
      <c r="A301" s="3">
        <f>TITRES_STAT!B304</f>
        <v>45352</v>
      </c>
      <c r="B301" s="5">
        <f>TITRES_STAT!D304</f>
        <v>5.0119999999999996</v>
      </c>
      <c r="C301" s="2">
        <f t="shared" si="24"/>
        <v>4.7518877088745413</v>
      </c>
      <c r="D301" s="2">
        <f t="shared" si="26"/>
        <v>4.9300435721808169</v>
      </c>
      <c r="E301" s="2">
        <f t="shared" si="25"/>
        <v>-0.17815586330627564</v>
      </c>
      <c r="F301" s="2">
        <f t="shared" si="29"/>
        <v>-9.9455557043148346E-2</v>
      </c>
      <c r="G301" s="2">
        <f t="shared" si="27"/>
        <v>-7.8700306263127295E-2</v>
      </c>
      <c r="H301" s="2" t="str">
        <f t="shared" si="28"/>
        <v>Hold</v>
      </c>
    </row>
    <row r="302" spans="1:8" ht="13.5" x14ac:dyDescent="0.25">
      <c r="A302" s="3">
        <f>TITRES_STAT!B305</f>
        <v>45355</v>
      </c>
      <c r="B302" s="5">
        <f>TITRES_STAT!D305</f>
        <v>5.1710000000000003</v>
      </c>
      <c r="C302" s="2">
        <f t="shared" si="24"/>
        <v>4.7823665228938426</v>
      </c>
      <c r="D302" s="2">
        <f t="shared" si="26"/>
        <v>4.9478921964637195</v>
      </c>
      <c r="E302" s="2">
        <f t="shared" si="25"/>
        <v>-0.16552567356987691</v>
      </c>
      <c r="F302" s="2">
        <f t="shared" si="29"/>
        <v>-0.11266958034849406</v>
      </c>
      <c r="G302" s="2">
        <f t="shared" si="27"/>
        <v>-5.2856093221382849E-2</v>
      </c>
      <c r="H302" s="2" t="str">
        <f t="shared" si="28"/>
        <v>Hold</v>
      </c>
    </row>
    <row r="303" spans="1:8" ht="13.5" x14ac:dyDescent="0.25">
      <c r="A303" s="3">
        <f>TITRES_STAT!B306</f>
        <v>45356</v>
      </c>
      <c r="B303" s="5">
        <f>TITRES_STAT!D306</f>
        <v>5.3220000000000001</v>
      </c>
      <c r="C303" s="2">
        <f t="shared" si="24"/>
        <v>4.8081562886024818</v>
      </c>
      <c r="D303" s="2">
        <f t="shared" si="26"/>
        <v>4.9756038856145546</v>
      </c>
      <c r="E303" s="2">
        <f t="shared" si="25"/>
        <v>-0.16744759701207279</v>
      </c>
      <c r="F303" s="2">
        <f t="shared" si="29"/>
        <v>-0.12362518368120981</v>
      </c>
      <c r="G303" s="2">
        <f t="shared" si="27"/>
        <v>-4.382241333086298E-2</v>
      </c>
      <c r="H303" s="2" t="str">
        <f t="shared" si="28"/>
        <v>Hold</v>
      </c>
    </row>
    <row r="304" spans="1:8" ht="13.5" x14ac:dyDescent="0.25">
      <c r="A304" s="3">
        <f>TITRES_STAT!B307</f>
        <v>45357</v>
      </c>
      <c r="B304" s="5">
        <f>TITRES_STAT!D307</f>
        <v>5.3659999999999997</v>
      </c>
      <c r="C304" s="2">
        <f t="shared" si="24"/>
        <v>4.8258245518944074</v>
      </c>
      <c r="D304" s="2">
        <f t="shared" si="26"/>
        <v>5.0045221163097731</v>
      </c>
      <c r="E304" s="2">
        <f t="shared" si="25"/>
        <v>-0.17869756441536566</v>
      </c>
      <c r="F304" s="2">
        <f t="shared" si="29"/>
        <v>-0.13463965982804099</v>
      </c>
      <c r="G304" s="2">
        <f t="shared" si="27"/>
        <v>-4.405790458732467E-2</v>
      </c>
      <c r="H304" s="2" t="str">
        <f t="shared" si="28"/>
        <v>Hold</v>
      </c>
    </row>
    <row r="305" spans="1:8" ht="13.5" x14ac:dyDescent="0.25">
      <c r="A305" s="3">
        <f>TITRES_STAT!B308</f>
        <v>45358</v>
      </c>
      <c r="B305" s="5">
        <f>TITRES_STAT!D308</f>
        <v>5.3220000000000001</v>
      </c>
      <c r="C305" s="2">
        <f t="shared" si="24"/>
        <v>4.8449284669875752</v>
      </c>
      <c r="D305" s="2">
        <f t="shared" si="26"/>
        <v>5.0280389965831231</v>
      </c>
      <c r="E305" s="2">
        <f t="shared" si="25"/>
        <v>-0.18311052959554797</v>
      </c>
      <c r="F305" s="2">
        <f t="shared" si="29"/>
        <v>-0.14433383378154241</v>
      </c>
      <c r="G305" s="2">
        <f t="shared" si="27"/>
        <v>-3.8776695814005557E-2</v>
      </c>
      <c r="H305" s="2" t="str">
        <f t="shared" si="28"/>
        <v>Hold</v>
      </c>
    </row>
    <row r="306" spans="1:8" ht="13.5" x14ac:dyDescent="0.25">
      <c r="A306" s="3">
        <f>TITRES_STAT!B309</f>
        <v>45359</v>
      </c>
      <c r="B306" s="5">
        <f>TITRES_STAT!D309</f>
        <v>5.3129999999999997</v>
      </c>
      <c r="C306" s="2">
        <f t="shared" si="24"/>
        <v>4.8610933182202558</v>
      </c>
      <c r="D306" s="2">
        <f t="shared" si="26"/>
        <v>5.0491472190584474</v>
      </c>
      <c r="E306" s="2">
        <f t="shared" si="25"/>
        <v>-0.18805390083819162</v>
      </c>
      <c r="F306" s="2">
        <f t="shared" si="29"/>
        <v>-0.15307784719287226</v>
      </c>
      <c r="G306" s="2">
        <f t="shared" si="27"/>
        <v>-3.497605364531936E-2</v>
      </c>
      <c r="H306" s="2" t="str">
        <f t="shared" si="28"/>
        <v>Hold</v>
      </c>
    </row>
    <row r="307" spans="1:8" ht="13.5" x14ac:dyDescent="0.25">
      <c r="A307" s="3">
        <f>TITRES_STAT!B310</f>
        <v>45362</v>
      </c>
      <c r="B307" s="5">
        <f>TITRES_STAT!D310</f>
        <v>5.2960000000000003</v>
      </c>
      <c r="C307" s="2">
        <f t="shared" si="24"/>
        <v>4.8733866538786783</v>
      </c>
      <c r="D307" s="2">
        <f t="shared" si="26"/>
        <v>5.0674326102393028</v>
      </c>
      <c r="E307" s="2">
        <f t="shared" si="25"/>
        <v>-0.19404595636062449</v>
      </c>
      <c r="F307" s="2">
        <f t="shared" si="29"/>
        <v>-0.1612714690264227</v>
      </c>
      <c r="G307" s="2">
        <f t="shared" si="27"/>
        <v>-3.2774487334201796E-2</v>
      </c>
      <c r="H307" s="2" t="str">
        <f t="shared" si="28"/>
        <v>Hold</v>
      </c>
    </row>
    <row r="308" spans="1:8" ht="13.5" x14ac:dyDescent="0.25">
      <c r="A308" s="3">
        <f>TITRES_STAT!B311</f>
        <v>45363</v>
      </c>
      <c r="B308" s="5">
        <f>TITRES_STAT!D311</f>
        <v>5.3579999999999997</v>
      </c>
      <c r="C308" s="2">
        <f t="shared" si="24"/>
        <v>4.8987117840511889</v>
      </c>
      <c r="D308" s="2">
        <f t="shared" si="26"/>
        <v>5.0889561205919467</v>
      </c>
      <c r="E308" s="2">
        <f t="shared" si="25"/>
        <v>-0.19024433654075779</v>
      </c>
      <c r="F308" s="2">
        <f t="shared" si="29"/>
        <v>-0.16706604252928975</v>
      </c>
      <c r="G308" s="2">
        <f t="shared" si="27"/>
        <v>-2.3178294011468037E-2</v>
      </c>
      <c r="H308" s="2" t="str">
        <f t="shared" si="28"/>
        <v>Hold</v>
      </c>
    </row>
    <row r="309" spans="1:8" ht="13.5" x14ac:dyDescent="0.25">
      <c r="A309" s="3">
        <f>TITRES_STAT!B312</f>
        <v>45364</v>
      </c>
      <c r="B309" s="5">
        <f>TITRES_STAT!D312</f>
        <v>5.3579999999999997</v>
      </c>
      <c r="C309" s="2">
        <f t="shared" si="24"/>
        <v>4.9201407403510053</v>
      </c>
      <c r="D309" s="2">
        <f t="shared" si="26"/>
        <v>5.1088852968443952</v>
      </c>
      <c r="E309" s="2">
        <f t="shared" si="25"/>
        <v>-0.18874455649338984</v>
      </c>
      <c r="F309" s="2">
        <f t="shared" si="29"/>
        <v>-0.17140174532210978</v>
      </c>
      <c r="G309" s="2">
        <f t="shared" si="27"/>
        <v>-1.7342811171280059E-2</v>
      </c>
      <c r="H309" s="2" t="str">
        <f t="shared" si="28"/>
        <v>Hold</v>
      </c>
    </row>
    <row r="310" spans="1:8" ht="13.5" x14ac:dyDescent="0.25">
      <c r="A310" s="3">
        <f>TITRES_STAT!B313</f>
        <v>45365</v>
      </c>
      <c r="B310" s="5">
        <f>TITRES_STAT!D313</f>
        <v>5.3579999999999997</v>
      </c>
      <c r="C310" s="2">
        <f t="shared" si="24"/>
        <v>4.9478113956816197</v>
      </c>
      <c r="D310" s="2">
        <f t="shared" si="26"/>
        <v>5.1273382378188845</v>
      </c>
      <c r="E310" s="2">
        <f t="shared" si="25"/>
        <v>-0.17952684213726489</v>
      </c>
      <c r="F310" s="2">
        <f t="shared" si="29"/>
        <v>-0.1730267646851408</v>
      </c>
      <c r="G310" s="2">
        <f t="shared" si="27"/>
        <v>-6.5000774521240812E-3</v>
      </c>
      <c r="H310" s="2" t="str">
        <f t="shared" si="28"/>
        <v>Hold</v>
      </c>
    </row>
    <row r="311" spans="1:8" ht="13.5" x14ac:dyDescent="0.25">
      <c r="A311" s="3">
        <f>TITRES_STAT!B314</f>
        <v>45366</v>
      </c>
      <c r="B311" s="5">
        <f>TITRES_STAT!D314</f>
        <v>5.3579999999999997</v>
      </c>
      <c r="C311" s="2">
        <f t="shared" si="24"/>
        <v>4.957686565576755</v>
      </c>
      <c r="D311" s="2">
        <f t="shared" si="26"/>
        <v>5.1444242942767442</v>
      </c>
      <c r="E311" s="2">
        <f t="shared" si="25"/>
        <v>-0.18673772869998917</v>
      </c>
      <c r="F311" s="2">
        <f t="shared" si="29"/>
        <v>-0.1757689574881105</v>
      </c>
      <c r="G311" s="2">
        <f t="shared" si="27"/>
        <v>-1.096877121187867E-2</v>
      </c>
      <c r="H311" s="2" t="str">
        <f t="shared" si="28"/>
        <v>Hold</v>
      </c>
    </row>
    <row r="312" spans="1:8" ht="13.5" x14ac:dyDescent="0.25">
      <c r="A312" s="3">
        <f>TITRES_STAT!B315</f>
        <v>45369</v>
      </c>
      <c r="B312" s="5">
        <f>TITRES_STAT!D315</f>
        <v>5.3579999999999997</v>
      </c>
      <c r="C312" s="2">
        <f t="shared" si="24"/>
        <v>4.9905040170264847</v>
      </c>
      <c r="D312" s="2">
        <f t="shared" si="26"/>
        <v>5.1602447169229109</v>
      </c>
      <c r="E312" s="2">
        <f t="shared" si="25"/>
        <v>-0.16974069989642615</v>
      </c>
      <c r="F312" s="2">
        <f t="shared" si="29"/>
        <v>-0.17456330596977362</v>
      </c>
      <c r="G312" s="2">
        <f t="shared" si="27"/>
        <v>4.822606073347474E-3</v>
      </c>
      <c r="H312" s="2" t="str">
        <f t="shared" si="28"/>
        <v>Sell</v>
      </c>
    </row>
    <row r="313" spans="1:8" ht="13.5" x14ac:dyDescent="0.25">
      <c r="A313" s="3">
        <f>TITRES_STAT!B316</f>
        <v>45370</v>
      </c>
      <c r="B313" s="5">
        <f>TITRES_STAT!D316</f>
        <v>5.3579999999999997</v>
      </c>
      <c r="C313" s="2">
        <f t="shared" si="24"/>
        <v>5.0415033990224103</v>
      </c>
      <c r="D313" s="2">
        <f t="shared" si="26"/>
        <v>5.1748932564101029</v>
      </c>
      <c r="E313" s="2">
        <f t="shared" si="25"/>
        <v>-0.1333898573876926</v>
      </c>
      <c r="F313" s="2">
        <f t="shared" si="29"/>
        <v>-0.16632861625335743</v>
      </c>
      <c r="G313" s="2">
        <f t="shared" si="27"/>
        <v>3.293875886566483E-2</v>
      </c>
      <c r="H313" s="2" t="str">
        <f t="shared" si="28"/>
        <v>Sell</v>
      </c>
    </row>
    <row r="314" spans="1:8" ht="13.5" x14ac:dyDescent="0.25">
      <c r="A314" s="3">
        <f>TITRES_STAT!B317</f>
        <v>45372</v>
      </c>
      <c r="B314" s="5">
        <f>TITRES_STAT!D317</f>
        <v>5.3129999999999997</v>
      </c>
      <c r="C314" s="2">
        <f t="shared" si="24"/>
        <v>5.0914259530189625</v>
      </c>
      <c r="D314" s="2">
        <f t="shared" si="26"/>
        <v>5.1851233855649097</v>
      </c>
      <c r="E314" s="2">
        <f t="shared" si="25"/>
        <v>-9.3697432545947201E-2</v>
      </c>
      <c r="F314" s="2">
        <f t="shared" si="29"/>
        <v>-0.15180237951187539</v>
      </c>
      <c r="G314" s="2">
        <f t="shared" si="27"/>
        <v>5.8104946965928189E-2</v>
      </c>
      <c r="H314" s="2" t="str">
        <f t="shared" si="28"/>
        <v>Sell</v>
      </c>
    </row>
    <row r="315" spans="1:8" ht="13.5" x14ac:dyDescent="0.25">
      <c r="A315" s="3">
        <f>TITRES_STAT!B318</f>
        <v>45373</v>
      </c>
      <c r="B315" s="5">
        <f>TITRES_STAT!D318</f>
        <v>5.34</v>
      </c>
      <c r="C315" s="2">
        <f t="shared" si="24"/>
        <v>5.1268988833237374</v>
      </c>
      <c r="D315" s="2">
        <f t="shared" si="26"/>
        <v>5.1965957273749162</v>
      </c>
      <c r="E315" s="2">
        <f t="shared" si="25"/>
        <v>-6.9696844051178708E-2</v>
      </c>
      <c r="F315" s="2">
        <f t="shared" si="29"/>
        <v>-0.13538127241973605</v>
      </c>
      <c r="G315" s="2">
        <f t="shared" si="27"/>
        <v>6.568442836855734E-2</v>
      </c>
      <c r="H315" s="2" t="str">
        <f t="shared" si="28"/>
        <v>Sell</v>
      </c>
    </row>
    <row r="316" spans="1:8" ht="13.5" x14ac:dyDescent="0.25">
      <c r="A316" s="3">
        <f>TITRES_STAT!B319</f>
        <v>45376</v>
      </c>
      <c r="B316" s="5">
        <f>TITRES_STAT!D319</f>
        <v>5.34</v>
      </c>
      <c r="C316" s="2">
        <f t="shared" si="24"/>
        <v>5.1555298243508538</v>
      </c>
      <c r="D316" s="2">
        <f t="shared" si="26"/>
        <v>5.2072182660878852</v>
      </c>
      <c r="E316" s="2">
        <f t="shared" si="25"/>
        <v>-5.1688441737031354E-2</v>
      </c>
      <c r="F316" s="2">
        <f t="shared" si="29"/>
        <v>-0.11864270628319511</v>
      </c>
      <c r="G316" s="2">
        <f t="shared" si="27"/>
        <v>6.6954264546163753E-2</v>
      </c>
      <c r="H316" s="2" t="str">
        <f t="shared" si="28"/>
        <v>Sell</v>
      </c>
    </row>
    <row r="317" spans="1:8" ht="13.5" x14ac:dyDescent="0.25">
      <c r="A317" s="3">
        <f>TITRES_STAT!B320</f>
        <v>45377</v>
      </c>
      <c r="B317" s="5">
        <f>TITRES_STAT!D320</f>
        <v>5.34</v>
      </c>
      <c r="C317" s="2">
        <f t="shared" si="24"/>
        <v>5.1771406206045683</v>
      </c>
      <c r="D317" s="2">
        <f t="shared" si="26"/>
        <v>5.2170539500813753</v>
      </c>
      <c r="E317" s="2">
        <f t="shared" si="25"/>
        <v>-3.9913329476807036E-2</v>
      </c>
      <c r="F317" s="2">
        <f t="shared" si="29"/>
        <v>-0.1028968309219175</v>
      </c>
      <c r="G317" s="2">
        <f t="shared" si="27"/>
        <v>6.298350144511046E-2</v>
      </c>
      <c r="H317" s="2" t="str">
        <f t="shared" si="28"/>
        <v>Sell</v>
      </c>
    </row>
    <row r="318" spans="1:8" ht="13.5" x14ac:dyDescent="0.25">
      <c r="A318" s="3">
        <f>TITRES_STAT!B321</f>
        <v>45378</v>
      </c>
      <c r="B318" s="5">
        <f>TITRES_STAT!D321</f>
        <v>5.34</v>
      </c>
      <c r="C318" s="2">
        <f t="shared" si="24"/>
        <v>5.2049651405115576</v>
      </c>
      <c r="D318" s="2">
        <f t="shared" si="26"/>
        <v>5.226161064890162</v>
      </c>
      <c r="E318" s="2">
        <f t="shared" si="25"/>
        <v>-2.1195924378604403E-2</v>
      </c>
      <c r="F318" s="2">
        <f t="shared" si="29"/>
        <v>-8.6556649613254877E-2</v>
      </c>
      <c r="G318" s="2">
        <f t="shared" si="27"/>
        <v>6.5360725234650474E-2</v>
      </c>
      <c r="H318" s="2" t="str">
        <f t="shared" si="28"/>
        <v>Sell</v>
      </c>
    </row>
    <row r="319" spans="1:8" ht="13.5" x14ac:dyDescent="0.25">
      <c r="A319" s="3">
        <f>TITRES_STAT!B322</f>
        <v>45379</v>
      </c>
      <c r="B319" s="5">
        <f>TITRES_STAT!D322</f>
        <v>5.3310000000000004</v>
      </c>
      <c r="C319" s="2">
        <f t="shared" si="24"/>
        <v>5.228508965048241</v>
      </c>
      <c r="D319" s="2">
        <f t="shared" si="26"/>
        <v>5.2339269119353347</v>
      </c>
      <c r="E319" s="2">
        <f t="shared" si="25"/>
        <v>-5.4179468870936276E-3</v>
      </c>
      <c r="F319" s="2">
        <f t="shared" si="29"/>
        <v>-7.0328909068022638E-2</v>
      </c>
      <c r="G319" s="2">
        <f t="shared" si="27"/>
        <v>6.491096218092901E-2</v>
      </c>
      <c r="H319" s="2" t="str">
        <f t="shared" si="28"/>
        <v>Sell</v>
      </c>
    </row>
    <row r="320" spans="1:8" ht="13.5" x14ac:dyDescent="0.25">
      <c r="A320" s="3">
        <f>TITRES_STAT!B323</f>
        <v>45380</v>
      </c>
      <c r="B320" s="5">
        <f>TITRES_STAT!D323</f>
        <v>5.3220000000000001</v>
      </c>
      <c r="C320" s="2">
        <f t="shared" si="24"/>
        <v>5.248430662733127</v>
      </c>
      <c r="D320" s="2">
        <f t="shared" si="26"/>
        <v>5.2404508443845685</v>
      </c>
      <c r="E320" s="2">
        <f t="shared" si="25"/>
        <v>7.9798183485584318E-3</v>
      </c>
      <c r="F320" s="2">
        <f t="shared" si="29"/>
        <v>-5.4667163584706427E-2</v>
      </c>
      <c r="G320" s="2">
        <f t="shared" si="27"/>
        <v>6.2646981933264859E-2</v>
      </c>
      <c r="H320" s="2" t="str">
        <f t="shared" si="28"/>
        <v>Sell</v>
      </c>
    </row>
    <row r="321" spans="1:8" ht="13.5" x14ac:dyDescent="0.25">
      <c r="A321" s="3">
        <f>TITRES_STAT!B324</f>
        <v>45383</v>
      </c>
      <c r="B321" s="5">
        <f>TITRES_STAT!D324</f>
        <v>5.3310000000000004</v>
      </c>
      <c r="C321" s="2">
        <f t="shared" si="24"/>
        <v>5.2652874838511075</v>
      </c>
      <c r="D321" s="2">
        <f t="shared" si="26"/>
        <v>5.2471581892449706</v>
      </c>
      <c r="E321" s="2">
        <f t="shared" si="25"/>
        <v>1.8129294606136881E-2</v>
      </c>
      <c r="F321" s="2">
        <f t="shared" si="29"/>
        <v>-4.0107871946537768E-2</v>
      </c>
      <c r="G321" s="2">
        <f t="shared" si="27"/>
        <v>5.8237166552674649E-2</v>
      </c>
      <c r="H321" s="2" t="str">
        <f t="shared" si="28"/>
        <v>Sell</v>
      </c>
    </row>
    <row r="322" spans="1:8" ht="13.5" x14ac:dyDescent="0.25">
      <c r="A322" s="3">
        <f>TITRES_STAT!B325</f>
        <v>45384</v>
      </c>
      <c r="B322" s="5">
        <f>TITRES_STAT!D325</f>
        <v>5.3310000000000004</v>
      </c>
      <c r="C322" s="2">
        <f t="shared" si="24"/>
        <v>5.2795509478740135</v>
      </c>
      <c r="D322" s="2">
        <f t="shared" si="26"/>
        <v>5.253368693745343</v>
      </c>
      <c r="E322" s="2">
        <f t="shared" si="25"/>
        <v>2.6182254128670479E-2</v>
      </c>
      <c r="F322" s="2">
        <f t="shared" si="29"/>
        <v>-2.6849846731496117E-2</v>
      </c>
      <c r="G322" s="2">
        <f t="shared" si="27"/>
        <v>5.3032100860166596E-2</v>
      </c>
      <c r="H322" s="2" t="str">
        <f t="shared" si="28"/>
        <v>Sell</v>
      </c>
    </row>
    <row r="323" spans="1:8" ht="13.5" x14ac:dyDescent="0.25">
      <c r="A323" s="3">
        <f>TITRES_STAT!B326</f>
        <v>45385</v>
      </c>
      <c r="B323" s="5">
        <f>TITRES_STAT!D326</f>
        <v>5.3579999999999997</v>
      </c>
      <c r="C323" s="2">
        <f t="shared" si="24"/>
        <v>5.2916200328164731</v>
      </c>
      <c r="D323" s="2">
        <f t="shared" si="26"/>
        <v>5.2611191608753174</v>
      </c>
      <c r="E323" s="2">
        <f t="shared" si="25"/>
        <v>3.0500871941155694E-2</v>
      </c>
      <c r="F323" s="2">
        <f t="shared" si="29"/>
        <v>-1.5379702996965759E-2</v>
      </c>
      <c r="G323" s="2">
        <f t="shared" si="27"/>
        <v>4.5880574938121449E-2</v>
      </c>
      <c r="H323" s="2" t="str">
        <f t="shared" si="28"/>
        <v>Sell</v>
      </c>
    </row>
    <row r="324" spans="1:8" ht="13.5" x14ac:dyDescent="0.25">
      <c r="A324" s="3">
        <f>TITRES_STAT!B327</f>
        <v>45386</v>
      </c>
      <c r="B324" s="5">
        <f>TITRES_STAT!D327</f>
        <v>5.3579999999999997</v>
      </c>
      <c r="C324" s="2">
        <f t="shared" si="24"/>
        <v>5.2949092585370163</v>
      </c>
      <c r="D324" s="2">
        <f t="shared" si="26"/>
        <v>5.2682955193289978</v>
      </c>
      <c r="E324" s="2">
        <f t="shared" si="25"/>
        <v>2.6613739208018572E-2</v>
      </c>
      <c r="F324" s="2">
        <f t="shared" si="29"/>
        <v>-6.9810145559688931E-3</v>
      </c>
      <c r="G324" s="2">
        <f t="shared" si="27"/>
        <v>3.3594753763987462E-2</v>
      </c>
      <c r="H324" s="2" t="str">
        <f t="shared" si="28"/>
        <v>Sell</v>
      </c>
    </row>
    <row r="325" spans="1:8" ht="13.5" x14ac:dyDescent="0.25">
      <c r="A325" s="3">
        <f>TITRES_STAT!B328</f>
        <v>45387</v>
      </c>
      <c r="B325" s="5">
        <f>TITRES_STAT!D328</f>
        <v>5.3220000000000001</v>
      </c>
      <c r="C325" s="2">
        <f t="shared" si="24"/>
        <v>5.3018462956851682</v>
      </c>
      <c r="D325" s="2">
        <f t="shared" si="26"/>
        <v>5.272273629008331</v>
      </c>
      <c r="E325" s="2">
        <f t="shared" si="25"/>
        <v>2.9572666676837223E-2</v>
      </c>
      <c r="F325" s="2">
        <f t="shared" si="29"/>
        <v>3.2972169059233055E-4</v>
      </c>
      <c r="G325" s="2">
        <f t="shared" si="27"/>
        <v>2.9242944986244891E-2</v>
      </c>
      <c r="H325" s="2" t="str">
        <f t="shared" si="28"/>
        <v>Sell</v>
      </c>
    </row>
    <row r="326" spans="1:8" ht="13.5" x14ac:dyDescent="0.25">
      <c r="A326" s="3">
        <f>TITRES_STAT!B329</f>
        <v>45390</v>
      </c>
      <c r="B326" s="5">
        <f>TITRES_STAT!D329</f>
        <v>5.3220000000000001</v>
      </c>
      <c r="C326" s="2">
        <f t="shared" si="24"/>
        <v>5.3077160963489884</v>
      </c>
      <c r="D326" s="2">
        <f t="shared" si="26"/>
        <v>5.2759570638966027</v>
      </c>
      <c r="E326" s="2">
        <f t="shared" si="25"/>
        <v>3.175903245238576E-2</v>
      </c>
      <c r="F326" s="2">
        <f t="shared" si="29"/>
        <v>6.6155838429510167E-3</v>
      </c>
      <c r="G326" s="2">
        <f t="shared" si="27"/>
        <v>2.5143448609434745E-2</v>
      </c>
      <c r="H326" s="2" t="str">
        <f t="shared" si="28"/>
        <v>Sell</v>
      </c>
    </row>
    <row r="327" spans="1:8" ht="13.5" x14ac:dyDescent="0.25">
      <c r="A327" s="3">
        <f>TITRES_STAT!B330</f>
        <v>45394</v>
      </c>
      <c r="B327" s="5">
        <f>TITRES_STAT!D330</f>
        <v>5.3129999999999997</v>
      </c>
      <c r="C327" s="2">
        <f t="shared" si="24"/>
        <v>5.3126828507568362</v>
      </c>
      <c r="D327" s="2">
        <f t="shared" si="26"/>
        <v>5.2787009850894471</v>
      </c>
      <c r="E327" s="2">
        <f t="shared" si="25"/>
        <v>3.3981865667389144E-2</v>
      </c>
      <c r="F327" s="2">
        <f t="shared" si="29"/>
        <v>1.2088840207838642E-2</v>
      </c>
      <c r="G327" s="2">
        <f t="shared" si="27"/>
        <v>2.1893025459550502E-2</v>
      </c>
      <c r="H327" s="2" t="str">
        <f t="shared" si="28"/>
        <v>Sell</v>
      </c>
    </row>
    <row r="328" spans="1:8" ht="13.5" x14ac:dyDescent="0.25">
      <c r="A328" s="3">
        <f>TITRES_STAT!B331</f>
        <v>45397</v>
      </c>
      <c r="B328" s="5">
        <f>TITRES_STAT!D331</f>
        <v>5.3129999999999997</v>
      </c>
      <c r="C328" s="2">
        <f t="shared" si="24"/>
        <v>5.3168854891019386</v>
      </c>
      <c r="D328" s="2">
        <f t="shared" si="26"/>
        <v>5.281241652860599</v>
      </c>
      <c r="E328" s="2">
        <f t="shared" si="25"/>
        <v>3.5643836241339599E-2</v>
      </c>
      <c r="F328" s="2">
        <f t="shared" si="29"/>
        <v>1.6799839414538834E-2</v>
      </c>
      <c r="G328" s="2">
        <f t="shared" si="27"/>
        <v>1.8843996826800765E-2</v>
      </c>
      <c r="H328" s="2" t="str">
        <f t="shared" si="28"/>
        <v>Sell</v>
      </c>
    </row>
    <row r="329" spans="1:8" ht="13.5" x14ac:dyDescent="0.25">
      <c r="A329" s="3">
        <f>TITRES_STAT!B332</f>
        <v>45398</v>
      </c>
      <c r="B329" s="5">
        <f>TITRES_STAT!D332</f>
        <v>5.3129999999999997</v>
      </c>
      <c r="C329" s="2">
        <f t="shared" si="24"/>
        <v>5.319056952317025</v>
      </c>
      <c r="D329" s="2">
        <f t="shared" si="26"/>
        <v>5.2835941230190731</v>
      </c>
      <c r="E329" s="2">
        <f t="shared" si="25"/>
        <v>3.546282929795197E-2</v>
      </c>
      <c r="F329" s="2">
        <f t="shared" si="29"/>
        <v>2.0532437391221462E-2</v>
      </c>
      <c r="G329" s="2">
        <f t="shared" si="27"/>
        <v>1.4930391906730508E-2</v>
      </c>
      <c r="H329" s="2" t="str">
        <f t="shared" si="28"/>
        <v>Sell</v>
      </c>
    </row>
    <row r="330" spans="1:8" ht="13.5" x14ac:dyDescent="0.25">
      <c r="A330" s="3">
        <f>TITRES_STAT!B333</f>
        <v>45399</v>
      </c>
      <c r="B330" s="5">
        <f>TITRES_STAT!D333</f>
        <v>5.3129999999999997</v>
      </c>
      <c r="C330" s="2">
        <f t="shared" si="24"/>
        <v>5.319509728883637</v>
      </c>
      <c r="D330" s="2">
        <f t="shared" si="26"/>
        <v>5.2857723361287716</v>
      </c>
      <c r="E330" s="2">
        <f t="shared" si="25"/>
        <v>3.3737392754865425E-2</v>
      </c>
      <c r="F330" s="2">
        <f t="shared" si="29"/>
        <v>2.3173428463950256E-2</v>
      </c>
      <c r="G330" s="2">
        <f t="shared" si="27"/>
        <v>1.0563964290915169E-2</v>
      </c>
      <c r="H330" s="2" t="str">
        <f t="shared" si="28"/>
        <v>Sell</v>
      </c>
    </row>
    <row r="331" spans="1:8" ht="13.5" x14ac:dyDescent="0.25">
      <c r="A331" s="3">
        <f>TITRES_STAT!B334</f>
        <v>45400</v>
      </c>
      <c r="B331" s="5">
        <f>TITRES_STAT!D334</f>
        <v>5.2329999999999997</v>
      </c>
      <c r="C331" s="2">
        <f t="shared" si="24"/>
        <v>5.3212774629015387</v>
      </c>
      <c r="D331" s="2">
        <f t="shared" si="26"/>
        <v>5.2818632741933076</v>
      </c>
      <c r="E331" s="2">
        <f t="shared" si="25"/>
        <v>3.9414188708231102E-2</v>
      </c>
      <c r="F331" s="2">
        <f t="shared" si="29"/>
        <v>2.6421580512806426E-2</v>
      </c>
      <c r="G331" s="2">
        <f t="shared" si="27"/>
        <v>1.2992608195424676E-2</v>
      </c>
      <c r="H331" s="2" t="str">
        <f t="shared" si="28"/>
        <v>Sell</v>
      </c>
    </row>
    <row r="332" spans="1:8" ht="13.5" x14ac:dyDescent="0.25">
      <c r="A332" s="3">
        <f>TITRES_STAT!B335</f>
        <v>45401</v>
      </c>
      <c r="B332" s="5">
        <f>TITRES_STAT!D335</f>
        <v>5.2329999999999997</v>
      </c>
      <c r="C332" s="2">
        <f t="shared" si="24"/>
        <v>5.3227732378397636</v>
      </c>
      <c r="D332" s="2">
        <f t="shared" si="26"/>
        <v>5.2782437724012112</v>
      </c>
      <c r="E332" s="2">
        <f t="shared" si="25"/>
        <v>4.4529465438552407E-2</v>
      </c>
      <c r="F332" s="2">
        <f t="shared" si="29"/>
        <v>3.0043157497955622E-2</v>
      </c>
      <c r="G332" s="2">
        <f t="shared" si="27"/>
        <v>1.4486307940596785E-2</v>
      </c>
      <c r="H332" s="2" t="str">
        <f t="shared" si="28"/>
        <v>Sell</v>
      </c>
    </row>
    <row r="333" spans="1:8" ht="13.5" x14ac:dyDescent="0.25">
      <c r="A333" s="3">
        <f>TITRES_STAT!B336</f>
        <v>45404</v>
      </c>
      <c r="B333" s="5">
        <f>TITRES_STAT!D336</f>
        <v>5.2329999999999997</v>
      </c>
      <c r="C333" s="2">
        <f t="shared" si="24"/>
        <v>5.3281927397105688</v>
      </c>
      <c r="D333" s="2">
        <f t="shared" si="26"/>
        <v>5.2748923818529736</v>
      </c>
      <c r="E333" s="2">
        <f t="shared" si="25"/>
        <v>5.3300357857595237E-2</v>
      </c>
      <c r="F333" s="2">
        <f t="shared" si="29"/>
        <v>3.4694597569883551E-2</v>
      </c>
      <c r="G333" s="2">
        <f t="shared" si="27"/>
        <v>1.8605760287711687E-2</v>
      </c>
      <c r="H333" s="2" t="str">
        <f t="shared" si="28"/>
        <v>Sell</v>
      </c>
    </row>
    <row r="334" spans="1:8" ht="13.5" x14ac:dyDescent="0.25">
      <c r="A334" s="3">
        <f>TITRES_STAT!B337</f>
        <v>45405</v>
      </c>
      <c r="B334" s="5">
        <f>TITRES_STAT!D337</f>
        <v>5.2329999999999997</v>
      </c>
      <c r="C334" s="2">
        <f t="shared" si="24"/>
        <v>5.3327784720627891</v>
      </c>
      <c r="D334" s="2">
        <f t="shared" si="26"/>
        <v>5.2717892424564576</v>
      </c>
      <c r="E334" s="2">
        <f t="shared" si="25"/>
        <v>6.0989229606331463E-2</v>
      </c>
      <c r="F334" s="2">
        <f t="shared" si="29"/>
        <v>3.9953523977173132E-2</v>
      </c>
      <c r="G334" s="2">
        <f t="shared" si="27"/>
        <v>2.1035705629158331E-2</v>
      </c>
      <c r="H334" s="2" t="str">
        <f t="shared" si="28"/>
        <v>Sell</v>
      </c>
    </row>
    <row r="335" spans="1:8" ht="13.5" x14ac:dyDescent="0.25">
      <c r="A335" s="3">
        <f>TITRES_STAT!B338</f>
        <v>45406</v>
      </c>
      <c r="B335" s="5">
        <f>TITRES_STAT!D338</f>
        <v>5.2329999999999997</v>
      </c>
      <c r="C335" s="2">
        <f t="shared" ref="C335:C398" si="30">$C$4*B325+C334*(1-$C$4)</f>
        <v>5.3311202455915909</v>
      </c>
      <c r="D335" s="2">
        <f t="shared" si="26"/>
        <v>5.2689159652374613</v>
      </c>
      <c r="E335" s="2">
        <f t="shared" si="25"/>
        <v>6.2204280354129615E-2</v>
      </c>
      <c r="F335" s="2">
        <f t="shared" si="29"/>
        <v>4.4403675252564431E-2</v>
      </c>
      <c r="G335" s="2">
        <f t="shared" si="27"/>
        <v>1.7800605101565184E-2</v>
      </c>
      <c r="H335" s="2" t="str">
        <f t="shared" si="28"/>
        <v>Sell</v>
      </c>
    </row>
    <row r="336" spans="1:8" ht="13.5" x14ac:dyDescent="0.25">
      <c r="A336" s="3">
        <f>TITRES_STAT!B339</f>
        <v>45407</v>
      </c>
      <c r="B336" s="5">
        <f>TITRES_STAT!D339</f>
        <v>5.1890000000000001</v>
      </c>
      <c r="C336" s="2">
        <f t="shared" si="30"/>
        <v>5.3297171308851921</v>
      </c>
      <c r="D336" s="2">
        <f t="shared" si="26"/>
        <v>5.2629962641087609</v>
      </c>
      <c r="E336" s="2">
        <f t="shared" si="25"/>
        <v>6.6720866776431187E-2</v>
      </c>
      <c r="F336" s="2">
        <f t="shared" si="29"/>
        <v>4.8867113557337784E-2</v>
      </c>
      <c r="G336" s="2">
        <f t="shared" si="27"/>
        <v>1.7853753219093403E-2</v>
      </c>
      <c r="H336" s="2" t="str">
        <f t="shared" si="28"/>
        <v>Sell</v>
      </c>
    </row>
    <row r="337" spans="1:8" ht="13.5" x14ac:dyDescent="0.25">
      <c r="A337" s="3">
        <f>TITRES_STAT!B340</f>
        <v>45408</v>
      </c>
      <c r="B337" s="5">
        <f>TITRES_STAT!D340</f>
        <v>5.3220000000000001</v>
      </c>
      <c r="C337" s="2">
        <f t="shared" si="30"/>
        <v>5.3271452645951616</v>
      </c>
      <c r="D337" s="2">
        <f t="shared" si="26"/>
        <v>5.2673669112118153</v>
      </c>
      <c r="E337" s="2">
        <f t="shared" si="25"/>
        <v>5.977835338334625E-2</v>
      </c>
      <c r="F337" s="2">
        <f t="shared" si="29"/>
        <v>5.1049361522539478E-2</v>
      </c>
      <c r="G337" s="2">
        <f t="shared" si="27"/>
        <v>8.7289918608067715E-3</v>
      </c>
      <c r="H337" s="2" t="str">
        <f t="shared" si="28"/>
        <v>Sell</v>
      </c>
    </row>
    <row r="338" spans="1:8" ht="13.5" x14ac:dyDescent="0.25">
      <c r="A338" s="3">
        <f>TITRES_STAT!B341</f>
        <v>45411</v>
      </c>
      <c r="B338" s="5">
        <f>TITRES_STAT!D341</f>
        <v>5.3220000000000001</v>
      </c>
      <c r="C338" s="2">
        <f t="shared" si="30"/>
        <v>5.3249690700420604</v>
      </c>
      <c r="D338" s="2">
        <f t="shared" si="26"/>
        <v>5.2714138066776064</v>
      </c>
      <c r="E338" s="2">
        <f t="shared" si="25"/>
        <v>5.3555263364454042E-2</v>
      </c>
      <c r="F338" s="2">
        <f t="shared" si="29"/>
        <v>5.1550541890922397E-2</v>
      </c>
      <c r="G338" s="2">
        <f t="shared" si="27"/>
        <v>2.0047214735316454E-3</v>
      </c>
      <c r="H338" s="2" t="str">
        <f t="shared" si="28"/>
        <v>Sell</v>
      </c>
    </row>
    <row r="339" spans="1:8" ht="13.5" x14ac:dyDescent="0.25">
      <c r="A339" s="3">
        <f>TITRES_STAT!B342</f>
        <v>45412</v>
      </c>
      <c r="B339" s="5">
        <f>TITRES_STAT!D342</f>
        <v>5.3220000000000001</v>
      </c>
      <c r="C339" s="2">
        <f t="shared" si="30"/>
        <v>5.3231276746509746</v>
      </c>
      <c r="D339" s="2">
        <f t="shared" si="26"/>
        <v>5.2751609321088946</v>
      </c>
      <c r="E339" s="2">
        <f t="shared" si="25"/>
        <v>4.7966742542079999E-2</v>
      </c>
      <c r="F339" s="2">
        <f t="shared" si="29"/>
        <v>5.083378202115392E-2</v>
      </c>
      <c r="G339" s="2">
        <f t="shared" si="27"/>
        <v>-2.8670394790739212E-3</v>
      </c>
      <c r="H339" s="2" t="str">
        <f t="shared" si="28"/>
        <v>Hold</v>
      </c>
    </row>
    <row r="340" spans="1:8" ht="13.5" x14ac:dyDescent="0.25">
      <c r="A340" s="3">
        <f>TITRES_STAT!B343</f>
        <v>45414</v>
      </c>
      <c r="B340" s="5">
        <f>TITRES_STAT!D343</f>
        <v>5.3220000000000001</v>
      </c>
      <c r="C340" s="2">
        <f t="shared" si="30"/>
        <v>5.3215695708585162</v>
      </c>
      <c r="D340" s="2">
        <f t="shared" si="26"/>
        <v>5.2786304926934209</v>
      </c>
      <c r="E340" s="2">
        <f t="shared" si="25"/>
        <v>4.2939078165095346E-2</v>
      </c>
      <c r="F340" s="2">
        <f t="shared" si="29"/>
        <v>4.9254841249942213E-2</v>
      </c>
      <c r="G340" s="2">
        <f t="shared" si="27"/>
        <v>-6.3157630848468677E-3</v>
      </c>
      <c r="H340" s="2" t="str">
        <f t="shared" si="28"/>
        <v>Hold</v>
      </c>
    </row>
    <row r="341" spans="1:8" ht="13.5" x14ac:dyDescent="0.25">
      <c r="A341" s="3">
        <f>TITRES_STAT!B344</f>
        <v>45415</v>
      </c>
      <c r="B341" s="5">
        <f>TITRES_STAT!D344</f>
        <v>5.3490000000000002</v>
      </c>
      <c r="C341" s="2">
        <f t="shared" si="30"/>
        <v>5.307943483034129</v>
      </c>
      <c r="D341" s="2">
        <f t="shared" si="26"/>
        <v>5.2838430487902039</v>
      </c>
      <c r="E341" s="2">
        <f t="shared" si="25"/>
        <v>2.4100434243925051E-2</v>
      </c>
      <c r="F341" s="2">
        <f t="shared" si="29"/>
        <v>4.4223959848738781E-2</v>
      </c>
      <c r="G341" s="2">
        <f t="shared" si="27"/>
        <v>-2.012352560481373E-2</v>
      </c>
      <c r="H341" s="2" t="str">
        <f t="shared" si="28"/>
        <v>Hold</v>
      </c>
    </row>
    <row r="342" spans="1:8" ht="13.5" x14ac:dyDescent="0.25">
      <c r="A342" s="3">
        <f>TITRES_STAT!B345</f>
        <v>45418</v>
      </c>
      <c r="B342" s="5">
        <f>TITRES_STAT!D345</f>
        <v>5.3490000000000002</v>
      </c>
      <c r="C342" s="2">
        <f t="shared" si="30"/>
        <v>5.2964137164134932</v>
      </c>
      <c r="D342" s="2">
        <f t="shared" si="26"/>
        <v>5.2886694896205588</v>
      </c>
      <c r="E342" s="2">
        <f t="shared" si="25"/>
        <v>7.7442267929344055E-3</v>
      </c>
      <c r="F342" s="2">
        <f t="shared" si="29"/>
        <v>3.6928013237577911E-2</v>
      </c>
      <c r="G342" s="2">
        <f t="shared" si="27"/>
        <v>-2.9183786444643506E-2</v>
      </c>
      <c r="H342" s="2" t="str">
        <f t="shared" si="28"/>
        <v>Hold</v>
      </c>
    </row>
    <row r="343" spans="1:8" ht="13.5" x14ac:dyDescent="0.25">
      <c r="A343" s="3">
        <f>TITRES_STAT!B346</f>
        <v>45419</v>
      </c>
      <c r="B343" s="5">
        <f>TITRES_STAT!D346</f>
        <v>5.3129999999999997</v>
      </c>
      <c r="C343" s="2">
        <f t="shared" si="30"/>
        <v>5.2866577600421865</v>
      </c>
      <c r="D343" s="2">
        <f t="shared" si="26"/>
        <v>5.2904717496486651</v>
      </c>
      <c r="E343" s="2">
        <f t="shared" si="25"/>
        <v>-3.8139896064786072E-3</v>
      </c>
      <c r="F343" s="2">
        <f t="shared" si="29"/>
        <v>2.8779612668766608E-2</v>
      </c>
      <c r="G343" s="2">
        <f t="shared" si="27"/>
        <v>-3.2593602275245215E-2</v>
      </c>
      <c r="H343" s="2" t="str">
        <f t="shared" si="28"/>
        <v>Hold</v>
      </c>
    </row>
    <row r="344" spans="1:8" ht="13.5" x14ac:dyDescent="0.25">
      <c r="A344" s="3">
        <f>TITRES_STAT!B347</f>
        <v>45420</v>
      </c>
      <c r="B344" s="5">
        <f>TITRES_STAT!D347</f>
        <v>5.3129999999999997</v>
      </c>
      <c r="C344" s="2">
        <f t="shared" si="30"/>
        <v>5.2784027200356958</v>
      </c>
      <c r="D344" s="2">
        <f t="shared" si="26"/>
        <v>5.2921405089339491</v>
      </c>
      <c r="E344" s="2">
        <f t="shared" si="25"/>
        <v>-1.3737788898253278E-2</v>
      </c>
      <c r="F344" s="2">
        <f t="shared" si="29"/>
        <v>2.027613235536263E-2</v>
      </c>
      <c r="G344" s="2">
        <f t="shared" si="27"/>
        <v>-3.4013921253615909E-2</v>
      </c>
      <c r="H344" s="2" t="str">
        <f t="shared" si="28"/>
        <v>Hold</v>
      </c>
    </row>
    <row r="345" spans="1:8" ht="13.5" x14ac:dyDescent="0.25">
      <c r="A345" s="3">
        <f>TITRES_STAT!B348</f>
        <v>45421</v>
      </c>
      <c r="B345" s="5">
        <f>TITRES_STAT!D348</f>
        <v>5.3129999999999997</v>
      </c>
      <c r="C345" s="2">
        <f t="shared" si="30"/>
        <v>5.2714176861840505</v>
      </c>
      <c r="D345" s="2">
        <f t="shared" si="26"/>
        <v>5.2936856564203234</v>
      </c>
      <c r="E345" s="2">
        <f t="shared" si="25"/>
        <v>-2.2267970236272916E-2</v>
      </c>
      <c r="F345" s="2">
        <f t="shared" si="29"/>
        <v>1.176731183703552E-2</v>
      </c>
      <c r="G345" s="2">
        <f t="shared" si="27"/>
        <v>-3.4035282073308436E-2</v>
      </c>
      <c r="H345" s="2" t="str">
        <f t="shared" si="28"/>
        <v>Hold</v>
      </c>
    </row>
    <row r="346" spans="1:8" ht="13.5" x14ac:dyDescent="0.25">
      <c r="A346" s="3">
        <f>TITRES_STAT!B349</f>
        <v>45422</v>
      </c>
      <c r="B346" s="5">
        <f>TITRES_STAT!D349</f>
        <v>5.3129999999999997</v>
      </c>
      <c r="C346" s="2">
        <f t="shared" si="30"/>
        <v>5.258738042155735</v>
      </c>
      <c r="D346" s="2">
        <f t="shared" si="26"/>
        <v>5.295116348537336</v>
      </c>
      <c r="E346" s="2">
        <f t="shared" si="25"/>
        <v>-3.6378306381601E-2</v>
      </c>
      <c r="F346" s="2">
        <f t="shared" si="29"/>
        <v>2.1381881933082159E-3</v>
      </c>
      <c r="G346" s="2">
        <f t="shared" si="27"/>
        <v>-3.8516494574909216E-2</v>
      </c>
      <c r="H346" s="2" t="str">
        <f t="shared" si="28"/>
        <v>Hold</v>
      </c>
    </row>
    <row r="347" spans="1:8" ht="13.5" x14ac:dyDescent="0.25">
      <c r="A347" s="3">
        <f>TITRES_STAT!B350</f>
        <v>45425</v>
      </c>
      <c r="B347" s="5">
        <f>TITRES_STAT!D350</f>
        <v>5.3129999999999997</v>
      </c>
      <c r="C347" s="2">
        <f t="shared" si="30"/>
        <v>5.2684706510548525</v>
      </c>
      <c r="D347" s="2">
        <f t="shared" si="26"/>
        <v>5.2964410634604961</v>
      </c>
      <c r="E347" s="2">
        <f t="shared" si="25"/>
        <v>-2.7970412405643685E-2</v>
      </c>
      <c r="F347" s="2">
        <f t="shared" si="29"/>
        <v>-3.8835319264821653E-3</v>
      </c>
      <c r="G347" s="2">
        <f t="shared" si="27"/>
        <v>-2.4086880479161521E-2</v>
      </c>
      <c r="H347" s="2" t="str">
        <f t="shared" si="28"/>
        <v>Hold</v>
      </c>
    </row>
    <row r="348" spans="1:8" ht="13.5" x14ac:dyDescent="0.25">
      <c r="A348" s="3">
        <f>TITRES_STAT!B351</f>
        <v>45426</v>
      </c>
      <c r="B348" s="5">
        <f>TITRES_STAT!D351</f>
        <v>5.1980000000000004</v>
      </c>
      <c r="C348" s="2">
        <f t="shared" si="30"/>
        <v>5.2767059355079518</v>
      </c>
      <c r="D348" s="2">
        <f t="shared" si="26"/>
        <v>5.289149132833793</v>
      </c>
      <c r="E348" s="2">
        <f t="shared" ref="E348:E411" si="31">C348-D348</f>
        <v>-1.2443197325841204E-2</v>
      </c>
      <c r="F348" s="2">
        <f t="shared" si="29"/>
        <v>-5.5954650063539738E-3</v>
      </c>
      <c r="G348" s="2">
        <f t="shared" si="27"/>
        <v>-6.8477323194872305E-3</v>
      </c>
      <c r="H348" s="2" t="str">
        <f t="shared" si="28"/>
        <v>Hold</v>
      </c>
    </row>
    <row r="349" spans="1:8" ht="13.5" x14ac:dyDescent="0.25">
      <c r="A349" s="3">
        <f>TITRES_STAT!B352</f>
        <v>45427</v>
      </c>
      <c r="B349" s="5">
        <f>TITRES_STAT!D352</f>
        <v>5.0999999999999996</v>
      </c>
      <c r="C349" s="2">
        <f t="shared" si="30"/>
        <v>5.283674253122113</v>
      </c>
      <c r="D349" s="2">
        <f t="shared" ref="D349:D412" si="32">$D$4*B349+(1-$D$4)*D348</f>
        <v>5.2751380859572157</v>
      </c>
      <c r="E349" s="2">
        <f t="shared" si="31"/>
        <v>8.5361671648973569E-3</v>
      </c>
      <c r="F349" s="2">
        <f t="shared" si="29"/>
        <v>-2.7691385721037073E-3</v>
      </c>
      <c r="G349" s="2">
        <f t="shared" si="27"/>
        <v>1.1305305737001064E-2</v>
      </c>
      <c r="H349" s="2" t="str">
        <f t="shared" si="28"/>
        <v>Sell</v>
      </c>
    </row>
    <row r="350" spans="1:8" ht="13.5" x14ac:dyDescent="0.25">
      <c r="A350" s="3">
        <f>TITRES_STAT!B353</f>
        <v>45428</v>
      </c>
      <c r="B350" s="5">
        <f>TITRES_STAT!D353</f>
        <v>5.3220000000000001</v>
      </c>
      <c r="C350" s="2">
        <f t="shared" si="30"/>
        <v>5.2895705218725571</v>
      </c>
      <c r="D350" s="2">
        <f t="shared" si="32"/>
        <v>5.2786093388492734</v>
      </c>
      <c r="E350" s="2">
        <f t="shared" si="31"/>
        <v>1.0961183023283638E-2</v>
      </c>
      <c r="F350" s="2">
        <f t="shared" si="29"/>
        <v>-2.3074253026238081E-5</v>
      </c>
      <c r="G350" s="2">
        <f t="shared" si="27"/>
        <v>1.0984257276309877E-2</v>
      </c>
      <c r="H350" s="2" t="str">
        <f t="shared" si="28"/>
        <v>Sell</v>
      </c>
    </row>
    <row r="351" spans="1:8" ht="13.5" x14ac:dyDescent="0.25">
      <c r="A351" s="3">
        <f>TITRES_STAT!B354</f>
        <v>45429</v>
      </c>
      <c r="B351" s="5">
        <f>TITRES_STAT!D354</f>
        <v>5.3490000000000002</v>
      </c>
      <c r="C351" s="2">
        <f t="shared" si="30"/>
        <v>5.2987135185075482</v>
      </c>
      <c r="D351" s="2">
        <f t="shared" si="32"/>
        <v>5.2838234618974749</v>
      </c>
      <c r="E351" s="2">
        <f t="shared" si="31"/>
        <v>1.4890056610073366E-2</v>
      </c>
      <c r="F351" s="2">
        <f t="shared" si="29"/>
        <v>2.9595519195936828E-3</v>
      </c>
      <c r="G351" s="2">
        <f t="shared" si="27"/>
        <v>1.1930504690479682E-2</v>
      </c>
      <c r="H351" s="2" t="str">
        <f t="shared" si="28"/>
        <v>Sell</v>
      </c>
    </row>
    <row r="352" spans="1:8" ht="13.5" x14ac:dyDescent="0.25">
      <c r="A352" s="3">
        <f>TITRES_STAT!B355</f>
        <v>45432</v>
      </c>
      <c r="B352" s="5">
        <f>TITRES_STAT!D355</f>
        <v>5.34</v>
      </c>
      <c r="C352" s="2">
        <f t="shared" si="30"/>
        <v>5.3064499002756182</v>
      </c>
      <c r="D352" s="2">
        <f t="shared" si="32"/>
        <v>5.2879846869421057</v>
      </c>
      <c r="E352" s="2">
        <f t="shared" si="31"/>
        <v>1.8465213333512587E-2</v>
      </c>
      <c r="F352" s="2">
        <f t="shared" si="29"/>
        <v>6.060684202377464E-3</v>
      </c>
      <c r="G352" s="2">
        <f t="shared" si="27"/>
        <v>1.2404529131135123E-2</v>
      </c>
      <c r="H352" s="2" t="str">
        <f t="shared" si="28"/>
        <v>Sell</v>
      </c>
    </row>
    <row r="353" spans="1:8" ht="13.5" x14ac:dyDescent="0.25">
      <c r="A353" s="3">
        <f>TITRES_STAT!B356</f>
        <v>45433</v>
      </c>
      <c r="B353" s="5">
        <f>TITRES_STAT!D356</f>
        <v>5.34</v>
      </c>
      <c r="C353" s="2">
        <f t="shared" si="30"/>
        <v>5.3074576079255227</v>
      </c>
      <c r="D353" s="2">
        <f t="shared" si="32"/>
        <v>5.291837673094542</v>
      </c>
      <c r="E353" s="2">
        <f t="shared" si="31"/>
        <v>1.5619934830980675E-2</v>
      </c>
      <c r="F353" s="2">
        <f t="shared" si="29"/>
        <v>7.9725343280981076E-3</v>
      </c>
      <c r="G353" s="2">
        <f t="shared" si="27"/>
        <v>7.6474005028825676E-3</v>
      </c>
      <c r="H353" s="2" t="str">
        <f t="shared" si="28"/>
        <v>Sell</v>
      </c>
    </row>
    <row r="354" spans="1:8" ht="13.5" x14ac:dyDescent="0.25">
      <c r="A354" s="3">
        <f>TITRES_STAT!B357</f>
        <v>45434</v>
      </c>
      <c r="B354" s="5">
        <f>TITRES_STAT!D357</f>
        <v>5.3220000000000001</v>
      </c>
      <c r="C354" s="2">
        <f t="shared" si="30"/>
        <v>5.3083102836292877</v>
      </c>
      <c r="D354" s="2">
        <f t="shared" si="32"/>
        <v>5.2940719195319828</v>
      </c>
      <c r="E354" s="2">
        <f t="shared" si="31"/>
        <v>1.4238364097304945E-2</v>
      </c>
      <c r="F354" s="2">
        <f t="shared" si="29"/>
        <v>9.2257002819394751E-3</v>
      </c>
      <c r="G354" s="2">
        <f t="shared" si="27"/>
        <v>5.0126638153654701E-3</v>
      </c>
      <c r="H354" s="2" t="str">
        <f t="shared" si="28"/>
        <v>Sell</v>
      </c>
    </row>
    <row r="355" spans="1:8" ht="13.5" x14ac:dyDescent="0.25">
      <c r="A355" s="3">
        <f>TITRES_STAT!B358</f>
        <v>45435</v>
      </c>
      <c r="B355" s="5">
        <f>TITRES_STAT!D358</f>
        <v>5.3220000000000001</v>
      </c>
      <c r="C355" s="2">
        <f t="shared" si="30"/>
        <v>5.3090317784555516</v>
      </c>
      <c r="D355" s="2">
        <f t="shared" si="32"/>
        <v>5.2961406662333168</v>
      </c>
      <c r="E355" s="2">
        <f t="shared" si="31"/>
        <v>1.2891112222234824E-2</v>
      </c>
      <c r="F355" s="2">
        <f t="shared" si="29"/>
        <v>9.9587826699985456E-3</v>
      </c>
      <c r="G355" s="2">
        <f t="shared" si="27"/>
        <v>2.9323295522362784E-3</v>
      </c>
      <c r="H355" s="2" t="str">
        <f t="shared" si="28"/>
        <v>Sell</v>
      </c>
    </row>
    <row r="356" spans="1:8" ht="13.5" x14ac:dyDescent="0.25">
      <c r="A356" s="3">
        <f>TITRES_STAT!B359</f>
        <v>45436</v>
      </c>
      <c r="B356" s="5">
        <f>TITRES_STAT!D359</f>
        <v>5.2329999999999997</v>
      </c>
      <c r="C356" s="2">
        <f t="shared" si="30"/>
        <v>5.309642274077774</v>
      </c>
      <c r="D356" s="2">
        <f t="shared" si="32"/>
        <v>5.2914635798456642</v>
      </c>
      <c r="E356" s="2">
        <f t="shared" si="31"/>
        <v>1.8178694232109827E-2</v>
      </c>
      <c r="F356" s="2">
        <f t="shared" si="29"/>
        <v>1.1602764982420802E-2</v>
      </c>
      <c r="G356" s="2">
        <f t="shared" ref="G356:G419" si="33">E356-F356</f>
        <v>6.5759292496890241E-3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45439</v>
      </c>
      <c r="B357" s="5">
        <f>TITRES_STAT!D360</f>
        <v>5.2329999999999997</v>
      </c>
      <c r="C357" s="2">
        <f t="shared" si="30"/>
        <v>5.3101588472965773</v>
      </c>
      <c r="D357" s="2">
        <f t="shared" si="32"/>
        <v>5.2871329443015407</v>
      </c>
      <c r="E357" s="2">
        <f t="shared" si="31"/>
        <v>2.3025902995036596E-2</v>
      </c>
      <c r="F357" s="2">
        <f t="shared" ref="F357:F420" si="35">(E357*(2/(10)))+((1-(2/10))*F356)</f>
        <v>1.388739258494396E-2</v>
      </c>
      <c r="G357" s="2">
        <f t="shared" si="33"/>
        <v>9.1385104100926359E-3</v>
      </c>
      <c r="H357" s="2" t="str">
        <f t="shared" si="34"/>
        <v>Sell</v>
      </c>
    </row>
    <row r="358" spans="1:8" ht="13.5" x14ac:dyDescent="0.25">
      <c r="A358" s="3">
        <f>TITRES_STAT!B361</f>
        <v>45440</v>
      </c>
      <c r="B358" s="5">
        <f>TITRES_STAT!D361</f>
        <v>5.2329999999999997</v>
      </c>
      <c r="C358" s="2">
        <f t="shared" si="30"/>
        <v>5.2929036400201808</v>
      </c>
      <c r="D358" s="2">
        <f t="shared" si="32"/>
        <v>5.2831230965755012</v>
      </c>
      <c r="E358" s="2">
        <f t="shared" si="31"/>
        <v>9.7805434446796014E-3</v>
      </c>
      <c r="F358" s="2">
        <f t="shared" si="35"/>
        <v>1.3066022756891088E-2</v>
      </c>
      <c r="G358" s="2">
        <f t="shared" si="33"/>
        <v>-3.2854793122114867E-3</v>
      </c>
      <c r="H358" s="2" t="str">
        <f t="shared" si="34"/>
        <v>Hold</v>
      </c>
    </row>
    <row r="359" spans="1:8" ht="13.5" x14ac:dyDescent="0.25">
      <c r="A359" s="3">
        <f>TITRES_STAT!B362</f>
        <v>45441</v>
      </c>
      <c r="B359" s="5">
        <f>TITRES_STAT!D362</f>
        <v>5.056</v>
      </c>
      <c r="C359" s="2">
        <f t="shared" si="30"/>
        <v>5.2632261569401528</v>
      </c>
      <c r="D359" s="2">
        <f t="shared" si="32"/>
        <v>5.2662991634958347</v>
      </c>
      <c r="E359" s="2">
        <f t="shared" si="31"/>
        <v>-3.0730065556818786E-3</v>
      </c>
      <c r="F359" s="2">
        <f t="shared" si="35"/>
        <v>9.8382168943764951E-3</v>
      </c>
      <c r="G359" s="2">
        <f t="shared" si="33"/>
        <v>-1.2911223450058374E-2</v>
      </c>
      <c r="H359" s="2" t="str">
        <f t="shared" si="34"/>
        <v>Hold</v>
      </c>
    </row>
    <row r="360" spans="1:8" ht="13.5" x14ac:dyDescent="0.25">
      <c r="A360" s="3">
        <f>TITRES_STAT!B363</f>
        <v>45442</v>
      </c>
      <c r="B360" s="5">
        <f>TITRES_STAT!D363</f>
        <v>5.1449999999999996</v>
      </c>
      <c r="C360" s="2">
        <f t="shared" si="30"/>
        <v>5.2722682866416681</v>
      </c>
      <c r="D360" s="2">
        <f t="shared" si="32"/>
        <v>5.2573140402739211</v>
      </c>
      <c r="E360" s="2">
        <f t="shared" si="31"/>
        <v>1.4954246367747004E-2</v>
      </c>
      <c r="F360" s="2">
        <f t="shared" si="35"/>
        <v>1.0861422789050596E-2</v>
      </c>
      <c r="G360" s="2">
        <f t="shared" si="33"/>
        <v>4.0928235786964074E-3</v>
      </c>
      <c r="H360" s="2" t="str">
        <f t="shared" si="34"/>
        <v>Sell</v>
      </c>
    </row>
    <row r="361" spans="1:8" ht="13.5" x14ac:dyDescent="0.25">
      <c r="A361" s="3">
        <f>TITRES_STAT!B364</f>
        <v>45443</v>
      </c>
      <c r="B361" s="5">
        <f>TITRES_STAT!D364</f>
        <v>5.056</v>
      </c>
      <c r="C361" s="2">
        <f t="shared" si="30"/>
        <v>5.2840731656198727</v>
      </c>
      <c r="D361" s="2">
        <f t="shared" si="32"/>
        <v>5.2424018891425197</v>
      </c>
      <c r="E361" s="2">
        <f t="shared" si="31"/>
        <v>4.1671276477353025E-2</v>
      </c>
      <c r="F361" s="2">
        <f t="shared" si="35"/>
        <v>1.7023393526711082E-2</v>
      </c>
      <c r="G361" s="2">
        <f t="shared" si="33"/>
        <v>2.4647882950641943E-2</v>
      </c>
      <c r="H361" s="2" t="str">
        <f t="shared" si="34"/>
        <v>Sell</v>
      </c>
    </row>
    <row r="362" spans="1:8" ht="13.5" x14ac:dyDescent="0.25">
      <c r="A362" s="3">
        <f>TITRES_STAT!B365</f>
        <v>45446</v>
      </c>
      <c r="B362" s="5">
        <f>TITRES_STAT!D365</f>
        <v>5.056</v>
      </c>
      <c r="C362" s="2">
        <f t="shared" si="30"/>
        <v>5.2926772939860456</v>
      </c>
      <c r="D362" s="2">
        <f t="shared" si="32"/>
        <v>5.2285943417986296</v>
      </c>
      <c r="E362" s="2">
        <f t="shared" si="31"/>
        <v>6.4082952187415998E-2</v>
      </c>
      <c r="F362" s="2">
        <f t="shared" si="35"/>
        <v>2.6435305258852064E-2</v>
      </c>
      <c r="G362" s="2">
        <f t="shared" si="33"/>
        <v>3.7647646928563934E-2</v>
      </c>
      <c r="H362" s="2" t="str">
        <f t="shared" si="34"/>
        <v>Sell</v>
      </c>
    </row>
    <row r="363" spans="1:8" ht="13.5" x14ac:dyDescent="0.25">
      <c r="A363" s="3">
        <f>TITRES_STAT!B366</f>
        <v>45447</v>
      </c>
      <c r="B363" s="5">
        <f>TITRES_STAT!D366</f>
        <v>4.9669999999999996</v>
      </c>
      <c r="C363" s="2">
        <f t="shared" si="30"/>
        <v>5.2999577102958852</v>
      </c>
      <c r="D363" s="2">
        <f t="shared" si="32"/>
        <v>5.2092169831468791</v>
      </c>
      <c r="E363" s="2">
        <f t="shared" si="31"/>
        <v>9.0740727149006162E-2</v>
      </c>
      <c r="F363" s="2">
        <f t="shared" si="35"/>
        <v>3.9296389636882888E-2</v>
      </c>
      <c r="G363" s="2">
        <f t="shared" si="33"/>
        <v>5.1444337512123274E-2</v>
      </c>
      <c r="H363" s="2" t="str">
        <f t="shared" si="34"/>
        <v>Sell</v>
      </c>
    </row>
    <row r="364" spans="1:8" ht="13.5" x14ac:dyDescent="0.25">
      <c r="A364" s="3">
        <f>TITRES_STAT!B367</f>
        <v>45448</v>
      </c>
      <c r="B364" s="5">
        <f>TITRES_STAT!D367</f>
        <v>4.9409999999999998</v>
      </c>
      <c r="C364" s="2">
        <f t="shared" si="30"/>
        <v>5.303348831788826</v>
      </c>
      <c r="D364" s="2">
        <f t="shared" si="32"/>
        <v>5.1893490584693325</v>
      </c>
      <c r="E364" s="2">
        <f t="shared" si="31"/>
        <v>0.11399977331949351</v>
      </c>
      <c r="F364" s="2">
        <f t="shared" si="35"/>
        <v>5.4237066373405016E-2</v>
      </c>
      <c r="G364" s="2">
        <f t="shared" si="33"/>
        <v>5.9762706946088498E-2</v>
      </c>
      <c r="H364" s="2" t="str">
        <f t="shared" si="34"/>
        <v>Sell</v>
      </c>
    </row>
    <row r="365" spans="1:8" ht="13.5" x14ac:dyDescent="0.25">
      <c r="A365" s="3">
        <f>TITRES_STAT!B368</f>
        <v>45449</v>
      </c>
      <c r="B365" s="5">
        <f>TITRES_STAT!D368</f>
        <v>4.8789999999999996</v>
      </c>
      <c r="C365" s="2">
        <f t="shared" si="30"/>
        <v>5.3062182422828528</v>
      </c>
      <c r="D365" s="2">
        <f t="shared" si="32"/>
        <v>5.1663602393234562</v>
      </c>
      <c r="E365" s="2">
        <f t="shared" si="31"/>
        <v>0.13985800295939654</v>
      </c>
      <c r="F365" s="2">
        <f t="shared" si="35"/>
        <v>7.1361253690603324E-2</v>
      </c>
      <c r="G365" s="2">
        <f t="shared" si="33"/>
        <v>6.8496749268793219E-2</v>
      </c>
      <c r="H365" s="2" t="str">
        <f t="shared" si="34"/>
        <v>Sell</v>
      </c>
    </row>
    <row r="366" spans="1:8" ht="13.5" x14ac:dyDescent="0.25">
      <c r="A366" s="3">
        <f>TITRES_STAT!B369</f>
        <v>45450</v>
      </c>
      <c r="B366" s="5">
        <f>TITRES_STAT!D369</f>
        <v>5.056</v>
      </c>
      <c r="C366" s="2">
        <f t="shared" si="30"/>
        <v>5.29495389731626</v>
      </c>
      <c r="D366" s="2">
        <f t="shared" si="32"/>
        <v>5.1581854067809783</v>
      </c>
      <c r="E366" s="2">
        <f t="shared" si="31"/>
        <v>0.13676849053528173</v>
      </c>
      <c r="F366" s="2">
        <f t="shared" si="35"/>
        <v>8.4442701059539008E-2</v>
      </c>
      <c r="G366" s="2">
        <f t="shared" si="33"/>
        <v>5.2325789475742721E-2</v>
      </c>
      <c r="H366" s="2" t="str">
        <f t="shared" si="34"/>
        <v>Sell</v>
      </c>
    </row>
    <row r="367" spans="1:8" ht="13.5" x14ac:dyDescent="0.25">
      <c r="A367" s="3">
        <f>TITRES_STAT!B370</f>
        <v>45453</v>
      </c>
      <c r="B367" s="5">
        <f>TITRES_STAT!D370</f>
        <v>5.1449999999999996</v>
      </c>
      <c r="C367" s="2">
        <f t="shared" si="30"/>
        <v>5.2854225284983736</v>
      </c>
      <c r="D367" s="2">
        <f t="shared" si="32"/>
        <v>5.1572087099823873</v>
      </c>
      <c r="E367" s="2">
        <f t="shared" si="31"/>
        <v>0.12821381851598623</v>
      </c>
      <c r="F367" s="2">
        <f t="shared" si="35"/>
        <v>9.3196924550828453E-2</v>
      </c>
      <c r="G367" s="2">
        <f t="shared" si="33"/>
        <v>3.501689396515778E-2</v>
      </c>
      <c r="H367" s="2" t="str">
        <f t="shared" si="34"/>
        <v>Sell</v>
      </c>
    </row>
    <row r="368" spans="1:8" ht="13.5" x14ac:dyDescent="0.25">
      <c r="A368" s="3">
        <f>TITRES_STAT!B371</f>
        <v>45454</v>
      </c>
      <c r="B368" s="5">
        <f>TITRES_STAT!D371</f>
        <v>5.1449999999999996</v>
      </c>
      <c r="C368" s="2">
        <f t="shared" si="30"/>
        <v>5.2773575241140085</v>
      </c>
      <c r="D368" s="2">
        <f t="shared" si="32"/>
        <v>5.1563043610948034</v>
      </c>
      <c r="E368" s="2">
        <f t="shared" si="31"/>
        <v>0.1210531630192051</v>
      </c>
      <c r="F368" s="2">
        <f t="shared" si="35"/>
        <v>9.8768172244503794E-2</v>
      </c>
      <c r="G368" s="2">
        <f t="shared" si="33"/>
        <v>2.2284990774701308E-2</v>
      </c>
      <c r="H368" s="2" t="str">
        <f t="shared" si="34"/>
        <v>Sell</v>
      </c>
    </row>
    <row r="369" spans="1:8" ht="13.5" x14ac:dyDescent="0.25">
      <c r="A369" s="3">
        <f>TITRES_STAT!B372</f>
        <v>45455</v>
      </c>
      <c r="B369" s="5">
        <f>TITRES_STAT!D372</f>
        <v>5.1449999999999996</v>
      </c>
      <c r="C369" s="2">
        <f t="shared" si="30"/>
        <v>5.2433025204041606</v>
      </c>
      <c r="D369" s="2">
        <f t="shared" si="32"/>
        <v>5.1554670010137071</v>
      </c>
      <c r="E369" s="2">
        <f t="shared" si="31"/>
        <v>8.783551939045342E-2</v>
      </c>
      <c r="F369" s="2">
        <f t="shared" si="35"/>
        <v>9.6581641673693722E-2</v>
      </c>
      <c r="G369" s="2">
        <f t="shared" si="33"/>
        <v>-8.7461222832403013E-3</v>
      </c>
      <c r="H369" s="2" t="str">
        <f t="shared" si="34"/>
        <v>Hold</v>
      </c>
    </row>
    <row r="370" spans="1:8" ht="13.5" x14ac:dyDescent="0.25">
      <c r="A370" s="3">
        <f>TITRES_STAT!B373</f>
        <v>45456</v>
      </c>
      <c r="B370" s="5">
        <f>TITRES_STAT!D373</f>
        <v>5.1449999999999996</v>
      </c>
      <c r="C370" s="2">
        <f t="shared" si="30"/>
        <v>5.2281790557265975</v>
      </c>
      <c r="D370" s="2">
        <f t="shared" si="32"/>
        <v>5.1546916676052845</v>
      </c>
      <c r="E370" s="2">
        <f t="shared" si="31"/>
        <v>7.3487388121312947E-2</v>
      </c>
      <c r="F370" s="2">
        <f t="shared" si="35"/>
        <v>9.1962790963217564E-2</v>
      </c>
      <c r="G370" s="2">
        <f t="shared" si="33"/>
        <v>-1.8475402841904617E-2</v>
      </c>
      <c r="H370" s="2" t="str">
        <f t="shared" si="34"/>
        <v>Hold</v>
      </c>
    </row>
    <row r="371" spans="1:8" ht="13.5" x14ac:dyDescent="0.25">
      <c r="A371" s="3">
        <f>TITRES_STAT!B374</f>
        <v>45457</v>
      </c>
      <c r="B371" s="5">
        <f>TITRES_STAT!D374</f>
        <v>5.0119999999999996</v>
      </c>
      <c r="C371" s="2">
        <f t="shared" si="30"/>
        <v>5.2016899702301975</v>
      </c>
      <c r="D371" s="2">
        <f t="shared" si="32"/>
        <v>5.1441219144493378</v>
      </c>
      <c r="E371" s="2">
        <f t="shared" si="31"/>
        <v>5.7568055780859773E-2</v>
      </c>
      <c r="F371" s="2">
        <f t="shared" si="35"/>
        <v>8.5083843926746006E-2</v>
      </c>
      <c r="G371" s="2">
        <f t="shared" si="33"/>
        <v>-2.7515788145886233E-2</v>
      </c>
      <c r="H371" s="2" t="str">
        <f t="shared" si="34"/>
        <v>Hold</v>
      </c>
    </row>
    <row r="372" spans="1:8" ht="13.5" x14ac:dyDescent="0.25">
      <c r="A372" s="3">
        <f>TITRES_STAT!B375</f>
        <v>45461</v>
      </c>
      <c r="B372" s="5">
        <f>TITRES_STAT!D375</f>
        <v>4.8789999999999996</v>
      </c>
      <c r="C372" s="2">
        <f t="shared" si="30"/>
        <v>5.1792761286563209</v>
      </c>
      <c r="D372" s="2">
        <f t="shared" si="32"/>
        <v>5.1244832541197569</v>
      </c>
      <c r="E372" s="2">
        <f t="shared" si="31"/>
        <v>5.4792874536564007E-2</v>
      </c>
      <c r="F372" s="2">
        <f t="shared" si="35"/>
        <v>7.9025650048709609E-2</v>
      </c>
      <c r="G372" s="2">
        <f t="shared" si="33"/>
        <v>-2.4232775512145602E-2</v>
      </c>
      <c r="H372" s="2" t="str">
        <f t="shared" si="34"/>
        <v>Hold</v>
      </c>
    </row>
    <row r="373" spans="1:8" ht="13.5" x14ac:dyDescent="0.25">
      <c r="A373" s="3">
        <f>TITRES_STAT!B376</f>
        <v>45462</v>
      </c>
      <c r="B373" s="5">
        <f>TITRES_STAT!D376</f>
        <v>4.8339999999999996</v>
      </c>
      <c r="C373" s="2">
        <f t="shared" si="30"/>
        <v>5.1466182627091941</v>
      </c>
      <c r="D373" s="2">
        <f t="shared" si="32"/>
        <v>5.1029659760368125</v>
      </c>
      <c r="E373" s="2">
        <f t="shared" si="31"/>
        <v>4.3652286672381635E-2</v>
      </c>
      <c r="F373" s="2">
        <f t="shared" si="35"/>
        <v>7.1950977373444025E-2</v>
      </c>
      <c r="G373" s="2">
        <f t="shared" si="33"/>
        <v>-2.829869070106239E-2</v>
      </c>
      <c r="H373" s="2" t="str">
        <f t="shared" si="34"/>
        <v>Hold</v>
      </c>
    </row>
    <row r="374" spans="1:8" ht="13.5" x14ac:dyDescent="0.25">
      <c r="A374" s="3">
        <f>TITRES_STAT!B377</f>
        <v>45463</v>
      </c>
      <c r="B374" s="5">
        <f>TITRES_STAT!D377</f>
        <v>4.8170000000000002</v>
      </c>
      <c r="C374" s="2">
        <f t="shared" si="30"/>
        <v>5.1149846838308566</v>
      </c>
      <c r="D374" s="2">
        <f t="shared" si="32"/>
        <v>5.0817833111451964</v>
      </c>
      <c r="E374" s="2">
        <f t="shared" si="31"/>
        <v>3.3201372685660147E-2</v>
      </c>
      <c r="F374" s="2">
        <f t="shared" si="35"/>
        <v>6.4201056435887249E-2</v>
      </c>
      <c r="G374" s="2">
        <f t="shared" si="33"/>
        <v>-3.0999683750227103E-2</v>
      </c>
      <c r="H374" s="2" t="str">
        <f t="shared" si="34"/>
        <v>Hold</v>
      </c>
    </row>
    <row r="375" spans="1:8" ht="13.5" x14ac:dyDescent="0.25">
      <c r="A375" s="3">
        <f>TITRES_STAT!B378</f>
        <v>45464</v>
      </c>
      <c r="B375" s="5">
        <f>TITRES_STAT!D378</f>
        <v>5.0999999999999996</v>
      </c>
      <c r="C375" s="2">
        <f t="shared" si="30"/>
        <v>5.0786793478568786</v>
      </c>
      <c r="D375" s="2">
        <f t="shared" si="32"/>
        <v>5.0831326955048111</v>
      </c>
      <c r="E375" s="2">
        <f t="shared" si="31"/>
        <v>-4.4533476479324818E-3</v>
      </c>
      <c r="F375" s="2">
        <f t="shared" si="35"/>
        <v>5.0470175619123307E-2</v>
      </c>
      <c r="G375" s="2">
        <f t="shared" si="33"/>
        <v>-5.4923523267055789E-2</v>
      </c>
      <c r="H375" s="2" t="str">
        <f t="shared" si="34"/>
        <v>Hold</v>
      </c>
    </row>
    <row r="376" spans="1:8" ht="13.5" x14ac:dyDescent="0.25">
      <c r="A376" s="3">
        <f>TITRES_STAT!B379</f>
        <v>45467</v>
      </c>
      <c r="B376" s="5">
        <f>TITRES_STAT!D379</f>
        <v>5.0999999999999996</v>
      </c>
      <c r="C376" s="2">
        <f t="shared" si="30"/>
        <v>5.0751902174173589</v>
      </c>
      <c r="D376" s="2">
        <f t="shared" si="32"/>
        <v>5.0843821254674175</v>
      </c>
      <c r="E376" s="2">
        <f t="shared" si="31"/>
        <v>-9.1919080500586503E-3</v>
      </c>
      <c r="F376" s="2">
        <f t="shared" si="35"/>
        <v>3.8537758885286919E-2</v>
      </c>
      <c r="G376" s="2">
        <f t="shared" si="33"/>
        <v>-4.7729666935345569E-2</v>
      </c>
      <c r="H376" s="2" t="str">
        <f t="shared" si="34"/>
        <v>Hold</v>
      </c>
    </row>
    <row r="377" spans="1:8" ht="13.5" x14ac:dyDescent="0.25">
      <c r="A377" s="3">
        <f>TITRES_STAT!B380</f>
        <v>45468</v>
      </c>
      <c r="B377" s="5">
        <f>TITRES_STAT!D380</f>
        <v>5.0380000000000003</v>
      </c>
      <c r="C377" s="2">
        <f t="shared" si="30"/>
        <v>5.0859301839685349</v>
      </c>
      <c r="D377" s="2">
        <f t="shared" si="32"/>
        <v>5.0809464124698307</v>
      </c>
      <c r="E377" s="2">
        <f t="shared" si="31"/>
        <v>4.9837714987042148E-3</v>
      </c>
      <c r="F377" s="2">
        <f t="shared" si="35"/>
        <v>3.1826961407970381E-2</v>
      </c>
      <c r="G377" s="2">
        <f t="shared" si="33"/>
        <v>-2.6843189909266166E-2</v>
      </c>
      <c r="H377" s="2" t="str">
        <f t="shared" si="34"/>
        <v>Hold</v>
      </c>
    </row>
    <row r="378" spans="1:8" ht="13.5" x14ac:dyDescent="0.25">
      <c r="A378" s="3">
        <f>TITRES_STAT!B381</f>
        <v>45469</v>
      </c>
      <c r="B378" s="5">
        <f>TITRES_STAT!D381</f>
        <v>4.8869999999999996</v>
      </c>
      <c r="C378" s="2">
        <f t="shared" si="30"/>
        <v>5.0950178479733754</v>
      </c>
      <c r="D378" s="2">
        <f t="shared" si="32"/>
        <v>5.0665800115461392</v>
      </c>
      <c r="E378" s="2">
        <f t="shared" si="31"/>
        <v>2.8437836427236185E-2</v>
      </c>
      <c r="F378" s="2">
        <f t="shared" si="35"/>
        <v>3.1149136411823541E-2</v>
      </c>
      <c r="G378" s="2">
        <f t="shared" si="33"/>
        <v>-2.7112999845873564E-3</v>
      </c>
      <c r="H378" s="2" t="str">
        <f t="shared" si="34"/>
        <v>Hold</v>
      </c>
    </row>
    <row r="379" spans="1:8" ht="13.5" x14ac:dyDescent="0.25">
      <c r="A379" s="3">
        <f>TITRES_STAT!B382</f>
        <v>45470</v>
      </c>
      <c r="B379" s="5">
        <f>TITRES_STAT!D382</f>
        <v>4.79</v>
      </c>
      <c r="C379" s="2">
        <f t="shared" si="30"/>
        <v>5.1027074098236254</v>
      </c>
      <c r="D379" s="2">
        <f t="shared" si="32"/>
        <v>5.0460926032834621</v>
      </c>
      <c r="E379" s="2">
        <f t="shared" si="31"/>
        <v>5.6614806540163265E-2</v>
      </c>
      <c r="F379" s="2">
        <f t="shared" si="35"/>
        <v>3.6242270437491488E-2</v>
      </c>
      <c r="G379" s="2">
        <f t="shared" si="33"/>
        <v>2.0372536102671777E-2</v>
      </c>
      <c r="H379" s="2" t="str">
        <f t="shared" si="34"/>
        <v>Sell</v>
      </c>
    </row>
    <row r="380" spans="1:8" ht="13.5" x14ac:dyDescent="0.25">
      <c r="A380" s="3">
        <f>TITRES_STAT!B383</f>
        <v>45471</v>
      </c>
      <c r="B380" s="5">
        <f>TITRES_STAT!D383</f>
        <v>4.79</v>
      </c>
      <c r="C380" s="2">
        <f t="shared" si="30"/>
        <v>5.109213962158452</v>
      </c>
      <c r="D380" s="2">
        <f t="shared" si="32"/>
        <v>5.0271227808180203</v>
      </c>
      <c r="E380" s="2">
        <f t="shared" si="31"/>
        <v>8.2091181340431696E-2</v>
      </c>
      <c r="F380" s="2">
        <f t="shared" si="35"/>
        <v>4.5412052618079533E-2</v>
      </c>
      <c r="G380" s="2">
        <f t="shared" si="33"/>
        <v>3.6679128722352163E-2</v>
      </c>
      <c r="H380" s="2" t="str">
        <f t="shared" si="34"/>
        <v>Sell</v>
      </c>
    </row>
    <row r="381" spans="1:8" ht="13.5" x14ac:dyDescent="0.25">
      <c r="A381" s="3">
        <f>TITRES_STAT!B384</f>
        <v>45474</v>
      </c>
      <c r="B381" s="5">
        <f>TITRES_STAT!D384</f>
        <v>4.79</v>
      </c>
      <c r="C381" s="2">
        <f t="shared" si="30"/>
        <v>5.0942579679802291</v>
      </c>
      <c r="D381" s="2">
        <f t="shared" si="32"/>
        <v>5.009558130387056</v>
      </c>
      <c r="E381" s="2">
        <f t="shared" si="31"/>
        <v>8.4699837593173122E-2</v>
      </c>
      <c r="F381" s="2">
        <f t="shared" si="35"/>
        <v>5.3269609613098248E-2</v>
      </c>
      <c r="G381" s="2">
        <f t="shared" si="33"/>
        <v>3.1430227980074874E-2</v>
      </c>
      <c r="H381" s="2" t="str">
        <f t="shared" si="34"/>
        <v>Sell</v>
      </c>
    </row>
    <row r="382" spans="1:8" ht="13.5" x14ac:dyDescent="0.25">
      <c r="A382" s="3">
        <f>TITRES_STAT!B385</f>
        <v>45475</v>
      </c>
      <c r="B382" s="5">
        <f>TITRES_STAT!D385</f>
        <v>5.0469999999999997</v>
      </c>
      <c r="C382" s="2">
        <f t="shared" si="30"/>
        <v>5.0611413575217323</v>
      </c>
      <c r="D382" s="2">
        <f t="shared" si="32"/>
        <v>5.0123316022102369</v>
      </c>
      <c r="E382" s="2">
        <f t="shared" si="31"/>
        <v>4.8809755311495451E-2</v>
      </c>
      <c r="F382" s="2">
        <f t="shared" si="35"/>
        <v>5.2377638752777692E-2</v>
      </c>
      <c r="G382" s="2">
        <f t="shared" si="33"/>
        <v>-3.5678834412822408E-3</v>
      </c>
      <c r="H382" s="2" t="str">
        <f t="shared" si="34"/>
        <v>Hold</v>
      </c>
    </row>
    <row r="383" spans="1:8" ht="13.5" x14ac:dyDescent="0.25">
      <c r="A383" s="3">
        <f>TITRES_STAT!B386</f>
        <v>45476</v>
      </c>
      <c r="B383" s="5">
        <f>TITRES_STAT!D386</f>
        <v>5.1449999999999996</v>
      </c>
      <c r="C383" s="2">
        <f t="shared" si="30"/>
        <v>5.0261965332876191</v>
      </c>
      <c r="D383" s="2">
        <f t="shared" si="32"/>
        <v>5.0221588909354047</v>
      </c>
      <c r="E383" s="2">
        <f t="shared" si="31"/>
        <v>4.0376423522143767E-3</v>
      </c>
      <c r="F383" s="2">
        <f t="shared" si="35"/>
        <v>4.2709639472665033E-2</v>
      </c>
      <c r="G383" s="2">
        <f t="shared" si="33"/>
        <v>-3.8671997120450656E-2</v>
      </c>
      <c r="H383" s="2" t="str">
        <f t="shared" si="34"/>
        <v>Hold</v>
      </c>
    </row>
    <row r="384" spans="1:8" ht="13.5" x14ac:dyDescent="0.25">
      <c r="A384" s="3">
        <f>TITRES_STAT!B387</f>
        <v>45477</v>
      </c>
      <c r="B384" s="5">
        <f>TITRES_STAT!D387</f>
        <v>5.258</v>
      </c>
      <c r="C384" s="2">
        <f t="shared" si="30"/>
        <v>4.9940124512433695</v>
      </c>
      <c r="D384" s="2">
        <f t="shared" si="32"/>
        <v>5.0396286027179675</v>
      </c>
      <c r="E384" s="2">
        <f t="shared" si="31"/>
        <v>-4.5616151474598077E-2</v>
      </c>
      <c r="F384" s="2">
        <f t="shared" si="35"/>
        <v>2.5044481283212409E-2</v>
      </c>
      <c r="G384" s="2">
        <f t="shared" si="33"/>
        <v>-7.0660632757810482E-2</v>
      </c>
      <c r="H384" s="2" t="str">
        <f t="shared" si="34"/>
        <v>Hold</v>
      </c>
    </row>
    <row r="385" spans="1:8" ht="13.5" x14ac:dyDescent="0.25">
      <c r="A385" s="3">
        <f>TITRES_STAT!B388</f>
        <v>45478</v>
      </c>
      <c r="B385" s="5">
        <f>TITRES_STAT!D388</f>
        <v>5.399</v>
      </c>
      <c r="C385" s="2">
        <f t="shared" si="30"/>
        <v>5.0103182279751586</v>
      </c>
      <c r="D385" s="2">
        <f t="shared" si="32"/>
        <v>5.0662487062203398</v>
      </c>
      <c r="E385" s="2">
        <f t="shared" si="31"/>
        <v>-5.593047824518127E-2</v>
      </c>
      <c r="F385" s="2">
        <f t="shared" si="35"/>
        <v>8.849489377533673E-3</v>
      </c>
      <c r="G385" s="2">
        <f t="shared" si="33"/>
        <v>-6.4779967622714943E-2</v>
      </c>
      <c r="H385" s="2" t="str">
        <f t="shared" si="34"/>
        <v>Hold</v>
      </c>
    </row>
    <row r="386" spans="1:8" ht="13.5" x14ac:dyDescent="0.25">
      <c r="A386" s="3">
        <f>TITRES_STAT!B389</f>
        <v>45481</v>
      </c>
      <c r="B386" s="5">
        <f>TITRES_STAT!D389</f>
        <v>5.4459999999999997</v>
      </c>
      <c r="C386" s="2">
        <f t="shared" si="30"/>
        <v>5.0241154236712875</v>
      </c>
      <c r="D386" s="2">
        <f t="shared" si="32"/>
        <v>5.0943784316854996</v>
      </c>
      <c r="E386" s="2">
        <f t="shared" si="31"/>
        <v>-7.0263008014212147E-2</v>
      </c>
      <c r="F386" s="2">
        <f t="shared" si="35"/>
        <v>-6.9730101008154913E-3</v>
      </c>
      <c r="G386" s="2">
        <f t="shared" si="33"/>
        <v>-6.3289997913396651E-2</v>
      </c>
      <c r="H386" s="2" t="str">
        <f t="shared" si="34"/>
        <v>Hold</v>
      </c>
    </row>
    <row r="387" spans="1:8" ht="13.5" x14ac:dyDescent="0.25">
      <c r="A387" s="3">
        <f>TITRES_STAT!B390</f>
        <v>45482</v>
      </c>
      <c r="B387" s="5">
        <f>TITRES_STAT!D390</f>
        <v>5.4459999999999997</v>
      </c>
      <c r="C387" s="2">
        <f t="shared" si="30"/>
        <v>5.0262515123372431</v>
      </c>
      <c r="D387" s="2">
        <f t="shared" si="32"/>
        <v>5.1204244737828697</v>
      </c>
      <c r="E387" s="2">
        <f t="shared" si="31"/>
        <v>-9.4172961445626591E-2</v>
      </c>
      <c r="F387" s="2">
        <f t="shared" si="35"/>
        <v>-2.4413000369777713E-2</v>
      </c>
      <c r="G387" s="2">
        <f t="shared" si="33"/>
        <v>-6.9759961075848878E-2</v>
      </c>
      <c r="H387" s="2" t="str">
        <f t="shared" si="34"/>
        <v>Hold</v>
      </c>
    </row>
    <row r="388" spans="1:8" ht="13.5" x14ac:dyDescent="0.25">
      <c r="A388" s="3">
        <f>TITRES_STAT!B391</f>
        <v>45483</v>
      </c>
      <c r="B388" s="5">
        <f>TITRES_STAT!D391</f>
        <v>5.6340000000000003</v>
      </c>
      <c r="C388" s="2">
        <f t="shared" si="30"/>
        <v>5.0048282027468982</v>
      </c>
      <c r="D388" s="2">
        <f t="shared" si="32"/>
        <v>5.158467105354509</v>
      </c>
      <c r="E388" s="2">
        <f t="shared" si="31"/>
        <v>-0.15363890260761082</v>
      </c>
      <c r="F388" s="2">
        <f t="shared" si="35"/>
        <v>-5.0258180817344338E-2</v>
      </c>
      <c r="G388" s="2">
        <f t="shared" si="33"/>
        <v>-0.10338072179026647</v>
      </c>
      <c r="H388" s="2" t="str">
        <f t="shared" si="34"/>
        <v>Hold</v>
      </c>
    </row>
    <row r="389" spans="1:8" ht="13.5" x14ac:dyDescent="0.25">
      <c r="A389" s="3">
        <f>TITRES_STAT!B392</f>
        <v>45484</v>
      </c>
      <c r="B389" s="5">
        <f>TITRES_STAT!D392</f>
        <v>5.8120000000000003</v>
      </c>
      <c r="C389" s="2">
        <f t="shared" si="30"/>
        <v>4.9717777100166058</v>
      </c>
      <c r="D389" s="2">
        <f t="shared" si="32"/>
        <v>5.2068769494023233</v>
      </c>
      <c r="E389" s="2">
        <f t="shared" si="31"/>
        <v>-0.23509923938571742</v>
      </c>
      <c r="F389" s="2">
        <f t="shared" si="35"/>
        <v>-8.7226392531018965E-2</v>
      </c>
      <c r="G389" s="2">
        <f t="shared" si="33"/>
        <v>-0.14787284685469845</v>
      </c>
      <c r="H389" s="2" t="str">
        <f t="shared" si="34"/>
        <v>Hold</v>
      </c>
    </row>
    <row r="390" spans="1:8" ht="13.5" x14ac:dyDescent="0.25">
      <c r="A390" s="3">
        <f>TITRES_STAT!B393</f>
        <v>45485</v>
      </c>
      <c r="B390" s="5">
        <f>TITRES_STAT!D393</f>
        <v>5.8780000000000001</v>
      </c>
      <c r="C390" s="2">
        <f t="shared" si="30"/>
        <v>4.9438119084755892</v>
      </c>
      <c r="D390" s="2">
        <f t="shared" si="32"/>
        <v>5.2565897679651137</v>
      </c>
      <c r="E390" s="2">
        <f t="shared" si="31"/>
        <v>-0.31277785948952452</v>
      </c>
      <c r="F390" s="2">
        <f t="shared" si="35"/>
        <v>-0.13233668592272008</v>
      </c>
      <c r="G390" s="2">
        <f t="shared" si="33"/>
        <v>-0.18044117356680445</v>
      </c>
      <c r="H390" s="2" t="str">
        <f t="shared" si="34"/>
        <v>Hold</v>
      </c>
    </row>
    <row r="391" spans="1:8" ht="13.5" x14ac:dyDescent="0.25">
      <c r="A391" s="3">
        <f>TITRES_STAT!B394</f>
        <v>45488</v>
      </c>
      <c r="B391" s="5">
        <f>TITRES_STAT!D394</f>
        <v>5.9160000000000004</v>
      </c>
      <c r="C391" s="2">
        <f t="shared" si="30"/>
        <v>4.9201485379408831</v>
      </c>
      <c r="D391" s="2">
        <f t="shared" si="32"/>
        <v>5.3054349703380685</v>
      </c>
      <c r="E391" s="2">
        <f t="shared" si="31"/>
        <v>-0.38528643239718541</v>
      </c>
      <c r="F391" s="2">
        <f t="shared" si="35"/>
        <v>-0.18292663521761315</v>
      </c>
      <c r="G391" s="2">
        <f t="shared" si="33"/>
        <v>-0.20235979717957225</v>
      </c>
      <c r="H391" s="2" t="str">
        <f t="shared" si="34"/>
        <v>Hold</v>
      </c>
    </row>
    <row r="392" spans="1:8" ht="13.5" x14ac:dyDescent="0.25">
      <c r="A392" s="3">
        <f>TITRES_STAT!B395</f>
        <v>45489</v>
      </c>
      <c r="B392" s="5">
        <f>TITRES_STAT!D395</f>
        <v>5.9630000000000001</v>
      </c>
      <c r="C392" s="2">
        <f t="shared" si="30"/>
        <v>4.9396641474884397</v>
      </c>
      <c r="D392" s="2">
        <f t="shared" si="32"/>
        <v>5.3541434910537671</v>
      </c>
      <c r="E392" s="2">
        <f t="shared" si="31"/>
        <v>-0.41447934356532734</v>
      </c>
      <c r="F392" s="2">
        <f t="shared" si="35"/>
        <v>-0.229237176887156</v>
      </c>
      <c r="G392" s="2">
        <f t="shared" si="33"/>
        <v>-0.18524216667817134</v>
      </c>
      <c r="H392" s="2" t="str">
        <f t="shared" si="34"/>
        <v>Hold</v>
      </c>
    </row>
    <row r="393" spans="1:8" ht="13.5" x14ac:dyDescent="0.25">
      <c r="A393" s="3">
        <f>TITRES_STAT!B396</f>
        <v>45490</v>
      </c>
      <c r="B393" s="5">
        <f>TITRES_STAT!D396</f>
        <v>5.944</v>
      </c>
      <c r="C393" s="2">
        <f t="shared" si="30"/>
        <v>4.9712542786440643</v>
      </c>
      <c r="D393" s="2">
        <f t="shared" si="32"/>
        <v>5.3978365657905245</v>
      </c>
      <c r="E393" s="2">
        <f t="shared" si="31"/>
        <v>-0.42658228714646018</v>
      </c>
      <c r="F393" s="2">
        <f t="shared" si="35"/>
        <v>-0.26870619893901687</v>
      </c>
      <c r="G393" s="2">
        <f t="shared" si="33"/>
        <v>-0.15787608820744331</v>
      </c>
      <c r="H393" s="2" t="str">
        <f t="shared" si="34"/>
        <v>Hold</v>
      </c>
    </row>
    <row r="394" spans="1:8" ht="13.5" x14ac:dyDescent="0.25">
      <c r="A394" s="3">
        <f>TITRES_STAT!B397</f>
        <v>45491</v>
      </c>
      <c r="B394" s="5">
        <f>TITRES_STAT!D397</f>
        <v>5.8869999999999996</v>
      </c>
      <c r="C394" s="2">
        <f t="shared" si="30"/>
        <v>5.0153690050065158</v>
      </c>
      <c r="D394" s="2">
        <f t="shared" si="32"/>
        <v>5.4340708942504854</v>
      </c>
      <c r="E394" s="2">
        <f t="shared" si="31"/>
        <v>-0.41870188924396956</v>
      </c>
      <c r="F394" s="2">
        <f t="shared" si="35"/>
        <v>-0.2987053370000074</v>
      </c>
      <c r="G394" s="2">
        <f t="shared" si="33"/>
        <v>-0.11999655224396216</v>
      </c>
      <c r="H394" s="2" t="str">
        <f t="shared" si="34"/>
        <v>Hold</v>
      </c>
    </row>
    <row r="395" spans="1:8" ht="13.5" x14ac:dyDescent="0.25">
      <c r="A395" s="3">
        <f>TITRES_STAT!B398</f>
        <v>45492</v>
      </c>
      <c r="B395" s="5">
        <f>TITRES_STAT!D398</f>
        <v>5.8869999999999996</v>
      </c>
      <c r="C395" s="2">
        <f t="shared" si="30"/>
        <v>5.074389158082437</v>
      </c>
      <c r="D395" s="2">
        <f t="shared" si="32"/>
        <v>5.4676211983800789</v>
      </c>
      <c r="E395" s="2">
        <f t="shared" si="31"/>
        <v>-0.39323204029764192</v>
      </c>
      <c r="F395" s="2">
        <f t="shared" si="35"/>
        <v>-0.31761067765953432</v>
      </c>
      <c r="G395" s="2">
        <f t="shared" si="33"/>
        <v>-7.5621362638107592E-2</v>
      </c>
      <c r="H395" s="2" t="str">
        <f t="shared" si="34"/>
        <v>Hold</v>
      </c>
    </row>
    <row r="396" spans="1:8" ht="13.5" x14ac:dyDescent="0.25">
      <c r="A396" s="3">
        <f>TITRES_STAT!B399</f>
        <v>45495</v>
      </c>
      <c r="B396" s="5">
        <f>TITRES_STAT!D399</f>
        <v>5.859</v>
      </c>
      <c r="C396" s="2">
        <f t="shared" si="30"/>
        <v>5.1315600568389845</v>
      </c>
      <c r="D396" s="2">
        <f t="shared" si="32"/>
        <v>5.4966122207222954</v>
      </c>
      <c r="E396" s="2">
        <f t="shared" si="31"/>
        <v>-0.36505216388331085</v>
      </c>
      <c r="F396" s="2">
        <f t="shared" si="35"/>
        <v>-0.32709897490428969</v>
      </c>
      <c r="G396" s="2">
        <f t="shared" si="33"/>
        <v>-3.7953188979021169E-2</v>
      </c>
      <c r="H396" s="2" t="str">
        <f t="shared" si="34"/>
        <v>Hold</v>
      </c>
    </row>
    <row r="397" spans="1:8" ht="13.5" x14ac:dyDescent="0.25">
      <c r="A397" s="3">
        <f>TITRES_STAT!B400</f>
        <v>45496</v>
      </c>
      <c r="B397" s="5">
        <f>TITRES_STAT!D400</f>
        <v>5.859</v>
      </c>
      <c r="C397" s="2">
        <f t="shared" si="30"/>
        <v>5.1799354327099092</v>
      </c>
      <c r="D397" s="2">
        <f t="shared" si="32"/>
        <v>5.5234557599280514</v>
      </c>
      <c r="E397" s="2">
        <f t="shared" si="31"/>
        <v>-0.34352032721814219</v>
      </c>
      <c r="F397" s="2">
        <f t="shared" si="35"/>
        <v>-0.33038324536706021</v>
      </c>
      <c r="G397" s="2">
        <f t="shared" si="33"/>
        <v>-1.3137081851081978E-2</v>
      </c>
      <c r="H397" s="2" t="str">
        <f t="shared" si="34"/>
        <v>Hold</v>
      </c>
    </row>
    <row r="398" spans="1:8" ht="13.5" x14ac:dyDescent="0.25">
      <c r="A398" s="3">
        <f>TITRES_STAT!B401</f>
        <v>45497</v>
      </c>
      <c r="B398" s="5">
        <f>TITRES_STAT!D401</f>
        <v>5.9160000000000004</v>
      </c>
      <c r="C398" s="2">
        <f t="shared" si="30"/>
        <v>5.2497915199853082</v>
      </c>
      <c r="D398" s="2">
        <f t="shared" si="32"/>
        <v>5.5525331110444922</v>
      </c>
      <c r="E398" s="2">
        <f t="shared" si="31"/>
        <v>-0.30274159105918397</v>
      </c>
      <c r="F398" s="2">
        <f t="shared" si="35"/>
        <v>-0.32485491450548498</v>
      </c>
      <c r="G398" s="2">
        <f t="shared" si="33"/>
        <v>2.2113323446301014E-2</v>
      </c>
      <c r="H398" s="2" t="str">
        <f t="shared" si="34"/>
        <v>Sell</v>
      </c>
    </row>
    <row r="399" spans="1:8" ht="13.5" x14ac:dyDescent="0.25">
      <c r="A399" s="3">
        <f>TITRES_STAT!B402</f>
        <v>45499</v>
      </c>
      <c r="B399" s="5">
        <f>TITRES_STAT!D402</f>
        <v>5.8970000000000002</v>
      </c>
      <c r="C399" s="2">
        <f t="shared" ref="C399:C462" si="36">$C$4*B389+C398*(1-$C$4)</f>
        <v>5.3362851322952611</v>
      </c>
      <c r="D399" s="2">
        <f t="shared" si="32"/>
        <v>5.5780491768930487</v>
      </c>
      <c r="E399" s="2">
        <f t="shared" si="31"/>
        <v>-0.24176404459778755</v>
      </c>
      <c r="F399" s="2">
        <f t="shared" si="35"/>
        <v>-0.30823674052394551</v>
      </c>
      <c r="G399" s="2">
        <f t="shared" si="33"/>
        <v>6.6472695926157954E-2</v>
      </c>
      <c r="H399" s="2" t="str">
        <f t="shared" si="34"/>
        <v>Sell</v>
      </c>
    </row>
    <row r="400" spans="1:8" ht="13.5" x14ac:dyDescent="0.25">
      <c r="A400" s="3">
        <f>TITRES_STAT!B403</f>
        <v>45502</v>
      </c>
      <c r="B400" s="5">
        <f>TITRES_STAT!D403</f>
        <v>5.8970000000000002</v>
      </c>
      <c r="C400" s="2">
        <f t="shared" si="36"/>
        <v>5.4196258811729132</v>
      </c>
      <c r="D400" s="2">
        <f t="shared" si="32"/>
        <v>5.6016751637898601</v>
      </c>
      <c r="E400" s="2">
        <f t="shared" si="31"/>
        <v>-0.18204928261694686</v>
      </c>
      <c r="F400" s="2">
        <f t="shared" si="35"/>
        <v>-0.2829992489425458</v>
      </c>
      <c r="G400" s="2">
        <f t="shared" si="33"/>
        <v>0.10094996632559894</v>
      </c>
      <c r="H400" s="2" t="str">
        <f t="shared" si="34"/>
        <v>Sell</v>
      </c>
    </row>
    <row r="401" spans="1:8" ht="13.5" x14ac:dyDescent="0.25">
      <c r="A401" s="3">
        <f>TITRES_STAT!B404</f>
        <v>45503</v>
      </c>
      <c r="B401" s="5">
        <f>TITRES_STAT!D404</f>
        <v>5.8220000000000001</v>
      </c>
      <c r="C401" s="2">
        <f t="shared" si="36"/>
        <v>5.4959911302232349</v>
      </c>
      <c r="D401" s="2">
        <f t="shared" si="32"/>
        <v>5.6179955220276483</v>
      </c>
      <c r="E401" s="2">
        <f t="shared" si="31"/>
        <v>-0.12200439180441336</v>
      </c>
      <c r="F401" s="2">
        <f t="shared" si="35"/>
        <v>-0.25080027751491929</v>
      </c>
      <c r="G401" s="2">
        <f t="shared" si="33"/>
        <v>0.12879588571050593</v>
      </c>
      <c r="H401" s="2" t="str">
        <f t="shared" si="34"/>
        <v>Sell</v>
      </c>
    </row>
    <row r="402" spans="1:8" ht="13.5" x14ac:dyDescent="0.25">
      <c r="A402" s="3">
        <f>TITRES_STAT!B405</f>
        <v>45504</v>
      </c>
      <c r="B402" s="5">
        <f>TITRES_STAT!D405</f>
        <v>5.9160000000000004</v>
      </c>
      <c r="C402" s="2">
        <f t="shared" si="36"/>
        <v>5.5678386486504294</v>
      </c>
      <c r="D402" s="2">
        <f t="shared" si="32"/>
        <v>5.6400699278033786</v>
      </c>
      <c r="E402" s="2">
        <f t="shared" si="31"/>
        <v>-7.2231279152949135E-2</v>
      </c>
      <c r="F402" s="2">
        <f t="shared" si="35"/>
        <v>-0.21508647784252527</v>
      </c>
      <c r="G402" s="2">
        <f t="shared" si="33"/>
        <v>0.14285519868957613</v>
      </c>
      <c r="H402" s="2" t="str">
        <f t="shared" si="34"/>
        <v>Sell</v>
      </c>
    </row>
    <row r="403" spans="1:8" ht="13.5" x14ac:dyDescent="0.25">
      <c r="A403" s="3">
        <f>TITRES_STAT!B406</f>
        <v>45505</v>
      </c>
      <c r="B403" s="5">
        <f>TITRES_STAT!D406</f>
        <v>5.9160000000000004</v>
      </c>
      <c r="C403" s="2">
        <f t="shared" si="36"/>
        <v>5.6257096257811323</v>
      </c>
      <c r="D403" s="2">
        <f t="shared" si="32"/>
        <v>5.6605091924105357</v>
      </c>
      <c r="E403" s="2">
        <f t="shared" si="31"/>
        <v>-3.4799566629403422E-2</v>
      </c>
      <c r="F403" s="2">
        <f t="shared" si="35"/>
        <v>-0.17902909559990093</v>
      </c>
      <c r="G403" s="2">
        <f t="shared" si="33"/>
        <v>0.14422952897049751</v>
      </c>
      <c r="H403" s="2" t="str">
        <f t="shared" si="34"/>
        <v>Sell</v>
      </c>
    </row>
    <row r="404" spans="1:8" ht="13.5" x14ac:dyDescent="0.25">
      <c r="A404" s="3">
        <f>TITRES_STAT!B407</f>
        <v>45506</v>
      </c>
      <c r="B404" s="5">
        <f>TITRES_STAT!D407</f>
        <v>5.8970000000000002</v>
      </c>
      <c r="C404" s="2">
        <f t="shared" si="36"/>
        <v>5.665908144891727</v>
      </c>
      <c r="D404" s="2">
        <f t="shared" si="32"/>
        <v>5.6780270300097557</v>
      </c>
      <c r="E404" s="2">
        <f t="shared" si="31"/>
        <v>-1.2118885118028722E-2</v>
      </c>
      <c r="F404" s="2">
        <f t="shared" si="35"/>
        <v>-0.1456470535035265</v>
      </c>
      <c r="G404" s="2">
        <f t="shared" si="33"/>
        <v>0.13352816838549778</v>
      </c>
      <c r="H404" s="2" t="str">
        <f t="shared" si="34"/>
        <v>Sell</v>
      </c>
    </row>
    <row r="405" spans="1:8" ht="13.5" x14ac:dyDescent="0.25">
      <c r="A405" s="3">
        <f>TITRES_STAT!B408</f>
        <v>45509</v>
      </c>
      <c r="B405" s="5">
        <f>TITRES_STAT!D408</f>
        <v>5.8780000000000001</v>
      </c>
      <c r="C405" s="2">
        <f t="shared" si="36"/>
        <v>5.6999222764468458</v>
      </c>
      <c r="D405" s="2">
        <f t="shared" si="32"/>
        <v>5.6928398426016251</v>
      </c>
      <c r="E405" s="2">
        <f t="shared" si="31"/>
        <v>7.0824338452206703E-3</v>
      </c>
      <c r="F405" s="2">
        <f t="shared" si="35"/>
        <v>-0.11510115603377707</v>
      </c>
      <c r="G405" s="2">
        <f t="shared" si="33"/>
        <v>0.12218358987899774</v>
      </c>
      <c r="H405" s="2" t="str">
        <f t="shared" si="34"/>
        <v>Sell</v>
      </c>
    </row>
    <row r="406" spans="1:8" ht="13.5" x14ac:dyDescent="0.25">
      <c r="A406" s="3">
        <f>TITRES_STAT!B409</f>
        <v>45510</v>
      </c>
      <c r="B406" s="5">
        <f>TITRES_STAT!D409</f>
        <v>5.8120000000000003</v>
      </c>
      <c r="C406" s="2">
        <f t="shared" si="36"/>
        <v>5.7243957723781005</v>
      </c>
      <c r="D406" s="2">
        <f t="shared" si="32"/>
        <v>5.7016665209274304</v>
      </c>
      <c r="E406" s="2">
        <f t="shared" si="31"/>
        <v>2.2729251450670063E-2</v>
      </c>
      <c r="F406" s="2">
        <f t="shared" si="35"/>
        <v>-8.753507453688765E-2</v>
      </c>
      <c r="G406" s="2">
        <f t="shared" si="33"/>
        <v>0.11026432598755771</v>
      </c>
      <c r="H406" s="2" t="str">
        <f t="shared" si="34"/>
        <v>Sell</v>
      </c>
    </row>
    <row r="407" spans="1:8" ht="13.5" x14ac:dyDescent="0.25">
      <c r="A407" s="3">
        <f>TITRES_STAT!B410</f>
        <v>45511</v>
      </c>
      <c r="B407" s="5">
        <f>TITRES_STAT!D410</f>
        <v>5.8120000000000003</v>
      </c>
      <c r="C407" s="2">
        <f t="shared" si="36"/>
        <v>5.7451041150891617</v>
      </c>
      <c r="D407" s="2">
        <f t="shared" si="32"/>
        <v>5.7098393712291031</v>
      </c>
      <c r="E407" s="2">
        <f t="shared" si="31"/>
        <v>3.5264743860058623E-2</v>
      </c>
      <c r="F407" s="2">
        <f t="shared" si="35"/>
        <v>-6.2975110857498406E-2</v>
      </c>
      <c r="G407" s="2">
        <f t="shared" si="33"/>
        <v>9.8239854717557029E-2</v>
      </c>
      <c r="H407" s="2" t="str">
        <f t="shared" si="34"/>
        <v>Sell</v>
      </c>
    </row>
    <row r="408" spans="1:8" ht="13.5" x14ac:dyDescent="0.25">
      <c r="A408" s="3">
        <f>TITRES_STAT!B411</f>
        <v>45512</v>
      </c>
      <c r="B408" s="5">
        <f>TITRES_STAT!D411</f>
        <v>5.8120000000000003</v>
      </c>
      <c r="C408" s="2">
        <f t="shared" si="36"/>
        <v>5.7713957896908301</v>
      </c>
      <c r="D408" s="2">
        <f t="shared" si="32"/>
        <v>5.7174068252121319</v>
      </c>
      <c r="E408" s="2">
        <f t="shared" si="31"/>
        <v>5.3988964478698165E-2</v>
      </c>
      <c r="F408" s="2">
        <f t="shared" si="35"/>
        <v>-3.9582295790259091E-2</v>
      </c>
      <c r="G408" s="2">
        <f t="shared" si="33"/>
        <v>9.3571260268957263E-2</v>
      </c>
      <c r="H408" s="2" t="str">
        <f t="shared" si="34"/>
        <v>Sell</v>
      </c>
    </row>
    <row r="409" spans="1:8" ht="13.5" x14ac:dyDescent="0.25">
      <c r="A409" s="3">
        <f>TITRES_STAT!B412</f>
        <v>45513</v>
      </c>
      <c r="B409" s="5">
        <f>TITRES_STAT!D412</f>
        <v>5.8120000000000003</v>
      </c>
      <c r="C409" s="2">
        <f t="shared" si="36"/>
        <v>5.7907195143537793</v>
      </c>
      <c r="D409" s="2">
        <f t="shared" si="32"/>
        <v>5.7244137270482707</v>
      </c>
      <c r="E409" s="2">
        <f t="shared" si="31"/>
        <v>6.6305787305508623E-2</v>
      </c>
      <c r="F409" s="2">
        <f t="shared" si="35"/>
        <v>-1.840467917110555E-2</v>
      </c>
      <c r="G409" s="2">
        <f t="shared" si="33"/>
        <v>8.4710466476614177E-2</v>
      </c>
      <c r="H409" s="2" t="str">
        <f t="shared" si="34"/>
        <v>Sell</v>
      </c>
    </row>
    <row r="410" spans="1:8" ht="13.5" x14ac:dyDescent="0.25">
      <c r="A410" s="3">
        <f>TITRES_STAT!B413</f>
        <v>45516</v>
      </c>
      <c r="B410" s="5">
        <f>TITRES_STAT!D413</f>
        <v>5.7839999999999998</v>
      </c>
      <c r="C410" s="2">
        <f t="shared" si="36"/>
        <v>5.8070703582993515</v>
      </c>
      <c r="D410" s="2">
        <f t="shared" si="32"/>
        <v>5.7288275250446956</v>
      </c>
      <c r="E410" s="2">
        <f t="shared" si="31"/>
        <v>7.8242833254655864E-2</v>
      </c>
      <c r="F410" s="2">
        <f t="shared" si="35"/>
        <v>9.2482331404673129E-4</v>
      </c>
      <c r="G410" s="2">
        <f t="shared" si="33"/>
        <v>7.7318009940609139E-2</v>
      </c>
      <c r="H410" s="2" t="str">
        <f t="shared" si="34"/>
        <v>Sell</v>
      </c>
    </row>
    <row r="411" spans="1:8" ht="13.5" x14ac:dyDescent="0.25">
      <c r="A411" s="3">
        <f>TITRES_STAT!B414</f>
        <v>45518</v>
      </c>
      <c r="B411" s="5">
        <f>TITRES_STAT!D414</f>
        <v>5.7279999999999998</v>
      </c>
      <c r="C411" s="2">
        <f t="shared" si="36"/>
        <v>5.8093672262532969</v>
      </c>
      <c r="D411" s="2">
        <f t="shared" si="32"/>
        <v>5.728766226893236</v>
      </c>
      <c r="E411" s="2">
        <f t="shared" si="31"/>
        <v>8.0600999360060932E-2</v>
      </c>
      <c r="F411" s="2">
        <f t="shared" si="35"/>
        <v>1.6860058523249573E-2</v>
      </c>
      <c r="G411" s="2">
        <f t="shared" si="33"/>
        <v>6.3740940836811366E-2</v>
      </c>
      <c r="H411" s="2" t="str">
        <f t="shared" si="34"/>
        <v>Sell</v>
      </c>
    </row>
    <row r="412" spans="1:8" ht="13.5" x14ac:dyDescent="0.25">
      <c r="A412" s="3">
        <f>TITRES_STAT!B415</f>
        <v>45519</v>
      </c>
      <c r="B412" s="5">
        <f>TITRES_STAT!D415</f>
        <v>5.718</v>
      </c>
      <c r="C412" s="2">
        <f t="shared" si="36"/>
        <v>5.8257722683681745</v>
      </c>
      <c r="D412" s="2">
        <f t="shared" si="32"/>
        <v>5.7279687286048482</v>
      </c>
      <c r="E412" s="2">
        <f t="shared" ref="E412:E475" si="37">C412-D412</f>
        <v>9.7803539763326341E-2</v>
      </c>
      <c r="F412" s="2">
        <f t="shared" si="35"/>
        <v>3.3048754771264927E-2</v>
      </c>
      <c r="G412" s="2">
        <f t="shared" si="33"/>
        <v>6.4754784992061415E-2</v>
      </c>
      <c r="H412" s="2" t="str">
        <f t="shared" si="34"/>
        <v>Sell</v>
      </c>
    </row>
    <row r="413" spans="1:8" ht="13.5" x14ac:dyDescent="0.25">
      <c r="A413" s="3">
        <f>TITRES_STAT!B416</f>
        <v>45520</v>
      </c>
      <c r="B413" s="5">
        <f>TITRES_STAT!D416</f>
        <v>5.718</v>
      </c>
      <c r="C413" s="2">
        <f t="shared" si="36"/>
        <v>5.8396534578499946</v>
      </c>
      <c r="D413" s="2">
        <f t="shared" ref="D413:D476" si="38">$D$4*B413+(1-$D$4)*D412</f>
        <v>5.7272303042637489</v>
      </c>
      <c r="E413" s="2">
        <f t="shared" si="37"/>
        <v>0.11242315358624566</v>
      </c>
      <c r="F413" s="2">
        <f t="shared" si="35"/>
        <v>4.8923634534261073E-2</v>
      </c>
      <c r="G413" s="2">
        <f t="shared" si="33"/>
        <v>6.3499519051984588E-2</v>
      </c>
      <c r="H413" s="2" t="str">
        <f t="shared" si="34"/>
        <v>Sell</v>
      </c>
    </row>
    <row r="414" spans="1:8" ht="13.5" x14ac:dyDescent="0.25">
      <c r="A414" s="3">
        <f>TITRES_STAT!B417</f>
        <v>45523</v>
      </c>
      <c r="B414" s="5">
        <f>TITRES_STAT!D417</f>
        <v>5.718</v>
      </c>
      <c r="C414" s="2">
        <f t="shared" si="36"/>
        <v>5.8484760027961489</v>
      </c>
      <c r="D414" s="2">
        <f t="shared" si="38"/>
        <v>5.7265465780219902</v>
      </c>
      <c r="E414" s="2">
        <f t="shared" si="37"/>
        <v>0.12192942477415869</v>
      </c>
      <c r="F414" s="2">
        <f t="shared" si="35"/>
        <v>6.35247925822406E-2</v>
      </c>
      <c r="G414" s="2">
        <f t="shared" si="33"/>
        <v>5.8404632191918091E-2</v>
      </c>
      <c r="H414" s="2" t="str">
        <f t="shared" si="34"/>
        <v>Sell</v>
      </c>
    </row>
    <row r="415" spans="1:8" ht="13.5" x14ac:dyDescent="0.25">
      <c r="A415" s="3">
        <f>TITRES_STAT!B418</f>
        <v>45524</v>
      </c>
      <c r="B415" s="5">
        <f>TITRES_STAT!D418</f>
        <v>5.718</v>
      </c>
      <c r="C415" s="2">
        <f t="shared" si="36"/>
        <v>5.8530181562121255</v>
      </c>
      <c r="D415" s="2">
        <f t="shared" si="38"/>
        <v>5.7259134981685094</v>
      </c>
      <c r="E415" s="2">
        <f t="shared" si="37"/>
        <v>0.12710465804361615</v>
      </c>
      <c r="F415" s="2">
        <f t="shared" si="35"/>
        <v>7.6240765674515709E-2</v>
      </c>
      <c r="G415" s="2">
        <f t="shared" si="33"/>
        <v>5.0863892369100439E-2</v>
      </c>
      <c r="H415" s="2" t="str">
        <f t="shared" si="34"/>
        <v>Sell</v>
      </c>
    </row>
    <row r="416" spans="1:8" ht="13.5" x14ac:dyDescent="0.25">
      <c r="A416" s="3">
        <f>TITRES_STAT!B419</f>
        <v>45525</v>
      </c>
      <c r="B416" s="5">
        <f>TITRES_STAT!D419</f>
        <v>5.6340000000000003</v>
      </c>
      <c r="C416" s="2">
        <f t="shared" si="36"/>
        <v>5.8467076706410293</v>
      </c>
      <c r="D416" s="2">
        <f t="shared" si="38"/>
        <v>5.7191050908967682</v>
      </c>
      <c r="E416" s="2">
        <f t="shared" si="37"/>
        <v>0.12760257974426104</v>
      </c>
      <c r="F416" s="2">
        <f t="shared" si="35"/>
        <v>8.6513128488464777E-2</v>
      </c>
      <c r="G416" s="2">
        <f t="shared" si="33"/>
        <v>4.1089451255796258E-2</v>
      </c>
      <c r="H416" s="2" t="str">
        <f t="shared" si="34"/>
        <v>Sell</v>
      </c>
    </row>
    <row r="417" spans="1:8" ht="13.5" x14ac:dyDescent="0.25">
      <c r="A417" s="3">
        <f>TITRES_STAT!B420</f>
        <v>45526</v>
      </c>
      <c r="B417" s="5">
        <f>TITRES_STAT!D420</f>
        <v>5.6340000000000003</v>
      </c>
      <c r="C417" s="2">
        <f t="shared" si="36"/>
        <v>5.8413680290039487</v>
      </c>
      <c r="D417" s="2">
        <f t="shared" si="38"/>
        <v>5.7128010100896001</v>
      </c>
      <c r="E417" s="2">
        <f t="shared" si="37"/>
        <v>0.12856701891434863</v>
      </c>
      <c r="F417" s="2">
        <f t="shared" si="35"/>
        <v>9.4923906573641553E-2</v>
      </c>
      <c r="G417" s="2">
        <f t="shared" si="33"/>
        <v>3.3643112340707076E-2</v>
      </c>
      <c r="H417" s="2" t="str">
        <f t="shared" si="34"/>
        <v>Sell</v>
      </c>
    </row>
    <row r="418" spans="1:8" ht="13.5" x14ac:dyDescent="0.25">
      <c r="A418" s="3">
        <f>TITRES_STAT!B421</f>
        <v>45527</v>
      </c>
      <c r="B418" s="5">
        <f>TITRES_STAT!D421</f>
        <v>5.6340000000000003</v>
      </c>
      <c r="C418" s="2">
        <f t="shared" si="36"/>
        <v>5.8368498706956498</v>
      </c>
      <c r="D418" s="2">
        <f t="shared" si="38"/>
        <v>5.7069638982311117</v>
      </c>
      <c r="E418" s="2">
        <f t="shared" si="37"/>
        <v>0.12988597246453804</v>
      </c>
      <c r="F418" s="2">
        <f t="shared" si="35"/>
        <v>0.10191631975182086</v>
      </c>
      <c r="G418" s="2">
        <f t="shared" si="33"/>
        <v>2.7969652712717175E-2</v>
      </c>
      <c r="H418" s="2" t="str">
        <f t="shared" si="34"/>
        <v>Sell</v>
      </c>
    </row>
    <row r="419" spans="1:8" ht="13.5" x14ac:dyDescent="0.25">
      <c r="A419" s="3">
        <f>TITRES_STAT!B422</f>
        <v>45530</v>
      </c>
      <c r="B419" s="5">
        <f>TITRES_STAT!D422</f>
        <v>5.6340000000000003</v>
      </c>
      <c r="C419" s="2">
        <f t="shared" si="36"/>
        <v>5.8330268136655494</v>
      </c>
      <c r="D419" s="2">
        <f t="shared" si="38"/>
        <v>5.7015591650288071</v>
      </c>
      <c r="E419" s="2">
        <f t="shared" si="37"/>
        <v>0.13146764863674232</v>
      </c>
      <c r="F419" s="2">
        <f t="shared" si="35"/>
        <v>0.10782658552880517</v>
      </c>
      <c r="G419" s="2">
        <f t="shared" si="33"/>
        <v>2.3641063107937149E-2</v>
      </c>
      <c r="H419" s="2" t="str">
        <f t="shared" si="34"/>
        <v>Sell</v>
      </c>
    </row>
    <row r="420" spans="1:8" ht="13.5" x14ac:dyDescent="0.25">
      <c r="A420" s="3">
        <f>TITRES_STAT!B423</f>
        <v>45531</v>
      </c>
      <c r="B420" s="5">
        <f>TITRES_STAT!D423</f>
        <v>5.625</v>
      </c>
      <c r="C420" s="2">
        <f t="shared" si="36"/>
        <v>5.8254842269477729</v>
      </c>
      <c r="D420" s="2">
        <f t="shared" si="38"/>
        <v>5.6958881157674144</v>
      </c>
      <c r="E420" s="2">
        <f t="shared" si="37"/>
        <v>0.12959611118035852</v>
      </c>
      <c r="F420" s="2">
        <f t="shared" si="35"/>
        <v>0.11218049065911585</v>
      </c>
      <c r="G420" s="2">
        <f t="shared" ref="G420:G483" si="39">E420-F420</f>
        <v>1.7415620521242667E-2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45532</v>
      </c>
      <c r="B421" s="5">
        <f>TITRES_STAT!D424</f>
        <v>5.6340000000000003</v>
      </c>
      <c r="C421" s="2">
        <f t="shared" si="36"/>
        <v>5.8104866535711928</v>
      </c>
      <c r="D421" s="2">
        <f t="shared" si="38"/>
        <v>5.6913038108957545</v>
      </c>
      <c r="E421" s="2">
        <f t="shared" si="37"/>
        <v>0.11918284267543822</v>
      </c>
      <c r="F421" s="2">
        <f t="shared" ref="F421:F484" si="41">(E421*(2/(10)))+((1-(2/10))*F420)</f>
        <v>0.11358096106238033</v>
      </c>
      <c r="G421" s="2">
        <f t="shared" si="39"/>
        <v>5.6018816130578852E-3</v>
      </c>
      <c r="H421" s="2" t="str">
        <f t="shared" si="40"/>
        <v>Sell</v>
      </c>
    </row>
    <row r="422" spans="1:8" ht="13.5" x14ac:dyDescent="0.25">
      <c r="A422" s="3">
        <f>TITRES_STAT!B425</f>
        <v>45533</v>
      </c>
      <c r="B422" s="5">
        <f>TITRES_STAT!D425</f>
        <v>5.6340000000000003</v>
      </c>
      <c r="C422" s="2">
        <f t="shared" si="36"/>
        <v>5.7962579376371632</v>
      </c>
      <c r="D422" s="2">
        <f t="shared" si="38"/>
        <v>5.687059084162736</v>
      </c>
      <c r="E422" s="2">
        <f t="shared" si="37"/>
        <v>0.10919885347442726</v>
      </c>
      <c r="F422" s="2">
        <f t="shared" si="41"/>
        <v>0.11270453954478972</v>
      </c>
      <c r="G422" s="2">
        <f t="shared" si="39"/>
        <v>-3.5056860703624598E-3</v>
      </c>
      <c r="H422" s="2" t="str">
        <f t="shared" si="40"/>
        <v>Hold</v>
      </c>
    </row>
    <row r="423" spans="1:8" ht="13.5" x14ac:dyDescent="0.25">
      <c r="A423" s="3">
        <f>TITRES_STAT!B426</f>
        <v>45534</v>
      </c>
      <c r="B423" s="5">
        <f>TITRES_STAT!D426</f>
        <v>5.681</v>
      </c>
      <c r="C423" s="2">
        <f t="shared" si="36"/>
        <v>5.7842182549237533</v>
      </c>
      <c r="D423" s="2">
        <f t="shared" si="38"/>
        <v>5.6866102631136446</v>
      </c>
      <c r="E423" s="2">
        <f t="shared" si="37"/>
        <v>9.7607991810108707E-2</v>
      </c>
      <c r="F423" s="2">
        <f t="shared" si="41"/>
        <v>0.10968522999785353</v>
      </c>
      <c r="G423" s="2">
        <f t="shared" si="39"/>
        <v>-1.2077238187744824E-2</v>
      </c>
      <c r="H423" s="2" t="str">
        <f t="shared" si="40"/>
        <v>Hold</v>
      </c>
    </row>
    <row r="424" spans="1:8" ht="13.5" x14ac:dyDescent="0.25">
      <c r="A424" s="3">
        <f>TITRES_STAT!B427</f>
        <v>45537</v>
      </c>
      <c r="B424" s="5">
        <f>TITRES_STAT!D427</f>
        <v>5.6340000000000003</v>
      </c>
      <c r="C424" s="2">
        <f t="shared" si="36"/>
        <v>5.7740308310893296</v>
      </c>
      <c r="D424" s="2">
        <f t="shared" si="38"/>
        <v>5.6827132065867083</v>
      </c>
      <c r="E424" s="2">
        <f t="shared" si="37"/>
        <v>9.1317624502621264E-2</v>
      </c>
      <c r="F424" s="2">
        <f t="shared" si="41"/>
        <v>0.10601170889880708</v>
      </c>
      <c r="G424" s="2">
        <f t="shared" si="39"/>
        <v>-1.4694084396185816E-2</v>
      </c>
      <c r="H424" s="2" t="str">
        <f t="shared" si="40"/>
        <v>Hold</v>
      </c>
    </row>
    <row r="425" spans="1:8" ht="13.5" x14ac:dyDescent="0.25">
      <c r="A425" s="3">
        <f>TITRES_STAT!B428</f>
        <v>45538</v>
      </c>
      <c r="B425" s="5">
        <f>TITRES_STAT!D428</f>
        <v>5.6619999999999999</v>
      </c>
      <c r="C425" s="2">
        <f t="shared" si="36"/>
        <v>5.7654107032294322</v>
      </c>
      <c r="D425" s="2">
        <f t="shared" si="38"/>
        <v>5.6811788949876929</v>
      </c>
      <c r="E425" s="2">
        <f t="shared" si="37"/>
        <v>8.4231808241739259E-2</v>
      </c>
      <c r="F425" s="2">
        <f t="shared" si="41"/>
        <v>0.10165572876739352</v>
      </c>
      <c r="G425" s="2">
        <f t="shared" si="39"/>
        <v>-1.7423920525654266E-2</v>
      </c>
      <c r="H425" s="2" t="str">
        <f t="shared" si="40"/>
        <v>Hold</v>
      </c>
    </row>
    <row r="426" spans="1:8" ht="13.5" x14ac:dyDescent="0.25">
      <c r="A426" s="3">
        <f>TITRES_STAT!B429</f>
        <v>45539</v>
      </c>
      <c r="B426" s="5">
        <f>TITRES_STAT!D429</f>
        <v>5.6340000000000003</v>
      </c>
      <c r="C426" s="2">
        <f t="shared" si="36"/>
        <v>5.7451936719633654</v>
      </c>
      <c r="D426" s="2">
        <f t="shared" si="38"/>
        <v>5.677684162025642</v>
      </c>
      <c r="E426" s="2">
        <f t="shared" si="37"/>
        <v>6.7509509937723422E-2</v>
      </c>
      <c r="F426" s="2">
        <f t="shared" si="41"/>
        <v>9.4826485001459501E-2</v>
      </c>
      <c r="G426" s="2">
        <f t="shared" si="39"/>
        <v>-2.7316975063736079E-2</v>
      </c>
      <c r="H426" s="2" t="str">
        <f t="shared" si="40"/>
        <v>Hold</v>
      </c>
    </row>
    <row r="427" spans="1:8" ht="13.5" x14ac:dyDescent="0.25">
      <c r="A427" s="3">
        <f>TITRES_STAT!B430</f>
        <v>45540</v>
      </c>
      <c r="B427" s="5">
        <f>TITRES_STAT!D430</f>
        <v>5.6340000000000003</v>
      </c>
      <c r="C427" s="2">
        <f t="shared" si="36"/>
        <v>5.7280869531997709</v>
      </c>
      <c r="D427" s="2">
        <f t="shared" si="38"/>
        <v>5.6744482981718907</v>
      </c>
      <c r="E427" s="2">
        <f t="shared" si="37"/>
        <v>5.3638655027880233E-2</v>
      </c>
      <c r="F427" s="2">
        <f t="shared" si="41"/>
        <v>8.6588919006743648E-2</v>
      </c>
      <c r="G427" s="2">
        <f t="shared" si="39"/>
        <v>-3.2950263978863414E-2</v>
      </c>
      <c r="H427" s="2" t="str">
        <f t="shared" si="40"/>
        <v>Hold</v>
      </c>
    </row>
    <row r="428" spans="1:8" ht="13.5" x14ac:dyDescent="0.25">
      <c r="A428" s="3">
        <f>TITRES_STAT!B431</f>
        <v>45541</v>
      </c>
      <c r="B428" s="5">
        <f>TITRES_STAT!D431</f>
        <v>5.6340000000000003</v>
      </c>
      <c r="C428" s="2">
        <f t="shared" si="36"/>
        <v>5.7136120373228829</v>
      </c>
      <c r="D428" s="2">
        <f t="shared" si="38"/>
        <v>5.6714521279369361</v>
      </c>
      <c r="E428" s="2">
        <f t="shared" si="37"/>
        <v>4.2159909385946825E-2</v>
      </c>
      <c r="F428" s="2">
        <f t="shared" si="41"/>
        <v>7.7703117082584289E-2</v>
      </c>
      <c r="G428" s="2">
        <f t="shared" si="39"/>
        <v>-3.5543207696637463E-2</v>
      </c>
      <c r="H428" s="2" t="str">
        <f t="shared" si="40"/>
        <v>Hold</v>
      </c>
    </row>
    <row r="429" spans="1:8" ht="13.5" x14ac:dyDescent="0.25">
      <c r="A429" s="3">
        <f>TITRES_STAT!B432</f>
        <v>45544</v>
      </c>
      <c r="B429" s="5">
        <f>TITRES_STAT!D432</f>
        <v>5.6150000000000002</v>
      </c>
      <c r="C429" s="2">
        <f t="shared" si="36"/>
        <v>5.7013640315809013</v>
      </c>
      <c r="D429" s="2">
        <f t="shared" si="38"/>
        <v>5.6672704888304963</v>
      </c>
      <c r="E429" s="2">
        <f t="shared" si="37"/>
        <v>3.4093542750404993E-2</v>
      </c>
      <c r="F429" s="2">
        <f t="shared" si="41"/>
        <v>6.8981202216148438E-2</v>
      </c>
      <c r="G429" s="2">
        <f t="shared" si="39"/>
        <v>-3.4887659465743445E-2</v>
      </c>
      <c r="H429" s="2" t="str">
        <f t="shared" si="40"/>
        <v>Hold</v>
      </c>
    </row>
    <row r="430" spans="1:8" ht="13.5" x14ac:dyDescent="0.25">
      <c r="A430" s="3">
        <f>TITRES_STAT!B433</f>
        <v>45545</v>
      </c>
      <c r="B430" s="5">
        <f>TITRES_STAT!D433</f>
        <v>5.6150000000000002</v>
      </c>
      <c r="C430" s="2">
        <f t="shared" si="36"/>
        <v>5.6896157190299927</v>
      </c>
      <c r="D430" s="2">
        <f t="shared" si="38"/>
        <v>5.6633986007689776</v>
      </c>
      <c r="E430" s="2">
        <f t="shared" si="37"/>
        <v>2.6217118261015138E-2</v>
      </c>
      <c r="F430" s="2">
        <f t="shared" si="41"/>
        <v>6.0428385425121786E-2</v>
      </c>
      <c r="G430" s="2">
        <f t="shared" si="39"/>
        <v>-3.4211267164106648E-2</v>
      </c>
      <c r="H430" s="2" t="str">
        <f t="shared" si="40"/>
        <v>Hold</v>
      </c>
    </row>
    <row r="431" spans="1:8" ht="13.5" x14ac:dyDescent="0.25">
      <c r="A431" s="3">
        <f>TITRES_STAT!B434</f>
        <v>45546</v>
      </c>
      <c r="B431" s="5">
        <f>TITRES_STAT!D434</f>
        <v>5.6150000000000002</v>
      </c>
      <c r="C431" s="2">
        <f t="shared" si="36"/>
        <v>5.6810594545638402</v>
      </c>
      <c r="D431" s="2">
        <f t="shared" si="38"/>
        <v>5.6598135192305348</v>
      </c>
      <c r="E431" s="2">
        <f t="shared" si="37"/>
        <v>2.1245935333305432E-2</v>
      </c>
      <c r="F431" s="2">
        <f t="shared" si="41"/>
        <v>5.2591895406758522E-2</v>
      </c>
      <c r="G431" s="2">
        <f t="shared" si="39"/>
        <v>-3.134596007345309E-2</v>
      </c>
      <c r="H431" s="2" t="str">
        <f t="shared" si="40"/>
        <v>Hold</v>
      </c>
    </row>
    <row r="432" spans="1:8" ht="13.5" x14ac:dyDescent="0.25">
      <c r="A432" s="3">
        <f>TITRES_STAT!B435</f>
        <v>45547</v>
      </c>
      <c r="B432" s="5">
        <f>TITRES_STAT!D435</f>
        <v>5.6150000000000002</v>
      </c>
      <c r="C432" s="2">
        <f t="shared" si="36"/>
        <v>5.6738195384770957</v>
      </c>
      <c r="D432" s="2">
        <f t="shared" si="38"/>
        <v>5.656493999287532</v>
      </c>
      <c r="E432" s="2">
        <f t="shared" si="37"/>
        <v>1.7325539189563699E-2</v>
      </c>
      <c r="F432" s="2">
        <f t="shared" si="41"/>
        <v>4.5538624163319559E-2</v>
      </c>
      <c r="G432" s="2">
        <f t="shared" si="39"/>
        <v>-2.821308497375586E-2</v>
      </c>
      <c r="H432" s="2" t="str">
        <f t="shared" si="40"/>
        <v>Hold</v>
      </c>
    </row>
    <row r="433" spans="1:8" ht="13.5" x14ac:dyDescent="0.25">
      <c r="A433" s="3">
        <f>TITRES_STAT!B436</f>
        <v>45548</v>
      </c>
      <c r="B433" s="5">
        <f>TITRES_STAT!D436</f>
        <v>5.6340000000000003</v>
      </c>
      <c r="C433" s="2">
        <f t="shared" si="36"/>
        <v>5.6749242248652347</v>
      </c>
      <c r="D433" s="2">
        <f t="shared" si="38"/>
        <v>5.6548277771180855</v>
      </c>
      <c r="E433" s="2">
        <f t="shared" si="37"/>
        <v>2.0096447747149249E-2</v>
      </c>
      <c r="F433" s="2">
        <f t="shared" si="41"/>
        <v>4.0450188880085503E-2</v>
      </c>
      <c r="G433" s="2">
        <f t="shared" si="39"/>
        <v>-2.0353741132936254E-2</v>
      </c>
      <c r="H433" s="2" t="str">
        <f t="shared" si="40"/>
        <v>Hold</v>
      </c>
    </row>
    <row r="434" spans="1:8" ht="13.5" x14ac:dyDescent="0.25">
      <c r="A434" s="3">
        <f>TITRES_STAT!B437</f>
        <v>45551</v>
      </c>
      <c r="B434" s="5">
        <f>TITRES_STAT!D437</f>
        <v>5.6340000000000003</v>
      </c>
      <c r="C434" s="2">
        <f t="shared" si="36"/>
        <v>5.6686281902705833</v>
      </c>
      <c r="D434" s="2">
        <f t="shared" si="38"/>
        <v>5.6532849788130424</v>
      </c>
      <c r="E434" s="2">
        <f t="shared" si="37"/>
        <v>1.5343211457540917E-2</v>
      </c>
      <c r="F434" s="2">
        <f t="shared" si="41"/>
        <v>3.5428793395576585E-2</v>
      </c>
      <c r="G434" s="2">
        <f t="shared" si="39"/>
        <v>-2.0085581938035668E-2</v>
      </c>
      <c r="H434" s="2" t="str">
        <f t="shared" si="40"/>
        <v>Hold</v>
      </c>
    </row>
    <row r="435" spans="1:8" ht="13.5" x14ac:dyDescent="0.25">
      <c r="A435" s="3">
        <f>TITRES_STAT!B438</f>
        <v>45552</v>
      </c>
      <c r="B435" s="5">
        <f>TITRES_STAT!D438</f>
        <v>5.6340000000000003</v>
      </c>
      <c r="C435" s="2">
        <f t="shared" si="36"/>
        <v>5.6676084686904931</v>
      </c>
      <c r="D435" s="2">
        <f t="shared" si="38"/>
        <v>5.651856461863928</v>
      </c>
      <c r="E435" s="2">
        <f t="shared" si="37"/>
        <v>1.5752006826565079E-2</v>
      </c>
      <c r="F435" s="2">
        <f t="shared" si="41"/>
        <v>3.1493436081774281E-2</v>
      </c>
      <c r="G435" s="2">
        <f t="shared" si="39"/>
        <v>-1.5741429255209202E-2</v>
      </c>
      <c r="H435" s="2" t="str">
        <f t="shared" si="40"/>
        <v>Hold</v>
      </c>
    </row>
    <row r="436" spans="1:8" ht="13.5" x14ac:dyDescent="0.25">
      <c r="A436" s="3">
        <f>TITRES_STAT!B439</f>
        <v>45553</v>
      </c>
      <c r="B436" s="5">
        <f>TITRES_STAT!D439</f>
        <v>5.6340000000000003</v>
      </c>
      <c r="C436" s="2">
        <f t="shared" si="36"/>
        <v>5.6624379350458023</v>
      </c>
      <c r="D436" s="2">
        <f t="shared" si="38"/>
        <v>5.6505337609851187</v>
      </c>
      <c r="E436" s="2">
        <f t="shared" si="37"/>
        <v>1.1904174060683559E-2</v>
      </c>
      <c r="F436" s="2">
        <f t="shared" si="41"/>
        <v>2.7575583677556137E-2</v>
      </c>
      <c r="G436" s="2">
        <f t="shared" si="39"/>
        <v>-1.5671409616872578E-2</v>
      </c>
      <c r="H436" s="2" t="str">
        <f t="shared" si="40"/>
        <v>Hold</v>
      </c>
    </row>
    <row r="437" spans="1:8" ht="13.5" x14ac:dyDescent="0.25">
      <c r="A437" s="3">
        <f>TITRES_STAT!B440</f>
        <v>45554</v>
      </c>
      <c r="B437" s="5">
        <f>TITRES_STAT!D440</f>
        <v>5.7279999999999998</v>
      </c>
      <c r="C437" s="2">
        <f t="shared" si="36"/>
        <v>5.658062868115679</v>
      </c>
      <c r="D437" s="2">
        <f t="shared" si="38"/>
        <v>5.6562720009121463</v>
      </c>
      <c r="E437" s="2">
        <f t="shared" si="37"/>
        <v>1.79086720353272E-3</v>
      </c>
      <c r="F437" s="2">
        <f t="shared" si="41"/>
        <v>2.2418640382751456E-2</v>
      </c>
      <c r="G437" s="2">
        <f t="shared" si="39"/>
        <v>-2.0627773179218736E-2</v>
      </c>
      <c r="H437" s="2" t="str">
        <f t="shared" si="40"/>
        <v>Hold</v>
      </c>
    </row>
    <row r="438" spans="1:8" ht="13.5" x14ac:dyDescent="0.25">
      <c r="A438" s="3">
        <f>TITRES_STAT!B441</f>
        <v>45555</v>
      </c>
      <c r="B438" s="5">
        <f>TITRES_STAT!D441</f>
        <v>5.7649999999999997</v>
      </c>
      <c r="C438" s="2">
        <f t="shared" si="36"/>
        <v>5.6543608884055745</v>
      </c>
      <c r="D438" s="2">
        <f t="shared" si="38"/>
        <v>5.6643259267705055</v>
      </c>
      <c r="E438" s="2">
        <f t="shared" si="37"/>
        <v>-9.9650383649310115E-3</v>
      </c>
      <c r="F438" s="2">
        <f t="shared" si="41"/>
        <v>1.5941904633214963E-2</v>
      </c>
      <c r="G438" s="2">
        <f t="shared" si="39"/>
        <v>-2.5906942998145974E-2</v>
      </c>
      <c r="H438" s="2" t="str">
        <f t="shared" si="40"/>
        <v>Hold</v>
      </c>
    </row>
    <row r="439" spans="1:8" ht="13.5" x14ac:dyDescent="0.25">
      <c r="A439" s="3">
        <f>TITRES_STAT!B442</f>
        <v>45558</v>
      </c>
      <c r="B439" s="5">
        <f>TITRES_STAT!D442</f>
        <v>5.7750000000000004</v>
      </c>
      <c r="C439" s="2">
        <f t="shared" si="36"/>
        <v>5.6483053671124095</v>
      </c>
      <c r="D439" s="2">
        <f t="shared" si="38"/>
        <v>5.6725240062689872</v>
      </c>
      <c r="E439" s="2">
        <f t="shared" si="37"/>
        <v>-2.4218639156577737E-2</v>
      </c>
      <c r="F439" s="2">
        <f t="shared" si="41"/>
        <v>7.9097958752564236E-3</v>
      </c>
      <c r="G439" s="2">
        <f t="shared" si="39"/>
        <v>-3.2128435031834157E-2</v>
      </c>
      <c r="H439" s="2" t="str">
        <f t="shared" si="40"/>
        <v>Hold</v>
      </c>
    </row>
    <row r="440" spans="1:8" ht="13.5" x14ac:dyDescent="0.25">
      <c r="A440" s="3">
        <f>TITRES_STAT!B443</f>
        <v>45559</v>
      </c>
      <c r="B440" s="5">
        <f>TITRES_STAT!D443</f>
        <v>5.7750000000000004</v>
      </c>
      <c r="C440" s="2">
        <f t="shared" si="36"/>
        <v>5.6431814644797313</v>
      </c>
      <c r="D440" s="2">
        <f t="shared" si="38"/>
        <v>5.6801148206194325</v>
      </c>
      <c r="E440" s="2">
        <f t="shared" si="37"/>
        <v>-3.6933356139701168E-2</v>
      </c>
      <c r="F440" s="2">
        <f t="shared" si="41"/>
        <v>-1.0588345277350942E-3</v>
      </c>
      <c r="G440" s="2">
        <f t="shared" si="39"/>
        <v>-3.5874521611966075E-2</v>
      </c>
      <c r="H440" s="2" t="str">
        <f t="shared" si="40"/>
        <v>Hold</v>
      </c>
    </row>
    <row r="441" spans="1:8" ht="13.5" x14ac:dyDescent="0.25">
      <c r="A441" s="3">
        <f>TITRES_STAT!B444</f>
        <v>45560</v>
      </c>
      <c r="B441" s="5">
        <f>TITRES_STAT!D444</f>
        <v>5.7649999999999997</v>
      </c>
      <c r="C441" s="2">
        <f t="shared" si="36"/>
        <v>5.6388458545597731</v>
      </c>
      <c r="D441" s="2">
        <f t="shared" si="38"/>
        <v>5.6864026116846595</v>
      </c>
      <c r="E441" s="2">
        <f t="shared" si="37"/>
        <v>-4.7556757124886495E-2</v>
      </c>
      <c r="F441" s="2">
        <f t="shared" si="41"/>
        <v>-1.0358419047165375E-2</v>
      </c>
      <c r="G441" s="2">
        <f t="shared" si="39"/>
        <v>-3.7198338077721119E-2</v>
      </c>
      <c r="H441" s="2" t="str">
        <f t="shared" si="40"/>
        <v>Hold</v>
      </c>
    </row>
    <row r="442" spans="1:8" ht="13.5" x14ac:dyDescent="0.25">
      <c r="A442" s="3">
        <f>TITRES_STAT!B445</f>
        <v>45561</v>
      </c>
      <c r="B442" s="5">
        <f>TITRES_STAT!D445</f>
        <v>5.7750000000000004</v>
      </c>
      <c r="C442" s="2">
        <f t="shared" si="36"/>
        <v>5.6351772615505773</v>
      </c>
      <c r="D442" s="2">
        <f t="shared" si="38"/>
        <v>5.6929653811894996</v>
      </c>
      <c r="E442" s="2">
        <f t="shared" si="37"/>
        <v>-5.7788119638922275E-2</v>
      </c>
      <c r="F442" s="2">
        <f t="shared" si="41"/>
        <v>-1.9844359165516759E-2</v>
      </c>
      <c r="G442" s="2">
        <f t="shared" si="39"/>
        <v>-3.7943760473405516E-2</v>
      </c>
      <c r="H442" s="2" t="str">
        <f t="shared" si="40"/>
        <v>Hold</v>
      </c>
    </row>
    <row r="443" spans="1:8" ht="13.5" x14ac:dyDescent="0.25">
      <c r="A443" s="3">
        <f>TITRES_STAT!B446</f>
        <v>45562</v>
      </c>
      <c r="B443" s="5">
        <f>TITRES_STAT!D446</f>
        <v>5.8220000000000001</v>
      </c>
      <c r="C443" s="2">
        <f t="shared" si="36"/>
        <v>5.6349961443889498</v>
      </c>
      <c r="D443" s="2">
        <f t="shared" si="38"/>
        <v>5.7025235011013882</v>
      </c>
      <c r="E443" s="2">
        <f t="shared" si="37"/>
        <v>-6.7527356712438369E-2</v>
      </c>
      <c r="F443" s="2">
        <f t="shared" si="41"/>
        <v>-2.9380958674901082E-2</v>
      </c>
      <c r="G443" s="2">
        <f t="shared" si="39"/>
        <v>-3.8146398037537291E-2</v>
      </c>
      <c r="H443" s="2" t="str">
        <f t="shared" si="40"/>
        <v>Hold</v>
      </c>
    </row>
    <row r="444" spans="1:8" ht="13.5" x14ac:dyDescent="0.25">
      <c r="A444" s="3">
        <f>TITRES_STAT!B447</f>
        <v>45565</v>
      </c>
      <c r="B444" s="5">
        <f>TITRES_STAT!D447</f>
        <v>5.8220000000000001</v>
      </c>
      <c r="C444" s="2">
        <f t="shared" si="36"/>
        <v>5.6348428914060342</v>
      </c>
      <c r="D444" s="2">
        <f t="shared" si="38"/>
        <v>5.7113736121309149</v>
      </c>
      <c r="E444" s="2">
        <f t="shared" si="37"/>
        <v>-7.6530720724880652E-2</v>
      </c>
      <c r="F444" s="2">
        <f t="shared" si="41"/>
        <v>-3.8810911084896996E-2</v>
      </c>
      <c r="G444" s="2">
        <f t="shared" si="39"/>
        <v>-3.7719809639983656E-2</v>
      </c>
      <c r="H444" s="2" t="str">
        <f t="shared" si="40"/>
        <v>Hold</v>
      </c>
    </row>
    <row r="445" spans="1:8" ht="13.5" x14ac:dyDescent="0.25">
      <c r="A445" s="3">
        <f>TITRES_STAT!B448</f>
        <v>45566</v>
      </c>
      <c r="B445" s="5">
        <f>TITRES_STAT!D448</f>
        <v>5.8220000000000001</v>
      </c>
      <c r="C445" s="2">
        <f t="shared" si="36"/>
        <v>5.6347132158051059</v>
      </c>
      <c r="D445" s="2">
        <f t="shared" si="38"/>
        <v>5.7195681593804766</v>
      </c>
      <c r="E445" s="2">
        <f t="shared" si="37"/>
        <v>-8.4854943575370712E-2</v>
      </c>
      <c r="F445" s="2">
        <f t="shared" si="41"/>
        <v>-4.8019717582991742E-2</v>
      </c>
      <c r="G445" s="2">
        <f t="shared" si="39"/>
        <v>-3.683522599237897E-2</v>
      </c>
      <c r="H445" s="2" t="str">
        <f t="shared" si="40"/>
        <v>Hold</v>
      </c>
    </row>
    <row r="446" spans="1:8" ht="13.5" x14ac:dyDescent="0.25">
      <c r="A446" s="3">
        <f>TITRES_STAT!B449</f>
        <v>45567</v>
      </c>
      <c r="B446" s="5">
        <f>TITRES_STAT!D449</f>
        <v>5.8120000000000003</v>
      </c>
      <c r="C446" s="2">
        <f t="shared" si="36"/>
        <v>5.6346034902966284</v>
      </c>
      <c r="D446" s="2">
        <f t="shared" si="38"/>
        <v>5.726414962389331</v>
      </c>
      <c r="E446" s="2">
        <f t="shared" si="37"/>
        <v>-9.1811472092702573E-2</v>
      </c>
      <c r="F446" s="2">
        <f t="shared" si="41"/>
        <v>-5.6778068484933913E-2</v>
      </c>
      <c r="G446" s="2">
        <f t="shared" si="39"/>
        <v>-3.5033403607768659E-2</v>
      </c>
      <c r="H446" s="2" t="str">
        <f t="shared" si="40"/>
        <v>Hold</v>
      </c>
    </row>
    <row r="447" spans="1:8" ht="13.5" x14ac:dyDescent="0.25">
      <c r="A447" s="3">
        <f>TITRES_STAT!B450</f>
        <v>45568</v>
      </c>
      <c r="B447" s="5">
        <f>TITRES_STAT!D450</f>
        <v>5.7750000000000004</v>
      </c>
      <c r="C447" s="2">
        <f t="shared" si="36"/>
        <v>5.648972184097147</v>
      </c>
      <c r="D447" s="2">
        <f t="shared" si="38"/>
        <v>5.7300138540641958</v>
      </c>
      <c r="E447" s="2">
        <f t="shared" si="37"/>
        <v>-8.1041669967048868E-2</v>
      </c>
      <c r="F447" s="2">
        <f t="shared" si="41"/>
        <v>-6.1630788781356902E-2</v>
      </c>
      <c r="G447" s="2">
        <f t="shared" si="39"/>
        <v>-1.9410881185691967E-2</v>
      </c>
      <c r="H447" s="2" t="str">
        <f t="shared" si="40"/>
        <v>Hold</v>
      </c>
    </row>
    <row r="448" spans="1:8" ht="13.5" x14ac:dyDescent="0.25">
      <c r="A448" s="3">
        <f>TITRES_STAT!B451</f>
        <v>45569</v>
      </c>
      <c r="B448" s="5">
        <f>TITRES_STAT!D451</f>
        <v>5.7750000000000004</v>
      </c>
      <c r="C448" s="2">
        <f t="shared" si="36"/>
        <v>5.6668226173129703</v>
      </c>
      <c r="D448" s="2">
        <f t="shared" si="38"/>
        <v>5.7333461611705516</v>
      </c>
      <c r="E448" s="2">
        <f t="shared" si="37"/>
        <v>-6.6523543857581302E-2</v>
      </c>
      <c r="F448" s="2">
        <f t="shared" si="41"/>
        <v>-6.2609339796601785E-2</v>
      </c>
      <c r="G448" s="2">
        <f t="shared" si="39"/>
        <v>-3.9142040609795176E-3</v>
      </c>
      <c r="H448" s="2" t="str">
        <f t="shared" si="40"/>
        <v>Hold</v>
      </c>
    </row>
    <row r="449" spans="1:8" ht="13.5" x14ac:dyDescent="0.25">
      <c r="A449" s="3">
        <f>TITRES_STAT!B452</f>
        <v>45572</v>
      </c>
      <c r="B449" s="5">
        <f>TITRES_STAT!D452</f>
        <v>5.8220000000000001</v>
      </c>
      <c r="C449" s="2">
        <f t="shared" si="36"/>
        <v>5.6834652915725137</v>
      </c>
      <c r="D449" s="2">
        <f t="shared" si="38"/>
        <v>5.7399131121949551</v>
      </c>
      <c r="E449" s="2">
        <f t="shared" si="37"/>
        <v>-5.6447820622441469E-2</v>
      </c>
      <c r="F449" s="2">
        <f t="shared" si="41"/>
        <v>-6.137703596176973E-2</v>
      </c>
      <c r="G449" s="2">
        <f t="shared" si="39"/>
        <v>4.9292153393282606E-3</v>
      </c>
      <c r="H449" s="2" t="str">
        <f t="shared" si="40"/>
        <v>Sell</v>
      </c>
    </row>
    <row r="450" spans="1:8" ht="13.5" x14ac:dyDescent="0.25">
      <c r="A450" s="3">
        <f>TITRES_STAT!B453</f>
        <v>45573</v>
      </c>
      <c r="B450" s="5">
        <f>TITRES_STAT!D453</f>
        <v>5.6619999999999999</v>
      </c>
      <c r="C450" s="2">
        <f t="shared" si="36"/>
        <v>5.697547554407512</v>
      </c>
      <c r="D450" s="2">
        <f t="shared" si="38"/>
        <v>5.7341417705508837</v>
      </c>
      <c r="E450" s="2">
        <f t="shared" si="37"/>
        <v>-3.6594216143371661E-2</v>
      </c>
      <c r="F450" s="2">
        <f t="shared" si="41"/>
        <v>-5.6420471998090124E-2</v>
      </c>
      <c r="G450" s="2">
        <f t="shared" si="39"/>
        <v>1.9826255854718464E-2</v>
      </c>
      <c r="H450" s="2" t="str">
        <f t="shared" si="40"/>
        <v>Sell</v>
      </c>
    </row>
    <row r="451" spans="1:8" ht="13.5" x14ac:dyDescent="0.25">
      <c r="A451" s="3">
        <f>TITRES_STAT!B454</f>
        <v>45574</v>
      </c>
      <c r="B451" s="5">
        <f>TITRES_STAT!D454</f>
        <v>5.7750000000000004</v>
      </c>
      <c r="C451" s="2">
        <f t="shared" si="36"/>
        <v>5.7079248537294331</v>
      </c>
      <c r="D451" s="2">
        <f t="shared" si="38"/>
        <v>5.7371683060656338</v>
      </c>
      <c r="E451" s="2">
        <f t="shared" si="37"/>
        <v>-2.9243452336200626E-2</v>
      </c>
      <c r="F451" s="2">
        <f t="shared" si="41"/>
        <v>-5.0985068065712229E-2</v>
      </c>
      <c r="G451" s="2">
        <f t="shared" si="39"/>
        <v>2.1741615729511603E-2</v>
      </c>
      <c r="H451" s="2" t="str">
        <f t="shared" si="40"/>
        <v>Sell</v>
      </c>
    </row>
    <row r="452" spans="1:8" ht="13.5" x14ac:dyDescent="0.25">
      <c r="A452" s="3">
        <f>TITRES_STAT!B455</f>
        <v>45575</v>
      </c>
      <c r="B452" s="5">
        <f>TITRES_STAT!D455</f>
        <v>5.7750000000000004</v>
      </c>
      <c r="C452" s="2">
        <f t="shared" si="36"/>
        <v>5.7182441070018282</v>
      </c>
      <c r="D452" s="2">
        <f t="shared" si="38"/>
        <v>5.7399706537644759</v>
      </c>
      <c r="E452" s="2">
        <f t="shared" si="37"/>
        <v>-2.1726546762647736E-2</v>
      </c>
      <c r="F452" s="2">
        <f t="shared" si="41"/>
        <v>-4.513336380509933E-2</v>
      </c>
      <c r="G452" s="2">
        <f t="shared" si="39"/>
        <v>2.3406817042451594E-2</v>
      </c>
      <c r="H452" s="2" t="str">
        <f t="shared" si="40"/>
        <v>Sell</v>
      </c>
    </row>
    <row r="453" spans="1:8" ht="13.5" x14ac:dyDescent="0.25">
      <c r="A453" s="3">
        <f>TITRES_STAT!B456</f>
        <v>45576</v>
      </c>
      <c r="B453" s="5">
        <f>TITRES_STAT!D456</f>
        <v>5.85</v>
      </c>
      <c r="C453" s="2">
        <f t="shared" si="36"/>
        <v>5.7342065520784695</v>
      </c>
      <c r="D453" s="2">
        <f t="shared" si="38"/>
        <v>5.748120975707848</v>
      </c>
      <c r="E453" s="2">
        <f t="shared" si="37"/>
        <v>-1.3914423629378447E-2</v>
      </c>
      <c r="F453" s="2">
        <f t="shared" si="41"/>
        <v>-3.8889575769955158E-2</v>
      </c>
      <c r="G453" s="2">
        <f t="shared" si="39"/>
        <v>2.497515214057671E-2</v>
      </c>
      <c r="H453" s="2" t="str">
        <f t="shared" si="40"/>
        <v>Sell</v>
      </c>
    </row>
    <row r="454" spans="1:8" ht="13.5" x14ac:dyDescent="0.25">
      <c r="A454" s="3">
        <f>TITRES_STAT!B457</f>
        <v>45579</v>
      </c>
      <c r="B454" s="5">
        <f>TITRES_STAT!D457</f>
        <v>5.7089999999999996</v>
      </c>
      <c r="C454" s="2">
        <f t="shared" si="36"/>
        <v>5.7477132363740893</v>
      </c>
      <c r="D454" s="2">
        <f t="shared" si="38"/>
        <v>5.7452231256554152</v>
      </c>
      <c r="E454" s="2">
        <f t="shared" si="37"/>
        <v>2.49011071867411E-3</v>
      </c>
      <c r="F454" s="2">
        <f t="shared" si="41"/>
        <v>-3.0613638472229303E-2</v>
      </c>
      <c r="G454" s="2">
        <f t="shared" si="39"/>
        <v>3.3103749190903413E-2</v>
      </c>
      <c r="H454" s="2" t="str">
        <f t="shared" si="40"/>
        <v>Sell</v>
      </c>
    </row>
    <row r="455" spans="1:8" ht="13.5" x14ac:dyDescent="0.25">
      <c r="A455" s="3">
        <f>TITRES_STAT!B458</f>
        <v>45581</v>
      </c>
      <c r="B455" s="5">
        <f>TITRES_STAT!D458</f>
        <v>5.7750000000000004</v>
      </c>
      <c r="C455" s="2">
        <f t="shared" si="36"/>
        <v>5.7591419692396135</v>
      </c>
      <c r="D455" s="2">
        <f t="shared" si="38"/>
        <v>5.7474288200513106</v>
      </c>
      <c r="E455" s="2">
        <f t="shared" si="37"/>
        <v>1.1713149188302907E-2</v>
      </c>
      <c r="F455" s="2">
        <f t="shared" si="41"/>
        <v>-2.2148280940122861E-2</v>
      </c>
      <c r="G455" s="2">
        <f t="shared" si="39"/>
        <v>3.3861430128425768E-2</v>
      </c>
      <c r="H455" s="2" t="str">
        <f t="shared" si="40"/>
        <v>Sell</v>
      </c>
    </row>
    <row r="456" spans="1:8" ht="13.5" x14ac:dyDescent="0.25">
      <c r="A456" s="3">
        <f>TITRES_STAT!B459</f>
        <v>45582</v>
      </c>
      <c r="B456" s="5">
        <f>TITRES_STAT!D459</f>
        <v>5.7750000000000004</v>
      </c>
      <c r="C456" s="2">
        <f t="shared" si="36"/>
        <v>5.7672739739719816</v>
      </c>
      <c r="D456" s="2">
        <f t="shared" si="38"/>
        <v>5.7494711296771399</v>
      </c>
      <c r="E456" s="2">
        <f t="shared" si="37"/>
        <v>1.7802844294841691E-2</v>
      </c>
      <c r="F456" s="2">
        <f t="shared" si="41"/>
        <v>-1.4158055893129951E-2</v>
      </c>
      <c r="G456" s="2">
        <f t="shared" si="39"/>
        <v>3.1960900187971639E-2</v>
      </c>
      <c r="H456" s="2" t="str">
        <f t="shared" si="40"/>
        <v>Sell</v>
      </c>
    </row>
    <row r="457" spans="1:8" ht="13.5" x14ac:dyDescent="0.25">
      <c r="A457" s="3">
        <f>TITRES_STAT!B460</f>
        <v>45583</v>
      </c>
      <c r="B457" s="5">
        <f>TITRES_STAT!D460</f>
        <v>5.85</v>
      </c>
      <c r="C457" s="2">
        <f t="shared" si="36"/>
        <v>5.7684625933609075</v>
      </c>
      <c r="D457" s="2">
        <f t="shared" si="38"/>
        <v>5.756917712664019</v>
      </c>
      <c r="E457" s="2">
        <f t="shared" si="37"/>
        <v>1.1544880696888526E-2</v>
      </c>
      <c r="F457" s="2">
        <f t="shared" si="41"/>
        <v>-9.0174685751262564E-3</v>
      </c>
      <c r="G457" s="2">
        <f t="shared" si="39"/>
        <v>2.0562349272014783E-2</v>
      </c>
      <c r="H457" s="2" t="str">
        <f t="shared" si="40"/>
        <v>Sell</v>
      </c>
    </row>
    <row r="458" spans="1:8" ht="13.5" x14ac:dyDescent="0.25">
      <c r="A458" s="3">
        <f>TITRES_STAT!B461</f>
        <v>45586</v>
      </c>
      <c r="B458" s="5">
        <f>TITRES_STAT!D461</f>
        <v>5.8120000000000003</v>
      </c>
      <c r="C458" s="2">
        <f t="shared" si="36"/>
        <v>5.7694683482284601</v>
      </c>
      <c r="D458" s="2">
        <f t="shared" si="38"/>
        <v>5.7609978820963139</v>
      </c>
      <c r="E458" s="2">
        <f t="shared" si="37"/>
        <v>8.4704661321461927E-3</v>
      </c>
      <c r="F458" s="2">
        <f t="shared" si="41"/>
        <v>-5.5198816336717669E-3</v>
      </c>
      <c r="G458" s="2">
        <f t="shared" si="39"/>
        <v>1.399034776581796E-2</v>
      </c>
      <c r="H458" s="2" t="str">
        <f t="shared" si="40"/>
        <v>Sell</v>
      </c>
    </row>
    <row r="459" spans="1:8" ht="13.5" x14ac:dyDescent="0.25">
      <c r="A459" s="3">
        <f>TITRES_STAT!B462</f>
        <v>45587</v>
      </c>
      <c r="B459" s="5">
        <f>TITRES_STAT!D462</f>
        <v>5.8220000000000001</v>
      </c>
      <c r="C459" s="2">
        <f t="shared" si="36"/>
        <v>5.7775501408086969</v>
      </c>
      <c r="D459" s="2">
        <f t="shared" si="38"/>
        <v>5.7655165574965865</v>
      </c>
      <c r="E459" s="2">
        <f t="shared" si="37"/>
        <v>1.2033583312110352E-2</v>
      </c>
      <c r="F459" s="2">
        <f t="shared" si="41"/>
        <v>-2.0091886445153429E-3</v>
      </c>
      <c r="G459" s="2">
        <f t="shared" si="39"/>
        <v>1.4042771956625694E-2</v>
      </c>
      <c r="H459" s="2" t="str">
        <f t="shared" si="40"/>
        <v>Sell</v>
      </c>
    </row>
    <row r="460" spans="1:8" ht="13.5" x14ac:dyDescent="0.25">
      <c r="A460" s="3">
        <f>TITRES_STAT!B463</f>
        <v>45588</v>
      </c>
      <c r="B460" s="5">
        <f>TITRES_STAT!D463</f>
        <v>5.7750000000000004</v>
      </c>
      <c r="C460" s="2">
        <f t="shared" si="36"/>
        <v>5.7597731960688971</v>
      </c>
      <c r="D460" s="2">
        <f t="shared" si="38"/>
        <v>5.7662190347190618</v>
      </c>
      <c r="E460" s="2">
        <f t="shared" si="37"/>
        <v>-6.4458386501646814E-3</v>
      </c>
      <c r="F460" s="2">
        <f t="shared" si="41"/>
        <v>-2.8965186456452107E-3</v>
      </c>
      <c r="G460" s="2">
        <f t="shared" si="39"/>
        <v>-3.5493200045194706E-3</v>
      </c>
      <c r="H460" s="2" t="str">
        <f t="shared" si="40"/>
        <v>Hold</v>
      </c>
    </row>
    <row r="461" spans="1:8" ht="13.5" x14ac:dyDescent="0.25">
      <c r="A461" s="3">
        <f>TITRES_STAT!B464</f>
        <v>45589</v>
      </c>
      <c r="B461" s="5">
        <f>TITRES_STAT!D464</f>
        <v>5.8689999999999998</v>
      </c>
      <c r="C461" s="2">
        <f t="shared" si="36"/>
        <v>5.7621157812890669</v>
      </c>
      <c r="D461" s="2">
        <f t="shared" si="38"/>
        <v>5.7738324395546865</v>
      </c>
      <c r="E461" s="2">
        <f t="shared" si="37"/>
        <v>-1.1716658265619628E-2</v>
      </c>
      <c r="F461" s="2">
        <f t="shared" si="41"/>
        <v>-4.6605465696400944E-3</v>
      </c>
      <c r="G461" s="2">
        <f t="shared" si="39"/>
        <v>-7.0561116959795339E-3</v>
      </c>
      <c r="H461" s="2" t="str">
        <f t="shared" si="40"/>
        <v>Hold</v>
      </c>
    </row>
    <row r="462" spans="1:8" ht="13.5" x14ac:dyDescent="0.25">
      <c r="A462" s="3">
        <f>TITRES_STAT!B465</f>
        <v>45590</v>
      </c>
      <c r="B462" s="5">
        <f>TITRES_STAT!D465</f>
        <v>5.8689999999999998</v>
      </c>
      <c r="C462" s="2">
        <f t="shared" si="36"/>
        <v>5.7640979687830569</v>
      </c>
      <c r="D462" s="2">
        <f t="shared" si="38"/>
        <v>5.7808818884765616</v>
      </c>
      <c r="E462" s="2">
        <f t="shared" si="37"/>
        <v>-1.6783919693504679E-2</v>
      </c>
      <c r="F462" s="2">
        <f t="shared" si="41"/>
        <v>-7.0852211944130118E-3</v>
      </c>
      <c r="G462" s="2">
        <f t="shared" si="39"/>
        <v>-9.698698499091666E-3</v>
      </c>
      <c r="H462" s="2" t="str">
        <f t="shared" si="40"/>
        <v>Hold</v>
      </c>
    </row>
    <row r="463" spans="1:8" ht="13.5" x14ac:dyDescent="0.25">
      <c r="A463" s="3">
        <f>TITRES_STAT!B466</f>
        <v>45593</v>
      </c>
      <c r="B463" s="5">
        <f>TITRES_STAT!D466</f>
        <v>5.8689999999999998</v>
      </c>
      <c r="C463" s="2">
        <f t="shared" ref="C463:C526" si="42">$C$4*B453+C462*(1-$C$4)</f>
        <v>5.7773136658933559</v>
      </c>
      <c r="D463" s="2">
        <f t="shared" si="38"/>
        <v>5.7874091559968157</v>
      </c>
      <c r="E463" s="2">
        <f t="shared" si="37"/>
        <v>-1.0095490103459781E-2</v>
      </c>
      <c r="F463" s="2">
        <f t="shared" si="41"/>
        <v>-7.687274976222366E-3</v>
      </c>
      <c r="G463" s="2">
        <f t="shared" si="39"/>
        <v>-2.4082151272374151E-3</v>
      </c>
      <c r="H463" s="2" t="str">
        <f t="shared" si="40"/>
        <v>Hold</v>
      </c>
    </row>
    <row r="464" spans="1:8" ht="13.5" x14ac:dyDescent="0.25">
      <c r="A464" s="3">
        <f>TITRES_STAT!B467</f>
        <v>45594</v>
      </c>
      <c r="B464" s="5">
        <f>TITRES_STAT!D467</f>
        <v>5.8689999999999998</v>
      </c>
      <c r="C464" s="2">
        <f t="shared" si="42"/>
        <v>5.7668038711405316</v>
      </c>
      <c r="D464" s="2">
        <f t="shared" si="38"/>
        <v>5.7934529222192737</v>
      </c>
      <c r="E464" s="2">
        <f t="shared" si="37"/>
        <v>-2.6649051078742048E-2</v>
      </c>
      <c r="F464" s="2">
        <f t="shared" si="41"/>
        <v>-1.1479630196726303E-2</v>
      </c>
      <c r="G464" s="2">
        <f t="shared" si="39"/>
        <v>-1.5169420882015745E-2</v>
      </c>
      <c r="H464" s="2" t="str">
        <f t="shared" si="40"/>
        <v>Hold</v>
      </c>
    </row>
    <row r="465" spans="1:8" ht="13.5" x14ac:dyDescent="0.25">
      <c r="A465" s="3">
        <f>TITRES_STAT!B468</f>
        <v>45595</v>
      </c>
      <c r="B465" s="5">
        <f>TITRES_STAT!D468</f>
        <v>5.8220000000000001</v>
      </c>
      <c r="C465" s="2">
        <f t="shared" si="42"/>
        <v>5.7680648140419883</v>
      </c>
      <c r="D465" s="2">
        <f t="shared" si="38"/>
        <v>5.7955675205734014</v>
      </c>
      <c r="E465" s="2">
        <f t="shared" si="37"/>
        <v>-2.7502706531413068E-2</v>
      </c>
      <c r="F465" s="2">
        <f t="shared" si="41"/>
        <v>-1.4684245463663658E-2</v>
      </c>
      <c r="G465" s="2">
        <f t="shared" si="39"/>
        <v>-1.281846106774941E-2</v>
      </c>
      <c r="H465" s="2" t="str">
        <f t="shared" si="40"/>
        <v>Hold</v>
      </c>
    </row>
    <row r="466" spans="1:8" ht="13.5" x14ac:dyDescent="0.25">
      <c r="A466" s="3">
        <f>TITRES_STAT!B469</f>
        <v>45596</v>
      </c>
      <c r="B466" s="5">
        <f>TITRES_STAT!D469</f>
        <v>5.8220000000000001</v>
      </c>
      <c r="C466" s="2">
        <f t="shared" si="42"/>
        <v>5.7691317657278365</v>
      </c>
      <c r="D466" s="2">
        <f t="shared" si="38"/>
        <v>5.7975254820124089</v>
      </c>
      <c r="E466" s="2">
        <f t="shared" si="37"/>
        <v>-2.8393716284572434E-2</v>
      </c>
      <c r="F466" s="2">
        <f t="shared" si="41"/>
        <v>-1.7426139627845415E-2</v>
      </c>
      <c r="G466" s="2">
        <f t="shared" si="39"/>
        <v>-1.096757665672702E-2</v>
      </c>
      <c r="H466" s="2" t="str">
        <f t="shared" si="40"/>
        <v>Hold</v>
      </c>
    </row>
    <row r="467" spans="1:8" ht="13.5" x14ac:dyDescent="0.25">
      <c r="A467" s="3">
        <f>TITRES_STAT!B470</f>
        <v>45597</v>
      </c>
      <c r="B467" s="5">
        <f>TITRES_STAT!D470</f>
        <v>5.8220000000000001</v>
      </c>
      <c r="C467" s="2">
        <f t="shared" si="42"/>
        <v>5.7815730325389385</v>
      </c>
      <c r="D467" s="2">
        <f t="shared" si="38"/>
        <v>5.7993384092707494</v>
      </c>
      <c r="E467" s="2">
        <f t="shared" si="37"/>
        <v>-1.7765376731810889E-2</v>
      </c>
      <c r="F467" s="2">
        <f t="shared" si="41"/>
        <v>-1.7493987048638512E-2</v>
      </c>
      <c r="G467" s="2">
        <f t="shared" si="39"/>
        <v>-2.7138968317237666E-4</v>
      </c>
      <c r="H467" s="2" t="str">
        <f t="shared" si="40"/>
        <v>Hold</v>
      </c>
    </row>
    <row r="468" spans="1:8" ht="13.5" x14ac:dyDescent="0.25">
      <c r="A468" s="3">
        <f>TITRES_STAT!B471</f>
        <v>45600</v>
      </c>
      <c r="B468" s="5">
        <f>TITRES_STAT!D471</f>
        <v>5.7750000000000004</v>
      </c>
      <c r="C468" s="2">
        <f t="shared" si="42"/>
        <v>5.7862541044560256</v>
      </c>
      <c r="D468" s="2">
        <f t="shared" si="38"/>
        <v>5.7975355641395829</v>
      </c>
      <c r="E468" s="2">
        <f t="shared" si="37"/>
        <v>-1.1281459683557316E-2</v>
      </c>
      <c r="F468" s="2">
        <f t="shared" si="41"/>
        <v>-1.6251481575622274E-2</v>
      </c>
      <c r="G468" s="2">
        <f t="shared" si="39"/>
        <v>4.9700218920649582E-3</v>
      </c>
      <c r="H468" s="2" t="str">
        <f t="shared" si="40"/>
        <v>Sell</v>
      </c>
    </row>
    <row r="469" spans="1:8" ht="13.5" x14ac:dyDescent="0.25">
      <c r="A469" s="3">
        <f>TITRES_STAT!B472</f>
        <v>45601</v>
      </c>
      <c r="B469" s="5">
        <f>TITRES_STAT!D472</f>
        <v>5.8120000000000003</v>
      </c>
      <c r="C469" s="2">
        <f t="shared" si="42"/>
        <v>5.7917534730012523</v>
      </c>
      <c r="D469" s="2">
        <f t="shared" si="38"/>
        <v>5.7986070038329469</v>
      </c>
      <c r="E469" s="2">
        <f t="shared" si="37"/>
        <v>-6.8535308316945986E-3</v>
      </c>
      <c r="F469" s="2">
        <f t="shared" si="41"/>
        <v>-1.4371891426836739E-2</v>
      </c>
      <c r="G469" s="2">
        <f t="shared" si="39"/>
        <v>7.5183605951421404E-3</v>
      </c>
      <c r="H469" s="2" t="str">
        <f t="shared" si="40"/>
        <v>Sell</v>
      </c>
    </row>
    <row r="470" spans="1:8" ht="13.5" x14ac:dyDescent="0.25">
      <c r="A470" s="3">
        <f>TITRES_STAT!B473</f>
        <v>45602</v>
      </c>
      <c r="B470" s="5">
        <f>TITRES_STAT!D473</f>
        <v>5.7939999999999996</v>
      </c>
      <c r="C470" s="2">
        <f t="shared" si="42"/>
        <v>5.7891760156164445</v>
      </c>
      <c r="D470" s="2">
        <f t="shared" si="38"/>
        <v>5.7982657442897656</v>
      </c>
      <c r="E470" s="2">
        <f t="shared" si="37"/>
        <v>-9.0897286733211402E-3</v>
      </c>
      <c r="F470" s="2">
        <f t="shared" si="41"/>
        <v>-1.3315458876133621E-2</v>
      </c>
      <c r="G470" s="2">
        <f t="shared" si="39"/>
        <v>4.2257302028124808E-3</v>
      </c>
      <c r="H470" s="2" t="str">
        <f t="shared" si="40"/>
        <v>Sell</v>
      </c>
    </row>
    <row r="471" spans="1:8" ht="13.5" x14ac:dyDescent="0.25">
      <c r="A471" s="3">
        <f>TITRES_STAT!B474</f>
        <v>45603</v>
      </c>
      <c r="B471" s="5">
        <f>TITRES_STAT!D474</f>
        <v>5.718</v>
      </c>
      <c r="C471" s="2">
        <f t="shared" si="42"/>
        <v>5.8014566285985305</v>
      </c>
      <c r="D471" s="2">
        <f t="shared" si="38"/>
        <v>5.7923201336016348</v>
      </c>
      <c r="E471" s="2">
        <f t="shared" si="37"/>
        <v>9.1364949968957276E-3</v>
      </c>
      <c r="F471" s="2">
        <f t="shared" si="41"/>
        <v>-8.8250681015277516E-3</v>
      </c>
      <c r="G471" s="2">
        <f t="shared" si="39"/>
        <v>1.7961563098423478E-2</v>
      </c>
      <c r="H471" s="2" t="str">
        <f t="shared" si="40"/>
        <v>Sell</v>
      </c>
    </row>
    <row r="472" spans="1:8" ht="13.5" x14ac:dyDescent="0.25">
      <c r="A472" s="3">
        <f>TITRES_STAT!B475</f>
        <v>45604</v>
      </c>
      <c r="B472" s="5">
        <f>TITRES_STAT!D475</f>
        <v>5.8029999999999999</v>
      </c>
      <c r="C472" s="2">
        <f t="shared" si="42"/>
        <v>5.8118479165064487</v>
      </c>
      <c r="D472" s="2">
        <f t="shared" si="38"/>
        <v>5.7931112348163278</v>
      </c>
      <c r="E472" s="2">
        <f t="shared" si="37"/>
        <v>1.8736681690120882E-2</v>
      </c>
      <c r="F472" s="2">
        <f t="shared" si="41"/>
        <v>-3.3127181431980247E-3</v>
      </c>
      <c r="G472" s="2">
        <f t="shared" si="39"/>
        <v>2.2049399833318908E-2</v>
      </c>
      <c r="H472" s="2" t="str">
        <f t="shared" si="40"/>
        <v>Sell</v>
      </c>
    </row>
    <row r="473" spans="1:8" ht="13.5" x14ac:dyDescent="0.25">
      <c r="A473" s="3">
        <f>TITRES_STAT!B476</f>
        <v>45607</v>
      </c>
      <c r="B473" s="5">
        <f>TITRES_STAT!D476</f>
        <v>5.8689999999999998</v>
      </c>
      <c r="C473" s="2">
        <f t="shared" si="42"/>
        <v>5.8206405447362259</v>
      </c>
      <c r="D473" s="2">
        <f t="shared" si="38"/>
        <v>5.7987326248299329</v>
      </c>
      <c r="E473" s="2">
        <f t="shared" si="37"/>
        <v>2.1907919906293039E-2</v>
      </c>
      <c r="F473" s="2">
        <f t="shared" si="41"/>
        <v>1.7314094667001878E-3</v>
      </c>
      <c r="G473" s="2">
        <f t="shared" si="39"/>
        <v>2.017651043959285E-2</v>
      </c>
      <c r="H473" s="2" t="str">
        <f t="shared" si="40"/>
        <v>Sell</v>
      </c>
    </row>
    <row r="474" spans="1:8" ht="13.5" x14ac:dyDescent="0.25">
      <c r="A474" s="3">
        <f>TITRES_STAT!B477</f>
        <v>45608</v>
      </c>
      <c r="B474" s="5">
        <f>TITRES_STAT!D477</f>
        <v>5.8410000000000002</v>
      </c>
      <c r="C474" s="2">
        <f t="shared" si="42"/>
        <v>5.8280804609306527</v>
      </c>
      <c r="D474" s="2">
        <f t="shared" si="38"/>
        <v>5.8018635415091975</v>
      </c>
      <c r="E474" s="2">
        <f t="shared" si="37"/>
        <v>2.6216919421455209E-2</v>
      </c>
      <c r="F474" s="2">
        <f t="shared" si="41"/>
        <v>6.6285114576511922E-3</v>
      </c>
      <c r="G474" s="2">
        <f t="shared" si="39"/>
        <v>1.9588407963804018E-2</v>
      </c>
      <c r="H474" s="2" t="str">
        <f t="shared" si="40"/>
        <v>Sell</v>
      </c>
    </row>
    <row r="475" spans="1:8" ht="13.5" x14ac:dyDescent="0.25">
      <c r="A475" s="3">
        <f>TITRES_STAT!B478</f>
        <v>45609</v>
      </c>
      <c r="B475" s="5">
        <f>TITRES_STAT!D478</f>
        <v>5.8120000000000003</v>
      </c>
      <c r="C475" s="2">
        <f t="shared" si="42"/>
        <v>5.8271450054028602</v>
      </c>
      <c r="D475" s="2">
        <f t="shared" si="38"/>
        <v>5.8026143902862941</v>
      </c>
      <c r="E475" s="2">
        <f t="shared" si="37"/>
        <v>2.4530615116566068E-2</v>
      </c>
      <c r="F475" s="2">
        <f t="shared" si="41"/>
        <v>1.0208932189434168E-2</v>
      </c>
      <c r="G475" s="2">
        <f t="shared" si="39"/>
        <v>1.43216829271319E-2</v>
      </c>
      <c r="H475" s="2" t="str">
        <f t="shared" si="40"/>
        <v>Sell</v>
      </c>
    </row>
    <row r="476" spans="1:8" ht="13.5" x14ac:dyDescent="0.25">
      <c r="A476" s="3">
        <f>TITRES_STAT!B479</f>
        <v>45610</v>
      </c>
      <c r="B476" s="5">
        <f>TITRES_STAT!D479</f>
        <v>5.8120000000000003</v>
      </c>
      <c r="C476" s="2">
        <f t="shared" si="42"/>
        <v>5.8263534661101124</v>
      </c>
      <c r="D476" s="2">
        <f t="shared" si="38"/>
        <v>5.8033096206354582</v>
      </c>
      <c r="E476" s="2">
        <f t="shared" ref="E476:E539" si="43">C476-D476</f>
        <v>2.3043845474654212E-2</v>
      </c>
      <c r="F476" s="2">
        <f t="shared" si="41"/>
        <v>1.2775914846478179E-2</v>
      </c>
      <c r="G476" s="2">
        <f t="shared" si="39"/>
        <v>1.0267930628176034E-2</v>
      </c>
      <c r="H476" s="2" t="str">
        <f t="shared" si="40"/>
        <v>Sell</v>
      </c>
    </row>
    <row r="477" spans="1:8" ht="13.5" x14ac:dyDescent="0.25">
      <c r="A477" s="3">
        <f>TITRES_STAT!B480</f>
        <v>45611</v>
      </c>
      <c r="B477" s="5">
        <f>TITRES_STAT!D480</f>
        <v>5.8220000000000001</v>
      </c>
      <c r="C477" s="2">
        <f t="shared" si="42"/>
        <v>5.8256837020931718</v>
      </c>
      <c r="D477" s="2">
        <f t="shared" ref="D477:D540" si="44">$D$4*B477+(1-$D$4)*D476</f>
        <v>5.8046940931809798</v>
      </c>
      <c r="E477" s="2">
        <f t="shared" si="43"/>
        <v>2.0989608912191926E-2</v>
      </c>
      <c r="F477" s="2">
        <f t="shared" si="41"/>
        <v>1.4418653659620929E-2</v>
      </c>
      <c r="G477" s="2">
        <f t="shared" si="39"/>
        <v>6.570955252570997E-3</v>
      </c>
      <c r="H477" s="2" t="str">
        <f t="shared" si="40"/>
        <v>Sell</v>
      </c>
    </row>
    <row r="478" spans="1:8" ht="13.5" x14ac:dyDescent="0.25">
      <c r="A478" s="3">
        <f>TITRES_STAT!B481</f>
        <v>45614</v>
      </c>
      <c r="B478" s="5">
        <f>TITRES_STAT!D481</f>
        <v>5.8220000000000001</v>
      </c>
      <c r="C478" s="2">
        <f t="shared" si="42"/>
        <v>5.8178862094634534</v>
      </c>
      <c r="D478" s="2">
        <f t="shared" si="44"/>
        <v>5.8059760122046109</v>
      </c>
      <c r="E478" s="2">
        <f t="shared" si="43"/>
        <v>1.1910197258842459E-2</v>
      </c>
      <c r="F478" s="2">
        <f t="shared" si="41"/>
        <v>1.3916962379465235E-2</v>
      </c>
      <c r="G478" s="2">
        <f t="shared" si="39"/>
        <v>-2.0067651206227763E-3</v>
      </c>
      <c r="H478" s="2" t="str">
        <f t="shared" si="40"/>
        <v>Hold</v>
      </c>
    </row>
    <row r="479" spans="1:8" ht="13.5" x14ac:dyDescent="0.25">
      <c r="A479" s="3">
        <f>TITRES_STAT!B482</f>
        <v>45615</v>
      </c>
      <c r="B479" s="5">
        <f>TITRES_STAT!D482</f>
        <v>5.7939999999999996</v>
      </c>
      <c r="C479" s="2">
        <f t="shared" si="42"/>
        <v>5.8169806387767675</v>
      </c>
      <c r="D479" s="2">
        <f t="shared" si="44"/>
        <v>5.8050889001894541</v>
      </c>
      <c r="E479" s="2">
        <f t="shared" si="43"/>
        <v>1.1891738587313405E-2</v>
      </c>
      <c r="F479" s="2">
        <f t="shared" si="41"/>
        <v>1.3511917621034869E-2</v>
      </c>
      <c r="G479" s="2">
        <f t="shared" si="39"/>
        <v>-1.6201790337214642E-3</v>
      </c>
      <c r="H479" s="2" t="str">
        <f t="shared" si="40"/>
        <v>Hold</v>
      </c>
    </row>
    <row r="480" spans="1:8" ht="13.5" x14ac:dyDescent="0.25">
      <c r="A480" s="3">
        <f>TITRES_STAT!B483</f>
        <v>45616</v>
      </c>
      <c r="B480" s="5">
        <f>TITRES_STAT!D483</f>
        <v>5.7939999999999996</v>
      </c>
      <c r="C480" s="2">
        <f t="shared" si="42"/>
        <v>5.8134451558880347</v>
      </c>
      <c r="D480" s="2">
        <f t="shared" si="44"/>
        <v>5.8042675001754205</v>
      </c>
      <c r="E480" s="2">
        <f t="shared" si="43"/>
        <v>9.1776557126141967E-3</v>
      </c>
      <c r="F480" s="2">
        <f t="shared" si="41"/>
        <v>1.2645065239350734E-2</v>
      </c>
      <c r="G480" s="2">
        <f t="shared" si="39"/>
        <v>-3.4674095267365375E-3</v>
      </c>
      <c r="H480" s="2" t="str">
        <f t="shared" si="40"/>
        <v>Hold</v>
      </c>
    </row>
    <row r="481" spans="1:8" ht="13.5" x14ac:dyDescent="0.25">
      <c r="A481" s="3">
        <f>TITRES_STAT!B484</f>
        <v>45617</v>
      </c>
      <c r="B481" s="5">
        <f>TITRES_STAT!D484</f>
        <v>5.7939999999999996</v>
      </c>
      <c r="C481" s="2">
        <f t="shared" si="42"/>
        <v>5.7987612857514135</v>
      </c>
      <c r="D481" s="2">
        <f t="shared" si="44"/>
        <v>5.8035069446068706</v>
      </c>
      <c r="E481" s="2">
        <f t="shared" si="43"/>
        <v>-4.74565885545708E-3</v>
      </c>
      <c r="F481" s="2">
        <f t="shared" si="41"/>
        <v>9.1669204203891734E-3</v>
      </c>
      <c r="G481" s="2">
        <f t="shared" si="39"/>
        <v>-1.3912579275846253E-2</v>
      </c>
      <c r="H481" s="2" t="str">
        <f t="shared" si="40"/>
        <v>Hold</v>
      </c>
    </row>
    <row r="482" spans="1:8" ht="13.5" x14ac:dyDescent="0.25">
      <c r="A482" s="3">
        <f>TITRES_STAT!B485</f>
        <v>45618</v>
      </c>
      <c r="B482" s="5">
        <f>TITRES_STAT!D485</f>
        <v>5.7750000000000004</v>
      </c>
      <c r="C482" s="2">
        <f t="shared" si="42"/>
        <v>5.7994133956358116</v>
      </c>
      <c r="D482" s="2">
        <f t="shared" si="44"/>
        <v>5.8013953190804362</v>
      </c>
      <c r="E482" s="2">
        <f t="shared" si="43"/>
        <v>-1.9819234446245559E-3</v>
      </c>
      <c r="F482" s="2">
        <f t="shared" si="41"/>
        <v>6.9371516473864274E-3</v>
      </c>
      <c r="G482" s="2">
        <f t="shared" si="39"/>
        <v>-8.9190750920109842E-3</v>
      </c>
      <c r="H482" s="2" t="str">
        <f t="shared" si="40"/>
        <v>Hold</v>
      </c>
    </row>
    <row r="483" spans="1:8" ht="13.5" x14ac:dyDescent="0.25">
      <c r="A483" s="3">
        <f>TITRES_STAT!B486</f>
        <v>45621</v>
      </c>
      <c r="B483" s="5">
        <f>TITRES_STAT!D486</f>
        <v>5.8029999999999999</v>
      </c>
      <c r="C483" s="2">
        <f t="shared" si="42"/>
        <v>5.810119027076456</v>
      </c>
      <c r="D483" s="2">
        <f t="shared" si="44"/>
        <v>5.8015141843337368</v>
      </c>
      <c r="E483" s="2">
        <f t="shared" si="43"/>
        <v>8.6048427427192209E-3</v>
      </c>
      <c r="F483" s="2">
        <f t="shared" si="41"/>
        <v>7.2706898664529861E-3</v>
      </c>
      <c r="G483" s="2">
        <f t="shared" si="39"/>
        <v>1.3341528762662348E-3</v>
      </c>
      <c r="H483" s="2" t="str">
        <f t="shared" si="40"/>
        <v>Sell</v>
      </c>
    </row>
    <row r="484" spans="1:8" ht="13.5" x14ac:dyDescent="0.25">
      <c r="A484" s="3">
        <f>TITRES_STAT!B487</f>
        <v>45622</v>
      </c>
      <c r="B484" s="5">
        <f>TITRES_STAT!D487</f>
        <v>5.7839999999999998</v>
      </c>
      <c r="C484" s="2">
        <f t="shared" si="42"/>
        <v>5.8148699459877697</v>
      </c>
      <c r="D484" s="2">
        <f t="shared" si="44"/>
        <v>5.8002168373460528</v>
      </c>
      <c r="E484" s="2">
        <f t="shared" si="43"/>
        <v>1.4653108641716983E-2</v>
      </c>
      <c r="F484" s="2">
        <f t="shared" si="41"/>
        <v>8.7471736215057865E-3</v>
      </c>
      <c r="G484" s="2">
        <f t="shared" ref="G484:G547" si="45">E484-F484</f>
        <v>5.9059350202111966E-3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45623</v>
      </c>
      <c r="B485" s="5">
        <f>TITRES_STAT!D488</f>
        <v>5.7279999999999998</v>
      </c>
      <c r="C485" s="2">
        <f t="shared" si="42"/>
        <v>5.8144284158358044</v>
      </c>
      <c r="D485" s="2">
        <f t="shared" si="44"/>
        <v>5.7948674419870851</v>
      </c>
      <c r="E485" s="2">
        <f t="shared" si="43"/>
        <v>1.9560973848719243E-2</v>
      </c>
      <c r="F485" s="2">
        <f t="shared" ref="F485:F548" si="47">(E485*(2/(10)))+((1-(2/10))*F484)</f>
        <v>1.0909933666948479E-2</v>
      </c>
      <c r="G485" s="2">
        <f t="shared" si="45"/>
        <v>8.6510401817707638E-3</v>
      </c>
      <c r="H485" s="2" t="str">
        <f t="shared" si="46"/>
        <v>Sell</v>
      </c>
    </row>
    <row r="486" spans="1:8" ht="13.5" x14ac:dyDescent="0.25">
      <c r="A486" s="3">
        <f>TITRES_STAT!B489</f>
        <v>45624</v>
      </c>
      <c r="B486" s="5">
        <f>TITRES_STAT!D489</f>
        <v>5.6340000000000003</v>
      </c>
      <c r="C486" s="2">
        <f t="shared" si="42"/>
        <v>5.814054813399526</v>
      </c>
      <c r="D486" s="2">
        <f t="shared" si="44"/>
        <v>5.7829513351732276</v>
      </c>
      <c r="E486" s="2">
        <f t="shared" si="43"/>
        <v>3.1103478226298442E-2</v>
      </c>
      <c r="F486" s="2">
        <f t="shared" si="47"/>
        <v>1.4948642578818474E-2</v>
      </c>
      <c r="G486" s="2">
        <f t="shared" si="45"/>
        <v>1.6154835647479968E-2</v>
      </c>
      <c r="H486" s="2" t="str">
        <f t="shared" si="46"/>
        <v>Sell</v>
      </c>
    </row>
    <row r="487" spans="1:8" ht="13.5" x14ac:dyDescent="0.25">
      <c r="A487" s="3">
        <f>TITRES_STAT!B490</f>
        <v>45625</v>
      </c>
      <c r="B487" s="5">
        <f>TITRES_STAT!D490</f>
        <v>5.7939999999999996</v>
      </c>
      <c r="C487" s="2">
        <f t="shared" si="42"/>
        <v>5.8152771497995985</v>
      </c>
      <c r="D487" s="2">
        <f t="shared" si="44"/>
        <v>5.7837697547900255</v>
      </c>
      <c r="E487" s="2">
        <f t="shared" si="43"/>
        <v>3.1507395009573003E-2</v>
      </c>
      <c r="F487" s="2">
        <f t="shared" si="47"/>
        <v>1.826039306496938E-2</v>
      </c>
      <c r="G487" s="2">
        <f t="shared" si="45"/>
        <v>1.3247001944603622E-2</v>
      </c>
      <c r="H487" s="2" t="str">
        <f t="shared" si="46"/>
        <v>Sell</v>
      </c>
    </row>
    <row r="488" spans="1:8" ht="13.5" x14ac:dyDescent="0.25">
      <c r="A488" s="3">
        <f>TITRES_STAT!B491</f>
        <v>45628</v>
      </c>
      <c r="B488" s="5">
        <f>TITRES_STAT!D491</f>
        <v>5.7839999999999998</v>
      </c>
      <c r="C488" s="2">
        <f t="shared" si="42"/>
        <v>5.8163114344458142</v>
      </c>
      <c r="D488" s="2">
        <f t="shared" si="44"/>
        <v>5.7837868099907643</v>
      </c>
      <c r="E488" s="2">
        <f t="shared" si="43"/>
        <v>3.2524624455049889E-2</v>
      </c>
      <c r="F488" s="2">
        <f t="shared" si="47"/>
        <v>2.1113239342985483E-2</v>
      </c>
      <c r="G488" s="2">
        <f t="shared" si="45"/>
        <v>1.1411385112064406E-2</v>
      </c>
      <c r="H488" s="2" t="str">
        <f t="shared" si="46"/>
        <v>Sell</v>
      </c>
    </row>
    <row r="489" spans="1:8" ht="13.5" x14ac:dyDescent="0.25">
      <c r="A489" s="3">
        <f>TITRES_STAT!B492</f>
        <v>45629</v>
      </c>
      <c r="B489" s="5">
        <f>TITRES_STAT!D492</f>
        <v>5.7839999999999998</v>
      </c>
      <c r="C489" s="2">
        <f t="shared" si="42"/>
        <v>5.8128789060695354</v>
      </c>
      <c r="D489" s="2">
        <f t="shared" si="44"/>
        <v>5.7838026018433002</v>
      </c>
      <c r="E489" s="2">
        <f t="shared" si="43"/>
        <v>2.9076304226235195E-2</v>
      </c>
      <c r="F489" s="2">
        <f t="shared" si="47"/>
        <v>2.2705852319635424E-2</v>
      </c>
      <c r="G489" s="2">
        <f t="shared" si="45"/>
        <v>6.3704519065997701E-3</v>
      </c>
      <c r="H489" s="2" t="str">
        <f t="shared" si="46"/>
        <v>Sell</v>
      </c>
    </row>
    <row r="490" spans="1:8" ht="13.5" x14ac:dyDescent="0.25">
      <c r="A490" s="3">
        <f>TITRES_STAT!B493</f>
        <v>45630</v>
      </c>
      <c r="B490" s="5">
        <f>TITRES_STAT!D493</f>
        <v>5.7839999999999998</v>
      </c>
      <c r="C490" s="2">
        <f t="shared" si="42"/>
        <v>5.8099744589819151</v>
      </c>
      <c r="D490" s="2">
        <f t="shared" si="44"/>
        <v>5.783817223928982</v>
      </c>
      <c r="E490" s="2">
        <f t="shared" si="43"/>
        <v>2.6157235052933103E-2</v>
      </c>
      <c r="F490" s="2">
        <f t="shared" si="47"/>
        <v>2.3396128866294962E-2</v>
      </c>
      <c r="G490" s="2">
        <f t="shared" si="45"/>
        <v>2.7611061866381417E-3</v>
      </c>
      <c r="H490" s="2" t="str">
        <f t="shared" si="46"/>
        <v>Sell</v>
      </c>
    </row>
    <row r="491" spans="1:8" ht="13.5" x14ac:dyDescent="0.25">
      <c r="A491" s="3">
        <f>TITRES_STAT!B494</f>
        <v>45631</v>
      </c>
      <c r="B491" s="5">
        <f>TITRES_STAT!D494</f>
        <v>5.7839999999999998</v>
      </c>
      <c r="C491" s="2">
        <f t="shared" si="42"/>
        <v>5.8075168499077749</v>
      </c>
      <c r="D491" s="2">
        <f t="shared" si="44"/>
        <v>5.7838307628972059</v>
      </c>
      <c r="E491" s="2">
        <f t="shared" si="43"/>
        <v>2.3686087010569068E-2</v>
      </c>
      <c r="F491" s="2">
        <f t="shared" si="47"/>
        <v>2.3454120495149784E-2</v>
      </c>
      <c r="G491" s="2">
        <f t="shared" si="45"/>
        <v>2.3196651541928376E-4</v>
      </c>
      <c r="H491" s="2" t="str">
        <f t="shared" si="46"/>
        <v>Sell</v>
      </c>
    </row>
    <row r="492" spans="1:8" ht="13.5" x14ac:dyDescent="0.25">
      <c r="A492" s="3">
        <f>TITRES_STAT!B495</f>
        <v>45632</v>
      </c>
      <c r="B492" s="5">
        <f>TITRES_STAT!D495</f>
        <v>5.8220000000000001</v>
      </c>
      <c r="C492" s="2">
        <f t="shared" si="42"/>
        <v>5.8025142576142716</v>
      </c>
      <c r="D492" s="2">
        <f t="shared" si="44"/>
        <v>5.7866581137937088</v>
      </c>
      <c r="E492" s="2">
        <f t="shared" si="43"/>
        <v>1.5856143820562885E-2</v>
      </c>
      <c r="F492" s="2">
        <f t="shared" si="47"/>
        <v>2.1934525160232407E-2</v>
      </c>
      <c r="G492" s="2">
        <f t="shared" si="45"/>
        <v>-6.0783813396695224E-3</v>
      </c>
      <c r="H492" s="2" t="str">
        <f t="shared" si="46"/>
        <v>Hold</v>
      </c>
    </row>
    <row r="493" spans="1:8" ht="13.5" x14ac:dyDescent="0.25">
      <c r="A493" s="3">
        <f>TITRES_STAT!B496</f>
        <v>45635</v>
      </c>
      <c r="B493" s="5">
        <f>TITRES_STAT!D496</f>
        <v>5.9160000000000004</v>
      </c>
      <c r="C493" s="2">
        <f t="shared" si="42"/>
        <v>5.8025889872120757</v>
      </c>
      <c r="D493" s="2">
        <f t="shared" si="44"/>
        <v>5.796238994253434</v>
      </c>
      <c r="E493" s="2">
        <f t="shared" si="43"/>
        <v>6.3499929586416926E-3</v>
      </c>
      <c r="F493" s="2">
        <f t="shared" si="47"/>
        <v>1.8817618719914265E-2</v>
      </c>
      <c r="G493" s="2">
        <f t="shared" si="45"/>
        <v>-1.2467625761272572E-2</v>
      </c>
      <c r="H493" s="2" t="str">
        <f t="shared" si="46"/>
        <v>Hold</v>
      </c>
    </row>
    <row r="494" spans="1:8" ht="13.5" x14ac:dyDescent="0.25">
      <c r="A494" s="3">
        <f>TITRES_STAT!B497</f>
        <v>45636</v>
      </c>
      <c r="B494" s="5">
        <f>TITRES_STAT!D497</f>
        <v>5.9059999999999997</v>
      </c>
      <c r="C494" s="2">
        <f t="shared" si="42"/>
        <v>5.7997291430256022</v>
      </c>
      <c r="D494" s="2">
        <f t="shared" si="44"/>
        <v>5.8043694391235503</v>
      </c>
      <c r="E494" s="2">
        <f t="shared" si="43"/>
        <v>-4.6402960979481378E-3</v>
      </c>
      <c r="F494" s="2">
        <f t="shared" si="47"/>
        <v>1.4126035756341785E-2</v>
      </c>
      <c r="G494" s="2">
        <f t="shared" si="45"/>
        <v>-1.8766331854289921E-2</v>
      </c>
      <c r="H494" s="2" t="str">
        <f t="shared" si="46"/>
        <v>Hold</v>
      </c>
    </row>
    <row r="495" spans="1:8" ht="13.5" x14ac:dyDescent="0.25">
      <c r="A495" s="3">
        <f>TITRES_STAT!B498</f>
        <v>45637</v>
      </c>
      <c r="B495" s="5">
        <f>TITRES_STAT!D498</f>
        <v>5.9059999999999997</v>
      </c>
      <c r="C495" s="2">
        <f t="shared" si="42"/>
        <v>5.788693890252433</v>
      </c>
      <c r="D495" s="2">
        <f t="shared" si="44"/>
        <v>5.8118976288181017</v>
      </c>
      <c r="E495" s="2">
        <f t="shared" si="43"/>
        <v>-2.3203738565668708E-2</v>
      </c>
      <c r="F495" s="2">
        <f t="shared" si="47"/>
        <v>6.6600808919396858E-3</v>
      </c>
      <c r="G495" s="2">
        <f t="shared" si="45"/>
        <v>-2.9863819457608395E-2</v>
      </c>
      <c r="H495" s="2" t="str">
        <f t="shared" si="46"/>
        <v>Hold</v>
      </c>
    </row>
    <row r="496" spans="1:8" ht="13.5" x14ac:dyDescent="0.25">
      <c r="A496" s="3">
        <f>TITRES_STAT!B499</f>
        <v>45638</v>
      </c>
      <c r="B496" s="5">
        <f>TITRES_STAT!D499</f>
        <v>5.9340000000000002</v>
      </c>
      <c r="C496" s="2">
        <f t="shared" si="42"/>
        <v>5.7648948302135974</v>
      </c>
      <c r="D496" s="2">
        <f t="shared" si="44"/>
        <v>5.8209422489056495</v>
      </c>
      <c r="E496" s="2">
        <f t="shared" si="43"/>
        <v>-5.6047418692052098E-2</v>
      </c>
      <c r="F496" s="2">
        <f t="shared" si="47"/>
        <v>-5.8814190248586713E-3</v>
      </c>
      <c r="G496" s="2">
        <f t="shared" si="45"/>
        <v>-5.0165999667193428E-2</v>
      </c>
      <c r="H496" s="2" t="str">
        <f t="shared" si="46"/>
        <v>Hold</v>
      </c>
    </row>
    <row r="497" spans="1:8" ht="13.5" x14ac:dyDescent="0.25">
      <c r="A497" s="3">
        <f>TITRES_STAT!B500</f>
        <v>45639</v>
      </c>
      <c r="B497" s="5">
        <f>TITRES_STAT!D500</f>
        <v>5.8970000000000002</v>
      </c>
      <c r="C497" s="2">
        <f t="shared" si="42"/>
        <v>5.7693725486422753</v>
      </c>
      <c r="D497" s="2">
        <f t="shared" si="44"/>
        <v>5.8265761563941201</v>
      </c>
      <c r="E497" s="2">
        <f t="shared" si="43"/>
        <v>-5.7203607751844743E-2</v>
      </c>
      <c r="F497" s="2">
        <f t="shared" si="47"/>
        <v>-1.6145856770255887E-2</v>
      </c>
      <c r="G497" s="2">
        <f t="shared" si="45"/>
        <v>-4.1057750981588856E-2</v>
      </c>
      <c r="H497" s="2" t="str">
        <f t="shared" si="46"/>
        <v>Hold</v>
      </c>
    </row>
    <row r="498" spans="1:8" ht="13.5" x14ac:dyDescent="0.25">
      <c r="A498" s="3">
        <f>TITRES_STAT!B501</f>
        <v>45642</v>
      </c>
      <c r="B498" s="5">
        <f>TITRES_STAT!D501</f>
        <v>5.8869999999999996</v>
      </c>
      <c r="C498" s="2">
        <f t="shared" si="42"/>
        <v>5.7716229257742331</v>
      </c>
      <c r="D498" s="2">
        <f t="shared" si="44"/>
        <v>5.8310519966612215</v>
      </c>
      <c r="E498" s="2">
        <f t="shared" si="43"/>
        <v>-5.9429070886988455E-2</v>
      </c>
      <c r="F498" s="2">
        <f t="shared" si="47"/>
        <v>-2.4802499593602402E-2</v>
      </c>
      <c r="G498" s="2">
        <f t="shared" si="45"/>
        <v>-3.4626571293386053E-2</v>
      </c>
      <c r="H498" s="2" t="str">
        <f t="shared" si="46"/>
        <v>Hold</v>
      </c>
    </row>
    <row r="499" spans="1:8" ht="13.5" x14ac:dyDescent="0.25">
      <c r="A499" s="3">
        <f>TITRES_STAT!B502</f>
        <v>45644</v>
      </c>
      <c r="B499" s="5">
        <f>TITRES_STAT!D502</f>
        <v>5.7939999999999996</v>
      </c>
      <c r="C499" s="2">
        <f t="shared" si="42"/>
        <v>5.7735270910397354</v>
      </c>
      <c r="D499" s="2">
        <f t="shared" si="44"/>
        <v>5.8283074043159457</v>
      </c>
      <c r="E499" s="2">
        <f t="shared" si="43"/>
        <v>-5.4780313276210357E-2</v>
      </c>
      <c r="F499" s="2">
        <f t="shared" si="47"/>
        <v>-3.0798062330123995E-2</v>
      </c>
      <c r="G499" s="2">
        <f t="shared" si="45"/>
        <v>-2.3982250946086362E-2</v>
      </c>
      <c r="H499" s="2" t="str">
        <f t="shared" si="46"/>
        <v>Hold</v>
      </c>
    </row>
    <row r="500" spans="1:8" ht="13.5" x14ac:dyDescent="0.25">
      <c r="A500" s="3">
        <f>TITRES_STAT!B503</f>
        <v>45645</v>
      </c>
      <c r="B500" s="5">
        <f>TITRES_STAT!D503</f>
        <v>5.8120000000000003</v>
      </c>
      <c r="C500" s="2">
        <f t="shared" si="42"/>
        <v>5.7751383078028526</v>
      </c>
      <c r="D500" s="2">
        <f t="shared" si="44"/>
        <v>5.8270994484406913</v>
      </c>
      <c r="E500" s="2">
        <f t="shared" si="43"/>
        <v>-5.1961140637838632E-2</v>
      </c>
      <c r="F500" s="2">
        <f t="shared" si="47"/>
        <v>-3.5030677991666925E-2</v>
      </c>
      <c r="G500" s="2">
        <f t="shared" si="45"/>
        <v>-1.6930462646171707E-2</v>
      </c>
      <c r="H500" s="2" t="str">
        <f t="shared" si="46"/>
        <v>Hold</v>
      </c>
    </row>
    <row r="501" spans="1:8" ht="13.5" x14ac:dyDescent="0.25">
      <c r="A501" s="3">
        <f>TITRES_STAT!B504</f>
        <v>45646</v>
      </c>
      <c r="B501" s="5">
        <f>TITRES_STAT!D504</f>
        <v>5.8120000000000003</v>
      </c>
      <c r="C501" s="2">
        <f t="shared" si="42"/>
        <v>5.7765016450639521</v>
      </c>
      <c r="D501" s="2">
        <f t="shared" si="44"/>
        <v>5.8259809707784171</v>
      </c>
      <c r="E501" s="2">
        <f t="shared" si="43"/>
        <v>-4.9479325714465006E-2</v>
      </c>
      <c r="F501" s="2">
        <f t="shared" si="47"/>
        <v>-3.7920407536226546E-2</v>
      </c>
      <c r="G501" s="2">
        <f t="shared" si="45"/>
        <v>-1.155891817823846E-2</v>
      </c>
      <c r="H501" s="2" t="str">
        <f t="shared" si="46"/>
        <v>Hold</v>
      </c>
    </row>
    <row r="502" spans="1:8" ht="13.5" x14ac:dyDescent="0.25">
      <c r="A502" s="3">
        <f>TITRES_STAT!B505</f>
        <v>45649</v>
      </c>
      <c r="B502" s="5">
        <f>TITRES_STAT!D505</f>
        <v>5.8120000000000003</v>
      </c>
      <c r="C502" s="2">
        <f t="shared" si="42"/>
        <v>5.7835013919771905</v>
      </c>
      <c r="D502" s="2">
        <f t="shared" si="44"/>
        <v>5.8249453433133489</v>
      </c>
      <c r="E502" s="2">
        <f t="shared" si="43"/>
        <v>-4.1443951336158413E-2</v>
      </c>
      <c r="F502" s="2">
        <f t="shared" si="47"/>
        <v>-3.8625116296212923E-2</v>
      </c>
      <c r="G502" s="2">
        <f t="shared" si="45"/>
        <v>-2.8188350399454901E-3</v>
      </c>
      <c r="H502" s="2" t="str">
        <f t="shared" si="46"/>
        <v>Hold</v>
      </c>
    </row>
    <row r="503" spans="1:8" ht="13.5" x14ac:dyDescent="0.25">
      <c r="A503" s="3">
        <f>TITRES_STAT!B506</f>
        <v>45650</v>
      </c>
      <c r="B503" s="5">
        <f>TITRES_STAT!D506</f>
        <v>5.7839999999999998</v>
      </c>
      <c r="C503" s="2">
        <f t="shared" si="42"/>
        <v>5.8038857932114691</v>
      </c>
      <c r="D503" s="2">
        <f t="shared" si="44"/>
        <v>5.8219123549197676</v>
      </c>
      <c r="E503" s="2">
        <f t="shared" si="43"/>
        <v>-1.8026561708298416E-2</v>
      </c>
      <c r="F503" s="2">
        <f t="shared" si="47"/>
        <v>-3.4505405378630026E-2</v>
      </c>
      <c r="G503" s="2">
        <f t="shared" si="45"/>
        <v>1.647884367033161E-2</v>
      </c>
      <c r="H503" s="2" t="str">
        <f t="shared" si="46"/>
        <v>Sell</v>
      </c>
    </row>
    <row r="504" spans="1:8" ht="13.5" x14ac:dyDescent="0.25">
      <c r="A504" s="3">
        <f>TITRES_STAT!B507</f>
        <v>45651</v>
      </c>
      <c r="B504" s="5">
        <f>TITRES_STAT!D507</f>
        <v>5.7939999999999996</v>
      </c>
      <c r="C504" s="2">
        <f t="shared" si="42"/>
        <v>5.8195956711789361</v>
      </c>
      <c r="D504" s="2">
        <f t="shared" si="44"/>
        <v>5.8198447730738589</v>
      </c>
      <c r="E504" s="2">
        <f t="shared" si="43"/>
        <v>-2.4910189492288737E-4</v>
      </c>
      <c r="F504" s="2">
        <f t="shared" si="47"/>
        <v>-2.76541446818886E-2</v>
      </c>
      <c r="G504" s="2">
        <f t="shared" si="45"/>
        <v>2.7405042786965712E-2</v>
      </c>
      <c r="H504" s="2" t="str">
        <f t="shared" si="46"/>
        <v>Sell</v>
      </c>
    </row>
    <row r="505" spans="1:8" ht="13.5" x14ac:dyDescent="0.25">
      <c r="A505" s="3">
        <f>TITRES_STAT!B508</f>
        <v>45652</v>
      </c>
      <c r="B505" s="5">
        <f>TITRES_STAT!D508</f>
        <v>5.7839999999999998</v>
      </c>
      <c r="C505" s="2">
        <f t="shared" si="42"/>
        <v>5.8328886448437149</v>
      </c>
      <c r="D505" s="2">
        <f t="shared" si="44"/>
        <v>5.8171896046980178</v>
      </c>
      <c r="E505" s="2">
        <f t="shared" si="43"/>
        <v>1.5699040145697118E-2</v>
      </c>
      <c r="F505" s="2">
        <f t="shared" si="47"/>
        <v>-1.8983507716371455E-2</v>
      </c>
      <c r="G505" s="2">
        <f t="shared" si="45"/>
        <v>3.4682547862068577E-2</v>
      </c>
      <c r="H505" s="2" t="str">
        <f t="shared" si="46"/>
        <v>Sell</v>
      </c>
    </row>
    <row r="506" spans="1:8" ht="13.5" x14ac:dyDescent="0.25">
      <c r="A506" s="3">
        <f>TITRES_STAT!B509</f>
        <v>45653</v>
      </c>
      <c r="B506" s="5">
        <f>TITRES_STAT!D509</f>
        <v>5.7750000000000004</v>
      </c>
      <c r="C506" s="2">
        <f t="shared" si="42"/>
        <v>5.8484442379446815</v>
      </c>
      <c r="D506" s="2">
        <f t="shared" si="44"/>
        <v>5.8140644487944613</v>
      </c>
      <c r="E506" s="2">
        <f t="shared" si="43"/>
        <v>3.4379789150220219E-2</v>
      </c>
      <c r="F506" s="2">
        <f t="shared" si="47"/>
        <v>-8.3108483430531215E-3</v>
      </c>
      <c r="G506" s="2">
        <f t="shared" si="45"/>
        <v>4.2690637493273342E-2</v>
      </c>
      <c r="H506" s="2" t="str">
        <f t="shared" si="46"/>
        <v>Sell</v>
      </c>
    </row>
    <row r="507" spans="1:8" ht="13.5" x14ac:dyDescent="0.25">
      <c r="A507" s="3">
        <f>TITRES_STAT!B510</f>
        <v>45656</v>
      </c>
      <c r="B507" s="5">
        <f>TITRES_STAT!D510</f>
        <v>5.7750000000000004</v>
      </c>
      <c r="C507" s="2">
        <f t="shared" si="42"/>
        <v>5.8559143551839608</v>
      </c>
      <c r="D507" s="2">
        <f t="shared" si="44"/>
        <v>5.8111707859207975</v>
      </c>
      <c r="E507" s="2">
        <f t="shared" si="43"/>
        <v>4.4743569263163252E-2</v>
      </c>
      <c r="F507" s="2">
        <f t="shared" si="47"/>
        <v>2.3000351781901534E-3</v>
      </c>
      <c r="G507" s="2">
        <f t="shared" si="45"/>
        <v>4.2443534084973096E-2</v>
      </c>
      <c r="H507" s="2" t="str">
        <f t="shared" si="46"/>
        <v>Sell</v>
      </c>
    </row>
    <row r="508" spans="1:8" ht="13.5" x14ac:dyDescent="0.25">
      <c r="A508" s="3">
        <f>TITRES_STAT!B511</f>
        <v>45657</v>
      </c>
      <c r="B508" s="5">
        <f>TITRES_STAT!D511</f>
        <v>5.7750000000000004</v>
      </c>
      <c r="C508" s="2">
        <f t="shared" si="42"/>
        <v>5.860696762078736</v>
      </c>
      <c r="D508" s="2">
        <f t="shared" si="44"/>
        <v>5.8084914684451832</v>
      </c>
      <c r="E508" s="2">
        <f t="shared" si="43"/>
        <v>5.2205293633552863E-2</v>
      </c>
      <c r="F508" s="2">
        <f t="shared" si="47"/>
        <v>1.2281086869262697E-2</v>
      </c>
      <c r="G508" s="2">
        <f t="shared" si="45"/>
        <v>3.9924206764290163E-2</v>
      </c>
      <c r="H508" s="2" t="str">
        <f t="shared" si="46"/>
        <v>Sell</v>
      </c>
    </row>
    <row r="509" spans="1:8" ht="13.5" x14ac:dyDescent="0.25">
      <c r="A509" s="3">
        <f>TITRES_STAT!B512</f>
        <v>45659</v>
      </c>
      <c r="B509" s="5">
        <f>TITRES_STAT!D512</f>
        <v>5.7750000000000004</v>
      </c>
      <c r="C509" s="2">
        <f t="shared" si="42"/>
        <v>5.8504357217589309</v>
      </c>
      <c r="D509" s="2">
        <f t="shared" si="44"/>
        <v>5.806010618930725</v>
      </c>
      <c r="E509" s="2">
        <f t="shared" si="43"/>
        <v>4.4425102828205887E-2</v>
      </c>
      <c r="F509" s="2">
        <f t="shared" si="47"/>
        <v>1.8709890061051337E-2</v>
      </c>
      <c r="G509" s="2">
        <f t="shared" si="45"/>
        <v>2.5715212767154549E-2</v>
      </c>
      <c r="H509" s="2" t="str">
        <f t="shared" si="46"/>
        <v>Sell</v>
      </c>
    </row>
    <row r="510" spans="1:8" ht="13.5" x14ac:dyDescent="0.25">
      <c r="A510" s="3">
        <f>TITRES_STAT!B513</f>
        <v>45660</v>
      </c>
      <c r="B510" s="5">
        <f>TITRES_STAT!D513</f>
        <v>5.7750000000000004</v>
      </c>
      <c r="C510" s="2">
        <f t="shared" si="42"/>
        <v>5.8445225337960185</v>
      </c>
      <c r="D510" s="2">
        <f t="shared" si="44"/>
        <v>5.8037135360469678</v>
      </c>
      <c r="E510" s="2">
        <f t="shared" si="43"/>
        <v>4.0808997749050668E-2</v>
      </c>
      <c r="F510" s="2">
        <f t="shared" si="47"/>
        <v>2.3129711598651202E-2</v>
      </c>
      <c r="G510" s="2">
        <f t="shared" si="45"/>
        <v>1.7679286150399466E-2</v>
      </c>
      <c r="H510" s="2" t="str">
        <f t="shared" si="46"/>
        <v>Sell</v>
      </c>
    </row>
    <row r="511" spans="1:8" ht="13.5" x14ac:dyDescent="0.25">
      <c r="A511" s="3">
        <f>TITRES_STAT!B514</f>
        <v>45663</v>
      </c>
      <c r="B511" s="5">
        <f>TITRES_STAT!D514</f>
        <v>5.718</v>
      </c>
      <c r="C511" s="2">
        <f t="shared" si="42"/>
        <v>5.8395190670581698</v>
      </c>
      <c r="D511" s="2">
        <f t="shared" si="44"/>
        <v>5.7973643852286738</v>
      </c>
      <c r="E511" s="2">
        <f t="shared" si="43"/>
        <v>4.2154681829495999E-2</v>
      </c>
      <c r="F511" s="2">
        <f t="shared" si="47"/>
        <v>2.6934705644820162E-2</v>
      </c>
      <c r="G511" s="2">
        <f t="shared" si="45"/>
        <v>1.5219976184675837E-2</v>
      </c>
      <c r="H511" s="2" t="str">
        <f t="shared" si="46"/>
        <v>Sell</v>
      </c>
    </row>
    <row r="512" spans="1:8" ht="13.5" x14ac:dyDescent="0.25">
      <c r="A512" s="3">
        <f>TITRES_STAT!B515</f>
        <v>45664</v>
      </c>
      <c r="B512" s="5">
        <f>TITRES_STAT!D515</f>
        <v>5.7</v>
      </c>
      <c r="C512" s="2">
        <f t="shared" si="42"/>
        <v>5.8352853644338367</v>
      </c>
      <c r="D512" s="2">
        <f t="shared" si="44"/>
        <v>5.7901522085450683</v>
      </c>
      <c r="E512" s="2">
        <f t="shared" si="43"/>
        <v>4.5133155888768428E-2</v>
      </c>
      <c r="F512" s="2">
        <f t="shared" si="47"/>
        <v>3.057439569360982E-2</v>
      </c>
      <c r="G512" s="2">
        <f t="shared" si="45"/>
        <v>1.4558760195158608E-2</v>
      </c>
      <c r="H512" s="2" t="str">
        <f t="shared" si="46"/>
        <v>Sell</v>
      </c>
    </row>
    <row r="513" spans="1:8" ht="13.5" x14ac:dyDescent="0.25">
      <c r="A513" s="3">
        <f>TITRES_STAT!B516</f>
        <v>45665</v>
      </c>
      <c r="B513" s="5">
        <f>TITRES_STAT!D516</f>
        <v>5.8120000000000003</v>
      </c>
      <c r="C513" s="2">
        <f t="shared" si="42"/>
        <v>5.8273953083670929</v>
      </c>
      <c r="D513" s="2">
        <f t="shared" si="44"/>
        <v>5.7917705634676562</v>
      </c>
      <c r="E513" s="2">
        <f t="shared" si="43"/>
        <v>3.5624744899436678E-2</v>
      </c>
      <c r="F513" s="2">
        <f t="shared" si="47"/>
        <v>3.1584465534775195E-2</v>
      </c>
      <c r="G513" s="2">
        <f t="shared" si="45"/>
        <v>4.0402793646614824E-3</v>
      </c>
      <c r="H513" s="2" t="str">
        <f t="shared" si="46"/>
        <v>Sell</v>
      </c>
    </row>
    <row r="514" spans="1:8" ht="13.5" x14ac:dyDescent="0.25">
      <c r="A514" s="3">
        <f>TITRES_STAT!B517</f>
        <v>45666</v>
      </c>
      <c r="B514" s="5">
        <f>TITRES_STAT!D517</f>
        <v>5.8120000000000003</v>
      </c>
      <c r="C514" s="2">
        <f t="shared" si="42"/>
        <v>5.8222575686183093</v>
      </c>
      <c r="D514" s="2">
        <f t="shared" si="44"/>
        <v>5.7932690402478304</v>
      </c>
      <c r="E514" s="2">
        <f t="shared" si="43"/>
        <v>2.8988528370478939E-2</v>
      </c>
      <c r="F514" s="2">
        <f t="shared" si="47"/>
        <v>3.1065278101915943E-2</v>
      </c>
      <c r="G514" s="2">
        <f t="shared" si="45"/>
        <v>-2.076749731437004E-3</v>
      </c>
      <c r="H514" s="2" t="str">
        <f t="shared" si="46"/>
        <v>Hold</v>
      </c>
    </row>
    <row r="515" spans="1:8" ht="13.5" x14ac:dyDescent="0.25">
      <c r="A515" s="3">
        <f>TITRES_STAT!B518</f>
        <v>45667</v>
      </c>
      <c r="B515" s="5">
        <f>TITRES_STAT!D518</f>
        <v>5.8029999999999999</v>
      </c>
      <c r="C515" s="2">
        <f t="shared" si="42"/>
        <v>5.8163717888308772</v>
      </c>
      <c r="D515" s="2">
        <f t="shared" si="44"/>
        <v>5.7939898520813244</v>
      </c>
      <c r="E515" s="2">
        <f t="shared" si="43"/>
        <v>2.23819367495528E-2</v>
      </c>
      <c r="F515" s="2">
        <f t="shared" si="47"/>
        <v>2.9328609831443316E-2</v>
      </c>
      <c r="G515" s="2">
        <f t="shared" si="45"/>
        <v>-6.9466730818905156E-3</v>
      </c>
      <c r="H515" s="2" t="str">
        <f t="shared" si="46"/>
        <v>Hold</v>
      </c>
    </row>
    <row r="516" spans="1:8" ht="13.5" x14ac:dyDescent="0.25">
      <c r="A516" s="3">
        <f>TITRES_STAT!B519</f>
        <v>45670</v>
      </c>
      <c r="B516" s="5">
        <f>TITRES_STAT!D519</f>
        <v>5.8029999999999999</v>
      </c>
      <c r="C516" s="2">
        <f t="shared" si="42"/>
        <v>5.8100068982415118</v>
      </c>
      <c r="D516" s="2">
        <f t="shared" si="44"/>
        <v>5.7946572704456702</v>
      </c>
      <c r="E516" s="2">
        <f t="shared" si="43"/>
        <v>1.5349627795841592E-2</v>
      </c>
      <c r="F516" s="2">
        <f t="shared" si="47"/>
        <v>2.6532813424322975E-2</v>
      </c>
      <c r="G516" s="2">
        <f t="shared" si="45"/>
        <v>-1.1183185628481383E-2</v>
      </c>
      <c r="H516" s="2" t="str">
        <f t="shared" si="46"/>
        <v>Hold</v>
      </c>
    </row>
    <row r="517" spans="1:8" ht="13.5" x14ac:dyDescent="0.25">
      <c r="A517" s="3">
        <f>TITRES_STAT!B520</f>
        <v>45671</v>
      </c>
      <c r="B517" s="5">
        <f>TITRES_STAT!D520</f>
        <v>5.8029999999999999</v>
      </c>
      <c r="C517" s="2">
        <f t="shared" si="42"/>
        <v>5.8046212215889721</v>
      </c>
      <c r="D517" s="2">
        <f t="shared" si="44"/>
        <v>5.795275250412657</v>
      </c>
      <c r="E517" s="2">
        <f t="shared" si="43"/>
        <v>9.3459711763150821E-3</v>
      </c>
      <c r="F517" s="2">
        <f t="shared" si="47"/>
        <v>2.3095444974721397E-2</v>
      </c>
      <c r="G517" s="2">
        <f t="shared" si="45"/>
        <v>-1.3749473798406315E-2</v>
      </c>
      <c r="H517" s="2" t="str">
        <f t="shared" si="46"/>
        <v>Hold</v>
      </c>
    </row>
    <row r="518" spans="1:8" ht="13.5" x14ac:dyDescent="0.25">
      <c r="A518" s="3">
        <f>TITRES_STAT!B521</f>
        <v>45672</v>
      </c>
      <c r="B518" s="5">
        <f>TITRES_STAT!D521</f>
        <v>5.7939999999999996</v>
      </c>
      <c r="C518" s="2">
        <f t="shared" si="42"/>
        <v>5.8000641105752848</v>
      </c>
      <c r="D518" s="2">
        <f t="shared" si="44"/>
        <v>5.7951807874191266</v>
      </c>
      <c r="E518" s="2">
        <f t="shared" si="43"/>
        <v>4.883323156158248E-3</v>
      </c>
      <c r="F518" s="2">
        <f t="shared" si="47"/>
        <v>1.9453020611008766E-2</v>
      </c>
      <c r="G518" s="2">
        <f t="shared" si="45"/>
        <v>-1.4569697454850518E-2</v>
      </c>
      <c r="H518" s="2" t="str">
        <f t="shared" si="46"/>
        <v>Hold</v>
      </c>
    </row>
    <row r="519" spans="1:8" ht="13.5" x14ac:dyDescent="0.25">
      <c r="A519" s="3">
        <f>TITRES_STAT!B522</f>
        <v>45673</v>
      </c>
      <c r="B519" s="5">
        <f>TITRES_STAT!D522</f>
        <v>5.7939999999999996</v>
      </c>
      <c r="C519" s="2">
        <f t="shared" si="42"/>
        <v>5.7962080935637026</v>
      </c>
      <c r="D519" s="2">
        <f t="shared" si="44"/>
        <v>5.7950933216843765</v>
      </c>
      <c r="E519" s="2">
        <f t="shared" si="43"/>
        <v>1.1147718793260708E-3</v>
      </c>
      <c r="F519" s="2">
        <f t="shared" si="47"/>
        <v>1.5785370864672226E-2</v>
      </c>
      <c r="G519" s="2">
        <f t="shared" si="45"/>
        <v>-1.4670598985346155E-2</v>
      </c>
      <c r="H519" s="2" t="str">
        <f t="shared" si="46"/>
        <v>Hold</v>
      </c>
    </row>
    <row r="520" spans="1:8" ht="13.5" x14ac:dyDescent="0.25">
      <c r="A520" s="3">
        <f>TITRES_STAT!B523</f>
        <v>45674</v>
      </c>
      <c r="B520" s="5">
        <f>TITRES_STAT!D523</f>
        <v>5.7839999999999998</v>
      </c>
      <c r="C520" s="2">
        <f t="shared" si="42"/>
        <v>5.792945309938518</v>
      </c>
      <c r="D520" s="2">
        <f t="shared" si="44"/>
        <v>5.7942715941522005</v>
      </c>
      <c r="E520" s="2">
        <f t="shared" si="43"/>
        <v>-1.326284213682527E-3</v>
      </c>
      <c r="F520" s="2">
        <f t="shared" si="47"/>
        <v>1.2363039849001277E-2</v>
      </c>
      <c r="G520" s="2">
        <f t="shared" si="45"/>
        <v>-1.3689324062683804E-2</v>
      </c>
      <c r="H520" s="2" t="str">
        <f t="shared" si="46"/>
        <v>Hold</v>
      </c>
    </row>
    <row r="521" spans="1:8" ht="13.5" x14ac:dyDescent="0.25">
      <c r="A521" s="3">
        <f>TITRES_STAT!B524</f>
        <v>45677</v>
      </c>
      <c r="B521" s="5">
        <f>TITRES_STAT!D524</f>
        <v>5.7839999999999998</v>
      </c>
      <c r="C521" s="2">
        <f t="shared" si="42"/>
        <v>5.7814152622556687</v>
      </c>
      <c r="D521" s="2">
        <f t="shared" si="44"/>
        <v>5.7935107353261115</v>
      </c>
      <c r="E521" s="2">
        <f t="shared" si="43"/>
        <v>-1.2095473070442786E-2</v>
      </c>
      <c r="F521" s="2">
        <f t="shared" si="47"/>
        <v>7.4713372651124647E-3</v>
      </c>
      <c r="G521" s="2">
        <f t="shared" si="45"/>
        <v>-1.9566810335555251E-2</v>
      </c>
      <c r="H521" s="2" t="str">
        <f t="shared" si="46"/>
        <v>Hold</v>
      </c>
    </row>
    <row r="522" spans="1:8" ht="13.5" x14ac:dyDescent="0.25">
      <c r="A522" s="3">
        <f>TITRES_STAT!B525</f>
        <v>45678</v>
      </c>
      <c r="B522" s="5">
        <f>TITRES_STAT!D525</f>
        <v>5.7560000000000002</v>
      </c>
      <c r="C522" s="2">
        <f t="shared" si="42"/>
        <v>5.7688898372932584</v>
      </c>
      <c r="D522" s="2">
        <f t="shared" si="44"/>
        <v>5.7907321623389922</v>
      </c>
      <c r="E522" s="2">
        <f t="shared" si="43"/>
        <v>-2.1842325045733801E-2</v>
      </c>
      <c r="F522" s="2">
        <f t="shared" si="47"/>
        <v>1.6086048029432115E-3</v>
      </c>
      <c r="G522" s="2">
        <f t="shared" si="45"/>
        <v>-2.3450929848677013E-2</v>
      </c>
      <c r="H522" s="2" t="str">
        <f t="shared" si="46"/>
        <v>Hold</v>
      </c>
    </row>
    <row r="523" spans="1:8" ht="13.5" x14ac:dyDescent="0.25">
      <c r="A523" s="3">
        <f>TITRES_STAT!B526</f>
        <v>45679</v>
      </c>
      <c r="B523" s="5">
        <f>TITRES_STAT!D526</f>
        <v>5.7560000000000002</v>
      </c>
      <c r="C523" s="2">
        <f t="shared" si="42"/>
        <v>5.7755221700173731</v>
      </c>
      <c r="D523" s="2">
        <f t="shared" si="44"/>
        <v>5.788159409573141</v>
      </c>
      <c r="E523" s="2">
        <f t="shared" si="43"/>
        <v>-1.2637239555767898E-2</v>
      </c>
      <c r="F523" s="2">
        <f t="shared" si="47"/>
        <v>-1.2405640687990107E-3</v>
      </c>
      <c r="G523" s="2">
        <f t="shared" si="45"/>
        <v>-1.1396675486968887E-2</v>
      </c>
      <c r="H523" s="2" t="str">
        <f t="shared" si="46"/>
        <v>Hold</v>
      </c>
    </row>
    <row r="524" spans="1:8" ht="13.5" x14ac:dyDescent="0.25">
      <c r="A524" s="3">
        <f>TITRES_STAT!B527</f>
        <v>45680</v>
      </c>
      <c r="B524" s="5">
        <f>TITRES_STAT!D527</f>
        <v>5.7279999999999998</v>
      </c>
      <c r="C524" s="2">
        <f t="shared" si="42"/>
        <v>5.7811341438608537</v>
      </c>
      <c r="D524" s="2">
        <f t="shared" si="44"/>
        <v>5.7837031570121669</v>
      </c>
      <c r="E524" s="2">
        <f t="shared" si="43"/>
        <v>-2.5690131513131931E-3</v>
      </c>
      <c r="F524" s="2">
        <f t="shared" si="47"/>
        <v>-1.5062538853018474E-3</v>
      </c>
      <c r="G524" s="2">
        <f t="shared" si="45"/>
        <v>-1.0627592660113457E-3</v>
      </c>
      <c r="H524" s="2" t="str">
        <f t="shared" si="46"/>
        <v>Hold</v>
      </c>
    </row>
    <row r="525" spans="1:8" ht="13.5" x14ac:dyDescent="0.25">
      <c r="A525" s="3">
        <f>TITRES_STAT!B528</f>
        <v>45681</v>
      </c>
      <c r="B525" s="5">
        <f>TITRES_STAT!D528</f>
        <v>5.7279999999999998</v>
      </c>
      <c r="C525" s="2">
        <f t="shared" si="42"/>
        <v>5.7844981217284142</v>
      </c>
      <c r="D525" s="2">
        <f t="shared" si="44"/>
        <v>5.7795769972334874</v>
      </c>
      <c r="E525" s="2">
        <f t="shared" si="43"/>
        <v>4.9211244949267652E-3</v>
      </c>
      <c r="F525" s="2">
        <f t="shared" si="47"/>
        <v>-2.2077820925612483E-4</v>
      </c>
      <c r="G525" s="2">
        <f t="shared" si="45"/>
        <v>5.1419027041828902E-3</v>
      </c>
      <c r="H525" s="2" t="str">
        <f t="shared" si="46"/>
        <v>Sell</v>
      </c>
    </row>
    <row r="526" spans="1:8" ht="13.5" x14ac:dyDescent="0.25">
      <c r="A526" s="3">
        <f>TITRES_STAT!B529</f>
        <v>45684</v>
      </c>
      <c r="B526" s="5">
        <f>TITRES_STAT!D529</f>
        <v>5.7560000000000002</v>
      </c>
      <c r="C526" s="2">
        <f t="shared" si="42"/>
        <v>5.7873445645394277</v>
      </c>
      <c r="D526" s="2">
        <f t="shared" si="44"/>
        <v>5.7778305529939695</v>
      </c>
      <c r="E526" s="2">
        <f t="shared" si="43"/>
        <v>9.5140115454581675E-3</v>
      </c>
      <c r="F526" s="2">
        <f t="shared" si="47"/>
        <v>1.7261797416867337E-3</v>
      </c>
      <c r="G526" s="2">
        <f t="shared" si="45"/>
        <v>7.7878318037714334E-3</v>
      </c>
      <c r="H526" s="2" t="str">
        <f t="shared" si="46"/>
        <v>Sell</v>
      </c>
    </row>
    <row r="527" spans="1:8" ht="13.5" x14ac:dyDescent="0.25">
      <c r="A527" s="3">
        <f>TITRES_STAT!B530</f>
        <v>45685</v>
      </c>
      <c r="B527" s="5">
        <f>TITRES_STAT!D530</f>
        <v>5.7560000000000002</v>
      </c>
      <c r="C527" s="2">
        <f t="shared" ref="C527:C590" si="48">$C$4*B517+C526*(1-$C$4)</f>
        <v>5.7897530930718233</v>
      </c>
      <c r="D527" s="2">
        <f t="shared" si="44"/>
        <v>5.7762134749944165</v>
      </c>
      <c r="E527" s="2">
        <f t="shared" si="43"/>
        <v>1.3539618077406779E-2</v>
      </c>
      <c r="F527" s="2">
        <f t="shared" si="47"/>
        <v>4.0888674088307431E-3</v>
      </c>
      <c r="G527" s="2">
        <f t="shared" si="45"/>
        <v>9.4507506685760356E-3</v>
      </c>
      <c r="H527" s="2" t="str">
        <f t="shared" si="46"/>
        <v>Sell</v>
      </c>
    </row>
    <row r="528" spans="1:8" ht="13.5" x14ac:dyDescent="0.25">
      <c r="A528" s="3">
        <f>TITRES_STAT!B531</f>
        <v>45686</v>
      </c>
      <c r="B528" s="5">
        <f>TITRES_STAT!D531</f>
        <v>5.7560000000000002</v>
      </c>
      <c r="C528" s="2">
        <f t="shared" si="48"/>
        <v>5.7904064633684662</v>
      </c>
      <c r="D528" s="2">
        <f t="shared" si="44"/>
        <v>5.7747161805503859</v>
      </c>
      <c r="E528" s="2">
        <f t="shared" si="43"/>
        <v>1.569028281808027E-2</v>
      </c>
      <c r="F528" s="2">
        <f t="shared" si="47"/>
        <v>6.4091504906806486E-3</v>
      </c>
      <c r="G528" s="2">
        <f t="shared" si="45"/>
        <v>9.2811323273996223E-3</v>
      </c>
      <c r="H528" s="2" t="str">
        <f t="shared" si="46"/>
        <v>Sell</v>
      </c>
    </row>
    <row r="529" spans="1:8" ht="13.5" x14ac:dyDescent="0.25">
      <c r="A529" s="3">
        <f>TITRES_STAT!B532</f>
        <v>45687</v>
      </c>
      <c r="B529" s="5">
        <f>TITRES_STAT!D532</f>
        <v>5.7469999999999999</v>
      </c>
      <c r="C529" s="2">
        <f t="shared" si="48"/>
        <v>5.7909593151579335</v>
      </c>
      <c r="D529" s="2">
        <f t="shared" si="44"/>
        <v>5.7726631301392466</v>
      </c>
      <c r="E529" s="2">
        <f t="shared" si="43"/>
        <v>1.8296185018686906E-2</v>
      </c>
      <c r="F529" s="2">
        <f t="shared" si="47"/>
        <v>8.7865573962819001E-3</v>
      </c>
      <c r="G529" s="2">
        <f t="shared" si="45"/>
        <v>9.5096276224050057E-3</v>
      </c>
      <c r="H529" s="2" t="str">
        <f t="shared" si="46"/>
        <v>Sell</v>
      </c>
    </row>
    <row r="530" spans="1:8" ht="13.5" x14ac:dyDescent="0.25">
      <c r="A530" s="3">
        <f>TITRES_STAT!B533</f>
        <v>45688</v>
      </c>
      <c r="B530" s="5">
        <f>TITRES_STAT!D533</f>
        <v>5.7469999999999999</v>
      </c>
      <c r="C530" s="2">
        <f t="shared" si="48"/>
        <v>5.7898886512874821</v>
      </c>
      <c r="D530" s="2">
        <f t="shared" si="44"/>
        <v>5.770762157536339</v>
      </c>
      <c r="E530" s="2">
        <f t="shared" si="43"/>
        <v>1.9126493751143059E-2</v>
      </c>
      <c r="F530" s="2">
        <f t="shared" si="47"/>
        <v>1.0854544667254133E-2</v>
      </c>
      <c r="G530" s="2">
        <f t="shared" si="45"/>
        <v>8.271949083888926E-3</v>
      </c>
      <c r="H530" s="2" t="str">
        <f t="shared" si="46"/>
        <v>Sell</v>
      </c>
    </row>
    <row r="531" spans="1:8" ht="13.5" x14ac:dyDescent="0.25">
      <c r="A531" s="3">
        <f>TITRES_STAT!B534</f>
        <v>45691</v>
      </c>
      <c r="B531" s="5">
        <f>TITRES_STAT!D534</f>
        <v>5.8120000000000003</v>
      </c>
      <c r="C531" s="2">
        <f t="shared" si="48"/>
        <v>5.7889827049355622</v>
      </c>
      <c r="D531" s="2">
        <f t="shared" si="44"/>
        <v>5.7738168125336475</v>
      </c>
      <c r="E531" s="2">
        <f t="shared" si="43"/>
        <v>1.5165892401914682E-2</v>
      </c>
      <c r="F531" s="2">
        <f t="shared" si="47"/>
        <v>1.1716814214186244E-2</v>
      </c>
      <c r="G531" s="2">
        <f t="shared" si="45"/>
        <v>3.4490781877284382E-3</v>
      </c>
      <c r="H531" s="2" t="str">
        <f t="shared" si="46"/>
        <v>Sell</v>
      </c>
    </row>
    <row r="532" spans="1:8" ht="13.5" x14ac:dyDescent="0.25">
      <c r="A532" s="3">
        <f>TITRES_STAT!B535</f>
        <v>45692</v>
      </c>
      <c r="B532" s="5">
        <f>TITRES_STAT!D535</f>
        <v>5.8120000000000003</v>
      </c>
      <c r="C532" s="2">
        <f t="shared" si="48"/>
        <v>5.7839084426377827</v>
      </c>
      <c r="D532" s="2">
        <f t="shared" si="44"/>
        <v>5.7766451967904136</v>
      </c>
      <c r="E532" s="2">
        <f t="shared" si="43"/>
        <v>7.2632458473691486E-3</v>
      </c>
      <c r="F532" s="2">
        <f t="shared" si="47"/>
        <v>1.0826100540822826E-2</v>
      </c>
      <c r="G532" s="2">
        <f t="shared" si="45"/>
        <v>-3.5628546934536771E-3</v>
      </c>
      <c r="H532" s="2" t="str">
        <f t="shared" si="46"/>
        <v>Hold</v>
      </c>
    </row>
    <row r="533" spans="1:8" ht="13.5" x14ac:dyDescent="0.25">
      <c r="A533" s="3">
        <f>TITRES_STAT!B536</f>
        <v>45693</v>
      </c>
      <c r="B533" s="5">
        <f>TITRES_STAT!D536</f>
        <v>5.8120000000000003</v>
      </c>
      <c r="C533" s="2">
        <f t="shared" si="48"/>
        <v>5.7796148360781245</v>
      </c>
      <c r="D533" s="2">
        <f t="shared" si="44"/>
        <v>5.7792640711022347</v>
      </c>
      <c r="E533" s="2">
        <f t="shared" si="43"/>
        <v>3.5076497588981681E-4</v>
      </c>
      <c r="F533" s="2">
        <f t="shared" si="47"/>
        <v>8.7310334278362239E-3</v>
      </c>
      <c r="G533" s="2">
        <f t="shared" si="45"/>
        <v>-8.3802684519464071E-3</v>
      </c>
      <c r="H533" s="2" t="str">
        <f t="shared" si="46"/>
        <v>Hold</v>
      </c>
    </row>
    <row r="534" spans="1:8" ht="13.5" x14ac:dyDescent="0.25">
      <c r="A534" s="3">
        <f>TITRES_STAT!B537</f>
        <v>45694</v>
      </c>
      <c r="B534" s="5">
        <f>TITRES_STAT!D537</f>
        <v>5.8120000000000003</v>
      </c>
      <c r="C534" s="2">
        <f t="shared" si="48"/>
        <v>5.7716740920661049</v>
      </c>
      <c r="D534" s="2">
        <f t="shared" si="44"/>
        <v>5.7816889547242916</v>
      </c>
      <c r="E534" s="2">
        <f t="shared" si="43"/>
        <v>-1.001486265818663E-2</v>
      </c>
      <c r="F534" s="2">
        <f t="shared" si="47"/>
        <v>4.9818542106316536E-3</v>
      </c>
      <c r="G534" s="2">
        <f t="shared" si="45"/>
        <v>-1.4996716868818283E-2</v>
      </c>
      <c r="H534" s="2" t="str">
        <f t="shared" si="46"/>
        <v>Hold</v>
      </c>
    </row>
    <row r="535" spans="1:8" ht="13.5" x14ac:dyDescent="0.25">
      <c r="A535" s="3">
        <f>TITRES_STAT!B538</f>
        <v>45695</v>
      </c>
      <c r="B535" s="5">
        <f>TITRES_STAT!D538</f>
        <v>5.7469999999999999</v>
      </c>
      <c r="C535" s="2">
        <f t="shared" si="48"/>
        <v>5.764955000979012</v>
      </c>
      <c r="D535" s="2">
        <f t="shared" si="44"/>
        <v>5.7791194025224923</v>
      </c>
      <c r="E535" s="2">
        <f t="shared" si="43"/>
        <v>-1.4164401543480309E-2</v>
      </c>
      <c r="F535" s="2">
        <f t="shared" si="47"/>
        <v>1.1526030598092612E-3</v>
      </c>
      <c r="G535" s="2">
        <f t="shared" si="45"/>
        <v>-1.531700460328957E-2</v>
      </c>
      <c r="H535" s="2" t="str">
        <f t="shared" si="46"/>
        <v>Hold</v>
      </c>
    </row>
    <row r="536" spans="1:8" ht="13.5" x14ac:dyDescent="0.25">
      <c r="A536" s="3">
        <f>TITRES_STAT!B539</f>
        <v>45698</v>
      </c>
      <c r="B536" s="5">
        <f>TITRES_STAT!D539</f>
        <v>5.681</v>
      </c>
      <c r="C536" s="2">
        <f t="shared" si="48"/>
        <v>5.763577308520702</v>
      </c>
      <c r="D536" s="2">
        <f t="shared" si="44"/>
        <v>5.7718512986319377</v>
      </c>
      <c r="E536" s="2">
        <f t="shared" si="43"/>
        <v>-8.2739901112356407E-3</v>
      </c>
      <c r="F536" s="2">
        <f t="shared" si="47"/>
        <v>-7.327155743997193E-4</v>
      </c>
      <c r="G536" s="2">
        <f t="shared" si="45"/>
        <v>-7.5412745368359218E-3</v>
      </c>
      <c r="H536" s="2" t="str">
        <f t="shared" si="46"/>
        <v>Hold</v>
      </c>
    </row>
    <row r="537" spans="1:8" ht="13.5" x14ac:dyDescent="0.25">
      <c r="A537" s="3">
        <f>TITRES_STAT!B540</f>
        <v>45699</v>
      </c>
      <c r="B537" s="5">
        <f>TITRES_STAT!D540</f>
        <v>5.718</v>
      </c>
      <c r="C537" s="2">
        <f t="shared" si="48"/>
        <v>5.762411568748286</v>
      </c>
      <c r="D537" s="2">
        <f t="shared" si="44"/>
        <v>5.7678623135480906</v>
      </c>
      <c r="E537" s="2">
        <f t="shared" si="43"/>
        <v>-5.4507447998046743E-3</v>
      </c>
      <c r="F537" s="2">
        <f t="shared" si="47"/>
        <v>-1.6763214194807103E-3</v>
      </c>
      <c r="G537" s="2">
        <f t="shared" si="45"/>
        <v>-3.774423380323964E-3</v>
      </c>
      <c r="H537" s="2" t="str">
        <f t="shared" si="46"/>
        <v>Hold</v>
      </c>
    </row>
    <row r="538" spans="1:8" ht="13.5" x14ac:dyDescent="0.25">
      <c r="A538" s="3">
        <f>TITRES_STAT!B541</f>
        <v>45700</v>
      </c>
      <c r="B538" s="5">
        <f>TITRES_STAT!D541</f>
        <v>5.718</v>
      </c>
      <c r="C538" s="2">
        <f t="shared" si="48"/>
        <v>5.7614251735562423</v>
      </c>
      <c r="D538" s="2">
        <f t="shared" si="44"/>
        <v>5.7641688088408252</v>
      </c>
      <c r="E538" s="2">
        <f t="shared" si="43"/>
        <v>-2.7436352845828793E-3</v>
      </c>
      <c r="F538" s="2">
        <f t="shared" si="47"/>
        <v>-1.8897841925011442E-3</v>
      </c>
      <c r="G538" s="2">
        <f t="shared" si="45"/>
        <v>-8.5385109208173512E-4</v>
      </c>
      <c r="H538" s="2" t="str">
        <f t="shared" si="46"/>
        <v>Hold</v>
      </c>
    </row>
    <row r="539" spans="1:8" ht="13.5" x14ac:dyDescent="0.25">
      <c r="A539" s="3">
        <f>TITRES_STAT!B542</f>
        <v>45701</v>
      </c>
      <c r="B539" s="5">
        <f>TITRES_STAT!D542</f>
        <v>5.681</v>
      </c>
      <c r="C539" s="2">
        <f t="shared" si="48"/>
        <v>5.7592059160860511</v>
      </c>
      <c r="D539" s="2">
        <f t="shared" si="44"/>
        <v>5.758008156334097</v>
      </c>
      <c r="E539" s="2">
        <f t="shared" si="43"/>
        <v>1.1977597519541305E-3</v>
      </c>
      <c r="F539" s="2">
        <f t="shared" si="47"/>
        <v>-1.2722754036100894E-3</v>
      </c>
      <c r="G539" s="2">
        <f t="shared" si="45"/>
        <v>2.4700351555642201E-3</v>
      </c>
      <c r="H539" s="2" t="str">
        <f t="shared" si="46"/>
        <v>Sell</v>
      </c>
    </row>
    <row r="540" spans="1:8" ht="13.5" x14ac:dyDescent="0.25">
      <c r="A540" s="3">
        <f>TITRES_STAT!B543</f>
        <v>45702</v>
      </c>
      <c r="B540" s="5">
        <f>TITRES_STAT!D543</f>
        <v>5.681</v>
      </c>
      <c r="C540" s="2">
        <f t="shared" si="48"/>
        <v>5.7573280828420428</v>
      </c>
      <c r="D540" s="2">
        <f t="shared" si="44"/>
        <v>5.7523038484574975</v>
      </c>
      <c r="E540" s="2">
        <f t="shared" ref="E540:E603" si="49">C540-D540</f>
        <v>5.0242343845452453E-3</v>
      </c>
      <c r="F540" s="2">
        <f t="shared" si="47"/>
        <v>-1.2973445979022483E-5</v>
      </c>
      <c r="G540" s="2">
        <f t="shared" si="45"/>
        <v>5.0372078305242676E-3</v>
      </c>
      <c r="H540" s="2" t="str">
        <f t="shared" si="46"/>
        <v>Sell</v>
      </c>
    </row>
    <row r="541" spans="1:8" ht="13.5" x14ac:dyDescent="0.25">
      <c r="A541" s="3">
        <f>TITRES_STAT!B544</f>
        <v>45705</v>
      </c>
      <c r="B541" s="5">
        <f>TITRES_STAT!D544</f>
        <v>5.681</v>
      </c>
      <c r="C541" s="2">
        <f t="shared" si="48"/>
        <v>5.7657391470201897</v>
      </c>
      <c r="D541" s="2">
        <f t="shared" ref="D541:D604" si="50">$D$4*B541+(1-$D$4)*D540</f>
        <v>5.7470220819050901</v>
      </c>
      <c r="E541" s="2">
        <f t="shared" si="49"/>
        <v>1.8717065115099629E-2</v>
      </c>
      <c r="F541" s="2">
        <f t="shared" si="47"/>
        <v>3.7330342662367081E-3</v>
      </c>
      <c r="G541" s="2">
        <f t="shared" si="45"/>
        <v>1.4984030848862922E-2</v>
      </c>
      <c r="H541" s="2" t="str">
        <f t="shared" si="46"/>
        <v>Sell</v>
      </c>
    </row>
    <row r="542" spans="1:8" ht="13.5" x14ac:dyDescent="0.25">
      <c r="A542" s="3">
        <f>TITRES_STAT!B545</f>
        <v>45706</v>
      </c>
      <c r="B542" s="5">
        <f>TITRES_STAT!D545</f>
        <v>5.681</v>
      </c>
      <c r="C542" s="2">
        <f t="shared" si="48"/>
        <v>5.7728562013247764</v>
      </c>
      <c r="D542" s="2">
        <f t="shared" si="50"/>
        <v>5.742131557319528</v>
      </c>
      <c r="E542" s="2">
        <f t="shared" si="49"/>
        <v>3.0724644005248436E-2</v>
      </c>
      <c r="F542" s="2">
        <f t="shared" si="47"/>
        <v>9.131356214039054E-3</v>
      </c>
      <c r="G542" s="2">
        <f t="shared" si="45"/>
        <v>2.1593287791209382E-2</v>
      </c>
      <c r="H542" s="2" t="str">
        <f t="shared" si="46"/>
        <v>Sell</v>
      </c>
    </row>
    <row r="543" spans="1:8" ht="13.5" x14ac:dyDescent="0.25">
      <c r="A543" s="3">
        <f>TITRES_STAT!B546</f>
        <v>45707</v>
      </c>
      <c r="B543" s="5">
        <f>TITRES_STAT!D546</f>
        <v>5.681</v>
      </c>
      <c r="C543" s="2">
        <f t="shared" si="48"/>
        <v>5.7788783241978869</v>
      </c>
      <c r="D543" s="2">
        <f t="shared" si="50"/>
        <v>5.7376032938143773</v>
      </c>
      <c r="E543" s="2">
        <f t="shared" si="49"/>
        <v>4.1275030383509659E-2</v>
      </c>
      <c r="F543" s="2">
        <f t="shared" si="47"/>
        <v>1.5560091047933176E-2</v>
      </c>
      <c r="G543" s="2">
        <f t="shared" si="45"/>
        <v>2.5714939335576482E-2</v>
      </c>
      <c r="H543" s="2" t="str">
        <f t="shared" si="46"/>
        <v>Sell</v>
      </c>
    </row>
    <row r="544" spans="1:8" ht="13.5" x14ac:dyDescent="0.25">
      <c r="A544" s="3">
        <f>TITRES_STAT!B547</f>
        <v>45708</v>
      </c>
      <c r="B544" s="5">
        <f>TITRES_STAT!D547</f>
        <v>5.6719999999999997</v>
      </c>
      <c r="C544" s="2">
        <f t="shared" si="48"/>
        <v>5.7839739666289809</v>
      </c>
      <c r="D544" s="2">
        <f t="shared" si="50"/>
        <v>5.7327437905688683</v>
      </c>
      <c r="E544" s="2">
        <f t="shared" si="49"/>
        <v>5.1230176060112598E-2</v>
      </c>
      <c r="F544" s="2">
        <f t="shared" si="47"/>
        <v>2.2694108050369061E-2</v>
      </c>
      <c r="G544" s="2">
        <f t="shared" si="45"/>
        <v>2.8536068009743537E-2</v>
      </c>
      <c r="H544" s="2" t="str">
        <f t="shared" si="46"/>
        <v>Sell</v>
      </c>
    </row>
    <row r="545" spans="1:8" ht="13.5" x14ac:dyDescent="0.25">
      <c r="A545" s="3">
        <f>TITRES_STAT!B548</f>
        <v>45709</v>
      </c>
      <c r="B545" s="5">
        <f>TITRES_STAT!D548</f>
        <v>5.6340000000000003</v>
      </c>
      <c r="C545" s="2">
        <f t="shared" si="48"/>
        <v>5.7782856640706761</v>
      </c>
      <c r="D545" s="2">
        <f t="shared" si="50"/>
        <v>5.7254294357119155</v>
      </c>
      <c r="E545" s="2">
        <f t="shared" si="49"/>
        <v>5.2856228358760582E-2</v>
      </c>
      <c r="F545" s="2">
        <f t="shared" si="47"/>
        <v>2.8726532112047364E-2</v>
      </c>
      <c r="G545" s="2">
        <f t="shared" si="45"/>
        <v>2.4129696246713218E-2</v>
      </c>
      <c r="H545" s="2" t="str">
        <f t="shared" si="46"/>
        <v>Sell</v>
      </c>
    </row>
    <row r="546" spans="1:8" ht="13.5" x14ac:dyDescent="0.25">
      <c r="A546" s="3">
        <f>TITRES_STAT!B549</f>
        <v>45712</v>
      </c>
      <c r="B546" s="5">
        <f>TITRES_STAT!D549</f>
        <v>5.625</v>
      </c>
      <c r="C546" s="2">
        <f t="shared" si="48"/>
        <v>5.7633186388290341</v>
      </c>
      <c r="D546" s="2">
        <f t="shared" si="50"/>
        <v>5.7179902182517743</v>
      </c>
      <c r="E546" s="2">
        <f t="shared" si="49"/>
        <v>4.532842057725972E-2</v>
      </c>
      <c r="F546" s="2">
        <f t="shared" si="47"/>
        <v>3.204690980508984E-2</v>
      </c>
      <c r="G546" s="2">
        <f t="shared" si="45"/>
        <v>1.328151077216988E-2</v>
      </c>
      <c r="H546" s="2" t="str">
        <f t="shared" si="46"/>
        <v>Sell</v>
      </c>
    </row>
    <row r="547" spans="1:8" ht="13.5" x14ac:dyDescent="0.25">
      <c r="A547" s="3">
        <f>TITRES_STAT!B550</f>
        <v>45713</v>
      </c>
      <c r="B547" s="5">
        <f>TITRES_STAT!D550</f>
        <v>5.6340000000000003</v>
      </c>
      <c r="C547" s="2">
        <f t="shared" si="48"/>
        <v>5.7563465405476437</v>
      </c>
      <c r="D547" s="2">
        <f t="shared" si="50"/>
        <v>5.7117687206034953</v>
      </c>
      <c r="E547" s="2">
        <f t="shared" si="49"/>
        <v>4.4577819944148445E-2</v>
      </c>
      <c r="F547" s="2">
        <f t="shared" si="47"/>
        <v>3.4553091832901561E-2</v>
      </c>
      <c r="G547" s="2">
        <f t="shared" si="45"/>
        <v>1.0024728111246883E-2</v>
      </c>
      <c r="H547" s="2" t="str">
        <f t="shared" si="46"/>
        <v>Sell</v>
      </c>
    </row>
    <row r="548" spans="1:8" ht="13.5" x14ac:dyDescent="0.25">
      <c r="A548" s="3">
        <f>TITRES_STAT!B551</f>
        <v>45714</v>
      </c>
      <c r="B548" s="5">
        <f>TITRES_STAT!D551</f>
        <v>5.6340000000000003</v>
      </c>
      <c r="C548" s="2">
        <f t="shared" si="48"/>
        <v>5.7504470727710828</v>
      </c>
      <c r="D548" s="2">
        <f t="shared" si="50"/>
        <v>5.7060080746328659</v>
      </c>
      <c r="E548" s="2">
        <f t="shared" si="49"/>
        <v>4.4438998138216945E-2</v>
      </c>
      <c r="F548" s="2">
        <f t="shared" si="47"/>
        <v>3.6530273093964637E-2</v>
      </c>
      <c r="G548" s="2">
        <f t="shared" ref="G548:G611" si="51">E548-F548</f>
        <v>7.9087250442523085E-3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45715</v>
      </c>
      <c r="B549" s="5">
        <f>TITRES_STAT!D552</f>
        <v>5.5309999999999997</v>
      </c>
      <c r="C549" s="2">
        <f t="shared" si="48"/>
        <v>5.7397629077293786</v>
      </c>
      <c r="D549" s="2">
        <f t="shared" si="50"/>
        <v>5.6930445135489496</v>
      </c>
      <c r="E549" s="2">
        <f t="shared" si="49"/>
        <v>4.6718394180429001E-2</v>
      </c>
      <c r="F549" s="2">
        <f t="shared" ref="F549:F612" si="53">(E549*(2/(10)))+((1-(2/10))*F548)</f>
        <v>3.856789731125751E-2</v>
      </c>
      <c r="G549" s="2">
        <f t="shared" si="51"/>
        <v>8.1504968691714919E-3</v>
      </c>
      <c r="H549" s="2" t="str">
        <f t="shared" si="52"/>
        <v>Sell</v>
      </c>
    </row>
    <row r="550" spans="1:8" ht="13.5" x14ac:dyDescent="0.25">
      <c r="A550" s="3">
        <f>TITRES_STAT!B553</f>
        <v>45716</v>
      </c>
      <c r="B550" s="5">
        <f>TITRES_STAT!D553</f>
        <v>5.5309999999999997</v>
      </c>
      <c r="C550" s="2">
        <f t="shared" si="48"/>
        <v>5.7307224603863975</v>
      </c>
      <c r="D550" s="2">
        <f t="shared" si="50"/>
        <v>5.6810412162490271</v>
      </c>
      <c r="E550" s="2">
        <f t="shared" si="49"/>
        <v>4.9681244137370406E-2</v>
      </c>
      <c r="F550" s="2">
        <f t="shared" si="53"/>
        <v>4.0790566676480094E-2</v>
      </c>
      <c r="G550" s="2">
        <f t="shared" si="51"/>
        <v>8.8906774608903116E-3</v>
      </c>
      <c r="H550" s="2" t="str">
        <f t="shared" si="52"/>
        <v>Sell</v>
      </c>
    </row>
    <row r="551" spans="1:8" ht="13.5" x14ac:dyDescent="0.25">
      <c r="A551" s="3">
        <f>TITRES_STAT!B554</f>
        <v>45719</v>
      </c>
      <c r="B551" s="5">
        <f>TITRES_STAT!D554</f>
        <v>5.4459999999999997</v>
      </c>
      <c r="C551" s="2">
        <f t="shared" si="48"/>
        <v>5.7230728510961821</v>
      </c>
      <c r="D551" s="2">
        <f t="shared" si="50"/>
        <v>5.6636307557861363</v>
      </c>
      <c r="E551" s="2">
        <f t="shared" si="49"/>
        <v>5.944209531004585E-2</v>
      </c>
      <c r="F551" s="2">
        <f t="shared" si="53"/>
        <v>4.4520872403193253E-2</v>
      </c>
      <c r="G551" s="2">
        <f t="shared" si="51"/>
        <v>1.4921222906852598E-2</v>
      </c>
      <c r="H551" s="2" t="str">
        <f t="shared" si="52"/>
        <v>Sell</v>
      </c>
    </row>
    <row r="552" spans="1:8" ht="13.5" x14ac:dyDescent="0.25">
      <c r="A552" s="3">
        <f>TITRES_STAT!B555</f>
        <v>45720</v>
      </c>
      <c r="B552" s="5">
        <f>TITRES_STAT!D555</f>
        <v>5.4459999999999997</v>
      </c>
      <c r="C552" s="2">
        <f t="shared" si="48"/>
        <v>5.7166001047736934</v>
      </c>
      <c r="D552" s="2">
        <f t="shared" si="50"/>
        <v>5.647509959061237</v>
      </c>
      <c r="E552" s="2">
        <f t="shared" si="49"/>
        <v>6.9090145712456419E-2</v>
      </c>
      <c r="F552" s="2">
        <f t="shared" si="53"/>
        <v>4.943472706504589E-2</v>
      </c>
      <c r="G552" s="2">
        <f t="shared" si="51"/>
        <v>1.9655418647410529E-2</v>
      </c>
      <c r="H552" s="2" t="str">
        <f t="shared" si="52"/>
        <v>Sell</v>
      </c>
    </row>
    <row r="553" spans="1:8" ht="13.5" x14ac:dyDescent="0.25">
      <c r="A553" s="3">
        <f>TITRES_STAT!B556</f>
        <v>45721</v>
      </c>
      <c r="B553" s="5">
        <f>TITRES_STAT!D556</f>
        <v>5.5869999999999997</v>
      </c>
      <c r="C553" s="2">
        <f t="shared" si="48"/>
        <v>5.7111231655777406</v>
      </c>
      <c r="D553" s="2">
        <f t="shared" si="50"/>
        <v>5.6430277398715152</v>
      </c>
      <c r="E553" s="2">
        <f t="shared" si="49"/>
        <v>6.8095425706225399E-2</v>
      </c>
      <c r="F553" s="2">
        <f t="shared" si="53"/>
        <v>5.3166866793281795E-2</v>
      </c>
      <c r="G553" s="2">
        <f t="shared" si="51"/>
        <v>1.4928558912943604E-2</v>
      </c>
      <c r="H553" s="2" t="str">
        <f t="shared" si="52"/>
        <v>Sell</v>
      </c>
    </row>
    <row r="554" spans="1:8" ht="13.5" x14ac:dyDescent="0.25">
      <c r="A554" s="3">
        <f>TITRES_STAT!B557</f>
        <v>45722</v>
      </c>
      <c r="B554" s="5">
        <f>TITRES_STAT!D557</f>
        <v>5.5960000000000001</v>
      </c>
      <c r="C554" s="2">
        <f t="shared" si="48"/>
        <v>5.7051042170273192</v>
      </c>
      <c r="D554" s="2">
        <f t="shared" si="50"/>
        <v>5.6395442035847356</v>
      </c>
      <c r="E554" s="2">
        <f t="shared" si="49"/>
        <v>6.5560013442583553E-2</v>
      </c>
      <c r="F554" s="2">
        <f t="shared" si="53"/>
        <v>5.5645496123142152E-2</v>
      </c>
      <c r="G554" s="2">
        <f t="shared" si="51"/>
        <v>9.9145173194414016E-3</v>
      </c>
      <c r="H554" s="2" t="str">
        <f t="shared" si="52"/>
        <v>Sell</v>
      </c>
    </row>
    <row r="555" spans="1:8" ht="13.5" x14ac:dyDescent="0.25">
      <c r="A555" s="3">
        <f>TITRES_STAT!B558</f>
        <v>45723</v>
      </c>
      <c r="B555" s="5">
        <f>TITRES_STAT!D558</f>
        <v>5.5869999999999997</v>
      </c>
      <c r="C555" s="2">
        <f t="shared" si="48"/>
        <v>5.694165106715424</v>
      </c>
      <c r="D555" s="2">
        <f t="shared" si="50"/>
        <v>5.635652040356236</v>
      </c>
      <c r="E555" s="2">
        <f t="shared" si="49"/>
        <v>5.851306635918796E-2</v>
      </c>
      <c r="F555" s="2">
        <f t="shared" si="53"/>
        <v>5.6219010170351316E-2</v>
      </c>
      <c r="G555" s="2">
        <f t="shared" si="51"/>
        <v>2.2940561888366434E-3</v>
      </c>
      <c r="H555" s="2" t="str">
        <f t="shared" si="52"/>
        <v>Sell</v>
      </c>
    </row>
    <row r="556" spans="1:8" ht="13.5" x14ac:dyDescent="0.25">
      <c r="A556" s="3">
        <f>TITRES_STAT!B559</f>
        <v>45726</v>
      </c>
      <c r="B556" s="5">
        <f>TITRES_STAT!D559</f>
        <v>5.5869999999999997</v>
      </c>
      <c r="C556" s="2">
        <f t="shared" si="48"/>
        <v>5.6835243210668978</v>
      </c>
      <c r="D556" s="2">
        <f t="shared" si="50"/>
        <v>5.6320481855150328</v>
      </c>
      <c r="E556" s="2">
        <f t="shared" si="49"/>
        <v>5.1476135551864921E-2</v>
      </c>
      <c r="F556" s="2">
        <f t="shared" si="53"/>
        <v>5.5270435246654044E-2</v>
      </c>
      <c r="G556" s="2">
        <f t="shared" si="51"/>
        <v>-3.794299694789123E-3</v>
      </c>
      <c r="H556" s="2" t="str">
        <f t="shared" si="52"/>
        <v>Hold</v>
      </c>
    </row>
    <row r="557" spans="1:8" ht="13.5" x14ac:dyDescent="0.25">
      <c r="A557" s="3">
        <f>TITRES_STAT!B560</f>
        <v>45727</v>
      </c>
      <c r="B557" s="5">
        <f>TITRES_STAT!D560</f>
        <v>5.4930000000000003</v>
      </c>
      <c r="C557" s="2">
        <f t="shared" si="48"/>
        <v>5.6759051947489132</v>
      </c>
      <c r="D557" s="2">
        <f t="shared" si="50"/>
        <v>5.621748319921327</v>
      </c>
      <c r="E557" s="2">
        <f t="shared" si="49"/>
        <v>5.4156874827586243E-2</v>
      </c>
      <c r="F557" s="2">
        <f t="shared" si="53"/>
        <v>5.5047723162840484E-2</v>
      </c>
      <c r="G557" s="2">
        <f t="shared" si="51"/>
        <v>-8.9084833525424068E-4</v>
      </c>
      <c r="H557" s="2" t="str">
        <f t="shared" si="52"/>
        <v>Hold</v>
      </c>
    </row>
    <row r="558" spans="1:8" ht="13.5" x14ac:dyDescent="0.25">
      <c r="A558" s="3">
        <f>TITRES_STAT!B561</f>
        <v>45728</v>
      </c>
      <c r="B558" s="5">
        <f>TITRES_STAT!D561</f>
        <v>5.4649999999999999</v>
      </c>
      <c r="C558" s="2">
        <f t="shared" si="48"/>
        <v>5.6694582417106192</v>
      </c>
      <c r="D558" s="2">
        <f t="shared" si="50"/>
        <v>5.6101373332604876</v>
      </c>
      <c r="E558" s="2">
        <f t="shared" si="49"/>
        <v>5.9320908450131604E-2</v>
      </c>
      <c r="F558" s="2">
        <f t="shared" si="53"/>
        <v>5.5902360220298715E-2</v>
      </c>
      <c r="G558" s="2">
        <f t="shared" si="51"/>
        <v>3.4185482298328893E-3</v>
      </c>
      <c r="H558" s="2" t="str">
        <f t="shared" si="52"/>
        <v>Sell</v>
      </c>
    </row>
    <row r="559" spans="1:8" ht="13.5" x14ac:dyDescent="0.25">
      <c r="A559" s="3">
        <f>TITRES_STAT!B562</f>
        <v>45729</v>
      </c>
      <c r="B559" s="5">
        <f>TITRES_STAT!D562</f>
        <v>5.4180000000000001</v>
      </c>
      <c r="C559" s="2">
        <f t="shared" si="48"/>
        <v>5.6481569737551389</v>
      </c>
      <c r="D559" s="2">
        <f t="shared" si="50"/>
        <v>5.5959049382041552</v>
      </c>
      <c r="E559" s="2">
        <f t="shared" si="49"/>
        <v>5.2252035550983678E-2</v>
      </c>
      <c r="F559" s="2">
        <f t="shared" si="53"/>
        <v>5.5172295286435712E-2</v>
      </c>
      <c r="G559" s="2">
        <f t="shared" si="51"/>
        <v>-2.920259735452034E-3</v>
      </c>
      <c r="H559" s="2" t="str">
        <f t="shared" si="52"/>
        <v>Hold</v>
      </c>
    </row>
    <row r="560" spans="1:8" ht="13.5" x14ac:dyDescent="0.25">
      <c r="A560" s="3">
        <f>TITRES_STAT!B563</f>
        <v>45730</v>
      </c>
      <c r="B560" s="5">
        <f>TITRES_STAT!D563</f>
        <v>5.4180000000000001</v>
      </c>
      <c r="C560" s="2">
        <f t="shared" si="48"/>
        <v>5.6301328239466555</v>
      </c>
      <c r="D560" s="2">
        <f t="shared" si="50"/>
        <v>5.5827267946334773</v>
      </c>
      <c r="E560" s="2">
        <f t="shared" si="49"/>
        <v>4.7406029313178166E-2</v>
      </c>
      <c r="F560" s="2">
        <f t="shared" si="53"/>
        <v>5.3619042091784211E-2</v>
      </c>
      <c r="G560" s="2">
        <f t="shared" si="51"/>
        <v>-6.2130127786060446E-3</v>
      </c>
      <c r="H560" s="2" t="str">
        <f t="shared" si="52"/>
        <v>Hold</v>
      </c>
    </row>
    <row r="561" spans="1:8" ht="13.5" x14ac:dyDescent="0.25">
      <c r="A561" s="3">
        <f>TITRES_STAT!B564</f>
        <v>45733</v>
      </c>
      <c r="B561" s="5">
        <f>TITRES_STAT!D564</f>
        <v>5.4180000000000001</v>
      </c>
      <c r="C561" s="2">
        <f t="shared" si="48"/>
        <v>5.6018046971856315</v>
      </c>
      <c r="D561" s="2">
        <f t="shared" si="50"/>
        <v>5.5705248098458124</v>
      </c>
      <c r="E561" s="2">
        <f t="shared" si="49"/>
        <v>3.1279887339819012E-2</v>
      </c>
      <c r="F561" s="2">
        <f t="shared" si="53"/>
        <v>4.9151211141391177E-2</v>
      </c>
      <c r="G561" s="2">
        <f t="shared" si="51"/>
        <v>-1.7871323801572164E-2</v>
      </c>
      <c r="H561" s="2" t="str">
        <f t="shared" si="52"/>
        <v>Hold</v>
      </c>
    </row>
    <row r="562" spans="1:8" ht="13.5" x14ac:dyDescent="0.25">
      <c r="A562" s="3">
        <f>TITRES_STAT!B565</f>
        <v>45734</v>
      </c>
      <c r="B562" s="5">
        <f>TITRES_STAT!D565</f>
        <v>5.54</v>
      </c>
      <c r="C562" s="2">
        <f t="shared" si="48"/>
        <v>5.5778347437724571</v>
      </c>
      <c r="D562" s="2">
        <f t="shared" si="50"/>
        <v>5.5682637128201966</v>
      </c>
      <c r="E562" s="2">
        <f t="shared" si="49"/>
        <v>9.5710309522605286E-3</v>
      </c>
      <c r="F562" s="2">
        <f t="shared" si="53"/>
        <v>4.1235175103565051E-2</v>
      </c>
      <c r="G562" s="2">
        <f t="shared" si="51"/>
        <v>-3.1664144151304523E-2</v>
      </c>
      <c r="H562" s="2" t="str">
        <f t="shared" si="52"/>
        <v>Hold</v>
      </c>
    </row>
    <row r="563" spans="1:8" ht="13.5" x14ac:dyDescent="0.25">
      <c r="A563" s="3">
        <f>TITRES_STAT!B566</f>
        <v>45735</v>
      </c>
      <c r="B563" s="5">
        <f>TITRES_STAT!D566</f>
        <v>5.4180000000000001</v>
      </c>
      <c r="C563" s="2">
        <f t="shared" si="48"/>
        <v>5.5792447831920793</v>
      </c>
      <c r="D563" s="2">
        <f t="shared" si="50"/>
        <v>5.5571330674261086</v>
      </c>
      <c r="E563" s="2">
        <f t="shared" si="49"/>
        <v>2.2111715765970708E-2</v>
      </c>
      <c r="F563" s="2">
        <f t="shared" si="53"/>
        <v>3.7410483236046184E-2</v>
      </c>
      <c r="G563" s="2">
        <f t="shared" si="51"/>
        <v>-1.5298767470075476E-2</v>
      </c>
      <c r="H563" s="2" t="str">
        <f t="shared" si="52"/>
        <v>Hold</v>
      </c>
    </row>
    <row r="564" spans="1:8" ht="13.5" x14ac:dyDescent="0.25">
      <c r="A564" s="3">
        <f>TITRES_STAT!B567</f>
        <v>45737</v>
      </c>
      <c r="B564" s="5">
        <f>TITRES_STAT!D567</f>
        <v>5.4459999999999997</v>
      </c>
      <c r="C564" s="2">
        <f t="shared" si="48"/>
        <v>5.5818225088548363</v>
      </c>
      <c r="D564" s="2">
        <f t="shared" si="50"/>
        <v>5.5489009883575076</v>
      </c>
      <c r="E564" s="2">
        <f t="shared" si="49"/>
        <v>3.2921520497328771E-2</v>
      </c>
      <c r="F564" s="2">
        <f t="shared" si="53"/>
        <v>3.6512690688302707E-2</v>
      </c>
      <c r="G564" s="2">
        <f t="shared" si="51"/>
        <v>-3.5911701909739357E-3</v>
      </c>
      <c r="H564" s="2" t="str">
        <f t="shared" si="52"/>
        <v>Hold</v>
      </c>
    </row>
    <row r="565" spans="1:8" ht="13.5" x14ac:dyDescent="0.25">
      <c r="A565" s="3">
        <f>TITRES_STAT!B568</f>
        <v>45740</v>
      </c>
      <c r="B565" s="5">
        <f>TITRES_STAT!D568</f>
        <v>5.399</v>
      </c>
      <c r="C565" s="2">
        <f t="shared" si="48"/>
        <v>5.5826190459540923</v>
      </c>
      <c r="D565" s="2">
        <f t="shared" si="50"/>
        <v>5.5377972114421361</v>
      </c>
      <c r="E565" s="2">
        <f t="shared" si="49"/>
        <v>4.4821834511956204E-2</v>
      </c>
      <c r="F565" s="2">
        <f t="shared" si="53"/>
        <v>3.8174519453033406E-2</v>
      </c>
      <c r="G565" s="2">
        <f t="shared" si="51"/>
        <v>6.6473150589227981E-3</v>
      </c>
      <c r="H565" s="2" t="str">
        <f t="shared" si="52"/>
        <v>Sell</v>
      </c>
    </row>
    <row r="566" spans="1:8" ht="13.5" x14ac:dyDescent="0.25">
      <c r="A566" s="3">
        <f>TITRES_STAT!B569</f>
        <v>45741</v>
      </c>
      <c r="B566" s="5">
        <f>TITRES_STAT!D569</f>
        <v>5.39</v>
      </c>
      <c r="C566" s="2">
        <f t="shared" si="48"/>
        <v>5.5832930388842321</v>
      </c>
      <c r="D566" s="2">
        <f t="shared" si="50"/>
        <v>5.5268492698538294</v>
      </c>
      <c r="E566" s="2">
        <f t="shared" si="49"/>
        <v>5.6443769030402713E-2</v>
      </c>
      <c r="F566" s="2">
        <f t="shared" si="53"/>
        <v>4.182836936850727E-2</v>
      </c>
      <c r="G566" s="2">
        <f t="shared" si="51"/>
        <v>1.4615399661895442E-2</v>
      </c>
      <c r="H566" s="2" t="str">
        <f t="shared" si="52"/>
        <v>Sell</v>
      </c>
    </row>
    <row r="567" spans="1:8" ht="13.5" x14ac:dyDescent="0.25">
      <c r="A567" s="3">
        <f>TITRES_STAT!B570</f>
        <v>45742</v>
      </c>
      <c r="B567" s="5">
        <f>TITRES_STAT!D570</f>
        <v>5.4089999999999998</v>
      </c>
      <c r="C567" s="2">
        <f t="shared" si="48"/>
        <v>5.5694018021328118</v>
      </c>
      <c r="D567" s="2">
        <f t="shared" si="50"/>
        <v>5.5181196943091013</v>
      </c>
      <c r="E567" s="2">
        <f t="shared" si="49"/>
        <v>5.1282107823710454E-2</v>
      </c>
      <c r="F567" s="2">
        <f t="shared" si="53"/>
        <v>4.371911705954791E-2</v>
      </c>
      <c r="G567" s="2">
        <f t="shared" si="51"/>
        <v>7.5629907641625443E-3</v>
      </c>
      <c r="H567" s="2" t="str">
        <f t="shared" si="52"/>
        <v>Sell</v>
      </c>
    </row>
    <row r="568" spans="1:8" ht="13.5" x14ac:dyDescent="0.25">
      <c r="A568" s="3">
        <f>TITRES_STAT!B571</f>
        <v>45743</v>
      </c>
      <c r="B568" s="5">
        <f>TITRES_STAT!D571</f>
        <v>5.54</v>
      </c>
      <c r="C568" s="2">
        <f t="shared" si="48"/>
        <v>5.5533399864200721</v>
      </c>
      <c r="D568" s="2">
        <f t="shared" si="50"/>
        <v>5.5197404576936124</v>
      </c>
      <c r="E568" s="2">
        <f t="shared" si="49"/>
        <v>3.359952872645966E-2</v>
      </c>
      <c r="F568" s="2">
        <f t="shared" si="53"/>
        <v>4.169519939293026E-2</v>
      </c>
      <c r="G568" s="2">
        <f t="shared" si="51"/>
        <v>-8.0956706664706002E-3</v>
      </c>
      <c r="H568" s="2" t="str">
        <f t="shared" si="52"/>
        <v>Hold</v>
      </c>
    </row>
    <row r="569" spans="1:8" ht="13.5" x14ac:dyDescent="0.25">
      <c r="A569" s="3">
        <f>TITRES_STAT!B572</f>
        <v>45744</v>
      </c>
      <c r="B569" s="5">
        <f>TITRES_STAT!D572</f>
        <v>5.4459999999999997</v>
      </c>
      <c r="C569" s="2">
        <f t="shared" si="48"/>
        <v>5.5325184500477533</v>
      </c>
      <c r="D569" s="2">
        <f t="shared" si="50"/>
        <v>5.5142782015681595</v>
      </c>
      <c r="E569" s="2">
        <f t="shared" si="49"/>
        <v>1.8240248479593824E-2</v>
      </c>
      <c r="F569" s="2">
        <f t="shared" si="53"/>
        <v>3.7004209210262977E-2</v>
      </c>
      <c r="G569" s="2">
        <f t="shared" si="51"/>
        <v>-1.8763960730669153E-2</v>
      </c>
      <c r="H569" s="2" t="str">
        <f t="shared" si="52"/>
        <v>Hold</v>
      </c>
    </row>
    <row r="570" spans="1:8" ht="13.5" x14ac:dyDescent="0.25">
      <c r="A570" s="3">
        <f>TITRES_STAT!B573</f>
        <v>45749</v>
      </c>
      <c r="B570" s="5">
        <f>TITRES_STAT!D573</f>
        <v>5.4089999999999998</v>
      </c>
      <c r="C570" s="2">
        <f t="shared" si="48"/>
        <v>5.5149002269634835</v>
      </c>
      <c r="D570" s="2">
        <f t="shared" si="50"/>
        <v>5.5064798162668147</v>
      </c>
      <c r="E570" s="2">
        <f t="shared" si="49"/>
        <v>8.4204106966687675E-3</v>
      </c>
      <c r="F570" s="2">
        <f t="shared" si="53"/>
        <v>3.1287449507544141E-2</v>
      </c>
      <c r="G570" s="2">
        <f t="shared" si="51"/>
        <v>-2.2867038810875373E-2</v>
      </c>
      <c r="H570" s="2" t="str">
        <f t="shared" si="52"/>
        <v>Hold</v>
      </c>
    </row>
    <row r="571" spans="1:8" ht="13.5" x14ac:dyDescent="0.25">
      <c r="A571" s="3">
        <f>TITRES_STAT!B574</f>
        <v>45750</v>
      </c>
      <c r="B571" s="5">
        <f>TITRES_STAT!D574</f>
        <v>5.4459999999999997</v>
      </c>
      <c r="C571" s="2">
        <f t="shared" si="48"/>
        <v>5.4999924997383323</v>
      </c>
      <c r="D571" s="2">
        <f t="shared" si="50"/>
        <v>5.5019998298766799</v>
      </c>
      <c r="E571" s="2">
        <f t="shared" si="49"/>
        <v>-2.0073301383476405E-3</v>
      </c>
      <c r="F571" s="2">
        <f t="shared" si="53"/>
        <v>2.4628493578365784E-2</v>
      </c>
      <c r="G571" s="2">
        <f t="shared" si="51"/>
        <v>-2.6635823716713424E-2</v>
      </c>
      <c r="H571" s="2" t="str">
        <f t="shared" si="52"/>
        <v>Hold</v>
      </c>
    </row>
    <row r="572" spans="1:8" ht="13.5" x14ac:dyDescent="0.25">
      <c r="A572" s="3">
        <f>TITRES_STAT!B575</f>
        <v>45751</v>
      </c>
      <c r="B572" s="5">
        <f>TITRES_STAT!D575</f>
        <v>5.4269999999999996</v>
      </c>
      <c r="C572" s="2">
        <f t="shared" si="48"/>
        <v>5.5061474997785895</v>
      </c>
      <c r="D572" s="2">
        <f t="shared" si="50"/>
        <v>5.496444286922852</v>
      </c>
      <c r="E572" s="2">
        <f t="shared" si="49"/>
        <v>9.7032128557374975E-3</v>
      </c>
      <c r="F572" s="2">
        <f t="shared" si="53"/>
        <v>2.1643437433840128E-2</v>
      </c>
      <c r="G572" s="2">
        <f t="shared" si="51"/>
        <v>-1.1940224578102631E-2</v>
      </c>
      <c r="H572" s="2" t="str">
        <f t="shared" si="52"/>
        <v>Hold</v>
      </c>
    </row>
    <row r="573" spans="1:8" ht="13.5" x14ac:dyDescent="0.25">
      <c r="A573" s="3">
        <f>TITRES_STAT!B576</f>
        <v>45754</v>
      </c>
      <c r="B573" s="5">
        <f>TITRES_STAT!D576</f>
        <v>5.4930000000000003</v>
      </c>
      <c r="C573" s="2">
        <f t="shared" si="48"/>
        <v>5.4925863459664992</v>
      </c>
      <c r="D573" s="2">
        <f t="shared" si="50"/>
        <v>5.4961891545581967</v>
      </c>
      <c r="E573" s="2">
        <f t="shared" si="49"/>
        <v>-3.6028085916974817E-3</v>
      </c>
      <c r="F573" s="2">
        <f t="shared" si="53"/>
        <v>1.6594188228732605E-2</v>
      </c>
      <c r="G573" s="2">
        <f t="shared" si="51"/>
        <v>-2.0196996820430087E-2</v>
      </c>
      <c r="H573" s="2" t="str">
        <f t="shared" si="52"/>
        <v>Hold</v>
      </c>
    </row>
    <row r="574" spans="1:8" ht="13.5" x14ac:dyDescent="0.25">
      <c r="A574" s="3">
        <f>TITRES_STAT!B577</f>
        <v>45755</v>
      </c>
      <c r="B574" s="5">
        <f>TITRES_STAT!D577</f>
        <v>5.4930000000000003</v>
      </c>
      <c r="C574" s="2">
        <f t="shared" si="48"/>
        <v>5.4854192158178066</v>
      </c>
      <c r="D574" s="2">
        <f t="shared" si="50"/>
        <v>5.4959529208872198</v>
      </c>
      <c r="E574" s="2">
        <f t="shared" si="49"/>
        <v>-1.0533705069413202E-2</v>
      </c>
      <c r="F574" s="2">
        <f t="shared" si="53"/>
        <v>1.1168609569103444E-2</v>
      </c>
      <c r="G574" s="2">
        <f t="shared" si="51"/>
        <v>-2.1702314638516646E-2</v>
      </c>
      <c r="H574" s="2" t="str">
        <f t="shared" si="52"/>
        <v>Hold</v>
      </c>
    </row>
    <row r="575" spans="1:8" ht="13.5" x14ac:dyDescent="0.25">
      <c r="A575" s="3">
        <f>TITRES_STAT!B578</f>
        <v>45757</v>
      </c>
      <c r="B575" s="5">
        <f>TITRES_STAT!D578</f>
        <v>5.399</v>
      </c>
      <c r="C575" s="2">
        <f t="shared" si="48"/>
        <v>5.4721239518458367</v>
      </c>
      <c r="D575" s="2">
        <f t="shared" si="50"/>
        <v>5.488771223043722</v>
      </c>
      <c r="E575" s="2">
        <f t="shared" si="49"/>
        <v>-1.6647271197885338E-2</v>
      </c>
      <c r="F575" s="2">
        <f t="shared" si="53"/>
        <v>5.6054334157056886E-3</v>
      </c>
      <c r="G575" s="2">
        <f t="shared" si="51"/>
        <v>-2.2252704613591027E-2</v>
      </c>
      <c r="H575" s="2" t="str">
        <f t="shared" si="52"/>
        <v>Hold</v>
      </c>
    </row>
    <row r="576" spans="1:8" ht="13.5" x14ac:dyDescent="0.25">
      <c r="A576" s="3">
        <f>TITRES_STAT!B579</f>
        <v>45758</v>
      </c>
      <c r="B576" s="5">
        <f>TITRES_STAT!D579</f>
        <v>5.4269999999999996</v>
      </c>
      <c r="C576" s="2">
        <f t="shared" si="48"/>
        <v>5.4594894977157082</v>
      </c>
      <c r="D576" s="2">
        <f t="shared" si="50"/>
        <v>5.4841955768923354</v>
      </c>
      <c r="E576" s="2">
        <f t="shared" si="49"/>
        <v>-2.4706079176627149E-2</v>
      </c>
      <c r="F576" s="2">
        <f t="shared" si="53"/>
        <v>-4.5686910276087917E-4</v>
      </c>
      <c r="G576" s="2">
        <f t="shared" si="51"/>
        <v>-2.4249210073866271E-2</v>
      </c>
      <c r="H576" s="2" t="str">
        <f t="shared" si="52"/>
        <v>Hold</v>
      </c>
    </row>
    <row r="577" spans="1:8" ht="13.5" x14ac:dyDescent="0.25">
      <c r="A577" s="3">
        <f>TITRES_STAT!B580</f>
        <v>45761</v>
      </c>
      <c r="B577" s="5">
        <f>TITRES_STAT!D580</f>
        <v>5.4269999999999996</v>
      </c>
      <c r="C577" s="2">
        <f t="shared" si="48"/>
        <v>5.4517218826825227</v>
      </c>
      <c r="D577" s="2">
        <f t="shared" si="50"/>
        <v>5.4799588674929032</v>
      </c>
      <c r="E577" s="2">
        <f t="shared" si="49"/>
        <v>-2.8236984810380505E-2</v>
      </c>
      <c r="F577" s="2">
        <f t="shared" si="53"/>
        <v>-6.0128922442848048E-3</v>
      </c>
      <c r="G577" s="2">
        <f t="shared" si="51"/>
        <v>-2.2224092566095699E-2</v>
      </c>
      <c r="H577" s="2" t="str">
        <f t="shared" si="52"/>
        <v>Hold</v>
      </c>
    </row>
    <row r="578" spans="1:8" ht="13.5" x14ac:dyDescent="0.25">
      <c r="A578" s="3">
        <f>TITRES_STAT!B581</f>
        <v>45762</v>
      </c>
      <c r="B578" s="5">
        <f>TITRES_STAT!D581</f>
        <v>5.4269999999999996</v>
      </c>
      <c r="C578" s="2">
        <f t="shared" si="48"/>
        <v>5.4653031315005967</v>
      </c>
      <c r="D578" s="2">
        <f t="shared" si="50"/>
        <v>5.4760359884193548</v>
      </c>
      <c r="E578" s="2">
        <f t="shared" si="49"/>
        <v>-1.0732856918758138E-2</v>
      </c>
      <c r="F578" s="2">
        <f t="shared" si="53"/>
        <v>-6.9568851791794719E-3</v>
      </c>
      <c r="G578" s="2">
        <f t="shared" si="51"/>
        <v>-3.775971739578666E-3</v>
      </c>
      <c r="H578" s="2" t="str">
        <f t="shared" si="52"/>
        <v>Hold</v>
      </c>
    </row>
    <row r="579" spans="1:8" ht="13.5" x14ac:dyDescent="0.25">
      <c r="A579" s="3">
        <f>TITRES_STAT!B582</f>
        <v>45763</v>
      </c>
      <c r="B579" s="5">
        <f>TITRES_STAT!D582</f>
        <v>5.4269999999999996</v>
      </c>
      <c r="C579" s="2">
        <f t="shared" si="48"/>
        <v>5.4623334189620429</v>
      </c>
      <c r="D579" s="2">
        <f t="shared" si="50"/>
        <v>5.4724036929808841</v>
      </c>
      <c r="E579" s="2">
        <f t="shared" si="49"/>
        <v>-1.0070274018841197E-2</v>
      </c>
      <c r="F579" s="2">
        <f t="shared" si="53"/>
        <v>-7.5795629471118176E-3</v>
      </c>
      <c r="G579" s="2">
        <f t="shared" si="51"/>
        <v>-2.490711071729379E-3</v>
      </c>
      <c r="H579" s="2" t="str">
        <f t="shared" si="52"/>
        <v>Hold</v>
      </c>
    </row>
    <row r="580" spans="1:8" ht="13.5" x14ac:dyDescent="0.25">
      <c r="A580" s="3">
        <f>TITRES_STAT!B583</f>
        <v>45764</v>
      </c>
      <c r="B580" s="5">
        <f>TITRES_STAT!D583</f>
        <v>5.4459999999999997</v>
      </c>
      <c r="C580" s="2">
        <f t="shared" si="48"/>
        <v>5.4541282775832673</v>
      </c>
      <c r="D580" s="2">
        <f t="shared" si="50"/>
        <v>5.4704478638711889</v>
      </c>
      <c r="E580" s="2">
        <f t="shared" si="49"/>
        <v>-1.6319586287921517E-2</v>
      </c>
      <c r="F580" s="2">
        <f t="shared" si="53"/>
        <v>-9.3275676152737574E-3</v>
      </c>
      <c r="G580" s="2">
        <f t="shared" si="51"/>
        <v>-6.9920186726477596E-3</v>
      </c>
      <c r="H580" s="2" t="str">
        <f t="shared" si="52"/>
        <v>Hold</v>
      </c>
    </row>
    <row r="581" spans="1:8" ht="13.5" x14ac:dyDescent="0.25">
      <c r="A581" s="3">
        <f>TITRES_STAT!B584</f>
        <v>45765</v>
      </c>
      <c r="B581" s="5">
        <f>TITRES_STAT!D584</f>
        <v>5.4459999999999997</v>
      </c>
      <c r="C581" s="2">
        <f t="shared" si="48"/>
        <v>5.4528777733396874</v>
      </c>
      <c r="D581" s="2">
        <f t="shared" si="50"/>
        <v>5.4686369109918411</v>
      </c>
      <c r="E581" s="2">
        <f t="shared" si="49"/>
        <v>-1.5759137652153754E-2</v>
      </c>
      <c r="F581" s="2">
        <f t="shared" si="53"/>
        <v>-1.0613881622649757E-2</v>
      </c>
      <c r="G581" s="2">
        <f t="shared" si="51"/>
        <v>-5.1452560295039973E-3</v>
      </c>
      <c r="H581" s="2" t="str">
        <f t="shared" si="52"/>
        <v>Hold</v>
      </c>
    </row>
    <row r="582" spans="1:8" ht="13.5" x14ac:dyDescent="0.25">
      <c r="A582" s="3">
        <f>TITRES_STAT!B585</f>
        <v>45768</v>
      </c>
      <c r="B582" s="5">
        <f>TITRES_STAT!D585</f>
        <v>5.4930000000000003</v>
      </c>
      <c r="C582" s="2">
        <f t="shared" si="48"/>
        <v>5.4488965774412739</v>
      </c>
      <c r="D582" s="2">
        <f t="shared" si="50"/>
        <v>5.4704415842517049</v>
      </c>
      <c r="E582" s="2">
        <f t="shared" si="49"/>
        <v>-2.1545006810431033E-2</v>
      </c>
      <c r="F582" s="2">
        <f t="shared" si="53"/>
        <v>-1.2800106660206013E-2</v>
      </c>
      <c r="G582" s="2">
        <f t="shared" si="51"/>
        <v>-8.7449001502250198E-3</v>
      </c>
      <c r="H582" s="2" t="str">
        <f t="shared" si="52"/>
        <v>Hold</v>
      </c>
    </row>
    <row r="583" spans="1:8" ht="13.5" x14ac:dyDescent="0.25">
      <c r="A583" s="3">
        <f>TITRES_STAT!B586</f>
        <v>45769</v>
      </c>
      <c r="B583" s="5">
        <f>TITRES_STAT!D586</f>
        <v>5.6340000000000003</v>
      </c>
      <c r="C583" s="2">
        <f t="shared" si="48"/>
        <v>5.4556817193733851</v>
      </c>
      <c r="D583" s="2">
        <f t="shared" si="50"/>
        <v>5.4825570224552829</v>
      </c>
      <c r="E583" s="2">
        <f t="shared" si="49"/>
        <v>-2.6875303081897783E-2</v>
      </c>
      <c r="F583" s="2">
        <f t="shared" si="53"/>
        <v>-1.5615145944544367E-2</v>
      </c>
      <c r="G583" s="2">
        <f t="shared" si="51"/>
        <v>-1.1260157137353417E-2</v>
      </c>
      <c r="H583" s="2" t="str">
        <f t="shared" si="52"/>
        <v>Hold</v>
      </c>
    </row>
    <row r="584" spans="1:8" ht="13.5" x14ac:dyDescent="0.25">
      <c r="A584" s="3">
        <f>TITRES_STAT!B587</f>
        <v>45770</v>
      </c>
      <c r="B584" s="5">
        <f>TITRES_STAT!D587</f>
        <v>5.4180000000000001</v>
      </c>
      <c r="C584" s="2">
        <f t="shared" si="48"/>
        <v>5.4614229933159413</v>
      </c>
      <c r="D584" s="2">
        <f t="shared" si="50"/>
        <v>5.4777750207919285</v>
      </c>
      <c r="E584" s="2">
        <f t="shared" si="49"/>
        <v>-1.6352027475987185E-2</v>
      </c>
      <c r="F584" s="2">
        <f t="shared" si="53"/>
        <v>-1.5762522250832932E-2</v>
      </c>
      <c r="G584" s="2">
        <f t="shared" si="51"/>
        <v>-5.8950522515425346E-4</v>
      </c>
      <c r="H584" s="2" t="str">
        <f t="shared" si="52"/>
        <v>Hold</v>
      </c>
    </row>
    <row r="585" spans="1:8" ht="13.5" x14ac:dyDescent="0.25">
      <c r="A585" s="3">
        <f>TITRES_STAT!B588</f>
        <v>45771</v>
      </c>
      <c r="B585" s="5">
        <f>TITRES_STAT!D588</f>
        <v>5.625</v>
      </c>
      <c r="C585" s="2">
        <f t="shared" si="48"/>
        <v>5.4518194558827195</v>
      </c>
      <c r="D585" s="2">
        <f t="shared" si="50"/>
        <v>5.4886805748073417</v>
      </c>
      <c r="E585" s="2">
        <f t="shared" si="49"/>
        <v>-3.6861118924622183E-2</v>
      </c>
      <c r="F585" s="2">
        <f t="shared" si="53"/>
        <v>-1.9982241585590782E-2</v>
      </c>
      <c r="G585" s="2">
        <f t="shared" si="51"/>
        <v>-1.6878877339031401E-2</v>
      </c>
      <c r="H585" s="2" t="str">
        <f t="shared" si="52"/>
        <v>Hold</v>
      </c>
    </row>
    <row r="586" spans="1:8" ht="13.5" x14ac:dyDescent="0.25">
      <c r="A586" s="3">
        <f>TITRES_STAT!B589</f>
        <v>45772</v>
      </c>
      <c r="B586" s="5">
        <f>TITRES_STAT!D589</f>
        <v>5.5590000000000002</v>
      </c>
      <c r="C586" s="2">
        <f t="shared" si="48"/>
        <v>5.4480010780546086</v>
      </c>
      <c r="D586" s="2">
        <f t="shared" si="50"/>
        <v>5.4938894211179097</v>
      </c>
      <c r="E586" s="2">
        <f t="shared" si="49"/>
        <v>-4.5888343063301029E-2</v>
      </c>
      <c r="F586" s="2">
        <f t="shared" si="53"/>
        <v>-2.5163461881132831E-2</v>
      </c>
      <c r="G586" s="2">
        <f t="shared" si="51"/>
        <v>-2.0724881182168198E-2</v>
      </c>
      <c r="H586" s="2" t="str">
        <f t="shared" si="52"/>
        <v>Hold</v>
      </c>
    </row>
    <row r="587" spans="1:8" ht="13.5" x14ac:dyDescent="0.25">
      <c r="A587" s="3">
        <f>TITRES_STAT!B590</f>
        <v>45775</v>
      </c>
      <c r="B587" s="5">
        <f>TITRES_STAT!D590</f>
        <v>5.4459999999999997</v>
      </c>
      <c r="C587" s="2">
        <f t="shared" si="48"/>
        <v>5.4447701429692836</v>
      </c>
      <c r="D587" s="2">
        <f t="shared" si="50"/>
        <v>5.4903420565906567</v>
      </c>
      <c r="E587" s="2">
        <f t="shared" si="49"/>
        <v>-4.5571913621373028E-2</v>
      </c>
      <c r="F587" s="2">
        <f t="shared" si="53"/>
        <v>-2.9245152229180872E-2</v>
      </c>
      <c r="G587" s="2">
        <f t="shared" si="51"/>
        <v>-1.6326761392192156E-2</v>
      </c>
      <c r="H587" s="2" t="str">
        <f t="shared" si="52"/>
        <v>Hold</v>
      </c>
    </row>
    <row r="588" spans="1:8" ht="13.5" x14ac:dyDescent="0.25">
      <c r="A588" s="3">
        <f>TITRES_STAT!B591</f>
        <v>45776</v>
      </c>
      <c r="B588" s="5">
        <f>TITRES_STAT!D591</f>
        <v>5.4459999999999997</v>
      </c>
      <c r="C588" s="2">
        <f t="shared" si="48"/>
        <v>5.4420362748201629</v>
      </c>
      <c r="D588" s="2">
        <f t="shared" si="50"/>
        <v>5.487057459806163</v>
      </c>
      <c r="E588" s="2">
        <f t="shared" si="49"/>
        <v>-4.5021184986000051E-2</v>
      </c>
      <c r="F588" s="2">
        <f t="shared" si="53"/>
        <v>-3.2400358780544709E-2</v>
      </c>
      <c r="G588" s="2">
        <f t="shared" si="51"/>
        <v>-1.2620826205455342E-2</v>
      </c>
      <c r="H588" s="2" t="str">
        <f t="shared" si="52"/>
        <v>Hold</v>
      </c>
    </row>
    <row r="589" spans="1:8" ht="13.5" x14ac:dyDescent="0.25">
      <c r="A589" s="3">
        <f>TITRES_STAT!B592</f>
        <v>45777</v>
      </c>
      <c r="B589" s="5">
        <f>TITRES_STAT!D592</f>
        <v>5.6340000000000003</v>
      </c>
      <c r="C589" s="2">
        <f t="shared" si="48"/>
        <v>5.4397230017709068</v>
      </c>
      <c r="D589" s="2">
        <f t="shared" si="50"/>
        <v>5.4979420924131137</v>
      </c>
      <c r="E589" s="2">
        <f t="shared" si="49"/>
        <v>-5.8219090642206872E-2</v>
      </c>
      <c r="F589" s="2">
        <f t="shared" si="53"/>
        <v>-3.7564105152877142E-2</v>
      </c>
      <c r="G589" s="2">
        <f t="shared" si="51"/>
        <v>-2.065498548932973E-2</v>
      </c>
      <c r="H589" s="2" t="str">
        <f t="shared" si="52"/>
        <v>Hold</v>
      </c>
    </row>
    <row r="590" spans="1:8" ht="13.5" x14ac:dyDescent="0.25">
      <c r="A590" s="3">
        <f>TITRES_STAT!B593</f>
        <v>45779</v>
      </c>
      <c r="B590" s="5">
        <f>TITRES_STAT!D593</f>
        <v>5.6340000000000003</v>
      </c>
      <c r="C590" s="2">
        <f t="shared" si="48"/>
        <v>5.4406886938061518</v>
      </c>
      <c r="D590" s="2">
        <f t="shared" si="50"/>
        <v>5.5080204559380688</v>
      </c>
      <c r="E590" s="2">
        <f t="shared" si="49"/>
        <v>-6.7331762131916939E-2</v>
      </c>
      <c r="F590" s="2">
        <f t="shared" si="53"/>
        <v>-4.3517636548685103E-2</v>
      </c>
      <c r="G590" s="2">
        <f t="shared" si="51"/>
        <v>-2.3814125583231836E-2</v>
      </c>
      <c r="H590" s="2" t="str">
        <f t="shared" si="52"/>
        <v>Hold</v>
      </c>
    </row>
    <row r="591" spans="1:8" ht="13.5" x14ac:dyDescent="0.25">
      <c r="A591" s="3">
        <f>TITRES_STAT!B594</f>
        <v>45782</v>
      </c>
      <c r="B591" s="5">
        <f>TITRES_STAT!D594</f>
        <v>5.6340000000000003</v>
      </c>
      <c r="C591" s="2">
        <f t="shared" ref="C591:C654" si="54">$C$4*B581+C590*(1-$C$4)</f>
        <v>5.4415058178359743</v>
      </c>
      <c r="D591" s="2">
        <f t="shared" si="50"/>
        <v>5.5173522740167309</v>
      </c>
      <c r="E591" s="2">
        <f t="shared" si="49"/>
        <v>-7.5846456180756583E-2</v>
      </c>
      <c r="F591" s="2">
        <f t="shared" si="53"/>
        <v>-4.9983400475099402E-2</v>
      </c>
      <c r="G591" s="2">
        <f t="shared" si="51"/>
        <v>-2.5863055705657181E-2</v>
      </c>
      <c r="H591" s="2" t="str">
        <f t="shared" si="52"/>
        <v>Hold</v>
      </c>
    </row>
    <row r="592" spans="1:8" ht="13.5" x14ac:dyDescent="0.25">
      <c r="A592" s="3">
        <f>TITRES_STAT!B595</f>
        <v>45783</v>
      </c>
      <c r="B592" s="5">
        <f>TITRES_STAT!D595</f>
        <v>5.6340000000000003</v>
      </c>
      <c r="C592" s="2">
        <f t="shared" si="54"/>
        <v>5.4494279997073631</v>
      </c>
      <c r="D592" s="2">
        <f t="shared" si="50"/>
        <v>5.5259928463117882</v>
      </c>
      <c r="E592" s="2">
        <f t="shared" si="49"/>
        <v>-7.6564846604425085E-2</v>
      </c>
      <c r="F592" s="2">
        <f t="shared" si="53"/>
        <v>-5.5299689700964542E-2</v>
      </c>
      <c r="G592" s="2">
        <f t="shared" si="51"/>
        <v>-2.1265156903460543E-2</v>
      </c>
      <c r="H592" s="2" t="str">
        <f t="shared" si="52"/>
        <v>Hold</v>
      </c>
    </row>
    <row r="593" spans="1:8" ht="13.5" x14ac:dyDescent="0.25">
      <c r="A593" s="3">
        <f>TITRES_STAT!B596</f>
        <v>45784</v>
      </c>
      <c r="B593" s="5">
        <f>TITRES_STAT!D596</f>
        <v>5.5209999999999999</v>
      </c>
      <c r="C593" s="2">
        <f t="shared" si="54"/>
        <v>5.4778236920600767</v>
      </c>
      <c r="D593" s="2">
        <f t="shared" si="50"/>
        <v>5.5256230058442481</v>
      </c>
      <c r="E593" s="2">
        <f t="shared" si="49"/>
        <v>-4.779931378417146E-2</v>
      </c>
      <c r="F593" s="2">
        <f t="shared" si="53"/>
        <v>-5.3799614517605926E-2</v>
      </c>
      <c r="G593" s="2">
        <f t="shared" si="51"/>
        <v>6.000300733434466E-3</v>
      </c>
      <c r="H593" s="2" t="str">
        <f t="shared" si="52"/>
        <v>Sell</v>
      </c>
    </row>
    <row r="594" spans="1:8" ht="13.5" x14ac:dyDescent="0.25">
      <c r="A594" s="3">
        <f>TITRES_STAT!B597</f>
        <v>45785</v>
      </c>
      <c r="B594" s="5">
        <f>TITRES_STAT!D597</f>
        <v>5.5209999999999999</v>
      </c>
      <c r="C594" s="2">
        <f t="shared" si="54"/>
        <v>5.4686200471277573</v>
      </c>
      <c r="D594" s="2">
        <f t="shared" si="50"/>
        <v>5.5252805609668965</v>
      </c>
      <c r="E594" s="2">
        <f t="shared" si="49"/>
        <v>-5.666051383913917E-2</v>
      </c>
      <c r="F594" s="2">
        <f t="shared" si="53"/>
        <v>-5.4371794381912579E-2</v>
      </c>
      <c r="G594" s="2">
        <f t="shared" si="51"/>
        <v>-2.2887194572265915E-3</v>
      </c>
      <c r="H594" s="2" t="str">
        <f t="shared" si="52"/>
        <v>Hold</v>
      </c>
    </row>
    <row r="595" spans="1:8" ht="13.5" x14ac:dyDescent="0.25">
      <c r="A595" s="3">
        <f>TITRES_STAT!B598</f>
        <v>45786</v>
      </c>
      <c r="B595" s="5">
        <f>TITRES_STAT!D598</f>
        <v>5.54</v>
      </c>
      <c r="C595" s="2">
        <f t="shared" si="54"/>
        <v>5.4926785014157939</v>
      </c>
      <c r="D595" s="2">
        <f t="shared" si="50"/>
        <v>5.5263708897841637</v>
      </c>
      <c r="E595" s="2">
        <f t="shared" si="49"/>
        <v>-3.3692388368369741E-2</v>
      </c>
      <c r="F595" s="2">
        <f t="shared" si="53"/>
        <v>-5.0235913179204013E-2</v>
      </c>
      <c r="G595" s="2">
        <f t="shared" si="51"/>
        <v>1.6543524810834272E-2</v>
      </c>
      <c r="H595" s="2" t="str">
        <f t="shared" si="52"/>
        <v>Sell</v>
      </c>
    </row>
    <row r="596" spans="1:8" ht="13.5" x14ac:dyDescent="0.25">
      <c r="A596" s="3">
        <f>TITRES_STAT!B599</f>
        <v>45789</v>
      </c>
      <c r="B596" s="5">
        <f>TITRES_STAT!D599</f>
        <v>5.625</v>
      </c>
      <c r="C596" s="2">
        <f t="shared" si="54"/>
        <v>5.5028818088902876</v>
      </c>
      <c r="D596" s="2">
        <f t="shared" si="50"/>
        <v>5.5336767498001516</v>
      </c>
      <c r="E596" s="2">
        <f t="shared" si="49"/>
        <v>-3.079494090986401E-2</v>
      </c>
      <c r="F596" s="2">
        <f t="shared" si="53"/>
        <v>-4.6347718725336016E-2</v>
      </c>
      <c r="G596" s="2">
        <f t="shared" si="51"/>
        <v>1.5552777815472006E-2</v>
      </c>
      <c r="H596" s="2" t="str">
        <f t="shared" si="52"/>
        <v>Sell</v>
      </c>
    </row>
    <row r="597" spans="1:8" ht="13.5" x14ac:dyDescent="0.25">
      <c r="A597" s="3">
        <f>TITRES_STAT!B600</f>
        <v>45790</v>
      </c>
      <c r="B597" s="5">
        <f>TITRES_STAT!D600</f>
        <v>5.625</v>
      </c>
      <c r="C597" s="2">
        <f t="shared" si="54"/>
        <v>5.4941307613687043</v>
      </c>
      <c r="D597" s="2">
        <f t="shared" si="50"/>
        <v>5.5404414350001403</v>
      </c>
      <c r="E597" s="2">
        <f t="shared" si="49"/>
        <v>-4.6310673631436039E-2</v>
      </c>
      <c r="F597" s="2">
        <f t="shared" si="53"/>
        <v>-4.6340309706556025E-2</v>
      </c>
      <c r="G597" s="2">
        <f t="shared" si="51"/>
        <v>2.9636075119986172E-5</v>
      </c>
      <c r="H597" s="2" t="str">
        <f t="shared" si="52"/>
        <v>Sell</v>
      </c>
    </row>
    <row r="598" spans="1:8" ht="13.5" x14ac:dyDescent="0.25">
      <c r="A598" s="3">
        <f>TITRES_STAT!B601</f>
        <v>45791</v>
      </c>
      <c r="B598" s="5">
        <f>TITRES_STAT!D601</f>
        <v>5.625</v>
      </c>
      <c r="C598" s="2">
        <f t="shared" si="54"/>
        <v>5.486726028850442</v>
      </c>
      <c r="D598" s="2">
        <f t="shared" si="50"/>
        <v>5.5467050324075373</v>
      </c>
      <c r="E598" s="2">
        <f t="shared" si="49"/>
        <v>-5.997900355709529E-2</v>
      </c>
      <c r="F598" s="2">
        <f t="shared" si="53"/>
        <v>-4.9068048476663878E-2</v>
      </c>
      <c r="G598" s="2">
        <f t="shared" si="51"/>
        <v>-1.0910955080431411E-2</v>
      </c>
      <c r="H598" s="2" t="str">
        <f t="shared" si="52"/>
        <v>Hold</v>
      </c>
    </row>
    <row r="599" spans="1:8" ht="13.5" x14ac:dyDescent="0.25">
      <c r="A599" s="3">
        <f>TITRES_STAT!B602</f>
        <v>45792</v>
      </c>
      <c r="B599" s="5">
        <f>TITRES_STAT!D602</f>
        <v>5.4930000000000003</v>
      </c>
      <c r="C599" s="2">
        <f t="shared" si="54"/>
        <v>5.5093835628734507</v>
      </c>
      <c r="D599" s="2">
        <f t="shared" si="50"/>
        <v>5.5427268818588313</v>
      </c>
      <c r="E599" s="2">
        <f t="shared" si="49"/>
        <v>-3.3343318985380677E-2</v>
      </c>
      <c r="F599" s="2">
        <f t="shared" si="53"/>
        <v>-4.5923102578407246E-2</v>
      </c>
      <c r="G599" s="2">
        <f t="shared" si="51"/>
        <v>1.2579783593026569E-2</v>
      </c>
      <c r="H599" s="2" t="str">
        <f t="shared" si="52"/>
        <v>Sell</v>
      </c>
    </row>
    <row r="600" spans="1:8" ht="13.5" x14ac:dyDescent="0.25">
      <c r="A600" s="3">
        <f>TITRES_STAT!B603</f>
        <v>45793</v>
      </c>
      <c r="B600" s="5">
        <f>TITRES_STAT!D603</f>
        <v>5.4649999999999999</v>
      </c>
      <c r="C600" s="2">
        <f t="shared" si="54"/>
        <v>5.528555322431381</v>
      </c>
      <c r="D600" s="2">
        <f t="shared" si="50"/>
        <v>5.5369693350544731</v>
      </c>
      <c r="E600" s="2">
        <f t="shared" si="49"/>
        <v>-8.4140126230920487E-3</v>
      </c>
      <c r="F600" s="2">
        <f t="shared" si="53"/>
        <v>-3.8421284587344208E-2</v>
      </c>
      <c r="G600" s="2">
        <f t="shared" si="51"/>
        <v>3.0007271964252159E-2</v>
      </c>
      <c r="H600" s="2" t="str">
        <f t="shared" si="52"/>
        <v>Sell</v>
      </c>
    </row>
    <row r="601" spans="1:8" ht="13.5" x14ac:dyDescent="0.25">
      <c r="A601" s="3">
        <f>TITRES_STAT!B604</f>
        <v>45796</v>
      </c>
      <c r="B601" s="5">
        <f>TITRES_STAT!D604</f>
        <v>5.5960000000000001</v>
      </c>
      <c r="C601" s="2">
        <f t="shared" si="54"/>
        <v>5.5447775805188613</v>
      </c>
      <c r="D601" s="2">
        <f t="shared" si="50"/>
        <v>5.5413419769022898</v>
      </c>
      <c r="E601" s="2">
        <f t="shared" si="49"/>
        <v>3.4356036165714698E-3</v>
      </c>
      <c r="F601" s="2">
        <f t="shared" si="53"/>
        <v>-3.0049906946561074E-2</v>
      </c>
      <c r="G601" s="2">
        <f t="shared" si="51"/>
        <v>3.3485510563132544E-2</v>
      </c>
      <c r="H601" s="2" t="str">
        <f t="shared" si="52"/>
        <v>Sell</v>
      </c>
    </row>
    <row r="602" spans="1:8" ht="13.5" x14ac:dyDescent="0.25">
      <c r="A602" s="3">
        <f>TITRES_STAT!B605</f>
        <v>45797</v>
      </c>
      <c r="B602" s="5">
        <f>TITRES_STAT!D605</f>
        <v>5.5679999999999996</v>
      </c>
      <c r="C602" s="2">
        <f t="shared" si="54"/>
        <v>5.5585041065928831</v>
      </c>
      <c r="D602" s="2">
        <f t="shared" si="50"/>
        <v>5.5433166452798979</v>
      </c>
      <c r="E602" s="2">
        <f t="shared" si="49"/>
        <v>1.5187461312985207E-2</v>
      </c>
      <c r="F602" s="2">
        <f t="shared" si="53"/>
        <v>-2.1002433294651821E-2</v>
      </c>
      <c r="G602" s="2">
        <f t="shared" si="51"/>
        <v>3.6189894607637024E-2</v>
      </c>
      <c r="H602" s="2" t="str">
        <f t="shared" si="52"/>
        <v>Sell</v>
      </c>
    </row>
    <row r="603" spans="1:8" ht="13.5" x14ac:dyDescent="0.25">
      <c r="A603" s="3">
        <f>TITRES_STAT!B606</f>
        <v>45798</v>
      </c>
      <c r="B603" s="5">
        <f>TITRES_STAT!D606</f>
        <v>5.5679999999999996</v>
      </c>
      <c r="C603" s="2">
        <f t="shared" si="54"/>
        <v>5.5527342440401313</v>
      </c>
      <c r="D603" s="2">
        <f t="shared" si="50"/>
        <v>5.5451450419258315</v>
      </c>
      <c r="E603" s="2">
        <f t="shared" si="49"/>
        <v>7.589202114299809E-3</v>
      </c>
      <c r="F603" s="2">
        <f t="shared" si="53"/>
        <v>-1.5284106212861494E-2</v>
      </c>
      <c r="G603" s="2">
        <f t="shared" si="51"/>
        <v>2.2873308327161303E-2</v>
      </c>
      <c r="H603" s="2" t="str">
        <f t="shared" si="52"/>
        <v>Sell</v>
      </c>
    </row>
    <row r="604" spans="1:8" ht="13.5" x14ac:dyDescent="0.25">
      <c r="A604" s="3">
        <f>TITRES_STAT!B607</f>
        <v>45799</v>
      </c>
      <c r="B604" s="5">
        <f>TITRES_STAT!D607</f>
        <v>5.5019999999999998</v>
      </c>
      <c r="C604" s="2">
        <f t="shared" si="54"/>
        <v>5.5478520526493416</v>
      </c>
      <c r="D604" s="2">
        <f t="shared" si="50"/>
        <v>5.5419491128942884</v>
      </c>
      <c r="E604" s="2">
        <f t="shared" ref="E604:E667" si="55">C604-D604</f>
        <v>5.9029397550531826E-3</v>
      </c>
      <c r="F604" s="2">
        <f t="shared" si="53"/>
        <v>-1.1046697019278559E-2</v>
      </c>
      <c r="G604" s="2">
        <f t="shared" si="51"/>
        <v>1.6949636774331742E-2</v>
      </c>
      <c r="H604" s="2" t="str">
        <f t="shared" si="52"/>
        <v>Sell</v>
      </c>
    </row>
    <row r="605" spans="1:8" ht="13.5" x14ac:dyDescent="0.25">
      <c r="A605" s="3">
        <f>TITRES_STAT!B608</f>
        <v>45800</v>
      </c>
      <c r="B605" s="5">
        <f>TITRES_STAT!D608</f>
        <v>5.5869999999999997</v>
      </c>
      <c r="C605" s="2">
        <f t="shared" si="54"/>
        <v>5.5466440445494429</v>
      </c>
      <c r="D605" s="2">
        <f t="shared" ref="D605:D668" si="56">$D$4*B605+(1-$D$4)*D604</f>
        <v>5.5452862156428591</v>
      </c>
      <c r="E605" s="2">
        <f t="shared" si="55"/>
        <v>1.3578289065838689E-3</v>
      </c>
      <c r="F605" s="2">
        <f t="shared" si="53"/>
        <v>-8.5657918341060738E-3</v>
      </c>
      <c r="G605" s="2">
        <f t="shared" si="51"/>
        <v>9.9236207406899427E-3</v>
      </c>
      <c r="H605" s="2" t="str">
        <f t="shared" si="52"/>
        <v>Sell</v>
      </c>
    </row>
    <row r="606" spans="1:8" ht="13.5" x14ac:dyDescent="0.25">
      <c r="A606" s="3">
        <f>TITRES_STAT!B609</f>
        <v>45803</v>
      </c>
      <c r="B606" s="5">
        <f>TITRES_STAT!D609</f>
        <v>5.5869999999999997</v>
      </c>
      <c r="C606" s="2">
        <f t="shared" si="54"/>
        <v>5.5586988069264525</v>
      </c>
      <c r="D606" s="2">
        <f t="shared" si="56"/>
        <v>5.5483761255952393</v>
      </c>
      <c r="E606" s="2">
        <f t="shared" si="55"/>
        <v>1.0322681331213168E-2</v>
      </c>
      <c r="F606" s="2">
        <f t="shared" si="53"/>
        <v>-4.7880972010422261E-3</v>
      </c>
      <c r="G606" s="2">
        <f t="shared" si="51"/>
        <v>1.5110778532255394E-2</v>
      </c>
      <c r="H606" s="2" t="str">
        <f t="shared" si="52"/>
        <v>Sell</v>
      </c>
    </row>
    <row r="607" spans="1:8" ht="13.5" x14ac:dyDescent="0.25">
      <c r="A607" s="3">
        <f>TITRES_STAT!B610</f>
        <v>45804</v>
      </c>
      <c r="B607" s="5">
        <f>TITRES_STAT!D610</f>
        <v>5.625</v>
      </c>
      <c r="C607" s="2">
        <f t="shared" si="54"/>
        <v>5.5688989904762298</v>
      </c>
      <c r="D607" s="2">
        <f t="shared" si="56"/>
        <v>5.5540519681437406</v>
      </c>
      <c r="E607" s="2">
        <f t="shared" si="55"/>
        <v>1.4847022332489246E-2</v>
      </c>
      <c r="F607" s="2">
        <f t="shared" si="53"/>
        <v>-8.6107329433593189E-4</v>
      </c>
      <c r="G607" s="2">
        <f t="shared" si="51"/>
        <v>1.5708095626825177E-2</v>
      </c>
      <c r="H607" s="2" t="str">
        <f t="shared" si="52"/>
        <v>Sell</v>
      </c>
    </row>
    <row r="608" spans="1:8" ht="13.5" x14ac:dyDescent="0.25">
      <c r="A608" s="3">
        <f>TITRES_STAT!B611</f>
        <v>45805</v>
      </c>
      <c r="B608" s="5">
        <f>TITRES_STAT!D611</f>
        <v>5.6340000000000003</v>
      </c>
      <c r="C608" s="2">
        <f t="shared" si="54"/>
        <v>5.5775299150183475</v>
      </c>
      <c r="D608" s="2">
        <f t="shared" si="56"/>
        <v>5.5599740445775376</v>
      </c>
      <c r="E608" s="2">
        <f t="shared" si="55"/>
        <v>1.7555870440809862E-2</v>
      </c>
      <c r="F608" s="2">
        <f t="shared" si="53"/>
        <v>2.8223154526932272E-3</v>
      </c>
      <c r="G608" s="2">
        <f t="shared" si="51"/>
        <v>1.4733554988116635E-2</v>
      </c>
      <c r="H608" s="2" t="str">
        <f t="shared" si="52"/>
        <v>Sell</v>
      </c>
    </row>
    <row r="609" spans="1:8" ht="13.5" x14ac:dyDescent="0.25">
      <c r="A609" s="3">
        <f>TITRES_STAT!B612</f>
        <v>45806</v>
      </c>
      <c r="B609" s="5">
        <f>TITRES_STAT!D612</f>
        <v>5.6340000000000003</v>
      </c>
      <c r="C609" s="2">
        <f t="shared" si="54"/>
        <v>5.5645253127078327</v>
      </c>
      <c r="D609" s="2">
        <f t="shared" si="56"/>
        <v>5.5654574486829054</v>
      </c>
      <c r="E609" s="2">
        <f t="shared" si="55"/>
        <v>-9.3213597507268986E-4</v>
      </c>
      <c r="F609" s="2">
        <f t="shared" si="53"/>
        <v>2.071425167140044E-3</v>
      </c>
      <c r="G609" s="2">
        <f t="shared" si="51"/>
        <v>-3.0035611422127339E-3</v>
      </c>
      <c r="H609" s="2" t="str">
        <f t="shared" si="52"/>
        <v>Hold</v>
      </c>
    </row>
    <row r="610" spans="1:8" ht="13.5" x14ac:dyDescent="0.25">
      <c r="A610" s="3">
        <f>TITRES_STAT!B613</f>
        <v>45807</v>
      </c>
      <c r="B610" s="5">
        <f>TITRES_STAT!D613</f>
        <v>5.625</v>
      </c>
      <c r="C610" s="2">
        <f t="shared" si="54"/>
        <v>5.5492137261373973</v>
      </c>
      <c r="D610" s="2">
        <f t="shared" si="56"/>
        <v>5.5698680080397276</v>
      </c>
      <c r="E610" s="2">
        <f t="shared" si="55"/>
        <v>-2.0654281902330318E-2</v>
      </c>
      <c r="F610" s="2">
        <f t="shared" si="53"/>
        <v>-2.4737162467540286E-3</v>
      </c>
      <c r="G610" s="2">
        <f t="shared" si="51"/>
        <v>-1.818056565557629E-2</v>
      </c>
      <c r="H610" s="2" t="str">
        <f t="shared" si="52"/>
        <v>Hold</v>
      </c>
    </row>
    <row r="611" spans="1:8" ht="13.5" x14ac:dyDescent="0.25">
      <c r="A611" s="3">
        <f>TITRES_STAT!B614</f>
        <v>45810</v>
      </c>
      <c r="B611" s="5">
        <f>TITRES_STAT!D614</f>
        <v>5.6150000000000002</v>
      </c>
      <c r="C611" s="2">
        <f t="shared" si="54"/>
        <v>5.5564116144239515</v>
      </c>
      <c r="D611" s="2">
        <f t="shared" si="56"/>
        <v>5.573211118555303</v>
      </c>
      <c r="E611" s="2">
        <f t="shared" si="55"/>
        <v>-1.6799504131351561E-2</v>
      </c>
      <c r="F611" s="2">
        <f t="shared" si="53"/>
        <v>-5.3388738236735348E-3</v>
      </c>
      <c r="G611" s="2">
        <f t="shared" si="51"/>
        <v>-1.1460630307678027E-2</v>
      </c>
      <c r="H611" s="2" t="str">
        <f t="shared" si="52"/>
        <v>Hold</v>
      </c>
    </row>
    <row r="612" spans="1:8" ht="13.5" x14ac:dyDescent="0.25">
      <c r="A612" s="3">
        <f>TITRES_STAT!B615</f>
        <v>45811</v>
      </c>
      <c r="B612" s="5">
        <f>TITRES_STAT!D615</f>
        <v>5.6150000000000002</v>
      </c>
      <c r="C612" s="2">
        <f t="shared" si="54"/>
        <v>5.5581944429741128</v>
      </c>
      <c r="D612" s="2">
        <f t="shared" si="56"/>
        <v>5.5763065912549106</v>
      </c>
      <c r="E612" s="2">
        <f t="shared" si="55"/>
        <v>-1.8112148280797769E-2</v>
      </c>
      <c r="F612" s="2">
        <f t="shared" si="53"/>
        <v>-7.8935287150983819E-3</v>
      </c>
      <c r="G612" s="2">
        <f t="shared" ref="G612:G675" si="57">E612-F612</f>
        <v>-1.0218619565699387E-2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45812</v>
      </c>
      <c r="B613" s="5">
        <f>TITRES_STAT!D616</f>
        <v>5.5209999999999999</v>
      </c>
      <c r="C613" s="2">
        <f t="shared" si="54"/>
        <v>5.5597029902088648</v>
      </c>
      <c r="D613" s="2">
        <f t="shared" si="56"/>
        <v>5.5722098067175097</v>
      </c>
      <c r="E613" s="2">
        <f t="shared" si="55"/>
        <v>-1.2506816508644825E-2</v>
      </c>
      <c r="F613" s="2">
        <f t="shared" ref="F613:F676" si="59">(E613*(2/(10)))+((1-(2/10))*F612)</f>
        <v>-8.8161862738076711E-3</v>
      </c>
      <c r="G613" s="2">
        <f t="shared" si="57"/>
        <v>-3.6906302348371535E-3</v>
      </c>
      <c r="H613" s="2" t="str">
        <f t="shared" si="58"/>
        <v>Hold</v>
      </c>
    </row>
    <row r="614" spans="1:8" ht="13.5" x14ac:dyDescent="0.25">
      <c r="A614" s="3">
        <f>TITRES_STAT!B617</f>
        <v>45813</v>
      </c>
      <c r="B614" s="5">
        <f>TITRES_STAT!D617</f>
        <v>5.5209999999999999</v>
      </c>
      <c r="C614" s="2">
        <f t="shared" si="54"/>
        <v>5.5508256070998083</v>
      </c>
      <c r="D614" s="2">
        <f t="shared" si="56"/>
        <v>5.5684164877013975</v>
      </c>
      <c r="E614" s="2">
        <f t="shared" si="55"/>
        <v>-1.7590880601589198E-2</v>
      </c>
      <c r="F614" s="2">
        <f t="shared" si="59"/>
        <v>-1.0571125139363978E-2</v>
      </c>
      <c r="G614" s="2">
        <f t="shared" si="57"/>
        <v>-7.0197554622252207E-3</v>
      </c>
      <c r="H614" s="2" t="str">
        <f t="shared" si="58"/>
        <v>Hold</v>
      </c>
    </row>
    <row r="615" spans="1:8" ht="13.5" x14ac:dyDescent="0.25">
      <c r="A615" s="3">
        <f>TITRES_STAT!B618</f>
        <v>45817</v>
      </c>
      <c r="B615" s="5">
        <f>TITRES_STAT!D618</f>
        <v>5.5679999999999996</v>
      </c>
      <c r="C615" s="2">
        <f t="shared" si="54"/>
        <v>5.5563908983152226</v>
      </c>
      <c r="D615" s="2">
        <f t="shared" si="56"/>
        <v>5.5683856367605538</v>
      </c>
      <c r="E615" s="2">
        <f t="shared" si="55"/>
        <v>-1.1994738445331166E-2</v>
      </c>
      <c r="F615" s="2">
        <f t="shared" si="59"/>
        <v>-1.0855847800557416E-2</v>
      </c>
      <c r="G615" s="2">
        <f t="shared" si="57"/>
        <v>-1.1388906447737501E-3</v>
      </c>
      <c r="H615" s="2" t="str">
        <f t="shared" si="58"/>
        <v>Hold</v>
      </c>
    </row>
    <row r="616" spans="1:8" ht="13.5" x14ac:dyDescent="0.25">
      <c r="A616" s="3">
        <f>TITRES_STAT!B619</f>
        <v>45818</v>
      </c>
      <c r="B616" s="5">
        <f>TITRES_STAT!D619</f>
        <v>5.6150000000000002</v>
      </c>
      <c r="C616" s="2">
        <f t="shared" si="54"/>
        <v>5.561099990882111</v>
      </c>
      <c r="D616" s="2">
        <f t="shared" si="56"/>
        <v>5.5718385525560681</v>
      </c>
      <c r="E616" s="2">
        <f t="shared" si="55"/>
        <v>-1.0738561673957037E-2</v>
      </c>
      <c r="F616" s="2">
        <f t="shared" si="59"/>
        <v>-1.0832390575237341E-2</v>
      </c>
      <c r="G616" s="2">
        <f t="shared" si="57"/>
        <v>9.3828901280304522E-5</v>
      </c>
      <c r="H616" s="2" t="str">
        <f t="shared" si="58"/>
        <v>Sell</v>
      </c>
    </row>
    <row r="617" spans="1:8" ht="13.5" x14ac:dyDescent="0.25">
      <c r="A617" s="3">
        <f>TITRES_STAT!B620</f>
        <v>45819</v>
      </c>
      <c r="B617" s="5">
        <f>TITRES_STAT!D620</f>
        <v>5.6150000000000002</v>
      </c>
      <c r="C617" s="2">
        <f t="shared" si="54"/>
        <v>5.5709307615156316</v>
      </c>
      <c r="D617" s="2">
        <f t="shared" si="56"/>
        <v>5.5750356968111738</v>
      </c>
      <c r="E617" s="2">
        <f t="shared" si="55"/>
        <v>-4.1049352955422336E-3</v>
      </c>
      <c r="F617" s="2">
        <f t="shared" si="59"/>
        <v>-9.4868995192983196E-3</v>
      </c>
      <c r="G617" s="2">
        <f t="shared" si="57"/>
        <v>5.3819642237560861E-3</v>
      </c>
      <c r="H617" s="2" t="str">
        <f t="shared" si="58"/>
        <v>Sell</v>
      </c>
    </row>
    <row r="618" spans="1:8" ht="13.5" x14ac:dyDescent="0.25">
      <c r="A618" s="3">
        <f>TITRES_STAT!B621</f>
        <v>45820</v>
      </c>
      <c r="B618" s="5">
        <f>TITRES_STAT!D621</f>
        <v>5.6150000000000002</v>
      </c>
      <c r="C618" s="2">
        <f t="shared" si="54"/>
        <v>5.5806337212824575</v>
      </c>
      <c r="D618" s="2">
        <f t="shared" si="56"/>
        <v>5.5779960155659012</v>
      </c>
      <c r="E618" s="2">
        <f t="shared" si="55"/>
        <v>2.6377057165563045E-3</v>
      </c>
      <c r="F618" s="2">
        <f t="shared" si="59"/>
        <v>-7.0619784721273953E-3</v>
      </c>
      <c r="G618" s="2">
        <f t="shared" si="57"/>
        <v>9.6996841886837007E-3</v>
      </c>
      <c r="H618" s="2" t="str">
        <f t="shared" si="58"/>
        <v>Sell</v>
      </c>
    </row>
    <row r="619" spans="1:8" ht="13.5" x14ac:dyDescent="0.25">
      <c r="A619" s="3">
        <f>TITRES_STAT!B622</f>
        <v>45821</v>
      </c>
      <c r="B619" s="5">
        <f>TITRES_STAT!D622</f>
        <v>5.54</v>
      </c>
      <c r="C619" s="2">
        <f t="shared" si="54"/>
        <v>5.5888439180082337</v>
      </c>
      <c r="D619" s="2">
        <f t="shared" si="56"/>
        <v>5.5751814958943529</v>
      </c>
      <c r="E619" s="2">
        <f t="shared" si="55"/>
        <v>1.3662422113880801E-2</v>
      </c>
      <c r="F619" s="2">
        <f t="shared" si="59"/>
        <v>-2.9170983549257567E-3</v>
      </c>
      <c r="G619" s="2">
        <f t="shared" si="57"/>
        <v>1.6579520468806556E-2</v>
      </c>
      <c r="H619" s="2" t="str">
        <f t="shared" si="58"/>
        <v>Sell</v>
      </c>
    </row>
    <row r="620" spans="1:8" ht="13.5" x14ac:dyDescent="0.25">
      <c r="A620" s="3">
        <f>TITRES_STAT!B623</f>
        <v>45824</v>
      </c>
      <c r="B620" s="5">
        <f>TITRES_STAT!D623</f>
        <v>5.54</v>
      </c>
      <c r="C620" s="2">
        <f t="shared" si="54"/>
        <v>5.5944063921608134</v>
      </c>
      <c r="D620" s="2">
        <f t="shared" si="56"/>
        <v>5.5725754591614374</v>
      </c>
      <c r="E620" s="2">
        <f t="shared" si="55"/>
        <v>2.1830932999375996E-2</v>
      </c>
      <c r="F620" s="2">
        <f t="shared" si="59"/>
        <v>2.0325079159345936E-3</v>
      </c>
      <c r="G620" s="2">
        <f t="shared" si="57"/>
        <v>1.9798425083441401E-2</v>
      </c>
      <c r="H620" s="2" t="str">
        <f t="shared" si="58"/>
        <v>Sell</v>
      </c>
    </row>
    <row r="621" spans="1:8" ht="13.5" x14ac:dyDescent="0.25">
      <c r="A621" s="3">
        <f>TITRES_STAT!B624</f>
        <v>45825</v>
      </c>
      <c r="B621" s="5">
        <f>TITRES_STAT!D624</f>
        <v>5.54</v>
      </c>
      <c r="C621" s="2">
        <f t="shared" si="54"/>
        <v>5.5975746395206887</v>
      </c>
      <c r="D621" s="2">
        <f t="shared" si="56"/>
        <v>5.5701624621865164</v>
      </c>
      <c r="E621" s="2">
        <f t="shared" si="55"/>
        <v>2.7412177334172227E-2</v>
      </c>
      <c r="F621" s="2">
        <f t="shared" si="59"/>
        <v>7.1084417995821211E-3</v>
      </c>
      <c r="G621" s="2">
        <f t="shared" si="57"/>
        <v>2.0303735534590105E-2</v>
      </c>
      <c r="H621" s="2" t="str">
        <f t="shared" si="58"/>
        <v>Sell</v>
      </c>
    </row>
    <row r="622" spans="1:8" ht="13.5" x14ac:dyDescent="0.25">
      <c r="A622" s="3">
        <f>TITRES_STAT!B625</f>
        <v>45826</v>
      </c>
      <c r="B622" s="5">
        <f>TITRES_STAT!D625</f>
        <v>5.5869999999999997</v>
      </c>
      <c r="C622" s="2">
        <f t="shared" si="54"/>
        <v>5.6002554642098135</v>
      </c>
      <c r="D622" s="2">
        <f t="shared" si="56"/>
        <v>5.5714096872097372</v>
      </c>
      <c r="E622" s="2">
        <f t="shared" si="55"/>
        <v>2.8845777000076289E-2</v>
      </c>
      <c r="F622" s="2">
        <f t="shared" si="59"/>
        <v>1.1455908839680956E-2</v>
      </c>
      <c r="G622" s="2">
        <f t="shared" si="57"/>
        <v>1.7389868160395332E-2</v>
      </c>
      <c r="H622" s="2" t="str">
        <f t="shared" si="58"/>
        <v>Sell</v>
      </c>
    </row>
    <row r="623" spans="1:8" ht="13.5" x14ac:dyDescent="0.25">
      <c r="A623" s="3">
        <f>TITRES_STAT!B626</f>
        <v>45827</v>
      </c>
      <c r="B623" s="5">
        <f>TITRES_STAT!D626</f>
        <v>5.54</v>
      </c>
      <c r="C623" s="2">
        <f t="shared" si="54"/>
        <v>5.5880623158698413</v>
      </c>
      <c r="D623" s="2">
        <f t="shared" si="56"/>
        <v>5.5690830437127197</v>
      </c>
      <c r="E623" s="2">
        <f t="shared" si="55"/>
        <v>1.8979272157121585E-2</v>
      </c>
      <c r="F623" s="2">
        <f t="shared" si="59"/>
        <v>1.2960581503169083E-2</v>
      </c>
      <c r="G623" s="2">
        <f t="shared" si="57"/>
        <v>6.0186906539525017E-3</v>
      </c>
      <c r="H623" s="2" t="str">
        <f t="shared" si="58"/>
        <v>Sell</v>
      </c>
    </row>
    <row r="624" spans="1:8" ht="13.5" x14ac:dyDescent="0.25">
      <c r="A624" s="3">
        <f>TITRES_STAT!B627</f>
        <v>45828</v>
      </c>
      <c r="B624" s="5">
        <f>TITRES_STAT!D627</f>
        <v>5.54</v>
      </c>
      <c r="C624" s="2">
        <f t="shared" si="54"/>
        <v>5.5777450365052506</v>
      </c>
      <c r="D624" s="2">
        <f t="shared" si="56"/>
        <v>5.5669287441784441</v>
      </c>
      <c r="E624" s="2">
        <f t="shared" si="55"/>
        <v>1.0816292326806476E-2</v>
      </c>
      <c r="F624" s="2">
        <f t="shared" si="59"/>
        <v>1.2531723667896563E-2</v>
      </c>
      <c r="G624" s="2">
        <f t="shared" si="57"/>
        <v>-1.7154313410900866E-3</v>
      </c>
      <c r="H624" s="2" t="str">
        <f t="shared" si="58"/>
        <v>Hold</v>
      </c>
    </row>
    <row r="625" spans="1:8" ht="13.5" x14ac:dyDescent="0.25">
      <c r="A625" s="3">
        <f>TITRES_STAT!B628</f>
        <v>45831</v>
      </c>
      <c r="B625" s="5">
        <f>TITRES_STAT!D628</f>
        <v>5.5869999999999997</v>
      </c>
      <c r="C625" s="2">
        <f t="shared" si="54"/>
        <v>5.5762458001198274</v>
      </c>
      <c r="D625" s="2">
        <f t="shared" si="56"/>
        <v>5.5684155038689296</v>
      </c>
      <c r="E625" s="2">
        <f t="shared" si="55"/>
        <v>7.8302962508978169E-3</v>
      </c>
      <c r="F625" s="2">
        <f t="shared" si="59"/>
        <v>1.1591438184496813E-2</v>
      </c>
      <c r="G625" s="2">
        <f t="shared" si="57"/>
        <v>-3.7611419335989958E-3</v>
      </c>
      <c r="H625" s="2" t="str">
        <f t="shared" si="58"/>
        <v>Hold</v>
      </c>
    </row>
    <row r="626" spans="1:8" ht="13.5" x14ac:dyDescent="0.25">
      <c r="A626" s="3">
        <f>TITRES_STAT!B629</f>
        <v>45832</v>
      </c>
      <c r="B626" s="5">
        <f>TITRES_STAT!D629</f>
        <v>5.6340000000000003</v>
      </c>
      <c r="C626" s="2">
        <f t="shared" si="54"/>
        <v>5.5822079847167769</v>
      </c>
      <c r="D626" s="2">
        <f t="shared" si="56"/>
        <v>5.5732736146934538</v>
      </c>
      <c r="E626" s="2">
        <f t="shared" si="55"/>
        <v>8.9343700233230905E-3</v>
      </c>
      <c r="F626" s="2">
        <f t="shared" si="59"/>
        <v>1.1060024552262069E-2</v>
      </c>
      <c r="G626" s="2">
        <f t="shared" si="57"/>
        <v>-2.1256545289389788E-3</v>
      </c>
      <c r="H626" s="2" t="str">
        <f t="shared" si="58"/>
        <v>Hold</v>
      </c>
    </row>
    <row r="627" spans="1:8" ht="13.5" x14ac:dyDescent="0.25">
      <c r="A627" s="3">
        <f>TITRES_STAT!B630</f>
        <v>45833</v>
      </c>
      <c r="B627" s="5">
        <f>TITRES_STAT!D630</f>
        <v>5.5869999999999997</v>
      </c>
      <c r="C627" s="2">
        <f t="shared" si="54"/>
        <v>5.5872529101449651</v>
      </c>
      <c r="D627" s="2">
        <f t="shared" si="56"/>
        <v>5.5742903839754199</v>
      </c>
      <c r="E627" s="2">
        <f t="shared" si="55"/>
        <v>1.2962526169545185E-2</v>
      </c>
      <c r="F627" s="2">
        <f t="shared" si="59"/>
        <v>1.1440524875718693E-2</v>
      </c>
      <c r="G627" s="2">
        <f t="shared" si="57"/>
        <v>1.5220012938264929E-3</v>
      </c>
      <c r="H627" s="2" t="str">
        <f t="shared" si="58"/>
        <v>Sell</v>
      </c>
    </row>
    <row r="628" spans="1:8" ht="13.5" x14ac:dyDescent="0.25">
      <c r="A628" s="3">
        <f>TITRES_STAT!B631</f>
        <v>45835</v>
      </c>
      <c r="B628" s="5">
        <f>TITRES_STAT!D631</f>
        <v>5.5209999999999999</v>
      </c>
      <c r="C628" s="2">
        <f t="shared" si="54"/>
        <v>5.5915216931995859</v>
      </c>
      <c r="D628" s="2">
        <f t="shared" si="56"/>
        <v>5.5703429481253881</v>
      </c>
      <c r="E628" s="2">
        <f t="shared" si="55"/>
        <v>2.1178745074197813E-2</v>
      </c>
      <c r="F628" s="2">
        <f t="shared" si="59"/>
        <v>1.3388168915414517E-2</v>
      </c>
      <c r="G628" s="2">
        <f t="shared" si="57"/>
        <v>7.790576158783296E-3</v>
      </c>
      <c r="H628" s="2" t="str">
        <f t="shared" si="58"/>
        <v>Sell</v>
      </c>
    </row>
    <row r="629" spans="1:8" ht="13.5" x14ac:dyDescent="0.25">
      <c r="A629" s="3">
        <f>TITRES_STAT!B632</f>
        <v>45838</v>
      </c>
      <c r="B629" s="5">
        <f>TITRES_STAT!D632</f>
        <v>5.5209999999999999</v>
      </c>
      <c r="C629" s="2">
        <f t="shared" si="54"/>
        <v>5.5835952788611882</v>
      </c>
      <c r="D629" s="2">
        <f t="shared" si="56"/>
        <v>5.5666879149309141</v>
      </c>
      <c r="E629" s="2">
        <f t="shared" si="55"/>
        <v>1.6907363930274144E-2</v>
      </c>
      <c r="F629" s="2">
        <f t="shared" si="59"/>
        <v>1.4092007918386443E-2</v>
      </c>
      <c r="G629" s="2">
        <f t="shared" si="57"/>
        <v>2.8153560118877007E-3</v>
      </c>
      <c r="H629" s="2" t="str">
        <f t="shared" si="58"/>
        <v>Sell</v>
      </c>
    </row>
    <row r="630" spans="1:8" ht="13.5" x14ac:dyDescent="0.25">
      <c r="A630" s="3">
        <f>TITRES_STAT!B633</f>
        <v>45839</v>
      </c>
      <c r="B630" s="5">
        <f>TITRES_STAT!D633</f>
        <v>5.5119999999999996</v>
      </c>
      <c r="C630" s="2">
        <f t="shared" si="54"/>
        <v>5.5768883128825442</v>
      </c>
      <c r="D630" s="2">
        <f t="shared" si="56"/>
        <v>5.5626369582693647</v>
      </c>
      <c r="E630" s="2">
        <f t="shared" si="55"/>
        <v>1.4251354613179501E-2</v>
      </c>
      <c r="F630" s="2">
        <f t="shared" si="59"/>
        <v>1.4123877257345055E-2</v>
      </c>
      <c r="G630" s="2">
        <f t="shared" si="57"/>
        <v>1.2747735583444608E-4</v>
      </c>
      <c r="H630" s="2" t="str">
        <f t="shared" si="58"/>
        <v>Sell</v>
      </c>
    </row>
    <row r="631" spans="1:8" ht="13.5" x14ac:dyDescent="0.25">
      <c r="A631" s="3">
        <f>TITRES_STAT!B634</f>
        <v>45840</v>
      </c>
      <c r="B631" s="5">
        <f>TITRES_STAT!D634</f>
        <v>5.5119999999999996</v>
      </c>
      <c r="C631" s="2">
        <f t="shared" si="54"/>
        <v>5.5712131878236919</v>
      </c>
      <c r="D631" s="2">
        <f t="shared" si="56"/>
        <v>5.5588860724716334</v>
      </c>
      <c r="E631" s="2">
        <f t="shared" si="55"/>
        <v>1.2327115352058549E-2</v>
      </c>
      <c r="F631" s="2">
        <f t="shared" si="59"/>
        <v>1.3764524876287754E-2</v>
      </c>
      <c r="G631" s="2">
        <f t="shared" si="57"/>
        <v>-1.4374095242292058E-3</v>
      </c>
      <c r="H631" s="2" t="str">
        <f t="shared" si="58"/>
        <v>Hold</v>
      </c>
    </row>
    <row r="632" spans="1:8" ht="13.5" x14ac:dyDescent="0.25">
      <c r="A632" s="3">
        <f>TITRES_STAT!B635</f>
        <v>45841</v>
      </c>
      <c r="B632" s="5">
        <f>TITRES_STAT!D635</f>
        <v>5.5869999999999997</v>
      </c>
      <c r="C632" s="2">
        <f t="shared" si="54"/>
        <v>5.5736419281585086</v>
      </c>
      <c r="D632" s="2">
        <f t="shared" si="56"/>
        <v>5.5609685856218825</v>
      </c>
      <c r="E632" s="2">
        <f t="shared" si="55"/>
        <v>1.2673342536626109E-2</v>
      </c>
      <c r="F632" s="2">
        <f t="shared" si="59"/>
        <v>1.3546288408355426E-2</v>
      </c>
      <c r="G632" s="2">
        <f t="shared" si="57"/>
        <v>-8.7294587172931717E-4</v>
      </c>
      <c r="H632" s="2" t="str">
        <f t="shared" si="58"/>
        <v>Hold</v>
      </c>
    </row>
    <row r="633" spans="1:8" ht="13.5" x14ac:dyDescent="0.25">
      <c r="A633" s="3">
        <f>TITRES_STAT!B636</f>
        <v>45842</v>
      </c>
      <c r="B633" s="5">
        <f>TITRES_STAT!D636</f>
        <v>5.72</v>
      </c>
      <c r="C633" s="2">
        <f t="shared" si="54"/>
        <v>5.5684662469033537</v>
      </c>
      <c r="D633" s="2">
        <f t="shared" si="56"/>
        <v>5.5727486903906325</v>
      </c>
      <c r="E633" s="2">
        <f t="shared" si="55"/>
        <v>-4.2824434872787975E-3</v>
      </c>
      <c r="F633" s="2">
        <f t="shared" si="59"/>
        <v>9.9805420292285833E-3</v>
      </c>
      <c r="G633" s="2">
        <f t="shared" si="57"/>
        <v>-1.4262985516507381E-2</v>
      </c>
      <c r="H633" s="2" t="str">
        <f t="shared" si="58"/>
        <v>Hold</v>
      </c>
    </row>
    <row r="634" spans="1:8" ht="13.5" x14ac:dyDescent="0.25">
      <c r="A634" s="3">
        <f>TITRES_STAT!B637</f>
        <v>45845</v>
      </c>
      <c r="B634" s="5">
        <f>TITRES_STAT!D637</f>
        <v>5.72</v>
      </c>
      <c r="C634" s="2">
        <f t="shared" si="54"/>
        <v>5.5640868243028381</v>
      </c>
      <c r="D634" s="2">
        <f t="shared" si="56"/>
        <v>5.5836561948061414</v>
      </c>
      <c r="E634" s="2">
        <f t="shared" si="55"/>
        <v>-1.9569370503303318E-2</v>
      </c>
      <c r="F634" s="2">
        <f t="shared" si="59"/>
        <v>4.0705595227222028E-3</v>
      </c>
      <c r="G634" s="2">
        <f t="shared" si="57"/>
        <v>-2.3639930026025522E-2</v>
      </c>
      <c r="H634" s="2" t="str">
        <f t="shared" si="58"/>
        <v>Hold</v>
      </c>
    </row>
    <row r="635" spans="1:8" ht="13.5" x14ac:dyDescent="0.25">
      <c r="A635" s="3">
        <f>TITRES_STAT!B638</f>
        <v>45846</v>
      </c>
      <c r="B635" s="5">
        <f>TITRES_STAT!D638</f>
        <v>5.75</v>
      </c>
      <c r="C635" s="2">
        <f t="shared" si="54"/>
        <v>5.5676119282562473</v>
      </c>
      <c r="D635" s="2">
        <f t="shared" si="56"/>
        <v>5.595977958153834</v>
      </c>
      <c r="E635" s="2">
        <f t="shared" si="55"/>
        <v>-2.8366029897586742E-2</v>
      </c>
      <c r="F635" s="2">
        <f t="shared" si="59"/>
        <v>-2.4167583613395865E-3</v>
      </c>
      <c r="G635" s="2">
        <f t="shared" si="57"/>
        <v>-2.5949271536247154E-2</v>
      </c>
      <c r="H635" s="2" t="str">
        <f t="shared" si="58"/>
        <v>Hold</v>
      </c>
    </row>
    <row r="636" spans="1:8" ht="13.5" x14ac:dyDescent="0.25">
      <c r="A636" s="3">
        <f>TITRES_STAT!B639</f>
        <v>45847</v>
      </c>
      <c r="B636" s="5">
        <f>TITRES_STAT!D639</f>
        <v>5.7</v>
      </c>
      <c r="C636" s="2">
        <f t="shared" si="54"/>
        <v>5.5778254777552867</v>
      </c>
      <c r="D636" s="2">
        <f t="shared" si="56"/>
        <v>5.603683294586884</v>
      </c>
      <c r="E636" s="2">
        <f t="shared" si="55"/>
        <v>-2.5857816831597269E-2</v>
      </c>
      <c r="F636" s="2">
        <f t="shared" si="59"/>
        <v>-7.1049700553911235E-3</v>
      </c>
      <c r="G636" s="2">
        <f t="shared" si="57"/>
        <v>-1.8752846776206145E-2</v>
      </c>
      <c r="H636" s="2" t="str">
        <f t="shared" si="58"/>
        <v>Hold</v>
      </c>
    </row>
    <row r="637" spans="1:8" ht="13.5" x14ac:dyDescent="0.25">
      <c r="A637" s="3">
        <f>TITRES_STAT!B640</f>
        <v>45848</v>
      </c>
      <c r="B637" s="5">
        <f>TITRES_STAT!D640</f>
        <v>5.7</v>
      </c>
      <c r="C637" s="2">
        <f t="shared" si="54"/>
        <v>5.5792369427160118</v>
      </c>
      <c r="D637" s="2">
        <f t="shared" si="56"/>
        <v>5.6108178653582259</v>
      </c>
      <c r="E637" s="2">
        <f t="shared" si="55"/>
        <v>-3.1580922642214126E-2</v>
      </c>
      <c r="F637" s="2">
        <f t="shared" si="59"/>
        <v>-1.2000160572755724E-2</v>
      </c>
      <c r="G637" s="2">
        <f t="shared" si="57"/>
        <v>-1.9580762069458402E-2</v>
      </c>
      <c r="H637" s="2" t="str">
        <f t="shared" si="58"/>
        <v>Hold</v>
      </c>
    </row>
    <row r="638" spans="1:8" ht="13.5" x14ac:dyDescent="0.25">
      <c r="A638" s="3">
        <f>TITRES_STAT!B641</f>
        <v>45849</v>
      </c>
      <c r="B638" s="5">
        <f>TITRES_STAT!D641</f>
        <v>5.68</v>
      </c>
      <c r="C638" s="2">
        <f t="shared" si="54"/>
        <v>5.5702774130673944</v>
      </c>
      <c r="D638" s="2">
        <f t="shared" si="56"/>
        <v>5.6159424679242838</v>
      </c>
      <c r="E638" s="2">
        <f t="shared" si="55"/>
        <v>-4.566505485688932E-2</v>
      </c>
      <c r="F638" s="2">
        <f t="shared" si="59"/>
        <v>-1.8733139429582442E-2</v>
      </c>
      <c r="G638" s="2">
        <f t="shared" si="57"/>
        <v>-2.6931915427306878E-2</v>
      </c>
      <c r="H638" s="2" t="str">
        <f t="shared" si="58"/>
        <v>Hold</v>
      </c>
    </row>
    <row r="639" spans="1:8" ht="13.5" x14ac:dyDescent="0.25">
      <c r="A639" s="3">
        <f>TITRES_STAT!B642</f>
        <v>45852</v>
      </c>
      <c r="B639" s="5">
        <f>TITRES_STAT!D642</f>
        <v>5.69</v>
      </c>
      <c r="C639" s="2">
        <f t="shared" si="54"/>
        <v>5.5626962725954883</v>
      </c>
      <c r="D639" s="2">
        <f t="shared" si="56"/>
        <v>5.6214282110410032</v>
      </c>
      <c r="E639" s="2">
        <f t="shared" si="55"/>
        <v>-5.8731938445514942E-2</v>
      </c>
      <c r="F639" s="2">
        <f t="shared" si="59"/>
        <v>-2.673289923276894E-2</v>
      </c>
      <c r="G639" s="2">
        <f t="shared" si="57"/>
        <v>-3.1999039212746001E-2</v>
      </c>
      <c r="H639" s="2" t="str">
        <f t="shared" si="58"/>
        <v>Hold</v>
      </c>
    </row>
    <row r="640" spans="1:8" ht="13.5" x14ac:dyDescent="0.25">
      <c r="A640" s="3">
        <f>TITRES_STAT!B643</f>
        <v>45853</v>
      </c>
      <c r="B640" s="5">
        <f>TITRES_STAT!D643</f>
        <v>5.67</v>
      </c>
      <c r="C640" s="2">
        <f t="shared" si="54"/>
        <v>5.554896846042336</v>
      </c>
      <c r="D640" s="2">
        <f t="shared" si="56"/>
        <v>5.6250261213342618</v>
      </c>
      <c r="E640" s="2">
        <f t="shared" si="55"/>
        <v>-7.0129275291925808E-2</v>
      </c>
      <c r="F640" s="2">
        <f t="shared" si="59"/>
        <v>-3.5412174444600319E-2</v>
      </c>
      <c r="G640" s="2">
        <f t="shared" si="57"/>
        <v>-3.4717100847325488E-2</v>
      </c>
      <c r="H640" s="2" t="str">
        <f t="shared" si="58"/>
        <v>Hold</v>
      </c>
    </row>
    <row r="641" spans="1:8" ht="13.5" x14ac:dyDescent="0.25">
      <c r="A641" s="3">
        <f>TITRES_STAT!B644</f>
        <v>45854</v>
      </c>
      <c r="B641" s="5">
        <f>TITRES_STAT!D644</f>
        <v>5.67</v>
      </c>
      <c r="C641" s="2">
        <f t="shared" si="54"/>
        <v>5.5482973312665917</v>
      </c>
      <c r="D641" s="2">
        <f t="shared" si="56"/>
        <v>5.6283575197539459</v>
      </c>
      <c r="E641" s="2">
        <f t="shared" si="55"/>
        <v>-8.0060188487354189E-2</v>
      </c>
      <c r="F641" s="2">
        <f t="shared" si="59"/>
        <v>-4.4341777253151096E-2</v>
      </c>
      <c r="G641" s="2">
        <f t="shared" si="57"/>
        <v>-3.5718411234203093E-2</v>
      </c>
      <c r="H641" s="2" t="str">
        <f t="shared" si="58"/>
        <v>Hold</v>
      </c>
    </row>
    <row r="642" spans="1:8" ht="13.5" x14ac:dyDescent="0.25">
      <c r="A642" s="3">
        <f>TITRES_STAT!B645</f>
        <v>45855</v>
      </c>
      <c r="B642" s="5">
        <f>TITRES_STAT!D645</f>
        <v>5.66</v>
      </c>
      <c r="C642" s="2">
        <f t="shared" si="54"/>
        <v>5.5542515879948082</v>
      </c>
      <c r="D642" s="2">
        <f t="shared" si="56"/>
        <v>5.6307014071795791</v>
      </c>
      <c r="E642" s="2">
        <f t="shared" si="55"/>
        <v>-7.6449819184770895E-2</v>
      </c>
      <c r="F642" s="2">
        <f t="shared" si="59"/>
        <v>-5.0763385639475064E-2</v>
      </c>
      <c r="G642" s="2">
        <f t="shared" si="57"/>
        <v>-2.5686433545295831E-2</v>
      </c>
      <c r="H642" s="2" t="str">
        <f t="shared" si="58"/>
        <v>Hold</v>
      </c>
    </row>
    <row r="643" spans="1:8" ht="13.5" x14ac:dyDescent="0.25">
      <c r="A643" s="3">
        <f>TITRES_STAT!B646</f>
        <v>45856</v>
      </c>
      <c r="B643" s="5">
        <f>TITRES_STAT!D646</f>
        <v>5.7</v>
      </c>
      <c r="C643" s="2">
        <f t="shared" si="54"/>
        <v>5.5797513436879145</v>
      </c>
      <c r="D643" s="2">
        <f t="shared" si="56"/>
        <v>5.6358346362773881</v>
      </c>
      <c r="E643" s="2">
        <f t="shared" si="55"/>
        <v>-5.6083292589473643E-2</v>
      </c>
      <c r="F643" s="2">
        <f t="shared" si="59"/>
        <v>-5.1827367029474783E-2</v>
      </c>
      <c r="G643" s="2">
        <f t="shared" si="57"/>
        <v>-4.2559255599988605E-3</v>
      </c>
      <c r="H643" s="2" t="str">
        <f t="shared" si="58"/>
        <v>Hold</v>
      </c>
    </row>
    <row r="644" spans="1:8" ht="13.5" x14ac:dyDescent="0.25">
      <c r="A644" s="3">
        <f>TITRES_STAT!B647</f>
        <v>45859</v>
      </c>
      <c r="B644" s="5">
        <f>TITRES_STAT!D647</f>
        <v>5.7</v>
      </c>
      <c r="C644" s="2">
        <f t="shared" si="54"/>
        <v>5.6013280600436195</v>
      </c>
      <c r="D644" s="2">
        <f t="shared" si="56"/>
        <v>5.640587626182767</v>
      </c>
      <c r="E644" s="2">
        <f t="shared" si="55"/>
        <v>-3.9259566139147495E-2</v>
      </c>
      <c r="F644" s="2">
        <f t="shared" si="59"/>
        <v>-4.9313806851409327E-2</v>
      </c>
      <c r="G644" s="2">
        <f t="shared" si="57"/>
        <v>1.0054240712261832E-2</v>
      </c>
      <c r="H644" s="2" t="str">
        <f t="shared" si="58"/>
        <v>Sell</v>
      </c>
    </row>
    <row r="645" spans="1:8" ht="13.5" x14ac:dyDescent="0.25">
      <c r="A645" s="3">
        <f>TITRES_STAT!B648</f>
        <v>45860</v>
      </c>
      <c r="B645" s="5">
        <f>TITRES_STAT!D648</f>
        <v>5.7</v>
      </c>
      <c r="C645" s="2">
        <f t="shared" si="54"/>
        <v>5.6242006661907551</v>
      </c>
      <c r="D645" s="2">
        <f t="shared" si="56"/>
        <v>5.6449885427618218</v>
      </c>
      <c r="E645" s="2">
        <f t="shared" si="55"/>
        <v>-2.0787876571066732E-2</v>
      </c>
      <c r="F645" s="2">
        <f t="shared" si="59"/>
        <v>-4.3608620795340808E-2</v>
      </c>
      <c r="G645" s="2">
        <f t="shared" si="57"/>
        <v>2.2820744224274075E-2</v>
      </c>
      <c r="H645" s="2" t="str">
        <f t="shared" si="58"/>
        <v>Sell</v>
      </c>
    </row>
    <row r="646" spans="1:8" ht="13.5" x14ac:dyDescent="0.25">
      <c r="A646" s="3">
        <f>TITRES_STAT!B649</f>
        <v>45861</v>
      </c>
      <c r="B646" s="5">
        <f>TITRES_STAT!D649</f>
        <v>5.69</v>
      </c>
      <c r="C646" s="2">
        <f t="shared" si="54"/>
        <v>5.6358621021614086</v>
      </c>
      <c r="D646" s="2">
        <f t="shared" si="56"/>
        <v>5.6483227247794643</v>
      </c>
      <c r="E646" s="2">
        <f t="shared" si="55"/>
        <v>-1.2460622618055694E-2</v>
      </c>
      <c r="F646" s="2">
        <f t="shared" si="59"/>
        <v>-3.7379021159883785E-2</v>
      </c>
      <c r="G646" s="2">
        <f t="shared" si="57"/>
        <v>2.4918398541828091E-2</v>
      </c>
      <c r="H646" s="2" t="str">
        <f t="shared" si="58"/>
        <v>Sell</v>
      </c>
    </row>
    <row r="647" spans="1:8" ht="13.5" x14ac:dyDescent="0.25">
      <c r="A647" s="3">
        <f>TITRES_STAT!B650</f>
        <v>45862</v>
      </c>
      <c r="B647" s="5">
        <f>TITRES_STAT!D650</f>
        <v>5.66</v>
      </c>
      <c r="C647" s="2">
        <f t="shared" si="54"/>
        <v>5.6457294710596537</v>
      </c>
      <c r="D647" s="2">
        <f t="shared" si="56"/>
        <v>5.6491877081291335</v>
      </c>
      <c r="E647" s="2">
        <f t="shared" si="55"/>
        <v>-3.4582370694797859E-3</v>
      </c>
      <c r="F647" s="2">
        <f t="shared" si="59"/>
        <v>-3.0594864341802985E-2</v>
      </c>
      <c r="G647" s="2">
        <f t="shared" si="57"/>
        <v>2.7136627272323199E-2</v>
      </c>
      <c r="H647" s="2" t="str">
        <f t="shared" si="58"/>
        <v>Sell</v>
      </c>
    </row>
    <row r="648" spans="1:8" ht="13.5" x14ac:dyDescent="0.25">
      <c r="A648" s="3">
        <f>TITRES_STAT!B651</f>
        <v>45866</v>
      </c>
      <c r="B648" s="5">
        <f>TITRES_STAT!D651</f>
        <v>5.69</v>
      </c>
      <c r="C648" s="2">
        <f t="shared" si="54"/>
        <v>5.6510018601273995</v>
      </c>
      <c r="D648" s="2">
        <f t="shared" si="56"/>
        <v>5.6522108408603087</v>
      </c>
      <c r="E648" s="2">
        <f t="shared" si="55"/>
        <v>-1.2089807329092039E-3</v>
      </c>
      <c r="F648" s="2">
        <f t="shared" si="59"/>
        <v>-2.4717687620024228E-2</v>
      </c>
      <c r="G648" s="2">
        <f t="shared" si="57"/>
        <v>2.3508706887115025E-2</v>
      </c>
      <c r="H648" s="2" t="str">
        <f t="shared" si="58"/>
        <v>Sell</v>
      </c>
    </row>
    <row r="649" spans="1:8" ht="13.5" x14ac:dyDescent="0.25">
      <c r="A649" s="3">
        <f>TITRES_STAT!B652</f>
        <v>45867</v>
      </c>
      <c r="B649" s="5">
        <f>TITRES_STAT!D652</f>
        <v>5.66</v>
      </c>
      <c r="C649" s="2">
        <f t="shared" si="54"/>
        <v>5.6570015739539539</v>
      </c>
      <c r="D649" s="2">
        <f t="shared" si="56"/>
        <v>5.6527878156113971</v>
      </c>
      <c r="E649" s="2">
        <f t="shared" si="55"/>
        <v>4.2137583425567726E-3</v>
      </c>
      <c r="F649" s="2">
        <f t="shared" si="59"/>
        <v>-1.8931398427508031E-2</v>
      </c>
      <c r="G649" s="2">
        <f t="shared" si="57"/>
        <v>2.3145156770064804E-2</v>
      </c>
      <c r="H649" s="2" t="str">
        <f t="shared" si="58"/>
        <v>Sell</v>
      </c>
    </row>
    <row r="650" spans="1:8" ht="13.5" x14ac:dyDescent="0.25">
      <c r="A650" s="3">
        <f>TITRES_STAT!B653</f>
        <v>45868</v>
      </c>
      <c r="B650" s="5">
        <f>TITRES_STAT!D653</f>
        <v>5.67</v>
      </c>
      <c r="C650" s="2">
        <f t="shared" si="54"/>
        <v>5.6590013318071914</v>
      </c>
      <c r="D650" s="2">
        <f t="shared" si="56"/>
        <v>5.6540627922327751</v>
      </c>
      <c r="E650" s="2">
        <f t="shared" si="55"/>
        <v>4.9385395744163674E-3</v>
      </c>
      <c r="F650" s="2">
        <f t="shared" si="59"/>
        <v>-1.4157410827123152E-2</v>
      </c>
      <c r="G650" s="2">
        <f t="shared" si="57"/>
        <v>1.9095950401539517E-2</v>
      </c>
      <c r="H650" s="2" t="str">
        <f t="shared" si="58"/>
        <v>Sell</v>
      </c>
    </row>
    <row r="651" spans="1:8" ht="13.5" x14ac:dyDescent="0.25">
      <c r="A651" s="3">
        <f>TITRES_STAT!B654</f>
        <v>45869</v>
      </c>
      <c r="B651" s="5">
        <f>TITRES_STAT!D654</f>
        <v>5.67</v>
      </c>
      <c r="C651" s="2">
        <f t="shared" si="54"/>
        <v>5.6606934346060847</v>
      </c>
      <c r="D651" s="2">
        <f t="shared" si="56"/>
        <v>5.6552433261414583</v>
      </c>
      <c r="E651" s="2">
        <f t="shared" si="55"/>
        <v>5.4501084646263465E-3</v>
      </c>
      <c r="F651" s="2">
        <f t="shared" si="59"/>
        <v>-1.0235906968773252E-2</v>
      </c>
      <c r="G651" s="2">
        <f t="shared" si="57"/>
        <v>1.5686015433399599E-2</v>
      </c>
      <c r="H651" s="2" t="str">
        <f t="shared" si="58"/>
        <v>Sell</v>
      </c>
    </row>
    <row r="652" spans="1:8" ht="13.5" x14ac:dyDescent="0.25">
      <c r="A652" s="3">
        <f>TITRES_STAT!B655</f>
        <v>45870</v>
      </c>
      <c r="B652" s="5">
        <f>TITRES_STAT!D655</f>
        <v>5.7</v>
      </c>
      <c r="C652" s="2">
        <f t="shared" si="54"/>
        <v>5.6605867523589941</v>
      </c>
      <c r="D652" s="2">
        <f t="shared" si="56"/>
        <v>5.6585586353161652</v>
      </c>
      <c r="E652" s="2">
        <f t="shared" si="55"/>
        <v>2.028117042828903E-3</v>
      </c>
      <c r="F652" s="2">
        <f t="shared" si="59"/>
        <v>-7.7831021664528204E-3</v>
      </c>
      <c r="G652" s="2">
        <f t="shared" si="57"/>
        <v>9.8112192092817234E-3</v>
      </c>
      <c r="H652" s="2" t="str">
        <f t="shared" si="58"/>
        <v>Sell</v>
      </c>
    </row>
    <row r="653" spans="1:8" ht="13.5" x14ac:dyDescent="0.25">
      <c r="A653" s="3">
        <f>TITRES_STAT!B656</f>
        <v>45873</v>
      </c>
      <c r="B653" s="5">
        <f>TITRES_STAT!D656</f>
        <v>5.7</v>
      </c>
      <c r="C653" s="2">
        <f t="shared" si="54"/>
        <v>5.6666503289191494</v>
      </c>
      <c r="D653" s="2">
        <f t="shared" si="56"/>
        <v>5.6616283660334865</v>
      </c>
      <c r="E653" s="2">
        <f t="shared" si="55"/>
        <v>5.0219628856629228E-3</v>
      </c>
      <c r="F653" s="2">
        <f t="shared" si="59"/>
        <v>-5.2220891560296719E-3</v>
      </c>
      <c r="G653" s="2">
        <f t="shared" si="57"/>
        <v>1.0244052041692594E-2</v>
      </c>
      <c r="H653" s="2" t="str">
        <f t="shared" si="58"/>
        <v>Sell</v>
      </c>
    </row>
    <row r="654" spans="1:8" ht="13.5" x14ac:dyDescent="0.25">
      <c r="A654" s="3">
        <f>TITRES_STAT!B657</f>
        <v>45874</v>
      </c>
      <c r="B654" s="5">
        <f>TITRES_STAT!D657</f>
        <v>5.6</v>
      </c>
      <c r="C654" s="2">
        <f t="shared" si="54"/>
        <v>5.6717810475469728</v>
      </c>
      <c r="D654" s="2">
        <f t="shared" si="56"/>
        <v>5.6570633018828573</v>
      </c>
      <c r="E654" s="2">
        <f t="shared" si="55"/>
        <v>1.4717745664115434E-2</v>
      </c>
      <c r="F654" s="2">
        <f t="shared" si="59"/>
        <v>-1.2341221920006504E-3</v>
      </c>
      <c r="G654" s="2">
        <f t="shared" si="57"/>
        <v>1.5951867856116082E-2</v>
      </c>
      <c r="H654" s="2" t="str">
        <f t="shared" si="58"/>
        <v>Sell</v>
      </c>
    </row>
    <row r="655" spans="1:8" ht="13.5" x14ac:dyDescent="0.25">
      <c r="A655" s="3">
        <f>TITRES_STAT!B658</f>
        <v>45875</v>
      </c>
      <c r="B655" s="5">
        <f>TITRES_STAT!D658</f>
        <v>5.66</v>
      </c>
      <c r="C655" s="2">
        <f t="shared" ref="C655:C691" si="60">$C$4*B645+C654*(1-$C$4)</f>
        <v>5.6761224248474385</v>
      </c>
      <c r="D655" s="2">
        <f t="shared" si="56"/>
        <v>5.657280835076719</v>
      </c>
      <c r="E655" s="2">
        <f t="shared" si="55"/>
        <v>1.884158977071948E-2</v>
      </c>
      <c r="F655" s="2">
        <f t="shared" si="59"/>
        <v>2.7810202005433757E-3</v>
      </c>
      <c r="G655" s="2">
        <f t="shared" si="57"/>
        <v>1.6060569570176104E-2</v>
      </c>
      <c r="H655" s="2" t="str">
        <f t="shared" si="58"/>
        <v>Sell</v>
      </c>
    </row>
    <row r="656" spans="1:8" ht="13.5" x14ac:dyDescent="0.25">
      <c r="A656" s="3">
        <f>TITRES_STAT!B659</f>
        <v>45876</v>
      </c>
      <c r="B656" s="5">
        <f>TITRES_STAT!D659</f>
        <v>5.65</v>
      </c>
      <c r="C656" s="2">
        <f t="shared" si="60"/>
        <v>5.6782574364093712</v>
      </c>
      <c r="D656" s="2">
        <f t="shared" si="56"/>
        <v>5.6567415139599246</v>
      </c>
      <c r="E656" s="2">
        <f t="shared" si="55"/>
        <v>2.1515922449446556E-2</v>
      </c>
      <c r="F656" s="2">
        <f t="shared" si="59"/>
        <v>6.5280006503240125E-3</v>
      </c>
      <c r="G656" s="2">
        <f t="shared" si="57"/>
        <v>1.4987921799122544E-2</v>
      </c>
      <c r="H656" s="2" t="str">
        <f t="shared" si="58"/>
        <v>Sell</v>
      </c>
    </row>
    <row r="657" spans="1:8" ht="13.5" x14ac:dyDescent="0.25">
      <c r="A657" s="3">
        <f>TITRES_STAT!B660</f>
        <v>45877</v>
      </c>
      <c r="B657" s="5">
        <f>TITRES_STAT!D660</f>
        <v>5.58</v>
      </c>
      <c r="C657" s="2">
        <f t="shared" si="60"/>
        <v>5.6754486000386981</v>
      </c>
      <c r="D657" s="2">
        <f t="shared" si="56"/>
        <v>5.6510569573703</v>
      </c>
      <c r="E657" s="2">
        <f t="shared" si="55"/>
        <v>2.4391642668398106E-2</v>
      </c>
      <c r="F657" s="2">
        <f t="shared" si="59"/>
        <v>1.0100729053938832E-2</v>
      </c>
      <c r="G657" s="2">
        <f t="shared" si="57"/>
        <v>1.4290913614459274E-2</v>
      </c>
      <c r="H657" s="2" t="str">
        <f t="shared" si="58"/>
        <v>Sell</v>
      </c>
    </row>
    <row r="658" spans="1:8" ht="13.5" x14ac:dyDescent="0.25">
      <c r="A658" s="3">
        <f>TITRES_STAT!B661</f>
        <v>45880</v>
      </c>
      <c r="B658" s="5">
        <f>TITRES_STAT!D661</f>
        <v>5.64</v>
      </c>
      <c r="C658" s="2">
        <f t="shared" si="60"/>
        <v>5.6776872769558215</v>
      </c>
      <c r="D658" s="2">
        <f t="shared" si="56"/>
        <v>5.6502379234910185</v>
      </c>
      <c r="E658" s="2">
        <f t="shared" si="55"/>
        <v>2.7449353464803039E-2</v>
      </c>
      <c r="F658" s="2">
        <f t="shared" si="59"/>
        <v>1.3570453936111674E-2</v>
      </c>
      <c r="G658" s="2">
        <f t="shared" si="57"/>
        <v>1.3878899528691365E-2</v>
      </c>
      <c r="H658" s="2" t="str">
        <f t="shared" si="58"/>
        <v>Sell</v>
      </c>
    </row>
    <row r="659" spans="1:8" ht="13.5" x14ac:dyDescent="0.25">
      <c r="A659" s="3">
        <f>TITRES_STAT!B662</f>
        <v>45881</v>
      </c>
      <c r="B659" s="5">
        <f>TITRES_STAT!D662</f>
        <v>5.64</v>
      </c>
      <c r="C659" s="2">
        <f t="shared" si="60"/>
        <v>5.6749661574241568</v>
      </c>
      <c r="D659" s="2">
        <f t="shared" si="56"/>
        <v>5.6494795587879798</v>
      </c>
      <c r="E659" s="2">
        <f t="shared" si="55"/>
        <v>2.5486598636176971E-2</v>
      </c>
      <c r="F659" s="2">
        <f t="shared" si="59"/>
        <v>1.5953682876124732E-2</v>
      </c>
      <c r="G659" s="2">
        <f t="shared" si="57"/>
        <v>9.5329157600522393E-3</v>
      </c>
      <c r="H659" s="2" t="str">
        <f t="shared" si="58"/>
        <v>Sell</v>
      </c>
    </row>
    <row r="660" spans="1:8" ht="13.5" x14ac:dyDescent="0.25">
      <c r="A660" s="3">
        <f>TITRES_STAT!B663</f>
        <v>45883</v>
      </c>
      <c r="B660" s="5">
        <f>TITRES_STAT!D663</f>
        <v>5.64</v>
      </c>
      <c r="C660" s="2">
        <f t="shared" si="60"/>
        <v>5.6742021332050552</v>
      </c>
      <c r="D660" s="2">
        <f t="shared" si="56"/>
        <v>5.6487773692481289</v>
      </c>
      <c r="E660" s="2">
        <f t="shared" si="55"/>
        <v>2.5424763956926277E-2</v>
      </c>
      <c r="F660" s="2">
        <f t="shared" si="59"/>
        <v>1.7847899092285041E-2</v>
      </c>
      <c r="G660" s="2">
        <f t="shared" si="57"/>
        <v>7.5768648646412362E-3</v>
      </c>
      <c r="H660" s="2" t="str">
        <f t="shared" si="58"/>
        <v>Sell</v>
      </c>
    </row>
    <row r="661" spans="1:8" ht="13.5" x14ac:dyDescent="0.25">
      <c r="A661" s="3">
        <f>TITRES_STAT!B664</f>
        <v>45884</v>
      </c>
      <c r="B661" s="5">
        <f>TITRES_STAT!D664</f>
        <v>5.52</v>
      </c>
      <c r="C661" s="2">
        <f t="shared" si="60"/>
        <v>5.6735556511735084</v>
      </c>
      <c r="D661" s="2">
        <f t="shared" si="56"/>
        <v>5.6392383048593784</v>
      </c>
      <c r="E661" s="2">
        <f t="shared" si="55"/>
        <v>3.4317346314129971E-2</v>
      </c>
      <c r="F661" s="2">
        <f t="shared" si="59"/>
        <v>2.1141788536654028E-2</v>
      </c>
      <c r="G661" s="2">
        <f t="shared" si="57"/>
        <v>1.3175557777475942E-2</v>
      </c>
      <c r="H661" s="2" t="str">
        <f t="shared" si="58"/>
        <v>Sell</v>
      </c>
    </row>
    <row r="662" spans="1:8" ht="13.5" x14ac:dyDescent="0.25">
      <c r="A662" s="3">
        <f>TITRES_STAT!B665</f>
        <v>45887</v>
      </c>
      <c r="B662" s="5">
        <f>TITRES_STAT!D665</f>
        <v>5.56</v>
      </c>
      <c r="C662" s="2">
        <f t="shared" si="60"/>
        <v>5.6776240125314308</v>
      </c>
      <c r="D662" s="2">
        <f t="shared" si="56"/>
        <v>5.6333688007957203</v>
      </c>
      <c r="E662" s="2">
        <f t="shared" si="55"/>
        <v>4.4255211735710454E-2</v>
      </c>
      <c r="F662" s="2">
        <f t="shared" si="59"/>
        <v>2.5764473176465318E-2</v>
      </c>
      <c r="G662" s="2">
        <f t="shared" si="57"/>
        <v>1.8490738559245136E-2</v>
      </c>
      <c r="H662" s="2" t="str">
        <f t="shared" si="58"/>
        <v>Sell</v>
      </c>
    </row>
    <row r="663" spans="1:8" ht="13.5" x14ac:dyDescent="0.25">
      <c r="A663" s="3">
        <f>TITRES_STAT!B666</f>
        <v>45888</v>
      </c>
      <c r="B663" s="5">
        <f>TITRES_STAT!D666</f>
        <v>5.69</v>
      </c>
      <c r="C663" s="2">
        <f t="shared" si="60"/>
        <v>5.6810664721419801</v>
      </c>
      <c r="D663" s="2">
        <f t="shared" si="56"/>
        <v>5.637563704440482</v>
      </c>
      <c r="E663" s="2">
        <f t="shared" si="55"/>
        <v>4.350276770149808E-2</v>
      </c>
      <c r="F663" s="2">
        <f t="shared" si="59"/>
        <v>2.9312132081471869E-2</v>
      </c>
      <c r="G663" s="2">
        <f t="shared" si="57"/>
        <v>1.4190635620026211E-2</v>
      </c>
      <c r="H663" s="2" t="str">
        <f t="shared" si="58"/>
        <v>Sell</v>
      </c>
    </row>
    <row r="664" spans="1:8" ht="13.5" x14ac:dyDescent="0.25">
      <c r="A664" s="3">
        <f>TITRES_STAT!B667</f>
        <v>45889</v>
      </c>
      <c r="B664" s="5">
        <f>TITRES_STAT!D667</f>
        <v>5.74</v>
      </c>
      <c r="C664" s="2">
        <f t="shared" si="60"/>
        <v>5.6685947071970606</v>
      </c>
      <c r="D664" s="2">
        <f t="shared" si="56"/>
        <v>5.6451515781856321</v>
      </c>
      <c r="E664" s="2">
        <f t="shared" si="55"/>
        <v>2.3443129011428532E-2</v>
      </c>
      <c r="F664" s="2">
        <f t="shared" si="59"/>
        <v>2.8138331467463203E-2</v>
      </c>
      <c r="G664" s="2">
        <f t="shared" si="57"/>
        <v>-4.6952024560346708E-3</v>
      </c>
      <c r="H664" s="2" t="str">
        <f t="shared" si="58"/>
        <v>Hold</v>
      </c>
    </row>
    <row r="665" spans="1:8" ht="13.5" x14ac:dyDescent="0.25">
      <c r="A665" s="3">
        <f>TITRES_STAT!B668</f>
        <v>45890</v>
      </c>
      <c r="B665" s="5">
        <f>TITRES_STAT!D668</f>
        <v>5.74</v>
      </c>
      <c r="C665" s="2">
        <f t="shared" si="60"/>
        <v>5.6672724445513589</v>
      </c>
      <c r="D665" s="2">
        <f t="shared" si="56"/>
        <v>5.6521773872089192</v>
      </c>
      <c r="E665" s="2">
        <f t="shared" si="55"/>
        <v>1.5095057342439766E-2</v>
      </c>
      <c r="F665" s="2">
        <f t="shared" si="59"/>
        <v>2.5529676642458518E-2</v>
      </c>
      <c r="G665" s="2">
        <f t="shared" si="57"/>
        <v>-1.0434619300018752E-2</v>
      </c>
      <c r="H665" s="2" t="str">
        <f t="shared" si="58"/>
        <v>Hold</v>
      </c>
    </row>
    <row r="666" spans="1:8" ht="13.5" x14ac:dyDescent="0.25">
      <c r="A666" s="3">
        <f>TITRES_STAT!B669</f>
        <v>45891</v>
      </c>
      <c r="B666" s="5">
        <f>TITRES_STAT!D669</f>
        <v>5.74</v>
      </c>
      <c r="C666" s="2">
        <f t="shared" si="60"/>
        <v>5.6646151453896119</v>
      </c>
      <c r="D666" s="2">
        <f t="shared" si="56"/>
        <v>5.6586827659341843</v>
      </c>
      <c r="E666" s="2">
        <f t="shared" si="55"/>
        <v>5.9323794554275722E-3</v>
      </c>
      <c r="F666" s="2">
        <f t="shared" si="59"/>
        <v>2.161021720505233E-2</v>
      </c>
      <c r="G666" s="2">
        <f t="shared" si="57"/>
        <v>-1.5677837749624758E-2</v>
      </c>
      <c r="H666" s="2" t="str">
        <f t="shared" si="58"/>
        <v>Hold</v>
      </c>
    </row>
    <row r="667" spans="1:8" ht="13.5" x14ac:dyDescent="0.25">
      <c r="A667" s="3">
        <f>TITRES_STAT!B670</f>
        <v>45894</v>
      </c>
      <c r="B667" s="5">
        <f>TITRES_STAT!D670</f>
        <v>5.7</v>
      </c>
      <c r="C667" s="2">
        <f t="shared" si="60"/>
        <v>5.6515974307142871</v>
      </c>
      <c r="D667" s="2">
        <f t="shared" si="56"/>
        <v>5.6617433017909118</v>
      </c>
      <c r="E667" s="2">
        <f t="shared" si="55"/>
        <v>-1.014587107662468E-2</v>
      </c>
      <c r="F667" s="2">
        <f t="shared" si="59"/>
        <v>1.5258999548716928E-2</v>
      </c>
      <c r="G667" s="2">
        <f t="shared" si="57"/>
        <v>-2.5404870625341608E-2</v>
      </c>
      <c r="H667" s="2" t="str">
        <f t="shared" si="58"/>
        <v>Hold</v>
      </c>
    </row>
    <row r="668" spans="1:8" ht="13.5" x14ac:dyDescent="0.25">
      <c r="A668" s="3">
        <f>TITRES_STAT!B671</f>
        <v>45895</v>
      </c>
      <c r="B668" s="5">
        <f>TITRES_STAT!D671</f>
        <v>5.7</v>
      </c>
      <c r="C668" s="2">
        <f t="shared" si="60"/>
        <v>5.649813210604397</v>
      </c>
      <c r="D668" s="2">
        <f t="shared" si="56"/>
        <v>5.6645771312878814</v>
      </c>
      <c r="E668" s="2">
        <f t="shared" ref="E668:E691" si="61">C668-D668</f>
        <v>-1.4763920683484422E-2</v>
      </c>
      <c r="F668" s="2">
        <f t="shared" si="59"/>
        <v>9.254415502276658E-3</v>
      </c>
      <c r="G668" s="2">
        <f t="shared" si="57"/>
        <v>-2.4018336185761081E-2</v>
      </c>
      <c r="H668" s="2" t="str">
        <f t="shared" si="58"/>
        <v>Hold</v>
      </c>
    </row>
    <row r="669" spans="1:8" ht="13.5" x14ac:dyDescent="0.25">
      <c r="A669" s="3">
        <f>TITRES_STAT!B672</f>
        <v>45896</v>
      </c>
      <c r="B669" s="5">
        <f>TITRES_STAT!D672</f>
        <v>5.69</v>
      </c>
      <c r="C669" s="2">
        <f t="shared" si="60"/>
        <v>5.6483034858960286</v>
      </c>
      <c r="D669" s="2">
        <f t="shared" ref="D669:D691" si="62">$D$4*B669+(1-$D$4)*D668</f>
        <v>5.6664603067480384</v>
      </c>
      <c r="E669" s="2">
        <f t="shared" si="61"/>
        <v>-1.8156820852009758E-2</v>
      </c>
      <c r="F669" s="2">
        <f t="shared" si="59"/>
        <v>3.7721682314193752E-3</v>
      </c>
      <c r="G669" s="2">
        <f t="shared" si="57"/>
        <v>-2.1928989083429135E-2</v>
      </c>
      <c r="H669" s="2" t="str">
        <f t="shared" si="58"/>
        <v>Hold</v>
      </c>
    </row>
    <row r="670" spans="1:8" ht="13.5" x14ac:dyDescent="0.25">
      <c r="A670" s="3">
        <f>TITRES_STAT!B673</f>
        <v>45897</v>
      </c>
      <c r="B670" s="5">
        <f>TITRES_STAT!D673</f>
        <v>5.69</v>
      </c>
      <c r="C670" s="2">
        <f t="shared" si="60"/>
        <v>5.647026026527409</v>
      </c>
      <c r="D670" s="2">
        <f t="shared" si="62"/>
        <v>5.6682039877296653</v>
      </c>
      <c r="E670" s="2">
        <f t="shared" si="61"/>
        <v>-2.1177961202256235E-2</v>
      </c>
      <c r="F670" s="2">
        <f t="shared" si="59"/>
        <v>-1.2178576553157471E-3</v>
      </c>
      <c r="G670" s="2">
        <f t="shared" si="57"/>
        <v>-1.9960103546940486E-2</v>
      </c>
      <c r="H670" s="2" t="str">
        <f t="shared" si="58"/>
        <v>Hold</v>
      </c>
    </row>
    <row r="671" spans="1:8" ht="13.5" x14ac:dyDescent="0.25">
      <c r="A671" s="3">
        <f>TITRES_STAT!B674</f>
        <v>45898</v>
      </c>
      <c r="B671" s="5">
        <f>TITRES_STAT!D674</f>
        <v>5.7</v>
      </c>
      <c r="C671" s="2">
        <f t="shared" si="60"/>
        <v>5.627483560907808</v>
      </c>
      <c r="D671" s="2">
        <f t="shared" si="62"/>
        <v>5.6705592478978382</v>
      </c>
      <c r="E671" s="2">
        <f t="shared" si="61"/>
        <v>-4.3075686990030171E-2</v>
      </c>
      <c r="F671" s="2">
        <f t="shared" si="59"/>
        <v>-9.5894235222586319E-3</v>
      </c>
      <c r="G671" s="2">
        <f t="shared" si="57"/>
        <v>-3.3486263467771539E-2</v>
      </c>
      <c r="H671" s="2" t="str">
        <f t="shared" si="58"/>
        <v>Hold</v>
      </c>
    </row>
    <row r="672" spans="1:8" ht="13.5" x14ac:dyDescent="0.25">
      <c r="A672" s="3">
        <f>TITRES_STAT!B675</f>
        <v>45901</v>
      </c>
      <c r="B672" s="5">
        <f>TITRES_STAT!D675</f>
        <v>6</v>
      </c>
      <c r="C672" s="2">
        <f t="shared" si="60"/>
        <v>5.6171014746142989</v>
      </c>
      <c r="D672" s="2">
        <f t="shared" si="62"/>
        <v>5.6949622665720723</v>
      </c>
      <c r="E672" s="2">
        <f t="shared" si="61"/>
        <v>-7.7860791957773401E-2</v>
      </c>
      <c r="F672" s="2">
        <f t="shared" si="59"/>
        <v>-2.3243697209361584E-2</v>
      </c>
      <c r="G672" s="2">
        <f t="shared" si="57"/>
        <v>-5.4617094748411817E-2</v>
      </c>
      <c r="H672" s="2" t="str">
        <f t="shared" si="58"/>
        <v>Hold</v>
      </c>
    </row>
    <row r="673" spans="1:8" ht="13.5" x14ac:dyDescent="0.25">
      <c r="A673" s="3">
        <f>TITRES_STAT!B676</f>
        <v>45902</v>
      </c>
      <c r="B673" s="5">
        <f>TITRES_STAT!D676</f>
        <v>6.06</v>
      </c>
      <c r="C673" s="2">
        <f t="shared" si="60"/>
        <v>5.6283166323659453</v>
      </c>
      <c r="D673" s="2">
        <f t="shared" si="62"/>
        <v>5.7220020986778444</v>
      </c>
      <c r="E673" s="2">
        <f t="shared" si="61"/>
        <v>-9.3685466311899113E-2</v>
      </c>
      <c r="F673" s="2">
        <f t="shared" si="59"/>
        <v>-3.7332051029869091E-2</v>
      </c>
      <c r="G673" s="2">
        <f t="shared" si="57"/>
        <v>-5.6353415282030021E-2</v>
      </c>
      <c r="H673" s="2" t="str">
        <f t="shared" si="58"/>
        <v>Hold</v>
      </c>
    </row>
    <row r="674" spans="1:8" ht="13.5" x14ac:dyDescent="0.25">
      <c r="A674" s="3">
        <f>TITRES_STAT!B677</f>
        <v>45903</v>
      </c>
      <c r="B674" s="5">
        <f>TITRES_STAT!D677</f>
        <v>6.05</v>
      </c>
      <c r="C674" s="2">
        <f t="shared" si="60"/>
        <v>5.6454986889250307</v>
      </c>
      <c r="D674" s="2">
        <f t="shared" si="62"/>
        <v>5.7462982395165225</v>
      </c>
      <c r="E674" s="2">
        <f t="shared" si="61"/>
        <v>-0.10079955059149182</v>
      </c>
      <c r="F674" s="2">
        <f t="shared" si="59"/>
        <v>-5.0025550942193638E-2</v>
      </c>
      <c r="G674" s="2">
        <f t="shared" si="57"/>
        <v>-5.0773999649298178E-2</v>
      </c>
      <c r="H674" s="2" t="str">
        <f t="shared" si="58"/>
        <v>Hold</v>
      </c>
    </row>
    <row r="675" spans="1:8" ht="13.5" x14ac:dyDescent="0.25">
      <c r="A675" s="3">
        <f>TITRES_STAT!B678</f>
        <v>45905</v>
      </c>
      <c r="B675" s="5">
        <f>TITRES_STAT!D678</f>
        <v>5.95</v>
      </c>
      <c r="C675" s="2">
        <f t="shared" si="60"/>
        <v>5.6600373521673335</v>
      </c>
      <c r="D675" s="2">
        <f t="shared" si="62"/>
        <v>5.7613872588115953</v>
      </c>
      <c r="E675" s="2">
        <f t="shared" si="61"/>
        <v>-0.1013499066442618</v>
      </c>
      <c r="F675" s="2">
        <f t="shared" si="59"/>
        <v>-6.0290422082607271E-2</v>
      </c>
      <c r="G675" s="2">
        <f t="shared" si="57"/>
        <v>-4.1059484561654529E-2</v>
      </c>
      <c r="H675" s="2" t="str">
        <f t="shared" si="58"/>
        <v>Hold</v>
      </c>
    </row>
    <row r="676" spans="1:8" ht="13.5" x14ac:dyDescent="0.25">
      <c r="A676" s="3">
        <f>TITRES_STAT!B679</f>
        <v>45908</v>
      </c>
      <c r="B676" s="5">
        <f>TITRES_STAT!D679</f>
        <v>6</v>
      </c>
      <c r="C676" s="2">
        <f t="shared" si="60"/>
        <v>5.6723392979877438</v>
      </c>
      <c r="D676" s="2">
        <f t="shared" si="62"/>
        <v>5.7790622766774034</v>
      </c>
      <c r="E676" s="2">
        <f t="shared" si="61"/>
        <v>-0.10672297868965952</v>
      </c>
      <c r="F676" s="2">
        <f t="shared" si="59"/>
        <v>-6.9576933404017716E-2</v>
      </c>
      <c r="G676" s="2">
        <f t="shared" ref="G676:G691" si="63">E676-F676</f>
        <v>-3.7146045285641804E-2</v>
      </c>
      <c r="H676" s="2" t="str">
        <f t="shared" ref="H676:H691" si="64">IF(G676&lt;0,"Hold","Sell")</f>
        <v>Hold</v>
      </c>
    </row>
    <row r="677" spans="1:8" ht="13.5" x14ac:dyDescent="0.25">
      <c r="A677" s="3">
        <f>TITRES_STAT!B680</f>
        <v>45909</v>
      </c>
      <c r="B677" s="5">
        <f>TITRES_STAT!D680</f>
        <v>5.93</v>
      </c>
      <c r="C677" s="2">
        <f t="shared" si="60"/>
        <v>5.676594790605014</v>
      </c>
      <c r="D677" s="2">
        <f t="shared" si="62"/>
        <v>5.7902428487753737</v>
      </c>
      <c r="E677" s="2">
        <f t="shared" si="61"/>
        <v>-0.11364805817035961</v>
      </c>
      <c r="F677" s="2">
        <f t="shared" ref="F677:F691" si="65">(E677*(2/(10)))+((1-(2/10))*F676)</f>
        <v>-7.8391158357286106E-2</v>
      </c>
      <c r="G677" s="2">
        <f t="shared" si="63"/>
        <v>-3.5256899813073506E-2</v>
      </c>
      <c r="H677" s="2" t="str">
        <f t="shared" si="64"/>
        <v>Hold</v>
      </c>
    </row>
    <row r="678" spans="1:8" ht="13.5" x14ac:dyDescent="0.25">
      <c r="A678" s="3">
        <f>TITRES_STAT!B681</f>
        <v>45910</v>
      </c>
      <c r="B678" s="5">
        <f>TITRES_STAT!D681</f>
        <v>5.95</v>
      </c>
      <c r="C678" s="2">
        <f t="shared" si="60"/>
        <v>5.6801955920503966</v>
      </c>
      <c r="D678" s="2">
        <f t="shared" si="62"/>
        <v>5.8020767118290495</v>
      </c>
      <c r="E678" s="2">
        <f t="shared" si="61"/>
        <v>-0.1218811197786529</v>
      </c>
      <c r="F678" s="2">
        <f t="shared" si="65"/>
        <v>-8.7089150641559462E-2</v>
      </c>
      <c r="G678" s="2">
        <f t="shared" si="63"/>
        <v>-3.479196913709344E-2</v>
      </c>
      <c r="H678" s="2" t="str">
        <f t="shared" si="64"/>
        <v>Hold</v>
      </c>
    </row>
    <row r="679" spans="1:8" ht="13.5" x14ac:dyDescent="0.25">
      <c r="A679" s="3">
        <f>TITRES_STAT!B682</f>
        <v>45911</v>
      </c>
      <c r="B679" s="5">
        <f>TITRES_STAT!D682</f>
        <v>6.14</v>
      </c>
      <c r="C679" s="2">
        <f t="shared" si="60"/>
        <v>5.6817039625041819</v>
      </c>
      <c r="D679" s="2">
        <f t="shared" si="62"/>
        <v>5.8271080665083792</v>
      </c>
      <c r="E679" s="2">
        <f t="shared" si="61"/>
        <v>-0.14540410400419734</v>
      </c>
      <c r="F679" s="2">
        <f t="shared" si="65"/>
        <v>-9.875214131408705E-2</v>
      </c>
      <c r="G679" s="2">
        <f t="shared" si="63"/>
        <v>-4.6651962690110294E-2</v>
      </c>
      <c r="H679" s="2" t="str">
        <f t="shared" si="64"/>
        <v>Hold</v>
      </c>
    </row>
    <row r="680" spans="1:8" ht="13.5" x14ac:dyDescent="0.25">
      <c r="A680" s="3">
        <f>TITRES_STAT!B683</f>
        <v>45912</v>
      </c>
      <c r="B680" s="5">
        <f>TITRES_STAT!D683</f>
        <v>6.2</v>
      </c>
      <c r="C680" s="2">
        <f t="shared" si="60"/>
        <v>5.6829802759650772</v>
      </c>
      <c r="D680" s="2">
        <f t="shared" si="62"/>
        <v>5.8547296912114621</v>
      </c>
      <c r="E680" s="2">
        <f t="shared" si="61"/>
        <v>-0.17174941524638498</v>
      </c>
      <c r="F680" s="2">
        <f t="shared" si="65"/>
        <v>-0.11335159610054664</v>
      </c>
      <c r="G680" s="2">
        <f t="shared" si="63"/>
        <v>-5.8397819145838345E-2</v>
      </c>
      <c r="H680" s="2" t="str">
        <f t="shared" si="64"/>
        <v>Hold</v>
      </c>
    </row>
    <row r="681" spans="1:8" ht="13.5" x14ac:dyDescent="0.25">
      <c r="A681" s="3">
        <f>TITRES_STAT!B684</f>
        <v>45915</v>
      </c>
      <c r="B681" s="5">
        <f>TITRES_STAT!D684</f>
        <v>6.1</v>
      </c>
      <c r="C681" s="2">
        <f t="shared" si="60"/>
        <v>5.6855986950473731</v>
      </c>
      <c r="D681" s="2">
        <f t="shared" si="62"/>
        <v>5.8728978622328354</v>
      </c>
      <c r="E681" s="2">
        <f t="shared" si="61"/>
        <v>-0.18729916718546225</v>
      </c>
      <c r="F681" s="2">
        <f t="shared" si="65"/>
        <v>-0.12814111031752976</v>
      </c>
      <c r="G681" s="2">
        <f t="shared" si="63"/>
        <v>-5.915805686793249E-2</v>
      </c>
      <c r="H681" s="2" t="str">
        <f t="shared" si="64"/>
        <v>Hold</v>
      </c>
    </row>
    <row r="682" spans="1:8" ht="13.5" x14ac:dyDescent="0.25">
      <c r="A682" s="3">
        <f>TITRES_STAT!B685</f>
        <v>45916</v>
      </c>
      <c r="B682" s="5">
        <f>TITRES_STAT!D685</f>
        <v>6.12</v>
      </c>
      <c r="C682" s="2">
        <f t="shared" si="60"/>
        <v>5.7339681265785467</v>
      </c>
      <c r="D682" s="2">
        <f t="shared" si="62"/>
        <v>5.8912017242896626</v>
      </c>
      <c r="E682" s="2">
        <f t="shared" si="61"/>
        <v>-0.15723359771111589</v>
      </c>
      <c r="F682" s="2">
        <f t="shared" si="65"/>
        <v>-0.13395960779624699</v>
      </c>
      <c r="G682" s="2">
        <f t="shared" si="63"/>
        <v>-2.3273989914868898E-2</v>
      </c>
      <c r="H682" s="2" t="str">
        <f t="shared" si="64"/>
        <v>Hold</v>
      </c>
    </row>
    <row r="683" spans="1:8" ht="13.5" x14ac:dyDescent="0.25">
      <c r="A683" s="3">
        <f>TITRES_STAT!B686</f>
        <v>45917</v>
      </c>
      <c r="B683" s="5">
        <f>TITRES_STAT!D686</f>
        <v>6.23</v>
      </c>
      <c r="C683" s="2">
        <f t="shared" si="60"/>
        <v>5.7841268763356926</v>
      </c>
      <c r="D683" s="2">
        <f t="shared" si="62"/>
        <v>5.9162978928607988</v>
      </c>
      <c r="E683" s="2">
        <f t="shared" si="61"/>
        <v>-0.13217101652510621</v>
      </c>
      <c r="F683" s="2">
        <f t="shared" si="65"/>
        <v>-0.13360188954201885</v>
      </c>
      <c r="G683" s="2">
        <f t="shared" si="63"/>
        <v>1.4308730169126371E-3</v>
      </c>
      <c r="H683" s="2" t="str">
        <f t="shared" si="64"/>
        <v>Sell</v>
      </c>
    </row>
    <row r="684" spans="1:8" ht="13.5" x14ac:dyDescent="0.25">
      <c r="A684" s="3">
        <f>TITRES_STAT!B687</f>
        <v>45918</v>
      </c>
      <c r="B684" s="5">
        <f>TITRES_STAT!D687</f>
        <v>6.27</v>
      </c>
      <c r="C684" s="2">
        <f t="shared" si="60"/>
        <v>5.8250304338225094</v>
      </c>
      <c r="D684" s="2">
        <f t="shared" si="62"/>
        <v>5.9424980489451835</v>
      </c>
      <c r="E684" s="2">
        <f t="shared" si="61"/>
        <v>-0.11746761512267412</v>
      </c>
      <c r="F684" s="2">
        <f t="shared" si="65"/>
        <v>-0.13037503465814992</v>
      </c>
      <c r="G684" s="2">
        <f t="shared" si="63"/>
        <v>1.2907419535475806E-2</v>
      </c>
      <c r="H684" s="2" t="str">
        <f t="shared" si="64"/>
        <v>Sell</v>
      </c>
    </row>
    <row r="685" spans="1:8" ht="13.5" x14ac:dyDescent="0.25">
      <c r="A685" s="3">
        <f>TITRES_STAT!B688</f>
        <v>45919</v>
      </c>
      <c r="B685" s="5">
        <f>TITRES_STAT!D688</f>
        <v>6.34</v>
      </c>
      <c r="C685" s="2">
        <f t="shared" si="60"/>
        <v>5.8442565209267388</v>
      </c>
      <c r="D685" s="2">
        <f t="shared" si="62"/>
        <v>5.9719426379122069</v>
      </c>
      <c r="E685" s="2">
        <f t="shared" si="61"/>
        <v>-0.12768611698546817</v>
      </c>
      <c r="F685" s="2">
        <f t="shared" si="65"/>
        <v>-0.12983725112361358</v>
      </c>
      <c r="G685" s="2">
        <f t="shared" si="63"/>
        <v>2.1511341381454108E-3</v>
      </c>
      <c r="H685" s="2" t="str">
        <f t="shared" si="64"/>
        <v>Sell</v>
      </c>
    </row>
    <row r="686" spans="1:8" ht="13.5" x14ac:dyDescent="0.25">
      <c r="A686" s="3">
        <f>TITRES_STAT!B689</f>
        <v>45922</v>
      </c>
      <c r="B686" s="5">
        <f>TITRES_STAT!D689</f>
        <v>6.49</v>
      </c>
      <c r="C686" s="2">
        <f t="shared" si="60"/>
        <v>5.8682170561687794</v>
      </c>
      <c r="D686" s="2">
        <f t="shared" si="62"/>
        <v>6.0103172573261174</v>
      </c>
      <c r="E686" s="2">
        <f t="shared" si="61"/>
        <v>-0.14210020115733801</v>
      </c>
      <c r="F686" s="2">
        <f t="shared" si="65"/>
        <v>-0.13228984113035847</v>
      </c>
      <c r="G686" s="2">
        <f t="shared" si="63"/>
        <v>-9.8103600269795477E-3</v>
      </c>
      <c r="H686" s="2" t="str">
        <f t="shared" si="64"/>
        <v>Hold</v>
      </c>
    </row>
    <row r="687" spans="1:8" ht="13.5" x14ac:dyDescent="0.25">
      <c r="A687" s="3">
        <f>TITRES_STAT!B690</f>
        <v>45923</v>
      </c>
      <c r="B687" s="5">
        <f>TITRES_STAT!D690</f>
        <v>6.48</v>
      </c>
      <c r="C687" s="2">
        <f t="shared" si="60"/>
        <v>5.8777221244505053</v>
      </c>
      <c r="D687" s="2">
        <f t="shared" si="62"/>
        <v>6.0451085715982575</v>
      </c>
      <c r="E687" s="2">
        <f t="shared" si="61"/>
        <v>-0.16738644714775219</v>
      </c>
      <c r="F687" s="2">
        <f t="shared" si="65"/>
        <v>-0.13930916233383722</v>
      </c>
      <c r="G687" s="2">
        <f t="shared" si="63"/>
        <v>-2.8077284813914971E-2</v>
      </c>
      <c r="H687" s="2" t="str">
        <f t="shared" si="64"/>
        <v>Hold</v>
      </c>
    </row>
    <row r="688" spans="1:8" ht="13.5" x14ac:dyDescent="0.25">
      <c r="A688" s="3">
        <f>TITRES_STAT!B691</f>
        <v>45924</v>
      </c>
      <c r="B688" s="5">
        <f>TITRES_STAT!D691</f>
        <v>6.5</v>
      </c>
      <c r="C688" s="2">
        <f t="shared" si="60"/>
        <v>5.888841797611966</v>
      </c>
      <c r="D688" s="2">
        <f t="shared" si="62"/>
        <v>6.0788042329613496</v>
      </c>
      <c r="E688" s="2">
        <f t="shared" si="61"/>
        <v>-0.18996243534938362</v>
      </c>
      <c r="F688" s="2">
        <f t="shared" si="65"/>
        <v>-0.14943981693694652</v>
      </c>
      <c r="G688" s="2">
        <f t="shared" si="63"/>
        <v>-4.0522618412437095E-2</v>
      </c>
      <c r="H688" s="2" t="str">
        <f t="shared" si="64"/>
        <v>Hold</v>
      </c>
    </row>
    <row r="689" spans="1:8" ht="13.5" x14ac:dyDescent="0.25">
      <c r="A689" s="3">
        <f>TITRES_STAT!B692</f>
        <v>45925</v>
      </c>
      <c r="B689" s="5">
        <f>TITRES_STAT!D692</f>
        <v>6.48</v>
      </c>
      <c r="C689" s="2">
        <f t="shared" si="60"/>
        <v>5.9274815210562792</v>
      </c>
      <c r="D689" s="2">
        <f t="shared" si="62"/>
        <v>6.1085224379271761</v>
      </c>
      <c r="E689" s="2">
        <f t="shared" si="61"/>
        <v>-0.18104091687089685</v>
      </c>
      <c r="F689" s="2">
        <f t="shared" si="65"/>
        <v>-0.15576003692373658</v>
      </c>
      <c r="G689" s="2">
        <f t="shared" si="63"/>
        <v>-2.5280879947160273E-2</v>
      </c>
      <c r="H689" s="2" t="str">
        <f t="shared" si="64"/>
        <v>Hold</v>
      </c>
    </row>
    <row r="690" spans="1:8" ht="13.5" x14ac:dyDescent="0.25">
      <c r="A690" s="3">
        <f>TITRES_STAT!B693</f>
        <v>45926</v>
      </c>
      <c r="B690" s="5">
        <f>TITRES_STAT!D693</f>
        <v>6.44</v>
      </c>
      <c r="C690" s="2">
        <f t="shared" si="60"/>
        <v>5.9694074408937752</v>
      </c>
      <c r="D690" s="2">
        <f t="shared" si="62"/>
        <v>6.1330763314140517</v>
      </c>
      <c r="E690" s="2">
        <f t="shared" si="61"/>
        <v>-0.16366889052027656</v>
      </c>
      <c r="F690" s="2">
        <f t="shared" si="65"/>
        <v>-0.15734180764304456</v>
      </c>
      <c r="G690" s="2">
        <f t="shared" si="63"/>
        <v>-6.3270828772319931E-3</v>
      </c>
      <c r="H690" s="2" t="str">
        <f t="shared" si="64"/>
        <v>Hold</v>
      </c>
    </row>
    <row r="691" spans="1:8" ht="13.5" x14ac:dyDescent="0.25">
      <c r="A691" s="3">
        <f>TITRES_STAT!B694</f>
        <v>45929</v>
      </c>
      <c r="B691" s="5">
        <f>TITRES_STAT!D694</f>
        <v>6.45</v>
      </c>
      <c r="C691" s="2">
        <f t="shared" si="60"/>
        <v>5.9894986038331943</v>
      </c>
      <c r="D691" s="2">
        <f t="shared" si="62"/>
        <v>6.1565521587167149</v>
      </c>
      <c r="E691" s="2">
        <f t="shared" si="61"/>
        <v>-0.16705355488352058</v>
      </c>
      <c r="F691" s="2">
        <f t="shared" si="65"/>
        <v>-0.15928415709113977</v>
      </c>
      <c r="G691" s="2">
        <f t="shared" si="63"/>
        <v>-7.7693977923808111E-3</v>
      </c>
      <c r="H691" s="2" t="str">
        <f t="shared" si="64"/>
        <v>Hold</v>
      </c>
    </row>
  </sheetData>
  <conditionalFormatting sqref="H35:H691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691"/>
  <sheetViews>
    <sheetView topLeftCell="A679" workbookViewId="0">
      <selection activeCell="A692" sqref="A692:XFD2693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ht="13.5" x14ac:dyDescent="0.25">
      <c r="A2" s="3">
        <f>TITRES_STAT!B5</f>
        <v>44922</v>
      </c>
      <c r="B2" s="5">
        <f>TITRES_STAT!C5</f>
        <v>0</v>
      </c>
      <c r="C2" s="5">
        <f>TITRES_STAT!D5</f>
        <v>0</v>
      </c>
      <c r="D2" s="5">
        <f>TITRES_STAT!E5</f>
        <v>0</v>
      </c>
      <c r="E2" s="2">
        <f>D2</f>
        <v>0</v>
      </c>
      <c r="F2" s="5"/>
      <c r="G2" s="5"/>
      <c r="H2" s="5"/>
    </row>
    <row r="3" spans="1:8" ht="13.5" x14ac:dyDescent="0.25">
      <c r="A3" s="3">
        <f>TITRES_STAT!B6</f>
        <v>44923</v>
      </c>
      <c r="B3" s="5">
        <f>TITRES_STAT!C6</f>
        <v>0</v>
      </c>
      <c r="C3" s="5">
        <f>TITRES_STAT!D6</f>
        <v>0</v>
      </c>
      <c r="D3" s="5">
        <f>TITRES_STAT!E6</f>
        <v>0</v>
      </c>
      <c r="E3" s="2">
        <f>IF(B3&gt;B2, E2+D3, IF(B3&lt;B2, E2-D3, E2))</f>
        <v>0</v>
      </c>
      <c r="F3" s="5"/>
      <c r="G3" s="5"/>
      <c r="H3" s="5"/>
    </row>
    <row r="4" spans="1:8" ht="13.5" x14ac:dyDescent="0.25">
      <c r="A4" s="3">
        <f>TITRES_STAT!B7</f>
        <v>44924</v>
      </c>
      <c r="B4" s="5">
        <f>TITRES_STAT!C7</f>
        <v>6.2</v>
      </c>
      <c r="C4" s="5">
        <f>TITRES_STAT!D7</f>
        <v>5.266</v>
      </c>
      <c r="D4" s="5">
        <f>TITRES_STAT!E7</f>
        <v>5.266</v>
      </c>
      <c r="E4" s="2">
        <f t="shared" ref="E4:E67" si="0">IF(B4&gt;B3, E3+D4, IF(B4&lt;B3, E3-D4, E3))</f>
        <v>5.266</v>
      </c>
      <c r="F4" s="5"/>
      <c r="G4" s="5"/>
      <c r="H4" s="5"/>
    </row>
    <row r="5" spans="1:8" ht="13.5" x14ac:dyDescent="0.25">
      <c r="A5" s="3">
        <f>TITRES_STAT!B8</f>
        <v>44925</v>
      </c>
      <c r="B5" s="5">
        <f>TITRES_STAT!C8</f>
        <v>6.36</v>
      </c>
      <c r="C5" s="5">
        <f>TITRES_STAT!D8</f>
        <v>5.4020000000000001</v>
      </c>
      <c r="D5" s="5">
        <f>TITRES_STAT!E8</f>
        <v>5.3467908805031445</v>
      </c>
      <c r="E5" s="2">
        <f t="shared" si="0"/>
        <v>10.612790880503145</v>
      </c>
      <c r="F5" s="5"/>
      <c r="G5" s="5"/>
      <c r="H5" s="5"/>
    </row>
    <row r="6" spans="1:8" ht="13.5" x14ac:dyDescent="0.25">
      <c r="A6" s="3">
        <f>TITRES_STAT!B9</f>
        <v>44928</v>
      </c>
      <c r="B6" s="5">
        <f>TITRES_STAT!C9</f>
        <v>6.32</v>
      </c>
      <c r="C6" s="5">
        <f>TITRES_STAT!D9</f>
        <v>5.3680000000000003</v>
      </c>
      <c r="D6" s="5">
        <f>TITRES_STAT!E9</f>
        <v>5.364602531645569</v>
      </c>
      <c r="E6" s="2">
        <f t="shared" si="0"/>
        <v>5.2481883488575756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44929</v>
      </c>
      <c r="B7" s="5">
        <f>TITRES_STAT!C10</f>
        <v>6.35</v>
      </c>
      <c r="C7" s="5">
        <f>TITRES_STAT!D10</f>
        <v>5.3940000000000001</v>
      </c>
      <c r="D7" s="5">
        <f>TITRES_STAT!E10</f>
        <v>5.3489792125984259</v>
      </c>
      <c r="E7" s="2">
        <f t="shared" si="0"/>
        <v>10.597167561456001</v>
      </c>
      <c r="F7" s="5" t="str">
        <f>IF(E7&gt;E2,"BULLISH",IF(E7&lt;E2,"BEARISH","NEUTRAL"))</f>
        <v>BULLISH</v>
      </c>
      <c r="G7" s="5" t="e">
        <f t="shared" ref="G7:G70" si="2">IF((E7-E2)/E2 &gt; 0.02, "STRONG",
 IF((E7-E2)/E2 &lt; -0.02, "WEAK", "NEUTRAL"))</f>
        <v>#DIV/0!</v>
      </c>
      <c r="H7" s="5" t="str">
        <f t="shared" si="1"/>
        <v>CONFIRMED BULLISH</v>
      </c>
    </row>
    <row r="8" spans="1:8" ht="13.5" x14ac:dyDescent="0.25">
      <c r="A8" s="3">
        <f>TITRES_STAT!B11</f>
        <v>44930</v>
      </c>
      <c r="B8" s="5">
        <f>TITRES_STAT!C11</f>
        <v>6.2</v>
      </c>
      <c r="C8" s="5">
        <f>TITRES_STAT!D11</f>
        <v>5.266</v>
      </c>
      <c r="D8" s="5">
        <f>TITRES_STAT!E11</f>
        <v>5.3076183870967739</v>
      </c>
      <c r="E8" s="2">
        <f t="shared" si="0"/>
        <v>5.2895491743592267</v>
      </c>
      <c r="F8" s="5" t="str">
        <f t="shared" ref="F8:F71" si="3">IF(E8&gt;E3,"BULLISH",IF(E8&lt;E3,"BEARISH","NEUTRAL"))</f>
        <v>BULLISH</v>
      </c>
      <c r="G8" s="5" t="e">
        <f t="shared" si="2"/>
        <v>#DIV/0!</v>
      </c>
      <c r="H8" s="5" t="str">
        <f t="shared" si="1"/>
        <v>CONFIRMED BULLISH</v>
      </c>
    </row>
    <row r="9" spans="1:8" ht="13.5" x14ac:dyDescent="0.25">
      <c r="A9" s="3">
        <f>TITRES_STAT!B12</f>
        <v>44931</v>
      </c>
      <c r="B9" s="5">
        <f>TITRES_STAT!C12</f>
        <v>6.3</v>
      </c>
      <c r="C9" s="5">
        <f>TITRES_STAT!D12</f>
        <v>5.351</v>
      </c>
      <c r="D9" s="5">
        <f>TITRES_STAT!E12</f>
        <v>5.2711596825396834</v>
      </c>
      <c r="E9" s="2">
        <f t="shared" si="0"/>
        <v>10.560708856898909</v>
      </c>
      <c r="F9" s="5" t="str">
        <f t="shared" si="3"/>
        <v>BULLISH</v>
      </c>
      <c r="G9" s="5" t="str">
        <f t="shared" si="2"/>
        <v>STRONG</v>
      </c>
      <c r="H9" s="5" t="str">
        <f t="shared" si="1"/>
        <v>CONFIRMED BULLISH</v>
      </c>
    </row>
    <row r="10" spans="1:8" ht="13.5" x14ac:dyDescent="0.25">
      <c r="A10" s="3">
        <f>TITRES_STAT!B13</f>
        <v>44932</v>
      </c>
      <c r="B10" s="5">
        <f>TITRES_STAT!C13</f>
        <v>6.3</v>
      </c>
      <c r="C10" s="5">
        <f>TITRES_STAT!D13</f>
        <v>5.351</v>
      </c>
      <c r="D10" s="5">
        <f>TITRES_STAT!E13</f>
        <v>5.3153266666666674</v>
      </c>
      <c r="E10" s="2">
        <f t="shared" si="0"/>
        <v>10.560708856898909</v>
      </c>
      <c r="F10" s="5" t="str">
        <f t="shared" si="3"/>
        <v>BEARISH</v>
      </c>
      <c r="G10" s="5" t="str">
        <f>IF((E10-E5)/E5 &gt; 0.02, "STRONG",
 IF((E10-E5)/E5 &lt; -0.02, "WEAK", "NEUTRAL"))</f>
        <v>NEUTRAL</v>
      </c>
      <c r="H10" s="5" t="str">
        <f t="shared" si="1"/>
        <v>CONFIRMED BEARISH</v>
      </c>
    </row>
    <row r="11" spans="1:8" ht="13.5" x14ac:dyDescent="0.25">
      <c r="A11" s="3">
        <f>TITRES_STAT!B14</f>
        <v>44935</v>
      </c>
      <c r="B11" s="5">
        <f>TITRES_STAT!C14</f>
        <v>6.26</v>
      </c>
      <c r="C11" s="5">
        <f>TITRES_STAT!D14</f>
        <v>5.3170000000000002</v>
      </c>
      <c r="D11" s="5">
        <f>TITRES_STAT!E14</f>
        <v>5.2796281150159752</v>
      </c>
      <c r="E11" s="2">
        <f t="shared" si="0"/>
        <v>5.281080741882934</v>
      </c>
      <c r="F11" s="5" t="str">
        <f t="shared" si="3"/>
        <v>BULLISH</v>
      </c>
      <c r="G11" s="5" t="str">
        <f t="shared" si="2"/>
        <v>NEUTRAL</v>
      </c>
      <c r="H11" s="5" t="str">
        <f t="shared" si="1"/>
        <v>BULLISH DIVERGENCE</v>
      </c>
    </row>
    <row r="12" spans="1:8" ht="13.5" x14ac:dyDescent="0.25">
      <c r="A12" s="3">
        <f>TITRES_STAT!B15</f>
        <v>44936</v>
      </c>
      <c r="B12" s="5">
        <f>TITRES_STAT!C15</f>
        <v>6.2</v>
      </c>
      <c r="C12" s="5">
        <f>TITRES_STAT!D15</f>
        <v>5.266</v>
      </c>
      <c r="D12" s="5">
        <f>TITRES_STAT!E15</f>
        <v>5.3203587096774196</v>
      </c>
      <c r="E12" s="2">
        <f t="shared" si="0"/>
        <v>-3.9277967794485669E-2</v>
      </c>
      <c r="F12" s="5" t="str">
        <f t="shared" si="3"/>
        <v>BEARISH</v>
      </c>
      <c r="G12" s="5" t="str">
        <f t="shared" si="2"/>
        <v>WEAK</v>
      </c>
      <c r="H12" s="5" t="str">
        <f t="shared" si="1"/>
        <v>CONFIRMED BEARISH</v>
      </c>
    </row>
    <row r="13" spans="1:8" ht="13.5" x14ac:dyDescent="0.25">
      <c r="A13" s="3">
        <f>TITRES_STAT!B16</f>
        <v>44937</v>
      </c>
      <c r="B13" s="5">
        <f>TITRES_STAT!C16</f>
        <v>6.25</v>
      </c>
      <c r="C13" s="5">
        <f>TITRES_STAT!D16</f>
        <v>5.3090000000000002</v>
      </c>
      <c r="D13" s="5">
        <f>TITRES_STAT!E16</f>
        <v>5.2877639999999992</v>
      </c>
      <c r="E13" s="2">
        <f t="shared" si="0"/>
        <v>5.2484860322055136</v>
      </c>
      <c r="F13" s="5" t="str">
        <f t="shared" si="3"/>
        <v>BEARISH</v>
      </c>
      <c r="G13" s="5" t="str">
        <f t="shared" si="2"/>
        <v>NEUTRAL</v>
      </c>
      <c r="H13" s="5" t="str">
        <f t="shared" si="1"/>
        <v>BEARISH DIVERGENCE</v>
      </c>
    </row>
    <row r="14" spans="1:8" ht="13.5" x14ac:dyDescent="0.25">
      <c r="A14" s="3">
        <f>TITRES_STAT!B17</f>
        <v>44938</v>
      </c>
      <c r="B14" s="5">
        <f>TITRES_STAT!C17</f>
        <v>6.1</v>
      </c>
      <c r="C14" s="5">
        <f>TITRES_STAT!D17</f>
        <v>5.181</v>
      </c>
      <c r="D14" s="5">
        <f>TITRES_STAT!E17</f>
        <v>5.3415260655737704</v>
      </c>
      <c r="E14" s="2">
        <f t="shared" si="0"/>
        <v>-9.3040033368256836E-2</v>
      </c>
      <c r="F14" s="5" t="str">
        <f t="shared" si="3"/>
        <v>BEARISH</v>
      </c>
      <c r="G14" s="5" t="str">
        <f t="shared" si="2"/>
        <v>WEAK</v>
      </c>
      <c r="H14" s="5" t="str">
        <f t="shared" si="1"/>
        <v>CONFIRMED BEARISH</v>
      </c>
    </row>
    <row r="15" spans="1:8" ht="13.5" x14ac:dyDescent="0.25">
      <c r="A15" s="3">
        <f>TITRES_STAT!B18</f>
        <v>44939</v>
      </c>
      <c r="B15" s="5">
        <f>TITRES_STAT!C18</f>
        <v>6.38</v>
      </c>
      <c r="C15" s="5">
        <f>TITRES_STAT!D18</f>
        <v>5.4189999999999996</v>
      </c>
      <c r="D15" s="5">
        <f>TITRES_STAT!E18</f>
        <v>5.3586945141065829</v>
      </c>
      <c r="E15" s="2">
        <f t="shared" si="0"/>
        <v>5.2656544807383261</v>
      </c>
      <c r="F15" s="5" t="str">
        <f t="shared" si="3"/>
        <v>BEARISH</v>
      </c>
      <c r="G15" s="5" t="str">
        <f t="shared" si="2"/>
        <v>WEAK</v>
      </c>
      <c r="H15" s="5" t="str">
        <f t="shared" si="1"/>
        <v>BEARISH DIVERGENCE</v>
      </c>
    </row>
    <row r="16" spans="1:8" ht="13.5" x14ac:dyDescent="0.25">
      <c r="A16" s="3">
        <f>TITRES_STAT!B19</f>
        <v>44942</v>
      </c>
      <c r="B16" s="5">
        <f>TITRES_STAT!C19</f>
        <v>6.44</v>
      </c>
      <c r="C16" s="5">
        <f>TITRES_STAT!D19</f>
        <v>5.47</v>
      </c>
      <c r="D16" s="5">
        <f>TITRES_STAT!E19</f>
        <v>5.4402717391304343</v>
      </c>
      <c r="E16" s="2">
        <f t="shared" si="0"/>
        <v>10.705926219868761</v>
      </c>
      <c r="F16" s="5" t="str">
        <f t="shared" si="3"/>
        <v>BULLISH</v>
      </c>
      <c r="G16" s="5" t="str">
        <f t="shared" si="2"/>
        <v>STRONG</v>
      </c>
      <c r="H16" s="5" t="str">
        <f t="shared" si="1"/>
        <v>CONFIRMED BULLISH</v>
      </c>
    </row>
    <row r="17" spans="1:8" ht="13.5" x14ac:dyDescent="0.25">
      <c r="A17" s="3">
        <f>TITRES_STAT!B20</f>
        <v>44943</v>
      </c>
      <c r="B17" s="5">
        <f>TITRES_STAT!C20</f>
        <v>6.4</v>
      </c>
      <c r="C17" s="5">
        <f>TITRES_STAT!D20</f>
        <v>5.4359999999999999</v>
      </c>
      <c r="D17" s="5">
        <f>TITRES_STAT!E20</f>
        <v>5.4444937500000004</v>
      </c>
      <c r="E17" s="2">
        <f t="shared" si="0"/>
        <v>5.2614324698687609</v>
      </c>
      <c r="F17" s="5" t="str">
        <f t="shared" si="3"/>
        <v>BULLISH</v>
      </c>
      <c r="G17" s="5" t="str">
        <f t="shared" si="2"/>
        <v>WEAK</v>
      </c>
      <c r="H17" s="5" t="str">
        <f t="shared" si="1"/>
        <v>CONFIRMED BULLISH</v>
      </c>
    </row>
    <row r="18" spans="1:8" ht="13.5" x14ac:dyDescent="0.25">
      <c r="A18" s="3">
        <f>TITRES_STAT!B21</f>
        <v>44944</v>
      </c>
      <c r="B18" s="5">
        <f>TITRES_STAT!C21</f>
        <v>6.43</v>
      </c>
      <c r="C18" s="5">
        <f>TITRES_STAT!D21</f>
        <v>5.4619999999999997</v>
      </c>
      <c r="D18" s="5">
        <f>TITRES_STAT!E21</f>
        <v>5.458602177293935</v>
      </c>
      <c r="E18" s="2">
        <f t="shared" si="0"/>
        <v>10.720034647162695</v>
      </c>
      <c r="F18" s="5" t="str">
        <f t="shared" si="3"/>
        <v>BULLISH</v>
      </c>
      <c r="G18" s="5" t="str">
        <f t="shared" si="2"/>
        <v>STRONG</v>
      </c>
      <c r="H18" s="5" t="str">
        <f t="shared" si="1"/>
        <v>CONFIRMED BULLISH</v>
      </c>
    </row>
    <row r="19" spans="1:8" ht="13.5" x14ac:dyDescent="0.25">
      <c r="A19" s="3">
        <f>TITRES_STAT!B22</f>
        <v>44945</v>
      </c>
      <c r="B19" s="5">
        <f>TITRES_STAT!C22</f>
        <v>6.43</v>
      </c>
      <c r="C19" s="5">
        <f>TITRES_STAT!D22</f>
        <v>5.4619999999999997</v>
      </c>
      <c r="D19" s="5">
        <f>TITRES_STAT!E22</f>
        <v>5.4492581648522549</v>
      </c>
      <c r="E19" s="2">
        <f t="shared" si="0"/>
        <v>10.720034647162695</v>
      </c>
      <c r="F19" s="5" t="str">
        <f t="shared" si="3"/>
        <v>BULLISH</v>
      </c>
      <c r="G19" s="5" t="str">
        <f t="shared" si="2"/>
        <v>WEAK</v>
      </c>
      <c r="H19" s="5" t="str">
        <f t="shared" si="1"/>
        <v>CONFIRMED BULLISH</v>
      </c>
    </row>
    <row r="20" spans="1:8" ht="13.5" x14ac:dyDescent="0.25">
      <c r="A20" s="3">
        <f>TITRES_STAT!B23</f>
        <v>44946</v>
      </c>
      <c r="B20" s="5">
        <f>TITRES_STAT!C23</f>
        <v>6.4</v>
      </c>
      <c r="C20" s="5">
        <f>TITRES_STAT!D23</f>
        <v>5.4359999999999999</v>
      </c>
      <c r="D20" s="5">
        <f>TITRES_STAT!E23</f>
        <v>5.4309037499999997</v>
      </c>
      <c r="E20" s="2">
        <f t="shared" si="0"/>
        <v>5.2891308971626954</v>
      </c>
      <c r="F20" s="5" t="str">
        <f t="shared" si="3"/>
        <v>BULLISH</v>
      </c>
      <c r="G20" s="5" t="str">
        <f t="shared" si="2"/>
        <v>NEUTRAL</v>
      </c>
      <c r="H20" s="5" t="str">
        <f t="shared" si="1"/>
        <v>CONFIRMED BULLISH</v>
      </c>
    </row>
    <row r="21" spans="1:8" ht="13.5" x14ac:dyDescent="0.25">
      <c r="A21" s="3">
        <f>TITRES_STAT!B24</f>
        <v>44949</v>
      </c>
      <c r="B21" s="5">
        <f>TITRES_STAT!C24</f>
        <v>6.35</v>
      </c>
      <c r="C21" s="5">
        <f>TITRES_STAT!D24</f>
        <v>5.3940000000000001</v>
      </c>
      <c r="D21" s="5">
        <f>TITRES_STAT!E24</f>
        <v>5.4118384251968514</v>
      </c>
      <c r="E21" s="2">
        <f t="shared" si="0"/>
        <v>-0.12270752803415608</v>
      </c>
      <c r="F21" s="5" t="str">
        <f t="shared" si="3"/>
        <v>BEARISH</v>
      </c>
      <c r="G21" s="5" t="str">
        <f t="shared" si="2"/>
        <v>WEAK</v>
      </c>
      <c r="H21" s="5" t="str">
        <f t="shared" si="1"/>
        <v>CONFIRMED BEARISH</v>
      </c>
    </row>
    <row r="22" spans="1:8" ht="13.5" x14ac:dyDescent="0.25">
      <c r="A22" s="3">
        <f>TITRES_STAT!B25</f>
        <v>44950</v>
      </c>
      <c r="B22" s="5">
        <f>TITRES_STAT!C25</f>
        <v>6.38</v>
      </c>
      <c r="C22" s="5">
        <f>TITRES_STAT!D25</f>
        <v>5.4189999999999996</v>
      </c>
      <c r="D22" s="5">
        <f>TITRES_STAT!E25</f>
        <v>5.3595438871473347</v>
      </c>
      <c r="E22" s="2">
        <f t="shared" si="0"/>
        <v>5.2368363591131786</v>
      </c>
      <c r="F22" s="5" t="str">
        <f t="shared" si="3"/>
        <v>BEARISH</v>
      </c>
      <c r="G22" s="5" t="str">
        <f t="shared" si="2"/>
        <v>NEUTRAL</v>
      </c>
      <c r="H22" s="5" t="str">
        <f t="shared" si="1"/>
        <v>CONFIRMED BEARISH</v>
      </c>
    </row>
    <row r="23" spans="1:8" ht="13.5" x14ac:dyDescent="0.25">
      <c r="A23" s="3">
        <f>TITRES_STAT!B26</f>
        <v>44951</v>
      </c>
      <c r="B23" s="5">
        <f>TITRES_STAT!C26</f>
        <v>6.27</v>
      </c>
      <c r="C23" s="5">
        <f>TITRES_STAT!D26</f>
        <v>5.3259999999999996</v>
      </c>
      <c r="D23" s="5">
        <f>TITRES_STAT!E26</f>
        <v>5.3514832535885164</v>
      </c>
      <c r="E23" s="2">
        <f t="shared" si="0"/>
        <v>-0.11464689447533782</v>
      </c>
      <c r="F23" s="5" t="str">
        <f t="shared" si="3"/>
        <v>BEARISH</v>
      </c>
      <c r="G23" s="5" t="str">
        <f t="shared" si="2"/>
        <v>WEAK</v>
      </c>
      <c r="H23" s="5" t="str">
        <f t="shared" si="1"/>
        <v>CONFIRMED BEARISH</v>
      </c>
    </row>
    <row r="24" spans="1:8" ht="13.5" x14ac:dyDescent="0.25">
      <c r="A24" s="3">
        <f>TITRES_STAT!B27</f>
        <v>44952</v>
      </c>
      <c r="B24" s="5">
        <f>TITRES_STAT!C27</f>
        <v>6.3</v>
      </c>
      <c r="C24" s="5">
        <f>TITRES_STAT!D27</f>
        <v>5.351</v>
      </c>
      <c r="D24" s="5">
        <f>TITRES_STAT!E27</f>
        <v>5.3654392063492073</v>
      </c>
      <c r="E24" s="2">
        <f t="shared" si="0"/>
        <v>5.2507923118738695</v>
      </c>
      <c r="F24" s="5" t="str">
        <f t="shared" si="3"/>
        <v>BEARISH</v>
      </c>
      <c r="G24" s="5" t="str">
        <f t="shared" si="2"/>
        <v>WEAK</v>
      </c>
      <c r="H24" s="5" t="str">
        <f t="shared" si="1"/>
        <v>CONFIRMED BEARISH</v>
      </c>
    </row>
    <row r="25" spans="1:8" ht="13.5" x14ac:dyDescent="0.25">
      <c r="A25" s="3">
        <f>TITRES_STAT!B28</f>
        <v>44953</v>
      </c>
      <c r="B25" s="5">
        <f>TITRES_STAT!C28</f>
        <v>6.36</v>
      </c>
      <c r="C25" s="5">
        <f>TITRES_STAT!D28</f>
        <v>5.4020000000000001</v>
      </c>
      <c r="D25" s="5">
        <f>TITRES_STAT!E28</f>
        <v>5.3680251572327045</v>
      </c>
      <c r="E25" s="2">
        <f t="shared" si="0"/>
        <v>10.618817469106574</v>
      </c>
      <c r="F25" s="5" t="str">
        <f t="shared" si="3"/>
        <v>BULLISH</v>
      </c>
      <c r="G25" s="5" t="str">
        <f t="shared" si="2"/>
        <v>STRONG</v>
      </c>
      <c r="H25" s="5" t="str">
        <f t="shared" si="1"/>
        <v>BULLISH DIVERGENCE</v>
      </c>
    </row>
    <row r="26" spans="1:8" ht="13.5" x14ac:dyDescent="0.25">
      <c r="A26" s="3">
        <f>TITRES_STAT!B29</f>
        <v>44956</v>
      </c>
      <c r="B26" s="5">
        <f>TITRES_STAT!C29</f>
        <v>6.39</v>
      </c>
      <c r="C26" s="5">
        <f>TITRES_STAT!D29</f>
        <v>5.4279999999999999</v>
      </c>
      <c r="D26" s="5">
        <f>TITRES_STAT!E29</f>
        <v>5.3923230046948358</v>
      </c>
      <c r="E26" s="2">
        <f t="shared" si="0"/>
        <v>16.011140473801412</v>
      </c>
      <c r="F26" s="5" t="str">
        <f t="shared" si="3"/>
        <v>BULLISH</v>
      </c>
      <c r="G26" s="5" t="str">
        <f t="shared" si="2"/>
        <v>WEAK</v>
      </c>
      <c r="H26" s="5" t="str">
        <f t="shared" si="1"/>
        <v>CONFIRMED BULLISH</v>
      </c>
    </row>
    <row r="27" spans="1:8" ht="13.5" x14ac:dyDescent="0.25">
      <c r="A27" s="3">
        <f>TITRES_STAT!B30</f>
        <v>44957</v>
      </c>
      <c r="B27" s="5">
        <f>TITRES_STAT!C30</f>
        <v>6.39</v>
      </c>
      <c r="C27" s="5">
        <f>TITRES_STAT!D30</f>
        <v>5.4279999999999999</v>
      </c>
      <c r="D27" s="5">
        <f>TITRES_STAT!E30</f>
        <v>0</v>
      </c>
      <c r="E27" s="2">
        <f t="shared" si="0"/>
        <v>16.011140473801412</v>
      </c>
      <c r="F27" s="5" t="str">
        <f t="shared" si="3"/>
        <v>BULLISH</v>
      </c>
      <c r="G27" s="5" t="str">
        <f t="shared" si="2"/>
        <v>STRONG</v>
      </c>
      <c r="H27" s="5" t="str">
        <f t="shared" si="1"/>
        <v>CONFIRMED BULLISH</v>
      </c>
    </row>
    <row r="28" spans="1:8" ht="13.5" x14ac:dyDescent="0.25">
      <c r="A28" s="3">
        <f>TITRES_STAT!B31</f>
        <v>44958</v>
      </c>
      <c r="B28" s="5">
        <f>TITRES_STAT!C31</f>
        <v>6.39</v>
      </c>
      <c r="C28" s="5">
        <f>TITRES_STAT!D31</f>
        <v>5.4279999999999999</v>
      </c>
      <c r="D28" s="5">
        <f>TITRES_STAT!E31</f>
        <v>5.4203549295774653</v>
      </c>
      <c r="E28" s="2">
        <f t="shared" si="0"/>
        <v>16.011140473801412</v>
      </c>
      <c r="F28" s="5" t="str">
        <f t="shared" si="3"/>
        <v>BULLISH</v>
      </c>
      <c r="G28" s="5" t="str">
        <f t="shared" si="2"/>
        <v>WEAK</v>
      </c>
      <c r="H28" s="5" t="str">
        <f t="shared" si="1"/>
        <v>CONFIRMED BULLISH</v>
      </c>
    </row>
    <row r="29" spans="1:8" ht="13.5" x14ac:dyDescent="0.25">
      <c r="A29" s="3">
        <f>TITRES_STAT!B32</f>
        <v>44959</v>
      </c>
      <c r="B29" s="5">
        <f>TITRES_STAT!C32</f>
        <v>6.39</v>
      </c>
      <c r="C29" s="5">
        <f>TITRES_STAT!D32</f>
        <v>5.4279999999999999</v>
      </c>
      <c r="D29" s="5">
        <f>TITRES_STAT!E32</f>
        <v>5.4016669796557117</v>
      </c>
      <c r="E29" s="2">
        <f t="shared" si="0"/>
        <v>16.011140473801412</v>
      </c>
      <c r="F29" s="5" t="str">
        <f t="shared" si="3"/>
        <v>BULLISH</v>
      </c>
      <c r="G29" s="5" t="str">
        <f t="shared" si="2"/>
        <v>STRONG</v>
      </c>
      <c r="H29" s="5" t="str">
        <f t="shared" si="1"/>
        <v>CONFIRMED BULLISH</v>
      </c>
    </row>
    <row r="30" spans="1:8" ht="13.5" x14ac:dyDescent="0.25">
      <c r="A30" s="3">
        <f>TITRES_STAT!B33</f>
        <v>44960</v>
      </c>
      <c r="B30" s="5">
        <f>TITRES_STAT!C33</f>
        <v>6.35</v>
      </c>
      <c r="C30" s="5">
        <f>TITRES_STAT!D33</f>
        <v>5.3940000000000001</v>
      </c>
      <c r="D30" s="5">
        <f>TITRES_STAT!E33</f>
        <v>5.3515275590551186</v>
      </c>
      <c r="E30" s="2">
        <f t="shared" si="0"/>
        <v>10.659612914746294</v>
      </c>
      <c r="F30" s="5" t="str">
        <f t="shared" si="3"/>
        <v>BULLISH</v>
      </c>
      <c r="G30" s="5" t="str">
        <f t="shared" si="2"/>
        <v>NEUTRAL</v>
      </c>
      <c r="H30" s="5" t="str">
        <f t="shared" si="1"/>
        <v>BULLISH DIVERGENCE</v>
      </c>
    </row>
    <row r="31" spans="1:8" ht="13.5" x14ac:dyDescent="0.25">
      <c r="A31" s="3">
        <f>TITRES_STAT!B34</f>
        <v>44963</v>
      </c>
      <c r="B31" s="5">
        <f>TITRES_STAT!C34</f>
        <v>6.34</v>
      </c>
      <c r="C31" s="5">
        <f>TITRES_STAT!D34</f>
        <v>5.3849999999999998</v>
      </c>
      <c r="D31" s="5">
        <f>TITRES_STAT!E34</f>
        <v>5.3085567823343842</v>
      </c>
      <c r="E31" s="2">
        <f t="shared" si="0"/>
        <v>5.3510561324119097</v>
      </c>
      <c r="F31" s="5" t="str">
        <f t="shared" si="3"/>
        <v>BEARISH</v>
      </c>
      <c r="G31" s="5" t="str">
        <f t="shared" si="2"/>
        <v>WEAK</v>
      </c>
      <c r="H31" s="5" t="str">
        <f t="shared" si="1"/>
        <v>CONFIRMED BEARISH</v>
      </c>
    </row>
    <row r="32" spans="1:8" ht="13.5" x14ac:dyDescent="0.25">
      <c r="A32" s="3">
        <f>TITRES_STAT!B35</f>
        <v>44964</v>
      </c>
      <c r="B32" s="5">
        <f>TITRES_STAT!C35</f>
        <v>6.24</v>
      </c>
      <c r="C32" s="5">
        <f>TITRES_STAT!D35</f>
        <v>5.3</v>
      </c>
      <c r="D32" s="5">
        <f>TITRES_STAT!E35</f>
        <v>5.2804647435897429</v>
      </c>
      <c r="E32" s="2">
        <f t="shared" si="0"/>
        <v>7.0591388822166756E-2</v>
      </c>
      <c r="F32" s="5" t="str">
        <f t="shared" si="3"/>
        <v>BEARISH</v>
      </c>
      <c r="G32" s="5" t="str">
        <f t="shared" si="2"/>
        <v>WEAK</v>
      </c>
      <c r="H32" s="5" t="str">
        <f t="shared" si="1"/>
        <v>CONFIRMED BEARISH</v>
      </c>
    </row>
    <row r="33" spans="1:8" ht="13.5" x14ac:dyDescent="0.25">
      <c r="A33" s="3">
        <f>TITRES_STAT!B36</f>
        <v>44965</v>
      </c>
      <c r="B33" s="5">
        <f>TITRES_STAT!C36</f>
        <v>6.1</v>
      </c>
      <c r="C33" s="5">
        <f>TITRES_STAT!D36</f>
        <v>5.181</v>
      </c>
      <c r="D33" s="5">
        <f>TITRES_STAT!E36</f>
        <v>5.1716572131147549</v>
      </c>
      <c r="E33" s="2">
        <f t="shared" si="0"/>
        <v>-5.1010658242925881</v>
      </c>
      <c r="F33" s="5" t="str">
        <f t="shared" si="3"/>
        <v>BEARISH</v>
      </c>
      <c r="G33" s="5" t="str">
        <f t="shared" si="2"/>
        <v>WEAK</v>
      </c>
      <c r="H33" s="5" t="str">
        <f t="shared" si="1"/>
        <v>CONFIRMED BEARISH</v>
      </c>
    </row>
    <row r="34" spans="1:8" ht="13.5" x14ac:dyDescent="0.25">
      <c r="A34" s="3">
        <f>TITRES_STAT!B37</f>
        <v>44966</v>
      </c>
      <c r="B34" s="5">
        <f>TITRES_STAT!C37</f>
        <v>6.14</v>
      </c>
      <c r="C34" s="5">
        <f>TITRES_STAT!D37</f>
        <v>5.2149999999999999</v>
      </c>
      <c r="D34" s="5">
        <f>TITRES_STAT!E37</f>
        <v>5.1878208469055371</v>
      </c>
      <c r="E34" s="2">
        <f t="shared" si="0"/>
        <v>8.6755022612948984E-2</v>
      </c>
      <c r="F34" s="5" t="str">
        <f t="shared" si="3"/>
        <v>BEARISH</v>
      </c>
      <c r="G34" s="5" t="str">
        <f t="shared" si="2"/>
        <v>WEAK</v>
      </c>
      <c r="H34" s="5" t="str">
        <f t="shared" si="1"/>
        <v>CONFIRMED BEARISH</v>
      </c>
    </row>
    <row r="35" spans="1:8" ht="13.5" x14ac:dyDescent="0.25">
      <c r="A35" s="3">
        <f>TITRES_STAT!B38</f>
        <v>44967</v>
      </c>
      <c r="B35" s="5">
        <f>TITRES_STAT!C38</f>
        <v>6.13</v>
      </c>
      <c r="C35" s="5">
        <f>TITRES_STAT!D38</f>
        <v>5.2069999999999999</v>
      </c>
      <c r="D35" s="5">
        <f>TITRES_STAT!E38</f>
        <v>5.1755711256117456</v>
      </c>
      <c r="E35" s="2">
        <f t="shared" si="0"/>
        <v>-5.0888161029987966</v>
      </c>
      <c r="F35" s="5" t="str">
        <f t="shared" si="3"/>
        <v>BEARISH</v>
      </c>
      <c r="G35" s="5" t="str">
        <f t="shared" si="2"/>
        <v>WEAK</v>
      </c>
      <c r="H35" s="5" t="str">
        <f t="shared" si="1"/>
        <v>CONFIRMED BEARISH</v>
      </c>
    </row>
    <row r="36" spans="1:8" ht="13.5" x14ac:dyDescent="0.25">
      <c r="A36" s="3">
        <f>TITRES_STAT!B39</f>
        <v>44970</v>
      </c>
      <c r="B36" s="5">
        <f>TITRES_STAT!C39</f>
        <v>6.1</v>
      </c>
      <c r="C36" s="5">
        <f>TITRES_STAT!D39</f>
        <v>5.181</v>
      </c>
      <c r="D36" s="5">
        <f>TITRES_STAT!E39</f>
        <v>5.1716572131147549</v>
      </c>
      <c r="E36" s="2">
        <f t="shared" si="0"/>
        <v>-10.260473316113551</v>
      </c>
      <c r="F36" s="5" t="str">
        <f t="shared" si="3"/>
        <v>BEARISH</v>
      </c>
      <c r="G36" s="5" t="str">
        <f t="shared" si="2"/>
        <v>WEAK</v>
      </c>
      <c r="H36" s="5" t="str">
        <f t="shared" si="1"/>
        <v>CONFIRMED BEARISH</v>
      </c>
    </row>
    <row r="37" spans="1:8" ht="13.5" x14ac:dyDescent="0.25">
      <c r="A37" s="3">
        <f>TITRES_STAT!B40</f>
        <v>44971</v>
      </c>
      <c r="B37" s="5">
        <f>TITRES_STAT!C40</f>
        <v>6.09</v>
      </c>
      <c r="C37" s="5">
        <f>TITRES_STAT!D40</f>
        <v>5.173</v>
      </c>
      <c r="D37" s="5">
        <f>TITRES_STAT!E40</f>
        <v>5.1721505747126439</v>
      </c>
      <c r="E37" s="2">
        <f t="shared" si="0"/>
        <v>-15.432623890826195</v>
      </c>
      <c r="F37" s="5" t="str">
        <f t="shared" si="3"/>
        <v>BEARISH</v>
      </c>
      <c r="G37" s="5" t="str">
        <f t="shared" si="2"/>
        <v>WEAK</v>
      </c>
      <c r="H37" s="5" t="str">
        <f t="shared" si="1"/>
        <v>CONFIRMED BEARISH</v>
      </c>
    </row>
    <row r="38" spans="1:8" ht="13.5" x14ac:dyDescent="0.25">
      <c r="A38" s="3">
        <f>TITRES_STAT!B41</f>
        <v>44972</v>
      </c>
      <c r="B38" s="5">
        <f>TITRES_STAT!C41</f>
        <v>6.08</v>
      </c>
      <c r="C38" s="5">
        <f>TITRES_STAT!D41</f>
        <v>5.1639999999999997</v>
      </c>
      <c r="D38" s="5">
        <f>TITRES_STAT!E41</f>
        <v>5.1614519736842102</v>
      </c>
      <c r="E38" s="2">
        <f t="shared" si="0"/>
        <v>-20.594075864510405</v>
      </c>
      <c r="F38" s="5" t="str">
        <f t="shared" si="3"/>
        <v>BEARISH</v>
      </c>
      <c r="G38" s="5" t="str">
        <f t="shared" si="2"/>
        <v>STRONG</v>
      </c>
      <c r="H38" s="5" t="str">
        <f t="shared" si="1"/>
        <v>CONFIRMED BEARISH</v>
      </c>
    </row>
    <row r="39" spans="1:8" ht="13.5" x14ac:dyDescent="0.25">
      <c r="A39" s="3">
        <f>TITRES_STAT!B42</f>
        <v>44973</v>
      </c>
      <c r="B39" s="5">
        <f>TITRES_STAT!C42</f>
        <v>6.1</v>
      </c>
      <c r="C39" s="5">
        <f>TITRES_STAT!D42</f>
        <v>5.181</v>
      </c>
      <c r="D39" s="5">
        <f>TITRES_STAT!E42</f>
        <v>5.158917049180328</v>
      </c>
      <c r="E39" s="2">
        <f t="shared" si="0"/>
        <v>-15.435158815330077</v>
      </c>
      <c r="F39" s="5" t="str">
        <f t="shared" si="3"/>
        <v>BEARISH</v>
      </c>
      <c r="G39" s="5" t="str">
        <f t="shared" si="2"/>
        <v>WEAK</v>
      </c>
      <c r="H39" s="5" t="str">
        <f t="shared" si="1"/>
        <v>CONFIRMED BEARISH</v>
      </c>
    </row>
    <row r="40" spans="1:8" ht="13.5" x14ac:dyDescent="0.25">
      <c r="A40" s="3">
        <f>TITRES_STAT!B43</f>
        <v>44974</v>
      </c>
      <c r="B40" s="5">
        <f>TITRES_STAT!C43</f>
        <v>6.08</v>
      </c>
      <c r="C40" s="5">
        <f>TITRES_STAT!D43</f>
        <v>5.1639999999999997</v>
      </c>
      <c r="D40" s="5">
        <f>TITRES_STAT!E43</f>
        <v>5.1724934210526312</v>
      </c>
      <c r="E40" s="2">
        <f t="shared" si="0"/>
        <v>-20.607652236382709</v>
      </c>
      <c r="F40" s="5" t="str">
        <f t="shared" si="3"/>
        <v>BEARISH</v>
      </c>
      <c r="G40" s="5" t="str">
        <f t="shared" si="2"/>
        <v>STRONG</v>
      </c>
      <c r="H40" s="5" t="str">
        <f t="shared" si="1"/>
        <v>CONFIRMED BEARISH</v>
      </c>
    </row>
    <row r="41" spans="1:8" ht="13.5" x14ac:dyDescent="0.25">
      <c r="A41" s="3">
        <f>TITRES_STAT!B44</f>
        <v>44977</v>
      </c>
      <c r="B41" s="5">
        <f>TITRES_STAT!C44</f>
        <v>6.08</v>
      </c>
      <c r="C41" s="5">
        <f>TITRES_STAT!D44</f>
        <v>5.1639999999999997</v>
      </c>
      <c r="D41" s="5">
        <f>TITRES_STAT!E44</f>
        <v>5.1639999999999997</v>
      </c>
      <c r="E41" s="2">
        <f t="shared" si="0"/>
        <v>-20.607652236382709</v>
      </c>
      <c r="F41" s="5" t="str">
        <f t="shared" si="3"/>
        <v>BEARISH</v>
      </c>
      <c r="G41" s="5" t="str">
        <f t="shared" si="2"/>
        <v>STRONG</v>
      </c>
      <c r="H41" s="5" t="str">
        <f t="shared" si="1"/>
        <v>CONFIRMED BEARISH</v>
      </c>
    </row>
    <row r="42" spans="1:8" ht="13.5" x14ac:dyDescent="0.25">
      <c r="A42" s="3">
        <f>TITRES_STAT!B45</f>
        <v>44978</v>
      </c>
      <c r="B42" s="5">
        <f>TITRES_STAT!C45</f>
        <v>6.08</v>
      </c>
      <c r="C42" s="5">
        <f>TITRES_STAT!D45</f>
        <v>5.1639999999999997</v>
      </c>
      <c r="D42" s="5">
        <f>TITRES_STAT!E45</f>
        <v>5.1614519736842102</v>
      </c>
      <c r="E42" s="2">
        <f t="shared" si="0"/>
        <v>-20.607652236382709</v>
      </c>
      <c r="F42" s="5" t="str">
        <f t="shared" si="3"/>
        <v>BEARISH</v>
      </c>
      <c r="G42" s="5" t="str">
        <f t="shared" si="2"/>
        <v>STRONG</v>
      </c>
      <c r="H42" s="5" t="str">
        <f t="shared" si="1"/>
        <v>CONFIRMED BEARISH</v>
      </c>
    </row>
    <row r="43" spans="1:8" ht="13.5" x14ac:dyDescent="0.25">
      <c r="A43" s="3">
        <f>TITRES_STAT!B46</f>
        <v>44979</v>
      </c>
      <c r="B43" s="5">
        <f>TITRES_STAT!C46</f>
        <v>6.08</v>
      </c>
      <c r="C43" s="5">
        <f>TITRES_STAT!D46</f>
        <v>5.1639999999999997</v>
      </c>
      <c r="D43" s="5">
        <f>TITRES_STAT!E46</f>
        <v>5.1538078947368415</v>
      </c>
      <c r="E43" s="2">
        <f t="shared" si="0"/>
        <v>-20.607652236382709</v>
      </c>
      <c r="F43" s="5" t="str">
        <f t="shared" si="3"/>
        <v>BEARISH</v>
      </c>
      <c r="G43" s="5" t="str">
        <f t="shared" si="2"/>
        <v>NEUTRAL</v>
      </c>
      <c r="H43" s="5" t="str">
        <f t="shared" si="1"/>
        <v>NEUTRAL</v>
      </c>
    </row>
    <row r="44" spans="1:8" ht="13.5" x14ac:dyDescent="0.25">
      <c r="A44" s="3">
        <f>TITRES_STAT!B47</f>
        <v>44980</v>
      </c>
      <c r="B44" s="5">
        <f>TITRES_STAT!C47</f>
        <v>6.07</v>
      </c>
      <c r="C44" s="5">
        <f>TITRES_STAT!D47</f>
        <v>5.1559999999999997</v>
      </c>
      <c r="D44" s="5">
        <f>TITRES_STAT!E47</f>
        <v>5.1441080724876436</v>
      </c>
      <c r="E44" s="2">
        <f t="shared" si="0"/>
        <v>-25.751760308870352</v>
      </c>
      <c r="F44" s="5" t="str">
        <f t="shared" si="3"/>
        <v>BEARISH</v>
      </c>
      <c r="G44" s="5" t="str">
        <f t="shared" si="2"/>
        <v>STRONG</v>
      </c>
      <c r="H44" s="5" t="str">
        <f t="shared" si="1"/>
        <v>CONFIRMED BEARISH</v>
      </c>
    </row>
    <row r="45" spans="1:8" ht="13.5" x14ac:dyDescent="0.25">
      <c r="A45" s="3">
        <f>TITRES_STAT!B48</f>
        <v>44981</v>
      </c>
      <c r="B45" s="5">
        <f>TITRES_STAT!C48</f>
        <v>6.07</v>
      </c>
      <c r="C45" s="5">
        <f>TITRES_STAT!D48</f>
        <v>5.1559999999999997</v>
      </c>
      <c r="D45" s="5">
        <f>TITRES_STAT!E48</f>
        <v>5.1475057660626016</v>
      </c>
      <c r="E45" s="2">
        <f t="shared" si="0"/>
        <v>-25.751760308870352</v>
      </c>
      <c r="F45" s="5" t="str">
        <f t="shared" si="3"/>
        <v>BEARISH</v>
      </c>
      <c r="G45" s="5" t="str">
        <f t="shared" si="2"/>
        <v>STRONG</v>
      </c>
      <c r="H45" s="5" t="str">
        <f t="shared" si="1"/>
        <v>CONFIRMED BEARISH</v>
      </c>
    </row>
    <row r="46" spans="1:8" ht="13.5" x14ac:dyDescent="0.25">
      <c r="A46" s="3">
        <f>TITRES_STAT!B49</f>
        <v>44984</v>
      </c>
      <c r="B46" s="5">
        <f>TITRES_STAT!C49</f>
        <v>6.07</v>
      </c>
      <c r="C46" s="5">
        <f>TITRES_STAT!D49</f>
        <v>5.1559999999999997</v>
      </c>
      <c r="D46" s="5">
        <f>TITRES_STAT!E49</f>
        <v>5.1466563426688623</v>
      </c>
      <c r="E46" s="2">
        <f t="shared" si="0"/>
        <v>-25.751760308870352</v>
      </c>
      <c r="F46" s="5" t="str">
        <f t="shared" si="3"/>
        <v>BEARISH</v>
      </c>
      <c r="G46" s="5" t="str">
        <f t="shared" si="2"/>
        <v>STRONG</v>
      </c>
      <c r="H46" s="5" t="str">
        <f t="shared" si="1"/>
        <v>CONFIRMED BEARISH</v>
      </c>
    </row>
    <row r="47" spans="1:8" ht="13.5" x14ac:dyDescent="0.25">
      <c r="A47" s="3">
        <f>TITRES_STAT!B50</f>
        <v>44985</v>
      </c>
      <c r="B47" s="5">
        <f>TITRES_STAT!C50</f>
        <v>6.06</v>
      </c>
      <c r="C47" s="5">
        <f>TITRES_STAT!D50</f>
        <v>5.1470000000000002</v>
      </c>
      <c r="D47" s="5">
        <f>TITRES_STAT!E50</f>
        <v>5.141903960396041</v>
      </c>
      <c r="E47" s="2">
        <f t="shared" si="0"/>
        <v>-30.893664269266395</v>
      </c>
      <c r="F47" s="5" t="str">
        <f t="shared" si="3"/>
        <v>BEARISH</v>
      </c>
      <c r="G47" s="5" t="str">
        <f t="shared" si="2"/>
        <v>STRONG</v>
      </c>
      <c r="H47" s="5" t="str">
        <f t="shared" si="1"/>
        <v>CONFIRMED BEARISH</v>
      </c>
    </row>
    <row r="48" spans="1:8" ht="13.5" x14ac:dyDescent="0.25">
      <c r="A48" s="3">
        <f>TITRES_STAT!B51</f>
        <v>44986</v>
      </c>
      <c r="B48" s="5">
        <f>TITRES_STAT!C51</f>
        <v>6.05</v>
      </c>
      <c r="C48" s="5">
        <f>TITRES_STAT!D51</f>
        <v>5.1390000000000002</v>
      </c>
      <c r="D48" s="5">
        <f>TITRES_STAT!E51</f>
        <v>5.1254092561983473</v>
      </c>
      <c r="E48" s="2">
        <f t="shared" si="0"/>
        <v>-36.019073525464741</v>
      </c>
      <c r="F48" s="5" t="str">
        <f t="shared" si="3"/>
        <v>BEARISH</v>
      </c>
      <c r="G48" s="5" t="str">
        <f t="shared" si="2"/>
        <v>STRONG</v>
      </c>
      <c r="H48" s="5" t="str">
        <f t="shared" si="1"/>
        <v>CONFIRMED BEARISH</v>
      </c>
    </row>
    <row r="49" spans="1:8" ht="13.5" x14ac:dyDescent="0.25">
      <c r="A49" s="3">
        <f>TITRES_STAT!B52</f>
        <v>44987</v>
      </c>
      <c r="B49" s="5">
        <f>TITRES_STAT!C52</f>
        <v>6.05</v>
      </c>
      <c r="C49" s="5">
        <f>TITRES_STAT!D52</f>
        <v>5.1390000000000002</v>
      </c>
      <c r="D49" s="5">
        <f>TITRES_STAT!E52</f>
        <v>5.1220115702479347</v>
      </c>
      <c r="E49" s="2">
        <f t="shared" si="0"/>
        <v>-36.019073525464741</v>
      </c>
      <c r="F49" s="5" t="str">
        <f t="shared" si="3"/>
        <v>BEARISH</v>
      </c>
      <c r="G49" s="5" t="str">
        <f t="shared" si="2"/>
        <v>STRONG</v>
      </c>
      <c r="H49" s="5" t="str">
        <f t="shared" si="1"/>
        <v>CONFIRMED BEARISH</v>
      </c>
    </row>
    <row r="50" spans="1:8" ht="13.5" x14ac:dyDescent="0.25">
      <c r="A50" s="3">
        <f>TITRES_STAT!B53</f>
        <v>44988</v>
      </c>
      <c r="B50" s="5">
        <f>TITRES_STAT!C53</f>
        <v>6.04</v>
      </c>
      <c r="C50" s="5">
        <f>TITRES_STAT!D53</f>
        <v>5.13</v>
      </c>
      <c r="D50" s="5">
        <f>TITRES_STAT!E53</f>
        <v>5.1384933774834431</v>
      </c>
      <c r="E50" s="2">
        <f t="shared" si="0"/>
        <v>-41.157566902948183</v>
      </c>
      <c r="F50" s="5" t="str">
        <f t="shared" si="3"/>
        <v>BEARISH</v>
      </c>
      <c r="G50" s="5" t="str">
        <f t="shared" si="2"/>
        <v>STRONG</v>
      </c>
      <c r="H50" s="5" t="str">
        <f t="shared" si="1"/>
        <v>CONFIRMED BEARISH</v>
      </c>
    </row>
    <row r="51" spans="1:8" ht="13.5" x14ac:dyDescent="0.25">
      <c r="A51" s="3">
        <f>TITRES_STAT!B54</f>
        <v>44991</v>
      </c>
      <c r="B51" s="5">
        <f>TITRES_STAT!C54</f>
        <v>6</v>
      </c>
      <c r="C51" s="5">
        <f>TITRES_STAT!D54</f>
        <v>5.0960000000000001</v>
      </c>
      <c r="D51" s="5">
        <f>TITRES_STAT!E54</f>
        <v>5.097698666666667</v>
      </c>
      <c r="E51" s="2">
        <f t="shared" si="0"/>
        <v>-46.255265569614849</v>
      </c>
      <c r="F51" s="5" t="str">
        <f t="shared" si="3"/>
        <v>BEARISH</v>
      </c>
      <c r="G51" s="5" t="str">
        <f t="shared" si="2"/>
        <v>STRONG</v>
      </c>
      <c r="H51" s="5" t="str">
        <f t="shared" si="1"/>
        <v>CONFIRMED BEARISH</v>
      </c>
    </row>
    <row r="52" spans="1:8" ht="13.5" x14ac:dyDescent="0.25">
      <c r="A52" s="3">
        <f>TITRES_STAT!B55</f>
        <v>44992</v>
      </c>
      <c r="B52" s="5">
        <f>TITRES_STAT!C55</f>
        <v>6</v>
      </c>
      <c r="C52" s="5">
        <f>TITRES_STAT!D55</f>
        <v>5.0960000000000001</v>
      </c>
      <c r="D52" s="5">
        <f>TITRES_STAT!E55</f>
        <v>5.1019453333333331</v>
      </c>
      <c r="E52" s="2">
        <f t="shared" si="0"/>
        <v>-46.255265569614849</v>
      </c>
      <c r="F52" s="5" t="str">
        <f t="shared" si="3"/>
        <v>BEARISH</v>
      </c>
      <c r="G52" s="5" t="str">
        <f t="shared" si="2"/>
        <v>STRONG</v>
      </c>
      <c r="H52" s="5" t="str">
        <f t="shared" si="1"/>
        <v>CONFIRMED BEARISH</v>
      </c>
    </row>
    <row r="53" spans="1:8" ht="13.5" x14ac:dyDescent="0.25">
      <c r="A53" s="3">
        <f>TITRES_STAT!B56</f>
        <v>44993</v>
      </c>
      <c r="B53" s="5">
        <f>TITRES_STAT!C56</f>
        <v>5.99</v>
      </c>
      <c r="C53" s="5">
        <f>TITRES_STAT!D56</f>
        <v>5.0880000000000001</v>
      </c>
      <c r="D53" s="5">
        <f>TITRES_STAT!E56</f>
        <v>5.0896988313856433</v>
      </c>
      <c r="E53" s="2">
        <f t="shared" si="0"/>
        <v>-51.344964401000496</v>
      </c>
      <c r="F53" s="5" t="str">
        <f t="shared" si="3"/>
        <v>BEARISH</v>
      </c>
      <c r="G53" s="5" t="str">
        <f t="shared" si="2"/>
        <v>STRONG</v>
      </c>
      <c r="H53" s="5" t="str">
        <f t="shared" si="1"/>
        <v>CONFIRMED BEARISH</v>
      </c>
    </row>
    <row r="54" spans="1:8" ht="13.5" x14ac:dyDescent="0.25">
      <c r="A54" s="3">
        <f>TITRES_STAT!B57</f>
        <v>44994</v>
      </c>
      <c r="B54" s="5">
        <f>TITRES_STAT!C57</f>
        <v>6.25</v>
      </c>
      <c r="C54" s="5">
        <f>TITRES_STAT!D57</f>
        <v>5.3090000000000002</v>
      </c>
      <c r="D54" s="5">
        <f>TITRES_STAT!E57</f>
        <v>5.2325504</v>
      </c>
      <c r="E54" s="2">
        <f t="shared" si="0"/>
        <v>-46.112414001000495</v>
      </c>
      <c r="F54" s="5" t="str">
        <f t="shared" si="3"/>
        <v>BEARISH</v>
      </c>
      <c r="G54" s="5" t="str">
        <f t="shared" si="2"/>
        <v>STRONG</v>
      </c>
      <c r="H54" s="5" t="str">
        <f t="shared" si="1"/>
        <v>BEARISH DIVERGENCE</v>
      </c>
    </row>
    <row r="55" spans="1:8" ht="13.5" x14ac:dyDescent="0.25">
      <c r="A55" s="3">
        <f>TITRES_STAT!B58</f>
        <v>44995</v>
      </c>
      <c r="B55" s="5">
        <f>TITRES_STAT!C58</f>
        <v>6.28</v>
      </c>
      <c r="C55" s="5">
        <f>TITRES_STAT!D58</f>
        <v>5.3339999999999996</v>
      </c>
      <c r="D55" s="5">
        <f>TITRES_STAT!E58</f>
        <v>5.3187114649681515</v>
      </c>
      <c r="E55" s="2">
        <f t="shared" si="0"/>
        <v>-40.793702536032342</v>
      </c>
      <c r="F55" s="5" t="str">
        <f t="shared" si="3"/>
        <v>BULLISH</v>
      </c>
      <c r="G55" s="5" t="str">
        <f t="shared" si="2"/>
        <v>NEUTRAL</v>
      </c>
      <c r="H55" s="5" t="str">
        <f t="shared" si="1"/>
        <v>CONFIRMED BULLISH</v>
      </c>
    </row>
    <row r="56" spans="1:8" ht="13.5" x14ac:dyDescent="0.25">
      <c r="A56" s="3">
        <f>TITRES_STAT!B59</f>
        <v>44998</v>
      </c>
      <c r="B56" s="5">
        <f>TITRES_STAT!C59</f>
        <v>6.27</v>
      </c>
      <c r="C56" s="5">
        <f>TITRES_STAT!D59</f>
        <v>5.3259999999999996</v>
      </c>
      <c r="D56" s="5">
        <f>TITRES_STAT!E59</f>
        <v>5.288624561403509</v>
      </c>
      <c r="E56" s="2">
        <f t="shared" si="0"/>
        <v>-46.082327097435851</v>
      </c>
      <c r="F56" s="5" t="str">
        <f t="shared" si="3"/>
        <v>BULLISH</v>
      </c>
      <c r="G56" s="5" t="str">
        <f t="shared" si="2"/>
        <v>NEUTRAL</v>
      </c>
      <c r="H56" s="5" t="str">
        <f t="shared" si="1"/>
        <v>CONFIRMED BULLISH</v>
      </c>
    </row>
    <row r="57" spans="1:8" ht="13.5" x14ac:dyDescent="0.25">
      <c r="A57" s="3">
        <f>TITRES_STAT!B60</f>
        <v>44999</v>
      </c>
      <c r="B57" s="5">
        <f>TITRES_STAT!C60</f>
        <v>6.34</v>
      </c>
      <c r="C57" s="5">
        <f>TITRES_STAT!D60</f>
        <v>5.3849999999999998</v>
      </c>
      <c r="D57" s="5">
        <f>TITRES_STAT!E60</f>
        <v>5.3323391167192424</v>
      </c>
      <c r="E57" s="2">
        <f t="shared" si="0"/>
        <v>-40.749987980716611</v>
      </c>
      <c r="F57" s="5" t="str">
        <f t="shared" si="3"/>
        <v>BULLISH</v>
      </c>
      <c r="G57" s="5" t="str">
        <f t="shared" si="2"/>
        <v>WEAK</v>
      </c>
      <c r="H57" s="5" t="str">
        <f t="shared" si="1"/>
        <v>CONFIRMED BULLISH</v>
      </c>
    </row>
    <row r="58" spans="1:8" ht="13.5" x14ac:dyDescent="0.25">
      <c r="A58" s="3">
        <f>TITRES_STAT!B61</f>
        <v>45000</v>
      </c>
      <c r="B58" s="5">
        <f>TITRES_STAT!C61</f>
        <v>6.4</v>
      </c>
      <c r="C58" s="5">
        <f>TITRES_STAT!D61</f>
        <v>5.4359999999999999</v>
      </c>
      <c r="D58" s="5">
        <f>TITRES_STAT!E61</f>
        <v>5.4054225000000002</v>
      </c>
      <c r="E58" s="2">
        <f t="shared" si="0"/>
        <v>-35.344565480716611</v>
      </c>
      <c r="F58" s="5" t="str">
        <f t="shared" si="3"/>
        <v>BULLISH</v>
      </c>
      <c r="G58" s="5" t="str">
        <f t="shared" si="2"/>
        <v>WEAK</v>
      </c>
      <c r="H58" s="5" t="str">
        <f t="shared" si="1"/>
        <v>CONFIRMED BULLISH</v>
      </c>
    </row>
    <row r="59" spans="1:8" ht="13.5" x14ac:dyDescent="0.25">
      <c r="A59" s="3">
        <f>TITRES_STAT!B62</f>
        <v>45001</v>
      </c>
      <c r="B59" s="5">
        <f>TITRES_STAT!C62</f>
        <v>6.4</v>
      </c>
      <c r="C59" s="5">
        <f>TITRES_STAT!D62</f>
        <v>5.4359999999999999</v>
      </c>
      <c r="D59" s="5">
        <f>TITRES_STAT!E62</f>
        <v>5.4292050000000005</v>
      </c>
      <c r="E59" s="2">
        <f t="shared" si="0"/>
        <v>-35.344565480716611</v>
      </c>
      <c r="F59" s="5" t="str">
        <f t="shared" si="3"/>
        <v>BULLISH</v>
      </c>
      <c r="G59" s="5" t="str">
        <f t="shared" si="2"/>
        <v>WEAK</v>
      </c>
      <c r="H59" s="5" t="str">
        <f t="shared" si="1"/>
        <v>CONFIRMED BULLISH</v>
      </c>
    </row>
    <row r="60" spans="1:8" ht="13.5" x14ac:dyDescent="0.25">
      <c r="A60" s="3">
        <f>TITRES_STAT!B63</f>
        <v>45002</v>
      </c>
      <c r="B60" s="5">
        <f>TITRES_STAT!C63</f>
        <v>6.35</v>
      </c>
      <c r="C60" s="5">
        <f>TITRES_STAT!D63</f>
        <v>5.3940000000000001</v>
      </c>
      <c r="D60" s="5">
        <f>TITRES_STAT!E63</f>
        <v>5.4296768503937018</v>
      </c>
      <c r="E60" s="2">
        <f t="shared" si="0"/>
        <v>-40.774242331110315</v>
      </c>
      <c r="F60" s="5" t="str">
        <f t="shared" si="3"/>
        <v>BULLISH</v>
      </c>
      <c r="G60" s="5" t="str">
        <f t="shared" si="2"/>
        <v>NEUTRAL</v>
      </c>
      <c r="H60" s="5" t="str">
        <f t="shared" si="1"/>
        <v>CONFIRMED BULLISH</v>
      </c>
    </row>
    <row r="61" spans="1:8" ht="13.5" x14ac:dyDescent="0.25">
      <c r="A61" s="3">
        <f>TITRES_STAT!B64</f>
        <v>45006</v>
      </c>
      <c r="B61" s="5">
        <f>TITRES_STAT!C64</f>
        <v>6.35</v>
      </c>
      <c r="C61" s="5">
        <f>TITRES_STAT!D64</f>
        <v>5.3940000000000001</v>
      </c>
      <c r="D61" s="5">
        <f>TITRES_STAT!E64</f>
        <v>5.3600220472440947</v>
      </c>
      <c r="E61" s="2">
        <f t="shared" si="0"/>
        <v>-40.774242331110315</v>
      </c>
      <c r="F61" s="5" t="str">
        <f t="shared" si="3"/>
        <v>BULLISH</v>
      </c>
      <c r="G61" s="5" t="str">
        <f t="shared" si="2"/>
        <v>WEAK</v>
      </c>
      <c r="H61" s="5" t="str">
        <f t="shared" si="1"/>
        <v>CONFIRMED BULLISH</v>
      </c>
    </row>
    <row r="62" spans="1:8" ht="13.5" x14ac:dyDescent="0.25">
      <c r="A62" s="3">
        <f>TITRES_STAT!B65</f>
        <v>45007</v>
      </c>
      <c r="B62" s="5">
        <f>TITRES_STAT!C65</f>
        <v>6.34</v>
      </c>
      <c r="C62" s="5">
        <f>TITRES_STAT!D65</f>
        <v>5.3849999999999998</v>
      </c>
      <c r="D62" s="5">
        <f>TITRES_STAT!E65</f>
        <v>5.3849999999999998</v>
      </c>
      <c r="E62" s="2">
        <f t="shared" si="0"/>
        <v>-46.159242331110313</v>
      </c>
      <c r="F62" s="5" t="str">
        <f t="shared" si="3"/>
        <v>BEARISH</v>
      </c>
      <c r="G62" s="5" t="str">
        <f t="shared" si="2"/>
        <v>STRONG</v>
      </c>
      <c r="H62" s="5" t="str">
        <f t="shared" si="1"/>
        <v>NEUTRAL</v>
      </c>
    </row>
    <row r="63" spans="1:8" ht="13.5" x14ac:dyDescent="0.25">
      <c r="A63" s="3">
        <f>TITRES_STAT!B66</f>
        <v>45008</v>
      </c>
      <c r="B63" s="5">
        <f>TITRES_STAT!C66</f>
        <v>6.34</v>
      </c>
      <c r="C63" s="5">
        <f>TITRES_STAT!D66</f>
        <v>5.3849999999999998</v>
      </c>
      <c r="D63" s="5">
        <f>TITRES_STAT!E66</f>
        <v>5.3849999999999998</v>
      </c>
      <c r="E63" s="2">
        <f t="shared" si="0"/>
        <v>-46.159242331110313</v>
      </c>
      <c r="F63" s="5" t="str">
        <f t="shared" si="3"/>
        <v>BEARISH</v>
      </c>
      <c r="G63" s="5" t="str">
        <f t="shared" si="2"/>
        <v>STRONG</v>
      </c>
      <c r="H63" s="5" t="str">
        <f t="shared" si="1"/>
        <v>CONFIRMED BEARISH</v>
      </c>
    </row>
    <row r="64" spans="1:8" ht="13.5" x14ac:dyDescent="0.25">
      <c r="A64" s="3">
        <f>TITRES_STAT!B67</f>
        <v>45009</v>
      </c>
      <c r="B64" s="5">
        <f>TITRES_STAT!C67</f>
        <v>6.3</v>
      </c>
      <c r="C64" s="5">
        <f>TITRES_STAT!D67</f>
        <v>5.351</v>
      </c>
      <c r="D64" s="5">
        <f>TITRES_STAT!E67</f>
        <v>5.3212722222222224</v>
      </c>
      <c r="E64" s="2">
        <f t="shared" si="0"/>
        <v>-51.480514553332533</v>
      </c>
      <c r="F64" s="5" t="str">
        <f t="shared" si="3"/>
        <v>BEARISH</v>
      </c>
      <c r="G64" s="5" t="str">
        <f t="shared" si="2"/>
        <v>STRONG</v>
      </c>
      <c r="H64" s="5" t="str">
        <f t="shared" si="1"/>
        <v>CONFIRMED BEARISH</v>
      </c>
    </row>
    <row r="65" spans="1:8" ht="13.5" x14ac:dyDescent="0.25">
      <c r="A65" s="3">
        <f>TITRES_STAT!B68</f>
        <v>45012</v>
      </c>
      <c r="B65" s="5">
        <f>TITRES_STAT!C68</f>
        <v>6.27</v>
      </c>
      <c r="C65" s="5">
        <f>TITRES_STAT!D68</f>
        <v>5.3259999999999996</v>
      </c>
      <c r="D65" s="5">
        <f>TITRES_STAT!E68</f>
        <v>5.3107100478468894</v>
      </c>
      <c r="E65" s="2">
        <f t="shared" si="0"/>
        <v>-56.791224601179422</v>
      </c>
      <c r="F65" s="5" t="str">
        <f t="shared" si="3"/>
        <v>BEARISH</v>
      </c>
      <c r="G65" s="5" t="str">
        <f t="shared" si="2"/>
        <v>STRONG</v>
      </c>
      <c r="H65" s="5" t="str">
        <f t="shared" si="1"/>
        <v>CONFIRMED BEARISH</v>
      </c>
    </row>
    <row r="66" spans="1:8" ht="13.5" x14ac:dyDescent="0.25">
      <c r="A66" s="3">
        <f>TITRES_STAT!B69</f>
        <v>45013</v>
      </c>
      <c r="B66" s="5">
        <f>TITRES_STAT!C69</f>
        <v>6.24</v>
      </c>
      <c r="C66" s="5">
        <f>TITRES_STAT!D69</f>
        <v>5.3</v>
      </c>
      <c r="D66" s="5">
        <f>TITRES_STAT!E69</f>
        <v>5.294054487179487</v>
      </c>
      <c r="E66" s="2">
        <f t="shared" si="0"/>
        <v>-62.085279088358909</v>
      </c>
      <c r="F66" s="5" t="str">
        <f t="shared" si="3"/>
        <v>BEARISH</v>
      </c>
      <c r="G66" s="5" t="str">
        <f t="shared" si="2"/>
        <v>STRONG</v>
      </c>
      <c r="H66" s="5" t="str">
        <f t="shared" si="1"/>
        <v>CONFIRMED BEARISH</v>
      </c>
    </row>
    <row r="67" spans="1:8" ht="13.5" x14ac:dyDescent="0.25">
      <c r="A67" s="3">
        <f>TITRES_STAT!B70</f>
        <v>45014</v>
      </c>
      <c r="B67" s="5">
        <f>TITRES_STAT!C70</f>
        <v>6.22</v>
      </c>
      <c r="C67" s="5">
        <f>TITRES_STAT!D70</f>
        <v>5.2830000000000004</v>
      </c>
      <c r="D67" s="5">
        <f>TITRES_STAT!E70</f>
        <v>5.2830000000000004</v>
      </c>
      <c r="E67" s="2">
        <f t="shared" si="0"/>
        <v>-67.368279088358904</v>
      </c>
      <c r="F67" s="5" t="str">
        <f t="shared" si="3"/>
        <v>BEARISH</v>
      </c>
      <c r="G67" s="5" t="str">
        <f t="shared" si="2"/>
        <v>STRONG</v>
      </c>
      <c r="H67" s="5" t="str">
        <f t="shared" si="1"/>
        <v>CONFIRMED BEARISH</v>
      </c>
    </row>
    <row r="68" spans="1:8" ht="13.5" x14ac:dyDescent="0.25">
      <c r="A68" s="3">
        <f>TITRES_STAT!B71</f>
        <v>45015</v>
      </c>
      <c r="B68" s="5">
        <f>TITRES_STAT!C71</f>
        <v>6.26</v>
      </c>
      <c r="C68" s="5">
        <f>TITRES_STAT!D71</f>
        <v>5.3170000000000002</v>
      </c>
      <c r="D68" s="5">
        <f>TITRES_STAT!E71</f>
        <v>5.2787787539936106</v>
      </c>
      <c r="E68" s="2">
        <f t="shared" ref="E68:E131" si="4">IF(B68&gt;B67, E67+D68, IF(B68&lt;B67, E67-D68, E67))</f>
        <v>-62.08950033436529</v>
      </c>
      <c r="F68" s="5" t="str">
        <f t="shared" si="3"/>
        <v>BEARISH</v>
      </c>
      <c r="G68" s="5" t="str">
        <f t="shared" si="2"/>
        <v>STRONG</v>
      </c>
      <c r="H68" s="5" t="str">
        <f t="shared" si="1"/>
        <v>CONFIRMED BEARISH</v>
      </c>
    </row>
    <row r="69" spans="1:8" ht="13.5" x14ac:dyDescent="0.25">
      <c r="A69" s="3">
        <f>TITRES_STAT!B72</f>
        <v>45016</v>
      </c>
      <c r="B69" s="5">
        <f>TITRES_STAT!C72</f>
        <v>6.3</v>
      </c>
      <c r="C69" s="5">
        <f>TITRES_STAT!D72</f>
        <v>5.351</v>
      </c>
      <c r="D69" s="5">
        <f>TITRES_STAT!E72</f>
        <v>5.351</v>
      </c>
      <c r="E69" s="2">
        <f t="shared" si="4"/>
        <v>-56.738500334365291</v>
      </c>
      <c r="F69" s="5" t="str">
        <f t="shared" si="3"/>
        <v>BEARISH</v>
      </c>
      <c r="G69" s="5" t="str">
        <f t="shared" si="2"/>
        <v>STRONG</v>
      </c>
      <c r="H69" s="5" t="str">
        <f t="shared" si="1"/>
        <v>NEUTRAL</v>
      </c>
    </row>
    <row r="70" spans="1:8" ht="13.5" x14ac:dyDescent="0.25">
      <c r="A70" s="3">
        <f>TITRES_STAT!B73</f>
        <v>45019</v>
      </c>
      <c r="B70" s="5">
        <f>TITRES_STAT!C73</f>
        <v>6.3</v>
      </c>
      <c r="C70" s="5">
        <f>TITRES_STAT!D73</f>
        <v>5.351</v>
      </c>
      <c r="D70" s="5">
        <f>TITRES_STAT!E73</f>
        <v>5.3552468253968257</v>
      </c>
      <c r="E70" s="2">
        <f t="shared" si="4"/>
        <v>-56.738500334365291</v>
      </c>
      <c r="F70" s="5" t="str">
        <f t="shared" si="3"/>
        <v>BULLISH</v>
      </c>
      <c r="G70" s="5" t="str">
        <f t="shared" si="2"/>
        <v>NEUTRAL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BULLISH</v>
      </c>
    </row>
    <row r="71" spans="1:8" ht="13.5" x14ac:dyDescent="0.25">
      <c r="A71" s="3">
        <f>TITRES_STAT!B74</f>
        <v>45020</v>
      </c>
      <c r="B71" s="5">
        <f>TITRES_STAT!C74</f>
        <v>6.3</v>
      </c>
      <c r="C71" s="5">
        <f>TITRES_STAT!D74</f>
        <v>5.351</v>
      </c>
      <c r="D71" s="5">
        <f>TITRES_STAT!E74</f>
        <v>5.3331633333333333</v>
      </c>
      <c r="E71" s="2">
        <f t="shared" si="4"/>
        <v>-56.738500334365291</v>
      </c>
      <c r="F71" s="5" t="str">
        <f t="shared" si="3"/>
        <v>BULLISH</v>
      </c>
      <c r="G71" s="5" t="str">
        <f t="shared" ref="G71:G134" si="6">IF((E71-E66)/E66 &gt; 0.02, "STRONG",
 IF((E71-E66)/E66 &lt; -0.02, "WEAK", "NEUTRAL"))</f>
        <v>WEAK</v>
      </c>
      <c r="H71" s="5" t="str">
        <f t="shared" si="5"/>
        <v>CONFIRMED BULLISH</v>
      </c>
    </row>
    <row r="72" spans="1:8" ht="13.5" x14ac:dyDescent="0.25">
      <c r="A72" s="3">
        <f>TITRES_STAT!B75</f>
        <v>45021</v>
      </c>
      <c r="B72" s="5">
        <f>TITRES_STAT!C75</f>
        <v>6.3</v>
      </c>
      <c r="C72" s="5">
        <f>TITRES_STAT!D75</f>
        <v>5.351</v>
      </c>
      <c r="D72" s="5">
        <f>TITRES_STAT!E75</f>
        <v>5.3399582539682546</v>
      </c>
      <c r="E72" s="2">
        <f t="shared" si="4"/>
        <v>-56.738500334365291</v>
      </c>
      <c r="F72" s="5" t="str">
        <f t="shared" ref="F72:F135" si="7">IF(E72&gt;E67,"BULLISH",IF(E72&lt;E67,"BEARISH","NEUTRAL"))</f>
        <v>BULLISH</v>
      </c>
      <c r="G72" s="5" t="str">
        <f t="shared" si="6"/>
        <v>WEAK</v>
      </c>
      <c r="H72" s="5" t="str">
        <f t="shared" si="5"/>
        <v>CONFIRMED BULLISH</v>
      </c>
    </row>
    <row r="73" spans="1:8" ht="13.5" x14ac:dyDescent="0.25">
      <c r="A73" s="3">
        <f>TITRES_STAT!B76</f>
        <v>45022</v>
      </c>
      <c r="B73" s="5">
        <f>TITRES_STAT!C76</f>
        <v>6.35</v>
      </c>
      <c r="C73" s="5">
        <f>TITRES_STAT!D76</f>
        <v>5.3940000000000001</v>
      </c>
      <c r="D73" s="5">
        <f>TITRES_STAT!E76</f>
        <v>5.3464308661417324</v>
      </c>
      <c r="E73" s="2">
        <f t="shared" si="4"/>
        <v>-51.392069468223561</v>
      </c>
      <c r="F73" s="5" t="str">
        <f t="shared" si="7"/>
        <v>BULLISH</v>
      </c>
      <c r="G73" s="5" t="str">
        <f t="shared" si="6"/>
        <v>WEAK</v>
      </c>
      <c r="H73" s="5" t="str">
        <f t="shared" si="5"/>
        <v>CONFIRMED BULLISH</v>
      </c>
    </row>
    <row r="74" spans="1:8" ht="13.5" x14ac:dyDescent="0.25">
      <c r="A74" s="3">
        <f>TITRES_STAT!B77</f>
        <v>45023</v>
      </c>
      <c r="B74" s="5">
        <f>TITRES_STAT!C77</f>
        <v>6.35</v>
      </c>
      <c r="C74" s="5">
        <f>TITRES_STAT!D77</f>
        <v>5.3940000000000001</v>
      </c>
      <c r="D74" s="5">
        <f>TITRES_STAT!E77</f>
        <v>5.3625703937007883</v>
      </c>
      <c r="E74" s="2">
        <f t="shared" si="4"/>
        <v>-51.392069468223561</v>
      </c>
      <c r="F74" s="5" t="str">
        <f t="shared" si="7"/>
        <v>BULLISH</v>
      </c>
      <c r="G74" s="5" t="str">
        <f t="shared" si="6"/>
        <v>WEAK</v>
      </c>
      <c r="H74" s="5" t="str">
        <f t="shared" si="5"/>
        <v>CONFIRMED BULLISH</v>
      </c>
    </row>
    <row r="75" spans="1:8" ht="13.5" x14ac:dyDescent="0.25">
      <c r="A75" s="3">
        <f>TITRES_STAT!B78</f>
        <v>45026</v>
      </c>
      <c r="B75" s="5">
        <f>TITRES_STAT!C78</f>
        <v>6.4</v>
      </c>
      <c r="C75" s="5">
        <f>TITRES_STAT!D78</f>
        <v>5.4359999999999999</v>
      </c>
      <c r="D75" s="5">
        <f>TITRES_STAT!E78</f>
        <v>5.3960793749999993</v>
      </c>
      <c r="E75" s="2">
        <f t="shared" si="4"/>
        <v>-45.995990093223561</v>
      </c>
      <c r="F75" s="5" t="str">
        <f t="shared" si="7"/>
        <v>BULLISH</v>
      </c>
      <c r="G75" s="5" t="str">
        <f t="shared" si="6"/>
        <v>WEAK</v>
      </c>
      <c r="H75" s="5" t="str">
        <f t="shared" si="5"/>
        <v>CONFIRMED BULLISH</v>
      </c>
    </row>
    <row r="76" spans="1:8" ht="13.5" x14ac:dyDescent="0.25">
      <c r="A76" s="3">
        <f>TITRES_STAT!B79</f>
        <v>45027</v>
      </c>
      <c r="B76" s="5">
        <f>TITRES_STAT!C79</f>
        <v>6.49</v>
      </c>
      <c r="C76" s="5">
        <f>TITRES_STAT!D79</f>
        <v>5.5129999999999999</v>
      </c>
      <c r="D76" s="5">
        <f>TITRES_STAT!E79</f>
        <v>5.4526882896764244</v>
      </c>
      <c r="E76" s="2">
        <f t="shared" si="4"/>
        <v>-40.543301803547138</v>
      </c>
      <c r="F76" s="5" t="str">
        <f t="shared" si="7"/>
        <v>BULLISH</v>
      </c>
      <c r="G76" s="5" t="str">
        <f t="shared" si="6"/>
        <v>WEAK</v>
      </c>
      <c r="H76" s="5" t="str">
        <f t="shared" si="5"/>
        <v>CONFIRMED BULLISH</v>
      </c>
    </row>
    <row r="77" spans="1:8" ht="13.5" x14ac:dyDescent="0.25">
      <c r="A77" s="3">
        <f>TITRES_STAT!B80</f>
        <v>45028</v>
      </c>
      <c r="B77" s="5">
        <f>TITRES_STAT!C80</f>
        <v>6.47</v>
      </c>
      <c r="C77" s="5">
        <f>TITRES_STAT!D80</f>
        <v>5.4960000000000004</v>
      </c>
      <c r="D77" s="5">
        <f>TITRES_STAT!E80</f>
        <v>5.4628710973724894</v>
      </c>
      <c r="E77" s="2">
        <f t="shared" si="4"/>
        <v>-46.00617290091963</v>
      </c>
      <c r="F77" s="5" t="str">
        <f t="shared" si="7"/>
        <v>BULLISH</v>
      </c>
      <c r="G77" s="5" t="str">
        <f t="shared" si="6"/>
        <v>WEAK</v>
      </c>
      <c r="H77" s="5" t="str">
        <f t="shared" si="5"/>
        <v>CONFIRMED BULLISH</v>
      </c>
    </row>
    <row r="78" spans="1:8" ht="13.5" x14ac:dyDescent="0.25">
      <c r="A78" s="3">
        <f>TITRES_STAT!B81</f>
        <v>45029</v>
      </c>
      <c r="B78" s="5">
        <f>TITRES_STAT!C81</f>
        <v>6.47</v>
      </c>
      <c r="C78" s="5">
        <f>TITRES_STAT!D81</f>
        <v>5.4960000000000004</v>
      </c>
      <c r="D78" s="5">
        <f>TITRES_STAT!E81</f>
        <v>5.4390862442040184</v>
      </c>
      <c r="E78" s="2">
        <f t="shared" si="4"/>
        <v>-46.00617290091963</v>
      </c>
      <c r="F78" s="5" t="str">
        <f t="shared" si="7"/>
        <v>BULLISH</v>
      </c>
      <c r="G78" s="5" t="str">
        <f t="shared" si="6"/>
        <v>WEAK</v>
      </c>
      <c r="H78" s="5" t="str">
        <f t="shared" si="5"/>
        <v>CONFIRMED BULLISH</v>
      </c>
    </row>
    <row r="79" spans="1:8" ht="13.5" x14ac:dyDescent="0.25">
      <c r="A79" s="3">
        <f>TITRES_STAT!B82</f>
        <v>45030</v>
      </c>
      <c r="B79" s="5">
        <f>TITRES_STAT!C82</f>
        <v>6.44</v>
      </c>
      <c r="C79" s="5">
        <f>TITRES_STAT!D82</f>
        <v>5.47</v>
      </c>
      <c r="D79" s="5">
        <f>TITRES_STAT!E82</f>
        <v>5.4275310559006202</v>
      </c>
      <c r="E79" s="2">
        <f t="shared" si="4"/>
        <v>-51.433703956820253</v>
      </c>
      <c r="F79" s="5" t="str">
        <f t="shared" si="7"/>
        <v>BEARISH</v>
      </c>
      <c r="G79" s="5" t="str">
        <f t="shared" si="6"/>
        <v>NEUTRAL</v>
      </c>
      <c r="H79" s="5" t="str">
        <f t="shared" si="5"/>
        <v>BEARISH DIVERGENCE</v>
      </c>
    </row>
    <row r="80" spans="1:8" ht="13.5" x14ac:dyDescent="0.25">
      <c r="A80" s="3">
        <f>TITRES_STAT!B83</f>
        <v>45033</v>
      </c>
      <c r="B80" s="5">
        <f>TITRES_STAT!C83</f>
        <v>6.44</v>
      </c>
      <c r="C80" s="5">
        <f>TITRES_STAT!D83</f>
        <v>5.47</v>
      </c>
      <c r="D80" s="5">
        <f>TITRES_STAT!E83</f>
        <v>5.47</v>
      </c>
      <c r="E80" s="2">
        <f t="shared" si="4"/>
        <v>-51.433703956820253</v>
      </c>
      <c r="F80" s="5" t="str">
        <f t="shared" si="7"/>
        <v>BEARISH</v>
      </c>
      <c r="G80" s="5" t="str">
        <f t="shared" si="6"/>
        <v>STRONG</v>
      </c>
      <c r="H80" s="5" t="str">
        <f t="shared" si="5"/>
        <v>BEARISH DIVERGENCE</v>
      </c>
    </row>
    <row r="81" spans="1:8" ht="13.5" x14ac:dyDescent="0.25">
      <c r="A81" s="3">
        <f>TITRES_STAT!B84</f>
        <v>45034</v>
      </c>
      <c r="B81" s="5">
        <f>TITRES_STAT!C84</f>
        <v>6.44</v>
      </c>
      <c r="C81" s="5">
        <f>TITRES_STAT!D84</f>
        <v>5.47</v>
      </c>
      <c r="D81" s="5">
        <f>TITRES_STAT!E84</f>
        <v>5.4683012422360235</v>
      </c>
      <c r="E81" s="2">
        <f t="shared" si="4"/>
        <v>-51.433703956820253</v>
      </c>
      <c r="F81" s="5" t="str">
        <f t="shared" si="7"/>
        <v>BEARISH</v>
      </c>
      <c r="G81" s="5" t="str">
        <f t="shared" si="6"/>
        <v>STRONG</v>
      </c>
      <c r="H81" s="5" t="str">
        <f t="shared" si="5"/>
        <v>CONFIRMED BEARISH</v>
      </c>
    </row>
    <row r="82" spans="1:8" ht="13.5" x14ac:dyDescent="0.25">
      <c r="A82" s="3">
        <f>TITRES_STAT!B85</f>
        <v>45035</v>
      </c>
      <c r="B82" s="5">
        <f>TITRES_STAT!C85</f>
        <v>6.44</v>
      </c>
      <c r="C82" s="5">
        <f>TITRES_STAT!D85</f>
        <v>5.47</v>
      </c>
      <c r="D82" s="5">
        <f>TITRES_STAT!E85</f>
        <v>5.441121118012421</v>
      </c>
      <c r="E82" s="2">
        <f t="shared" si="4"/>
        <v>-51.433703956820253</v>
      </c>
      <c r="F82" s="5" t="str">
        <f t="shared" si="7"/>
        <v>BEARISH</v>
      </c>
      <c r="G82" s="5" t="str">
        <f t="shared" si="6"/>
        <v>STRONG</v>
      </c>
      <c r="H82" s="5" t="str">
        <f t="shared" si="5"/>
        <v>CONFIRMED BEARISH</v>
      </c>
    </row>
    <row r="83" spans="1:8" ht="13.5" x14ac:dyDescent="0.25">
      <c r="A83" s="3">
        <f>TITRES_STAT!B86</f>
        <v>45036</v>
      </c>
      <c r="B83" s="5">
        <f>TITRES_STAT!C86</f>
        <v>6.44</v>
      </c>
      <c r="C83" s="5">
        <f>TITRES_STAT!D86</f>
        <v>5.47</v>
      </c>
      <c r="D83" s="5">
        <f>TITRES_STAT!E86</f>
        <v>5.47</v>
      </c>
      <c r="E83" s="2">
        <f t="shared" si="4"/>
        <v>-51.433703956820253</v>
      </c>
      <c r="F83" s="5" t="str">
        <f t="shared" si="7"/>
        <v>BEARISH</v>
      </c>
      <c r="G83" s="5" t="str">
        <f t="shared" si="6"/>
        <v>STRONG</v>
      </c>
      <c r="H83" s="5" t="str">
        <f t="shared" si="5"/>
        <v>CONFIRMED BEARISH</v>
      </c>
    </row>
    <row r="84" spans="1:8" ht="13.5" x14ac:dyDescent="0.25">
      <c r="A84" s="3">
        <f>TITRES_STAT!B87</f>
        <v>45040</v>
      </c>
      <c r="B84" s="5">
        <f>TITRES_STAT!C87</f>
        <v>6.43</v>
      </c>
      <c r="C84" s="5">
        <f>TITRES_STAT!D87</f>
        <v>5.4619999999999997</v>
      </c>
      <c r="D84" s="5">
        <f>TITRES_STAT!E87</f>
        <v>5.4509570762052872</v>
      </c>
      <c r="E84" s="2">
        <f t="shared" si="4"/>
        <v>-56.884661033025537</v>
      </c>
      <c r="F84" s="5" t="str">
        <f t="shared" si="7"/>
        <v>BEARISH</v>
      </c>
      <c r="G84" s="5" t="str">
        <f t="shared" si="6"/>
        <v>STRONG</v>
      </c>
      <c r="H84" s="5" t="str">
        <f t="shared" si="5"/>
        <v>CONFIRMED BEARISH</v>
      </c>
    </row>
    <row r="85" spans="1:8" ht="13.5" x14ac:dyDescent="0.25">
      <c r="A85" s="3">
        <f>TITRES_STAT!B88</f>
        <v>45041</v>
      </c>
      <c r="B85" s="5">
        <f>TITRES_STAT!C88</f>
        <v>6.43</v>
      </c>
      <c r="C85" s="5">
        <f>TITRES_STAT!D88</f>
        <v>5.4619999999999997</v>
      </c>
      <c r="D85" s="5">
        <f>TITRES_STAT!E88</f>
        <v>5.4424625194401246</v>
      </c>
      <c r="E85" s="2">
        <f t="shared" si="4"/>
        <v>-56.884661033025537</v>
      </c>
      <c r="F85" s="5" t="str">
        <f t="shared" si="7"/>
        <v>BEARISH</v>
      </c>
      <c r="G85" s="5" t="str">
        <f t="shared" si="6"/>
        <v>STRONG</v>
      </c>
      <c r="H85" s="5" t="str">
        <f t="shared" si="5"/>
        <v>CONFIRMED BEARISH</v>
      </c>
    </row>
    <row r="86" spans="1:8" ht="13.5" x14ac:dyDescent="0.25">
      <c r="A86" s="3">
        <f>TITRES_STAT!B89</f>
        <v>45042</v>
      </c>
      <c r="B86" s="5">
        <f>TITRES_STAT!C89</f>
        <v>6.42</v>
      </c>
      <c r="C86" s="5">
        <f>TITRES_STAT!D89</f>
        <v>5.4530000000000003</v>
      </c>
      <c r="D86" s="5">
        <f>TITRES_STAT!E89</f>
        <v>5.3884473520249223</v>
      </c>
      <c r="E86" s="2">
        <f t="shared" si="4"/>
        <v>-62.273108385050463</v>
      </c>
      <c r="F86" s="5" t="str">
        <f t="shared" si="7"/>
        <v>BEARISH</v>
      </c>
      <c r="G86" s="5" t="str">
        <f t="shared" si="6"/>
        <v>STRONG</v>
      </c>
      <c r="H86" s="5" t="str">
        <f t="shared" si="5"/>
        <v>CONFIRMED BEARISH</v>
      </c>
    </row>
    <row r="87" spans="1:8" ht="13.5" x14ac:dyDescent="0.25">
      <c r="A87" s="3">
        <f>TITRES_STAT!B90</f>
        <v>45043</v>
      </c>
      <c r="B87" s="5">
        <f>TITRES_STAT!C90</f>
        <v>6.42</v>
      </c>
      <c r="C87" s="5">
        <f>TITRES_STAT!D90</f>
        <v>5.4530000000000003</v>
      </c>
      <c r="D87" s="5">
        <f>TITRES_STAT!E90</f>
        <v>5.441958099688474</v>
      </c>
      <c r="E87" s="2">
        <f t="shared" si="4"/>
        <v>-62.273108385050463</v>
      </c>
      <c r="F87" s="5" t="str">
        <f t="shared" si="7"/>
        <v>BEARISH</v>
      </c>
      <c r="G87" s="5" t="str">
        <f t="shared" si="6"/>
        <v>STRONG</v>
      </c>
      <c r="H87" s="5" t="str">
        <f t="shared" si="5"/>
        <v>CONFIRMED BEARISH</v>
      </c>
    </row>
    <row r="88" spans="1:8" ht="13.5" x14ac:dyDescent="0.25">
      <c r="A88" s="3">
        <f>TITRES_STAT!B91</f>
        <v>45044</v>
      </c>
      <c r="B88" s="5">
        <f>TITRES_STAT!C91</f>
        <v>6.4</v>
      </c>
      <c r="C88" s="5">
        <f>TITRES_STAT!D91</f>
        <v>5.4359999999999999</v>
      </c>
      <c r="D88" s="5">
        <f>TITRES_STAT!E91</f>
        <v>5.4368493749999995</v>
      </c>
      <c r="E88" s="2">
        <f t="shared" si="4"/>
        <v>-67.709957760050457</v>
      </c>
      <c r="F88" s="5" t="str">
        <f t="shared" si="7"/>
        <v>BEARISH</v>
      </c>
      <c r="G88" s="5" t="str">
        <f t="shared" si="6"/>
        <v>STRONG</v>
      </c>
      <c r="H88" s="5" t="str">
        <f t="shared" si="5"/>
        <v>CONFIRMED BEARISH</v>
      </c>
    </row>
    <row r="89" spans="1:8" ht="13.5" x14ac:dyDescent="0.25">
      <c r="A89" s="3">
        <f>TITRES_STAT!B92</f>
        <v>45048</v>
      </c>
      <c r="B89" s="5">
        <f>TITRES_STAT!C92</f>
        <v>6.4</v>
      </c>
      <c r="C89" s="5">
        <f>TITRES_STAT!D92</f>
        <v>5.4359999999999999</v>
      </c>
      <c r="D89" s="5">
        <f>TITRES_STAT!E92</f>
        <v>5.4241087500000003</v>
      </c>
      <c r="E89" s="2">
        <f t="shared" si="4"/>
        <v>-67.709957760050457</v>
      </c>
      <c r="F89" s="5" t="str">
        <f t="shared" si="7"/>
        <v>BEARISH</v>
      </c>
      <c r="G89" s="5" t="str">
        <f t="shared" si="6"/>
        <v>STRONG</v>
      </c>
      <c r="H89" s="5" t="str">
        <f t="shared" si="5"/>
        <v>CONFIRMED BEARISH</v>
      </c>
    </row>
    <row r="90" spans="1:8" ht="13.5" x14ac:dyDescent="0.25">
      <c r="A90" s="3">
        <f>TITRES_STAT!B93</f>
        <v>45049</v>
      </c>
      <c r="B90" s="5">
        <f>TITRES_STAT!C93</f>
        <v>6.38</v>
      </c>
      <c r="C90" s="5">
        <f>TITRES_STAT!D93</f>
        <v>5.4189999999999996</v>
      </c>
      <c r="D90" s="5">
        <f>TITRES_STAT!E93</f>
        <v>5.4189999999999996</v>
      </c>
      <c r="E90" s="2">
        <f t="shared" si="4"/>
        <v>-73.128957760050454</v>
      </c>
      <c r="F90" s="5" t="str">
        <f t="shared" si="7"/>
        <v>BEARISH</v>
      </c>
      <c r="G90" s="5" t="str">
        <f t="shared" si="6"/>
        <v>STRONG</v>
      </c>
      <c r="H90" s="5" t="str">
        <f t="shared" si="5"/>
        <v>CONFIRMED BEARISH</v>
      </c>
    </row>
    <row r="91" spans="1:8" ht="13.5" x14ac:dyDescent="0.25">
      <c r="A91" s="3">
        <f>TITRES_STAT!B94</f>
        <v>45050</v>
      </c>
      <c r="B91" s="5">
        <f>TITRES_STAT!C94</f>
        <v>6.5</v>
      </c>
      <c r="C91" s="5">
        <f>TITRES_STAT!D94</f>
        <v>5.5209999999999999</v>
      </c>
      <c r="D91" s="5">
        <f>TITRES_STAT!E94</f>
        <v>5.499765384615384</v>
      </c>
      <c r="E91" s="2">
        <f t="shared" si="4"/>
        <v>-67.629192375435068</v>
      </c>
      <c r="F91" s="5" t="str">
        <f t="shared" si="7"/>
        <v>BEARISH</v>
      </c>
      <c r="G91" s="5" t="str">
        <f t="shared" si="6"/>
        <v>STRONG</v>
      </c>
      <c r="H91" s="5" t="str">
        <f t="shared" si="5"/>
        <v>BEARISH DIVERGENCE</v>
      </c>
    </row>
    <row r="92" spans="1:8" ht="13.5" x14ac:dyDescent="0.25">
      <c r="A92" s="3">
        <f>TITRES_STAT!B95</f>
        <v>45051</v>
      </c>
      <c r="B92" s="5">
        <f>TITRES_STAT!C95</f>
        <v>6.5</v>
      </c>
      <c r="C92" s="5">
        <f>TITRES_STAT!D95</f>
        <v>5.5209999999999999</v>
      </c>
      <c r="D92" s="5">
        <f>TITRES_STAT!E95</f>
        <v>5.5303432307692306</v>
      </c>
      <c r="E92" s="2">
        <f t="shared" si="4"/>
        <v>-67.629192375435068</v>
      </c>
      <c r="F92" s="5" t="str">
        <f t="shared" si="7"/>
        <v>BEARISH</v>
      </c>
      <c r="G92" s="5" t="str">
        <f t="shared" si="6"/>
        <v>STRONG</v>
      </c>
      <c r="H92" s="5" t="str">
        <f t="shared" si="5"/>
        <v>BEARISH DIVERGENCE</v>
      </c>
    </row>
    <row r="93" spans="1:8" ht="13.5" x14ac:dyDescent="0.25">
      <c r="A93" s="3">
        <f>TITRES_STAT!B96</f>
        <v>45054</v>
      </c>
      <c r="B93" s="5">
        <f>TITRES_STAT!C96</f>
        <v>6.5</v>
      </c>
      <c r="C93" s="5">
        <f>TITRES_STAT!D96</f>
        <v>5.5209999999999999</v>
      </c>
      <c r="D93" s="5">
        <f>TITRES_STAT!E96</f>
        <v>5.5201506153846154</v>
      </c>
      <c r="E93" s="2">
        <f t="shared" si="4"/>
        <v>-67.629192375435068</v>
      </c>
      <c r="F93" s="5" t="str">
        <f t="shared" si="7"/>
        <v>BULLISH</v>
      </c>
      <c r="G93" s="5" t="str">
        <f t="shared" si="6"/>
        <v>NEUTRAL</v>
      </c>
      <c r="H93" s="5" t="str">
        <f t="shared" si="5"/>
        <v>CONFIRMED BULLISH</v>
      </c>
    </row>
    <row r="94" spans="1:8" ht="13.5" x14ac:dyDescent="0.25">
      <c r="A94" s="3">
        <f>TITRES_STAT!B97</f>
        <v>45055</v>
      </c>
      <c r="B94" s="5">
        <f>TITRES_STAT!C97</f>
        <v>6.5</v>
      </c>
      <c r="C94" s="5">
        <f>TITRES_STAT!D97</f>
        <v>5.5209999999999999</v>
      </c>
      <c r="D94" s="5">
        <f>TITRES_STAT!E97</f>
        <v>5.5447827692307694</v>
      </c>
      <c r="E94" s="2">
        <f t="shared" si="4"/>
        <v>-67.629192375435068</v>
      </c>
      <c r="F94" s="5" t="str">
        <f t="shared" si="7"/>
        <v>BULLISH</v>
      </c>
      <c r="G94" s="5" t="str">
        <f t="shared" si="6"/>
        <v>NEUTRAL</v>
      </c>
      <c r="H94" s="5" t="str">
        <f t="shared" si="5"/>
        <v>CONFIRMED BULLISH</v>
      </c>
    </row>
    <row r="95" spans="1:8" ht="13.5" x14ac:dyDescent="0.25">
      <c r="A95" s="3">
        <f>TITRES_STAT!B98</f>
        <v>45056</v>
      </c>
      <c r="B95" s="5">
        <f>TITRES_STAT!C98</f>
        <v>6.53</v>
      </c>
      <c r="C95" s="5">
        <f>TITRES_STAT!D98</f>
        <v>5.5469999999999997</v>
      </c>
      <c r="D95" s="5">
        <f>TITRES_STAT!E98</f>
        <v>5.523215007656967</v>
      </c>
      <c r="E95" s="2">
        <f t="shared" si="4"/>
        <v>-62.105977367778102</v>
      </c>
      <c r="F95" s="5" t="str">
        <f t="shared" si="7"/>
        <v>BULLISH</v>
      </c>
      <c r="G95" s="5" t="str">
        <f t="shared" si="6"/>
        <v>WEAK</v>
      </c>
      <c r="H95" s="5" t="str">
        <f t="shared" si="5"/>
        <v>CONFIRMED BULLISH</v>
      </c>
    </row>
    <row r="96" spans="1:8" ht="13.5" x14ac:dyDescent="0.25">
      <c r="A96" s="3">
        <f>TITRES_STAT!B99</f>
        <v>45057</v>
      </c>
      <c r="B96" s="5">
        <f>TITRES_STAT!C99</f>
        <v>6.54</v>
      </c>
      <c r="C96" s="5">
        <f>TITRES_STAT!D99</f>
        <v>5.5549999999999997</v>
      </c>
      <c r="D96" s="5">
        <f>TITRES_STAT!E99</f>
        <v>5.5431085626911312</v>
      </c>
      <c r="E96" s="2">
        <f t="shared" si="4"/>
        <v>-56.562868805086971</v>
      </c>
      <c r="F96" s="5" t="str">
        <f t="shared" si="7"/>
        <v>BULLISH</v>
      </c>
      <c r="G96" s="5" t="str">
        <f t="shared" si="6"/>
        <v>WEAK</v>
      </c>
      <c r="H96" s="5" t="str">
        <f t="shared" si="5"/>
        <v>CONFIRMED BULLISH</v>
      </c>
    </row>
    <row r="97" spans="1:8" ht="13.5" x14ac:dyDescent="0.25">
      <c r="A97" s="3">
        <f>TITRES_STAT!B100</f>
        <v>45058</v>
      </c>
      <c r="B97" s="5">
        <f>TITRES_STAT!C100</f>
        <v>6.55</v>
      </c>
      <c r="C97" s="5">
        <f>TITRES_STAT!D100</f>
        <v>5.5640000000000001</v>
      </c>
      <c r="D97" s="5">
        <f>TITRES_STAT!E100</f>
        <v>5.5495590839694664</v>
      </c>
      <c r="E97" s="2">
        <f t="shared" si="4"/>
        <v>-51.013309721117508</v>
      </c>
      <c r="F97" s="5" t="str">
        <f t="shared" si="7"/>
        <v>BULLISH</v>
      </c>
      <c r="G97" s="5" t="str">
        <f t="shared" si="6"/>
        <v>WEAK</v>
      </c>
      <c r="H97" s="5" t="str">
        <f t="shared" si="5"/>
        <v>CONFIRMED BULLISH</v>
      </c>
    </row>
    <row r="98" spans="1:8" ht="13.5" x14ac:dyDescent="0.25">
      <c r="A98" s="3">
        <f>TITRES_STAT!B101</f>
        <v>45061</v>
      </c>
      <c r="B98" s="5">
        <f>TITRES_STAT!C101</f>
        <v>6.55</v>
      </c>
      <c r="C98" s="5">
        <f>TITRES_STAT!D101</f>
        <v>5.5640000000000001</v>
      </c>
      <c r="D98" s="5">
        <f>TITRES_STAT!E101</f>
        <v>5.5334192366412216</v>
      </c>
      <c r="E98" s="2">
        <f t="shared" si="4"/>
        <v>-51.013309721117508</v>
      </c>
      <c r="F98" s="5" t="str">
        <f t="shared" si="7"/>
        <v>BULLISH</v>
      </c>
      <c r="G98" s="5" t="str">
        <f t="shared" si="6"/>
        <v>WEAK</v>
      </c>
      <c r="H98" s="5" t="str">
        <f t="shared" si="5"/>
        <v>CONFIRMED BULLISH</v>
      </c>
    </row>
    <row r="99" spans="1:8" ht="13.5" x14ac:dyDescent="0.25">
      <c r="A99" s="3">
        <f>TITRES_STAT!B102</f>
        <v>45062</v>
      </c>
      <c r="B99" s="5">
        <f>TITRES_STAT!C102</f>
        <v>6.58</v>
      </c>
      <c r="C99" s="5">
        <f>TITRES_STAT!D102</f>
        <v>5.5890000000000004</v>
      </c>
      <c r="D99" s="5">
        <f>TITRES_STAT!E102</f>
        <v>5.5652170212765961</v>
      </c>
      <c r="E99" s="2">
        <f t="shared" si="4"/>
        <v>-45.448092699840913</v>
      </c>
      <c r="F99" s="5" t="str">
        <f t="shared" si="7"/>
        <v>BULLISH</v>
      </c>
      <c r="G99" s="5" t="str">
        <f t="shared" si="6"/>
        <v>WEAK</v>
      </c>
      <c r="H99" s="5" t="str">
        <f t="shared" si="5"/>
        <v>CONFIRMED BULLISH</v>
      </c>
    </row>
    <row r="100" spans="1:8" ht="13.5" x14ac:dyDescent="0.25">
      <c r="A100" s="3">
        <f>TITRES_STAT!B103</f>
        <v>45063</v>
      </c>
      <c r="B100" s="5">
        <f>TITRES_STAT!C103</f>
        <v>6.59</v>
      </c>
      <c r="C100" s="5">
        <f>TITRES_STAT!D103</f>
        <v>5.5979999999999999</v>
      </c>
      <c r="D100" s="5">
        <f>TITRES_STAT!E103</f>
        <v>5.5878063732928682</v>
      </c>
      <c r="E100" s="2">
        <f t="shared" si="4"/>
        <v>-39.860286326548042</v>
      </c>
      <c r="F100" s="5" t="str">
        <f t="shared" si="7"/>
        <v>BULLISH</v>
      </c>
      <c r="G100" s="5" t="str">
        <f t="shared" si="6"/>
        <v>WEAK</v>
      </c>
      <c r="H100" s="5" t="str">
        <f t="shared" si="5"/>
        <v>CONFIRMED BULLISH</v>
      </c>
    </row>
    <row r="101" spans="1:8" ht="13.5" x14ac:dyDescent="0.25">
      <c r="A101" s="3">
        <f>TITRES_STAT!B104</f>
        <v>45064</v>
      </c>
      <c r="B101" s="5">
        <f>TITRES_STAT!C104</f>
        <v>6.58</v>
      </c>
      <c r="C101" s="5">
        <f>TITRES_STAT!D104</f>
        <v>5.5890000000000004</v>
      </c>
      <c r="D101" s="5">
        <f>TITRES_STAT!E104</f>
        <v>5.5796566869300914</v>
      </c>
      <c r="E101" s="2">
        <f t="shared" si="4"/>
        <v>-45.439943013478135</v>
      </c>
      <c r="F101" s="5" t="str">
        <f t="shared" si="7"/>
        <v>BULLISH</v>
      </c>
      <c r="G101" s="5" t="str">
        <f t="shared" si="6"/>
        <v>WEAK</v>
      </c>
      <c r="H101" s="5" t="str">
        <f t="shared" si="5"/>
        <v>CONFIRMED BULLISH</v>
      </c>
    </row>
    <row r="102" spans="1:8" ht="13.5" x14ac:dyDescent="0.25">
      <c r="A102" s="3">
        <f>TITRES_STAT!B105</f>
        <v>45065</v>
      </c>
      <c r="B102" s="5">
        <f>TITRES_STAT!C105</f>
        <v>6.57</v>
      </c>
      <c r="C102" s="5">
        <f>TITRES_STAT!D105</f>
        <v>5.5810000000000004</v>
      </c>
      <c r="D102" s="5">
        <f>TITRES_STAT!E105</f>
        <v>5.5826989345509901</v>
      </c>
      <c r="E102" s="2">
        <f t="shared" si="4"/>
        <v>-51.022641948029126</v>
      </c>
      <c r="F102" s="5" t="str">
        <f t="shared" si="7"/>
        <v>BEARISH</v>
      </c>
      <c r="G102" s="5" t="str">
        <f t="shared" si="6"/>
        <v>NEUTRAL</v>
      </c>
      <c r="H102" s="5" t="str">
        <f t="shared" si="5"/>
        <v>BEARISH DIVERGENCE</v>
      </c>
    </row>
    <row r="103" spans="1:8" ht="13.5" x14ac:dyDescent="0.25">
      <c r="A103" s="3">
        <f>TITRES_STAT!B106</f>
        <v>45068</v>
      </c>
      <c r="B103" s="5">
        <f>TITRES_STAT!C106</f>
        <v>6.6</v>
      </c>
      <c r="C103" s="5">
        <f>TITRES_STAT!D106</f>
        <v>5.6059999999999999</v>
      </c>
      <c r="D103" s="5">
        <f>TITRES_STAT!E106</f>
        <v>5.6009036363636362</v>
      </c>
      <c r="E103" s="2">
        <f t="shared" si="4"/>
        <v>-45.421738311665493</v>
      </c>
      <c r="F103" s="5" t="str">
        <f t="shared" si="7"/>
        <v>BULLISH</v>
      </c>
      <c r="G103" s="5" t="str">
        <f t="shared" si="6"/>
        <v>WEAK</v>
      </c>
      <c r="H103" s="5" t="str">
        <f t="shared" si="5"/>
        <v>CONFIRMED BULLISH</v>
      </c>
    </row>
    <row r="104" spans="1:8" ht="13.5" x14ac:dyDescent="0.25">
      <c r="A104" s="3">
        <f>TITRES_STAT!B107</f>
        <v>45069</v>
      </c>
      <c r="B104" s="5">
        <f>TITRES_STAT!C107</f>
        <v>6.6</v>
      </c>
      <c r="C104" s="5">
        <f>TITRES_STAT!D107</f>
        <v>5.6059999999999999</v>
      </c>
      <c r="D104" s="5">
        <f>TITRES_STAT!E107</f>
        <v>5.6085481818181817</v>
      </c>
      <c r="E104" s="2">
        <f t="shared" si="4"/>
        <v>-45.421738311665493</v>
      </c>
      <c r="F104" s="5" t="str">
        <f t="shared" si="7"/>
        <v>BULLISH</v>
      </c>
      <c r="G104" s="5" t="str">
        <f t="shared" si="6"/>
        <v>NEUTRAL</v>
      </c>
      <c r="H104" s="5" t="str">
        <f t="shared" si="5"/>
        <v>CONFIRMED BULLISH</v>
      </c>
    </row>
    <row r="105" spans="1:8" ht="13.5" x14ac:dyDescent="0.25">
      <c r="A105" s="3">
        <f>TITRES_STAT!B108</f>
        <v>45070</v>
      </c>
      <c r="B105" s="5">
        <f>TITRES_STAT!C108</f>
        <v>6.66</v>
      </c>
      <c r="C105" s="5">
        <f>TITRES_STAT!D108</f>
        <v>5.657</v>
      </c>
      <c r="D105" s="5">
        <f>TITRES_STAT!E108</f>
        <v>5.6204758258258254</v>
      </c>
      <c r="E105" s="2">
        <f t="shared" si="4"/>
        <v>-39.801262485839665</v>
      </c>
      <c r="F105" s="5" t="str">
        <f t="shared" si="7"/>
        <v>BULLISH</v>
      </c>
      <c r="G105" s="5" t="str">
        <f t="shared" si="6"/>
        <v>NEUTRAL</v>
      </c>
      <c r="H105" s="5" t="str">
        <f t="shared" si="5"/>
        <v>CONFIRMED BULLISH</v>
      </c>
    </row>
    <row r="106" spans="1:8" ht="13.5" x14ac:dyDescent="0.25">
      <c r="A106" s="3">
        <f>TITRES_STAT!B109</f>
        <v>45071</v>
      </c>
      <c r="B106" s="5">
        <f>TITRES_STAT!C109</f>
        <v>6.67</v>
      </c>
      <c r="C106" s="5">
        <f>TITRES_STAT!D109</f>
        <v>5.665</v>
      </c>
      <c r="D106" s="5">
        <f>TITRES_STAT!E109</f>
        <v>5.6480134932533739</v>
      </c>
      <c r="E106" s="2">
        <f t="shared" si="4"/>
        <v>-34.153248992586292</v>
      </c>
      <c r="F106" s="5" t="str">
        <f t="shared" si="7"/>
        <v>BULLISH</v>
      </c>
      <c r="G106" s="5" t="str">
        <f t="shared" si="6"/>
        <v>WEAK</v>
      </c>
      <c r="H106" s="5" t="str">
        <f t="shared" si="5"/>
        <v>CONFIRMED BULLISH</v>
      </c>
    </row>
    <row r="107" spans="1:8" ht="13.5" x14ac:dyDescent="0.25">
      <c r="A107" s="3">
        <f>TITRES_STAT!B110</f>
        <v>45072</v>
      </c>
      <c r="B107" s="5">
        <f>TITRES_STAT!C110</f>
        <v>6.65</v>
      </c>
      <c r="C107" s="5">
        <f>TITRES_STAT!D110</f>
        <v>5.6479999999999997</v>
      </c>
      <c r="D107" s="5">
        <f>TITRES_STAT!E110</f>
        <v>5.6191230075187963</v>
      </c>
      <c r="E107" s="2">
        <f t="shared" si="4"/>
        <v>-39.772372000105086</v>
      </c>
      <c r="F107" s="5" t="str">
        <f t="shared" si="7"/>
        <v>BULLISH</v>
      </c>
      <c r="G107" s="5" t="str">
        <f t="shared" si="6"/>
        <v>WEAK</v>
      </c>
      <c r="H107" s="5" t="str">
        <f t="shared" si="5"/>
        <v>CONFIRMED BULLISH</v>
      </c>
    </row>
    <row r="108" spans="1:8" ht="13.5" x14ac:dyDescent="0.25">
      <c r="A108" s="3">
        <f>TITRES_STAT!B111</f>
        <v>45075</v>
      </c>
      <c r="B108" s="5">
        <f>TITRES_STAT!C111</f>
        <v>6.91</v>
      </c>
      <c r="C108" s="5">
        <f>TITRES_STAT!D111</f>
        <v>5.8689999999999998</v>
      </c>
      <c r="D108" s="5">
        <f>TITRES_STAT!E111</f>
        <v>5.7339535455861066</v>
      </c>
      <c r="E108" s="2">
        <f t="shared" si="4"/>
        <v>-34.038418454518983</v>
      </c>
      <c r="F108" s="5" t="str">
        <f t="shared" si="7"/>
        <v>BULLISH</v>
      </c>
      <c r="G108" s="5" t="str">
        <f t="shared" si="6"/>
        <v>WEAK</v>
      </c>
      <c r="H108" s="5" t="str">
        <f t="shared" si="5"/>
        <v>CONFIRMED BULLISH</v>
      </c>
    </row>
    <row r="109" spans="1:8" ht="13.5" x14ac:dyDescent="0.25">
      <c r="A109" s="3">
        <f>TITRES_STAT!B112</f>
        <v>45076</v>
      </c>
      <c r="B109" s="5">
        <f>TITRES_STAT!C112</f>
        <v>6.86</v>
      </c>
      <c r="C109" s="5">
        <f>TITRES_STAT!D112</f>
        <v>5.827</v>
      </c>
      <c r="D109" s="5">
        <f>TITRES_STAT!E112</f>
        <v>5.857579008746356</v>
      </c>
      <c r="E109" s="2">
        <f t="shared" si="4"/>
        <v>-39.895997463265338</v>
      </c>
      <c r="F109" s="5" t="str">
        <f t="shared" si="7"/>
        <v>BULLISH</v>
      </c>
      <c r="G109" s="5" t="str">
        <f t="shared" si="6"/>
        <v>WEAK</v>
      </c>
      <c r="H109" s="5" t="str">
        <f t="shared" si="5"/>
        <v>CONFIRMED BULLISH</v>
      </c>
    </row>
    <row r="110" spans="1:8" ht="13.5" x14ac:dyDescent="0.25">
      <c r="A110" s="3">
        <f>TITRES_STAT!B113</f>
        <v>45077</v>
      </c>
      <c r="B110" s="5">
        <f>TITRES_STAT!C113</f>
        <v>6.7</v>
      </c>
      <c r="C110" s="5">
        <f>TITRES_STAT!D113</f>
        <v>5.9429999999999996</v>
      </c>
      <c r="D110" s="5">
        <f>TITRES_STAT!E113</f>
        <v>5.996220895522387</v>
      </c>
      <c r="E110" s="2">
        <f t="shared" si="4"/>
        <v>-45.892218358787723</v>
      </c>
      <c r="F110" s="5" t="str">
        <f t="shared" si="7"/>
        <v>BEARISH</v>
      </c>
      <c r="G110" s="5" t="str">
        <f t="shared" si="6"/>
        <v>STRONG</v>
      </c>
      <c r="H110" s="5" t="str">
        <f t="shared" si="5"/>
        <v>BEARISH DIVERGENCE</v>
      </c>
    </row>
    <row r="111" spans="1:8" ht="13.5" x14ac:dyDescent="0.25">
      <c r="A111" s="3">
        <f>TITRES_STAT!B114</f>
        <v>45078</v>
      </c>
      <c r="B111" s="5">
        <f>TITRES_STAT!C114</f>
        <v>6.6</v>
      </c>
      <c r="C111" s="5">
        <f>TITRES_STAT!D114</f>
        <v>5.8540000000000001</v>
      </c>
      <c r="D111" s="5">
        <f>TITRES_STAT!E114</f>
        <v>5.8965745454545457</v>
      </c>
      <c r="E111" s="2">
        <f t="shared" si="4"/>
        <v>-51.788792904242271</v>
      </c>
      <c r="F111" s="5" t="str">
        <f t="shared" si="7"/>
        <v>BEARISH</v>
      </c>
      <c r="G111" s="5" t="str">
        <f t="shared" si="6"/>
        <v>STRONG</v>
      </c>
      <c r="H111" s="5" t="str">
        <f t="shared" si="5"/>
        <v>CONFIRMED BEARISH</v>
      </c>
    </row>
    <row r="112" spans="1:8" ht="13.5" x14ac:dyDescent="0.25">
      <c r="A112" s="3">
        <f>TITRES_STAT!B115</f>
        <v>45079</v>
      </c>
      <c r="B112" s="5">
        <f>TITRES_STAT!C115</f>
        <v>6.68</v>
      </c>
      <c r="C112" s="5">
        <f>TITRES_STAT!D115</f>
        <v>5.9249999999999998</v>
      </c>
      <c r="D112" s="5">
        <f>TITRES_STAT!E115</f>
        <v>5.8575898203592818</v>
      </c>
      <c r="E112" s="2">
        <f t="shared" si="4"/>
        <v>-45.931203083882991</v>
      </c>
      <c r="F112" s="5" t="str">
        <f t="shared" si="7"/>
        <v>BEARISH</v>
      </c>
      <c r="G112" s="5" t="str">
        <f t="shared" si="6"/>
        <v>STRONG</v>
      </c>
      <c r="H112" s="5" t="str">
        <f t="shared" si="5"/>
        <v>BEARISH DIVERGENCE</v>
      </c>
    </row>
    <row r="113" spans="1:8" ht="13.5" x14ac:dyDescent="0.25">
      <c r="A113" s="3">
        <f>TITRES_STAT!B116</f>
        <v>45082</v>
      </c>
      <c r="B113" s="5">
        <f>TITRES_STAT!C116</f>
        <v>6.65</v>
      </c>
      <c r="C113" s="5">
        <f>TITRES_STAT!D116</f>
        <v>5.899</v>
      </c>
      <c r="D113" s="5">
        <f>TITRES_STAT!E116</f>
        <v>5.9034353383458651</v>
      </c>
      <c r="E113" s="2">
        <f t="shared" si="4"/>
        <v>-51.834638422228856</v>
      </c>
      <c r="F113" s="5" t="str">
        <f t="shared" si="7"/>
        <v>BEARISH</v>
      </c>
      <c r="G113" s="5" t="str">
        <f t="shared" si="6"/>
        <v>STRONG</v>
      </c>
      <c r="H113" s="5" t="str">
        <f t="shared" si="5"/>
        <v>CONFIRMED BEARISH</v>
      </c>
    </row>
    <row r="114" spans="1:8" ht="13.5" x14ac:dyDescent="0.25">
      <c r="A114" s="3">
        <f>TITRES_STAT!B117</f>
        <v>45083</v>
      </c>
      <c r="B114" s="5">
        <f>TITRES_STAT!C117</f>
        <v>6.73</v>
      </c>
      <c r="C114" s="5">
        <f>TITRES_STAT!D117</f>
        <v>5.97</v>
      </c>
      <c r="D114" s="5">
        <f>TITRES_STAT!E117</f>
        <v>5.9061307578008915</v>
      </c>
      <c r="E114" s="2">
        <f t="shared" si="4"/>
        <v>-45.928507664427968</v>
      </c>
      <c r="F114" s="5" t="str">
        <f t="shared" si="7"/>
        <v>BEARISH</v>
      </c>
      <c r="G114" s="5" t="str">
        <f t="shared" si="6"/>
        <v>STRONG</v>
      </c>
      <c r="H114" s="5" t="str">
        <f t="shared" si="5"/>
        <v>CONFIRMED BEARISH</v>
      </c>
    </row>
    <row r="115" spans="1:8" ht="13.5" x14ac:dyDescent="0.25">
      <c r="A115" s="3">
        <f>TITRES_STAT!B118</f>
        <v>45084</v>
      </c>
      <c r="B115" s="5">
        <f>TITRES_STAT!C118</f>
        <v>6.72</v>
      </c>
      <c r="C115" s="5">
        <f>TITRES_STAT!D118</f>
        <v>5.9610000000000003</v>
      </c>
      <c r="D115" s="5">
        <f>TITRES_STAT!E118</f>
        <v>5.9698705357142865</v>
      </c>
      <c r="E115" s="2">
        <f t="shared" si="4"/>
        <v>-51.898378200142254</v>
      </c>
      <c r="F115" s="5" t="str">
        <f t="shared" si="7"/>
        <v>BEARISH</v>
      </c>
      <c r="G115" s="5" t="str">
        <f t="shared" si="6"/>
        <v>STRONG</v>
      </c>
      <c r="H115" s="5" t="str">
        <f t="shared" si="5"/>
        <v>BEARISH DIVERGENCE</v>
      </c>
    </row>
    <row r="116" spans="1:8" ht="13.5" x14ac:dyDescent="0.25">
      <c r="A116" s="3">
        <f>TITRES_STAT!B119</f>
        <v>45085</v>
      </c>
      <c r="B116" s="5">
        <f>TITRES_STAT!C119</f>
        <v>6.71</v>
      </c>
      <c r="C116" s="5">
        <f>TITRES_STAT!D119</f>
        <v>5.952</v>
      </c>
      <c r="D116" s="5">
        <f>TITRES_STAT!E119</f>
        <v>5.9218408345752609</v>
      </c>
      <c r="E116" s="2">
        <f t="shared" si="4"/>
        <v>-57.820219034717518</v>
      </c>
      <c r="F116" s="5" t="str">
        <f t="shared" si="7"/>
        <v>BEARISH</v>
      </c>
      <c r="G116" s="5" t="str">
        <f t="shared" si="6"/>
        <v>STRONG</v>
      </c>
      <c r="H116" s="5" t="str">
        <f t="shared" si="5"/>
        <v>BEARISH DIVERGENCE</v>
      </c>
    </row>
    <row r="117" spans="1:8" ht="13.5" x14ac:dyDescent="0.25">
      <c r="A117" s="3">
        <f>TITRES_STAT!B120</f>
        <v>45086</v>
      </c>
      <c r="B117" s="5">
        <f>TITRES_STAT!C120</f>
        <v>6.71</v>
      </c>
      <c r="C117" s="5">
        <f>TITRES_STAT!D120</f>
        <v>5.952</v>
      </c>
      <c r="D117" s="5">
        <f>TITRES_STAT!E120</f>
        <v>5.952</v>
      </c>
      <c r="E117" s="2">
        <f t="shared" si="4"/>
        <v>-57.820219034717518</v>
      </c>
      <c r="F117" s="5" t="str">
        <f t="shared" si="7"/>
        <v>BEARISH</v>
      </c>
      <c r="G117" s="5" t="str">
        <f t="shared" si="6"/>
        <v>STRONG</v>
      </c>
      <c r="H117" s="5" t="str">
        <f t="shared" si="5"/>
        <v>BEARISH DIVERGENCE</v>
      </c>
    </row>
    <row r="118" spans="1:8" ht="13.5" x14ac:dyDescent="0.25">
      <c r="A118" s="3">
        <f>TITRES_STAT!B121</f>
        <v>45089</v>
      </c>
      <c r="B118" s="5">
        <f>TITRES_STAT!C121</f>
        <v>6.69</v>
      </c>
      <c r="C118" s="5">
        <f>TITRES_STAT!D121</f>
        <v>5.9340000000000002</v>
      </c>
      <c r="D118" s="5">
        <f>TITRES_STAT!E121</f>
        <v>5.9357739910313896</v>
      </c>
      <c r="E118" s="2">
        <f t="shared" si="4"/>
        <v>-63.755993025748907</v>
      </c>
      <c r="F118" s="5" t="str">
        <f t="shared" si="7"/>
        <v>BEARISH</v>
      </c>
      <c r="G118" s="5" t="str">
        <f t="shared" si="6"/>
        <v>STRONG</v>
      </c>
      <c r="H118" s="5" t="str">
        <f t="shared" si="5"/>
        <v>BEARISH DIVERGENCE</v>
      </c>
    </row>
    <row r="119" spans="1:8" ht="13.5" x14ac:dyDescent="0.25">
      <c r="A119" s="3">
        <f>TITRES_STAT!B122</f>
        <v>45090</v>
      </c>
      <c r="B119" s="5">
        <f>TITRES_STAT!C122</f>
        <v>6.71</v>
      </c>
      <c r="C119" s="5">
        <f>TITRES_STAT!D122</f>
        <v>5.952</v>
      </c>
      <c r="D119" s="5">
        <f>TITRES_STAT!E122</f>
        <v>5.9422426229508192</v>
      </c>
      <c r="E119" s="2">
        <f t="shared" si="4"/>
        <v>-57.813750402798085</v>
      </c>
      <c r="F119" s="5" t="str">
        <f t="shared" si="7"/>
        <v>BEARISH</v>
      </c>
      <c r="G119" s="5" t="str">
        <f t="shared" si="6"/>
        <v>STRONG</v>
      </c>
      <c r="H119" s="5" t="str">
        <f t="shared" si="5"/>
        <v>CONFIRMED BEARISH</v>
      </c>
    </row>
    <row r="120" spans="1:8" ht="13.5" x14ac:dyDescent="0.25">
      <c r="A120" s="3">
        <f>TITRES_STAT!B123</f>
        <v>45091</v>
      </c>
      <c r="B120" s="5">
        <f>TITRES_STAT!C123</f>
        <v>6.72</v>
      </c>
      <c r="C120" s="5">
        <f>TITRES_STAT!D123</f>
        <v>5.9610000000000003</v>
      </c>
      <c r="D120" s="5">
        <f>TITRES_STAT!E123</f>
        <v>5.952129464285715</v>
      </c>
      <c r="E120" s="2">
        <f t="shared" si="4"/>
        <v>-51.861620938512374</v>
      </c>
      <c r="F120" s="5" t="str">
        <f t="shared" si="7"/>
        <v>BULLISH</v>
      </c>
      <c r="G120" s="5" t="str">
        <f t="shared" si="6"/>
        <v>NEUTRAL</v>
      </c>
      <c r="H120" s="5" t="str">
        <f t="shared" si="5"/>
        <v>NEUTRAL</v>
      </c>
    </row>
    <row r="121" spans="1:8" ht="13.5" x14ac:dyDescent="0.25">
      <c r="A121" s="3">
        <f>TITRES_STAT!B124</f>
        <v>45092</v>
      </c>
      <c r="B121" s="5">
        <f>TITRES_STAT!C124</f>
        <v>6.72</v>
      </c>
      <c r="C121" s="5">
        <f>TITRES_STAT!D124</f>
        <v>5.9610000000000003</v>
      </c>
      <c r="D121" s="5">
        <f>TITRES_STAT!E124</f>
        <v>5.9610000000000003</v>
      </c>
      <c r="E121" s="2">
        <f t="shared" si="4"/>
        <v>-51.861620938512374</v>
      </c>
      <c r="F121" s="5" t="str">
        <f t="shared" si="7"/>
        <v>BULLISH</v>
      </c>
      <c r="G121" s="5" t="str">
        <f t="shared" si="6"/>
        <v>WEAK</v>
      </c>
      <c r="H121" s="5" t="str">
        <f t="shared" si="5"/>
        <v>CONFIRMED BULLISH</v>
      </c>
    </row>
    <row r="122" spans="1:8" ht="13.5" x14ac:dyDescent="0.25">
      <c r="A122" s="3">
        <f>TITRES_STAT!B125</f>
        <v>45093</v>
      </c>
      <c r="B122" s="5">
        <f>TITRES_STAT!C125</f>
        <v>6.7</v>
      </c>
      <c r="C122" s="5">
        <f>TITRES_STAT!D125</f>
        <v>5.9429999999999996</v>
      </c>
      <c r="D122" s="5">
        <f>TITRES_STAT!E125</f>
        <v>5.836558208955223</v>
      </c>
      <c r="E122" s="2">
        <f t="shared" si="4"/>
        <v>-57.698179147467599</v>
      </c>
      <c r="F122" s="5" t="str">
        <f t="shared" si="7"/>
        <v>BULLISH</v>
      </c>
      <c r="G122" s="5" t="str">
        <f t="shared" si="6"/>
        <v>NEUTRAL</v>
      </c>
      <c r="H122" s="5" t="str">
        <f t="shared" si="5"/>
        <v>BULLISH DIVERGENCE</v>
      </c>
    </row>
    <row r="123" spans="1:8" ht="13.5" x14ac:dyDescent="0.25">
      <c r="A123" s="3">
        <f>TITRES_STAT!B126</f>
        <v>45096</v>
      </c>
      <c r="B123" s="5">
        <f>TITRES_STAT!C126</f>
        <v>6.7</v>
      </c>
      <c r="C123" s="5">
        <f>TITRES_STAT!D126</f>
        <v>5.9429999999999996</v>
      </c>
      <c r="D123" s="5">
        <f>TITRES_STAT!E126</f>
        <v>5.9429999999999996</v>
      </c>
      <c r="E123" s="2">
        <f t="shared" si="4"/>
        <v>-57.698179147467599</v>
      </c>
      <c r="F123" s="5" t="str">
        <f t="shared" si="7"/>
        <v>BULLISH</v>
      </c>
      <c r="G123" s="5" t="str">
        <f t="shared" si="6"/>
        <v>WEAK</v>
      </c>
      <c r="H123" s="5" t="str">
        <f t="shared" si="5"/>
        <v>CONFIRMED BULLISH</v>
      </c>
    </row>
    <row r="124" spans="1:8" ht="13.5" x14ac:dyDescent="0.25">
      <c r="A124" s="3">
        <f>TITRES_STAT!B127</f>
        <v>45097</v>
      </c>
      <c r="B124" s="5">
        <f>TITRES_STAT!C127</f>
        <v>6.68</v>
      </c>
      <c r="C124" s="5">
        <f>TITRES_STAT!D127</f>
        <v>5.9249999999999998</v>
      </c>
      <c r="D124" s="5">
        <f>TITRES_STAT!E127</f>
        <v>5.9249999999999998</v>
      </c>
      <c r="E124" s="2">
        <f t="shared" si="4"/>
        <v>-63.623179147467596</v>
      </c>
      <c r="F124" s="5" t="str">
        <f t="shared" si="7"/>
        <v>BEARISH</v>
      </c>
      <c r="G124" s="5" t="str">
        <f t="shared" si="6"/>
        <v>STRONG</v>
      </c>
      <c r="H124" s="5" t="str">
        <f t="shared" si="5"/>
        <v>CONFIRMED BEARISH</v>
      </c>
    </row>
    <row r="125" spans="1:8" ht="13.5" x14ac:dyDescent="0.25">
      <c r="A125" s="3">
        <f>TITRES_STAT!B128</f>
        <v>45098</v>
      </c>
      <c r="B125" s="5">
        <f>TITRES_STAT!C128</f>
        <v>6.69</v>
      </c>
      <c r="C125" s="5">
        <f>TITRES_STAT!D128</f>
        <v>5.9340000000000002</v>
      </c>
      <c r="D125" s="5">
        <f>TITRES_STAT!E128</f>
        <v>5.9144860986547085</v>
      </c>
      <c r="E125" s="2">
        <f t="shared" si="4"/>
        <v>-57.70869304881289</v>
      </c>
      <c r="F125" s="5" t="str">
        <f t="shared" si="7"/>
        <v>BEARISH</v>
      </c>
      <c r="G125" s="5" t="str">
        <f t="shared" si="6"/>
        <v>STRONG</v>
      </c>
      <c r="H125" s="5" t="str">
        <f t="shared" si="5"/>
        <v>CONFIRMED BEARISH</v>
      </c>
    </row>
    <row r="126" spans="1:8" ht="13.5" x14ac:dyDescent="0.25">
      <c r="A126" s="3">
        <f>TITRES_STAT!B129</f>
        <v>45099</v>
      </c>
      <c r="B126" s="5">
        <f>TITRES_STAT!C129</f>
        <v>6.7</v>
      </c>
      <c r="C126" s="5">
        <f>TITRES_STAT!D129</f>
        <v>5.9429999999999996</v>
      </c>
      <c r="D126" s="5">
        <f>TITRES_STAT!E129</f>
        <v>5.9288077611940295</v>
      </c>
      <c r="E126" s="2">
        <f t="shared" si="4"/>
        <v>-51.77988528761886</v>
      </c>
      <c r="F126" s="5" t="str">
        <f t="shared" si="7"/>
        <v>BULLISH</v>
      </c>
      <c r="G126" s="5" t="str">
        <f t="shared" si="6"/>
        <v>NEUTRAL</v>
      </c>
      <c r="H126" s="5" t="str">
        <f t="shared" si="5"/>
        <v>BULLISH DIVERGENCE</v>
      </c>
    </row>
    <row r="127" spans="1:8" ht="13.5" x14ac:dyDescent="0.25">
      <c r="A127" s="3">
        <f>TITRES_STAT!B130</f>
        <v>45100</v>
      </c>
      <c r="B127" s="5">
        <f>TITRES_STAT!C130</f>
        <v>6.69</v>
      </c>
      <c r="C127" s="5">
        <f>TITRES_STAT!D130</f>
        <v>5.9340000000000002</v>
      </c>
      <c r="D127" s="5">
        <f>TITRES_STAT!E130</f>
        <v>5.9286780269058292</v>
      </c>
      <c r="E127" s="2">
        <f t="shared" si="4"/>
        <v>-57.708563314524689</v>
      </c>
      <c r="F127" s="5" t="str">
        <f t="shared" si="7"/>
        <v>BEARISH</v>
      </c>
      <c r="G127" s="5" t="str">
        <f t="shared" si="6"/>
        <v>NEUTRAL</v>
      </c>
      <c r="H127" s="5" t="str">
        <f t="shared" si="5"/>
        <v>CONFIRMED BEARISH</v>
      </c>
    </row>
    <row r="128" spans="1:8" ht="13.5" x14ac:dyDescent="0.25">
      <c r="A128" s="3">
        <f>TITRES_STAT!B131</f>
        <v>45103</v>
      </c>
      <c r="B128" s="5">
        <f>TITRES_STAT!C131</f>
        <v>6.68</v>
      </c>
      <c r="C128" s="5">
        <f>TITRES_STAT!D131</f>
        <v>5.9249999999999998</v>
      </c>
      <c r="D128" s="5">
        <f>TITRES_STAT!E131</f>
        <v>5.9170172155688627</v>
      </c>
      <c r="E128" s="2">
        <f t="shared" si="4"/>
        <v>-63.625580530093551</v>
      </c>
      <c r="F128" s="5" t="str">
        <f t="shared" si="7"/>
        <v>BEARISH</v>
      </c>
      <c r="G128" s="5" t="str">
        <f t="shared" si="6"/>
        <v>STRONG</v>
      </c>
      <c r="H128" s="5" t="str">
        <f t="shared" si="5"/>
        <v>CONFIRMED BEARISH</v>
      </c>
    </row>
    <row r="129" spans="1:8" ht="13.5" x14ac:dyDescent="0.25">
      <c r="A129" s="3">
        <f>TITRES_STAT!B132</f>
        <v>45104</v>
      </c>
      <c r="B129" s="5">
        <f>TITRES_STAT!C132</f>
        <v>6.68</v>
      </c>
      <c r="C129" s="5">
        <f>TITRES_STAT!D132</f>
        <v>5.9249999999999998</v>
      </c>
      <c r="D129" s="5">
        <f>TITRES_STAT!E132</f>
        <v>5.9249999999999998</v>
      </c>
      <c r="E129" s="2">
        <f t="shared" si="4"/>
        <v>-63.625580530093551</v>
      </c>
      <c r="F129" s="5" t="str">
        <f t="shared" si="7"/>
        <v>BEARISH</v>
      </c>
      <c r="G129" s="5" t="str">
        <f t="shared" si="6"/>
        <v>NEUTRAL</v>
      </c>
      <c r="H129" s="5" t="str">
        <f t="shared" si="5"/>
        <v>NEUTRAL</v>
      </c>
    </row>
    <row r="130" spans="1:8" ht="13.5" x14ac:dyDescent="0.25">
      <c r="A130" s="3">
        <f>TITRES_STAT!B133</f>
        <v>45107</v>
      </c>
      <c r="B130" s="5">
        <f>TITRES_STAT!C133</f>
        <v>6.64</v>
      </c>
      <c r="C130" s="5">
        <f>TITRES_STAT!D133</f>
        <v>5.89</v>
      </c>
      <c r="D130" s="5">
        <f>TITRES_STAT!E133</f>
        <v>5.8358900602409642</v>
      </c>
      <c r="E130" s="2">
        <f t="shared" si="4"/>
        <v>-69.461470590334514</v>
      </c>
      <c r="F130" s="5" t="str">
        <f t="shared" si="7"/>
        <v>BEARISH</v>
      </c>
      <c r="G130" s="5" t="str">
        <f t="shared" si="6"/>
        <v>STRONG</v>
      </c>
      <c r="H130" s="5" t="str">
        <f t="shared" si="5"/>
        <v>CONFIRMED BEARISH</v>
      </c>
    </row>
    <row r="131" spans="1:8" ht="13.5" x14ac:dyDescent="0.25">
      <c r="A131" s="3">
        <f>TITRES_STAT!B134</f>
        <v>45110</v>
      </c>
      <c r="B131" s="5">
        <f>TITRES_STAT!C134</f>
        <v>6.64</v>
      </c>
      <c r="C131" s="5">
        <f>TITRES_STAT!D134</f>
        <v>5.89</v>
      </c>
      <c r="D131" s="5">
        <f>TITRES_STAT!E134</f>
        <v>5.89</v>
      </c>
      <c r="E131" s="2">
        <f t="shared" si="4"/>
        <v>-69.461470590334514</v>
      </c>
      <c r="F131" s="5" t="str">
        <f t="shared" si="7"/>
        <v>BEARISH</v>
      </c>
      <c r="G131" s="5" t="str">
        <f t="shared" si="6"/>
        <v>STRONG</v>
      </c>
      <c r="H131" s="5" t="str">
        <f t="shared" si="5"/>
        <v>CONFIRMED BEARISH</v>
      </c>
    </row>
    <row r="132" spans="1:8" ht="13.5" x14ac:dyDescent="0.25">
      <c r="A132" s="3">
        <f>TITRES_STAT!B135</f>
        <v>45111</v>
      </c>
      <c r="B132" s="5">
        <f>TITRES_STAT!C135</f>
        <v>6.61</v>
      </c>
      <c r="C132" s="5">
        <f>TITRES_STAT!D135</f>
        <v>5.8630000000000004</v>
      </c>
      <c r="D132" s="5">
        <f>TITRES_STAT!E135</f>
        <v>5.8718698940998486</v>
      </c>
      <c r="E132" s="2">
        <f t="shared" ref="E132:E195" si="8">IF(B132&gt;B131, E131+D132, IF(B132&lt;B131, E131-D132, E131))</f>
        <v>-75.333340484434359</v>
      </c>
      <c r="F132" s="5" t="str">
        <f t="shared" si="7"/>
        <v>BEARISH</v>
      </c>
      <c r="G132" s="5" t="str">
        <f t="shared" si="6"/>
        <v>STRONG</v>
      </c>
      <c r="H132" s="5" t="str">
        <f t="shared" si="5"/>
        <v>CONFIRMED BEARISH</v>
      </c>
    </row>
    <row r="133" spans="1:8" ht="13.5" x14ac:dyDescent="0.25">
      <c r="A133" s="3">
        <f>TITRES_STAT!B136</f>
        <v>45112</v>
      </c>
      <c r="B133" s="5">
        <f>TITRES_STAT!C136</f>
        <v>6.5</v>
      </c>
      <c r="C133" s="5">
        <f>TITRES_STAT!D136</f>
        <v>5.766</v>
      </c>
      <c r="D133" s="5">
        <f>TITRES_STAT!E136</f>
        <v>5.7864027692307687</v>
      </c>
      <c r="E133" s="2">
        <f t="shared" si="8"/>
        <v>-81.119743253665121</v>
      </c>
      <c r="F133" s="5" t="str">
        <f t="shared" si="7"/>
        <v>BEARISH</v>
      </c>
      <c r="G133" s="5" t="str">
        <f t="shared" si="6"/>
        <v>STRONG</v>
      </c>
      <c r="H133" s="5" t="str">
        <f t="shared" si="5"/>
        <v>CONFIRMED BEARISH</v>
      </c>
    </row>
    <row r="134" spans="1:8" ht="13.5" x14ac:dyDescent="0.25">
      <c r="A134" s="3">
        <f>TITRES_STAT!B137</f>
        <v>45113</v>
      </c>
      <c r="B134" s="5">
        <f>TITRES_STAT!C137</f>
        <v>6.5</v>
      </c>
      <c r="C134" s="5">
        <f>TITRES_STAT!D137</f>
        <v>5.766</v>
      </c>
      <c r="D134" s="5">
        <f>TITRES_STAT!E137</f>
        <v>5.766</v>
      </c>
      <c r="E134" s="2">
        <f t="shared" si="8"/>
        <v>-81.119743253665121</v>
      </c>
      <c r="F134" s="5" t="str">
        <f t="shared" si="7"/>
        <v>BEARISH</v>
      </c>
      <c r="G134" s="5" t="str">
        <f t="shared" si="6"/>
        <v>STRONG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45114</v>
      </c>
      <c r="B135" s="5">
        <f>TITRES_STAT!C138</f>
        <v>6.5</v>
      </c>
      <c r="C135" s="5">
        <f>TITRES_STAT!D138</f>
        <v>5.766</v>
      </c>
      <c r="D135" s="5">
        <f>TITRES_STAT!E138</f>
        <v>5.699469230769231</v>
      </c>
      <c r="E135" s="2">
        <f t="shared" si="8"/>
        <v>-81.119743253665121</v>
      </c>
      <c r="F135" s="5" t="str">
        <f t="shared" si="7"/>
        <v>BEARISH</v>
      </c>
      <c r="G135" s="5" t="str">
        <f t="shared" ref="G135:G198" si="10">IF((E135-E130)/E130 &gt; 0.02, "STRONG",
 IF((E135-E130)/E130 &lt; -0.02, "WEAK", "NEUTRAL"))</f>
        <v>STRONG</v>
      </c>
      <c r="H135" s="5" t="str">
        <f t="shared" si="9"/>
        <v>CONFIRMED BEARISH</v>
      </c>
    </row>
    <row r="136" spans="1:8" ht="13.5" x14ac:dyDescent="0.25">
      <c r="A136" s="3">
        <f>TITRES_STAT!B139</f>
        <v>45117</v>
      </c>
      <c r="B136" s="5">
        <f>TITRES_STAT!C139</f>
        <v>6.4</v>
      </c>
      <c r="C136" s="5">
        <f>TITRES_STAT!D139</f>
        <v>5.6769999999999996</v>
      </c>
      <c r="D136" s="5">
        <f>TITRES_STAT!E139</f>
        <v>5.7044979687499993</v>
      </c>
      <c r="E136" s="2">
        <f t="shared" si="8"/>
        <v>-86.824241222415125</v>
      </c>
      <c r="F136" s="5" t="str">
        <f t="shared" ref="F136:F199" si="11">IF(E136&gt;E131,"BULLISH",IF(E136&lt;E131,"BEARISH","NEUTRAL"))</f>
        <v>BEARISH</v>
      </c>
      <c r="G136" s="5" t="str">
        <f t="shared" si="10"/>
        <v>STRONG</v>
      </c>
      <c r="H136" s="5" t="str">
        <f t="shared" si="9"/>
        <v>CONFIRMED BEARISH</v>
      </c>
    </row>
    <row r="137" spans="1:8" ht="13.5" x14ac:dyDescent="0.25">
      <c r="A137" s="3">
        <f>TITRES_STAT!B140</f>
        <v>45118</v>
      </c>
      <c r="B137" s="5">
        <f>TITRES_STAT!C140</f>
        <v>6.4</v>
      </c>
      <c r="C137" s="5">
        <f>TITRES_STAT!D140</f>
        <v>5.6769999999999996</v>
      </c>
      <c r="D137" s="5">
        <f>TITRES_STAT!E140</f>
        <v>5.6769999999999996</v>
      </c>
      <c r="E137" s="2">
        <f t="shared" si="8"/>
        <v>-86.824241222415125</v>
      </c>
      <c r="F137" s="5" t="str">
        <f t="shared" si="11"/>
        <v>BEARISH</v>
      </c>
      <c r="G137" s="5" t="str">
        <f t="shared" si="10"/>
        <v>STRONG</v>
      </c>
      <c r="H137" s="5" t="str">
        <f t="shared" si="9"/>
        <v>CONFIRMED BEARISH</v>
      </c>
    </row>
    <row r="138" spans="1:8" ht="13.5" x14ac:dyDescent="0.25">
      <c r="A138" s="3">
        <f>TITRES_STAT!B141</f>
        <v>45119</v>
      </c>
      <c r="B138" s="5">
        <f>TITRES_STAT!C141</f>
        <v>6.4</v>
      </c>
      <c r="C138" s="5">
        <f>TITRES_STAT!D141</f>
        <v>5.6769999999999996</v>
      </c>
      <c r="D138" s="5">
        <f>TITRES_STAT!E141</f>
        <v>5.67611296875</v>
      </c>
      <c r="E138" s="2">
        <f t="shared" si="8"/>
        <v>-86.824241222415125</v>
      </c>
      <c r="F138" s="5" t="str">
        <f t="shared" si="11"/>
        <v>BEARISH</v>
      </c>
      <c r="G138" s="5" t="str">
        <f t="shared" si="10"/>
        <v>STRONG</v>
      </c>
      <c r="H138" s="5" t="str">
        <f t="shared" si="9"/>
        <v>CONFIRMED BEARISH</v>
      </c>
    </row>
    <row r="139" spans="1:8" ht="13.5" x14ac:dyDescent="0.25">
      <c r="A139" s="3">
        <f>TITRES_STAT!B142</f>
        <v>45120</v>
      </c>
      <c r="B139" s="5">
        <f>TITRES_STAT!C142</f>
        <v>6.4</v>
      </c>
      <c r="C139" s="5">
        <f>TITRES_STAT!D142</f>
        <v>5.6769999999999996</v>
      </c>
      <c r="D139" s="5">
        <f>TITRES_STAT!E142</f>
        <v>5.67611296875</v>
      </c>
      <c r="E139" s="2">
        <f t="shared" si="8"/>
        <v>-86.824241222415125</v>
      </c>
      <c r="F139" s="5" t="str">
        <f t="shared" si="11"/>
        <v>BEARISH</v>
      </c>
      <c r="G139" s="5" t="str">
        <f t="shared" si="10"/>
        <v>STRONG</v>
      </c>
      <c r="H139" s="5" t="str">
        <f t="shared" si="9"/>
        <v>CONFIRMED BEARISH</v>
      </c>
    </row>
    <row r="140" spans="1:8" ht="13.5" x14ac:dyDescent="0.25">
      <c r="A140" s="3">
        <f>TITRES_STAT!B143</f>
        <v>45121</v>
      </c>
      <c r="B140" s="5">
        <f>TITRES_STAT!C143</f>
        <v>6.4</v>
      </c>
      <c r="C140" s="5">
        <f>TITRES_STAT!D143</f>
        <v>5.6769999999999996</v>
      </c>
      <c r="D140" s="5">
        <f>TITRES_STAT!E143</f>
        <v>5.67611296875</v>
      </c>
      <c r="E140" s="2">
        <f t="shared" si="8"/>
        <v>-86.824241222415125</v>
      </c>
      <c r="F140" s="5" t="str">
        <f t="shared" si="11"/>
        <v>BEARISH</v>
      </c>
      <c r="G140" s="5" t="str">
        <f t="shared" si="10"/>
        <v>STRONG</v>
      </c>
      <c r="H140" s="5" t="str">
        <f t="shared" si="9"/>
        <v>CONFIRMED BEARISH</v>
      </c>
    </row>
    <row r="141" spans="1:8" ht="13.5" x14ac:dyDescent="0.25">
      <c r="A141" s="3">
        <f>TITRES_STAT!B144</f>
        <v>45124</v>
      </c>
      <c r="B141" s="5">
        <f>TITRES_STAT!C144</f>
        <v>6.4</v>
      </c>
      <c r="C141" s="5">
        <f>TITRES_STAT!D144</f>
        <v>5.6769999999999996</v>
      </c>
      <c r="D141" s="5">
        <f>TITRES_STAT!E144</f>
        <v>5.6663556249999996</v>
      </c>
      <c r="E141" s="2">
        <f t="shared" si="8"/>
        <v>-86.824241222415125</v>
      </c>
      <c r="F141" s="5" t="str">
        <f t="shared" si="11"/>
        <v>NEUTRAL</v>
      </c>
      <c r="G141" s="5" t="str">
        <f t="shared" si="10"/>
        <v>NEUTRAL</v>
      </c>
      <c r="H141" s="5" t="str">
        <f t="shared" si="9"/>
        <v>NEUTRAL</v>
      </c>
    </row>
    <row r="142" spans="1:8" ht="13.5" x14ac:dyDescent="0.25">
      <c r="A142" s="3">
        <f>TITRES_STAT!B145</f>
        <v>45125</v>
      </c>
      <c r="B142" s="5">
        <f>TITRES_STAT!C145</f>
        <v>6.45</v>
      </c>
      <c r="C142" s="5">
        <f>TITRES_STAT!D145</f>
        <v>5.7210000000000001</v>
      </c>
      <c r="D142" s="5">
        <f>TITRES_STAT!E145</f>
        <v>5.6775381395348834</v>
      </c>
      <c r="E142" s="2">
        <f t="shared" si="8"/>
        <v>-81.146703082880236</v>
      </c>
      <c r="F142" s="5" t="str">
        <f t="shared" si="11"/>
        <v>BULLISH</v>
      </c>
      <c r="G142" s="5" t="str">
        <f t="shared" si="10"/>
        <v>WEAK</v>
      </c>
      <c r="H142" s="5" t="str">
        <f t="shared" si="9"/>
        <v>CONFIRMED BULLISH</v>
      </c>
    </row>
    <row r="143" spans="1:8" ht="13.5" x14ac:dyDescent="0.25">
      <c r="A143" s="3">
        <f>TITRES_STAT!B146</f>
        <v>45127</v>
      </c>
      <c r="B143" s="5">
        <f>TITRES_STAT!C146</f>
        <v>6.45</v>
      </c>
      <c r="C143" s="5">
        <f>TITRES_STAT!D146</f>
        <v>5.7210000000000001</v>
      </c>
      <c r="D143" s="5">
        <f>TITRES_STAT!E146</f>
        <v>5.6899558139534889</v>
      </c>
      <c r="E143" s="2">
        <f t="shared" si="8"/>
        <v>-81.146703082880236</v>
      </c>
      <c r="F143" s="5" t="str">
        <f t="shared" si="11"/>
        <v>BULLISH</v>
      </c>
      <c r="G143" s="5" t="str">
        <f t="shared" si="10"/>
        <v>WEAK</v>
      </c>
      <c r="H143" s="5" t="str">
        <f t="shared" si="9"/>
        <v>CONFIRMED BULLISH</v>
      </c>
    </row>
    <row r="144" spans="1:8" ht="13.5" x14ac:dyDescent="0.25">
      <c r="A144" s="3">
        <f>TITRES_STAT!B147</f>
        <v>45128</v>
      </c>
      <c r="B144" s="5">
        <f>TITRES_STAT!C147</f>
        <v>6.45</v>
      </c>
      <c r="C144" s="5">
        <f>TITRES_STAT!D147</f>
        <v>5.7210000000000001</v>
      </c>
      <c r="D144" s="5">
        <f>TITRES_STAT!E147</f>
        <v>5.7218869767441856</v>
      </c>
      <c r="E144" s="2">
        <f t="shared" si="8"/>
        <v>-81.146703082880236</v>
      </c>
      <c r="F144" s="5" t="str">
        <f t="shared" si="11"/>
        <v>BULLISH</v>
      </c>
      <c r="G144" s="5" t="str">
        <f t="shared" si="10"/>
        <v>WEAK</v>
      </c>
      <c r="H144" s="5" t="str">
        <f t="shared" si="9"/>
        <v>CONFIRMED BULLISH</v>
      </c>
    </row>
    <row r="145" spans="1:8" ht="13.5" x14ac:dyDescent="0.25">
      <c r="A145" s="3">
        <f>TITRES_STAT!B148</f>
        <v>45131</v>
      </c>
      <c r="B145" s="5">
        <f>TITRES_STAT!C148</f>
        <v>6.5</v>
      </c>
      <c r="C145" s="5">
        <f>TITRES_STAT!D148</f>
        <v>5.766</v>
      </c>
      <c r="D145" s="5">
        <f>TITRES_STAT!E148</f>
        <v>5.7225332307692307</v>
      </c>
      <c r="E145" s="2">
        <f t="shared" si="8"/>
        <v>-75.424169852111007</v>
      </c>
      <c r="F145" s="5" t="str">
        <f t="shared" si="11"/>
        <v>BULLISH</v>
      </c>
      <c r="G145" s="5" t="str">
        <f t="shared" si="10"/>
        <v>WEAK</v>
      </c>
      <c r="H145" s="5" t="str">
        <f t="shared" si="9"/>
        <v>CONFIRMED BULLISH</v>
      </c>
    </row>
    <row r="146" spans="1:8" ht="13.5" x14ac:dyDescent="0.25">
      <c r="A146" s="3">
        <f>TITRES_STAT!B149</f>
        <v>45133</v>
      </c>
      <c r="B146" s="5">
        <f>TITRES_STAT!C149</f>
        <v>6.5</v>
      </c>
      <c r="C146" s="5">
        <f>TITRES_STAT!D149</f>
        <v>5.766</v>
      </c>
      <c r="D146" s="5">
        <f>TITRES_STAT!E149</f>
        <v>5.7322910769230768</v>
      </c>
      <c r="E146" s="2">
        <f t="shared" si="8"/>
        <v>-75.424169852111007</v>
      </c>
      <c r="F146" s="5" t="str">
        <f t="shared" si="11"/>
        <v>BULLISH</v>
      </c>
      <c r="G146" s="5" t="str">
        <f t="shared" si="10"/>
        <v>WEAK</v>
      </c>
      <c r="H146" s="5" t="str">
        <f t="shared" si="9"/>
        <v>CONFIRMED BULLISH</v>
      </c>
    </row>
    <row r="147" spans="1:8" ht="13.5" x14ac:dyDescent="0.25">
      <c r="A147" s="3">
        <f>TITRES_STAT!B150</f>
        <v>45134</v>
      </c>
      <c r="B147" s="5">
        <f>TITRES_STAT!C150</f>
        <v>6.5</v>
      </c>
      <c r="C147" s="5">
        <f>TITRES_STAT!D150</f>
        <v>5.766</v>
      </c>
      <c r="D147" s="5">
        <f>TITRES_STAT!E150</f>
        <v>5.7225332307692307</v>
      </c>
      <c r="E147" s="2">
        <f t="shared" si="8"/>
        <v>-75.424169852111007</v>
      </c>
      <c r="F147" s="5" t="str">
        <f t="shared" si="11"/>
        <v>BULLISH</v>
      </c>
      <c r="G147" s="5" t="str">
        <f t="shared" si="10"/>
        <v>WEAK</v>
      </c>
      <c r="H147" s="5" t="str">
        <f t="shared" si="9"/>
        <v>CONFIRMED BULLISH</v>
      </c>
    </row>
    <row r="148" spans="1:8" ht="13.5" x14ac:dyDescent="0.25">
      <c r="A148" s="3">
        <f>TITRES_STAT!B151</f>
        <v>45135</v>
      </c>
      <c r="B148" s="5">
        <f>TITRES_STAT!C151</f>
        <v>6.5</v>
      </c>
      <c r="C148" s="5">
        <f>TITRES_STAT!D151</f>
        <v>5.766</v>
      </c>
      <c r="D148" s="5">
        <f>TITRES_STAT!E151</f>
        <v>5.723420307692308</v>
      </c>
      <c r="E148" s="2">
        <f t="shared" si="8"/>
        <v>-75.424169852111007</v>
      </c>
      <c r="F148" s="5" t="str">
        <f t="shared" si="11"/>
        <v>BULLISH</v>
      </c>
      <c r="G148" s="5" t="str">
        <f t="shared" si="10"/>
        <v>WEAK</v>
      </c>
      <c r="H148" s="5" t="str">
        <f t="shared" si="9"/>
        <v>CONFIRMED BULLISH</v>
      </c>
    </row>
    <row r="149" spans="1:8" ht="13.5" x14ac:dyDescent="0.25">
      <c r="A149" s="3">
        <f>TITRES_STAT!B152</f>
        <v>45138</v>
      </c>
      <c r="B149" s="5">
        <f>TITRES_STAT!C152</f>
        <v>6.5</v>
      </c>
      <c r="C149" s="5">
        <f>TITRES_STAT!D152</f>
        <v>5.766</v>
      </c>
      <c r="D149" s="5">
        <f>TITRES_STAT!E152</f>
        <v>5.692372615384615</v>
      </c>
      <c r="E149" s="2">
        <f t="shared" si="8"/>
        <v>-75.424169852111007</v>
      </c>
      <c r="F149" s="5" t="str">
        <f t="shared" si="11"/>
        <v>BULLISH</v>
      </c>
      <c r="G149" s="5" t="str">
        <f t="shared" si="10"/>
        <v>WEAK</v>
      </c>
      <c r="H149" s="5" t="str">
        <f t="shared" si="9"/>
        <v>CONFIRMED BULLISH</v>
      </c>
    </row>
    <row r="150" spans="1:8" ht="13.5" x14ac:dyDescent="0.25">
      <c r="A150" s="3">
        <f>TITRES_STAT!B153</f>
        <v>45139</v>
      </c>
      <c r="B150" s="5">
        <f>TITRES_STAT!C153</f>
        <v>6.5</v>
      </c>
      <c r="C150" s="5">
        <f>TITRES_STAT!D153</f>
        <v>5.766</v>
      </c>
      <c r="D150" s="5">
        <f>TITRES_STAT!E153</f>
        <v>5.766</v>
      </c>
      <c r="E150" s="2">
        <f t="shared" si="8"/>
        <v>-75.424169852111007</v>
      </c>
      <c r="F150" s="5" t="str">
        <f t="shared" si="11"/>
        <v>NEUTRAL</v>
      </c>
      <c r="G150" s="5" t="str">
        <f t="shared" si="10"/>
        <v>NEUTRAL</v>
      </c>
      <c r="H150" s="5" t="str">
        <f t="shared" si="9"/>
        <v>NEUTRAL</v>
      </c>
    </row>
    <row r="151" spans="1:8" ht="13.5" x14ac:dyDescent="0.25">
      <c r="A151" s="3">
        <f>TITRES_STAT!B154</f>
        <v>45140</v>
      </c>
      <c r="B151" s="5">
        <f>TITRES_STAT!C154</f>
        <v>6.5</v>
      </c>
      <c r="C151" s="5">
        <f>TITRES_STAT!D154</f>
        <v>5.766</v>
      </c>
      <c r="D151" s="5">
        <f>TITRES_STAT!E154</f>
        <v>5.766</v>
      </c>
      <c r="E151" s="2">
        <f t="shared" si="8"/>
        <v>-75.424169852111007</v>
      </c>
      <c r="F151" s="5" t="str">
        <f t="shared" si="11"/>
        <v>NEUTRAL</v>
      </c>
      <c r="G151" s="5" t="str">
        <f t="shared" si="10"/>
        <v>NEUTRAL</v>
      </c>
      <c r="H151" s="5" t="str">
        <f t="shared" si="9"/>
        <v>NEUTRAL</v>
      </c>
    </row>
    <row r="152" spans="1:8" ht="13.5" x14ac:dyDescent="0.25">
      <c r="A152" s="3">
        <f>TITRES_STAT!B155</f>
        <v>45141</v>
      </c>
      <c r="B152" s="5">
        <f>TITRES_STAT!C155</f>
        <v>6.45</v>
      </c>
      <c r="C152" s="5">
        <f>TITRES_STAT!D155</f>
        <v>5.7210000000000001</v>
      </c>
      <c r="D152" s="5">
        <f>TITRES_STAT!E155</f>
        <v>5.7245479069767438</v>
      </c>
      <c r="E152" s="2">
        <f t="shared" si="8"/>
        <v>-81.148717759087745</v>
      </c>
      <c r="F152" s="5" t="str">
        <f t="shared" si="11"/>
        <v>BEARISH</v>
      </c>
      <c r="G152" s="5" t="str">
        <f t="shared" si="10"/>
        <v>STRONG</v>
      </c>
      <c r="H152" s="5" t="str">
        <f t="shared" si="9"/>
        <v>CONFIRMED BEARISH</v>
      </c>
    </row>
    <row r="153" spans="1:8" ht="13.5" x14ac:dyDescent="0.25">
      <c r="A153" s="3">
        <f>TITRES_STAT!B156</f>
        <v>45142</v>
      </c>
      <c r="B153" s="5">
        <f>TITRES_STAT!C156</f>
        <v>6.45</v>
      </c>
      <c r="C153" s="5">
        <f>TITRES_STAT!D156</f>
        <v>5.7210000000000001</v>
      </c>
      <c r="D153" s="5">
        <f>TITRES_STAT!E156</f>
        <v>5.7210000000000001</v>
      </c>
      <c r="E153" s="2">
        <f t="shared" si="8"/>
        <v>-81.148717759087745</v>
      </c>
      <c r="F153" s="5" t="str">
        <f t="shared" si="11"/>
        <v>BEARISH</v>
      </c>
      <c r="G153" s="5" t="str">
        <f t="shared" si="10"/>
        <v>STRONG</v>
      </c>
      <c r="H153" s="5" t="str">
        <f t="shared" si="9"/>
        <v>CONFIRMED BEARISH</v>
      </c>
    </row>
    <row r="154" spans="1:8" ht="13.5" x14ac:dyDescent="0.25">
      <c r="A154" s="3">
        <f>TITRES_STAT!B157</f>
        <v>45145</v>
      </c>
      <c r="B154" s="5">
        <f>TITRES_STAT!C157</f>
        <v>6.45</v>
      </c>
      <c r="C154" s="5">
        <f>TITRES_STAT!D157</f>
        <v>5.7210000000000001</v>
      </c>
      <c r="D154" s="5">
        <f>TITRES_STAT!E157</f>
        <v>5.7210000000000001</v>
      </c>
      <c r="E154" s="2">
        <f t="shared" si="8"/>
        <v>-81.148717759087745</v>
      </c>
      <c r="F154" s="5" t="str">
        <f t="shared" si="11"/>
        <v>BEARISH</v>
      </c>
      <c r="G154" s="5" t="str">
        <f t="shared" si="10"/>
        <v>STRONG</v>
      </c>
      <c r="H154" s="5" t="str">
        <f t="shared" si="9"/>
        <v>CONFIRMED BEARISH</v>
      </c>
    </row>
    <row r="155" spans="1:8" ht="13.5" x14ac:dyDescent="0.25">
      <c r="A155" s="3">
        <f>TITRES_STAT!B158</f>
        <v>45146</v>
      </c>
      <c r="B155" s="5">
        <f>TITRES_STAT!C158</f>
        <v>6.5</v>
      </c>
      <c r="C155" s="5">
        <f>TITRES_STAT!D158</f>
        <v>5.766</v>
      </c>
      <c r="D155" s="5">
        <f>TITRES_STAT!E158</f>
        <v>5.766</v>
      </c>
      <c r="E155" s="2">
        <f t="shared" si="8"/>
        <v>-75.38271775908774</v>
      </c>
      <c r="F155" s="5" t="str">
        <f t="shared" si="11"/>
        <v>BULLISH</v>
      </c>
      <c r="G155" s="5" t="str">
        <f t="shared" si="10"/>
        <v>NEUTRAL</v>
      </c>
      <c r="H155" s="5" t="str">
        <f t="shared" si="9"/>
        <v>NEUTRAL</v>
      </c>
    </row>
    <row r="156" spans="1:8" ht="13.5" x14ac:dyDescent="0.25">
      <c r="A156" s="3">
        <f>TITRES_STAT!B159</f>
        <v>45147</v>
      </c>
      <c r="B156" s="5">
        <f>TITRES_STAT!C159</f>
        <v>6.5</v>
      </c>
      <c r="C156" s="5">
        <f>TITRES_STAT!D159</f>
        <v>5.766</v>
      </c>
      <c r="D156" s="5">
        <f>TITRES_STAT!E159</f>
        <v>5.7314040000000004</v>
      </c>
      <c r="E156" s="2">
        <f t="shared" si="8"/>
        <v>-75.38271775908774</v>
      </c>
      <c r="F156" s="5" t="str">
        <f t="shared" si="11"/>
        <v>BULLISH</v>
      </c>
      <c r="G156" s="5" t="str">
        <f t="shared" si="10"/>
        <v>NEUTRAL</v>
      </c>
      <c r="H156" s="5" t="str">
        <f t="shared" si="9"/>
        <v>NEUTRAL</v>
      </c>
    </row>
    <row r="157" spans="1:8" ht="13.5" x14ac:dyDescent="0.25">
      <c r="A157" s="3">
        <f>TITRES_STAT!B160</f>
        <v>45148</v>
      </c>
      <c r="B157" s="5">
        <f>TITRES_STAT!C160</f>
        <v>6.5</v>
      </c>
      <c r="C157" s="5">
        <f>TITRES_STAT!D160</f>
        <v>5.766</v>
      </c>
      <c r="D157" s="5">
        <f>TITRES_STAT!E160</f>
        <v>5.766</v>
      </c>
      <c r="E157" s="2">
        <f t="shared" si="8"/>
        <v>-75.38271775908774</v>
      </c>
      <c r="F157" s="5" t="str">
        <f t="shared" si="11"/>
        <v>BULLISH</v>
      </c>
      <c r="G157" s="5" t="str">
        <f t="shared" si="10"/>
        <v>WEAK</v>
      </c>
      <c r="H157" s="5" t="str">
        <f t="shared" si="9"/>
        <v>CONFIRMED BULLISH</v>
      </c>
    </row>
    <row r="158" spans="1:8" ht="13.5" x14ac:dyDescent="0.25">
      <c r="A158" s="3">
        <f>TITRES_STAT!B161</f>
        <v>45149</v>
      </c>
      <c r="B158" s="5">
        <f>TITRES_STAT!C161</f>
        <v>6.5</v>
      </c>
      <c r="C158" s="5">
        <f>TITRES_STAT!D161</f>
        <v>5.766</v>
      </c>
      <c r="D158" s="5">
        <f>TITRES_STAT!E161</f>
        <v>5.766</v>
      </c>
      <c r="E158" s="2">
        <f t="shared" si="8"/>
        <v>-75.38271775908774</v>
      </c>
      <c r="F158" s="5" t="str">
        <f t="shared" si="11"/>
        <v>BULLISH</v>
      </c>
      <c r="G158" s="5" t="str">
        <f t="shared" si="10"/>
        <v>WEAK</v>
      </c>
      <c r="H158" s="5" t="str">
        <f t="shared" si="9"/>
        <v>CONFIRMED BULLISH</v>
      </c>
    </row>
    <row r="159" spans="1:8" ht="13.5" x14ac:dyDescent="0.25">
      <c r="A159" s="3">
        <f>TITRES_STAT!B162</f>
        <v>45152</v>
      </c>
      <c r="B159" s="5">
        <f>TITRES_STAT!C162</f>
        <v>6.5</v>
      </c>
      <c r="C159" s="5">
        <f>TITRES_STAT!D162</f>
        <v>5.766</v>
      </c>
      <c r="D159" s="5">
        <f>TITRES_STAT!E162</f>
        <v>5.766</v>
      </c>
      <c r="E159" s="2">
        <f t="shared" si="8"/>
        <v>-75.38271775908774</v>
      </c>
      <c r="F159" s="5" t="str">
        <f t="shared" si="11"/>
        <v>BULLISH</v>
      </c>
      <c r="G159" s="5" t="str">
        <f t="shared" si="10"/>
        <v>WEAK</v>
      </c>
      <c r="H159" s="5" t="str">
        <f t="shared" si="9"/>
        <v>CONFIRMED BULLISH</v>
      </c>
    </row>
    <row r="160" spans="1:8" ht="13.5" x14ac:dyDescent="0.25">
      <c r="A160" s="3">
        <f>TITRES_STAT!B163</f>
        <v>45153</v>
      </c>
      <c r="B160" s="5">
        <f>TITRES_STAT!C163</f>
        <v>6.5</v>
      </c>
      <c r="C160" s="5">
        <f>TITRES_STAT!D163</f>
        <v>5.766</v>
      </c>
      <c r="D160" s="5">
        <f>TITRES_STAT!E163</f>
        <v>5.766</v>
      </c>
      <c r="E160" s="2">
        <f t="shared" si="8"/>
        <v>-75.38271775908774</v>
      </c>
      <c r="F160" s="5" t="str">
        <f t="shared" si="11"/>
        <v>NEUTRAL</v>
      </c>
      <c r="G160" s="5" t="str">
        <f t="shared" si="10"/>
        <v>NEUTRAL</v>
      </c>
      <c r="H160" s="5" t="str">
        <f t="shared" si="9"/>
        <v>NEUTRAL</v>
      </c>
    </row>
    <row r="161" spans="1:8" ht="13.5" x14ac:dyDescent="0.25">
      <c r="A161" s="3">
        <f>TITRES_STAT!B164</f>
        <v>45154</v>
      </c>
      <c r="B161" s="5">
        <f>TITRES_STAT!C164</f>
        <v>6.5</v>
      </c>
      <c r="C161" s="5">
        <f>TITRES_STAT!D164</f>
        <v>5.766</v>
      </c>
      <c r="D161" s="5">
        <f>TITRES_STAT!E164</f>
        <v>5.7615646153846152</v>
      </c>
      <c r="E161" s="2">
        <f t="shared" si="8"/>
        <v>-75.38271775908774</v>
      </c>
      <c r="F161" s="5" t="str">
        <f t="shared" si="11"/>
        <v>NEUTRAL</v>
      </c>
      <c r="G161" s="5" t="str">
        <f t="shared" si="10"/>
        <v>NEUTRAL</v>
      </c>
      <c r="H161" s="5" t="str">
        <f t="shared" si="9"/>
        <v>NEUTRAL</v>
      </c>
    </row>
    <row r="162" spans="1:8" ht="13.5" x14ac:dyDescent="0.25">
      <c r="A162" s="3">
        <f>TITRES_STAT!B165</f>
        <v>45155</v>
      </c>
      <c r="B162" s="5">
        <f>TITRES_STAT!C165</f>
        <v>6.49</v>
      </c>
      <c r="C162" s="5">
        <f>TITRES_STAT!D165</f>
        <v>5.7569999999999997</v>
      </c>
      <c r="D162" s="5">
        <f>TITRES_STAT!E165</f>
        <v>5.7357106317411395</v>
      </c>
      <c r="E162" s="2">
        <f t="shared" si="8"/>
        <v>-81.118428390828882</v>
      </c>
      <c r="F162" s="5" t="str">
        <f t="shared" si="11"/>
        <v>BEARISH</v>
      </c>
      <c r="G162" s="5" t="str">
        <f t="shared" si="10"/>
        <v>STRONG</v>
      </c>
      <c r="H162" s="5" t="str">
        <f t="shared" si="9"/>
        <v>CONFIRMED BEARISH</v>
      </c>
    </row>
    <row r="163" spans="1:8" ht="13.5" x14ac:dyDescent="0.25">
      <c r="A163" s="3">
        <f>TITRES_STAT!B166</f>
        <v>45156</v>
      </c>
      <c r="B163" s="5">
        <f>TITRES_STAT!C166</f>
        <v>6.5</v>
      </c>
      <c r="C163" s="5">
        <f>TITRES_STAT!D166</f>
        <v>5.766</v>
      </c>
      <c r="D163" s="5">
        <f>TITRES_STAT!E166</f>
        <v>5.6604378461538465</v>
      </c>
      <c r="E163" s="2">
        <f t="shared" si="8"/>
        <v>-75.457990544675042</v>
      </c>
      <c r="F163" s="5" t="str">
        <f t="shared" si="11"/>
        <v>BEARISH</v>
      </c>
      <c r="G163" s="5" t="str">
        <f t="shared" si="10"/>
        <v>NEUTRAL</v>
      </c>
      <c r="H163" s="5" t="str">
        <f t="shared" si="9"/>
        <v>NEUTRAL</v>
      </c>
    </row>
    <row r="164" spans="1:8" ht="13.5" x14ac:dyDescent="0.25">
      <c r="A164" s="3">
        <f>TITRES_STAT!B167</f>
        <v>45159</v>
      </c>
      <c r="B164" s="5">
        <f>TITRES_STAT!C167</f>
        <v>6.5</v>
      </c>
      <c r="C164" s="5">
        <f>TITRES_STAT!D167</f>
        <v>5.766</v>
      </c>
      <c r="D164" s="5">
        <f>TITRES_STAT!E167</f>
        <v>5.766</v>
      </c>
      <c r="E164" s="2">
        <f t="shared" si="8"/>
        <v>-75.457990544675042</v>
      </c>
      <c r="F164" s="5" t="str">
        <f t="shared" si="11"/>
        <v>BEARISH</v>
      </c>
      <c r="G164" s="5" t="str">
        <f t="shared" si="10"/>
        <v>NEUTRAL</v>
      </c>
      <c r="H164" s="5" t="str">
        <f t="shared" si="9"/>
        <v>NEUTRAL</v>
      </c>
    </row>
    <row r="165" spans="1:8" ht="13.5" x14ac:dyDescent="0.25">
      <c r="A165" s="3">
        <f>TITRES_STAT!B168</f>
        <v>45160</v>
      </c>
      <c r="B165" s="5">
        <f>TITRES_STAT!C168</f>
        <v>6.5</v>
      </c>
      <c r="C165" s="5">
        <f>TITRES_STAT!D168</f>
        <v>5.766</v>
      </c>
      <c r="D165" s="5">
        <f>TITRES_STAT!E168</f>
        <v>5.766</v>
      </c>
      <c r="E165" s="2">
        <f t="shared" si="8"/>
        <v>-75.457990544675042</v>
      </c>
      <c r="F165" s="5" t="str">
        <f t="shared" si="11"/>
        <v>BEARISH</v>
      </c>
      <c r="G165" s="5" t="str">
        <f t="shared" si="10"/>
        <v>NEUTRAL</v>
      </c>
      <c r="H165" s="5" t="str">
        <f t="shared" si="9"/>
        <v>NEUTRAL</v>
      </c>
    </row>
    <row r="166" spans="1:8" ht="13.5" x14ac:dyDescent="0.25">
      <c r="A166" s="3">
        <f>TITRES_STAT!B169</f>
        <v>45161</v>
      </c>
      <c r="B166" s="5">
        <f>TITRES_STAT!C169</f>
        <v>6.54</v>
      </c>
      <c r="C166" s="5">
        <f>TITRES_STAT!D169</f>
        <v>5.8010000000000002</v>
      </c>
      <c r="D166" s="5">
        <f>TITRES_STAT!E169</f>
        <v>5.7664068807339453</v>
      </c>
      <c r="E166" s="2">
        <f t="shared" si="8"/>
        <v>-69.691583663941103</v>
      </c>
      <c r="F166" s="5" t="str">
        <f t="shared" si="11"/>
        <v>BULLISH</v>
      </c>
      <c r="G166" s="5" t="str">
        <f t="shared" si="10"/>
        <v>WEAK</v>
      </c>
      <c r="H166" s="5" t="str">
        <f t="shared" si="9"/>
        <v>CONFIRMED BULLISH</v>
      </c>
    </row>
    <row r="167" spans="1:8" ht="13.5" x14ac:dyDescent="0.25">
      <c r="A167" s="3">
        <f>TITRES_STAT!B170</f>
        <v>45162</v>
      </c>
      <c r="B167" s="5">
        <f>TITRES_STAT!C170</f>
        <v>6.54</v>
      </c>
      <c r="C167" s="5">
        <f>TITRES_STAT!D170</f>
        <v>5.8010000000000002</v>
      </c>
      <c r="D167" s="5">
        <f>TITRES_STAT!E170</f>
        <v>5.7664068807339453</v>
      </c>
      <c r="E167" s="2">
        <f t="shared" si="8"/>
        <v>-69.691583663941103</v>
      </c>
      <c r="F167" s="5" t="str">
        <f t="shared" si="11"/>
        <v>BULLISH</v>
      </c>
      <c r="G167" s="5" t="str">
        <f t="shared" si="10"/>
        <v>WEAK</v>
      </c>
      <c r="H167" s="5" t="str">
        <f t="shared" si="9"/>
        <v>CONFIRMED BULLISH</v>
      </c>
    </row>
    <row r="168" spans="1:8" ht="13.5" x14ac:dyDescent="0.25">
      <c r="A168" s="3">
        <f>TITRES_STAT!B171</f>
        <v>45163</v>
      </c>
      <c r="B168" s="5">
        <f>TITRES_STAT!C171</f>
        <v>6.54</v>
      </c>
      <c r="C168" s="5">
        <f>TITRES_STAT!D171</f>
        <v>5.8010000000000002</v>
      </c>
      <c r="D168" s="5">
        <f>TITRES_STAT!E171</f>
        <v>5.773502905198777</v>
      </c>
      <c r="E168" s="2">
        <f t="shared" si="8"/>
        <v>-69.691583663941103</v>
      </c>
      <c r="F168" s="5" t="str">
        <f t="shared" si="11"/>
        <v>BULLISH</v>
      </c>
      <c r="G168" s="5" t="str">
        <f t="shared" si="10"/>
        <v>WEAK</v>
      </c>
      <c r="H168" s="5" t="str">
        <f t="shared" si="9"/>
        <v>CONFIRMED BULLISH</v>
      </c>
    </row>
    <row r="169" spans="1:8" ht="13.5" x14ac:dyDescent="0.25">
      <c r="A169" s="3">
        <f>TITRES_STAT!B172</f>
        <v>45166</v>
      </c>
      <c r="B169" s="5">
        <f>TITRES_STAT!C172</f>
        <v>6.54</v>
      </c>
      <c r="C169" s="5">
        <f>TITRES_STAT!D172</f>
        <v>5.8010000000000002</v>
      </c>
      <c r="D169" s="5">
        <f>TITRES_STAT!E172</f>
        <v>5.7672938837920489</v>
      </c>
      <c r="E169" s="2">
        <f t="shared" si="8"/>
        <v>-69.691583663941103</v>
      </c>
      <c r="F169" s="5" t="str">
        <f t="shared" si="11"/>
        <v>BULLISH</v>
      </c>
      <c r="G169" s="5" t="str">
        <f t="shared" si="10"/>
        <v>WEAK</v>
      </c>
      <c r="H169" s="5" t="str">
        <f t="shared" si="9"/>
        <v>CONFIRMED BULLISH</v>
      </c>
    </row>
    <row r="170" spans="1:8" ht="13.5" x14ac:dyDescent="0.25">
      <c r="A170" s="3">
        <f>TITRES_STAT!B173</f>
        <v>45167</v>
      </c>
      <c r="B170" s="5">
        <f>TITRES_STAT!C173</f>
        <v>6.52</v>
      </c>
      <c r="C170" s="5">
        <f>TITRES_STAT!D173</f>
        <v>5.7830000000000004</v>
      </c>
      <c r="D170" s="5">
        <f>TITRES_STAT!E173</f>
        <v>5.7510693251533755</v>
      </c>
      <c r="E170" s="2">
        <f t="shared" si="8"/>
        <v>-75.442652989094483</v>
      </c>
      <c r="F170" s="5" t="str">
        <f t="shared" si="11"/>
        <v>BULLISH</v>
      </c>
      <c r="G170" s="5" t="str">
        <f t="shared" si="10"/>
        <v>NEUTRAL</v>
      </c>
      <c r="H170" s="5" t="str">
        <f t="shared" si="9"/>
        <v>CONFIRMED BULLISH</v>
      </c>
    </row>
    <row r="171" spans="1:8" ht="13.5" x14ac:dyDescent="0.25">
      <c r="A171" s="3">
        <f>TITRES_STAT!B174</f>
        <v>45168</v>
      </c>
      <c r="B171" s="5">
        <f>TITRES_STAT!C174</f>
        <v>6.52</v>
      </c>
      <c r="C171" s="5">
        <f>TITRES_STAT!D174</f>
        <v>5.7830000000000004</v>
      </c>
      <c r="D171" s="5">
        <f>TITRES_STAT!E174</f>
        <v>5.7830000000000004</v>
      </c>
      <c r="E171" s="2">
        <f t="shared" si="8"/>
        <v>-75.442652989094483</v>
      </c>
      <c r="F171" s="5" t="str">
        <f t="shared" si="11"/>
        <v>BEARISH</v>
      </c>
      <c r="G171" s="5" t="str">
        <f t="shared" si="10"/>
        <v>STRONG</v>
      </c>
      <c r="H171" s="5" t="str">
        <f t="shared" si="9"/>
        <v>CONFIRMED BEARISH</v>
      </c>
    </row>
    <row r="172" spans="1:8" ht="13.5" x14ac:dyDescent="0.25">
      <c r="A172" s="3">
        <f>TITRES_STAT!B175</f>
        <v>45169</v>
      </c>
      <c r="B172" s="5">
        <f>TITRES_STAT!C175</f>
        <v>6.5</v>
      </c>
      <c r="C172" s="5">
        <f>TITRES_STAT!D175</f>
        <v>5.766</v>
      </c>
      <c r="D172" s="5">
        <f>TITRES_STAT!E175</f>
        <v>5.766</v>
      </c>
      <c r="E172" s="2">
        <f t="shared" si="8"/>
        <v>-81.208652989094489</v>
      </c>
      <c r="F172" s="5" t="str">
        <f t="shared" si="11"/>
        <v>BEARISH</v>
      </c>
      <c r="G172" s="5" t="str">
        <f t="shared" si="10"/>
        <v>STRONG</v>
      </c>
      <c r="H172" s="5" t="str">
        <f t="shared" si="9"/>
        <v>CONFIRMED BEARISH</v>
      </c>
    </row>
    <row r="173" spans="1:8" ht="13.5" x14ac:dyDescent="0.25">
      <c r="A173" s="3">
        <f>TITRES_STAT!B176</f>
        <v>45170</v>
      </c>
      <c r="B173" s="5">
        <f>TITRES_STAT!C176</f>
        <v>6.5</v>
      </c>
      <c r="C173" s="5">
        <f>TITRES_STAT!D176</f>
        <v>5.766</v>
      </c>
      <c r="D173" s="5">
        <f>TITRES_STAT!E176</f>
        <v>5.766</v>
      </c>
      <c r="E173" s="2">
        <f t="shared" si="8"/>
        <v>-81.208652989094489</v>
      </c>
      <c r="F173" s="5" t="str">
        <f t="shared" si="11"/>
        <v>BEARISH</v>
      </c>
      <c r="G173" s="5" t="str">
        <f t="shared" si="10"/>
        <v>STRONG</v>
      </c>
      <c r="H173" s="5" t="str">
        <f t="shared" si="9"/>
        <v>CONFIRMED BEARISH</v>
      </c>
    </row>
    <row r="174" spans="1:8" ht="13.5" x14ac:dyDescent="0.25">
      <c r="A174" s="3">
        <f>TITRES_STAT!B177</f>
        <v>45173</v>
      </c>
      <c r="B174" s="5">
        <f>TITRES_STAT!C177</f>
        <v>6.49</v>
      </c>
      <c r="C174" s="5">
        <f>TITRES_STAT!D177</f>
        <v>5.7569999999999997</v>
      </c>
      <c r="D174" s="5">
        <f>TITRES_STAT!E177</f>
        <v>5.7534517719568559</v>
      </c>
      <c r="E174" s="2">
        <f t="shared" si="8"/>
        <v>-86.96210476105135</v>
      </c>
      <c r="F174" s="5" t="str">
        <f t="shared" si="11"/>
        <v>BEARISH</v>
      </c>
      <c r="G174" s="5" t="str">
        <f t="shared" si="10"/>
        <v>STRONG</v>
      </c>
      <c r="H174" s="5" t="str">
        <f t="shared" si="9"/>
        <v>CONFIRMED BEARISH</v>
      </c>
    </row>
    <row r="175" spans="1:8" ht="13.5" x14ac:dyDescent="0.25">
      <c r="A175" s="3">
        <f>TITRES_STAT!B178</f>
        <v>45174</v>
      </c>
      <c r="B175" s="5">
        <f>TITRES_STAT!C178</f>
        <v>6.49</v>
      </c>
      <c r="C175" s="5">
        <f>TITRES_STAT!D178</f>
        <v>5.7569999999999997</v>
      </c>
      <c r="D175" s="5">
        <f>TITRES_STAT!E178</f>
        <v>5.7569999999999997</v>
      </c>
      <c r="E175" s="2">
        <f t="shared" si="8"/>
        <v>-86.96210476105135</v>
      </c>
      <c r="F175" s="5" t="str">
        <f t="shared" si="11"/>
        <v>BEARISH</v>
      </c>
      <c r="G175" s="5" t="str">
        <f t="shared" si="10"/>
        <v>STRONG</v>
      </c>
      <c r="H175" s="5" t="str">
        <f t="shared" si="9"/>
        <v>CONFIRMED BEARISH</v>
      </c>
    </row>
    <row r="176" spans="1:8" ht="13.5" x14ac:dyDescent="0.25">
      <c r="A176" s="3">
        <f>TITRES_STAT!B179</f>
        <v>45175</v>
      </c>
      <c r="B176" s="5">
        <f>TITRES_STAT!C179</f>
        <v>6.49</v>
      </c>
      <c r="C176" s="5">
        <f>TITRES_STAT!D179</f>
        <v>5.7569999999999997</v>
      </c>
      <c r="D176" s="5">
        <f>TITRES_STAT!E179</f>
        <v>5.7569999999999997</v>
      </c>
      <c r="E176" s="2">
        <f t="shared" si="8"/>
        <v>-86.96210476105135</v>
      </c>
      <c r="F176" s="5" t="str">
        <f t="shared" si="11"/>
        <v>BEARISH</v>
      </c>
      <c r="G176" s="5" t="str">
        <f t="shared" si="10"/>
        <v>STRONG</v>
      </c>
      <c r="H176" s="5" t="str">
        <f t="shared" si="9"/>
        <v>CONFIRMED BEARISH</v>
      </c>
    </row>
    <row r="177" spans="1:8" ht="13.5" x14ac:dyDescent="0.25">
      <c r="A177" s="3">
        <f>TITRES_STAT!B180</f>
        <v>45176</v>
      </c>
      <c r="B177" s="5">
        <f>TITRES_STAT!C180</f>
        <v>6.49</v>
      </c>
      <c r="C177" s="5">
        <f>TITRES_STAT!D180</f>
        <v>5.7569999999999997</v>
      </c>
      <c r="D177" s="5">
        <f>TITRES_STAT!E180</f>
        <v>5.7658705701078574</v>
      </c>
      <c r="E177" s="2">
        <f t="shared" si="8"/>
        <v>-86.96210476105135</v>
      </c>
      <c r="F177" s="5" t="str">
        <f t="shared" si="11"/>
        <v>BEARISH</v>
      </c>
      <c r="G177" s="5" t="str">
        <f t="shared" si="10"/>
        <v>STRONG</v>
      </c>
      <c r="H177" s="5" t="str">
        <f t="shared" si="9"/>
        <v>CONFIRMED BEARISH</v>
      </c>
    </row>
    <row r="178" spans="1:8" ht="13.5" x14ac:dyDescent="0.25">
      <c r="A178" s="3">
        <f>TITRES_STAT!B181</f>
        <v>45177</v>
      </c>
      <c r="B178" s="5">
        <f>TITRES_STAT!C181</f>
        <v>6.49</v>
      </c>
      <c r="C178" s="5">
        <f>TITRES_STAT!D181</f>
        <v>5.7569999999999997</v>
      </c>
      <c r="D178" s="5">
        <f>TITRES_STAT!E181</f>
        <v>5.7569999999999997</v>
      </c>
      <c r="E178" s="2">
        <f t="shared" si="8"/>
        <v>-86.96210476105135</v>
      </c>
      <c r="F178" s="5" t="str">
        <f t="shared" si="11"/>
        <v>BEARISH</v>
      </c>
      <c r="G178" s="5" t="str">
        <f t="shared" si="10"/>
        <v>STRONG</v>
      </c>
      <c r="H178" s="5" t="str">
        <f t="shared" si="9"/>
        <v>CONFIRMED BEARISH</v>
      </c>
    </row>
    <row r="179" spans="1:8" ht="13.5" x14ac:dyDescent="0.25">
      <c r="A179" s="3">
        <f>TITRES_STAT!B182</f>
        <v>45180</v>
      </c>
      <c r="B179" s="5">
        <f>TITRES_STAT!C182</f>
        <v>6.49</v>
      </c>
      <c r="C179" s="5">
        <f>TITRES_STAT!D182</f>
        <v>5.7569999999999997</v>
      </c>
      <c r="D179" s="5">
        <f>TITRES_STAT!E182</f>
        <v>5.6869224961479183</v>
      </c>
      <c r="E179" s="2">
        <f t="shared" si="8"/>
        <v>-86.96210476105135</v>
      </c>
      <c r="F179" s="5" t="str">
        <f t="shared" si="11"/>
        <v>NEUTRAL</v>
      </c>
      <c r="G179" s="5" t="str">
        <f t="shared" si="10"/>
        <v>NEUTRAL</v>
      </c>
      <c r="H179" s="5" t="str">
        <f t="shared" si="9"/>
        <v>NEUTRAL</v>
      </c>
    </row>
    <row r="180" spans="1:8" ht="13.5" x14ac:dyDescent="0.25">
      <c r="A180" s="3">
        <f>TITRES_STAT!B183</f>
        <v>45181</v>
      </c>
      <c r="B180" s="5">
        <f>TITRES_STAT!C183</f>
        <v>6.49</v>
      </c>
      <c r="C180" s="5">
        <f>TITRES_STAT!D183</f>
        <v>5.7569999999999997</v>
      </c>
      <c r="D180" s="5">
        <f>TITRES_STAT!E183</f>
        <v>5.7569999999999997</v>
      </c>
      <c r="E180" s="2">
        <f t="shared" si="8"/>
        <v>-86.96210476105135</v>
      </c>
      <c r="F180" s="5" t="str">
        <f t="shared" si="11"/>
        <v>NEUTRAL</v>
      </c>
      <c r="G180" s="5" t="str">
        <f t="shared" si="10"/>
        <v>NEUTRAL</v>
      </c>
      <c r="H180" s="5" t="str">
        <f t="shared" si="9"/>
        <v>NEUTRAL</v>
      </c>
    </row>
    <row r="181" spans="1:8" ht="13.5" x14ac:dyDescent="0.25">
      <c r="A181" s="3">
        <f>TITRES_STAT!B184</f>
        <v>45182</v>
      </c>
      <c r="B181" s="5">
        <f>TITRES_STAT!C184</f>
        <v>6.48</v>
      </c>
      <c r="C181" s="5">
        <f>TITRES_STAT!D184</f>
        <v>5.7480000000000002</v>
      </c>
      <c r="D181" s="5">
        <f>TITRES_STAT!E184</f>
        <v>5.7329203703703699</v>
      </c>
      <c r="E181" s="2">
        <f t="shared" si="8"/>
        <v>-92.695025131421716</v>
      </c>
      <c r="F181" s="5" t="str">
        <f t="shared" si="11"/>
        <v>BEARISH</v>
      </c>
      <c r="G181" s="5" t="str">
        <f t="shared" si="10"/>
        <v>STRONG</v>
      </c>
      <c r="H181" s="5" t="str">
        <f t="shared" si="9"/>
        <v>CONFIRMED BEARISH</v>
      </c>
    </row>
    <row r="182" spans="1:8" ht="13.5" x14ac:dyDescent="0.25">
      <c r="A182" s="3">
        <f>TITRES_STAT!B185</f>
        <v>45183</v>
      </c>
      <c r="B182" s="5">
        <f>TITRES_STAT!C185</f>
        <v>6.47</v>
      </c>
      <c r="C182" s="5">
        <f>TITRES_STAT!D185</f>
        <v>5.7389999999999999</v>
      </c>
      <c r="D182" s="5">
        <f>TITRES_STAT!E185</f>
        <v>5.7389999999999999</v>
      </c>
      <c r="E182" s="2">
        <f t="shared" si="8"/>
        <v>-98.43402513142172</v>
      </c>
      <c r="F182" s="5" t="str">
        <f t="shared" si="11"/>
        <v>BEARISH</v>
      </c>
      <c r="G182" s="5" t="str">
        <f t="shared" si="10"/>
        <v>STRONG</v>
      </c>
      <c r="H182" s="5" t="str">
        <f t="shared" si="9"/>
        <v>CONFIRMED BEARISH</v>
      </c>
    </row>
    <row r="183" spans="1:8" ht="13.5" x14ac:dyDescent="0.25">
      <c r="A183" s="3">
        <f>TITRES_STAT!B186</f>
        <v>45184</v>
      </c>
      <c r="B183" s="5">
        <f>TITRES_STAT!C186</f>
        <v>6.47</v>
      </c>
      <c r="C183" s="5">
        <f>TITRES_STAT!D186</f>
        <v>5.7389999999999999</v>
      </c>
      <c r="D183" s="5">
        <f>TITRES_STAT!E186</f>
        <v>5.7327908809891808</v>
      </c>
      <c r="E183" s="2">
        <f t="shared" si="8"/>
        <v>-98.43402513142172</v>
      </c>
      <c r="F183" s="5" t="str">
        <f t="shared" si="11"/>
        <v>BEARISH</v>
      </c>
      <c r="G183" s="5" t="str">
        <f t="shared" si="10"/>
        <v>STRONG</v>
      </c>
      <c r="H183" s="5" t="str">
        <f t="shared" si="9"/>
        <v>CONFIRMED BEARISH</v>
      </c>
    </row>
    <row r="184" spans="1:8" ht="13.5" x14ac:dyDescent="0.25">
      <c r="A184" s="3">
        <f>TITRES_STAT!B187</f>
        <v>45187</v>
      </c>
      <c r="B184" s="5">
        <f>TITRES_STAT!C187</f>
        <v>6.44</v>
      </c>
      <c r="C184" s="5">
        <f>TITRES_STAT!D187</f>
        <v>5.7119999999999997</v>
      </c>
      <c r="D184" s="5">
        <f>TITRES_STAT!E187</f>
        <v>5.7031304347826079</v>
      </c>
      <c r="E184" s="2">
        <f t="shared" si="8"/>
        <v>-104.13715556620433</v>
      </c>
      <c r="F184" s="5" t="str">
        <f t="shared" si="11"/>
        <v>BEARISH</v>
      </c>
      <c r="G184" s="5" t="str">
        <f t="shared" si="10"/>
        <v>STRONG</v>
      </c>
      <c r="H184" s="5" t="str">
        <f t="shared" si="9"/>
        <v>CONFIRMED BEARISH</v>
      </c>
    </row>
    <row r="185" spans="1:8" ht="13.5" x14ac:dyDescent="0.25">
      <c r="A185" s="3">
        <f>TITRES_STAT!B188</f>
        <v>45188</v>
      </c>
      <c r="B185" s="5">
        <f>TITRES_STAT!C188</f>
        <v>6.45</v>
      </c>
      <c r="C185" s="5">
        <f>TITRES_STAT!D188</f>
        <v>5.7210000000000001</v>
      </c>
      <c r="D185" s="5">
        <f>TITRES_STAT!E188</f>
        <v>5.7147911627906973</v>
      </c>
      <c r="E185" s="2">
        <f t="shared" si="8"/>
        <v>-98.422364403413624</v>
      </c>
      <c r="F185" s="5" t="str">
        <f t="shared" si="11"/>
        <v>BEARISH</v>
      </c>
      <c r="G185" s="5" t="str">
        <f t="shared" si="10"/>
        <v>STRONG</v>
      </c>
      <c r="H185" s="5" t="str">
        <f t="shared" si="9"/>
        <v>CONFIRMED BEARISH</v>
      </c>
    </row>
    <row r="186" spans="1:8" ht="13.5" x14ac:dyDescent="0.25">
      <c r="A186" s="3">
        <f>TITRES_STAT!B189</f>
        <v>45189</v>
      </c>
      <c r="B186" s="5">
        <f>TITRES_STAT!C189</f>
        <v>6.45</v>
      </c>
      <c r="C186" s="5">
        <f>TITRES_STAT!D189</f>
        <v>5.7210000000000001</v>
      </c>
      <c r="D186" s="5">
        <f>TITRES_STAT!E189</f>
        <v>5.71213023255814</v>
      </c>
      <c r="E186" s="2">
        <f t="shared" si="8"/>
        <v>-98.422364403413624</v>
      </c>
      <c r="F186" s="5" t="str">
        <f t="shared" si="11"/>
        <v>BEARISH</v>
      </c>
      <c r="G186" s="5" t="str">
        <f t="shared" si="10"/>
        <v>STRONG</v>
      </c>
      <c r="H186" s="5" t="str">
        <f t="shared" si="9"/>
        <v>CONFIRMED BEARISH</v>
      </c>
    </row>
    <row r="187" spans="1:8" ht="13.5" x14ac:dyDescent="0.25">
      <c r="A187" s="3">
        <f>TITRES_STAT!B190</f>
        <v>45190</v>
      </c>
      <c r="B187" s="5">
        <f>TITRES_STAT!C190</f>
        <v>6.47</v>
      </c>
      <c r="C187" s="5">
        <f>TITRES_STAT!D190</f>
        <v>5.7389999999999999</v>
      </c>
      <c r="D187" s="5">
        <f>TITRES_STAT!E190</f>
        <v>5.7389999999999999</v>
      </c>
      <c r="E187" s="2">
        <f t="shared" si="8"/>
        <v>-92.68336440341362</v>
      </c>
      <c r="F187" s="5" t="str">
        <f t="shared" si="11"/>
        <v>BULLISH</v>
      </c>
      <c r="G187" s="5" t="str">
        <f t="shared" si="10"/>
        <v>WEAK</v>
      </c>
      <c r="H187" s="5" t="str">
        <f t="shared" si="9"/>
        <v>NEUTRAL</v>
      </c>
    </row>
    <row r="188" spans="1:8" ht="13.5" x14ac:dyDescent="0.25">
      <c r="A188" s="3">
        <f>TITRES_STAT!B191</f>
        <v>45191</v>
      </c>
      <c r="B188" s="5">
        <f>TITRES_STAT!C191</f>
        <v>6.47</v>
      </c>
      <c r="C188" s="5">
        <f>TITRES_STAT!D191</f>
        <v>5.7389999999999999</v>
      </c>
      <c r="D188" s="5">
        <f>TITRES_STAT!E191</f>
        <v>5.7389999999999999</v>
      </c>
      <c r="E188" s="2">
        <f t="shared" si="8"/>
        <v>-92.68336440341362</v>
      </c>
      <c r="F188" s="5" t="str">
        <f t="shared" si="11"/>
        <v>BULLISH</v>
      </c>
      <c r="G188" s="5" t="str">
        <f t="shared" si="10"/>
        <v>WEAK</v>
      </c>
      <c r="H188" s="5" t="str">
        <f t="shared" si="9"/>
        <v>NEUTRAL</v>
      </c>
    </row>
    <row r="189" spans="1:8" ht="13.5" x14ac:dyDescent="0.25">
      <c r="A189" s="3">
        <f>TITRES_STAT!B192</f>
        <v>45194</v>
      </c>
      <c r="B189" s="5">
        <f>TITRES_STAT!C192</f>
        <v>6.46</v>
      </c>
      <c r="C189" s="5">
        <f>TITRES_STAT!D192</f>
        <v>5.73</v>
      </c>
      <c r="D189" s="5">
        <f>TITRES_STAT!E192</f>
        <v>5.73</v>
      </c>
      <c r="E189" s="2">
        <f t="shared" si="8"/>
        <v>-98.413364403413624</v>
      </c>
      <c r="F189" s="5" t="str">
        <f t="shared" si="11"/>
        <v>BULLISH</v>
      </c>
      <c r="G189" s="5" t="str">
        <f t="shared" si="10"/>
        <v>WEAK</v>
      </c>
      <c r="H189" s="5" t="str">
        <f t="shared" si="9"/>
        <v>CONFIRMED BULLISH</v>
      </c>
    </row>
    <row r="190" spans="1:8" ht="13.5" x14ac:dyDescent="0.25">
      <c r="A190" s="3">
        <f>TITRES_STAT!B193</f>
        <v>45195</v>
      </c>
      <c r="B190" s="5">
        <f>TITRES_STAT!C193</f>
        <v>6.46</v>
      </c>
      <c r="C190" s="5">
        <f>TITRES_STAT!D193</f>
        <v>5.73</v>
      </c>
      <c r="D190" s="5">
        <f>TITRES_STAT!E193</f>
        <v>5.73</v>
      </c>
      <c r="E190" s="2">
        <f t="shared" si="8"/>
        <v>-98.413364403413624</v>
      </c>
      <c r="F190" s="5" t="str">
        <f t="shared" si="11"/>
        <v>BULLISH</v>
      </c>
      <c r="G190" s="5" t="str">
        <f t="shared" si="10"/>
        <v>NEUTRAL</v>
      </c>
      <c r="H190" s="5" t="str">
        <f t="shared" si="9"/>
        <v>CONFIRMED BULLISH</v>
      </c>
    </row>
    <row r="191" spans="1:8" ht="13.5" x14ac:dyDescent="0.25">
      <c r="A191" s="3">
        <f>TITRES_STAT!B194</f>
        <v>45197</v>
      </c>
      <c r="B191" s="5">
        <f>TITRES_STAT!C194</f>
        <v>6.45</v>
      </c>
      <c r="C191" s="5">
        <f>TITRES_STAT!D194</f>
        <v>5.7210000000000001</v>
      </c>
      <c r="D191" s="5">
        <f>TITRES_STAT!E194</f>
        <v>5.7210000000000001</v>
      </c>
      <c r="E191" s="2">
        <f t="shared" si="8"/>
        <v>-104.13436440341363</v>
      </c>
      <c r="F191" s="5" t="str">
        <f t="shared" si="11"/>
        <v>BEARISH</v>
      </c>
      <c r="G191" s="5" t="str">
        <f t="shared" si="10"/>
        <v>STRONG</v>
      </c>
      <c r="H191" s="5" t="str">
        <f t="shared" si="9"/>
        <v>NEUTRAL</v>
      </c>
    </row>
    <row r="192" spans="1:8" ht="13.5" x14ac:dyDescent="0.25">
      <c r="A192" s="3">
        <f>TITRES_STAT!B195</f>
        <v>45198</v>
      </c>
      <c r="B192" s="5">
        <f>TITRES_STAT!C195</f>
        <v>6.43</v>
      </c>
      <c r="C192" s="5">
        <f>TITRES_STAT!D195</f>
        <v>5.7039999999999997</v>
      </c>
      <c r="D192" s="5">
        <f>TITRES_STAT!E195</f>
        <v>5.6365810264385692</v>
      </c>
      <c r="E192" s="2">
        <f t="shared" si="8"/>
        <v>-109.77094542985219</v>
      </c>
      <c r="F192" s="5" t="str">
        <f t="shared" si="11"/>
        <v>BEARISH</v>
      </c>
      <c r="G192" s="5" t="str">
        <f t="shared" si="10"/>
        <v>STRONG</v>
      </c>
      <c r="H192" s="5" t="str">
        <f t="shared" si="9"/>
        <v>CONFIRMED BEARISH</v>
      </c>
    </row>
    <row r="193" spans="1:8" ht="13.5" x14ac:dyDescent="0.25">
      <c r="A193" s="3">
        <f>TITRES_STAT!B196</f>
        <v>45201</v>
      </c>
      <c r="B193" s="5">
        <f>TITRES_STAT!C196</f>
        <v>6.44</v>
      </c>
      <c r="C193" s="5">
        <f>TITRES_STAT!D196</f>
        <v>5.7119999999999997</v>
      </c>
      <c r="D193" s="5">
        <f>TITRES_STAT!E196</f>
        <v>5.7119999999999997</v>
      </c>
      <c r="E193" s="2">
        <f t="shared" si="8"/>
        <v>-104.05894542985219</v>
      </c>
      <c r="F193" s="5" t="str">
        <f t="shared" si="11"/>
        <v>BEARISH</v>
      </c>
      <c r="G193" s="5" t="str">
        <f t="shared" si="10"/>
        <v>STRONG</v>
      </c>
      <c r="H193" s="5" t="str">
        <f t="shared" si="9"/>
        <v>CONFIRMED BEARISH</v>
      </c>
    </row>
    <row r="194" spans="1:8" ht="13.5" x14ac:dyDescent="0.25">
      <c r="A194" s="3">
        <f>TITRES_STAT!B197</f>
        <v>45202</v>
      </c>
      <c r="B194" s="5">
        <f>TITRES_STAT!C197</f>
        <v>6.43</v>
      </c>
      <c r="C194" s="5">
        <f>TITRES_STAT!D197</f>
        <v>5.7039999999999997</v>
      </c>
      <c r="D194" s="5">
        <f>TITRES_STAT!E197</f>
        <v>5.7039999999999997</v>
      </c>
      <c r="E194" s="2">
        <f t="shared" si="8"/>
        <v>-109.76294542985218</v>
      </c>
      <c r="F194" s="5" t="str">
        <f t="shared" si="11"/>
        <v>BEARISH</v>
      </c>
      <c r="G194" s="5" t="str">
        <f t="shared" si="10"/>
        <v>STRONG</v>
      </c>
      <c r="H194" s="5" t="str">
        <f t="shared" si="9"/>
        <v>CONFIRMED BEARISH</v>
      </c>
    </row>
    <row r="195" spans="1:8" ht="13.5" x14ac:dyDescent="0.25">
      <c r="A195" s="3">
        <f>TITRES_STAT!B198</f>
        <v>45203</v>
      </c>
      <c r="B195" s="5">
        <f>TITRES_STAT!C198</f>
        <v>6.43</v>
      </c>
      <c r="C195" s="5">
        <f>TITRES_STAT!D198</f>
        <v>5.7039999999999997</v>
      </c>
      <c r="D195" s="5">
        <f>TITRES_STAT!E198</f>
        <v>5.7039999999999997</v>
      </c>
      <c r="E195" s="2">
        <f t="shared" si="8"/>
        <v>-109.76294542985218</v>
      </c>
      <c r="F195" s="5" t="str">
        <f t="shared" si="11"/>
        <v>BEARISH</v>
      </c>
      <c r="G195" s="5" t="str">
        <f t="shared" si="10"/>
        <v>STRONG</v>
      </c>
      <c r="H195" s="5" t="str">
        <f t="shared" si="9"/>
        <v>CONFIRMED BEARISH</v>
      </c>
    </row>
    <row r="196" spans="1:8" ht="13.5" x14ac:dyDescent="0.25">
      <c r="A196" s="3">
        <f>TITRES_STAT!B199</f>
        <v>45204</v>
      </c>
      <c r="B196" s="5">
        <f>TITRES_STAT!C199</f>
        <v>6.43</v>
      </c>
      <c r="C196" s="5">
        <f>TITRES_STAT!D199</f>
        <v>5.7039999999999997</v>
      </c>
      <c r="D196" s="5">
        <f>TITRES_STAT!E199</f>
        <v>5.6711776049766716</v>
      </c>
      <c r="E196" s="2">
        <f t="shared" ref="E196:E259" si="12">IF(B196&gt;B195, E195+D196, IF(B196&lt;B195, E195-D196, E195))</f>
        <v>-109.76294542985218</v>
      </c>
      <c r="F196" s="5" t="str">
        <f t="shared" si="11"/>
        <v>BEARISH</v>
      </c>
      <c r="G196" s="5" t="str">
        <f t="shared" si="10"/>
        <v>STRONG</v>
      </c>
      <c r="H196" s="5" t="str">
        <f t="shared" si="9"/>
        <v>CONFIRMED BEARISH</v>
      </c>
    </row>
    <row r="197" spans="1:8" ht="13.5" x14ac:dyDescent="0.25">
      <c r="A197" s="3">
        <f>TITRES_STAT!B200</f>
        <v>45205</v>
      </c>
      <c r="B197" s="5">
        <f>TITRES_STAT!C200</f>
        <v>6.43</v>
      </c>
      <c r="C197" s="5">
        <f>TITRES_STAT!D200</f>
        <v>5.7039999999999997</v>
      </c>
      <c r="D197" s="5">
        <f>TITRES_STAT!E200</f>
        <v>5.6773872472783831</v>
      </c>
      <c r="E197" s="2">
        <f t="shared" si="12"/>
        <v>-109.76294542985218</v>
      </c>
      <c r="F197" s="5" t="str">
        <f t="shared" si="11"/>
        <v>BULLISH</v>
      </c>
      <c r="G197" s="5" t="str">
        <f t="shared" si="10"/>
        <v>NEUTRAL</v>
      </c>
      <c r="H197" s="5" t="str">
        <f t="shared" si="9"/>
        <v>NEUTRAL</v>
      </c>
    </row>
    <row r="198" spans="1:8" ht="13.5" x14ac:dyDescent="0.25">
      <c r="A198" s="3">
        <f>TITRES_STAT!B201</f>
        <v>45208</v>
      </c>
      <c r="B198" s="5">
        <f>TITRES_STAT!C201</f>
        <v>6.45</v>
      </c>
      <c r="C198" s="5">
        <f>TITRES_STAT!D201</f>
        <v>5.7210000000000001</v>
      </c>
      <c r="D198" s="5">
        <f>TITRES_STAT!E201</f>
        <v>5.7210000000000001</v>
      </c>
      <c r="E198" s="2">
        <f t="shared" si="12"/>
        <v>-104.04194542985218</v>
      </c>
      <c r="F198" s="5" t="str">
        <f t="shared" si="11"/>
        <v>BULLISH</v>
      </c>
      <c r="G198" s="5" t="str">
        <f t="shared" si="10"/>
        <v>NEUTRAL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f>TITRES_STAT!B202</f>
        <v>45209</v>
      </c>
      <c r="B199" s="5">
        <f>TITRES_STAT!C202</f>
        <v>6.41</v>
      </c>
      <c r="C199" s="5">
        <f>TITRES_STAT!D202</f>
        <v>5.6859999999999999</v>
      </c>
      <c r="D199" s="5">
        <f>TITRES_STAT!E202</f>
        <v>5.6780165366614659</v>
      </c>
      <c r="E199" s="2">
        <f t="shared" si="12"/>
        <v>-109.71996196651364</v>
      </c>
      <c r="F199" s="5" t="str">
        <f t="shared" si="11"/>
        <v>BULLISH</v>
      </c>
      <c r="G199" s="5" t="str">
        <f t="shared" ref="G199:G262" si="14">IF((E199-E194)/E194 &gt; 0.02, "STRONG",
 IF((E199-E194)/E194 &lt; -0.02, "WEAK", "NEUTRAL"))</f>
        <v>NEUTRAL</v>
      </c>
      <c r="H199" s="5" t="str">
        <f t="shared" si="13"/>
        <v>BULLISH DIVERGENCE</v>
      </c>
    </row>
    <row r="200" spans="1:8" ht="13.5" x14ac:dyDescent="0.25">
      <c r="A200" s="3">
        <f>TITRES_STAT!B203</f>
        <v>45210</v>
      </c>
      <c r="B200" s="5">
        <f>TITRES_STAT!C203</f>
        <v>6.41</v>
      </c>
      <c r="C200" s="5">
        <f>TITRES_STAT!D203</f>
        <v>5.6859999999999999</v>
      </c>
      <c r="D200" s="5">
        <f>TITRES_STAT!E203</f>
        <v>5.6859999999999999</v>
      </c>
      <c r="E200" s="2">
        <f t="shared" si="12"/>
        <v>-109.71996196651364</v>
      </c>
      <c r="F200" s="5" t="str">
        <f t="shared" ref="F200:F263" si="15">IF(E200&gt;E195,"BULLISH",IF(E200&lt;E195,"BEARISH","NEUTRAL"))</f>
        <v>BULLISH</v>
      </c>
      <c r="G200" s="5" t="str">
        <f t="shared" si="14"/>
        <v>NEUTRAL</v>
      </c>
      <c r="H200" s="5" t="str">
        <f t="shared" si="13"/>
        <v>BULLISH DIVERGENCE</v>
      </c>
    </row>
    <row r="201" spans="1:8" ht="13.5" x14ac:dyDescent="0.25">
      <c r="A201" s="3">
        <f>TITRES_STAT!B204</f>
        <v>45211</v>
      </c>
      <c r="B201" s="5">
        <f>TITRES_STAT!C204</f>
        <v>6.41</v>
      </c>
      <c r="C201" s="5">
        <f>TITRES_STAT!D204</f>
        <v>5.6859999999999999</v>
      </c>
      <c r="D201" s="5">
        <f>TITRES_STAT!E204</f>
        <v>5.6336639625585017</v>
      </c>
      <c r="E201" s="2">
        <f t="shared" si="12"/>
        <v>-109.71996196651364</v>
      </c>
      <c r="F201" s="5" t="str">
        <f t="shared" si="15"/>
        <v>BULLISH</v>
      </c>
      <c r="G201" s="5" t="str">
        <f t="shared" si="14"/>
        <v>NEUTRAL</v>
      </c>
      <c r="H201" s="5" t="str">
        <f t="shared" si="13"/>
        <v>BULLISH DIVERGENCE</v>
      </c>
    </row>
    <row r="202" spans="1:8" ht="13.5" x14ac:dyDescent="0.25">
      <c r="A202" s="3">
        <f>TITRES_STAT!B205</f>
        <v>45212</v>
      </c>
      <c r="B202" s="5">
        <f>TITRES_STAT!C205</f>
        <v>6.42</v>
      </c>
      <c r="C202" s="5">
        <f>TITRES_STAT!D205</f>
        <v>5.6950000000000003</v>
      </c>
      <c r="D202" s="5">
        <f>TITRES_STAT!E205</f>
        <v>5.6861292834890964</v>
      </c>
      <c r="E202" s="2">
        <f t="shared" si="12"/>
        <v>-104.03383268302454</v>
      </c>
      <c r="F202" s="5" t="str">
        <f t="shared" si="15"/>
        <v>BULLISH</v>
      </c>
      <c r="G202" s="5" t="str">
        <f t="shared" si="14"/>
        <v>WEAK</v>
      </c>
      <c r="H202" s="5" t="str">
        <f t="shared" si="13"/>
        <v>BULLISH DIVERGENCE</v>
      </c>
    </row>
    <row r="203" spans="1:8" ht="13.5" x14ac:dyDescent="0.25">
      <c r="A203" s="3">
        <f>TITRES_STAT!B206</f>
        <v>45215</v>
      </c>
      <c r="B203" s="5">
        <f>TITRES_STAT!C206</f>
        <v>6.42</v>
      </c>
      <c r="C203" s="5">
        <f>TITRES_STAT!D206</f>
        <v>5.6950000000000003</v>
      </c>
      <c r="D203" s="5">
        <f>TITRES_STAT!E206</f>
        <v>5.6950000000000003</v>
      </c>
      <c r="E203" s="2">
        <f t="shared" si="12"/>
        <v>-104.03383268302454</v>
      </c>
      <c r="F203" s="5" t="str">
        <f t="shared" si="15"/>
        <v>BULLISH</v>
      </c>
      <c r="G203" s="5" t="str">
        <f t="shared" si="14"/>
        <v>NEUTRAL</v>
      </c>
      <c r="H203" s="5" t="str">
        <f t="shared" si="13"/>
        <v>BULLISH DIVERGENCE</v>
      </c>
    </row>
    <row r="204" spans="1:8" ht="13.5" x14ac:dyDescent="0.25">
      <c r="A204" s="3">
        <f>TITRES_STAT!B207</f>
        <v>45216</v>
      </c>
      <c r="B204" s="5">
        <f>TITRES_STAT!C207</f>
        <v>6.42</v>
      </c>
      <c r="C204" s="5">
        <f>TITRES_STAT!D207</f>
        <v>5.6950000000000003</v>
      </c>
      <c r="D204" s="5">
        <f>TITRES_STAT!E207</f>
        <v>5.6950000000000003</v>
      </c>
      <c r="E204" s="2">
        <f t="shared" si="12"/>
        <v>-104.03383268302454</v>
      </c>
      <c r="F204" s="5" t="str">
        <f t="shared" si="15"/>
        <v>BULLISH</v>
      </c>
      <c r="G204" s="5" t="str">
        <f t="shared" si="14"/>
        <v>WEAK</v>
      </c>
      <c r="H204" s="5" t="str">
        <f t="shared" si="13"/>
        <v>CONFIRMED BULLISH</v>
      </c>
    </row>
    <row r="205" spans="1:8" ht="13.5" x14ac:dyDescent="0.25">
      <c r="A205" s="3">
        <f>TITRES_STAT!B208</f>
        <v>45217</v>
      </c>
      <c r="B205" s="5">
        <f>TITRES_STAT!C208</f>
        <v>6.4</v>
      </c>
      <c r="C205" s="5">
        <f>TITRES_STAT!D208</f>
        <v>5.6769999999999996</v>
      </c>
      <c r="D205" s="5">
        <f>TITRES_STAT!E208</f>
        <v>5.6929665624999997</v>
      </c>
      <c r="E205" s="2">
        <f t="shared" si="12"/>
        <v>-109.72679924552455</v>
      </c>
      <c r="F205" s="5" t="str">
        <f t="shared" si="15"/>
        <v>BEARISH</v>
      </c>
      <c r="G205" s="5" t="str">
        <f t="shared" si="14"/>
        <v>NEUTRAL</v>
      </c>
      <c r="H205" s="5" t="str">
        <f t="shared" si="13"/>
        <v>CONFIRMED BEARISH</v>
      </c>
    </row>
    <row r="206" spans="1:8" ht="13.5" x14ac:dyDescent="0.25">
      <c r="A206" s="3">
        <f>TITRES_STAT!B209</f>
        <v>45218</v>
      </c>
      <c r="B206" s="5">
        <f>TITRES_STAT!C209</f>
        <v>6.4</v>
      </c>
      <c r="C206" s="5">
        <f>TITRES_STAT!D209</f>
        <v>5.6769999999999996</v>
      </c>
      <c r="D206" s="5">
        <f>TITRES_STAT!E209</f>
        <v>5.6956276562500001</v>
      </c>
      <c r="E206" s="2">
        <f t="shared" si="12"/>
        <v>-109.72679924552455</v>
      </c>
      <c r="F206" s="5" t="str">
        <f t="shared" si="15"/>
        <v>BEARISH</v>
      </c>
      <c r="G206" s="5" t="str">
        <f t="shared" si="14"/>
        <v>NEUTRAL</v>
      </c>
      <c r="H206" s="5" t="str">
        <f t="shared" si="13"/>
        <v>CONFIRMED BEARISH</v>
      </c>
    </row>
    <row r="207" spans="1:8" ht="13.5" x14ac:dyDescent="0.25">
      <c r="A207" s="3">
        <f>TITRES_STAT!B210</f>
        <v>45219</v>
      </c>
      <c r="B207" s="5">
        <f>TITRES_STAT!C210</f>
        <v>6.42</v>
      </c>
      <c r="C207" s="5">
        <f>TITRES_STAT!D210</f>
        <v>5.6950000000000003</v>
      </c>
      <c r="D207" s="5">
        <f>TITRES_STAT!E210</f>
        <v>5.6852422118380064</v>
      </c>
      <c r="E207" s="2">
        <f t="shared" si="12"/>
        <v>-104.04155703368654</v>
      </c>
      <c r="F207" s="5" t="str">
        <f t="shared" si="15"/>
        <v>BEARISH</v>
      </c>
      <c r="G207" s="5" t="str">
        <f t="shared" si="14"/>
        <v>NEUTRAL</v>
      </c>
      <c r="H207" s="5" t="str">
        <f t="shared" si="13"/>
        <v>NEUTRAL</v>
      </c>
    </row>
    <row r="208" spans="1:8" ht="13.5" x14ac:dyDescent="0.25">
      <c r="A208" s="3">
        <f>TITRES_STAT!B211</f>
        <v>45222</v>
      </c>
      <c r="B208" s="5">
        <f>TITRES_STAT!C211</f>
        <v>6.4</v>
      </c>
      <c r="C208" s="5">
        <f>TITRES_STAT!D211</f>
        <v>5.6769999999999996</v>
      </c>
      <c r="D208" s="5">
        <f>TITRES_STAT!E211</f>
        <v>5.6787740624999996</v>
      </c>
      <c r="E208" s="2">
        <f t="shared" si="12"/>
        <v>-109.72033109618654</v>
      </c>
      <c r="F208" s="5" t="str">
        <f t="shared" si="15"/>
        <v>BEARISH</v>
      </c>
      <c r="G208" s="5" t="str">
        <f t="shared" si="14"/>
        <v>STRONG</v>
      </c>
      <c r="H208" s="5" t="str">
        <f t="shared" si="13"/>
        <v>CONFIRMED BEARISH</v>
      </c>
    </row>
    <row r="209" spans="1:8" ht="13.5" x14ac:dyDescent="0.25">
      <c r="A209" s="3">
        <f>TITRES_STAT!B212</f>
        <v>45223</v>
      </c>
      <c r="B209" s="5">
        <f>TITRES_STAT!C212</f>
        <v>6.4</v>
      </c>
      <c r="C209" s="5">
        <f>TITRES_STAT!D212</f>
        <v>5.6769999999999996</v>
      </c>
      <c r="D209" s="5">
        <f>TITRES_STAT!E212</f>
        <v>5.6805481249999996</v>
      </c>
      <c r="E209" s="2">
        <f t="shared" si="12"/>
        <v>-109.72033109618654</v>
      </c>
      <c r="F209" s="5" t="str">
        <f t="shared" si="15"/>
        <v>BEARISH</v>
      </c>
      <c r="G209" s="5" t="str">
        <f t="shared" si="14"/>
        <v>STRONG</v>
      </c>
      <c r="H209" s="5" t="str">
        <f t="shared" si="13"/>
        <v>CONFIRMED BEARISH</v>
      </c>
    </row>
    <row r="210" spans="1:8" ht="13.5" x14ac:dyDescent="0.25">
      <c r="A210" s="3">
        <f>TITRES_STAT!B213</f>
        <v>45224</v>
      </c>
      <c r="B210" s="5">
        <f>TITRES_STAT!C213</f>
        <v>6.4</v>
      </c>
      <c r="C210" s="5">
        <f>TITRES_STAT!D213</f>
        <v>5.6769999999999996</v>
      </c>
      <c r="D210" s="5">
        <f>TITRES_STAT!E213</f>
        <v>5.6814351562500001</v>
      </c>
      <c r="E210" s="2">
        <f t="shared" si="12"/>
        <v>-109.72033109618654</v>
      </c>
      <c r="F210" s="5" t="str">
        <f t="shared" si="15"/>
        <v>BULLISH</v>
      </c>
      <c r="G210" s="5" t="str">
        <f t="shared" si="14"/>
        <v>NEUTRAL</v>
      </c>
      <c r="H210" s="5" t="str">
        <f t="shared" si="13"/>
        <v>NEUTRAL</v>
      </c>
    </row>
    <row r="211" spans="1:8" ht="13.5" x14ac:dyDescent="0.25">
      <c r="A211" s="3">
        <f>TITRES_STAT!B214</f>
        <v>45225</v>
      </c>
      <c r="B211" s="5">
        <f>TITRES_STAT!C214</f>
        <v>6.4</v>
      </c>
      <c r="C211" s="5">
        <f>TITRES_STAT!D214</f>
        <v>5.6769999999999996</v>
      </c>
      <c r="D211" s="5">
        <f>TITRES_STAT!E214</f>
        <v>5.6769999999999996</v>
      </c>
      <c r="E211" s="2">
        <f t="shared" si="12"/>
        <v>-109.72033109618654</v>
      </c>
      <c r="F211" s="5" t="str">
        <f t="shared" si="15"/>
        <v>BULLISH</v>
      </c>
      <c r="G211" s="5" t="str">
        <f t="shared" si="14"/>
        <v>NEUTRAL</v>
      </c>
      <c r="H211" s="5" t="str">
        <f t="shared" si="13"/>
        <v>NEUTRAL</v>
      </c>
    </row>
    <row r="212" spans="1:8" ht="13.5" x14ac:dyDescent="0.25">
      <c r="A212" s="3">
        <f>TITRES_STAT!B215</f>
        <v>45226</v>
      </c>
      <c r="B212" s="5">
        <f>TITRES_STAT!C215</f>
        <v>6.4</v>
      </c>
      <c r="C212" s="5">
        <f>TITRES_STAT!D215</f>
        <v>5.6769999999999996</v>
      </c>
      <c r="D212" s="5">
        <f>TITRES_STAT!E215</f>
        <v>5.6140207812499998</v>
      </c>
      <c r="E212" s="2">
        <f t="shared" si="12"/>
        <v>-109.72033109618654</v>
      </c>
      <c r="F212" s="5" t="str">
        <f t="shared" si="15"/>
        <v>BEARISH</v>
      </c>
      <c r="G212" s="5" t="str">
        <f t="shared" si="14"/>
        <v>STRONG</v>
      </c>
      <c r="H212" s="5" t="str">
        <f t="shared" si="13"/>
        <v>CONFIRMED BEARISH</v>
      </c>
    </row>
    <row r="213" spans="1:8" ht="13.5" x14ac:dyDescent="0.25">
      <c r="A213" s="3">
        <f>TITRES_STAT!B216</f>
        <v>45229</v>
      </c>
      <c r="B213" s="5">
        <f>TITRES_STAT!C216</f>
        <v>6.4</v>
      </c>
      <c r="C213" s="5">
        <f>TITRES_STAT!D216</f>
        <v>5.6769999999999996</v>
      </c>
      <c r="D213" s="5">
        <f>TITRES_STAT!E216</f>
        <v>5.6769999999999996</v>
      </c>
      <c r="E213" s="2">
        <f t="shared" si="12"/>
        <v>-109.72033109618654</v>
      </c>
      <c r="F213" s="5" t="str">
        <f t="shared" si="15"/>
        <v>NEUTRAL</v>
      </c>
      <c r="G213" s="5" t="str">
        <f t="shared" si="14"/>
        <v>NEUTRAL</v>
      </c>
      <c r="H213" s="5" t="str">
        <f t="shared" si="13"/>
        <v>NEUTRAL</v>
      </c>
    </row>
    <row r="214" spans="1:8" ht="13.5" x14ac:dyDescent="0.25">
      <c r="A214" s="3">
        <f>TITRES_STAT!B217</f>
        <v>45230</v>
      </c>
      <c r="B214" s="5">
        <f>TITRES_STAT!C217</f>
        <v>6.4</v>
      </c>
      <c r="C214" s="5">
        <f>TITRES_STAT!D217</f>
        <v>5.6769999999999996</v>
      </c>
      <c r="D214" s="5">
        <f>TITRES_STAT!E217</f>
        <v>5.6681296874999996</v>
      </c>
      <c r="E214" s="2">
        <f t="shared" si="12"/>
        <v>-109.72033109618654</v>
      </c>
      <c r="F214" s="5" t="str">
        <f t="shared" si="15"/>
        <v>NEUTRAL</v>
      </c>
      <c r="G214" s="5" t="str">
        <f t="shared" si="14"/>
        <v>NEUTRAL</v>
      </c>
      <c r="H214" s="5" t="str">
        <f t="shared" si="13"/>
        <v>NEUTRAL</v>
      </c>
    </row>
    <row r="215" spans="1:8" ht="13.5" x14ac:dyDescent="0.25">
      <c r="A215" s="3">
        <f>TITRES_STAT!B218</f>
        <v>45231</v>
      </c>
      <c r="B215" s="5">
        <f>TITRES_STAT!C218</f>
        <v>6.34</v>
      </c>
      <c r="C215" s="5">
        <f>TITRES_STAT!D218</f>
        <v>5.6239999999999997</v>
      </c>
      <c r="D215" s="5">
        <f>TITRES_STAT!E218</f>
        <v>5.6346447949526812</v>
      </c>
      <c r="E215" s="2">
        <f t="shared" si="12"/>
        <v>-115.35497589113922</v>
      </c>
      <c r="F215" s="5" t="str">
        <f t="shared" si="15"/>
        <v>BEARISH</v>
      </c>
      <c r="G215" s="5" t="str">
        <f t="shared" si="14"/>
        <v>STRONG</v>
      </c>
      <c r="H215" s="5" t="str">
        <f t="shared" si="13"/>
        <v>CONFIRMED BEARISH</v>
      </c>
    </row>
    <row r="216" spans="1:8" ht="13.5" x14ac:dyDescent="0.25">
      <c r="A216" s="3">
        <f>TITRES_STAT!B219</f>
        <v>45232</v>
      </c>
      <c r="B216" s="5">
        <f>TITRES_STAT!C219</f>
        <v>6.35</v>
      </c>
      <c r="C216" s="5">
        <f>TITRES_STAT!D219</f>
        <v>5.633</v>
      </c>
      <c r="D216" s="5">
        <f>TITRES_STAT!E219</f>
        <v>5.6241291338582684</v>
      </c>
      <c r="E216" s="2">
        <f t="shared" si="12"/>
        <v>-109.73084675728094</v>
      </c>
      <c r="F216" s="5" t="str">
        <f t="shared" si="15"/>
        <v>BEARISH</v>
      </c>
      <c r="G216" s="5" t="str">
        <f t="shared" si="14"/>
        <v>NEUTRAL</v>
      </c>
      <c r="H216" s="5" t="str">
        <f t="shared" si="13"/>
        <v>CONFIRMED BEARISH</v>
      </c>
    </row>
    <row r="217" spans="1:8" ht="13.5" x14ac:dyDescent="0.25">
      <c r="A217" s="3">
        <f>TITRES_STAT!B220</f>
        <v>45233</v>
      </c>
      <c r="B217" s="5">
        <f>TITRES_STAT!C220</f>
        <v>6.33</v>
      </c>
      <c r="C217" s="5">
        <f>TITRES_STAT!D220</f>
        <v>5.6150000000000002</v>
      </c>
      <c r="D217" s="5">
        <f>TITRES_STAT!E220</f>
        <v>5.5999202211690369</v>
      </c>
      <c r="E217" s="2">
        <f t="shared" si="12"/>
        <v>-115.33076697844999</v>
      </c>
      <c r="F217" s="5" t="str">
        <f t="shared" si="15"/>
        <v>BEARISH</v>
      </c>
      <c r="G217" s="5" t="str">
        <f t="shared" si="14"/>
        <v>STRONG</v>
      </c>
      <c r="H217" s="5" t="str">
        <f t="shared" si="13"/>
        <v>CONFIRMED BEARISH</v>
      </c>
    </row>
    <row r="218" spans="1:8" ht="13.5" x14ac:dyDescent="0.25">
      <c r="A218" s="3">
        <f>TITRES_STAT!B221</f>
        <v>45236</v>
      </c>
      <c r="B218" s="5">
        <f>TITRES_STAT!C221</f>
        <v>6.33</v>
      </c>
      <c r="C218" s="5">
        <f>TITRES_STAT!D221</f>
        <v>5.6150000000000002</v>
      </c>
      <c r="D218" s="5">
        <f>TITRES_STAT!E221</f>
        <v>5.6150000000000002</v>
      </c>
      <c r="E218" s="2">
        <f t="shared" si="12"/>
        <v>-115.33076697844999</v>
      </c>
      <c r="F218" s="5" t="str">
        <f t="shared" si="15"/>
        <v>BEARISH</v>
      </c>
      <c r="G218" s="5" t="str">
        <f t="shared" si="14"/>
        <v>STRONG</v>
      </c>
      <c r="H218" s="5" t="str">
        <f t="shared" si="13"/>
        <v>CONFIRMED BEARISH</v>
      </c>
    </row>
    <row r="219" spans="1:8" ht="13.5" x14ac:dyDescent="0.25">
      <c r="A219" s="3">
        <f>TITRES_STAT!B222</f>
        <v>45237</v>
      </c>
      <c r="B219" s="5">
        <f>TITRES_STAT!C222</f>
        <v>6.3</v>
      </c>
      <c r="C219" s="5">
        <f>TITRES_STAT!D222</f>
        <v>5.5880000000000001</v>
      </c>
      <c r="D219" s="5">
        <f>TITRES_STAT!E222</f>
        <v>5.6084006349206357</v>
      </c>
      <c r="E219" s="2">
        <f t="shared" si="12"/>
        <v>-120.93916761337063</v>
      </c>
      <c r="F219" s="5" t="str">
        <f t="shared" si="15"/>
        <v>BEARISH</v>
      </c>
      <c r="G219" s="5" t="str">
        <f t="shared" si="14"/>
        <v>STRONG</v>
      </c>
      <c r="H219" s="5" t="str">
        <f t="shared" si="13"/>
        <v>CONFIRMED BEARISH</v>
      </c>
    </row>
    <row r="220" spans="1:8" ht="13.5" x14ac:dyDescent="0.25">
      <c r="A220" s="3">
        <f>TITRES_STAT!B223</f>
        <v>45238</v>
      </c>
      <c r="B220" s="5">
        <f>TITRES_STAT!C223</f>
        <v>6.3</v>
      </c>
      <c r="C220" s="5">
        <f>TITRES_STAT!D223</f>
        <v>5.5880000000000001</v>
      </c>
      <c r="D220" s="5">
        <f>TITRES_STAT!E223</f>
        <v>5.5880000000000001</v>
      </c>
      <c r="E220" s="2">
        <f t="shared" si="12"/>
        <v>-120.93916761337063</v>
      </c>
      <c r="F220" s="5" t="str">
        <f t="shared" si="15"/>
        <v>BEARISH</v>
      </c>
      <c r="G220" s="5" t="str">
        <f t="shared" si="14"/>
        <v>STRONG</v>
      </c>
      <c r="H220" s="5" t="str">
        <f t="shared" si="13"/>
        <v>CONFIRMED BEARISH</v>
      </c>
    </row>
    <row r="221" spans="1:8" ht="13.5" x14ac:dyDescent="0.25">
      <c r="A221" s="3">
        <f>TITRES_STAT!B224</f>
        <v>45239</v>
      </c>
      <c r="B221" s="5">
        <f>TITRES_STAT!C224</f>
        <v>6.3</v>
      </c>
      <c r="C221" s="5">
        <f>TITRES_STAT!D224</f>
        <v>5.5880000000000001</v>
      </c>
      <c r="D221" s="5">
        <f>TITRES_STAT!E224</f>
        <v>5.5880000000000001</v>
      </c>
      <c r="E221" s="2">
        <f t="shared" si="12"/>
        <v>-120.93916761337063</v>
      </c>
      <c r="F221" s="5" t="str">
        <f t="shared" si="15"/>
        <v>BEARISH</v>
      </c>
      <c r="G221" s="5" t="str">
        <f t="shared" si="14"/>
        <v>STRONG</v>
      </c>
      <c r="H221" s="5" t="str">
        <f t="shared" si="13"/>
        <v>CONFIRMED BEARISH</v>
      </c>
    </row>
    <row r="222" spans="1:8" ht="13.5" x14ac:dyDescent="0.25">
      <c r="A222" s="3">
        <f>TITRES_STAT!B225</f>
        <v>45240</v>
      </c>
      <c r="B222" s="5">
        <f>TITRES_STAT!C225</f>
        <v>6.3</v>
      </c>
      <c r="C222" s="5">
        <f>TITRES_STAT!D225</f>
        <v>5.5880000000000001</v>
      </c>
      <c r="D222" s="5">
        <f>TITRES_STAT!E225</f>
        <v>5.5880000000000001</v>
      </c>
      <c r="E222" s="2">
        <f t="shared" si="12"/>
        <v>-120.93916761337063</v>
      </c>
      <c r="F222" s="5" t="str">
        <f t="shared" si="15"/>
        <v>BEARISH</v>
      </c>
      <c r="G222" s="5" t="str">
        <f t="shared" si="14"/>
        <v>STRONG</v>
      </c>
      <c r="H222" s="5" t="str">
        <f t="shared" si="13"/>
        <v>CONFIRMED BEARISH</v>
      </c>
    </row>
    <row r="223" spans="1:8" ht="13.5" x14ac:dyDescent="0.25">
      <c r="A223" s="3">
        <f>TITRES_STAT!B226</f>
        <v>45243</v>
      </c>
      <c r="B223" s="5">
        <f>TITRES_STAT!C226</f>
        <v>6.29</v>
      </c>
      <c r="C223" s="5">
        <f>TITRES_STAT!D226</f>
        <v>5.5789999999999997</v>
      </c>
      <c r="D223" s="5">
        <f>TITRES_STAT!E226</f>
        <v>5.5319909379968202</v>
      </c>
      <c r="E223" s="2">
        <f t="shared" si="12"/>
        <v>-126.47115855136745</v>
      </c>
      <c r="F223" s="5" t="str">
        <f t="shared" si="15"/>
        <v>BEARISH</v>
      </c>
      <c r="G223" s="5" t="str">
        <f t="shared" si="14"/>
        <v>STRONG</v>
      </c>
      <c r="H223" s="5" t="str">
        <f t="shared" si="13"/>
        <v>CONFIRMED BEARISH</v>
      </c>
    </row>
    <row r="224" spans="1:8" ht="13.5" x14ac:dyDescent="0.25">
      <c r="A224" s="3">
        <f>TITRES_STAT!B227</f>
        <v>45244</v>
      </c>
      <c r="B224" s="5">
        <f>TITRES_STAT!C227</f>
        <v>6.29</v>
      </c>
      <c r="C224" s="5">
        <f>TITRES_STAT!D227</f>
        <v>5.5789999999999997</v>
      </c>
      <c r="D224" s="5">
        <f>TITRES_STAT!E227</f>
        <v>5.5789999999999997</v>
      </c>
      <c r="E224" s="2">
        <f t="shared" si="12"/>
        <v>-126.47115855136745</v>
      </c>
      <c r="F224" s="5" t="str">
        <f t="shared" si="15"/>
        <v>BEARISH</v>
      </c>
      <c r="G224" s="5" t="str">
        <f t="shared" si="14"/>
        <v>STRONG</v>
      </c>
      <c r="H224" s="5" t="str">
        <f t="shared" si="13"/>
        <v>CONFIRMED BEARISH</v>
      </c>
    </row>
    <row r="225" spans="1:8" ht="13.5" x14ac:dyDescent="0.25">
      <c r="A225" s="3">
        <f>TITRES_STAT!B228</f>
        <v>45245</v>
      </c>
      <c r="B225" s="5">
        <f>TITRES_STAT!C228</f>
        <v>6.29</v>
      </c>
      <c r="C225" s="5">
        <f>TITRES_STAT!D228</f>
        <v>5.5789999999999997</v>
      </c>
      <c r="D225" s="5">
        <f>TITRES_STAT!E228</f>
        <v>5.5789999999999997</v>
      </c>
      <c r="E225" s="2">
        <f t="shared" si="12"/>
        <v>-126.47115855136745</v>
      </c>
      <c r="F225" s="5" t="str">
        <f t="shared" si="15"/>
        <v>BEARISH</v>
      </c>
      <c r="G225" s="5" t="str">
        <f t="shared" si="14"/>
        <v>STRONG</v>
      </c>
      <c r="H225" s="5" t="str">
        <f t="shared" si="13"/>
        <v>CONFIRMED BEARISH</v>
      </c>
    </row>
    <row r="226" spans="1:8" ht="13.5" x14ac:dyDescent="0.25">
      <c r="A226" s="3">
        <f>TITRES_STAT!B229</f>
        <v>45246</v>
      </c>
      <c r="B226" s="5">
        <f>TITRES_STAT!C229</f>
        <v>6.3</v>
      </c>
      <c r="C226" s="5">
        <f>TITRES_STAT!D229</f>
        <v>5.5880000000000001</v>
      </c>
      <c r="D226" s="5">
        <f>TITRES_STAT!E229</f>
        <v>5.5880000000000001</v>
      </c>
      <c r="E226" s="2">
        <f t="shared" si="12"/>
        <v>-120.88315855136746</v>
      </c>
      <c r="F226" s="5" t="str">
        <f t="shared" si="15"/>
        <v>BULLISH</v>
      </c>
      <c r="G226" s="5" t="str">
        <f t="shared" si="14"/>
        <v>NEUTRAL</v>
      </c>
      <c r="H226" s="5" t="str">
        <f t="shared" si="13"/>
        <v>NEUTRAL</v>
      </c>
    </row>
    <row r="227" spans="1:8" ht="13.5" x14ac:dyDescent="0.25">
      <c r="A227" s="3">
        <f>TITRES_STAT!B230</f>
        <v>45247</v>
      </c>
      <c r="B227" s="5">
        <f>TITRES_STAT!C230</f>
        <v>6.3</v>
      </c>
      <c r="C227" s="5">
        <f>TITRES_STAT!D230</f>
        <v>5.5880000000000001</v>
      </c>
      <c r="D227" s="5">
        <f>TITRES_STAT!E230</f>
        <v>5.5880000000000001</v>
      </c>
      <c r="E227" s="2">
        <f t="shared" si="12"/>
        <v>-120.88315855136746</v>
      </c>
      <c r="F227" s="5" t="str">
        <f t="shared" si="15"/>
        <v>BULLISH</v>
      </c>
      <c r="G227" s="5" t="str">
        <f t="shared" si="14"/>
        <v>NEUTRAL</v>
      </c>
      <c r="H227" s="5" t="str">
        <f t="shared" si="13"/>
        <v>NEUTRAL</v>
      </c>
    </row>
    <row r="228" spans="1:8" ht="13.5" x14ac:dyDescent="0.25">
      <c r="A228" s="3">
        <f>TITRES_STAT!B231</f>
        <v>45250</v>
      </c>
      <c r="B228" s="5">
        <f>TITRES_STAT!C231</f>
        <v>6.3</v>
      </c>
      <c r="C228" s="5">
        <f>TITRES_STAT!D231</f>
        <v>5.5880000000000001</v>
      </c>
      <c r="D228" s="5">
        <f>TITRES_STAT!E231</f>
        <v>5.5880000000000001</v>
      </c>
      <c r="E228" s="2">
        <f t="shared" si="12"/>
        <v>-120.88315855136746</v>
      </c>
      <c r="F228" s="5" t="str">
        <f t="shared" si="15"/>
        <v>BULLISH</v>
      </c>
      <c r="G228" s="5" t="str">
        <f t="shared" si="14"/>
        <v>WEAK</v>
      </c>
      <c r="H228" s="5" t="str">
        <f t="shared" si="13"/>
        <v>CONFIRMED BULLISH</v>
      </c>
    </row>
    <row r="229" spans="1:8" ht="13.5" x14ac:dyDescent="0.25">
      <c r="A229" s="3">
        <f>TITRES_STAT!B232</f>
        <v>45251</v>
      </c>
      <c r="B229" s="5">
        <f>TITRES_STAT!C232</f>
        <v>6.28</v>
      </c>
      <c r="C229" s="5">
        <f>TITRES_STAT!D232</f>
        <v>5.5709999999999997</v>
      </c>
      <c r="D229" s="5">
        <f>TITRES_STAT!E232</f>
        <v>5.4920479299363052</v>
      </c>
      <c r="E229" s="2">
        <f t="shared" si="12"/>
        <v>-126.37520648130376</v>
      </c>
      <c r="F229" s="5" t="str">
        <f t="shared" si="15"/>
        <v>BULLISH</v>
      </c>
      <c r="G229" s="5" t="str">
        <f t="shared" si="14"/>
        <v>NEUTRAL</v>
      </c>
      <c r="H229" s="5" t="str">
        <f t="shared" si="13"/>
        <v>BULLISH DIVERGENCE</v>
      </c>
    </row>
    <row r="230" spans="1:8" ht="13.5" x14ac:dyDescent="0.25">
      <c r="A230" s="3">
        <f>TITRES_STAT!B233</f>
        <v>45252</v>
      </c>
      <c r="B230" s="5">
        <f>TITRES_STAT!C233</f>
        <v>6.29</v>
      </c>
      <c r="C230" s="5">
        <f>TITRES_STAT!D233</f>
        <v>5.5789999999999997</v>
      </c>
      <c r="D230" s="5">
        <f>TITRES_STAT!E233</f>
        <v>5.5789999999999997</v>
      </c>
      <c r="E230" s="2">
        <f t="shared" si="12"/>
        <v>-120.79620648130377</v>
      </c>
      <c r="F230" s="5" t="str">
        <f t="shared" si="15"/>
        <v>BULLISH</v>
      </c>
      <c r="G230" s="5" t="str">
        <f t="shared" si="14"/>
        <v>WEAK</v>
      </c>
      <c r="H230" s="5" t="str">
        <f t="shared" si="13"/>
        <v>NEUTRAL</v>
      </c>
    </row>
    <row r="231" spans="1:8" ht="13.5" x14ac:dyDescent="0.25">
      <c r="A231" s="3">
        <f>TITRES_STAT!B234</f>
        <v>45253</v>
      </c>
      <c r="B231" s="5">
        <f>TITRES_STAT!C234</f>
        <v>6.28</v>
      </c>
      <c r="C231" s="5">
        <f>TITRES_STAT!D234</f>
        <v>5.5709999999999997</v>
      </c>
      <c r="D231" s="5">
        <f>TITRES_STAT!E234</f>
        <v>5.5683386942675153</v>
      </c>
      <c r="E231" s="2">
        <f t="shared" si="12"/>
        <v>-126.36454517557128</v>
      </c>
      <c r="F231" s="5" t="str">
        <f t="shared" si="15"/>
        <v>BEARISH</v>
      </c>
      <c r="G231" s="5" t="str">
        <f t="shared" si="14"/>
        <v>STRONG</v>
      </c>
      <c r="H231" s="5" t="str">
        <f t="shared" si="13"/>
        <v>CONFIRMED BEARISH</v>
      </c>
    </row>
    <row r="232" spans="1:8" ht="13.5" x14ac:dyDescent="0.25">
      <c r="A232" s="3">
        <f>TITRES_STAT!B235</f>
        <v>45254</v>
      </c>
      <c r="B232" s="5">
        <f>TITRES_STAT!C235</f>
        <v>6.27</v>
      </c>
      <c r="C232" s="5">
        <f>TITRES_STAT!D235</f>
        <v>5.5620000000000003</v>
      </c>
      <c r="D232" s="5">
        <f>TITRES_STAT!E235</f>
        <v>5.5078880382775122</v>
      </c>
      <c r="E232" s="2">
        <f t="shared" si="12"/>
        <v>-131.87243321384878</v>
      </c>
      <c r="F232" s="5" t="str">
        <f t="shared" si="15"/>
        <v>BEARISH</v>
      </c>
      <c r="G232" s="5" t="str">
        <f t="shared" si="14"/>
        <v>STRONG</v>
      </c>
      <c r="H232" s="5" t="str">
        <f t="shared" si="13"/>
        <v>CONFIRMED BEARISH</v>
      </c>
    </row>
    <row r="233" spans="1:8" ht="13.5" x14ac:dyDescent="0.25">
      <c r="A233" s="3">
        <f>TITRES_STAT!B236</f>
        <v>45257</v>
      </c>
      <c r="B233" s="5">
        <f>TITRES_STAT!C236</f>
        <v>6.27</v>
      </c>
      <c r="C233" s="5">
        <f>TITRES_STAT!D236</f>
        <v>5.5620000000000003</v>
      </c>
      <c r="D233" s="5">
        <f>TITRES_STAT!E236</f>
        <v>5.5620000000000003</v>
      </c>
      <c r="E233" s="2">
        <f t="shared" si="12"/>
        <v>-131.87243321384878</v>
      </c>
      <c r="F233" s="5" t="str">
        <f t="shared" si="15"/>
        <v>BEARISH</v>
      </c>
      <c r="G233" s="5" t="str">
        <f t="shared" si="14"/>
        <v>STRONG</v>
      </c>
      <c r="H233" s="5" t="str">
        <f t="shared" si="13"/>
        <v>CONFIRMED BEARISH</v>
      </c>
    </row>
    <row r="234" spans="1:8" ht="13.5" x14ac:dyDescent="0.25">
      <c r="A234" s="3">
        <f>TITRES_STAT!B237</f>
        <v>45258</v>
      </c>
      <c r="B234" s="5">
        <f>TITRES_STAT!C237</f>
        <v>6.26</v>
      </c>
      <c r="C234" s="5">
        <f>TITRES_STAT!D237</f>
        <v>5.5529999999999999</v>
      </c>
      <c r="D234" s="5">
        <f>TITRES_STAT!E237</f>
        <v>5.5529999999999999</v>
      </c>
      <c r="E234" s="2">
        <f t="shared" si="12"/>
        <v>-137.42543321384878</v>
      </c>
      <c r="F234" s="5" t="str">
        <f t="shared" si="15"/>
        <v>BEARISH</v>
      </c>
      <c r="G234" s="5" t="str">
        <f t="shared" si="14"/>
        <v>STRONG</v>
      </c>
      <c r="H234" s="5" t="str">
        <f t="shared" si="13"/>
        <v>CONFIRMED BEARISH</v>
      </c>
    </row>
    <row r="235" spans="1:8" ht="13.5" x14ac:dyDescent="0.25">
      <c r="A235" s="3">
        <f>TITRES_STAT!B238</f>
        <v>45259</v>
      </c>
      <c r="B235" s="5">
        <f>TITRES_STAT!C238</f>
        <v>6.27</v>
      </c>
      <c r="C235" s="5">
        <f>TITRES_STAT!D238</f>
        <v>5.5620000000000003</v>
      </c>
      <c r="D235" s="5">
        <f>TITRES_STAT!E238</f>
        <v>5.5460325358851685</v>
      </c>
      <c r="E235" s="2">
        <f t="shared" si="12"/>
        <v>-131.87940067796362</v>
      </c>
      <c r="F235" s="5" t="str">
        <f t="shared" si="15"/>
        <v>BEARISH</v>
      </c>
      <c r="G235" s="5" t="str">
        <f t="shared" si="14"/>
        <v>STRONG</v>
      </c>
      <c r="H235" s="5" t="str">
        <f t="shared" si="13"/>
        <v>CONFIRMED BEARISH</v>
      </c>
    </row>
    <row r="236" spans="1:8" ht="13.5" x14ac:dyDescent="0.25">
      <c r="A236" s="3">
        <f>TITRES_STAT!B239</f>
        <v>45260</v>
      </c>
      <c r="B236" s="5">
        <f>TITRES_STAT!C239</f>
        <v>6.25</v>
      </c>
      <c r="C236" s="5">
        <f>TITRES_STAT!D239</f>
        <v>5.5439999999999996</v>
      </c>
      <c r="D236" s="5">
        <f>TITRES_STAT!E239</f>
        <v>5.5439999999999996</v>
      </c>
      <c r="E236" s="2">
        <f t="shared" si="12"/>
        <v>-137.42340067796363</v>
      </c>
      <c r="F236" s="5" t="str">
        <f t="shared" si="15"/>
        <v>BEARISH</v>
      </c>
      <c r="G236" s="5" t="str">
        <f t="shared" si="14"/>
        <v>STRONG</v>
      </c>
      <c r="H236" s="5" t="str">
        <f t="shared" si="13"/>
        <v>CONFIRMED BEARISH</v>
      </c>
    </row>
    <row r="237" spans="1:8" ht="13.5" x14ac:dyDescent="0.25">
      <c r="A237" s="3">
        <f>TITRES_STAT!B240</f>
        <v>45261</v>
      </c>
      <c r="B237" s="5">
        <f>TITRES_STAT!C240</f>
        <v>6.24</v>
      </c>
      <c r="C237" s="5">
        <f>TITRES_STAT!D240</f>
        <v>5.5350000000000001</v>
      </c>
      <c r="D237" s="5">
        <f>TITRES_STAT!E240</f>
        <v>5.4941971153846154</v>
      </c>
      <c r="E237" s="2">
        <f t="shared" si="12"/>
        <v>-142.91759779334825</v>
      </c>
      <c r="F237" s="5" t="str">
        <f t="shared" si="15"/>
        <v>BEARISH</v>
      </c>
      <c r="G237" s="5" t="str">
        <f t="shared" si="14"/>
        <v>STRONG</v>
      </c>
      <c r="H237" s="5" t="str">
        <f t="shared" si="13"/>
        <v>CONFIRMED BEARISH</v>
      </c>
    </row>
    <row r="238" spans="1:8" ht="13.5" x14ac:dyDescent="0.25">
      <c r="A238" s="3">
        <f>TITRES_STAT!B241</f>
        <v>45264</v>
      </c>
      <c r="B238" s="5">
        <f>TITRES_STAT!C241</f>
        <v>6.24</v>
      </c>
      <c r="C238" s="5">
        <f>TITRES_STAT!D241</f>
        <v>5.5350000000000001</v>
      </c>
      <c r="D238" s="5">
        <f>TITRES_STAT!E241</f>
        <v>5.5350000000000001</v>
      </c>
      <c r="E238" s="2">
        <f t="shared" si="12"/>
        <v>-142.91759779334825</v>
      </c>
      <c r="F238" s="5" t="str">
        <f t="shared" si="15"/>
        <v>BEARISH</v>
      </c>
      <c r="G238" s="5" t="str">
        <f t="shared" si="14"/>
        <v>STRONG</v>
      </c>
      <c r="H238" s="5" t="str">
        <f t="shared" si="13"/>
        <v>CONFIRMED BEARISH</v>
      </c>
    </row>
    <row r="239" spans="1:8" ht="13.5" x14ac:dyDescent="0.25">
      <c r="A239" s="3">
        <f>TITRES_STAT!B242</f>
        <v>45265</v>
      </c>
      <c r="B239" s="5">
        <f>TITRES_STAT!C242</f>
        <v>6.23</v>
      </c>
      <c r="C239" s="5">
        <f>TITRES_STAT!D242</f>
        <v>5.5259999999999998</v>
      </c>
      <c r="D239" s="5">
        <f>TITRES_STAT!E242</f>
        <v>5.527773996789727</v>
      </c>
      <c r="E239" s="2">
        <f t="shared" si="12"/>
        <v>-148.44537179013798</v>
      </c>
      <c r="F239" s="5" t="str">
        <f t="shared" si="15"/>
        <v>BEARISH</v>
      </c>
      <c r="G239" s="5" t="str">
        <f t="shared" si="14"/>
        <v>STRONG</v>
      </c>
      <c r="H239" s="5" t="str">
        <f t="shared" si="13"/>
        <v>CONFIRMED BEARISH</v>
      </c>
    </row>
    <row r="240" spans="1:8" ht="13.5" x14ac:dyDescent="0.25">
      <c r="A240" s="3">
        <f>TITRES_STAT!B243</f>
        <v>45266</v>
      </c>
      <c r="B240" s="5">
        <f>TITRES_STAT!C243</f>
        <v>6.23</v>
      </c>
      <c r="C240" s="5">
        <f>TITRES_STAT!D243</f>
        <v>5.5259999999999998</v>
      </c>
      <c r="D240" s="5">
        <f>TITRES_STAT!E243</f>
        <v>5.5259999999999998</v>
      </c>
      <c r="E240" s="2">
        <f t="shared" si="12"/>
        <v>-148.44537179013798</v>
      </c>
      <c r="F240" s="5" t="str">
        <f t="shared" si="15"/>
        <v>BEARISH</v>
      </c>
      <c r="G240" s="5" t="str">
        <f t="shared" si="14"/>
        <v>STRONG</v>
      </c>
      <c r="H240" s="5" t="str">
        <f t="shared" si="13"/>
        <v>CONFIRMED BEARISH</v>
      </c>
    </row>
    <row r="241" spans="1:8" ht="13.5" x14ac:dyDescent="0.25">
      <c r="A241" s="3">
        <f>TITRES_STAT!B244</f>
        <v>45267</v>
      </c>
      <c r="B241" s="5">
        <f>TITRES_STAT!C244</f>
        <v>6.23</v>
      </c>
      <c r="C241" s="5">
        <f>TITRES_STAT!D244</f>
        <v>5.5259999999999998</v>
      </c>
      <c r="D241" s="5">
        <f>TITRES_STAT!E244</f>
        <v>5.5259999999999998</v>
      </c>
      <c r="E241" s="2">
        <f t="shared" si="12"/>
        <v>-148.44537179013798</v>
      </c>
      <c r="F241" s="5" t="str">
        <f t="shared" si="15"/>
        <v>BEARISH</v>
      </c>
      <c r="G241" s="5" t="str">
        <f t="shared" si="14"/>
        <v>STRONG</v>
      </c>
      <c r="H241" s="5" t="str">
        <f t="shared" si="13"/>
        <v>CONFIRMED BEARISH</v>
      </c>
    </row>
    <row r="242" spans="1:8" ht="13.5" x14ac:dyDescent="0.25">
      <c r="A242" s="3">
        <f>TITRES_STAT!B245</f>
        <v>45268</v>
      </c>
      <c r="B242" s="5">
        <f>TITRES_STAT!C245</f>
        <v>6.23</v>
      </c>
      <c r="C242" s="5">
        <f>TITRES_STAT!D245</f>
        <v>5.5259999999999998</v>
      </c>
      <c r="D242" s="5">
        <f>TITRES_STAT!E245</f>
        <v>5.5259999999999998</v>
      </c>
      <c r="E242" s="2">
        <f t="shared" si="12"/>
        <v>-148.44537179013798</v>
      </c>
      <c r="F242" s="5" t="str">
        <f t="shared" si="15"/>
        <v>BEARISH</v>
      </c>
      <c r="G242" s="5" t="str">
        <f t="shared" si="14"/>
        <v>STRONG</v>
      </c>
      <c r="H242" s="5" t="str">
        <f t="shared" si="13"/>
        <v>CONFIRMED BEARISH</v>
      </c>
    </row>
    <row r="243" spans="1:8" ht="13.5" x14ac:dyDescent="0.25">
      <c r="A243" s="3">
        <f>TITRES_STAT!B246</f>
        <v>45271</v>
      </c>
      <c r="B243" s="5">
        <f>TITRES_STAT!C246</f>
        <v>6.2</v>
      </c>
      <c r="C243" s="5">
        <f>TITRES_STAT!D246</f>
        <v>5.5</v>
      </c>
      <c r="D243" s="5">
        <f>TITRES_STAT!E246</f>
        <v>5.5106451612903227</v>
      </c>
      <c r="E243" s="2">
        <f t="shared" si="12"/>
        <v>-153.9560169514283</v>
      </c>
      <c r="F243" s="5" t="str">
        <f t="shared" si="15"/>
        <v>BEARISH</v>
      </c>
      <c r="G243" s="5" t="str">
        <f t="shared" si="14"/>
        <v>STRONG</v>
      </c>
      <c r="H243" s="5" t="str">
        <f t="shared" si="13"/>
        <v>CONFIRMED BEARISH</v>
      </c>
    </row>
    <row r="244" spans="1:8" ht="13.5" x14ac:dyDescent="0.25">
      <c r="A244" s="3">
        <f>TITRES_STAT!B247</f>
        <v>45272</v>
      </c>
      <c r="B244" s="5">
        <f>TITRES_STAT!C247</f>
        <v>6.1</v>
      </c>
      <c r="C244" s="5">
        <f>TITRES_STAT!D247</f>
        <v>5.4109999999999996</v>
      </c>
      <c r="D244" s="5">
        <f>TITRES_STAT!E247</f>
        <v>5.4207575409836064</v>
      </c>
      <c r="E244" s="2">
        <f t="shared" si="12"/>
        <v>-159.3767744924119</v>
      </c>
      <c r="F244" s="5" t="str">
        <f t="shared" si="15"/>
        <v>BEARISH</v>
      </c>
      <c r="G244" s="5" t="str">
        <f t="shared" si="14"/>
        <v>STRONG</v>
      </c>
      <c r="H244" s="5" t="str">
        <f t="shared" si="13"/>
        <v>CONFIRMED BEARISH</v>
      </c>
    </row>
    <row r="245" spans="1:8" ht="13.5" x14ac:dyDescent="0.25">
      <c r="A245" s="3">
        <f>TITRES_STAT!B248</f>
        <v>45273</v>
      </c>
      <c r="B245" s="5">
        <f>TITRES_STAT!C248</f>
        <v>6.09</v>
      </c>
      <c r="C245" s="5">
        <f>TITRES_STAT!D248</f>
        <v>5.4020000000000001</v>
      </c>
      <c r="D245" s="5">
        <f>TITRES_STAT!E248</f>
        <v>5.2707198686371104</v>
      </c>
      <c r="E245" s="2">
        <f t="shared" si="12"/>
        <v>-164.64749436104901</v>
      </c>
      <c r="F245" s="5" t="str">
        <f t="shared" si="15"/>
        <v>BEARISH</v>
      </c>
      <c r="G245" s="5" t="str">
        <f t="shared" si="14"/>
        <v>STRONG</v>
      </c>
      <c r="H245" s="5" t="str">
        <f t="shared" si="13"/>
        <v>CONFIRMED BEARISH</v>
      </c>
    </row>
    <row r="246" spans="1:8" ht="13.5" x14ac:dyDescent="0.25">
      <c r="A246" s="3">
        <f>TITRES_STAT!B249</f>
        <v>45274</v>
      </c>
      <c r="B246" s="5">
        <f>TITRES_STAT!C249</f>
        <v>6.14</v>
      </c>
      <c r="C246" s="5">
        <f>TITRES_STAT!D249</f>
        <v>5.4459999999999997</v>
      </c>
      <c r="D246" s="5">
        <f>TITRES_STAT!E249</f>
        <v>5.4459999999999997</v>
      </c>
      <c r="E246" s="2">
        <f t="shared" si="12"/>
        <v>-159.20149436104901</v>
      </c>
      <c r="F246" s="5" t="str">
        <f t="shared" si="15"/>
        <v>BEARISH</v>
      </c>
      <c r="G246" s="5" t="str">
        <f t="shared" si="14"/>
        <v>STRONG</v>
      </c>
      <c r="H246" s="5" t="str">
        <f t="shared" si="13"/>
        <v>CONFIRMED BEARISH</v>
      </c>
    </row>
    <row r="247" spans="1:8" ht="13.5" x14ac:dyDescent="0.25">
      <c r="A247" s="3">
        <f>TITRES_STAT!B250</f>
        <v>45275</v>
      </c>
      <c r="B247" s="5">
        <f>TITRES_STAT!C250</f>
        <v>6.12</v>
      </c>
      <c r="C247" s="5">
        <f>TITRES_STAT!D250</f>
        <v>5.4290000000000003</v>
      </c>
      <c r="D247" s="5">
        <f>TITRES_STAT!E250</f>
        <v>5.4307741830065366</v>
      </c>
      <c r="E247" s="2">
        <f t="shared" si="12"/>
        <v>-164.63226854405556</v>
      </c>
      <c r="F247" s="5" t="str">
        <f t="shared" si="15"/>
        <v>BEARISH</v>
      </c>
      <c r="G247" s="5" t="str">
        <f t="shared" si="14"/>
        <v>STRONG</v>
      </c>
      <c r="H247" s="5" t="str">
        <f t="shared" si="13"/>
        <v>CONFIRMED BEARISH</v>
      </c>
    </row>
    <row r="248" spans="1:8" ht="13.5" x14ac:dyDescent="0.25">
      <c r="A248" s="3">
        <f>TITRES_STAT!B251</f>
        <v>45278</v>
      </c>
      <c r="B248" s="5">
        <f>TITRES_STAT!C251</f>
        <v>6.1</v>
      </c>
      <c r="C248" s="5">
        <f>TITRES_STAT!D251</f>
        <v>5.4109999999999996</v>
      </c>
      <c r="D248" s="5">
        <f>TITRES_STAT!E251</f>
        <v>5.330278524590164</v>
      </c>
      <c r="E248" s="2">
        <f t="shared" si="12"/>
        <v>-169.96254706864573</v>
      </c>
      <c r="F248" s="5" t="str">
        <f t="shared" si="15"/>
        <v>BEARISH</v>
      </c>
      <c r="G248" s="5" t="str">
        <f t="shared" si="14"/>
        <v>STRONG</v>
      </c>
      <c r="H248" s="5" t="str">
        <f t="shared" si="13"/>
        <v>CONFIRMED BEARISH</v>
      </c>
    </row>
    <row r="249" spans="1:8" ht="13.5" x14ac:dyDescent="0.25">
      <c r="A249" s="3">
        <f>TITRES_STAT!B252</f>
        <v>45279</v>
      </c>
      <c r="B249" s="5">
        <f>TITRES_STAT!C252</f>
        <v>6.11</v>
      </c>
      <c r="C249" s="5">
        <f>TITRES_STAT!D252</f>
        <v>5.42</v>
      </c>
      <c r="D249" s="5">
        <f>TITRES_STAT!E252</f>
        <v>5.4120163666121108</v>
      </c>
      <c r="E249" s="2">
        <f t="shared" si="12"/>
        <v>-164.55053070203363</v>
      </c>
      <c r="F249" s="5" t="str">
        <f t="shared" si="15"/>
        <v>BEARISH</v>
      </c>
      <c r="G249" s="5" t="str">
        <f t="shared" si="14"/>
        <v>STRONG</v>
      </c>
      <c r="H249" s="5" t="str">
        <f t="shared" si="13"/>
        <v>BEARISH DIVERGENCE</v>
      </c>
    </row>
    <row r="250" spans="1:8" ht="13.5" x14ac:dyDescent="0.25">
      <c r="A250" s="3">
        <f>TITRES_STAT!B253</f>
        <v>45280</v>
      </c>
      <c r="B250" s="5">
        <f>TITRES_STAT!C253</f>
        <v>6.09</v>
      </c>
      <c r="C250" s="5">
        <f>TITRES_STAT!D253</f>
        <v>5.4020000000000001</v>
      </c>
      <c r="D250" s="5">
        <f>TITRES_STAT!E253</f>
        <v>5.2565274220032849</v>
      </c>
      <c r="E250" s="2">
        <f t="shared" si="12"/>
        <v>-169.8070581240369</v>
      </c>
      <c r="F250" s="5" t="str">
        <f t="shared" si="15"/>
        <v>BEARISH</v>
      </c>
      <c r="G250" s="5" t="str">
        <f t="shared" si="14"/>
        <v>STRONG</v>
      </c>
      <c r="H250" s="5" t="str">
        <f t="shared" si="13"/>
        <v>NEUTRAL</v>
      </c>
    </row>
    <row r="251" spans="1:8" ht="13.5" x14ac:dyDescent="0.25">
      <c r="A251" s="3">
        <f>TITRES_STAT!B254</f>
        <v>45281</v>
      </c>
      <c r="B251" s="5">
        <f>TITRES_STAT!C254</f>
        <v>6.08</v>
      </c>
      <c r="C251" s="5">
        <f>TITRES_STAT!D254</f>
        <v>5.3929999999999998</v>
      </c>
      <c r="D251" s="5">
        <f>TITRES_STAT!E254</f>
        <v>5.3761468749999999</v>
      </c>
      <c r="E251" s="2">
        <f t="shared" si="12"/>
        <v>-175.18320499903689</v>
      </c>
      <c r="F251" s="5" t="str">
        <f t="shared" si="15"/>
        <v>BEARISH</v>
      </c>
      <c r="G251" s="5" t="str">
        <f t="shared" si="14"/>
        <v>STRONG</v>
      </c>
      <c r="H251" s="5" t="str">
        <f t="shared" si="13"/>
        <v>CONFIRMED BEARISH</v>
      </c>
    </row>
    <row r="252" spans="1:8" ht="13.5" x14ac:dyDescent="0.25">
      <c r="A252" s="3">
        <f>TITRES_STAT!B255</f>
        <v>45282</v>
      </c>
      <c r="B252" s="5">
        <f>TITRES_STAT!C255</f>
        <v>6.08</v>
      </c>
      <c r="C252" s="5">
        <f>TITRES_STAT!D255</f>
        <v>5.3929999999999998</v>
      </c>
      <c r="D252" s="5">
        <f>TITRES_STAT!E255</f>
        <v>5.395661019736842</v>
      </c>
      <c r="E252" s="2">
        <f t="shared" si="12"/>
        <v>-175.18320499903689</v>
      </c>
      <c r="F252" s="5" t="str">
        <f t="shared" si="15"/>
        <v>BEARISH</v>
      </c>
      <c r="G252" s="5" t="str">
        <f t="shared" si="14"/>
        <v>STRONG</v>
      </c>
      <c r="H252" s="5" t="str">
        <f t="shared" si="13"/>
        <v>CONFIRMED BEARISH</v>
      </c>
    </row>
    <row r="253" spans="1:8" ht="13.5" x14ac:dyDescent="0.25">
      <c r="A253" s="3">
        <f>TITRES_STAT!B256</f>
        <v>45285</v>
      </c>
      <c r="B253" s="5">
        <f>TITRES_STAT!C256</f>
        <v>6.08</v>
      </c>
      <c r="C253" s="5">
        <f>TITRES_STAT!D256</f>
        <v>5.3929999999999998</v>
      </c>
      <c r="D253" s="5">
        <f>TITRES_STAT!E256</f>
        <v>5.362841776315789</v>
      </c>
      <c r="E253" s="2">
        <f t="shared" si="12"/>
        <v>-175.18320499903689</v>
      </c>
      <c r="F253" s="5" t="str">
        <f t="shared" si="15"/>
        <v>BEARISH</v>
      </c>
      <c r="G253" s="5" t="str">
        <f t="shared" si="14"/>
        <v>STRONG</v>
      </c>
      <c r="H253" s="5" t="str">
        <f t="shared" si="13"/>
        <v>CONFIRMED BEARISH</v>
      </c>
    </row>
    <row r="254" spans="1:8" ht="13.5" x14ac:dyDescent="0.25">
      <c r="A254" s="3">
        <f>TITRES_STAT!B257</f>
        <v>45286</v>
      </c>
      <c r="B254" s="5">
        <f>TITRES_STAT!C257</f>
        <v>6.08</v>
      </c>
      <c r="C254" s="5">
        <f>TITRES_STAT!D257</f>
        <v>5.3929999999999998</v>
      </c>
      <c r="D254" s="5">
        <f>TITRES_STAT!E257</f>
        <v>5.3929999999999998</v>
      </c>
      <c r="E254" s="2">
        <f t="shared" si="12"/>
        <v>-175.18320499903689</v>
      </c>
      <c r="F254" s="5" t="str">
        <f t="shared" si="15"/>
        <v>BEARISH</v>
      </c>
      <c r="G254" s="5" t="str">
        <f t="shared" si="14"/>
        <v>STRONG</v>
      </c>
      <c r="H254" s="5" t="str">
        <f t="shared" si="13"/>
        <v>CONFIRMED BEARISH</v>
      </c>
    </row>
    <row r="255" spans="1:8" ht="13.5" x14ac:dyDescent="0.25">
      <c r="A255" s="3">
        <f>TITRES_STAT!B258</f>
        <v>45287</v>
      </c>
      <c r="B255" s="5">
        <f>TITRES_STAT!C258</f>
        <v>6</v>
      </c>
      <c r="C255" s="5">
        <f>TITRES_STAT!D258</f>
        <v>5.3220000000000001</v>
      </c>
      <c r="D255" s="5">
        <f>TITRES_STAT!E258</f>
        <v>5.2865200000000003</v>
      </c>
      <c r="E255" s="2">
        <f t="shared" si="12"/>
        <v>-180.46972499903688</v>
      </c>
      <c r="F255" s="5" t="str">
        <f t="shared" si="15"/>
        <v>BEARISH</v>
      </c>
      <c r="G255" s="5" t="str">
        <f t="shared" si="14"/>
        <v>STRONG</v>
      </c>
      <c r="H255" s="5" t="str">
        <f t="shared" si="13"/>
        <v>CONFIRMED BEARISH</v>
      </c>
    </row>
    <row r="256" spans="1:8" ht="13.5" x14ac:dyDescent="0.25">
      <c r="A256" s="3">
        <f>TITRES_STAT!B259</f>
        <v>45288</v>
      </c>
      <c r="B256" s="5">
        <f>TITRES_STAT!C259</f>
        <v>6.04</v>
      </c>
      <c r="C256" s="5">
        <f>TITRES_STAT!D259</f>
        <v>5.3579999999999997</v>
      </c>
      <c r="D256" s="5">
        <f>TITRES_STAT!E259</f>
        <v>5.3659837748344374</v>
      </c>
      <c r="E256" s="2">
        <f t="shared" si="12"/>
        <v>-175.10374122420245</v>
      </c>
      <c r="F256" s="5" t="str">
        <f t="shared" si="15"/>
        <v>BULLISH</v>
      </c>
      <c r="G256" s="5" t="str">
        <f t="shared" si="14"/>
        <v>NEUTRAL</v>
      </c>
      <c r="H256" s="5" t="str">
        <f t="shared" si="13"/>
        <v>BULLISH DIVERGENCE</v>
      </c>
    </row>
    <row r="257" spans="1:8" ht="13.5" x14ac:dyDescent="0.25">
      <c r="A257" s="3">
        <f>TITRES_STAT!B260</f>
        <v>45289</v>
      </c>
      <c r="B257" s="5">
        <f>TITRES_STAT!C260</f>
        <v>6.04</v>
      </c>
      <c r="C257" s="5">
        <f>TITRES_STAT!D260</f>
        <v>5.3579999999999997</v>
      </c>
      <c r="D257" s="5">
        <f>TITRES_STAT!E260</f>
        <v>5.3650966887417217</v>
      </c>
      <c r="E257" s="2">
        <f t="shared" si="12"/>
        <v>-175.10374122420245</v>
      </c>
      <c r="F257" s="5" t="str">
        <f t="shared" si="15"/>
        <v>BULLISH</v>
      </c>
      <c r="G257" s="5" t="str">
        <f t="shared" si="14"/>
        <v>NEUTRAL</v>
      </c>
      <c r="H257" s="5" t="str">
        <f t="shared" si="13"/>
        <v>BULLISH DIVERGENCE</v>
      </c>
    </row>
    <row r="258" spans="1:8" ht="13.5" x14ac:dyDescent="0.25">
      <c r="A258" s="3">
        <f>TITRES_STAT!B261</f>
        <v>45293</v>
      </c>
      <c r="B258" s="5">
        <f>TITRES_STAT!C261</f>
        <v>5.8</v>
      </c>
      <c r="C258" s="5">
        <f>TITRES_STAT!D261</f>
        <v>5.1449999999999996</v>
      </c>
      <c r="D258" s="5">
        <f>TITRES_STAT!E261</f>
        <v>5.2035465517241377</v>
      </c>
      <c r="E258" s="2">
        <f t="shared" si="12"/>
        <v>-180.3072877759266</v>
      </c>
      <c r="F258" s="5" t="str">
        <f t="shared" si="15"/>
        <v>BEARISH</v>
      </c>
      <c r="G258" s="5" t="str">
        <f t="shared" si="14"/>
        <v>STRONG</v>
      </c>
      <c r="H258" s="5" t="str">
        <f t="shared" si="13"/>
        <v>CONFIRMED BEARISH</v>
      </c>
    </row>
    <row r="259" spans="1:8" ht="13.5" x14ac:dyDescent="0.25">
      <c r="A259" s="3">
        <f>TITRES_STAT!B262</f>
        <v>45294</v>
      </c>
      <c r="B259" s="5">
        <f>TITRES_STAT!C262</f>
        <v>5.74</v>
      </c>
      <c r="C259" s="5">
        <f>TITRES_STAT!D262</f>
        <v>5.0919999999999996</v>
      </c>
      <c r="D259" s="5">
        <f>TITRES_STAT!E262</f>
        <v>5.0946613240418115</v>
      </c>
      <c r="E259" s="2">
        <f t="shared" si="12"/>
        <v>-185.40194909996842</v>
      </c>
      <c r="F259" s="5" t="str">
        <f t="shared" si="15"/>
        <v>BEARISH</v>
      </c>
      <c r="G259" s="5" t="str">
        <f t="shared" si="14"/>
        <v>STRONG</v>
      </c>
      <c r="H259" s="5" t="str">
        <f t="shared" si="13"/>
        <v>CONFIRMED BEARISH</v>
      </c>
    </row>
    <row r="260" spans="1:8" ht="13.5" x14ac:dyDescent="0.25">
      <c r="A260" s="3">
        <f>TITRES_STAT!B263</f>
        <v>45295</v>
      </c>
      <c r="B260" s="5">
        <f>TITRES_STAT!C263</f>
        <v>5.7</v>
      </c>
      <c r="C260" s="5">
        <f>TITRES_STAT!D263</f>
        <v>5.056</v>
      </c>
      <c r="D260" s="5">
        <f>TITRES_STAT!E263</f>
        <v>5.056</v>
      </c>
      <c r="E260" s="2">
        <f t="shared" ref="E260:E323" si="16">IF(B260&gt;B259, E259+D260, IF(B260&lt;B259, E259-D260, E259))</f>
        <v>-190.45794909996843</v>
      </c>
      <c r="F260" s="5" t="str">
        <f t="shared" si="15"/>
        <v>BEARISH</v>
      </c>
      <c r="G260" s="5" t="str">
        <f t="shared" si="14"/>
        <v>STRONG</v>
      </c>
      <c r="H260" s="5" t="str">
        <f t="shared" si="13"/>
        <v>CONFIRMED BEARISH</v>
      </c>
    </row>
    <row r="261" spans="1:8" ht="13.5" x14ac:dyDescent="0.25">
      <c r="A261" s="3">
        <f>TITRES_STAT!B264</f>
        <v>45296</v>
      </c>
      <c r="B261" s="5">
        <f>TITRES_STAT!C264</f>
        <v>5.7</v>
      </c>
      <c r="C261" s="5">
        <f>TITRES_STAT!D264</f>
        <v>5.056</v>
      </c>
      <c r="D261" s="5">
        <f>TITRES_STAT!E264</f>
        <v>5.056</v>
      </c>
      <c r="E261" s="2">
        <f t="shared" si="16"/>
        <v>-190.45794909996843</v>
      </c>
      <c r="F261" s="5" t="str">
        <f t="shared" si="15"/>
        <v>BEARISH</v>
      </c>
      <c r="G261" s="5" t="str">
        <f t="shared" si="14"/>
        <v>STRONG</v>
      </c>
      <c r="H261" s="5" t="str">
        <f t="shared" si="13"/>
        <v>CONFIRMED BEARISH</v>
      </c>
    </row>
    <row r="262" spans="1:8" ht="13.5" x14ac:dyDescent="0.25">
      <c r="A262" s="3">
        <f>TITRES_STAT!B265</f>
        <v>45299</v>
      </c>
      <c r="B262" s="5">
        <f>TITRES_STAT!C265</f>
        <v>5.69</v>
      </c>
      <c r="C262" s="5">
        <f>TITRES_STAT!D265</f>
        <v>5.0469999999999997</v>
      </c>
      <c r="D262" s="5">
        <f>TITRES_STAT!E265</f>
        <v>5.0425650263620376</v>
      </c>
      <c r="E262" s="2">
        <f t="shared" si="16"/>
        <v>-195.50051412633047</v>
      </c>
      <c r="F262" s="5" t="str">
        <f t="shared" si="15"/>
        <v>BEARISH</v>
      </c>
      <c r="G262" s="5" t="str">
        <f t="shared" si="14"/>
        <v>STRONG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45300</v>
      </c>
      <c r="B263" s="5">
        <f>TITRES_STAT!C266</f>
        <v>5.5</v>
      </c>
      <c r="C263" s="5">
        <f>TITRES_STAT!D266</f>
        <v>4.8789999999999996</v>
      </c>
      <c r="D263" s="5">
        <f>TITRES_STAT!E266</f>
        <v>4.879887090909091</v>
      </c>
      <c r="E263" s="2">
        <f t="shared" si="16"/>
        <v>-200.38040121723955</v>
      </c>
      <c r="F263" s="5" t="str">
        <f t="shared" si="15"/>
        <v>BEARISH</v>
      </c>
      <c r="G263" s="5" t="str">
        <f t="shared" ref="G263:G326" si="18">IF((E263-E258)/E258 &gt; 0.02, "STRONG",
 IF((E263-E258)/E258 &lt; -0.02, "WEAK", "NEUTRAL"))</f>
        <v>STRONG</v>
      </c>
      <c r="H263" s="5" t="str">
        <f t="shared" si="17"/>
        <v>CONFIRMED BEARISH</v>
      </c>
    </row>
    <row r="264" spans="1:8" ht="13.5" x14ac:dyDescent="0.25">
      <c r="A264" s="3">
        <f>TITRES_STAT!B267</f>
        <v>45301</v>
      </c>
      <c r="B264" s="5">
        <f>TITRES_STAT!C267</f>
        <v>5.6</v>
      </c>
      <c r="C264" s="5">
        <f>TITRES_STAT!D267</f>
        <v>4.9669999999999996</v>
      </c>
      <c r="D264" s="5">
        <f>TITRES_STAT!E267</f>
        <v>4.9714348214285717</v>
      </c>
      <c r="E264" s="2">
        <f t="shared" si="16"/>
        <v>-195.40896639581098</v>
      </c>
      <c r="F264" s="5" t="str">
        <f t="shared" ref="F264:F327" si="19">IF(E264&gt;E259,"BULLISH",IF(E264&lt;E259,"BEARISH","NEUTRAL"))</f>
        <v>BEARISH</v>
      </c>
      <c r="G264" s="5" t="str">
        <f t="shared" si="18"/>
        <v>STRONG</v>
      </c>
      <c r="H264" s="5" t="str">
        <f t="shared" si="17"/>
        <v>CONFIRMED BEARISH</v>
      </c>
    </row>
    <row r="265" spans="1:8" ht="13.5" x14ac:dyDescent="0.25">
      <c r="A265" s="3">
        <f>TITRES_STAT!B268</f>
        <v>45302</v>
      </c>
      <c r="B265" s="5">
        <f>TITRES_STAT!C268</f>
        <v>5.69</v>
      </c>
      <c r="C265" s="5">
        <f>TITRES_STAT!D268</f>
        <v>5.0469999999999997</v>
      </c>
      <c r="D265" s="5">
        <f>TITRES_STAT!E268</f>
        <v>4.9662834797891033</v>
      </c>
      <c r="E265" s="2">
        <f t="shared" si="16"/>
        <v>-190.44268291602188</v>
      </c>
      <c r="F265" s="5" t="str">
        <f t="shared" si="19"/>
        <v>BULLISH</v>
      </c>
      <c r="G265" s="5" t="str">
        <f t="shared" si="18"/>
        <v>NEUTRAL</v>
      </c>
      <c r="H265" s="5" t="str">
        <f t="shared" si="17"/>
        <v>BULLISH DIVERGENCE</v>
      </c>
    </row>
    <row r="266" spans="1:8" ht="13.5" x14ac:dyDescent="0.25">
      <c r="A266" s="3">
        <f>TITRES_STAT!B269</f>
        <v>45303</v>
      </c>
      <c r="B266" s="5">
        <f>TITRES_STAT!C269</f>
        <v>5.56</v>
      </c>
      <c r="C266" s="5">
        <f>TITRES_STAT!D269</f>
        <v>4.9320000000000004</v>
      </c>
      <c r="D266" s="5">
        <f>TITRES_STAT!E269</f>
        <v>4.9869971223021592</v>
      </c>
      <c r="E266" s="2">
        <f t="shared" si="16"/>
        <v>-195.42968003832405</v>
      </c>
      <c r="F266" s="5" t="str">
        <f t="shared" si="19"/>
        <v>BEARISH</v>
      </c>
      <c r="G266" s="5" t="str">
        <f t="shared" si="18"/>
        <v>STRONG</v>
      </c>
      <c r="H266" s="5" t="str">
        <f t="shared" si="17"/>
        <v>CONFIRMED BEARISH</v>
      </c>
    </row>
    <row r="267" spans="1:8" ht="13.5" x14ac:dyDescent="0.25">
      <c r="A267" s="3">
        <f>TITRES_STAT!B270</f>
        <v>45306</v>
      </c>
      <c r="B267" s="5">
        <f>TITRES_STAT!C270</f>
        <v>5.6</v>
      </c>
      <c r="C267" s="5">
        <f>TITRES_STAT!D270</f>
        <v>4.9669999999999996</v>
      </c>
      <c r="D267" s="5">
        <f>TITRES_STAT!E270</f>
        <v>4.9182169642857145</v>
      </c>
      <c r="E267" s="2">
        <f t="shared" si="16"/>
        <v>-190.51146307403835</v>
      </c>
      <c r="F267" s="5" t="str">
        <f t="shared" si="19"/>
        <v>BULLISH</v>
      </c>
      <c r="G267" s="5" t="str">
        <f t="shared" si="18"/>
        <v>WEAK</v>
      </c>
      <c r="H267" s="5" t="str">
        <f t="shared" si="17"/>
        <v>BULLISH DIVERGENCE</v>
      </c>
    </row>
    <row r="268" spans="1:8" ht="13.5" x14ac:dyDescent="0.25">
      <c r="A268" s="3">
        <f>TITRES_STAT!B271</f>
        <v>45307</v>
      </c>
      <c r="B268" s="5">
        <f>TITRES_STAT!C271</f>
        <v>5.6</v>
      </c>
      <c r="C268" s="5">
        <f>TITRES_STAT!D271</f>
        <v>4.9669999999999996</v>
      </c>
      <c r="D268" s="5">
        <f>TITRES_STAT!E271</f>
        <v>4.9678869642857144</v>
      </c>
      <c r="E268" s="2">
        <f t="shared" si="16"/>
        <v>-190.51146307403835</v>
      </c>
      <c r="F268" s="5" t="str">
        <f t="shared" si="19"/>
        <v>BULLISH</v>
      </c>
      <c r="G268" s="5" t="str">
        <f t="shared" si="18"/>
        <v>WEAK</v>
      </c>
      <c r="H268" s="5" t="str">
        <f t="shared" si="17"/>
        <v>CONFIRMED BULLISH</v>
      </c>
    </row>
    <row r="269" spans="1:8" ht="13.5" x14ac:dyDescent="0.25">
      <c r="A269" s="3">
        <f>TITRES_STAT!B272</f>
        <v>45308</v>
      </c>
      <c r="B269" s="5">
        <f>TITRES_STAT!C272</f>
        <v>5.56</v>
      </c>
      <c r="C269" s="5">
        <f>TITRES_STAT!D272</f>
        <v>4.9320000000000004</v>
      </c>
      <c r="D269" s="5">
        <f>TITRES_STAT!E272</f>
        <v>4.9701431654676265</v>
      </c>
      <c r="E269" s="2">
        <f t="shared" si="16"/>
        <v>-195.48160623950596</v>
      </c>
      <c r="F269" s="5" t="str">
        <f t="shared" si="19"/>
        <v>BEARISH</v>
      </c>
      <c r="G269" s="5" t="str">
        <f t="shared" si="18"/>
        <v>NEUTRAL</v>
      </c>
      <c r="H269" s="5" t="str">
        <f t="shared" si="17"/>
        <v>CONFIRMED BEARISH</v>
      </c>
    </row>
    <row r="270" spans="1:8" ht="13.5" x14ac:dyDescent="0.25">
      <c r="A270" s="3">
        <f>TITRES_STAT!B273</f>
        <v>45309</v>
      </c>
      <c r="B270" s="5">
        <f>TITRES_STAT!C273</f>
        <v>5.6</v>
      </c>
      <c r="C270" s="5">
        <f>TITRES_STAT!D273</f>
        <v>4.9669999999999996</v>
      </c>
      <c r="D270" s="5">
        <f>TITRES_STAT!E273</f>
        <v>4.8809644642857144</v>
      </c>
      <c r="E270" s="2">
        <f t="shared" si="16"/>
        <v>-190.60064177522025</v>
      </c>
      <c r="F270" s="5" t="str">
        <f t="shared" si="19"/>
        <v>BEARISH</v>
      </c>
      <c r="G270" s="5" t="str">
        <f t="shared" si="18"/>
        <v>NEUTRAL</v>
      </c>
      <c r="H270" s="5" t="str">
        <f t="shared" si="17"/>
        <v>CONFIRMED BEARISH</v>
      </c>
    </row>
    <row r="271" spans="1:8" ht="13.5" x14ac:dyDescent="0.25">
      <c r="A271" s="3">
        <f>TITRES_STAT!B274</f>
        <v>45310</v>
      </c>
      <c r="B271" s="5">
        <f>TITRES_STAT!C274</f>
        <v>5.6</v>
      </c>
      <c r="C271" s="5">
        <f>TITRES_STAT!D274</f>
        <v>4.9669999999999996</v>
      </c>
      <c r="D271" s="5">
        <f>TITRES_STAT!E274</f>
        <v>4.9687739285714292</v>
      </c>
      <c r="E271" s="2">
        <f t="shared" si="16"/>
        <v>-190.60064177522025</v>
      </c>
      <c r="F271" s="5" t="str">
        <f t="shared" si="19"/>
        <v>BULLISH</v>
      </c>
      <c r="G271" s="5" t="str">
        <f t="shared" si="18"/>
        <v>WEAK</v>
      </c>
      <c r="H271" s="5" t="str">
        <f t="shared" si="17"/>
        <v>CONFIRMED BULLISH</v>
      </c>
    </row>
    <row r="272" spans="1:8" ht="13.5" x14ac:dyDescent="0.25">
      <c r="A272" s="3">
        <f>TITRES_STAT!B275</f>
        <v>45313</v>
      </c>
      <c r="B272" s="5">
        <f>TITRES_STAT!C275</f>
        <v>5.68</v>
      </c>
      <c r="C272" s="5">
        <f>TITRES_STAT!D275</f>
        <v>5.0380000000000003</v>
      </c>
      <c r="D272" s="5">
        <f>TITRES_STAT!E275</f>
        <v>5.0229214788732399</v>
      </c>
      <c r="E272" s="2">
        <f t="shared" si="16"/>
        <v>-185.57772029634702</v>
      </c>
      <c r="F272" s="5" t="str">
        <f t="shared" si="19"/>
        <v>BULLISH</v>
      </c>
      <c r="G272" s="5" t="str">
        <f t="shared" si="18"/>
        <v>WEAK</v>
      </c>
      <c r="H272" s="5" t="str">
        <f t="shared" si="17"/>
        <v>CONFIRMED BULLISH</v>
      </c>
    </row>
    <row r="273" spans="1:8" ht="13.5" x14ac:dyDescent="0.25">
      <c r="A273" s="3">
        <f>TITRES_STAT!B276</f>
        <v>45314</v>
      </c>
      <c r="B273" s="5">
        <f>TITRES_STAT!C276</f>
        <v>5.6</v>
      </c>
      <c r="C273" s="5">
        <f>TITRES_STAT!D276</f>
        <v>4.9669999999999996</v>
      </c>
      <c r="D273" s="5">
        <f>TITRES_STAT!E276</f>
        <v>4.9714348214285717</v>
      </c>
      <c r="E273" s="2">
        <f t="shared" si="16"/>
        <v>-190.5491551177756</v>
      </c>
      <c r="F273" s="5" t="str">
        <f t="shared" si="19"/>
        <v>BEARISH</v>
      </c>
      <c r="G273" s="5" t="str">
        <f t="shared" si="18"/>
        <v>NEUTRAL</v>
      </c>
      <c r="H273" s="5" t="str">
        <f t="shared" si="17"/>
        <v>NEUTRAL</v>
      </c>
    </row>
    <row r="274" spans="1:8" ht="13.5" x14ac:dyDescent="0.25">
      <c r="A274" s="3">
        <f>TITRES_STAT!B277</f>
        <v>45315</v>
      </c>
      <c r="B274" s="5">
        <f>TITRES_STAT!C277</f>
        <v>5.5</v>
      </c>
      <c r="C274" s="5">
        <f>TITRES_STAT!D277</f>
        <v>4.8789999999999996</v>
      </c>
      <c r="D274" s="5">
        <f>TITRES_STAT!E277</f>
        <v>4.8257745454545455</v>
      </c>
      <c r="E274" s="2">
        <f t="shared" si="16"/>
        <v>-195.37492966323015</v>
      </c>
      <c r="F274" s="5" t="str">
        <f t="shared" si="19"/>
        <v>BULLISH</v>
      </c>
      <c r="G274" s="5" t="str">
        <f t="shared" si="18"/>
        <v>NEUTRAL</v>
      </c>
      <c r="H274" s="5" t="str">
        <f t="shared" si="17"/>
        <v>BULLISH DIVERGENCE</v>
      </c>
    </row>
    <row r="275" spans="1:8" ht="13.5" x14ac:dyDescent="0.25">
      <c r="A275" s="3">
        <f>TITRES_STAT!B278</f>
        <v>45316</v>
      </c>
      <c r="B275" s="5">
        <f>TITRES_STAT!C278</f>
        <v>5.6</v>
      </c>
      <c r="C275" s="5">
        <f>TITRES_STAT!D278</f>
        <v>4.9669999999999996</v>
      </c>
      <c r="D275" s="5">
        <f>TITRES_STAT!E278</f>
        <v>4.7559025000000004</v>
      </c>
      <c r="E275" s="2">
        <f t="shared" si="16"/>
        <v>-190.61902716323016</v>
      </c>
      <c r="F275" s="5" t="str">
        <f t="shared" si="19"/>
        <v>BEARISH</v>
      </c>
      <c r="G275" s="5" t="str">
        <f t="shared" si="18"/>
        <v>NEUTRAL</v>
      </c>
      <c r="H275" s="5" t="str">
        <f t="shared" si="17"/>
        <v>NEUTRAL</v>
      </c>
    </row>
    <row r="276" spans="1:8" ht="13.5" x14ac:dyDescent="0.25">
      <c r="A276" s="3">
        <f>TITRES_STAT!B279</f>
        <v>45317</v>
      </c>
      <c r="B276" s="5">
        <f>TITRES_STAT!C279</f>
        <v>5.38</v>
      </c>
      <c r="C276" s="5">
        <f>TITRES_STAT!D279</f>
        <v>4.7720000000000002</v>
      </c>
      <c r="D276" s="5">
        <f>TITRES_STAT!E279</f>
        <v>4.9316579925650554</v>
      </c>
      <c r="E276" s="2">
        <f t="shared" si="16"/>
        <v>-195.55068515579521</v>
      </c>
      <c r="F276" s="5" t="str">
        <f t="shared" si="19"/>
        <v>BEARISH</v>
      </c>
      <c r="G276" s="5" t="str">
        <f t="shared" si="18"/>
        <v>STRONG</v>
      </c>
      <c r="H276" s="5" t="str">
        <f t="shared" si="17"/>
        <v>CONFIRMED BEARISH</v>
      </c>
    </row>
    <row r="277" spans="1:8" ht="13.5" x14ac:dyDescent="0.25">
      <c r="A277" s="3">
        <f>TITRES_STAT!B280</f>
        <v>45320</v>
      </c>
      <c r="B277" s="5">
        <f>TITRES_STAT!C280</f>
        <v>5.55</v>
      </c>
      <c r="C277" s="5">
        <f>TITRES_STAT!D280</f>
        <v>4.923</v>
      </c>
      <c r="D277" s="5">
        <f>TITRES_STAT!E280</f>
        <v>4.7633351351351356</v>
      </c>
      <c r="E277" s="2">
        <f t="shared" si="16"/>
        <v>-190.78735002066009</v>
      </c>
      <c r="F277" s="5" t="str">
        <f t="shared" si="19"/>
        <v>BEARISH</v>
      </c>
      <c r="G277" s="5" t="str">
        <f t="shared" si="18"/>
        <v>STRONG</v>
      </c>
      <c r="H277" s="5" t="str">
        <f t="shared" si="17"/>
        <v>CONFIRMED BEARISH</v>
      </c>
    </row>
    <row r="278" spans="1:8" ht="13.5" x14ac:dyDescent="0.25">
      <c r="A278" s="3">
        <f>TITRES_STAT!B281</f>
        <v>45321</v>
      </c>
      <c r="B278" s="5">
        <f>TITRES_STAT!C281</f>
        <v>5.6</v>
      </c>
      <c r="C278" s="5">
        <f>TITRES_STAT!D281</f>
        <v>4.9669999999999996</v>
      </c>
      <c r="D278" s="5">
        <f>TITRES_STAT!E281</f>
        <v>4.9669999999999996</v>
      </c>
      <c r="E278" s="2">
        <f t="shared" si="16"/>
        <v>-185.82035002066007</v>
      </c>
      <c r="F278" s="5" t="str">
        <f t="shared" si="19"/>
        <v>BULLISH</v>
      </c>
      <c r="G278" s="5" t="str">
        <f t="shared" si="18"/>
        <v>WEAK</v>
      </c>
      <c r="H278" s="5" t="str">
        <f t="shared" si="17"/>
        <v>NEUTRAL</v>
      </c>
    </row>
    <row r="279" spans="1:8" ht="13.5" x14ac:dyDescent="0.25">
      <c r="A279" s="3">
        <f>TITRES_STAT!B282</f>
        <v>45322</v>
      </c>
      <c r="B279" s="5">
        <f>TITRES_STAT!C282</f>
        <v>5.45</v>
      </c>
      <c r="C279" s="5">
        <f>TITRES_STAT!D282</f>
        <v>4.8339999999999996</v>
      </c>
      <c r="D279" s="5">
        <f>TITRES_STAT!E282</f>
        <v>4.77102495412844</v>
      </c>
      <c r="E279" s="2">
        <f t="shared" si="16"/>
        <v>-190.59137497478852</v>
      </c>
      <c r="F279" s="5" t="str">
        <f t="shared" si="19"/>
        <v>BULLISH</v>
      </c>
      <c r="G279" s="5" t="str">
        <f t="shared" si="18"/>
        <v>WEAK</v>
      </c>
      <c r="H279" s="5" t="str">
        <f t="shared" si="17"/>
        <v>BULLISH DIVERGENCE</v>
      </c>
    </row>
    <row r="280" spans="1:8" ht="13.5" x14ac:dyDescent="0.25">
      <c r="A280" s="3">
        <f>TITRES_STAT!B283</f>
        <v>45323</v>
      </c>
      <c r="B280" s="5">
        <f>TITRES_STAT!C283</f>
        <v>5.5</v>
      </c>
      <c r="C280" s="5">
        <f>TITRES_STAT!D283</f>
        <v>4.8789999999999996</v>
      </c>
      <c r="D280" s="5">
        <f>TITRES_STAT!E283</f>
        <v>4.8789999999999996</v>
      </c>
      <c r="E280" s="2">
        <f t="shared" si="16"/>
        <v>-185.71237497478853</v>
      </c>
      <c r="F280" s="5" t="str">
        <f t="shared" si="19"/>
        <v>BULLISH</v>
      </c>
      <c r="G280" s="5" t="str">
        <f t="shared" si="18"/>
        <v>WEAK</v>
      </c>
      <c r="H280" s="5" t="str">
        <f t="shared" si="17"/>
        <v>BULLISH DIVERGENCE</v>
      </c>
    </row>
    <row r="281" spans="1:8" ht="13.5" x14ac:dyDescent="0.25">
      <c r="A281" s="3">
        <f>TITRES_STAT!B284</f>
        <v>45324</v>
      </c>
      <c r="B281" s="5">
        <f>TITRES_STAT!C284</f>
        <v>5.49</v>
      </c>
      <c r="C281" s="5">
        <f>TITRES_STAT!D284</f>
        <v>4.87</v>
      </c>
      <c r="D281" s="5">
        <f>TITRES_STAT!E284</f>
        <v>4.5861384335154831</v>
      </c>
      <c r="E281" s="2">
        <f t="shared" si="16"/>
        <v>-190.29851340830402</v>
      </c>
      <c r="F281" s="5" t="str">
        <f t="shared" si="19"/>
        <v>BULLISH</v>
      </c>
      <c r="G281" s="5" t="str">
        <f t="shared" si="18"/>
        <v>WEAK</v>
      </c>
      <c r="H281" s="5" t="str">
        <f t="shared" si="17"/>
        <v>CONFIRMED BULLISH</v>
      </c>
    </row>
    <row r="282" spans="1:8" ht="13.5" x14ac:dyDescent="0.25">
      <c r="A282" s="3">
        <f>TITRES_STAT!B285</f>
        <v>45327</v>
      </c>
      <c r="B282" s="5">
        <f>TITRES_STAT!C285</f>
        <v>5.29</v>
      </c>
      <c r="C282" s="5">
        <f>TITRES_STAT!D285</f>
        <v>4.6920000000000002</v>
      </c>
      <c r="D282" s="5">
        <f>TITRES_STAT!E285</f>
        <v>4.6866782608695647</v>
      </c>
      <c r="E282" s="2">
        <f t="shared" si="16"/>
        <v>-194.98519166917359</v>
      </c>
      <c r="F282" s="5" t="str">
        <f t="shared" si="19"/>
        <v>BEARISH</v>
      </c>
      <c r="G282" s="5" t="str">
        <f t="shared" si="18"/>
        <v>STRONG</v>
      </c>
      <c r="H282" s="5" t="str">
        <f t="shared" si="17"/>
        <v>CONFIRMED BEARISH</v>
      </c>
    </row>
    <row r="283" spans="1:8" ht="13.5" x14ac:dyDescent="0.25">
      <c r="A283" s="3">
        <f>TITRES_STAT!B286</f>
        <v>45328</v>
      </c>
      <c r="B283" s="5">
        <f>TITRES_STAT!C286</f>
        <v>5.38</v>
      </c>
      <c r="C283" s="5">
        <f>TITRES_STAT!D286</f>
        <v>4.7720000000000002</v>
      </c>
      <c r="D283" s="5">
        <f>TITRES_STAT!E286</f>
        <v>4.6815271375464684</v>
      </c>
      <c r="E283" s="2">
        <f t="shared" si="16"/>
        <v>-190.30366453162711</v>
      </c>
      <c r="F283" s="5" t="str">
        <f t="shared" si="19"/>
        <v>BEARISH</v>
      </c>
      <c r="G283" s="5" t="str">
        <f t="shared" si="18"/>
        <v>STRONG</v>
      </c>
      <c r="H283" s="5" t="str">
        <f t="shared" si="17"/>
        <v>CONFIRMED BEARISH</v>
      </c>
    </row>
    <row r="284" spans="1:8" ht="13.5" x14ac:dyDescent="0.25">
      <c r="A284" s="3">
        <f>TITRES_STAT!B287</f>
        <v>45329</v>
      </c>
      <c r="B284" s="5">
        <f>TITRES_STAT!C287</f>
        <v>5.3</v>
      </c>
      <c r="C284" s="5">
        <f>TITRES_STAT!D287</f>
        <v>4.7009999999999996</v>
      </c>
      <c r="D284" s="5">
        <f>TITRES_STAT!E287</f>
        <v>4.7116437735849059</v>
      </c>
      <c r="E284" s="2">
        <f t="shared" si="16"/>
        <v>-195.01530830521202</v>
      </c>
      <c r="F284" s="5" t="str">
        <f t="shared" si="19"/>
        <v>BEARISH</v>
      </c>
      <c r="G284" s="5" t="str">
        <f t="shared" si="18"/>
        <v>STRONG</v>
      </c>
      <c r="H284" s="5" t="str">
        <f t="shared" si="17"/>
        <v>CONFIRMED BEARISH</v>
      </c>
    </row>
    <row r="285" spans="1:8" ht="13.5" x14ac:dyDescent="0.25">
      <c r="A285" s="3">
        <f>TITRES_STAT!B288</f>
        <v>45330</v>
      </c>
      <c r="B285" s="5">
        <f>TITRES_STAT!C288</f>
        <v>5.39</v>
      </c>
      <c r="C285" s="5">
        <f>TITRES_STAT!D288</f>
        <v>4.7809999999999997</v>
      </c>
      <c r="D285" s="5">
        <f>TITRES_STAT!E288</f>
        <v>4.7011688311688307</v>
      </c>
      <c r="E285" s="2">
        <f t="shared" si="16"/>
        <v>-190.31413947404317</v>
      </c>
      <c r="F285" s="5" t="str">
        <f t="shared" si="19"/>
        <v>BEARISH</v>
      </c>
      <c r="G285" s="5" t="str">
        <f t="shared" si="18"/>
        <v>STRONG</v>
      </c>
      <c r="H285" s="5" t="str">
        <f t="shared" si="17"/>
        <v>CONFIRMED BEARISH</v>
      </c>
    </row>
    <row r="286" spans="1:8" ht="13.5" x14ac:dyDescent="0.25">
      <c r="A286" s="3">
        <f>TITRES_STAT!B289</f>
        <v>45331</v>
      </c>
      <c r="B286" s="5">
        <f>TITRES_STAT!C289</f>
        <v>5.39</v>
      </c>
      <c r="C286" s="5">
        <f>TITRES_STAT!D289</f>
        <v>4.7809999999999997</v>
      </c>
      <c r="D286" s="5">
        <f>TITRES_STAT!E289</f>
        <v>4.7809999999999997</v>
      </c>
      <c r="E286" s="2">
        <f t="shared" si="16"/>
        <v>-190.31413947404317</v>
      </c>
      <c r="F286" s="5" t="str">
        <f t="shared" si="19"/>
        <v>BEARISH</v>
      </c>
      <c r="G286" s="5" t="str">
        <f t="shared" si="18"/>
        <v>NEUTRAL</v>
      </c>
      <c r="H286" s="5" t="str">
        <f t="shared" si="17"/>
        <v>CONFIRMED BEARISH</v>
      </c>
    </row>
    <row r="287" spans="1:8" ht="13.5" x14ac:dyDescent="0.25">
      <c r="A287" s="3">
        <f>TITRES_STAT!B290</f>
        <v>45334</v>
      </c>
      <c r="B287" s="5">
        <f>TITRES_STAT!C290</f>
        <v>5.3</v>
      </c>
      <c r="C287" s="5">
        <f>TITRES_STAT!D290</f>
        <v>4.7009999999999996</v>
      </c>
      <c r="D287" s="5">
        <f>TITRES_STAT!E290</f>
        <v>4.6318154716981139</v>
      </c>
      <c r="E287" s="2">
        <f t="shared" si="16"/>
        <v>-194.94595494574128</v>
      </c>
      <c r="F287" s="5" t="str">
        <f t="shared" si="19"/>
        <v>BULLISH</v>
      </c>
      <c r="G287" s="5" t="str">
        <f t="shared" si="18"/>
        <v>NEUTRAL</v>
      </c>
      <c r="H287" s="5" t="str">
        <f t="shared" si="17"/>
        <v>CONFIRMED BULLISH</v>
      </c>
    </row>
    <row r="288" spans="1:8" ht="13.5" x14ac:dyDescent="0.25">
      <c r="A288" s="3">
        <f>TITRES_STAT!B291</f>
        <v>45335</v>
      </c>
      <c r="B288" s="5">
        <f>TITRES_STAT!C291</f>
        <v>5.3</v>
      </c>
      <c r="C288" s="5">
        <f>TITRES_STAT!D291</f>
        <v>4.7009999999999996</v>
      </c>
      <c r="D288" s="5">
        <f>TITRES_STAT!E291</f>
        <v>4.6850343396226419</v>
      </c>
      <c r="E288" s="2">
        <f t="shared" si="16"/>
        <v>-194.94595494574128</v>
      </c>
      <c r="F288" s="5" t="str">
        <f t="shared" si="19"/>
        <v>BEARISH</v>
      </c>
      <c r="G288" s="5" t="str">
        <f t="shared" si="18"/>
        <v>STRONG</v>
      </c>
      <c r="H288" s="5" t="str">
        <f t="shared" si="17"/>
        <v>CONFIRMED BEARISH</v>
      </c>
    </row>
    <row r="289" spans="1:8" ht="13.5" x14ac:dyDescent="0.25">
      <c r="A289" s="3">
        <f>TITRES_STAT!B292</f>
        <v>45336</v>
      </c>
      <c r="B289" s="5">
        <f>TITRES_STAT!C292</f>
        <v>5.29</v>
      </c>
      <c r="C289" s="5">
        <f>TITRES_STAT!D292</f>
        <v>4.6920000000000002</v>
      </c>
      <c r="D289" s="5">
        <f>TITRES_STAT!E292</f>
        <v>4.6999826086956524</v>
      </c>
      <c r="E289" s="2">
        <f t="shared" si="16"/>
        <v>-199.64593755443693</v>
      </c>
      <c r="F289" s="5" t="str">
        <f t="shared" si="19"/>
        <v>BEARISH</v>
      </c>
      <c r="G289" s="5" t="str">
        <f t="shared" si="18"/>
        <v>STRONG</v>
      </c>
      <c r="H289" s="5" t="str">
        <f t="shared" si="17"/>
        <v>CONFIRMED BEARISH</v>
      </c>
    </row>
    <row r="290" spans="1:8" ht="13.5" x14ac:dyDescent="0.25">
      <c r="A290" s="3">
        <f>TITRES_STAT!B293</f>
        <v>45337</v>
      </c>
      <c r="B290" s="5">
        <f>TITRES_STAT!C293</f>
        <v>5.29</v>
      </c>
      <c r="C290" s="5">
        <f>TITRES_STAT!D293</f>
        <v>4.6920000000000002</v>
      </c>
      <c r="D290" s="5">
        <f>TITRES_STAT!E293</f>
        <v>4.6547478260869566</v>
      </c>
      <c r="E290" s="2">
        <f t="shared" si="16"/>
        <v>-199.64593755443693</v>
      </c>
      <c r="F290" s="5" t="str">
        <f t="shared" si="19"/>
        <v>BEARISH</v>
      </c>
      <c r="G290" s="5" t="str">
        <f t="shared" si="18"/>
        <v>STRONG</v>
      </c>
      <c r="H290" s="5" t="str">
        <f t="shared" si="17"/>
        <v>CONFIRMED BEARISH</v>
      </c>
    </row>
    <row r="291" spans="1:8" ht="13.5" x14ac:dyDescent="0.25">
      <c r="A291" s="3">
        <f>TITRES_STAT!B294</f>
        <v>45338</v>
      </c>
      <c r="B291" s="5">
        <f>TITRES_STAT!C294</f>
        <v>5.3</v>
      </c>
      <c r="C291" s="5">
        <f>TITRES_STAT!D294</f>
        <v>4.7009999999999996</v>
      </c>
      <c r="D291" s="5">
        <f>TITRES_STAT!E294</f>
        <v>4.6894692452830187</v>
      </c>
      <c r="E291" s="2">
        <f t="shared" si="16"/>
        <v>-194.95646830915391</v>
      </c>
      <c r="F291" s="5" t="str">
        <f t="shared" si="19"/>
        <v>BEARISH</v>
      </c>
      <c r="G291" s="5" t="str">
        <f t="shared" si="18"/>
        <v>STRONG</v>
      </c>
      <c r="H291" s="5" t="str">
        <f t="shared" si="17"/>
        <v>CONFIRMED BEARISH</v>
      </c>
    </row>
    <row r="292" spans="1:8" ht="13.5" x14ac:dyDescent="0.25">
      <c r="A292" s="3">
        <f>TITRES_STAT!B295</f>
        <v>45341</v>
      </c>
      <c r="B292" s="5">
        <f>TITRES_STAT!C295</f>
        <v>5.58</v>
      </c>
      <c r="C292" s="5">
        <f>TITRES_STAT!D295</f>
        <v>4.95</v>
      </c>
      <c r="D292" s="5">
        <f>TITRES_STAT!E295</f>
        <v>4.7521774193548385</v>
      </c>
      <c r="E292" s="2">
        <f t="shared" si="16"/>
        <v>-190.20429088979907</v>
      </c>
      <c r="F292" s="5" t="str">
        <f t="shared" si="19"/>
        <v>BULLISH</v>
      </c>
      <c r="G292" s="5" t="str">
        <f t="shared" si="18"/>
        <v>WEAK</v>
      </c>
      <c r="H292" s="5" t="str">
        <f t="shared" si="17"/>
        <v>CONFIRMED BULLISH</v>
      </c>
    </row>
    <row r="293" spans="1:8" ht="13.5" x14ac:dyDescent="0.25">
      <c r="A293" s="3">
        <f>TITRES_STAT!B296</f>
        <v>45342</v>
      </c>
      <c r="B293" s="5">
        <f>TITRES_STAT!C296</f>
        <v>5.58</v>
      </c>
      <c r="C293" s="5">
        <f>TITRES_STAT!D296</f>
        <v>4.95</v>
      </c>
      <c r="D293" s="5">
        <f>TITRES_STAT!E296</f>
        <v>4.95</v>
      </c>
      <c r="E293" s="2">
        <f t="shared" si="16"/>
        <v>-190.20429088979907</v>
      </c>
      <c r="F293" s="5" t="str">
        <f t="shared" si="19"/>
        <v>BULLISH</v>
      </c>
      <c r="G293" s="5" t="str">
        <f t="shared" si="18"/>
        <v>WEAK</v>
      </c>
      <c r="H293" s="5" t="str">
        <f t="shared" si="17"/>
        <v>CONFIRMED BULLISH</v>
      </c>
    </row>
    <row r="294" spans="1:8" ht="13.5" x14ac:dyDescent="0.25">
      <c r="A294" s="3">
        <f>TITRES_STAT!B297</f>
        <v>45343</v>
      </c>
      <c r="B294" s="5">
        <f>TITRES_STAT!C297</f>
        <v>5.55</v>
      </c>
      <c r="C294" s="5">
        <f>TITRES_STAT!D297</f>
        <v>4.923</v>
      </c>
      <c r="D294" s="5">
        <f>TITRES_STAT!E297</f>
        <v>4.923</v>
      </c>
      <c r="E294" s="2">
        <f t="shared" si="16"/>
        <v>-195.12729088979907</v>
      </c>
      <c r="F294" s="5" t="str">
        <f t="shared" si="19"/>
        <v>BULLISH</v>
      </c>
      <c r="G294" s="5" t="str">
        <f t="shared" si="18"/>
        <v>WEAK</v>
      </c>
      <c r="H294" s="5" t="str">
        <f t="shared" si="17"/>
        <v>CONFIRMED BULLISH</v>
      </c>
    </row>
    <row r="295" spans="1:8" ht="13.5" x14ac:dyDescent="0.25">
      <c r="A295" s="3">
        <f>TITRES_STAT!B298</f>
        <v>45344</v>
      </c>
      <c r="B295" s="5">
        <f>TITRES_STAT!C298</f>
        <v>5.58</v>
      </c>
      <c r="C295" s="5">
        <f>TITRES_STAT!D298</f>
        <v>4.95</v>
      </c>
      <c r="D295" s="5">
        <f>TITRES_STAT!E298</f>
        <v>4.9091935483870968</v>
      </c>
      <c r="E295" s="2">
        <f t="shared" si="16"/>
        <v>-190.21809734141198</v>
      </c>
      <c r="F295" s="5" t="str">
        <f t="shared" si="19"/>
        <v>BULLISH</v>
      </c>
      <c r="G295" s="5" t="str">
        <f t="shared" si="18"/>
        <v>WEAK</v>
      </c>
      <c r="H295" s="5" t="str">
        <f t="shared" si="17"/>
        <v>CONFIRMED BULLISH</v>
      </c>
    </row>
    <row r="296" spans="1:8" ht="13.5" x14ac:dyDescent="0.25">
      <c r="A296" s="3">
        <f>TITRES_STAT!B299</f>
        <v>45345</v>
      </c>
      <c r="B296" s="5">
        <f>TITRES_STAT!C299</f>
        <v>5.58</v>
      </c>
      <c r="C296" s="5">
        <f>TITRES_STAT!D299</f>
        <v>4.95</v>
      </c>
      <c r="D296" s="5">
        <f>TITRES_STAT!E299</f>
        <v>4.9553225806451611</v>
      </c>
      <c r="E296" s="2">
        <f t="shared" si="16"/>
        <v>-190.21809734141198</v>
      </c>
      <c r="F296" s="5" t="str">
        <f t="shared" si="19"/>
        <v>BULLISH</v>
      </c>
      <c r="G296" s="5" t="str">
        <f t="shared" si="18"/>
        <v>WEAK</v>
      </c>
      <c r="H296" s="5" t="str">
        <f t="shared" si="17"/>
        <v>CONFIRMED BULLISH</v>
      </c>
    </row>
    <row r="297" spans="1:8" ht="13.5" x14ac:dyDescent="0.25">
      <c r="A297" s="3">
        <f>TITRES_STAT!B300</f>
        <v>45348</v>
      </c>
      <c r="B297" s="5">
        <f>TITRES_STAT!C300</f>
        <v>5.57</v>
      </c>
      <c r="C297" s="5">
        <f>TITRES_STAT!D300</f>
        <v>4.9409999999999998</v>
      </c>
      <c r="D297" s="5">
        <f>TITRES_STAT!E300</f>
        <v>4.9498707360861758</v>
      </c>
      <c r="E297" s="2">
        <f t="shared" si="16"/>
        <v>-195.16796807749816</v>
      </c>
      <c r="F297" s="5" t="str">
        <f t="shared" si="19"/>
        <v>BEARISH</v>
      </c>
      <c r="G297" s="5" t="str">
        <f t="shared" si="18"/>
        <v>STRONG</v>
      </c>
      <c r="H297" s="5" t="str">
        <f t="shared" si="17"/>
        <v>CONFIRMED BEARISH</v>
      </c>
    </row>
    <row r="298" spans="1:8" ht="13.5" x14ac:dyDescent="0.25">
      <c r="A298" s="3">
        <f>TITRES_STAT!B301</f>
        <v>45349</v>
      </c>
      <c r="B298" s="5">
        <f>TITRES_STAT!C301</f>
        <v>5.68</v>
      </c>
      <c r="C298" s="5">
        <f>TITRES_STAT!D301</f>
        <v>5.0380000000000003</v>
      </c>
      <c r="D298" s="5">
        <f>TITRES_STAT!E301</f>
        <v>4.954624647887325</v>
      </c>
      <c r="E298" s="2">
        <f t="shared" si="16"/>
        <v>-190.21334342961083</v>
      </c>
      <c r="F298" s="5" t="str">
        <f t="shared" si="19"/>
        <v>BEARISH</v>
      </c>
      <c r="G298" s="5" t="str">
        <f t="shared" si="18"/>
        <v>NEUTRAL</v>
      </c>
      <c r="H298" s="5" t="str">
        <f t="shared" si="17"/>
        <v>BEARISH DIVERGENCE</v>
      </c>
    </row>
    <row r="299" spans="1:8" ht="13.5" x14ac:dyDescent="0.25">
      <c r="A299" s="3">
        <f>TITRES_STAT!B302</f>
        <v>45350</v>
      </c>
      <c r="B299" s="5">
        <f>TITRES_STAT!C302</f>
        <v>5.68</v>
      </c>
      <c r="C299" s="5">
        <f>TITRES_STAT!D302</f>
        <v>5.0380000000000003</v>
      </c>
      <c r="D299" s="5">
        <f>TITRES_STAT!E302</f>
        <v>5.0362260563380286</v>
      </c>
      <c r="E299" s="2">
        <f t="shared" si="16"/>
        <v>-190.21334342961083</v>
      </c>
      <c r="F299" s="5" t="str">
        <f t="shared" si="19"/>
        <v>BULLISH</v>
      </c>
      <c r="G299" s="5" t="str">
        <f t="shared" si="18"/>
        <v>WEAK</v>
      </c>
      <c r="H299" s="5" t="str">
        <f t="shared" si="17"/>
        <v>CONFIRMED BULLISH</v>
      </c>
    </row>
    <row r="300" spans="1:8" ht="13.5" x14ac:dyDescent="0.25">
      <c r="A300" s="3">
        <f>TITRES_STAT!B303</f>
        <v>45351</v>
      </c>
      <c r="B300" s="5">
        <f>TITRES_STAT!C303</f>
        <v>5.75</v>
      </c>
      <c r="C300" s="5">
        <f>TITRES_STAT!D303</f>
        <v>5.0999999999999996</v>
      </c>
      <c r="D300" s="5">
        <f>TITRES_STAT!E303</f>
        <v>5.0529913043478265</v>
      </c>
      <c r="E300" s="2">
        <f t="shared" si="16"/>
        <v>-185.16035212526302</v>
      </c>
      <c r="F300" s="5" t="str">
        <f t="shared" si="19"/>
        <v>BULLISH</v>
      </c>
      <c r="G300" s="5" t="str">
        <f t="shared" si="18"/>
        <v>WEAK</v>
      </c>
      <c r="H300" s="5" t="str">
        <f t="shared" si="17"/>
        <v>CONFIRMED BULLISH</v>
      </c>
    </row>
    <row r="301" spans="1:8" ht="13.5" x14ac:dyDescent="0.25">
      <c r="A301" s="3">
        <f>TITRES_STAT!B304</f>
        <v>45352</v>
      </c>
      <c r="B301" s="5">
        <f>TITRES_STAT!C304</f>
        <v>5.65</v>
      </c>
      <c r="C301" s="5">
        <f>TITRES_STAT!D304</f>
        <v>5.0119999999999996</v>
      </c>
      <c r="D301" s="5">
        <f>TITRES_STAT!E304</f>
        <v>5.0119999999999996</v>
      </c>
      <c r="E301" s="2">
        <f t="shared" si="16"/>
        <v>-190.17235212526302</v>
      </c>
      <c r="F301" s="5" t="str">
        <f t="shared" si="19"/>
        <v>BULLISH</v>
      </c>
      <c r="G301" s="5" t="str">
        <f t="shared" si="18"/>
        <v>NEUTRAL</v>
      </c>
      <c r="H301" s="5" t="str">
        <f t="shared" si="17"/>
        <v>CONFIRMED BULLISH</v>
      </c>
    </row>
    <row r="302" spans="1:8" ht="13.5" x14ac:dyDescent="0.25">
      <c r="A302" s="3">
        <f>TITRES_STAT!B305</f>
        <v>45355</v>
      </c>
      <c r="B302" s="5">
        <f>TITRES_STAT!C305</f>
        <v>5.83</v>
      </c>
      <c r="C302" s="5">
        <f>TITRES_STAT!D305</f>
        <v>5.1710000000000003</v>
      </c>
      <c r="D302" s="5">
        <f>TITRES_STAT!E305</f>
        <v>5.1080255574614064</v>
      </c>
      <c r="E302" s="2">
        <f t="shared" si="16"/>
        <v>-185.0643265678016</v>
      </c>
      <c r="F302" s="5" t="str">
        <f t="shared" si="19"/>
        <v>BULLISH</v>
      </c>
      <c r="G302" s="5" t="str">
        <f t="shared" si="18"/>
        <v>WEAK</v>
      </c>
      <c r="H302" s="5" t="str">
        <f t="shared" si="17"/>
        <v>CONFIRMED BULLISH</v>
      </c>
    </row>
    <row r="303" spans="1:8" ht="13.5" x14ac:dyDescent="0.25">
      <c r="A303" s="3">
        <f>TITRES_STAT!B306</f>
        <v>45356</v>
      </c>
      <c r="B303" s="5">
        <f>TITRES_STAT!C306</f>
        <v>6</v>
      </c>
      <c r="C303" s="5">
        <f>TITRES_STAT!D306</f>
        <v>5.3220000000000001</v>
      </c>
      <c r="D303" s="5">
        <f>TITRES_STAT!E306</f>
        <v>5.2501530000000001</v>
      </c>
      <c r="E303" s="2">
        <f t="shared" si="16"/>
        <v>-179.81417356780159</v>
      </c>
      <c r="F303" s="5" t="str">
        <f t="shared" si="19"/>
        <v>BULLISH</v>
      </c>
      <c r="G303" s="5" t="str">
        <f t="shared" si="18"/>
        <v>WEAK</v>
      </c>
      <c r="H303" s="5" t="str">
        <f t="shared" si="17"/>
        <v>CONFIRMED BULLISH</v>
      </c>
    </row>
    <row r="304" spans="1:8" ht="13.5" x14ac:dyDescent="0.25">
      <c r="A304" s="3">
        <f>TITRES_STAT!B307</f>
        <v>45357</v>
      </c>
      <c r="B304" s="5">
        <f>TITRES_STAT!C307</f>
        <v>6.05</v>
      </c>
      <c r="C304" s="5">
        <f>TITRES_STAT!D307</f>
        <v>5.3659999999999997</v>
      </c>
      <c r="D304" s="5">
        <f>TITRES_STAT!E307</f>
        <v>5.3633391735537179</v>
      </c>
      <c r="E304" s="2">
        <f t="shared" si="16"/>
        <v>-174.45083439424786</v>
      </c>
      <c r="F304" s="5" t="str">
        <f t="shared" si="19"/>
        <v>BULLISH</v>
      </c>
      <c r="G304" s="5" t="str">
        <f t="shared" si="18"/>
        <v>WEAK</v>
      </c>
      <c r="H304" s="5" t="str">
        <f t="shared" si="17"/>
        <v>CONFIRMED BULLISH</v>
      </c>
    </row>
    <row r="305" spans="1:8" ht="13.5" x14ac:dyDescent="0.25">
      <c r="A305" s="3">
        <f>TITRES_STAT!B308</f>
        <v>45358</v>
      </c>
      <c r="B305" s="5">
        <f>TITRES_STAT!C308</f>
        <v>6</v>
      </c>
      <c r="C305" s="5">
        <f>TITRES_STAT!D308</f>
        <v>5.3220000000000001</v>
      </c>
      <c r="D305" s="5">
        <f>TITRES_STAT!E308</f>
        <v>5.359254</v>
      </c>
      <c r="E305" s="2">
        <f t="shared" si="16"/>
        <v>-179.81008839424786</v>
      </c>
      <c r="F305" s="5" t="str">
        <f t="shared" si="19"/>
        <v>BULLISH</v>
      </c>
      <c r="G305" s="5" t="str">
        <f t="shared" si="18"/>
        <v>WEAK</v>
      </c>
      <c r="H305" s="5" t="str">
        <f t="shared" si="17"/>
        <v>CONFIRMED BULLISH</v>
      </c>
    </row>
    <row r="306" spans="1:8" ht="13.5" x14ac:dyDescent="0.25">
      <c r="A306" s="3">
        <f>TITRES_STAT!B309</f>
        <v>45359</v>
      </c>
      <c r="B306" s="5">
        <f>TITRES_STAT!C309</f>
        <v>5.99</v>
      </c>
      <c r="C306" s="5">
        <f>TITRES_STAT!D309</f>
        <v>5.3129999999999997</v>
      </c>
      <c r="D306" s="5">
        <f>TITRES_STAT!E309</f>
        <v>5.3129999999999997</v>
      </c>
      <c r="E306" s="2">
        <f t="shared" si="16"/>
        <v>-185.12308839424784</v>
      </c>
      <c r="F306" s="5" t="str">
        <f t="shared" si="19"/>
        <v>BULLISH</v>
      </c>
      <c r="G306" s="5" t="str">
        <f t="shared" si="18"/>
        <v>WEAK</v>
      </c>
      <c r="H306" s="5" t="str">
        <f t="shared" si="17"/>
        <v>CONFIRMED BULLISH</v>
      </c>
    </row>
    <row r="307" spans="1:8" ht="13.5" x14ac:dyDescent="0.25">
      <c r="A307" s="3">
        <f>TITRES_STAT!B310</f>
        <v>45362</v>
      </c>
      <c r="B307" s="5">
        <f>TITRES_STAT!C310</f>
        <v>5.97</v>
      </c>
      <c r="C307" s="5">
        <f>TITRES_STAT!D310</f>
        <v>5.2960000000000003</v>
      </c>
      <c r="D307" s="5">
        <f>TITRES_STAT!E310</f>
        <v>5.3119678391959813</v>
      </c>
      <c r="E307" s="2">
        <f t="shared" si="16"/>
        <v>-190.43505623344382</v>
      </c>
      <c r="F307" s="5" t="str">
        <f t="shared" si="19"/>
        <v>BEARISH</v>
      </c>
      <c r="G307" s="5" t="str">
        <f t="shared" si="18"/>
        <v>STRONG</v>
      </c>
      <c r="H307" s="5" t="str">
        <f t="shared" si="17"/>
        <v>BEARISH DIVERGENCE</v>
      </c>
    </row>
    <row r="308" spans="1:8" ht="13.5" x14ac:dyDescent="0.25">
      <c r="A308" s="3">
        <f>TITRES_STAT!B311</f>
        <v>45363</v>
      </c>
      <c r="B308" s="5">
        <f>TITRES_STAT!C311</f>
        <v>6.04</v>
      </c>
      <c r="C308" s="5">
        <f>TITRES_STAT!D311</f>
        <v>5.3579999999999997</v>
      </c>
      <c r="D308" s="5">
        <f>TITRES_STAT!E311</f>
        <v>5.3074360927152311</v>
      </c>
      <c r="E308" s="2">
        <f t="shared" si="16"/>
        <v>-185.1276201407286</v>
      </c>
      <c r="F308" s="5" t="str">
        <f t="shared" si="19"/>
        <v>BEARISH</v>
      </c>
      <c r="G308" s="5" t="str">
        <f t="shared" si="18"/>
        <v>STRONG</v>
      </c>
      <c r="H308" s="5" t="str">
        <f t="shared" si="17"/>
        <v>BEARISH DIVERGENCE</v>
      </c>
    </row>
    <row r="309" spans="1:8" ht="13.5" x14ac:dyDescent="0.25">
      <c r="A309" s="3">
        <f>TITRES_STAT!B312</f>
        <v>45364</v>
      </c>
      <c r="B309" s="5">
        <f>TITRES_STAT!C312</f>
        <v>6.04</v>
      </c>
      <c r="C309" s="5">
        <f>TITRES_STAT!D312</f>
        <v>5.3579999999999997</v>
      </c>
      <c r="D309" s="5">
        <f>TITRES_STAT!E312</f>
        <v>0</v>
      </c>
      <c r="E309" s="2">
        <f t="shared" si="16"/>
        <v>-185.1276201407286</v>
      </c>
      <c r="F309" s="5" t="str">
        <f t="shared" si="19"/>
        <v>BEARISH</v>
      </c>
      <c r="G309" s="5" t="str">
        <f t="shared" si="18"/>
        <v>STRONG</v>
      </c>
      <c r="H309" s="5" t="str">
        <f t="shared" si="17"/>
        <v>CONFIRMED BEARISH</v>
      </c>
    </row>
    <row r="310" spans="1:8" ht="13.5" x14ac:dyDescent="0.25">
      <c r="A310" s="3">
        <f>TITRES_STAT!B313</f>
        <v>45365</v>
      </c>
      <c r="B310" s="5">
        <f>TITRES_STAT!C313</f>
        <v>6.04</v>
      </c>
      <c r="C310" s="5">
        <f>TITRES_STAT!D313</f>
        <v>5.3579999999999997</v>
      </c>
      <c r="D310" s="5">
        <f>TITRES_STAT!E313</f>
        <v>5.3579999999999997</v>
      </c>
      <c r="E310" s="2">
        <f t="shared" si="16"/>
        <v>-185.1276201407286</v>
      </c>
      <c r="F310" s="5" t="str">
        <f t="shared" si="19"/>
        <v>BEARISH</v>
      </c>
      <c r="G310" s="5" t="str">
        <f t="shared" si="18"/>
        <v>STRONG</v>
      </c>
      <c r="H310" s="5" t="str">
        <f t="shared" si="17"/>
        <v>BEARISH DIVERGENCE</v>
      </c>
    </row>
    <row r="311" spans="1:8" ht="13.5" x14ac:dyDescent="0.25">
      <c r="A311" s="3">
        <f>TITRES_STAT!B314</f>
        <v>45366</v>
      </c>
      <c r="B311" s="5">
        <f>TITRES_STAT!C314</f>
        <v>6.04</v>
      </c>
      <c r="C311" s="5">
        <f>TITRES_STAT!D314</f>
        <v>5.3579999999999997</v>
      </c>
      <c r="D311" s="5">
        <f>TITRES_STAT!E314</f>
        <v>0</v>
      </c>
      <c r="E311" s="2">
        <f t="shared" si="16"/>
        <v>-185.1276201407286</v>
      </c>
      <c r="F311" s="5" t="str">
        <f t="shared" si="19"/>
        <v>BEARISH</v>
      </c>
      <c r="G311" s="5" t="str">
        <f t="shared" si="18"/>
        <v>NEUTRAL</v>
      </c>
      <c r="H311" s="5" t="str">
        <f t="shared" si="17"/>
        <v>BEARISH DIVERGENCE</v>
      </c>
    </row>
    <row r="312" spans="1:8" ht="13.5" x14ac:dyDescent="0.25">
      <c r="A312" s="3">
        <f>TITRES_STAT!B315</f>
        <v>45369</v>
      </c>
      <c r="B312" s="5">
        <f>TITRES_STAT!C315</f>
        <v>6.04</v>
      </c>
      <c r="C312" s="5">
        <f>TITRES_STAT!D315</f>
        <v>5.3579999999999997</v>
      </c>
      <c r="D312" s="5">
        <f>TITRES_STAT!E315</f>
        <v>0</v>
      </c>
      <c r="E312" s="2">
        <f t="shared" si="16"/>
        <v>-185.1276201407286</v>
      </c>
      <c r="F312" s="5" t="str">
        <f t="shared" si="19"/>
        <v>BULLISH</v>
      </c>
      <c r="G312" s="5" t="str">
        <f t="shared" si="18"/>
        <v>WEAK</v>
      </c>
      <c r="H312" s="5" t="str">
        <f t="shared" si="17"/>
        <v>CONFIRMED BULLISH</v>
      </c>
    </row>
    <row r="313" spans="1:8" ht="13.5" x14ac:dyDescent="0.25">
      <c r="A313" s="3">
        <f>TITRES_STAT!B316</f>
        <v>45370</v>
      </c>
      <c r="B313" s="5">
        <f>TITRES_STAT!C316</f>
        <v>6.04</v>
      </c>
      <c r="C313" s="5">
        <f>TITRES_STAT!D316</f>
        <v>5.3579999999999997</v>
      </c>
      <c r="D313" s="5">
        <f>TITRES_STAT!E316</f>
        <v>0</v>
      </c>
      <c r="E313" s="2">
        <f t="shared" si="16"/>
        <v>-185.1276201407286</v>
      </c>
      <c r="F313" s="5" t="str">
        <f t="shared" si="19"/>
        <v>NEUTRAL</v>
      </c>
      <c r="G313" s="5" t="str">
        <f t="shared" si="18"/>
        <v>NEUTRAL</v>
      </c>
      <c r="H313" s="5" t="str">
        <f t="shared" si="17"/>
        <v>NEUTRAL</v>
      </c>
    </row>
    <row r="314" spans="1:8" ht="13.5" x14ac:dyDescent="0.25">
      <c r="A314" s="3">
        <f>TITRES_STAT!B317</f>
        <v>45372</v>
      </c>
      <c r="B314" s="5">
        <f>TITRES_STAT!C317</f>
        <v>5.99</v>
      </c>
      <c r="C314" s="5">
        <f>TITRES_STAT!D317</f>
        <v>5.3129999999999997</v>
      </c>
      <c r="D314" s="5">
        <f>TITRES_STAT!E317</f>
        <v>5.3129999999999997</v>
      </c>
      <c r="E314" s="2">
        <f t="shared" si="16"/>
        <v>-190.44062014072858</v>
      </c>
      <c r="F314" s="5" t="str">
        <f t="shared" si="19"/>
        <v>BEARISH</v>
      </c>
      <c r="G314" s="5" t="str">
        <f t="shared" si="18"/>
        <v>STRONG</v>
      </c>
      <c r="H314" s="5" t="str">
        <f t="shared" si="17"/>
        <v>CONFIRMED BEARISH</v>
      </c>
    </row>
    <row r="315" spans="1:8" ht="13.5" x14ac:dyDescent="0.25">
      <c r="A315" s="3">
        <f>TITRES_STAT!B318</f>
        <v>45373</v>
      </c>
      <c r="B315" s="5">
        <f>TITRES_STAT!C318</f>
        <v>6.02</v>
      </c>
      <c r="C315" s="5">
        <f>TITRES_STAT!D318</f>
        <v>5.34</v>
      </c>
      <c r="D315" s="5">
        <f>TITRES_STAT!E318</f>
        <v>5.2104916943521591</v>
      </c>
      <c r="E315" s="2">
        <f t="shared" si="16"/>
        <v>-185.23012844637643</v>
      </c>
      <c r="F315" s="5" t="str">
        <f t="shared" si="19"/>
        <v>BEARISH</v>
      </c>
      <c r="G315" s="5" t="str">
        <f t="shared" si="18"/>
        <v>NEUTRAL</v>
      </c>
      <c r="H315" s="5" t="str">
        <f t="shared" si="17"/>
        <v>CONFIRMED BEARISH</v>
      </c>
    </row>
    <row r="316" spans="1:8" ht="13.5" x14ac:dyDescent="0.25">
      <c r="A316" s="3">
        <f>TITRES_STAT!B319</f>
        <v>45376</v>
      </c>
      <c r="B316" s="5">
        <f>TITRES_STAT!C319</f>
        <v>6.02</v>
      </c>
      <c r="C316" s="5">
        <f>TITRES_STAT!D319</f>
        <v>5.34</v>
      </c>
      <c r="D316" s="5">
        <f>TITRES_STAT!E319</f>
        <v>0</v>
      </c>
      <c r="E316" s="2">
        <f t="shared" si="16"/>
        <v>-185.23012844637643</v>
      </c>
      <c r="F316" s="5" t="str">
        <f t="shared" si="19"/>
        <v>BEARISH</v>
      </c>
      <c r="G316" s="5" t="str">
        <f t="shared" si="18"/>
        <v>NEUTRAL</v>
      </c>
      <c r="H316" s="5" t="str">
        <f t="shared" si="17"/>
        <v>CONFIRMED BEARISH</v>
      </c>
    </row>
    <row r="317" spans="1:8" ht="13.5" x14ac:dyDescent="0.25">
      <c r="A317" s="3">
        <f>TITRES_STAT!B320</f>
        <v>45377</v>
      </c>
      <c r="B317" s="5">
        <f>TITRES_STAT!C320</f>
        <v>6.02</v>
      </c>
      <c r="C317" s="5">
        <f>TITRES_STAT!D320</f>
        <v>5.34</v>
      </c>
      <c r="D317" s="5">
        <f>TITRES_STAT!E320</f>
        <v>5.3302425249169438</v>
      </c>
      <c r="E317" s="2">
        <f t="shared" si="16"/>
        <v>-185.23012844637643</v>
      </c>
      <c r="F317" s="5" t="str">
        <f t="shared" si="19"/>
        <v>BEARISH</v>
      </c>
      <c r="G317" s="5" t="str">
        <f t="shared" si="18"/>
        <v>NEUTRAL</v>
      </c>
      <c r="H317" s="5" t="str">
        <f t="shared" si="17"/>
        <v>CONFIRMED BEARISH</v>
      </c>
    </row>
    <row r="318" spans="1:8" ht="13.5" x14ac:dyDescent="0.25">
      <c r="A318" s="3">
        <f>TITRES_STAT!B321</f>
        <v>45378</v>
      </c>
      <c r="B318" s="5">
        <f>TITRES_STAT!C321</f>
        <v>6.02</v>
      </c>
      <c r="C318" s="5">
        <f>TITRES_STAT!D321</f>
        <v>5.34</v>
      </c>
      <c r="D318" s="5">
        <f>TITRES_STAT!E321</f>
        <v>0</v>
      </c>
      <c r="E318" s="2">
        <f t="shared" si="16"/>
        <v>-185.23012844637643</v>
      </c>
      <c r="F318" s="5" t="str">
        <f t="shared" si="19"/>
        <v>BEARISH</v>
      </c>
      <c r="G318" s="5" t="str">
        <f t="shared" si="18"/>
        <v>NEUTRAL</v>
      </c>
      <c r="H318" s="5" t="str">
        <f t="shared" si="17"/>
        <v>CONFIRMED BEARISH</v>
      </c>
    </row>
    <row r="319" spans="1:8" ht="13.5" x14ac:dyDescent="0.25">
      <c r="A319" s="3">
        <f>TITRES_STAT!B322</f>
        <v>45379</v>
      </c>
      <c r="B319" s="5">
        <f>TITRES_STAT!C322</f>
        <v>6.01</v>
      </c>
      <c r="C319" s="5">
        <f>TITRES_STAT!D322</f>
        <v>5.3310000000000004</v>
      </c>
      <c r="D319" s="5">
        <f>TITRES_STAT!E322</f>
        <v>5.3310000000000004</v>
      </c>
      <c r="E319" s="2">
        <f t="shared" si="16"/>
        <v>-190.56112844637642</v>
      </c>
      <c r="F319" s="5" t="str">
        <f t="shared" si="19"/>
        <v>BEARISH</v>
      </c>
      <c r="G319" s="5" t="str">
        <f t="shared" si="18"/>
        <v>NEUTRAL</v>
      </c>
      <c r="H319" s="5" t="str">
        <f t="shared" si="17"/>
        <v>BEARISH DIVERGENCE</v>
      </c>
    </row>
    <row r="320" spans="1:8" ht="13.5" x14ac:dyDescent="0.25">
      <c r="A320" s="3">
        <f>TITRES_STAT!B323</f>
        <v>45380</v>
      </c>
      <c r="B320" s="5">
        <f>TITRES_STAT!C323</f>
        <v>6</v>
      </c>
      <c r="C320" s="5">
        <f>TITRES_STAT!D323</f>
        <v>5.3220000000000001</v>
      </c>
      <c r="D320" s="5">
        <f>TITRES_STAT!E323</f>
        <v>5.2998249999999993</v>
      </c>
      <c r="E320" s="2">
        <f t="shared" si="16"/>
        <v>-195.86095344637641</v>
      </c>
      <c r="F320" s="5" t="str">
        <f t="shared" si="19"/>
        <v>BEARISH</v>
      </c>
      <c r="G320" s="5" t="str">
        <f t="shared" si="18"/>
        <v>STRONG</v>
      </c>
      <c r="H320" s="5" t="str">
        <f t="shared" si="17"/>
        <v>CONFIRMED BEARISH</v>
      </c>
    </row>
    <row r="321" spans="1:8" ht="13.5" x14ac:dyDescent="0.25">
      <c r="A321" s="3">
        <f>TITRES_STAT!B324</f>
        <v>45383</v>
      </c>
      <c r="B321" s="5">
        <f>TITRES_STAT!C324</f>
        <v>6.01</v>
      </c>
      <c r="C321" s="5">
        <f>TITRES_STAT!D324</f>
        <v>5.3310000000000004</v>
      </c>
      <c r="D321" s="5">
        <f>TITRES_STAT!E324</f>
        <v>5.3301129783693852</v>
      </c>
      <c r="E321" s="2">
        <f t="shared" si="16"/>
        <v>-190.53084046800703</v>
      </c>
      <c r="F321" s="5" t="str">
        <f t="shared" si="19"/>
        <v>BEARISH</v>
      </c>
      <c r="G321" s="5" t="str">
        <f t="shared" si="18"/>
        <v>STRONG</v>
      </c>
      <c r="H321" s="5" t="str">
        <f t="shared" si="17"/>
        <v>CONFIRMED BEARISH</v>
      </c>
    </row>
    <row r="322" spans="1:8" ht="13.5" x14ac:dyDescent="0.25">
      <c r="A322" s="3">
        <f>TITRES_STAT!B325</f>
        <v>45384</v>
      </c>
      <c r="B322" s="5">
        <f>TITRES_STAT!C325</f>
        <v>6.01</v>
      </c>
      <c r="C322" s="5">
        <f>TITRES_STAT!D325</f>
        <v>5.3310000000000004</v>
      </c>
      <c r="D322" s="5">
        <f>TITRES_STAT!E325</f>
        <v>5.3265648918469219</v>
      </c>
      <c r="E322" s="2">
        <f t="shared" si="16"/>
        <v>-190.53084046800703</v>
      </c>
      <c r="F322" s="5" t="str">
        <f t="shared" si="19"/>
        <v>BEARISH</v>
      </c>
      <c r="G322" s="5" t="str">
        <f t="shared" si="18"/>
        <v>STRONG</v>
      </c>
      <c r="H322" s="5" t="str">
        <f t="shared" si="17"/>
        <v>CONFIRMED BEARISH</v>
      </c>
    </row>
    <row r="323" spans="1:8" ht="13.5" x14ac:dyDescent="0.25">
      <c r="A323" s="3">
        <f>TITRES_STAT!B326</f>
        <v>45385</v>
      </c>
      <c r="B323" s="5">
        <f>TITRES_STAT!C326</f>
        <v>6.04</v>
      </c>
      <c r="C323" s="5">
        <f>TITRES_STAT!D326</f>
        <v>5.3579999999999997</v>
      </c>
      <c r="D323" s="5">
        <f>TITRES_STAT!E326</f>
        <v>5.3429195364238407</v>
      </c>
      <c r="E323" s="2">
        <f t="shared" si="16"/>
        <v>-185.18792093158319</v>
      </c>
      <c r="F323" s="5" t="str">
        <f t="shared" si="19"/>
        <v>BULLISH</v>
      </c>
      <c r="G323" s="5" t="str">
        <f t="shared" si="18"/>
        <v>NEUTRAL</v>
      </c>
      <c r="H323" s="5" t="str">
        <f t="shared" si="17"/>
        <v>CONFIRMED BULLISH</v>
      </c>
    </row>
    <row r="324" spans="1:8" ht="13.5" x14ac:dyDescent="0.25">
      <c r="A324" s="3">
        <f>TITRES_STAT!B327</f>
        <v>45386</v>
      </c>
      <c r="B324" s="5">
        <f>TITRES_STAT!C327</f>
        <v>6.04</v>
      </c>
      <c r="C324" s="5">
        <f>TITRES_STAT!D327</f>
        <v>5.3579999999999997</v>
      </c>
      <c r="D324" s="5">
        <f>TITRES_STAT!E327</f>
        <v>5.3579999999999997</v>
      </c>
      <c r="E324" s="2">
        <f t="shared" ref="E324:E387" si="20">IF(B324&gt;B323, E323+D324, IF(B324&lt;B323, E323-D324, E323))</f>
        <v>-185.18792093158319</v>
      </c>
      <c r="F324" s="5" t="str">
        <f t="shared" si="19"/>
        <v>BULLISH</v>
      </c>
      <c r="G324" s="5" t="str">
        <f t="shared" si="18"/>
        <v>WEAK</v>
      </c>
      <c r="H324" s="5" t="str">
        <f t="shared" si="17"/>
        <v>CONFIRMED BULLISH</v>
      </c>
    </row>
    <row r="325" spans="1:8" ht="13.5" x14ac:dyDescent="0.25">
      <c r="A325" s="3">
        <f>TITRES_STAT!B328</f>
        <v>45387</v>
      </c>
      <c r="B325" s="5">
        <f>TITRES_STAT!C328</f>
        <v>6</v>
      </c>
      <c r="C325" s="5">
        <f>TITRES_STAT!D328</f>
        <v>5.3220000000000001</v>
      </c>
      <c r="D325" s="5">
        <f>TITRES_STAT!E328</f>
        <v>5.3220000000000001</v>
      </c>
      <c r="E325" s="2">
        <f t="shared" si="20"/>
        <v>-190.5099209315832</v>
      </c>
      <c r="F325" s="5" t="str">
        <f t="shared" si="19"/>
        <v>BULLISH</v>
      </c>
      <c r="G325" s="5" t="str">
        <f t="shared" si="18"/>
        <v>WEAK</v>
      </c>
      <c r="H325" s="5" t="str">
        <f t="shared" si="17"/>
        <v>NEUTRAL</v>
      </c>
    </row>
    <row r="326" spans="1:8" ht="13.5" x14ac:dyDescent="0.25">
      <c r="A326" s="3">
        <f>TITRES_STAT!B329</f>
        <v>45390</v>
      </c>
      <c r="B326" s="5">
        <f>TITRES_STAT!C329</f>
        <v>6</v>
      </c>
      <c r="C326" s="5">
        <f>TITRES_STAT!D329</f>
        <v>5.3220000000000001</v>
      </c>
      <c r="D326" s="5">
        <f>TITRES_STAT!E329</f>
        <v>0</v>
      </c>
      <c r="E326" s="2">
        <f t="shared" si="20"/>
        <v>-190.5099209315832</v>
      </c>
      <c r="F326" s="5" t="str">
        <f t="shared" si="19"/>
        <v>BULLISH</v>
      </c>
      <c r="G326" s="5" t="str">
        <f t="shared" si="18"/>
        <v>NEUTRAL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BULLISH DIVERGENCE</v>
      </c>
    </row>
    <row r="327" spans="1:8" ht="13.5" x14ac:dyDescent="0.25">
      <c r="A327" s="3">
        <f>TITRES_STAT!B330</f>
        <v>45394</v>
      </c>
      <c r="B327" s="5">
        <f>TITRES_STAT!C330</f>
        <v>5.99</v>
      </c>
      <c r="C327" s="5">
        <f>TITRES_STAT!D330</f>
        <v>5.3129999999999997</v>
      </c>
      <c r="D327" s="5">
        <f>TITRES_STAT!E330</f>
        <v>5.0965772954924873</v>
      </c>
      <c r="E327" s="2">
        <f t="shared" si="20"/>
        <v>-195.60649822707569</v>
      </c>
      <c r="F327" s="5" t="str">
        <f t="shared" si="19"/>
        <v>BEARISH</v>
      </c>
      <c r="G327" s="5" t="str">
        <f t="shared" ref="G327:G390" si="22">IF((E327-E322)/E322 &gt; 0.02, "STRONG",
 IF((E327-E322)/E322 &lt; -0.02, "WEAK", "NEUTRAL"))</f>
        <v>STRONG</v>
      </c>
      <c r="H327" s="5" t="str">
        <f t="shared" si="21"/>
        <v>CONFIRMED BEARISH</v>
      </c>
    </row>
    <row r="328" spans="1:8" ht="13.5" x14ac:dyDescent="0.25">
      <c r="A328" s="3">
        <f>TITRES_STAT!B331</f>
        <v>45397</v>
      </c>
      <c r="B328" s="5">
        <f>TITRES_STAT!C331</f>
        <v>5.99</v>
      </c>
      <c r="C328" s="5">
        <f>TITRES_STAT!D331</f>
        <v>5.3129999999999997</v>
      </c>
      <c r="D328" s="5">
        <f>TITRES_STAT!E331</f>
        <v>5.2154323873121857</v>
      </c>
      <c r="E328" s="2">
        <f t="shared" si="20"/>
        <v>-195.60649822707569</v>
      </c>
      <c r="F328" s="5" t="str">
        <f t="shared" ref="F328:F391" si="23">IF(E328&gt;E323,"BULLISH",IF(E328&lt;E323,"BEARISH","NEUTRAL"))</f>
        <v>BEARISH</v>
      </c>
      <c r="G328" s="5" t="str">
        <f t="shared" si="22"/>
        <v>STRONG</v>
      </c>
      <c r="H328" s="5" t="str">
        <f t="shared" si="21"/>
        <v>CONFIRMED BEARISH</v>
      </c>
    </row>
    <row r="329" spans="1:8" ht="13.5" x14ac:dyDescent="0.25">
      <c r="A329" s="3">
        <f>TITRES_STAT!B332</f>
        <v>45398</v>
      </c>
      <c r="B329" s="5">
        <f>TITRES_STAT!C332</f>
        <v>5.99</v>
      </c>
      <c r="C329" s="5">
        <f>TITRES_STAT!D332</f>
        <v>5.3129999999999997</v>
      </c>
      <c r="D329" s="5">
        <f>TITRES_STAT!E332</f>
        <v>0</v>
      </c>
      <c r="E329" s="2">
        <f t="shared" si="20"/>
        <v>-195.60649822707569</v>
      </c>
      <c r="F329" s="5" t="str">
        <f t="shared" si="23"/>
        <v>BEARISH</v>
      </c>
      <c r="G329" s="5" t="str">
        <f t="shared" si="22"/>
        <v>STRONG</v>
      </c>
      <c r="H329" s="5" t="str">
        <f t="shared" si="21"/>
        <v>CONFIRMED BEARISH</v>
      </c>
    </row>
    <row r="330" spans="1:8" ht="13.5" x14ac:dyDescent="0.25">
      <c r="A330" s="3">
        <f>TITRES_STAT!B333</f>
        <v>45399</v>
      </c>
      <c r="B330" s="5">
        <f>TITRES_STAT!C333</f>
        <v>5.99</v>
      </c>
      <c r="C330" s="5">
        <f>TITRES_STAT!D333</f>
        <v>5.3129999999999997</v>
      </c>
      <c r="D330" s="5">
        <f>TITRES_STAT!E333</f>
        <v>5.3041302170283799</v>
      </c>
      <c r="E330" s="2">
        <f t="shared" si="20"/>
        <v>-195.60649822707569</v>
      </c>
      <c r="F330" s="5" t="str">
        <f t="shared" si="23"/>
        <v>BEARISH</v>
      </c>
      <c r="G330" s="5" t="str">
        <f t="shared" si="22"/>
        <v>STRONG</v>
      </c>
      <c r="H330" s="5" t="str">
        <f t="shared" si="21"/>
        <v>CONFIRMED BEARISH</v>
      </c>
    </row>
    <row r="331" spans="1:8" ht="13.5" x14ac:dyDescent="0.25">
      <c r="A331" s="3">
        <f>TITRES_STAT!B334</f>
        <v>45400</v>
      </c>
      <c r="B331" s="5">
        <f>TITRES_STAT!C334</f>
        <v>5.9</v>
      </c>
      <c r="C331" s="5">
        <f>TITRES_STAT!D334</f>
        <v>5.2329999999999997</v>
      </c>
      <c r="D331" s="5">
        <f>TITRES_STAT!E334</f>
        <v>5.2329999999999997</v>
      </c>
      <c r="E331" s="2">
        <f t="shared" si="20"/>
        <v>-200.83949822707569</v>
      </c>
      <c r="F331" s="5" t="str">
        <f t="shared" si="23"/>
        <v>BEARISH</v>
      </c>
      <c r="G331" s="5" t="str">
        <f t="shared" si="22"/>
        <v>STRONG</v>
      </c>
      <c r="H331" s="5" t="str">
        <f t="shared" si="21"/>
        <v>CONFIRMED BEARISH</v>
      </c>
    </row>
    <row r="332" spans="1:8" ht="13.5" x14ac:dyDescent="0.25">
      <c r="A332" s="3">
        <f>TITRES_STAT!B335</f>
        <v>45401</v>
      </c>
      <c r="B332" s="5">
        <f>TITRES_STAT!C335</f>
        <v>5.9</v>
      </c>
      <c r="C332" s="5">
        <f>TITRES_STAT!D335</f>
        <v>5.2329999999999997</v>
      </c>
      <c r="D332" s="5">
        <f>TITRES_STAT!E335</f>
        <v>0</v>
      </c>
      <c r="E332" s="2">
        <f t="shared" si="20"/>
        <v>-200.83949822707569</v>
      </c>
      <c r="F332" s="5" t="str">
        <f t="shared" si="23"/>
        <v>BEARISH</v>
      </c>
      <c r="G332" s="5" t="str">
        <f t="shared" si="22"/>
        <v>STRONG</v>
      </c>
      <c r="H332" s="5" t="str">
        <f t="shared" si="21"/>
        <v>CONFIRMED BEARISH</v>
      </c>
    </row>
    <row r="333" spans="1:8" ht="13.5" x14ac:dyDescent="0.25">
      <c r="A333" s="3">
        <f>TITRES_STAT!B336</f>
        <v>45404</v>
      </c>
      <c r="B333" s="5">
        <f>TITRES_STAT!C336</f>
        <v>5.9</v>
      </c>
      <c r="C333" s="5">
        <f>TITRES_STAT!D336</f>
        <v>5.2329999999999997</v>
      </c>
      <c r="D333" s="5">
        <f>TITRES_STAT!E336</f>
        <v>0</v>
      </c>
      <c r="E333" s="2">
        <f t="shared" si="20"/>
        <v>-200.83949822707569</v>
      </c>
      <c r="F333" s="5" t="str">
        <f t="shared" si="23"/>
        <v>BEARISH</v>
      </c>
      <c r="G333" s="5" t="str">
        <f t="shared" si="22"/>
        <v>STRONG</v>
      </c>
      <c r="H333" s="5" t="str">
        <f t="shared" si="21"/>
        <v>CONFIRMED BEARISH</v>
      </c>
    </row>
    <row r="334" spans="1:8" ht="13.5" x14ac:dyDescent="0.25">
      <c r="A334" s="3">
        <f>TITRES_STAT!B337</f>
        <v>45405</v>
      </c>
      <c r="B334" s="5">
        <f>TITRES_STAT!C337</f>
        <v>5.9</v>
      </c>
      <c r="C334" s="5">
        <f>TITRES_STAT!D337</f>
        <v>5.2329999999999997</v>
      </c>
      <c r="D334" s="5">
        <f>TITRES_STAT!E337</f>
        <v>0</v>
      </c>
      <c r="E334" s="2">
        <f t="shared" si="20"/>
        <v>-200.83949822707569</v>
      </c>
      <c r="F334" s="5" t="str">
        <f t="shared" si="23"/>
        <v>BEARISH</v>
      </c>
      <c r="G334" s="5" t="str">
        <f t="shared" si="22"/>
        <v>STRONG</v>
      </c>
      <c r="H334" s="5" t="str">
        <f t="shared" si="21"/>
        <v>CONFIRMED BEARISH</v>
      </c>
    </row>
    <row r="335" spans="1:8" ht="13.5" x14ac:dyDescent="0.25">
      <c r="A335" s="3">
        <f>TITRES_STAT!B338</f>
        <v>45406</v>
      </c>
      <c r="B335" s="5">
        <f>TITRES_STAT!C338</f>
        <v>5.9</v>
      </c>
      <c r="C335" s="5">
        <f>TITRES_STAT!D338</f>
        <v>5.2329999999999997</v>
      </c>
      <c r="D335" s="5">
        <f>TITRES_STAT!E338</f>
        <v>0</v>
      </c>
      <c r="E335" s="2">
        <f t="shared" si="20"/>
        <v>-200.83949822707569</v>
      </c>
      <c r="F335" s="5" t="str">
        <f t="shared" si="23"/>
        <v>BEARISH</v>
      </c>
      <c r="G335" s="5" t="str">
        <f t="shared" si="22"/>
        <v>STRONG</v>
      </c>
      <c r="H335" s="5" t="str">
        <f t="shared" si="21"/>
        <v>CONFIRMED BEARISH</v>
      </c>
    </row>
    <row r="336" spans="1:8" ht="13.5" x14ac:dyDescent="0.25">
      <c r="A336" s="3">
        <f>TITRES_STAT!B339</f>
        <v>45407</v>
      </c>
      <c r="B336" s="5">
        <f>TITRES_STAT!C339</f>
        <v>5.85</v>
      </c>
      <c r="C336" s="5">
        <f>TITRES_STAT!D339</f>
        <v>5.1890000000000001</v>
      </c>
      <c r="D336" s="5">
        <f>TITRES_STAT!E339</f>
        <v>5.1890000000000001</v>
      </c>
      <c r="E336" s="2">
        <f t="shared" si="20"/>
        <v>-206.02849822707569</v>
      </c>
      <c r="F336" s="5" t="str">
        <f t="shared" si="23"/>
        <v>BEARISH</v>
      </c>
      <c r="G336" s="5" t="str">
        <f t="shared" si="22"/>
        <v>STRONG</v>
      </c>
      <c r="H336" s="5" t="str">
        <f t="shared" si="21"/>
        <v>CONFIRMED BEARISH</v>
      </c>
    </row>
    <row r="337" spans="1:8" ht="13.5" x14ac:dyDescent="0.25">
      <c r="A337" s="3">
        <f>TITRES_STAT!B340</f>
        <v>45408</v>
      </c>
      <c r="B337" s="5">
        <f>TITRES_STAT!C340</f>
        <v>6</v>
      </c>
      <c r="C337" s="5">
        <f>TITRES_STAT!D340</f>
        <v>5.3220000000000001</v>
      </c>
      <c r="D337" s="5">
        <f>TITRES_STAT!E340</f>
        <v>5.2927289999999996</v>
      </c>
      <c r="E337" s="2">
        <f t="shared" si="20"/>
        <v>-200.73576922707568</v>
      </c>
      <c r="F337" s="5" t="str">
        <f t="shared" si="23"/>
        <v>BULLISH</v>
      </c>
      <c r="G337" s="5" t="str">
        <f t="shared" si="22"/>
        <v>NEUTRAL</v>
      </c>
      <c r="H337" s="5" t="str">
        <f t="shared" si="21"/>
        <v>CONFIRMED BULLISH</v>
      </c>
    </row>
    <row r="338" spans="1:8" ht="13.5" x14ac:dyDescent="0.25">
      <c r="A338" s="3">
        <f>TITRES_STAT!B341</f>
        <v>45411</v>
      </c>
      <c r="B338" s="5">
        <f>TITRES_STAT!C341</f>
        <v>6</v>
      </c>
      <c r="C338" s="5">
        <f>TITRES_STAT!D341</f>
        <v>5.3220000000000001</v>
      </c>
      <c r="D338" s="5">
        <f>TITRES_STAT!E341</f>
        <v>5.3220000000000001</v>
      </c>
      <c r="E338" s="2">
        <f t="shared" si="20"/>
        <v>-200.73576922707568</v>
      </c>
      <c r="F338" s="5" t="str">
        <f t="shared" si="23"/>
        <v>BULLISH</v>
      </c>
      <c r="G338" s="5" t="str">
        <f t="shared" si="22"/>
        <v>NEUTRAL</v>
      </c>
      <c r="H338" s="5" t="str">
        <f t="shared" si="21"/>
        <v>CONFIRMED BULLISH</v>
      </c>
    </row>
    <row r="339" spans="1:8" ht="13.5" x14ac:dyDescent="0.25">
      <c r="A339" s="3">
        <f>TITRES_STAT!B342</f>
        <v>45412</v>
      </c>
      <c r="B339" s="5">
        <f>TITRES_STAT!C342</f>
        <v>6</v>
      </c>
      <c r="C339" s="5">
        <f>TITRES_STAT!D342</f>
        <v>5.3220000000000001</v>
      </c>
      <c r="D339" s="5">
        <f>TITRES_STAT!E342</f>
        <v>5.3273220000000006</v>
      </c>
      <c r="E339" s="2">
        <f t="shared" si="20"/>
        <v>-200.73576922707568</v>
      </c>
      <c r="F339" s="5" t="str">
        <f t="shared" si="23"/>
        <v>BULLISH</v>
      </c>
      <c r="G339" s="5" t="str">
        <f t="shared" si="22"/>
        <v>NEUTRAL</v>
      </c>
      <c r="H339" s="5" t="str">
        <f t="shared" si="21"/>
        <v>CONFIRMED BULLISH</v>
      </c>
    </row>
    <row r="340" spans="1:8" ht="13.5" x14ac:dyDescent="0.25">
      <c r="A340" s="3">
        <f>TITRES_STAT!B343</f>
        <v>45414</v>
      </c>
      <c r="B340" s="5">
        <f>TITRES_STAT!C343</f>
        <v>6</v>
      </c>
      <c r="C340" s="5">
        <f>TITRES_STAT!D343</f>
        <v>5.3220000000000001</v>
      </c>
      <c r="D340" s="5">
        <f>TITRES_STAT!E343</f>
        <v>5.3202259999999999</v>
      </c>
      <c r="E340" s="2">
        <f t="shared" si="20"/>
        <v>-200.73576922707568</v>
      </c>
      <c r="F340" s="5" t="str">
        <f t="shared" si="23"/>
        <v>BULLISH</v>
      </c>
      <c r="G340" s="5" t="str">
        <f t="shared" si="22"/>
        <v>NEUTRAL</v>
      </c>
      <c r="H340" s="5" t="str">
        <f t="shared" si="21"/>
        <v>CONFIRMED BULLISH</v>
      </c>
    </row>
    <row r="341" spans="1:8" ht="13.5" x14ac:dyDescent="0.25">
      <c r="A341" s="3">
        <f>TITRES_STAT!B344</f>
        <v>45415</v>
      </c>
      <c r="B341" s="5">
        <f>TITRES_STAT!C344</f>
        <v>6.03</v>
      </c>
      <c r="C341" s="5">
        <f>TITRES_STAT!D344</f>
        <v>5.3490000000000002</v>
      </c>
      <c r="D341" s="5">
        <f>TITRES_STAT!E344</f>
        <v>5.3392422885572142</v>
      </c>
      <c r="E341" s="2">
        <f t="shared" si="20"/>
        <v>-195.39652693851846</v>
      </c>
      <c r="F341" s="5" t="str">
        <f t="shared" si="23"/>
        <v>BULLISH</v>
      </c>
      <c r="G341" s="5" t="str">
        <f t="shared" si="22"/>
        <v>WEAK</v>
      </c>
      <c r="H341" s="5" t="str">
        <f t="shared" si="21"/>
        <v>CONFIRMED BULLISH</v>
      </c>
    </row>
    <row r="342" spans="1:8" ht="13.5" x14ac:dyDescent="0.25">
      <c r="A342" s="3">
        <f>TITRES_STAT!B345</f>
        <v>45418</v>
      </c>
      <c r="B342" s="5">
        <f>TITRES_STAT!C345</f>
        <v>6.03</v>
      </c>
      <c r="C342" s="5">
        <f>TITRES_STAT!D345</f>
        <v>5.3490000000000002</v>
      </c>
      <c r="D342" s="5">
        <f>TITRES_STAT!E345</f>
        <v>0</v>
      </c>
      <c r="E342" s="2">
        <f t="shared" si="20"/>
        <v>-195.39652693851846</v>
      </c>
      <c r="F342" s="5" t="str">
        <f t="shared" si="23"/>
        <v>BULLISH</v>
      </c>
      <c r="G342" s="5" t="str">
        <f t="shared" si="22"/>
        <v>WEAK</v>
      </c>
      <c r="H342" s="5" t="str">
        <f t="shared" si="21"/>
        <v>CONFIRMED BULLISH</v>
      </c>
    </row>
    <row r="343" spans="1:8" ht="13.5" x14ac:dyDescent="0.25">
      <c r="A343" s="3">
        <f>TITRES_STAT!B346</f>
        <v>45419</v>
      </c>
      <c r="B343" s="5">
        <f>TITRES_STAT!C346</f>
        <v>5.99</v>
      </c>
      <c r="C343" s="5">
        <f>TITRES_STAT!D346</f>
        <v>5.3129999999999997</v>
      </c>
      <c r="D343" s="5">
        <f>TITRES_STAT!E346</f>
        <v>5.3165479131886464</v>
      </c>
      <c r="E343" s="2">
        <f t="shared" si="20"/>
        <v>-200.71307485170712</v>
      </c>
      <c r="F343" s="5" t="str">
        <f t="shared" si="23"/>
        <v>BULLISH</v>
      </c>
      <c r="G343" s="5" t="str">
        <f t="shared" si="22"/>
        <v>NEUTRAL</v>
      </c>
      <c r="H343" s="5" t="str">
        <f t="shared" si="21"/>
        <v>BULLISH DIVERGENCE</v>
      </c>
    </row>
    <row r="344" spans="1:8" ht="13.5" x14ac:dyDescent="0.25">
      <c r="A344" s="3">
        <f>TITRES_STAT!B347</f>
        <v>45420</v>
      </c>
      <c r="B344" s="5">
        <f>TITRES_STAT!C347</f>
        <v>5.99</v>
      </c>
      <c r="C344" s="5">
        <f>TITRES_STAT!D347</f>
        <v>5.3129999999999997</v>
      </c>
      <c r="D344" s="5">
        <f>TITRES_STAT!E347</f>
        <v>0</v>
      </c>
      <c r="E344" s="2">
        <f t="shared" si="20"/>
        <v>-200.71307485170712</v>
      </c>
      <c r="F344" s="5" t="str">
        <f t="shared" si="23"/>
        <v>BULLISH</v>
      </c>
      <c r="G344" s="5" t="str">
        <f t="shared" si="22"/>
        <v>NEUTRAL</v>
      </c>
      <c r="H344" s="5" t="str">
        <f t="shared" si="21"/>
        <v>BULLISH DIVERGENCE</v>
      </c>
    </row>
    <row r="345" spans="1:8" ht="13.5" x14ac:dyDescent="0.25">
      <c r="A345" s="3">
        <f>TITRES_STAT!B348</f>
        <v>45421</v>
      </c>
      <c r="B345" s="5">
        <f>TITRES_STAT!C348</f>
        <v>5.99</v>
      </c>
      <c r="C345" s="5">
        <f>TITRES_STAT!D348</f>
        <v>5.3129999999999997</v>
      </c>
      <c r="D345" s="5">
        <f>TITRES_STAT!E348</f>
        <v>0</v>
      </c>
      <c r="E345" s="2">
        <f t="shared" si="20"/>
        <v>-200.71307485170712</v>
      </c>
      <c r="F345" s="5" t="str">
        <f t="shared" si="23"/>
        <v>BULLISH</v>
      </c>
      <c r="G345" s="5" t="str">
        <f t="shared" si="22"/>
        <v>NEUTRAL</v>
      </c>
      <c r="H345" s="5" t="str">
        <f t="shared" si="21"/>
        <v>BULLISH DIVERGENCE</v>
      </c>
    </row>
    <row r="346" spans="1:8" ht="13.5" x14ac:dyDescent="0.25">
      <c r="A346" s="3">
        <f>TITRES_STAT!B349</f>
        <v>45422</v>
      </c>
      <c r="B346" s="5">
        <f>TITRES_STAT!C349</f>
        <v>5.99</v>
      </c>
      <c r="C346" s="5">
        <f>TITRES_STAT!D349</f>
        <v>5.3129999999999997</v>
      </c>
      <c r="D346" s="5">
        <f>TITRES_STAT!E349</f>
        <v>0</v>
      </c>
      <c r="E346" s="2">
        <f t="shared" si="20"/>
        <v>-200.71307485170712</v>
      </c>
      <c r="F346" s="5" t="str">
        <f t="shared" si="23"/>
        <v>BEARISH</v>
      </c>
      <c r="G346" s="5" t="str">
        <f t="shared" si="22"/>
        <v>STRONG</v>
      </c>
      <c r="H346" s="5" t="str">
        <f t="shared" si="21"/>
        <v>CONFIRMED BEARISH</v>
      </c>
    </row>
    <row r="347" spans="1:8" ht="13.5" x14ac:dyDescent="0.25">
      <c r="A347" s="3">
        <f>TITRES_STAT!B350</f>
        <v>45425</v>
      </c>
      <c r="B347" s="5">
        <f>TITRES_STAT!C350</f>
        <v>5.99</v>
      </c>
      <c r="C347" s="5">
        <f>TITRES_STAT!D350</f>
        <v>5.3129999999999997</v>
      </c>
      <c r="D347" s="5">
        <f>TITRES_STAT!E350</f>
        <v>0</v>
      </c>
      <c r="E347" s="2">
        <f t="shared" si="20"/>
        <v>-200.71307485170712</v>
      </c>
      <c r="F347" s="5" t="str">
        <f t="shared" si="23"/>
        <v>BEARISH</v>
      </c>
      <c r="G347" s="5" t="str">
        <f t="shared" si="22"/>
        <v>STRONG</v>
      </c>
      <c r="H347" s="5" t="str">
        <f t="shared" si="21"/>
        <v>CONFIRMED BEARISH</v>
      </c>
    </row>
    <row r="348" spans="1:8" ht="13.5" x14ac:dyDescent="0.25">
      <c r="A348" s="3">
        <f>TITRES_STAT!B351</f>
        <v>45426</v>
      </c>
      <c r="B348" s="5">
        <f>TITRES_STAT!C351</f>
        <v>5.86</v>
      </c>
      <c r="C348" s="5">
        <f>TITRES_STAT!D351</f>
        <v>5.1980000000000004</v>
      </c>
      <c r="D348" s="5">
        <f>TITRES_STAT!E351</f>
        <v>5.1997740614334473</v>
      </c>
      <c r="E348" s="2">
        <f t="shared" si="20"/>
        <v>-205.91284891314058</v>
      </c>
      <c r="F348" s="5" t="str">
        <f t="shared" si="23"/>
        <v>BEARISH</v>
      </c>
      <c r="G348" s="5" t="str">
        <f t="shared" si="22"/>
        <v>STRONG</v>
      </c>
      <c r="H348" s="5" t="str">
        <f t="shared" si="21"/>
        <v>CONFIRMED BEARISH</v>
      </c>
    </row>
    <row r="349" spans="1:8" ht="13.5" x14ac:dyDescent="0.25">
      <c r="A349" s="3">
        <f>TITRES_STAT!B352</f>
        <v>45427</v>
      </c>
      <c r="B349" s="5">
        <f>TITRES_STAT!C352</f>
        <v>5.75</v>
      </c>
      <c r="C349" s="5">
        <f>TITRES_STAT!D352</f>
        <v>5.0999999999999996</v>
      </c>
      <c r="D349" s="5">
        <f>TITRES_STAT!E352</f>
        <v>5.0999999999999996</v>
      </c>
      <c r="E349" s="2">
        <f t="shared" si="20"/>
        <v>-211.01284891314057</v>
      </c>
      <c r="F349" s="5" t="str">
        <f t="shared" si="23"/>
        <v>BEARISH</v>
      </c>
      <c r="G349" s="5" t="str">
        <f t="shared" si="22"/>
        <v>STRONG</v>
      </c>
      <c r="H349" s="5" t="str">
        <f t="shared" si="21"/>
        <v>CONFIRMED BEARISH</v>
      </c>
    </row>
    <row r="350" spans="1:8" ht="13.5" x14ac:dyDescent="0.25">
      <c r="A350" s="3">
        <f>TITRES_STAT!B353</f>
        <v>45428</v>
      </c>
      <c r="B350" s="5">
        <f>TITRES_STAT!C353</f>
        <v>6</v>
      </c>
      <c r="C350" s="5">
        <f>TITRES_STAT!D353</f>
        <v>5.3220000000000001</v>
      </c>
      <c r="D350" s="5">
        <f>TITRES_STAT!E353</f>
        <v>5.1561310000000002</v>
      </c>
      <c r="E350" s="2">
        <f t="shared" si="20"/>
        <v>-205.85671791314059</v>
      </c>
      <c r="F350" s="5" t="str">
        <f t="shared" si="23"/>
        <v>BEARISH</v>
      </c>
      <c r="G350" s="5" t="str">
        <f t="shared" si="22"/>
        <v>STRONG</v>
      </c>
      <c r="H350" s="5" t="str">
        <f t="shared" si="21"/>
        <v>BEARISH DIVERGENCE</v>
      </c>
    </row>
    <row r="351" spans="1:8" ht="13.5" x14ac:dyDescent="0.25">
      <c r="A351" s="3">
        <f>TITRES_STAT!B354</f>
        <v>45429</v>
      </c>
      <c r="B351" s="5">
        <f>TITRES_STAT!C354</f>
        <v>6.03</v>
      </c>
      <c r="C351" s="5">
        <f>TITRES_STAT!D354</f>
        <v>5.3490000000000002</v>
      </c>
      <c r="D351" s="5">
        <f>TITRES_STAT!E354</f>
        <v>5.3427905472636814</v>
      </c>
      <c r="E351" s="2">
        <f t="shared" si="20"/>
        <v>-200.5139273658769</v>
      </c>
      <c r="F351" s="5" t="str">
        <f t="shared" si="23"/>
        <v>BULLISH</v>
      </c>
      <c r="G351" s="5" t="str">
        <f t="shared" si="22"/>
        <v>NEUTRAL</v>
      </c>
      <c r="H351" s="5" t="str">
        <f t="shared" si="21"/>
        <v>CONFIRMED BULLISH</v>
      </c>
    </row>
    <row r="352" spans="1:8" ht="13.5" x14ac:dyDescent="0.25">
      <c r="A352" s="3">
        <f>TITRES_STAT!B355</f>
        <v>45432</v>
      </c>
      <c r="B352" s="5">
        <f>TITRES_STAT!C355</f>
        <v>6.02</v>
      </c>
      <c r="C352" s="5">
        <f>TITRES_STAT!D355</f>
        <v>5.34</v>
      </c>
      <c r="D352" s="5">
        <f>TITRES_STAT!E355</f>
        <v>5.3231461794019941</v>
      </c>
      <c r="E352" s="2">
        <f t="shared" si="20"/>
        <v>-205.83707354527888</v>
      </c>
      <c r="F352" s="5" t="str">
        <f t="shared" si="23"/>
        <v>BEARISH</v>
      </c>
      <c r="G352" s="5" t="str">
        <f t="shared" si="22"/>
        <v>STRONG</v>
      </c>
      <c r="H352" s="5" t="str">
        <f t="shared" si="21"/>
        <v>BEARISH DIVERGENCE</v>
      </c>
    </row>
    <row r="353" spans="1:8" ht="13.5" x14ac:dyDescent="0.25">
      <c r="A353" s="3">
        <f>TITRES_STAT!B356</f>
        <v>45433</v>
      </c>
      <c r="B353" s="5">
        <f>TITRES_STAT!C356</f>
        <v>6.02</v>
      </c>
      <c r="C353" s="5">
        <f>TITRES_STAT!D356</f>
        <v>5.34</v>
      </c>
      <c r="D353" s="5">
        <f>TITRES_STAT!E356</f>
        <v>0</v>
      </c>
      <c r="E353" s="2">
        <f t="shared" si="20"/>
        <v>-205.83707354527888</v>
      </c>
      <c r="F353" s="5" t="str">
        <f t="shared" si="23"/>
        <v>BULLISH</v>
      </c>
      <c r="G353" s="5" t="str">
        <f t="shared" si="22"/>
        <v>NEUTRAL</v>
      </c>
      <c r="H353" s="5" t="str">
        <f t="shared" si="21"/>
        <v>CONFIRMED BULLISH</v>
      </c>
    </row>
    <row r="354" spans="1:8" ht="13.5" x14ac:dyDescent="0.25">
      <c r="A354" s="3">
        <f>TITRES_STAT!B357</f>
        <v>45434</v>
      </c>
      <c r="B354" s="5">
        <f>TITRES_STAT!C357</f>
        <v>6</v>
      </c>
      <c r="C354" s="5">
        <f>TITRES_STAT!D357</f>
        <v>5.3220000000000001</v>
      </c>
      <c r="D354" s="5">
        <f>TITRES_STAT!E357</f>
        <v>5.3220000000000001</v>
      </c>
      <c r="E354" s="2">
        <f t="shared" si="20"/>
        <v>-211.15907354527889</v>
      </c>
      <c r="F354" s="5" t="str">
        <f t="shared" si="23"/>
        <v>BEARISH</v>
      </c>
      <c r="G354" s="5" t="str">
        <f t="shared" si="22"/>
        <v>NEUTRAL</v>
      </c>
      <c r="H354" s="5" t="str">
        <f t="shared" si="21"/>
        <v>BEARISH DIVERGENCE</v>
      </c>
    </row>
    <row r="355" spans="1:8" ht="13.5" x14ac:dyDescent="0.25">
      <c r="A355" s="3">
        <f>TITRES_STAT!B358</f>
        <v>45435</v>
      </c>
      <c r="B355" s="5">
        <f>TITRES_STAT!C358</f>
        <v>6</v>
      </c>
      <c r="C355" s="5">
        <f>TITRES_STAT!D358</f>
        <v>5.3220000000000001</v>
      </c>
      <c r="D355" s="5">
        <f>TITRES_STAT!E358</f>
        <v>5.3095819999999998</v>
      </c>
      <c r="E355" s="2">
        <f t="shared" si="20"/>
        <v>-211.15907354527889</v>
      </c>
      <c r="F355" s="5" t="str">
        <f t="shared" si="23"/>
        <v>BEARISH</v>
      </c>
      <c r="G355" s="5" t="str">
        <f t="shared" si="22"/>
        <v>STRONG</v>
      </c>
      <c r="H355" s="5" t="str">
        <f t="shared" si="21"/>
        <v>NEUTRAL</v>
      </c>
    </row>
    <row r="356" spans="1:8" ht="13.5" x14ac:dyDescent="0.25">
      <c r="A356" s="3">
        <f>TITRES_STAT!B359</f>
        <v>45436</v>
      </c>
      <c r="B356" s="5">
        <f>TITRES_STAT!C359</f>
        <v>5.9</v>
      </c>
      <c r="C356" s="5">
        <f>TITRES_STAT!D359</f>
        <v>5.2329999999999997</v>
      </c>
      <c r="D356" s="5">
        <f>TITRES_STAT!E359</f>
        <v>5.2329999999999997</v>
      </c>
      <c r="E356" s="2">
        <f t="shared" si="20"/>
        <v>-216.39207354527889</v>
      </c>
      <c r="F356" s="5" t="str">
        <f t="shared" si="23"/>
        <v>BEARISH</v>
      </c>
      <c r="G356" s="5" t="str">
        <f t="shared" si="22"/>
        <v>STRONG</v>
      </c>
      <c r="H356" s="5" t="str">
        <f t="shared" si="21"/>
        <v>CONFIRMED BEARISH</v>
      </c>
    </row>
    <row r="357" spans="1:8" ht="13.5" x14ac:dyDescent="0.25">
      <c r="A357" s="3">
        <f>TITRES_STAT!B360</f>
        <v>45439</v>
      </c>
      <c r="B357" s="5">
        <f>TITRES_STAT!C360</f>
        <v>5.9</v>
      </c>
      <c r="C357" s="5">
        <f>TITRES_STAT!D360</f>
        <v>5.2329999999999997</v>
      </c>
      <c r="D357" s="5">
        <f>TITRES_STAT!E360</f>
        <v>5.3021820338983039</v>
      </c>
      <c r="E357" s="2">
        <f t="shared" si="20"/>
        <v>-216.39207354527889</v>
      </c>
      <c r="F357" s="5" t="str">
        <f t="shared" si="23"/>
        <v>BEARISH</v>
      </c>
      <c r="G357" s="5" t="str">
        <f t="shared" si="22"/>
        <v>STRONG</v>
      </c>
      <c r="H357" s="5" t="str">
        <f t="shared" si="21"/>
        <v>CONFIRMED BEARISH</v>
      </c>
    </row>
    <row r="358" spans="1:8" ht="13.5" x14ac:dyDescent="0.25">
      <c r="A358" s="3">
        <f>TITRES_STAT!B361</f>
        <v>45440</v>
      </c>
      <c r="B358" s="5">
        <f>TITRES_STAT!C361</f>
        <v>5.9</v>
      </c>
      <c r="C358" s="5">
        <f>TITRES_STAT!D361</f>
        <v>5.2329999999999997</v>
      </c>
      <c r="D358" s="5">
        <f>TITRES_STAT!E361</f>
        <v>0</v>
      </c>
      <c r="E358" s="2">
        <f t="shared" si="20"/>
        <v>-216.39207354527889</v>
      </c>
      <c r="F358" s="5" t="str">
        <f t="shared" si="23"/>
        <v>BEARISH</v>
      </c>
      <c r="G358" s="5" t="str">
        <f t="shared" si="22"/>
        <v>STRONG</v>
      </c>
      <c r="H358" s="5" t="str">
        <f t="shared" si="21"/>
        <v>CONFIRMED BEARISH</v>
      </c>
    </row>
    <row r="359" spans="1:8" ht="13.5" x14ac:dyDescent="0.25">
      <c r="A359" s="3">
        <f>TITRES_STAT!B362</f>
        <v>45441</v>
      </c>
      <c r="B359" s="5">
        <f>TITRES_STAT!C362</f>
        <v>5.7</v>
      </c>
      <c r="C359" s="5">
        <f>TITRES_STAT!D362</f>
        <v>5.056</v>
      </c>
      <c r="D359" s="5">
        <f>TITRES_STAT!E362</f>
        <v>5.0870456140350884</v>
      </c>
      <c r="E359" s="2">
        <f t="shared" si="20"/>
        <v>-221.47911915931397</v>
      </c>
      <c r="F359" s="5" t="str">
        <f t="shared" si="23"/>
        <v>BEARISH</v>
      </c>
      <c r="G359" s="5" t="str">
        <f t="shared" si="22"/>
        <v>STRONG</v>
      </c>
      <c r="H359" s="5" t="str">
        <f t="shared" si="21"/>
        <v>CONFIRMED BEARISH</v>
      </c>
    </row>
    <row r="360" spans="1:8" ht="13.5" x14ac:dyDescent="0.25">
      <c r="A360" s="3">
        <f>TITRES_STAT!B363</f>
        <v>45442</v>
      </c>
      <c r="B360" s="5">
        <f>TITRES_STAT!C363</f>
        <v>5.8</v>
      </c>
      <c r="C360" s="5">
        <f>TITRES_STAT!D363</f>
        <v>5.1449999999999996</v>
      </c>
      <c r="D360" s="5">
        <f>TITRES_STAT!E363</f>
        <v>5.1449999999999996</v>
      </c>
      <c r="E360" s="2">
        <f t="shared" si="20"/>
        <v>-216.33411915931396</v>
      </c>
      <c r="F360" s="5" t="str">
        <f t="shared" si="23"/>
        <v>BEARISH</v>
      </c>
      <c r="G360" s="5" t="str">
        <f t="shared" si="22"/>
        <v>STRONG</v>
      </c>
      <c r="H360" s="5" t="str">
        <f t="shared" si="21"/>
        <v>CONFIRMED BEARISH</v>
      </c>
    </row>
    <row r="361" spans="1:8" ht="13.5" x14ac:dyDescent="0.25">
      <c r="A361" s="3">
        <f>TITRES_STAT!B364</f>
        <v>45443</v>
      </c>
      <c r="B361" s="5">
        <f>TITRES_STAT!C364</f>
        <v>5.7</v>
      </c>
      <c r="C361" s="5">
        <f>TITRES_STAT!D364</f>
        <v>5.056</v>
      </c>
      <c r="D361" s="5">
        <f>TITRES_STAT!E364</f>
        <v>5.0701922807017548</v>
      </c>
      <c r="E361" s="2">
        <f t="shared" si="20"/>
        <v>-221.4043114400157</v>
      </c>
      <c r="F361" s="5" t="str">
        <f t="shared" si="23"/>
        <v>BEARISH</v>
      </c>
      <c r="G361" s="5" t="str">
        <f t="shared" si="22"/>
        <v>STRONG</v>
      </c>
      <c r="H361" s="5" t="str">
        <f t="shared" si="21"/>
        <v>CONFIRMED BEARISH</v>
      </c>
    </row>
    <row r="362" spans="1:8" ht="13.5" x14ac:dyDescent="0.25">
      <c r="A362" s="3">
        <f>TITRES_STAT!B365</f>
        <v>45446</v>
      </c>
      <c r="B362" s="5">
        <f>TITRES_STAT!C365</f>
        <v>5.7</v>
      </c>
      <c r="C362" s="5">
        <f>TITRES_STAT!D365</f>
        <v>5.056</v>
      </c>
      <c r="D362" s="5">
        <f>TITRES_STAT!E365</f>
        <v>5.0258414035087728</v>
      </c>
      <c r="E362" s="2">
        <f t="shared" si="20"/>
        <v>-221.4043114400157</v>
      </c>
      <c r="F362" s="5" t="str">
        <f t="shared" si="23"/>
        <v>BEARISH</v>
      </c>
      <c r="G362" s="5" t="str">
        <f t="shared" si="22"/>
        <v>STRONG</v>
      </c>
      <c r="H362" s="5" t="str">
        <f t="shared" si="21"/>
        <v>CONFIRMED BEARISH</v>
      </c>
    </row>
    <row r="363" spans="1:8" ht="13.5" x14ac:dyDescent="0.25">
      <c r="A363" s="3">
        <f>TITRES_STAT!B366</f>
        <v>45447</v>
      </c>
      <c r="B363" s="5">
        <f>TITRES_STAT!C366</f>
        <v>5.6</v>
      </c>
      <c r="C363" s="5">
        <f>TITRES_STAT!D366</f>
        <v>4.9669999999999996</v>
      </c>
      <c r="D363" s="5">
        <f>TITRES_STAT!E366</f>
        <v>5.014009107142857</v>
      </c>
      <c r="E363" s="2">
        <f t="shared" si="20"/>
        <v>-226.41832054715857</v>
      </c>
      <c r="F363" s="5" t="str">
        <f t="shared" si="23"/>
        <v>BEARISH</v>
      </c>
      <c r="G363" s="5" t="str">
        <f t="shared" si="22"/>
        <v>STRONG</v>
      </c>
      <c r="H363" s="5" t="str">
        <f t="shared" si="21"/>
        <v>CONFIRMED BEARISH</v>
      </c>
    </row>
    <row r="364" spans="1:8" ht="13.5" x14ac:dyDescent="0.25">
      <c r="A364" s="3">
        <f>TITRES_STAT!B367</f>
        <v>45448</v>
      </c>
      <c r="B364" s="5">
        <f>TITRES_STAT!C367</f>
        <v>5.57</v>
      </c>
      <c r="C364" s="5">
        <f>TITRES_STAT!D367</f>
        <v>4.9409999999999998</v>
      </c>
      <c r="D364" s="5">
        <f>TITRES_STAT!E367</f>
        <v>4.9631768402154393</v>
      </c>
      <c r="E364" s="2">
        <f t="shared" si="20"/>
        <v>-231.381497387374</v>
      </c>
      <c r="F364" s="5" t="str">
        <f t="shared" si="23"/>
        <v>BEARISH</v>
      </c>
      <c r="G364" s="5" t="str">
        <f t="shared" si="22"/>
        <v>STRONG</v>
      </c>
      <c r="H364" s="5" t="str">
        <f t="shared" si="21"/>
        <v>CONFIRMED BEARISH</v>
      </c>
    </row>
    <row r="365" spans="1:8" ht="13.5" x14ac:dyDescent="0.25">
      <c r="A365" s="3">
        <f>TITRES_STAT!B368</f>
        <v>45449</v>
      </c>
      <c r="B365" s="5">
        <f>TITRES_STAT!C368</f>
        <v>5.5</v>
      </c>
      <c r="C365" s="5">
        <f>TITRES_STAT!D368</f>
        <v>4.8789999999999996</v>
      </c>
      <c r="D365" s="5">
        <f>TITRES_STAT!E368</f>
        <v>4.8816612727272721</v>
      </c>
      <c r="E365" s="2">
        <f t="shared" si="20"/>
        <v>-236.26315866010128</v>
      </c>
      <c r="F365" s="5" t="str">
        <f t="shared" si="23"/>
        <v>BEARISH</v>
      </c>
      <c r="G365" s="5" t="str">
        <f t="shared" si="22"/>
        <v>STRONG</v>
      </c>
      <c r="H365" s="5" t="str">
        <f t="shared" si="21"/>
        <v>CONFIRMED BEARISH</v>
      </c>
    </row>
    <row r="366" spans="1:8" ht="13.5" x14ac:dyDescent="0.25">
      <c r="A366" s="3">
        <f>TITRES_STAT!B369</f>
        <v>45450</v>
      </c>
      <c r="B366" s="5">
        <f>TITRES_STAT!C369</f>
        <v>5.7</v>
      </c>
      <c r="C366" s="5">
        <f>TITRES_STAT!D369</f>
        <v>5.056</v>
      </c>
      <c r="D366" s="5">
        <f>TITRES_STAT!E369</f>
        <v>4.9406877192982463</v>
      </c>
      <c r="E366" s="2">
        <f t="shared" si="20"/>
        <v>-231.32247094080304</v>
      </c>
      <c r="F366" s="5" t="str">
        <f t="shared" si="23"/>
        <v>BEARISH</v>
      </c>
      <c r="G366" s="5" t="str">
        <f t="shared" si="22"/>
        <v>STRONG</v>
      </c>
      <c r="H366" s="5" t="str">
        <f t="shared" si="21"/>
        <v>NEUTRAL</v>
      </c>
    </row>
    <row r="367" spans="1:8" ht="13.5" x14ac:dyDescent="0.25">
      <c r="A367" s="3">
        <f>TITRES_STAT!B370</f>
        <v>45453</v>
      </c>
      <c r="B367" s="5">
        <f>TITRES_STAT!C370</f>
        <v>5.8</v>
      </c>
      <c r="C367" s="5">
        <f>TITRES_STAT!D370</f>
        <v>5.1449999999999996</v>
      </c>
      <c r="D367" s="5">
        <f>TITRES_STAT!E370</f>
        <v>5.0287939655172407</v>
      </c>
      <c r="E367" s="2">
        <f t="shared" si="20"/>
        <v>-226.29367697528579</v>
      </c>
      <c r="F367" s="5" t="str">
        <f t="shared" si="23"/>
        <v>BEARISH</v>
      </c>
      <c r="G367" s="5" t="str">
        <f t="shared" si="22"/>
        <v>STRONG</v>
      </c>
      <c r="H367" s="5" t="str">
        <f t="shared" si="21"/>
        <v>BEARISH DIVERGENCE</v>
      </c>
    </row>
    <row r="368" spans="1:8" ht="13.5" x14ac:dyDescent="0.25">
      <c r="A368" s="3">
        <f>TITRES_STAT!B371</f>
        <v>45454</v>
      </c>
      <c r="B368" s="5">
        <f>TITRES_STAT!C371</f>
        <v>5.8</v>
      </c>
      <c r="C368" s="5">
        <f>TITRES_STAT!D371</f>
        <v>5.1449999999999996</v>
      </c>
      <c r="D368" s="5">
        <f>TITRES_STAT!E371</f>
        <v>4.8806534482758615</v>
      </c>
      <c r="E368" s="2">
        <f t="shared" si="20"/>
        <v>-226.29367697528579</v>
      </c>
      <c r="F368" s="5" t="str">
        <f t="shared" si="23"/>
        <v>BULLISH</v>
      </c>
      <c r="G368" s="5" t="str">
        <f t="shared" si="22"/>
        <v>NEUTRAL</v>
      </c>
      <c r="H368" s="5" t="str">
        <f t="shared" si="21"/>
        <v>CONFIRMED BULLISH</v>
      </c>
    </row>
    <row r="369" spans="1:8" ht="13.5" x14ac:dyDescent="0.25">
      <c r="A369" s="3">
        <f>TITRES_STAT!B372</f>
        <v>45455</v>
      </c>
      <c r="B369" s="5">
        <f>TITRES_STAT!C372</f>
        <v>5.8</v>
      </c>
      <c r="C369" s="5">
        <f>TITRES_STAT!D372</f>
        <v>5.1449999999999996</v>
      </c>
      <c r="D369" s="5">
        <f>TITRES_STAT!E372</f>
        <v>0</v>
      </c>
      <c r="E369" s="2">
        <f t="shared" si="20"/>
        <v>-226.29367697528579</v>
      </c>
      <c r="F369" s="5" t="str">
        <f t="shared" si="23"/>
        <v>BULLISH</v>
      </c>
      <c r="G369" s="5" t="str">
        <f t="shared" si="22"/>
        <v>WEAK</v>
      </c>
      <c r="H369" s="5" t="str">
        <f t="shared" si="21"/>
        <v>CONFIRMED BULLISH</v>
      </c>
    </row>
    <row r="370" spans="1:8" ht="13.5" x14ac:dyDescent="0.25">
      <c r="A370" s="3">
        <f>TITRES_STAT!B373</f>
        <v>45456</v>
      </c>
      <c r="B370" s="5">
        <f>TITRES_STAT!C373</f>
        <v>5.8</v>
      </c>
      <c r="C370" s="5">
        <f>TITRES_STAT!D373</f>
        <v>5.1449999999999996</v>
      </c>
      <c r="D370" s="5">
        <f>TITRES_STAT!E373</f>
        <v>0</v>
      </c>
      <c r="E370" s="2">
        <f t="shared" si="20"/>
        <v>-226.29367697528579</v>
      </c>
      <c r="F370" s="5" t="str">
        <f t="shared" si="23"/>
        <v>BULLISH</v>
      </c>
      <c r="G370" s="5" t="str">
        <f t="shared" si="22"/>
        <v>WEAK</v>
      </c>
      <c r="H370" s="5" t="str">
        <f t="shared" si="21"/>
        <v>CONFIRMED BULLISH</v>
      </c>
    </row>
    <row r="371" spans="1:8" ht="13.5" x14ac:dyDescent="0.25">
      <c r="A371" s="3">
        <f>TITRES_STAT!B374</f>
        <v>45457</v>
      </c>
      <c r="B371" s="5">
        <f>TITRES_STAT!C374</f>
        <v>5.65</v>
      </c>
      <c r="C371" s="5">
        <f>TITRES_STAT!D374</f>
        <v>5.0119999999999996</v>
      </c>
      <c r="D371" s="5">
        <f>TITRES_STAT!E374</f>
        <v>5.0119999999999996</v>
      </c>
      <c r="E371" s="2">
        <f t="shared" si="20"/>
        <v>-231.30567697528579</v>
      </c>
      <c r="F371" s="5" t="str">
        <f t="shared" si="23"/>
        <v>BULLISH</v>
      </c>
      <c r="G371" s="5" t="str">
        <f t="shared" si="22"/>
        <v>NEUTRAL</v>
      </c>
      <c r="H371" s="5" t="str">
        <f t="shared" si="21"/>
        <v>BULLISH DIVERGENCE</v>
      </c>
    </row>
    <row r="372" spans="1:8" ht="13.5" x14ac:dyDescent="0.25">
      <c r="A372" s="3">
        <f>TITRES_STAT!B375</f>
        <v>45461</v>
      </c>
      <c r="B372" s="5">
        <f>TITRES_STAT!C375</f>
        <v>5.5</v>
      </c>
      <c r="C372" s="5">
        <f>TITRES_STAT!D375</f>
        <v>4.8789999999999996</v>
      </c>
      <c r="D372" s="5">
        <f>TITRES_STAT!E375</f>
        <v>4.9295641818181819</v>
      </c>
      <c r="E372" s="2">
        <f t="shared" si="20"/>
        <v>-236.23524115710399</v>
      </c>
      <c r="F372" s="5" t="str">
        <f t="shared" si="23"/>
        <v>BEARISH</v>
      </c>
      <c r="G372" s="5" t="str">
        <f t="shared" si="22"/>
        <v>STRONG</v>
      </c>
      <c r="H372" s="5" t="str">
        <f t="shared" si="21"/>
        <v>CONFIRMED BEARISH</v>
      </c>
    </row>
    <row r="373" spans="1:8" ht="13.5" x14ac:dyDescent="0.25">
      <c r="A373" s="3">
        <f>TITRES_STAT!B376</f>
        <v>45462</v>
      </c>
      <c r="B373" s="5">
        <f>TITRES_STAT!C376</f>
        <v>5.45</v>
      </c>
      <c r="C373" s="5">
        <f>TITRES_STAT!D376</f>
        <v>4.8339999999999996</v>
      </c>
      <c r="D373" s="5">
        <f>TITRES_STAT!E376</f>
        <v>4.8473045871559624</v>
      </c>
      <c r="E373" s="2">
        <f t="shared" si="20"/>
        <v>-241.08254574425996</v>
      </c>
      <c r="F373" s="5" t="str">
        <f t="shared" si="23"/>
        <v>BEARISH</v>
      </c>
      <c r="G373" s="5" t="str">
        <f t="shared" si="22"/>
        <v>STRONG</v>
      </c>
      <c r="H373" s="5" t="str">
        <f t="shared" si="21"/>
        <v>CONFIRMED BEARISH</v>
      </c>
    </row>
    <row r="374" spans="1:8" ht="13.5" x14ac:dyDescent="0.25">
      <c r="A374" s="3">
        <f>TITRES_STAT!B377</f>
        <v>45463</v>
      </c>
      <c r="B374" s="5">
        <f>TITRES_STAT!C377</f>
        <v>5.43</v>
      </c>
      <c r="C374" s="5">
        <f>TITRES_STAT!D377</f>
        <v>4.8170000000000002</v>
      </c>
      <c r="D374" s="5">
        <f>TITRES_STAT!E377</f>
        <v>4.8294195211786377</v>
      </c>
      <c r="E374" s="2">
        <f t="shared" si="20"/>
        <v>-245.9119652654386</v>
      </c>
      <c r="F374" s="5" t="str">
        <f t="shared" si="23"/>
        <v>BEARISH</v>
      </c>
      <c r="G374" s="5" t="str">
        <f t="shared" si="22"/>
        <v>STRONG</v>
      </c>
      <c r="H374" s="5" t="str">
        <f t="shared" si="21"/>
        <v>CONFIRMED BEARISH</v>
      </c>
    </row>
    <row r="375" spans="1:8" ht="13.5" x14ac:dyDescent="0.25">
      <c r="A375" s="3">
        <f>TITRES_STAT!B378</f>
        <v>45464</v>
      </c>
      <c r="B375" s="5">
        <f>TITRES_STAT!C378</f>
        <v>5.75</v>
      </c>
      <c r="C375" s="5">
        <f>TITRES_STAT!D378</f>
        <v>5.0999999999999996</v>
      </c>
      <c r="D375" s="5">
        <f>TITRES_STAT!E378</f>
        <v>5.0999999999999996</v>
      </c>
      <c r="E375" s="2">
        <f t="shared" si="20"/>
        <v>-240.8119652654386</v>
      </c>
      <c r="F375" s="5" t="str">
        <f t="shared" si="23"/>
        <v>BEARISH</v>
      </c>
      <c r="G375" s="5" t="str">
        <f t="shared" si="22"/>
        <v>STRONG</v>
      </c>
      <c r="H375" s="5" t="str">
        <f t="shared" si="21"/>
        <v>CONFIRMED BEARISH</v>
      </c>
    </row>
    <row r="376" spans="1:8" ht="13.5" x14ac:dyDescent="0.25">
      <c r="A376" s="3">
        <f>TITRES_STAT!B379</f>
        <v>45467</v>
      </c>
      <c r="B376" s="5">
        <f>TITRES_STAT!C379</f>
        <v>5.75</v>
      </c>
      <c r="C376" s="5">
        <f>TITRES_STAT!D379</f>
        <v>5.0999999999999996</v>
      </c>
      <c r="D376" s="5">
        <f>TITRES_STAT!E379</f>
        <v>0</v>
      </c>
      <c r="E376" s="2">
        <f t="shared" si="20"/>
        <v>-240.8119652654386</v>
      </c>
      <c r="F376" s="5" t="str">
        <f t="shared" si="23"/>
        <v>BEARISH</v>
      </c>
      <c r="G376" s="5" t="str">
        <f t="shared" si="22"/>
        <v>STRONG</v>
      </c>
      <c r="H376" s="5" t="str">
        <f t="shared" si="21"/>
        <v>BEARISH DIVERGENCE</v>
      </c>
    </row>
    <row r="377" spans="1:8" ht="13.5" x14ac:dyDescent="0.25">
      <c r="A377" s="3">
        <f>TITRES_STAT!B380</f>
        <v>45468</v>
      </c>
      <c r="B377" s="5">
        <f>TITRES_STAT!C380</f>
        <v>5.68</v>
      </c>
      <c r="C377" s="5">
        <f>TITRES_STAT!D380</f>
        <v>5.0380000000000003</v>
      </c>
      <c r="D377" s="5">
        <f>TITRES_STAT!E380</f>
        <v>5.0291302816901418</v>
      </c>
      <c r="E377" s="2">
        <f t="shared" si="20"/>
        <v>-245.84109554712873</v>
      </c>
      <c r="F377" s="5" t="str">
        <f t="shared" si="23"/>
        <v>BEARISH</v>
      </c>
      <c r="G377" s="5" t="str">
        <f t="shared" si="22"/>
        <v>STRONG</v>
      </c>
      <c r="H377" s="5" t="str">
        <f t="shared" si="21"/>
        <v>BEARISH DIVERGENCE</v>
      </c>
    </row>
    <row r="378" spans="1:8" ht="13.5" x14ac:dyDescent="0.25">
      <c r="A378" s="3">
        <f>TITRES_STAT!B381</f>
        <v>45469</v>
      </c>
      <c r="B378" s="5">
        <f>TITRES_STAT!C381</f>
        <v>5.51</v>
      </c>
      <c r="C378" s="5">
        <f>TITRES_STAT!D381</f>
        <v>4.8869999999999996</v>
      </c>
      <c r="D378" s="5">
        <f>TITRES_STAT!E381</f>
        <v>4.9960927404718687</v>
      </c>
      <c r="E378" s="2">
        <f t="shared" si="20"/>
        <v>-250.83718828760061</v>
      </c>
      <c r="F378" s="5" t="str">
        <f t="shared" si="23"/>
        <v>BEARISH</v>
      </c>
      <c r="G378" s="5" t="str">
        <f t="shared" si="22"/>
        <v>STRONG</v>
      </c>
      <c r="H378" s="5" t="str">
        <f t="shared" si="21"/>
        <v>BEARISH DIVERGENCE</v>
      </c>
    </row>
    <row r="379" spans="1:8" ht="13.5" x14ac:dyDescent="0.25">
      <c r="A379" s="3">
        <f>TITRES_STAT!B382</f>
        <v>45470</v>
      </c>
      <c r="B379" s="5">
        <f>TITRES_STAT!C382</f>
        <v>5.4</v>
      </c>
      <c r="C379" s="5">
        <f>TITRES_STAT!D382</f>
        <v>4.79</v>
      </c>
      <c r="D379" s="5">
        <f>TITRES_STAT!E382</f>
        <v>4.8387870370370365</v>
      </c>
      <c r="E379" s="2">
        <f t="shared" si="20"/>
        <v>-255.67597532463765</v>
      </c>
      <c r="F379" s="5" t="str">
        <f t="shared" si="23"/>
        <v>BEARISH</v>
      </c>
      <c r="G379" s="5" t="str">
        <f t="shared" si="22"/>
        <v>STRONG</v>
      </c>
      <c r="H379" s="5" t="str">
        <f t="shared" si="21"/>
        <v>CONFIRMED BEARISH</v>
      </c>
    </row>
    <row r="380" spans="1:8" ht="13.5" x14ac:dyDescent="0.25">
      <c r="A380" s="3">
        <f>TITRES_STAT!B383</f>
        <v>45471</v>
      </c>
      <c r="B380" s="5">
        <f>TITRES_STAT!C383</f>
        <v>5.4</v>
      </c>
      <c r="C380" s="5">
        <f>TITRES_STAT!D383</f>
        <v>4.79</v>
      </c>
      <c r="D380" s="5">
        <f>TITRES_STAT!E383</f>
        <v>4.79</v>
      </c>
      <c r="E380" s="2">
        <f t="shared" si="20"/>
        <v>-255.67597532463765</v>
      </c>
      <c r="F380" s="5" t="str">
        <f t="shared" si="23"/>
        <v>BEARISH</v>
      </c>
      <c r="G380" s="5" t="str">
        <f t="shared" si="22"/>
        <v>STRONG</v>
      </c>
      <c r="H380" s="5" t="str">
        <f t="shared" si="21"/>
        <v>CONFIRMED BEARISH</v>
      </c>
    </row>
    <row r="381" spans="1:8" ht="13.5" x14ac:dyDescent="0.25">
      <c r="A381" s="3">
        <f>TITRES_STAT!B384</f>
        <v>45474</v>
      </c>
      <c r="B381" s="5">
        <f>TITRES_STAT!C384</f>
        <v>5.4</v>
      </c>
      <c r="C381" s="5">
        <f>TITRES_STAT!D384</f>
        <v>4.79</v>
      </c>
      <c r="D381" s="5">
        <f>TITRES_STAT!E384</f>
        <v>4.79</v>
      </c>
      <c r="E381" s="2">
        <f t="shared" si="20"/>
        <v>-255.67597532463765</v>
      </c>
      <c r="F381" s="5" t="str">
        <f t="shared" si="23"/>
        <v>BEARISH</v>
      </c>
      <c r="G381" s="5" t="str">
        <f t="shared" si="22"/>
        <v>STRONG</v>
      </c>
      <c r="H381" s="5" t="str">
        <f t="shared" si="21"/>
        <v>CONFIRMED BEARISH</v>
      </c>
    </row>
    <row r="382" spans="1:8" ht="13.5" x14ac:dyDescent="0.25">
      <c r="A382" s="3">
        <f>TITRES_STAT!B385</f>
        <v>45475</v>
      </c>
      <c r="B382" s="5">
        <f>TITRES_STAT!C385</f>
        <v>5.69</v>
      </c>
      <c r="C382" s="5">
        <f>TITRES_STAT!D385</f>
        <v>5.0469999999999997</v>
      </c>
      <c r="D382" s="5">
        <f>TITRES_STAT!E385</f>
        <v>4.9609615114235499</v>
      </c>
      <c r="E382" s="2">
        <f t="shared" si="20"/>
        <v>-250.71501381321409</v>
      </c>
      <c r="F382" s="5" t="str">
        <f t="shared" si="23"/>
        <v>BEARISH</v>
      </c>
      <c r="G382" s="5" t="str">
        <f t="shared" si="22"/>
        <v>NEUTRAL</v>
      </c>
      <c r="H382" s="5" t="str">
        <f t="shared" si="21"/>
        <v>BEARISH DIVERGENCE</v>
      </c>
    </row>
    <row r="383" spans="1:8" ht="13.5" x14ac:dyDescent="0.25">
      <c r="A383" s="3">
        <f>TITRES_STAT!B386</f>
        <v>45476</v>
      </c>
      <c r="B383" s="5">
        <f>TITRES_STAT!C386</f>
        <v>5.8</v>
      </c>
      <c r="C383" s="5">
        <f>TITRES_STAT!D386</f>
        <v>5.1449999999999996</v>
      </c>
      <c r="D383" s="5">
        <f>TITRES_STAT!E386</f>
        <v>5.0846793103448276</v>
      </c>
      <c r="E383" s="2">
        <f t="shared" si="20"/>
        <v>-245.63033450286926</v>
      </c>
      <c r="F383" s="5" t="str">
        <f t="shared" si="23"/>
        <v>BULLISH</v>
      </c>
      <c r="G383" s="5" t="str">
        <f t="shared" si="22"/>
        <v>WEAK</v>
      </c>
      <c r="H383" s="5" t="str">
        <f t="shared" si="21"/>
        <v>CONFIRMED BULLISH</v>
      </c>
    </row>
    <row r="384" spans="1:8" ht="13.5" x14ac:dyDescent="0.25">
      <c r="A384" s="3">
        <f>TITRES_STAT!B387</f>
        <v>45477</v>
      </c>
      <c r="B384" s="5">
        <f>TITRES_STAT!C387</f>
        <v>5.6</v>
      </c>
      <c r="C384" s="5">
        <f>TITRES_STAT!D387</f>
        <v>5.258</v>
      </c>
      <c r="D384" s="5">
        <f>TITRES_STAT!E387</f>
        <v>5.275839642857143</v>
      </c>
      <c r="E384" s="2">
        <f t="shared" si="20"/>
        <v>-250.9061741457264</v>
      </c>
      <c r="F384" s="5" t="str">
        <f t="shared" si="23"/>
        <v>BULLISH</v>
      </c>
      <c r="G384" s="5" t="str">
        <f t="shared" si="22"/>
        <v>NEUTRAL</v>
      </c>
      <c r="H384" s="5" t="str">
        <f t="shared" si="21"/>
        <v>CONFIRMED BULLISH</v>
      </c>
    </row>
    <row r="385" spans="1:8" ht="13.5" x14ac:dyDescent="0.25">
      <c r="A385" s="3">
        <f>TITRES_STAT!B388</f>
        <v>45478</v>
      </c>
      <c r="B385" s="5">
        <f>TITRES_STAT!C388</f>
        <v>5.75</v>
      </c>
      <c r="C385" s="5">
        <f>TITRES_STAT!D388</f>
        <v>5.399</v>
      </c>
      <c r="D385" s="5">
        <f>TITRES_STAT!E388</f>
        <v>5.3680144347826086</v>
      </c>
      <c r="E385" s="2">
        <f t="shared" si="20"/>
        <v>-245.53815971094377</v>
      </c>
      <c r="F385" s="5" t="str">
        <f t="shared" si="23"/>
        <v>BULLISH</v>
      </c>
      <c r="G385" s="5" t="str">
        <f t="shared" si="22"/>
        <v>WEAK</v>
      </c>
      <c r="H385" s="5" t="str">
        <f t="shared" si="21"/>
        <v>CONFIRMED BULLISH</v>
      </c>
    </row>
    <row r="386" spans="1:8" ht="13.5" x14ac:dyDescent="0.25">
      <c r="A386" s="3">
        <f>TITRES_STAT!B389</f>
        <v>45481</v>
      </c>
      <c r="B386" s="5">
        <f>TITRES_STAT!C389</f>
        <v>5.8</v>
      </c>
      <c r="C386" s="5">
        <f>TITRES_STAT!D389</f>
        <v>5.4459999999999997</v>
      </c>
      <c r="D386" s="5">
        <f>TITRES_STAT!E389</f>
        <v>5.4037465517241383</v>
      </c>
      <c r="E386" s="2">
        <f t="shared" si="20"/>
        <v>-240.13441315921963</v>
      </c>
      <c r="F386" s="5" t="str">
        <f t="shared" si="23"/>
        <v>BULLISH</v>
      </c>
      <c r="G386" s="5" t="str">
        <f t="shared" si="22"/>
        <v>WEAK</v>
      </c>
      <c r="H386" s="5" t="str">
        <f t="shared" si="21"/>
        <v>CONFIRMED BULLISH</v>
      </c>
    </row>
    <row r="387" spans="1:8" ht="13.5" x14ac:dyDescent="0.25">
      <c r="A387" s="3">
        <f>TITRES_STAT!B390</f>
        <v>45482</v>
      </c>
      <c r="B387" s="5">
        <f>TITRES_STAT!C390</f>
        <v>5.8</v>
      </c>
      <c r="C387" s="5">
        <f>TITRES_STAT!D390</f>
        <v>5.4459999999999997</v>
      </c>
      <c r="D387" s="5">
        <f>TITRES_STAT!E390</f>
        <v>5.4459999999999997</v>
      </c>
      <c r="E387" s="2">
        <f t="shared" si="20"/>
        <v>-240.13441315921963</v>
      </c>
      <c r="F387" s="5" t="str">
        <f t="shared" si="23"/>
        <v>BULLISH</v>
      </c>
      <c r="G387" s="5" t="str">
        <f t="shared" si="22"/>
        <v>WEAK</v>
      </c>
      <c r="H387" s="5" t="str">
        <f t="shared" si="21"/>
        <v>CONFIRMED BULLISH</v>
      </c>
    </row>
    <row r="388" spans="1:8" ht="13.5" x14ac:dyDescent="0.25">
      <c r="A388" s="3">
        <f>TITRES_STAT!B391</f>
        <v>45483</v>
      </c>
      <c r="B388" s="5">
        <f>TITRES_STAT!C391</f>
        <v>6</v>
      </c>
      <c r="C388" s="5">
        <f>TITRES_STAT!D391</f>
        <v>5.6340000000000003</v>
      </c>
      <c r="D388" s="5">
        <f>TITRES_STAT!E391</f>
        <v>5.5091130000000001</v>
      </c>
      <c r="E388" s="2">
        <f t="shared" ref="E388:E451" si="24">IF(B388&gt;B387, E387+D388, IF(B388&lt;B387, E387-D388, E387))</f>
        <v>-234.62530015921962</v>
      </c>
      <c r="F388" s="5" t="str">
        <f t="shared" si="23"/>
        <v>BULLISH</v>
      </c>
      <c r="G388" s="5" t="str">
        <f t="shared" si="22"/>
        <v>WEAK</v>
      </c>
      <c r="H388" s="5" t="str">
        <f t="shared" si="21"/>
        <v>CONFIRMED BULLISH</v>
      </c>
    </row>
    <row r="389" spans="1:8" ht="13.5" x14ac:dyDescent="0.25">
      <c r="A389" s="3">
        <f>TITRES_STAT!B392</f>
        <v>45484</v>
      </c>
      <c r="B389" s="5">
        <f>TITRES_STAT!C392</f>
        <v>6.19</v>
      </c>
      <c r="C389" s="5">
        <f>TITRES_STAT!D392</f>
        <v>5.8120000000000003</v>
      </c>
      <c r="D389" s="5">
        <f>TITRES_STAT!E392</f>
        <v>5.6148239095315029</v>
      </c>
      <c r="E389" s="2">
        <f t="shared" si="24"/>
        <v>-229.01047624968811</v>
      </c>
      <c r="F389" s="5" t="str">
        <f t="shared" si="23"/>
        <v>BULLISH</v>
      </c>
      <c r="G389" s="5" t="str">
        <f t="shared" si="22"/>
        <v>WEAK</v>
      </c>
      <c r="H389" s="5" t="str">
        <f t="shared" si="21"/>
        <v>CONFIRMED BULLISH</v>
      </c>
    </row>
    <row r="390" spans="1:8" ht="13.5" x14ac:dyDescent="0.25">
      <c r="A390" s="3">
        <f>TITRES_STAT!B393</f>
        <v>45485</v>
      </c>
      <c r="B390" s="5">
        <f>TITRES_STAT!C393</f>
        <v>6.26</v>
      </c>
      <c r="C390" s="5">
        <f>TITRES_STAT!D393</f>
        <v>5.8780000000000001</v>
      </c>
      <c r="D390" s="5">
        <f>TITRES_STAT!E393</f>
        <v>5.7859801916932909</v>
      </c>
      <c r="E390" s="2">
        <f t="shared" si="24"/>
        <v>-223.22449605799483</v>
      </c>
      <c r="F390" s="5" t="str">
        <f t="shared" si="23"/>
        <v>BULLISH</v>
      </c>
      <c r="G390" s="5" t="str">
        <f t="shared" si="22"/>
        <v>WEAK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f>TITRES_STAT!B394</f>
        <v>45488</v>
      </c>
      <c r="B391" s="5">
        <f>TITRES_STAT!C394</f>
        <v>6.3</v>
      </c>
      <c r="C391" s="5">
        <f>TITRES_STAT!D394</f>
        <v>5.9160000000000004</v>
      </c>
      <c r="D391" s="5">
        <f>TITRES_STAT!E394</f>
        <v>5.9160000000000004</v>
      </c>
      <c r="E391" s="2">
        <f t="shared" si="24"/>
        <v>-217.30849605799483</v>
      </c>
      <c r="F391" s="5" t="str">
        <f t="shared" si="23"/>
        <v>BULLISH</v>
      </c>
      <c r="G391" s="5" t="str">
        <f t="shared" ref="G391:G454" si="26">IF((E391-E386)/E386 &gt; 0.02, "STRONG",
 IF((E391-E386)/E386 &lt; -0.02, "WEAK", "NEUTRAL"))</f>
        <v>WEAK</v>
      </c>
      <c r="H391" s="5" t="str">
        <f t="shared" si="25"/>
        <v>CONFIRMED BULLISH</v>
      </c>
    </row>
    <row r="392" spans="1:8" ht="13.5" x14ac:dyDescent="0.25">
      <c r="A392" s="3">
        <f>TITRES_STAT!B395</f>
        <v>45489</v>
      </c>
      <c r="B392" s="5">
        <f>TITRES_STAT!C395</f>
        <v>6.35</v>
      </c>
      <c r="C392" s="5">
        <f>TITRES_STAT!D395</f>
        <v>5.9630000000000001</v>
      </c>
      <c r="D392" s="5">
        <f>TITRES_STAT!E395</f>
        <v>5.8258979527559056</v>
      </c>
      <c r="E392" s="2">
        <f t="shared" si="24"/>
        <v>-211.48259810523894</v>
      </c>
      <c r="F392" s="5" t="str">
        <f t="shared" ref="F392:F455" si="27">IF(E392&gt;E387,"BULLISH",IF(E392&lt;E387,"BEARISH","NEUTRAL"))</f>
        <v>BULLISH</v>
      </c>
      <c r="G392" s="5" t="str">
        <f t="shared" si="26"/>
        <v>WEAK</v>
      </c>
      <c r="H392" s="5" t="str">
        <f t="shared" si="25"/>
        <v>CONFIRMED BULLISH</v>
      </c>
    </row>
    <row r="393" spans="1:8" ht="13.5" x14ac:dyDescent="0.25">
      <c r="A393" s="3">
        <f>TITRES_STAT!B396</f>
        <v>45490</v>
      </c>
      <c r="B393" s="5">
        <f>TITRES_STAT!C396</f>
        <v>6.33</v>
      </c>
      <c r="C393" s="5">
        <f>TITRES_STAT!D396</f>
        <v>5.944</v>
      </c>
      <c r="D393" s="5">
        <f>TITRES_STAT!E396</f>
        <v>5.7571349131121643</v>
      </c>
      <c r="E393" s="2">
        <f t="shared" si="24"/>
        <v>-217.2397330183511</v>
      </c>
      <c r="F393" s="5" t="str">
        <f t="shared" si="27"/>
        <v>BULLISH</v>
      </c>
      <c r="G393" s="5" t="str">
        <f t="shared" si="26"/>
        <v>WEAK</v>
      </c>
      <c r="H393" s="5" t="str">
        <f t="shared" si="25"/>
        <v>CONFIRMED BULLISH</v>
      </c>
    </row>
    <row r="394" spans="1:8" ht="13.5" x14ac:dyDescent="0.25">
      <c r="A394" s="3">
        <f>TITRES_STAT!B397</f>
        <v>45491</v>
      </c>
      <c r="B394" s="5">
        <f>TITRES_STAT!C397</f>
        <v>6.27</v>
      </c>
      <c r="C394" s="5">
        <f>TITRES_STAT!D397</f>
        <v>5.8869999999999996</v>
      </c>
      <c r="D394" s="5">
        <f>TITRES_STAT!E397</f>
        <v>5.8869999999999996</v>
      </c>
      <c r="E394" s="2">
        <f t="shared" si="24"/>
        <v>-223.1267330183511</v>
      </c>
      <c r="F394" s="5" t="str">
        <f t="shared" si="27"/>
        <v>BULLISH</v>
      </c>
      <c r="G394" s="5" t="str">
        <f t="shared" si="26"/>
        <v>WEAK</v>
      </c>
      <c r="H394" s="5" t="str">
        <f t="shared" si="25"/>
        <v>CONFIRMED BULLISH</v>
      </c>
    </row>
    <row r="395" spans="1:8" ht="13.5" x14ac:dyDescent="0.25">
      <c r="A395" s="3">
        <f>TITRES_STAT!B398</f>
        <v>45492</v>
      </c>
      <c r="B395" s="5">
        <f>TITRES_STAT!C398</f>
        <v>6.27</v>
      </c>
      <c r="C395" s="5">
        <f>TITRES_STAT!D398</f>
        <v>5.8869999999999996</v>
      </c>
      <c r="D395" s="5">
        <f>TITRES_STAT!E398</f>
        <v>0</v>
      </c>
      <c r="E395" s="2">
        <f t="shared" si="24"/>
        <v>-223.1267330183511</v>
      </c>
      <c r="F395" s="5" t="str">
        <f t="shared" si="27"/>
        <v>BULLISH</v>
      </c>
      <c r="G395" s="5" t="str">
        <f t="shared" si="26"/>
        <v>NEUTRAL</v>
      </c>
      <c r="H395" s="5" t="str">
        <f t="shared" si="25"/>
        <v>CONFIRMED BULLISH</v>
      </c>
    </row>
    <row r="396" spans="1:8" ht="13.5" x14ac:dyDescent="0.25">
      <c r="A396" s="3">
        <f>TITRES_STAT!B399</f>
        <v>45495</v>
      </c>
      <c r="B396" s="5">
        <f>TITRES_STAT!C399</f>
        <v>6.24</v>
      </c>
      <c r="C396" s="5">
        <f>TITRES_STAT!D399</f>
        <v>5.859</v>
      </c>
      <c r="D396" s="5">
        <f>TITRES_STAT!E399</f>
        <v>5.7791899038461541</v>
      </c>
      <c r="E396" s="2">
        <f t="shared" si="24"/>
        <v>-228.90592292219725</v>
      </c>
      <c r="F396" s="5" t="str">
        <f t="shared" si="27"/>
        <v>BEARISH</v>
      </c>
      <c r="G396" s="5" t="str">
        <f t="shared" si="26"/>
        <v>STRONG</v>
      </c>
      <c r="H396" s="5" t="str">
        <f t="shared" si="25"/>
        <v>CONFIRMED BEARISH</v>
      </c>
    </row>
    <row r="397" spans="1:8" ht="13.5" x14ac:dyDescent="0.25">
      <c r="A397" s="3">
        <f>TITRES_STAT!B400</f>
        <v>45496</v>
      </c>
      <c r="B397" s="5">
        <f>TITRES_STAT!C400</f>
        <v>6.24</v>
      </c>
      <c r="C397" s="5">
        <f>TITRES_STAT!D400</f>
        <v>5.859</v>
      </c>
      <c r="D397" s="5">
        <f>TITRES_STAT!E400</f>
        <v>5.859</v>
      </c>
      <c r="E397" s="2">
        <f t="shared" si="24"/>
        <v>-228.90592292219725</v>
      </c>
      <c r="F397" s="5" t="str">
        <f t="shared" si="27"/>
        <v>BEARISH</v>
      </c>
      <c r="G397" s="5" t="str">
        <f t="shared" si="26"/>
        <v>STRONG</v>
      </c>
      <c r="H397" s="5" t="str">
        <f t="shared" si="25"/>
        <v>CONFIRMED BEARISH</v>
      </c>
    </row>
    <row r="398" spans="1:8" ht="13.5" x14ac:dyDescent="0.25">
      <c r="A398" s="3">
        <f>TITRES_STAT!B401</f>
        <v>45497</v>
      </c>
      <c r="B398" s="5">
        <f>TITRES_STAT!C401</f>
        <v>6.3</v>
      </c>
      <c r="C398" s="5">
        <f>TITRES_STAT!D401</f>
        <v>5.9160000000000004</v>
      </c>
      <c r="D398" s="5">
        <f>TITRES_STAT!E401</f>
        <v>5.8887676190476199</v>
      </c>
      <c r="E398" s="2">
        <f t="shared" si="24"/>
        <v>-223.01715530314962</v>
      </c>
      <c r="F398" s="5" t="str">
        <f t="shared" si="27"/>
        <v>BEARISH</v>
      </c>
      <c r="G398" s="5" t="str">
        <f t="shared" si="26"/>
        <v>STRONG</v>
      </c>
      <c r="H398" s="5" t="str">
        <f t="shared" si="25"/>
        <v>CONFIRMED BEARISH</v>
      </c>
    </row>
    <row r="399" spans="1:8" ht="13.5" x14ac:dyDescent="0.25">
      <c r="A399" s="3">
        <f>TITRES_STAT!B402</f>
        <v>45499</v>
      </c>
      <c r="B399" s="5">
        <f>TITRES_STAT!C402</f>
        <v>6.28</v>
      </c>
      <c r="C399" s="5">
        <f>TITRES_STAT!D402</f>
        <v>5.8970000000000002</v>
      </c>
      <c r="D399" s="5">
        <f>TITRES_STAT!E402</f>
        <v>5.8857318471337576</v>
      </c>
      <c r="E399" s="2">
        <f t="shared" si="24"/>
        <v>-228.90288715028339</v>
      </c>
      <c r="F399" s="5" t="str">
        <f t="shared" si="27"/>
        <v>BEARISH</v>
      </c>
      <c r="G399" s="5" t="str">
        <f t="shared" si="26"/>
        <v>STRONG</v>
      </c>
      <c r="H399" s="5" t="str">
        <f t="shared" si="25"/>
        <v>BEARISH DIVERGENCE</v>
      </c>
    </row>
    <row r="400" spans="1:8" ht="13.5" x14ac:dyDescent="0.25">
      <c r="A400" s="3">
        <f>TITRES_STAT!B403</f>
        <v>45502</v>
      </c>
      <c r="B400" s="5">
        <f>TITRES_STAT!C403</f>
        <v>6.28</v>
      </c>
      <c r="C400" s="5">
        <f>TITRES_STAT!D403</f>
        <v>5.8970000000000002</v>
      </c>
      <c r="D400" s="5">
        <f>TITRES_STAT!E403</f>
        <v>0</v>
      </c>
      <c r="E400" s="2">
        <f t="shared" si="24"/>
        <v>-228.90288715028339</v>
      </c>
      <c r="F400" s="5" t="str">
        <f t="shared" si="27"/>
        <v>BEARISH</v>
      </c>
      <c r="G400" s="5" t="str">
        <f t="shared" si="26"/>
        <v>STRONG</v>
      </c>
      <c r="H400" s="5" t="str">
        <f t="shared" si="25"/>
        <v>BEARISH DIVERGENCE</v>
      </c>
    </row>
    <row r="401" spans="1:8" ht="13.5" x14ac:dyDescent="0.25">
      <c r="A401" s="3">
        <f>TITRES_STAT!B404</f>
        <v>45503</v>
      </c>
      <c r="B401" s="5">
        <f>TITRES_STAT!C404</f>
        <v>6.2</v>
      </c>
      <c r="C401" s="5">
        <f>TITRES_STAT!D404</f>
        <v>5.8220000000000001</v>
      </c>
      <c r="D401" s="5">
        <f>TITRES_STAT!E404</f>
        <v>5.7919509677419354</v>
      </c>
      <c r="E401" s="2">
        <f t="shared" si="24"/>
        <v>-234.69483811802533</v>
      </c>
      <c r="F401" s="5" t="str">
        <f t="shared" si="27"/>
        <v>BEARISH</v>
      </c>
      <c r="G401" s="5" t="str">
        <f t="shared" si="26"/>
        <v>STRONG</v>
      </c>
      <c r="H401" s="5" t="str">
        <f t="shared" si="25"/>
        <v>CONFIRMED BEARISH</v>
      </c>
    </row>
    <row r="402" spans="1:8" ht="13.5" x14ac:dyDescent="0.25">
      <c r="A402" s="3">
        <f>TITRES_STAT!B405</f>
        <v>45504</v>
      </c>
      <c r="B402" s="5">
        <f>TITRES_STAT!C405</f>
        <v>6.3</v>
      </c>
      <c r="C402" s="5">
        <f>TITRES_STAT!D405</f>
        <v>5.9160000000000004</v>
      </c>
      <c r="D402" s="5">
        <f>TITRES_STAT!E405</f>
        <v>5.7601180952380959</v>
      </c>
      <c r="E402" s="2">
        <f t="shared" si="24"/>
        <v>-228.93472002278725</v>
      </c>
      <c r="F402" s="5" t="str">
        <f t="shared" si="27"/>
        <v>BEARISH</v>
      </c>
      <c r="G402" s="5" t="str">
        <f t="shared" si="26"/>
        <v>NEUTRAL</v>
      </c>
      <c r="H402" s="5" t="str">
        <f t="shared" si="25"/>
        <v>BEARISH DIVERGENCE</v>
      </c>
    </row>
    <row r="403" spans="1:8" ht="13.5" x14ac:dyDescent="0.25">
      <c r="A403" s="3">
        <f>TITRES_STAT!B406</f>
        <v>45505</v>
      </c>
      <c r="B403" s="5">
        <f>TITRES_STAT!C406</f>
        <v>6.3</v>
      </c>
      <c r="C403" s="5">
        <f>TITRES_STAT!D406</f>
        <v>5.9160000000000004</v>
      </c>
      <c r="D403" s="5">
        <f>TITRES_STAT!E406</f>
        <v>0</v>
      </c>
      <c r="E403" s="2">
        <f t="shared" si="24"/>
        <v>-228.93472002278725</v>
      </c>
      <c r="F403" s="5" t="str">
        <f t="shared" si="27"/>
        <v>BEARISH</v>
      </c>
      <c r="G403" s="5" t="str">
        <f t="shared" si="26"/>
        <v>STRONG</v>
      </c>
      <c r="H403" s="5" t="str">
        <f t="shared" si="25"/>
        <v>NEUTRAL</v>
      </c>
    </row>
    <row r="404" spans="1:8" ht="13.5" x14ac:dyDescent="0.25">
      <c r="A404" s="3">
        <f>TITRES_STAT!B407</f>
        <v>45506</v>
      </c>
      <c r="B404" s="5">
        <f>TITRES_STAT!C407</f>
        <v>6.28</v>
      </c>
      <c r="C404" s="5">
        <f>TITRES_STAT!D407</f>
        <v>5.8970000000000002</v>
      </c>
      <c r="D404" s="5">
        <f>TITRES_STAT!E407</f>
        <v>5.8040377388535038</v>
      </c>
      <c r="E404" s="2">
        <f t="shared" si="24"/>
        <v>-234.73875776164076</v>
      </c>
      <c r="F404" s="5" t="str">
        <f t="shared" si="27"/>
        <v>BEARISH</v>
      </c>
      <c r="G404" s="5" t="str">
        <f t="shared" si="26"/>
        <v>STRONG</v>
      </c>
      <c r="H404" s="5" t="str">
        <f t="shared" si="25"/>
        <v>NEUTRAL</v>
      </c>
    </row>
    <row r="405" spans="1:8" ht="13.5" x14ac:dyDescent="0.25">
      <c r="A405" s="3">
        <f>TITRES_STAT!B408</f>
        <v>45509</v>
      </c>
      <c r="B405" s="5">
        <f>TITRES_STAT!C408</f>
        <v>6.26</v>
      </c>
      <c r="C405" s="5">
        <f>TITRES_STAT!D408</f>
        <v>5.8780000000000001</v>
      </c>
      <c r="D405" s="5">
        <f>TITRES_STAT!E408</f>
        <v>5.8554645367412137</v>
      </c>
      <c r="E405" s="2">
        <f t="shared" si="24"/>
        <v>-240.59422229838196</v>
      </c>
      <c r="F405" s="5" t="str">
        <f t="shared" si="27"/>
        <v>BEARISH</v>
      </c>
      <c r="G405" s="5" t="str">
        <f t="shared" si="26"/>
        <v>STRONG</v>
      </c>
      <c r="H405" s="5" t="str">
        <f t="shared" si="25"/>
        <v>CONFIRMED BEARISH</v>
      </c>
    </row>
    <row r="406" spans="1:8" ht="13.5" x14ac:dyDescent="0.25">
      <c r="A406" s="3">
        <f>TITRES_STAT!B409</f>
        <v>45510</v>
      </c>
      <c r="B406" s="5">
        <f>TITRES_STAT!C409</f>
        <v>6.19</v>
      </c>
      <c r="C406" s="5">
        <f>TITRES_STAT!D409</f>
        <v>5.8120000000000003</v>
      </c>
      <c r="D406" s="5">
        <f>TITRES_STAT!E409</f>
        <v>5.7659922455573502</v>
      </c>
      <c r="E406" s="2">
        <f t="shared" si="24"/>
        <v>-246.36021454393932</v>
      </c>
      <c r="F406" s="5" t="str">
        <f t="shared" si="27"/>
        <v>BEARISH</v>
      </c>
      <c r="G406" s="5" t="str">
        <f t="shared" si="26"/>
        <v>STRONG</v>
      </c>
      <c r="H406" s="5" t="str">
        <f t="shared" si="25"/>
        <v>CONFIRMED BEARISH</v>
      </c>
    </row>
    <row r="407" spans="1:8" ht="13.5" x14ac:dyDescent="0.25">
      <c r="A407" s="3">
        <f>TITRES_STAT!B410</f>
        <v>45511</v>
      </c>
      <c r="B407" s="5">
        <f>TITRES_STAT!C410</f>
        <v>6.19</v>
      </c>
      <c r="C407" s="5">
        <f>TITRES_STAT!D410</f>
        <v>5.8120000000000003</v>
      </c>
      <c r="D407" s="5">
        <f>TITRES_STAT!E410</f>
        <v>0</v>
      </c>
      <c r="E407" s="2">
        <f t="shared" si="24"/>
        <v>-246.36021454393932</v>
      </c>
      <c r="F407" s="5" t="str">
        <f t="shared" si="27"/>
        <v>BEARISH</v>
      </c>
      <c r="G407" s="5" t="str">
        <f t="shared" si="26"/>
        <v>STRONG</v>
      </c>
      <c r="H407" s="5" t="str">
        <f t="shared" si="25"/>
        <v>CONFIRMED BEARISH</v>
      </c>
    </row>
    <row r="408" spans="1:8" ht="13.5" x14ac:dyDescent="0.25">
      <c r="A408" s="3">
        <f>TITRES_STAT!B411</f>
        <v>45512</v>
      </c>
      <c r="B408" s="5">
        <f>TITRES_STAT!C411</f>
        <v>6.19</v>
      </c>
      <c r="C408" s="5">
        <f>TITRES_STAT!D411</f>
        <v>5.8120000000000003</v>
      </c>
      <c r="D408" s="5">
        <f>TITRES_STAT!E411</f>
        <v>0</v>
      </c>
      <c r="E408" s="2">
        <f t="shared" si="24"/>
        <v>-246.36021454393932</v>
      </c>
      <c r="F408" s="5" t="str">
        <f t="shared" si="27"/>
        <v>BEARISH</v>
      </c>
      <c r="G408" s="5" t="str">
        <f t="shared" si="26"/>
        <v>STRONG</v>
      </c>
      <c r="H408" s="5" t="str">
        <f t="shared" si="25"/>
        <v>CONFIRMED BEARISH</v>
      </c>
    </row>
    <row r="409" spans="1:8" ht="13.5" x14ac:dyDescent="0.25">
      <c r="A409" s="3">
        <f>TITRES_STAT!B412</f>
        <v>45513</v>
      </c>
      <c r="B409" s="5">
        <f>TITRES_STAT!C412</f>
        <v>6.19</v>
      </c>
      <c r="C409" s="5">
        <f>TITRES_STAT!D412</f>
        <v>5.8120000000000003</v>
      </c>
      <c r="D409" s="5">
        <f>TITRES_STAT!E412</f>
        <v>0</v>
      </c>
      <c r="E409" s="2">
        <f t="shared" si="24"/>
        <v>-246.36021454393932</v>
      </c>
      <c r="F409" s="5" t="str">
        <f t="shared" si="27"/>
        <v>BEARISH</v>
      </c>
      <c r="G409" s="5" t="str">
        <f t="shared" si="26"/>
        <v>STRONG</v>
      </c>
      <c r="H409" s="5" t="str">
        <f t="shared" si="25"/>
        <v>CONFIRMED BEARISH</v>
      </c>
    </row>
    <row r="410" spans="1:8" ht="13.5" x14ac:dyDescent="0.25">
      <c r="A410" s="3">
        <f>TITRES_STAT!B413</f>
        <v>45516</v>
      </c>
      <c r="B410" s="5">
        <f>TITRES_STAT!C413</f>
        <v>6.16</v>
      </c>
      <c r="C410" s="5">
        <f>TITRES_STAT!D413</f>
        <v>5.7839999999999998</v>
      </c>
      <c r="D410" s="5">
        <f>TITRES_STAT!E413</f>
        <v>5.5868181818181819</v>
      </c>
      <c r="E410" s="2">
        <f t="shared" si="24"/>
        <v>-251.94703272575751</v>
      </c>
      <c r="F410" s="5" t="str">
        <f t="shared" si="27"/>
        <v>BEARISH</v>
      </c>
      <c r="G410" s="5" t="str">
        <f t="shared" si="26"/>
        <v>STRONG</v>
      </c>
      <c r="H410" s="5" t="str">
        <f t="shared" si="25"/>
        <v>CONFIRMED BEARISH</v>
      </c>
    </row>
    <row r="411" spans="1:8" ht="13.5" x14ac:dyDescent="0.25">
      <c r="A411" s="3">
        <f>TITRES_STAT!B414</f>
        <v>45518</v>
      </c>
      <c r="B411" s="5">
        <f>TITRES_STAT!C414</f>
        <v>6.1</v>
      </c>
      <c r="C411" s="5">
        <f>TITRES_STAT!D414</f>
        <v>5.7279999999999998</v>
      </c>
      <c r="D411" s="5">
        <f>TITRES_STAT!E414</f>
        <v>5.7279999999999998</v>
      </c>
      <c r="E411" s="2">
        <f t="shared" si="24"/>
        <v>-257.67503272575749</v>
      </c>
      <c r="F411" s="5" t="str">
        <f t="shared" si="27"/>
        <v>BEARISH</v>
      </c>
      <c r="G411" s="5" t="str">
        <f t="shared" si="26"/>
        <v>STRONG</v>
      </c>
      <c r="H411" s="5" t="str">
        <f t="shared" si="25"/>
        <v>CONFIRMED BEARISH</v>
      </c>
    </row>
    <row r="412" spans="1:8" ht="13.5" x14ac:dyDescent="0.25">
      <c r="A412" s="3">
        <f>TITRES_STAT!B415</f>
        <v>45519</v>
      </c>
      <c r="B412" s="5">
        <f>TITRES_STAT!C415</f>
        <v>6.09</v>
      </c>
      <c r="C412" s="5">
        <f>TITRES_STAT!D415</f>
        <v>5.718</v>
      </c>
      <c r="D412" s="5">
        <f>TITRES_STAT!E415</f>
        <v>5.6353753694581279</v>
      </c>
      <c r="E412" s="2">
        <f t="shared" si="24"/>
        <v>-263.31040809521562</v>
      </c>
      <c r="F412" s="5" t="str">
        <f t="shared" si="27"/>
        <v>BEARISH</v>
      </c>
      <c r="G412" s="5" t="str">
        <f t="shared" si="26"/>
        <v>STRONG</v>
      </c>
      <c r="H412" s="5" t="str">
        <f t="shared" si="25"/>
        <v>CONFIRMED BEARISH</v>
      </c>
    </row>
    <row r="413" spans="1:8" ht="13.5" x14ac:dyDescent="0.25">
      <c r="A413" s="3">
        <f>TITRES_STAT!B416</f>
        <v>45520</v>
      </c>
      <c r="B413" s="5">
        <f>TITRES_STAT!C416</f>
        <v>6.09</v>
      </c>
      <c r="C413" s="5">
        <f>TITRES_STAT!D416</f>
        <v>5.718</v>
      </c>
      <c r="D413" s="5">
        <f>TITRES_STAT!E416</f>
        <v>5.718</v>
      </c>
      <c r="E413" s="2">
        <f t="shared" si="24"/>
        <v>-263.31040809521562</v>
      </c>
      <c r="F413" s="5" t="str">
        <f t="shared" si="27"/>
        <v>BEARISH</v>
      </c>
      <c r="G413" s="5" t="str">
        <f t="shared" si="26"/>
        <v>STRONG</v>
      </c>
      <c r="H413" s="5" t="str">
        <f t="shared" si="25"/>
        <v>CONFIRMED BEARISH</v>
      </c>
    </row>
    <row r="414" spans="1:8" ht="13.5" x14ac:dyDescent="0.25">
      <c r="A414" s="3">
        <f>TITRES_STAT!B417</f>
        <v>45523</v>
      </c>
      <c r="B414" s="5">
        <f>TITRES_STAT!C417</f>
        <v>6.09</v>
      </c>
      <c r="C414" s="5">
        <f>TITRES_STAT!D417</f>
        <v>5.718</v>
      </c>
      <c r="D414" s="5">
        <f>TITRES_STAT!E417</f>
        <v>0</v>
      </c>
      <c r="E414" s="2">
        <f t="shared" si="24"/>
        <v>-263.31040809521562</v>
      </c>
      <c r="F414" s="5" t="str">
        <f t="shared" si="27"/>
        <v>BEARISH</v>
      </c>
      <c r="G414" s="5" t="str">
        <f t="shared" si="26"/>
        <v>STRONG</v>
      </c>
      <c r="H414" s="5" t="str">
        <f t="shared" si="25"/>
        <v>CONFIRMED BEARISH</v>
      </c>
    </row>
    <row r="415" spans="1:8" ht="13.5" x14ac:dyDescent="0.25">
      <c r="A415" s="3">
        <f>TITRES_STAT!B418</f>
        <v>45524</v>
      </c>
      <c r="B415" s="5">
        <f>TITRES_STAT!C418</f>
        <v>6.09</v>
      </c>
      <c r="C415" s="5">
        <f>TITRES_STAT!D418</f>
        <v>5.718</v>
      </c>
      <c r="D415" s="5">
        <f>TITRES_STAT!E418</f>
        <v>0</v>
      </c>
      <c r="E415" s="2">
        <f t="shared" si="24"/>
        <v>-263.31040809521562</v>
      </c>
      <c r="F415" s="5" t="str">
        <f t="shared" si="27"/>
        <v>BEARISH</v>
      </c>
      <c r="G415" s="5" t="str">
        <f t="shared" si="26"/>
        <v>STRONG</v>
      </c>
      <c r="H415" s="5" t="str">
        <f t="shared" si="25"/>
        <v>CONFIRMED BEARISH</v>
      </c>
    </row>
    <row r="416" spans="1:8" ht="13.5" x14ac:dyDescent="0.25">
      <c r="A416" s="3">
        <f>TITRES_STAT!B419</f>
        <v>45525</v>
      </c>
      <c r="B416" s="5">
        <f>TITRES_STAT!C419</f>
        <v>6</v>
      </c>
      <c r="C416" s="5">
        <f>TITRES_STAT!D419</f>
        <v>5.6340000000000003</v>
      </c>
      <c r="D416" s="5">
        <f>TITRES_STAT!E419</f>
        <v>5.6152200000000008</v>
      </c>
      <c r="E416" s="2">
        <f t="shared" si="24"/>
        <v>-268.92562809521564</v>
      </c>
      <c r="F416" s="5" t="str">
        <f t="shared" si="27"/>
        <v>BEARISH</v>
      </c>
      <c r="G416" s="5" t="str">
        <f t="shared" si="26"/>
        <v>STRONG</v>
      </c>
      <c r="H416" s="5" t="str">
        <f t="shared" si="25"/>
        <v>CONFIRMED BEARISH</v>
      </c>
    </row>
    <row r="417" spans="1:8" ht="13.5" x14ac:dyDescent="0.25">
      <c r="A417" s="3">
        <f>TITRES_STAT!B420</f>
        <v>45526</v>
      </c>
      <c r="B417" s="5">
        <f>TITRES_STAT!C420</f>
        <v>6</v>
      </c>
      <c r="C417" s="5">
        <f>TITRES_STAT!D420</f>
        <v>5.6340000000000003</v>
      </c>
      <c r="D417" s="5">
        <f>TITRES_STAT!E420</f>
        <v>0</v>
      </c>
      <c r="E417" s="2">
        <f t="shared" si="24"/>
        <v>-268.92562809521564</v>
      </c>
      <c r="F417" s="5" t="str">
        <f t="shared" si="27"/>
        <v>BEARISH</v>
      </c>
      <c r="G417" s="5" t="str">
        <f t="shared" si="26"/>
        <v>STRONG</v>
      </c>
      <c r="H417" s="5" t="str">
        <f t="shared" si="25"/>
        <v>CONFIRMED BEARISH</v>
      </c>
    </row>
    <row r="418" spans="1:8" ht="13.5" x14ac:dyDescent="0.25">
      <c r="A418" s="3">
        <f>TITRES_STAT!B421</f>
        <v>45527</v>
      </c>
      <c r="B418" s="5">
        <f>TITRES_STAT!C421</f>
        <v>6</v>
      </c>
      <c r="C418" s="5">
        <f>TITRES_STAT!D421</f>
        <v>5.6340000000000003</v>
      </c>
      <c r="D418" s="5">
        <f>TITRES_STAT!E421</f>
        <v>0</v>
      </c>
      <c r="E418" s="2">
        <f t="shared" si="24"/>
        <v>-268.92562809521564</v>
      </c>
      <c r="F418" s="5" t="str">
        <f t="shared" si="27"/>
        <v>BEARISH</v>
      </c>
      <c r="G418" s="5" t="str">
        <f t="shared" si="26"/>
        <v>STRONG</v>
      </c>
      <c r="H418" s="5" t="str">
        <f t="shared" si="25"/>
        <v>CONFIRMED BEARISH</v>
      </c>
    </row>
    <row r="419" spans="1:8" ht="13.5" x14ac:dyDescent="0.25">
      <c r="A419" s="3">
        <f>TITRES_STAT!B422</f>
        <v>45530</v>
      </c>
      <c r="B419" s="5">
        <f>TITRES_STAT!C422</f>
        <v>6</v>
      </c>
      <c r="C419" s="5">
        <f>TITRES_STAT!D422</f>
        <v>5.6340000000000003</v>
      </c>
      <c r="D419" s="5">
        <f>TITRES_STAT!E422</f>
        <v>0</v>
      </c>
      <c r="E419" s="2">
        <f t="shared" si="24"/>
        <v>-268.92562809521564</v>
      </c>
      <c r="F419" s="5" t="str">
        <f t="shared" si="27"/>
        <v>BEARISH</v>
      </c>
      <c r="G419" s="5" t="str">
        <f t="shared" si="26"/>
        <v>STRONG</v>
      </c>
      <c r="H419" s="5" t="str">
        <f t="shared" si="25"/>
        <v>CONFIRMED BEARISH</v>
      </c>
    </row>
    <row r="420" spans="1:8" ht="13.5" x14ac:dyDescent="0.25">
      <c r="A420" s="3">
        <f>TITRES_STAT!B423</f>
        <v>45531</v>
      </c>
      <c r="B420" s="5">
        <f>TITRES_STAT!C423</f>
        <v>5.99</v>
      </c>
      <c r="C420" s="5">
        <f>TITRES_STAT!D423</f>
        <v>5.625</v>
      </c>
      <c r="D420" s="5">
        <f>TITRES_STAT!E423</f>
        <v>5.625</v>
      </c>
      <c r="E420" s="2">
        <f t="shared" si="24"/>
        <v>-274.55062809521564</v>
      </c>
      <c r="F420" s="5" t="str">
        <f t="shared" si="27"/>
        <v>BEARISH</v>
      </c>
      <c r="G420" s="5" t="str">
        <f t="shared" si="26"/>
        <v>STRONG</v>
      </c>
      <c r="H420" s="5" t="str">
        <f t="shared" si="25"/>
        <v>CONFIRMED BEARISH</v>
      </c>
    </row>
    <row r="421" spans="1:8" ht="13.5" x14ac:dyDescent="0.25">
      <c r="A421" s="3">
        <f>TITRES_STAT!B424</f>
        <v>45532</v>
      </c>
      <c r="B421" s="5">
        <f>TITRES_STAT!C424</f>
        <v>6</v>
      </c>
      <c r="C421" s="5">
        <f>TITRES_STAT!D424</f>
        <v>5.6340000000000003</v>
      </c>
      <c r="D421" s="5">
        <f>TITRES_STAT!E424</f>
        <v>5.5692090000000007</v>
      </c>
      <c r="E421" s="2">
        <f t="shared" si="24"/>
        <v>-268.98141909521564</v>
      </c>
      <c r="F421" s="5" t="str">
        <f t="shared" si="27"/>
        <v>BEARISH</v>
      </c>
      <c r="G421" s="5" t="str">
        <f t="shared" si="26"/>
        <v>NEUTRAL</v>
      </c>
      <c r="H421" s="5" t="str">
        <f t="shared" si="25"/>
        <v>NEUTRAL</v>
      </c>
    </row>
    <row r="422" spans="1:8" ht="13.5" x14ac:dyDescent="0.25">
      <c r="A422" s="3">
        <f>TITRES_STAT!B425</f>
        <v>45533</v>
      </c>
      <c r="B422" s="5">
        <f>TITRES_STAT!C425</f>
        <v>6</v>
      </c>
      <c r="C422" s="5">
        <f>TITRES_STAT!D425</f>
        <v>5.6340000000000003</v>
      </c>
      <c r="D422" s="5">
        <f>TITRES_STAT!E425</f>
        <v>0</v>
      </c>
      <c r="E422" s="2">
        <f t="shared" si="24"/>
        <v>-268.98141909521564</v>
      </c>
      <c r="F422" s="5" t="str">
        <f t="shared" si="27"/>
        <v>BEARISH</v>
      </c>
      <c r="G422" s="5" t="str">
        <f t="shared" si="26"/>
        <v>NEUTRAL</v>
      </c>
      <c r="H422" s="5" t="str">
        <f t="shared" si="25"/>
        <v>NEUTRAL</v>
      </c>
    </row>
    <row r="423" spans="1:8" ht="13.5" x14ac:dyDescent="0.25">
      <c r="A423" s="3">
        <f>TITRES_STAT!B426</f>
        <v>45534</v>
      </c>
      <c r="B423" s="5">
        <f>TITRES_STAT!C426</f>
        <v>6.05</v>
      </c>
      <c r="C423" s="5">
        <f>TITRES_STAT!D426</f>
        <v>5.681</v>
      </c>
      <c r="D423" s="5">
        <f>TITRES_STAT!E426</f>
        <v>5.681</v>
      </c>
      <c r="E423" s="2">
        <f t="shared" si="24"/>
        <v>-263.30041909521566</v>
      </c>
      <c r="F423" s="5" t="str">
        <f t="shared" si="27"/>
        <v>BULLISH</v>
      </c>
      <c r="G423" s="5" t="str">
        <f t="shared" si="26"/>
        <v>WEAK</v>
      </c>
      <c r="H423" s="5" t="str">
        <f t="shared" si="25"/>
        <v>CONFIRMED BULLISH</v>
      </c>
    </row>
    <row r="424" spans="1:8" ht="13.5" x14ac:dyDescent="0.25">
      <c r="A424" s="3">
        <f>TITRES_STAT!B427</f>
        <v>45537</v>
      </c>
      <c r="B424" s="5">
        <f>TITRES_STAT!C427</f>
        <v>6</v>
      </c>
      <c r="C424" s="5">
        <f>TITRES_STAT!D427</f>
        <v>5.6340000000000003</v>
      </c>
      <c r="D424" s="5">
        <f>TITRES_STAT!E427</f>
        <v>5.5663920000000005</v>
      </c>
      <c r="E424" s="2">
        <f t="shared" si="24"/>
        <v>-268.86681109521567</v>
      </c>
      <c r="F424" s="5" t="str">
        <f t="shared" si="27"/>
        <v>BULLISH</v>
      </c>
      <c r="G424" s="5" t="str">
        <f t="shared" si="26"/>
        <v>NEUTRAL</v>
      </c>
      <c r="H424" s="5" t="str">
        <f t="shared" si="25"/>
        <v>NEUTRAL</v>
      </c>
    </row>
    <row r="425" spans="1:8" ht="13.5" x14ac:dyDescent="0.25">
      <c r="A425" s="3">
        <f>TITRES_STAT!B428</f>
        <v>45538</v>
      </c>
      <c r="B425" s="5">
        <f>TITRES_STAT!C428</f>
        <v>6.03</v>
      </c>
      <c r="C425" s="5">
        <f>TITRES_STAT!D428</f>
        <v>5.6619999999999999</v>
      </c>
      <c r="D425" s="5">
        <f>TITRES_STAT!E428</f>
        <v>5.625380099502487</v>
      </c>
      <c r="E425" s="2">
        <f t="shared" si="24"/>
        <v>-263.24143099571319</v>
      </c>
      <c r="F425" s="5" t="str">
        <f t="shared" si="27"/>
        <v>BULLISH</v>
      </c>
      <c r="G425" s="5" t="str">
        <f t="shared" si="26"/>
        <v>WEAK</v>
      </c>
      <c r="H425" s="5" t="str">
        <f t="shared" si="25"/>
        <v>CONFIRMED BULLISH</v>
      </c>
    </row>
    <row r="426" spans="1:8" ht="13.5" x14ac:dyDescent="0.25">
      <c r="A426" s="3">
        <f>TITRES_STAT!B429</f>
        <v>45539</v>
      </c>
      <c r="B426" s="5">
        <f>TITRES_STAT!C429</f>
        <v>6</v>
      </c>
      <c r="C426" s="5">
        <f>TITRES_STAT!D429</f>
        <v>5.6340000000000003</v>
      </c>
      <c r="D426" s="5">
        <f>TITRES_STAT!E429</f>
        <v>5.6340000000000003</v>
      </c>
      <c r="E426" s="2">
        <f t="shared" si="24"/>
        <v>-268.8754309957132</v>
      </c>
      <c r="F426" s="5" t="str">
        <f t="shared" si="27"/>
        <v>BULLISH</v>
      </c>
      <c r="G426" s="5" t="str">
        <f t="shared" si="26"/>
        <v>NEUTRAL</v>
      </c>
      <c r="H426" s="5" t="str">
        <f t="shared" si="25"/>
        <v>NEUTRAL</v>
      </c>
    </row>
    <row r="427" spans="1:8" ht="13.5" x14ac:dyDescent="0.25">
      <c r="A427" s="3">
        <f>TITRES_STAT!B430</f>
        <v>45540</v>
      </c>
      <c r="B427" s="5">
        <f>TITRES_STAT!C430</f>
        <v>6</v>
      </c>
      <c r="C427" s="5">
        <f>TITRES_STAT!D430</f>
        <v>5.6340000000000003</v>
      </c>
      <c r="D427" s="5">
        <f>TITRES_STAT!E430</f>
        <v>5.6340000000000003</v>
      </c>
      <c r="E427" s="2">
        <f t="shared" si="24"/>
        <v>-268.8754309957132</v>
      </c>
      <c r="F427" s="5" t="str">
        <f t="shared" si="27"/>
        <v>BULLISH</v>
      </c>
      <c r="G427" s="5" t="str">
        <f t="shared" si="26"/>
        <v>NEUTRAL</v>
      </c>
      <c r="H427" s="5" t="str">
        <f t="shared" si="25"/>
        <v>NEUTRAL</v>
      </c>
    </row>
    <row r="428" spans="1:8" ht="13.5" x14ac:dyDescent="0.25">
      <c r="A428" s="3">
        <f>TITRES_STAT!B431</f>
        <v>45541</v>
      </c>
      <c r="B428" s="5">
        <f>TITRES_STAT!C431</f>
        <v>6</v>
      </c>
      <c r="C428" s="5">
        <f>TITRES_STAT!D431</f>
        <v>5.6340000000000003</v>
      </c>
      <c r="D428" s="5">
        <f>TITRES_STAT!E431</f>
        <v>0</v>
      </c>
      <c r="E428" s="2">
        <f t="shared" si="24"/>
        <v>-268.8754309957132</v>
      </c>
      <c r="F428" s="5" t="str">
        <f t="shared" si="27"/>
        <v>BEARISH</v>
      </c>
      <c r="G428" s="5" t="str">
        <f t="shared" si="26"/>
        <v>STRONG</v>
      </c>
      <c r="H428" s="5" t="str">
        <f t="shared" si="25"/>
        <v>CONFIRMED BEARISH</v>
      </c>
    </row>
    <row r="429" spans="1:8" ht="13.5" x14ac:dyDescent="0.25">
      <c r="A429" s="3">
        <f>TITRES_STAT!B432</f>
        <v>45544</v>
      </c>
      <c r="B429" s="5">
        <f>TITRES_STAT!C432</f>
        <v>5.98</v>
      </c>
      <c r="C429" s="5">
        <f>TITRES_STAT!D432</f>
        <v>5.6150000000000002</v>
      </c>
      <c r="D429" s="5">
        <f>TITRES_STAT!E432</f>
        <v>5.4469255852842808</v>
      </c>
      <c r="E429" s="2">
        <f t="shared" si="24"/>
        <v>-274.32235658099751</v>
      </c>
      <c r="F429" s="5" t="str">
        <f t="shared" si="27"/>
        <v>BEARISH</v>
      </c>
      <c r="G429" s="5" t="str">
        <f t="shared" si="26"/>
        <v>STRONG</v>
      </c>
      <c r="H429" s="5" t="str">
        <f t="shared" si="25"/>
        <v>CONFIRMED BEARISH</v>
      </c>
    </row>
    <row r="430" spans="1:8" ht="13.5" x14ac:dyDescent="0.25">
      <c r="A430" s="3">
        <f>TITRES_STAT!B433</f>
        <v>45545</v>
      </c>
      <c r="B430" s="5">
        <f>TITRES_STAT!C433</f>
        <v>5.98</v>
      </c>
      <c r="C430" s="5">
        <f>TITRES_STAT!D433</f>
        <v>5.6150000000000002</v>
      </c>
      <c r="D430" s="5">
        <f>TITRES_STAT!E433</f>
        <v>5.6056103678929761</v>
      </c>
      <c r="E430" s="2">
        <f t="shared" si="24"/>
        <v>-274.32235658099751</v>
      </c>
      <c r="F430" s="5" t="str">
        <f t="shared" si="27"/>
        <v>BEARISH</v>
      </c>
      <c r="G430" s="5" t="str">
        <f t="shared" si="26"/>
        <v>STRONG</v>
      </c>
      <c r="H430" s="5" t="str">
        <f t="shared" si="25"/>
        <v>CONFIRMED BEARISH</v>
      </c>
    </row>
    <row r="431" spans="1:8" ht="13.5" x14ac:dyDescent="0.25">
      <c r="A431" s="3">
        <f>TITRES_STAT!B434</f>
        <v>45546</v>
      </c>
      <c r="B431" s="5">
        <f>TITRES_STAT!C434</f>
        <v>5.98</v>
      </c>
      <c r="C431" s="5">
        <f>TITRES_STAT!D434</f>
        <v>5.6150000000000002</v>
      </c>
      <c r="D431" s="5">
        <f>TITRES_STAT!E434</f>
        <v>0</v>
      </c>
      <c r="E431" s="2">
        <f t="shared" si="24"/>
        <v>-274.32235658099751</v>
      </c>
      <c r="F431" s="5" t="str">
        <f t="shared" si="27"/>
        <v>BEARISH</v>
      </c>
      <c r="G431" s="5" t="str">
        <f t="shared" si="26"/>
        <v>STRONG</v>
      </c>
      <c r="H431" s="5" t="str">
        <f t="shared" si="25"/>
        <v>CONFIRMED BEARISH</v>
      </c>
    </row>
    <row r="432" spans="1:8" ht="13.5" x14ac:dyDescent="0.25">
      <c r="A432" s="3">
        <f>TITRES_STAT!B435</f>
        <v>45547</v>
      </c>
      <c r="B432" s="5">
        <f>TITRES_STAT!C435</f>
        <v>5.98</v>
      </c>
      <c r="C432" s="5">
        <f>TITRES_STAT!D435</f>
        <v>5.6150000000000002</v>
      </c>
      <c r="D432" s="5">
        <f>TITRES_STAT!E435</f>
        <v>0</v>
      </c>
      <c r="E432" s="2">
        <f t="shared" si="24"/>
        <v>-274.32235658099751</v>
      </c>
      <c r="F432" s="5" t="str">
        <f t="shared" si="27"/>
        <v>BEARISH</v>
      </c>
      <c r="G432" s="5" t="str">
        <f t="shared" si="26"/>
        <v>STRONG</v>
      </c>
      <c r="H432" s="5" t="str">
        <f t="shared" si="25"/>
        <v>CONFIRMED BEARISH</v>
      </c>
    </row>
    <row r="433" spans="1:8" ht="13.5" x14ac:dyDescent="0.25">
      <c r="A433" s="3">
        <f>TITRES_STAT!B436</f>
        <v>45548</v>
      </c>
      <c r="B433" s="5">
        <f>TITRES_STAT!C436</f>
        <v>6</v>
      </c>
      <c r="C433" s="5">
        <f>TITRES_STAT!D436</f>
        <v>5.6340000000000003</v>
      </c>
      <c r="D433" s="5">
        <f>TITRES_STAT!E436</f>
        <v>5.6405729999999998</v>
      </c>
      <c r="E433" s="2">
        <f t="shared" si="24"/>
        <v>-268.68178358099749</v>
      </c>
      <c r="F433" s="5" t="str">
        <f t="shared" si="27"/>
        <v>BULLISH</v>
      </c>
      <c r="G433" s="5" t="str">
        <f t="shared" si="26"/>
        <v>NEUTRAL</v>
      </c>
      <c r="H433" s="5" t="str">
        <f t="shared" si="25"/>
        <v>NEUTRAL</v>
      </c>
    </row>
    <row r="434" spans="1:8" ht="13.5" x14ac:dyDescent="0.25">
      <c r="A434" s="3">
        <f>TITRES_STAT!B437</f>
        <v>45551</v>
      </c>
      <c r="B434" s="5">
        <f>TITRES_STAT!C437</f>
        <v>6</v>
      </c>
      <c r="C434" s="5">
        <f>TITRES_STAT!D437</f>
        <v>5.6340000000000003</v>
      </c>
      <c r="D434" s="5">
        <f>TITRES_STAT!E437</f>
        <v>0</v>
      </c>
      <c r="E434" s="2">
        <f t="shared" si="24"/>
        <v>-268.68178358099749</v>
      </c>
      <c r="F434" s="5" t="str">
        <f t="shared" si="27"/>
        <v>BULLISH</v>
      </c>
      <c r="G434" s="5" t="str">
        <f t="shared" si="26"/>
        <v>WEAK</v>
      </c>
      <c r="H434" s="5" t="str">
        <f t="shared" si="25"/>
        <v>CONFIRMED BULLISH</v>
      </c>
    </row>
    <row r="435" spans="1:8" ht="13.5" x14ac:dyDescent="0.25">
      <c r="A435" s="3">
        <f>TITRES_STAT!B438</f>
        <v>45552</v>
      </c>
      <c r="B435" s="5">
        <f>TITRES_STAT!C438</f>
        <v>6</v>
      </c>
      <c r="C435" s="5">
        <f>TITRES_STAT!D438</f>
        <v>5.6340000000000003</v>
      </c>
      <c r="D435" s="5">
        <f>TITRES_STAT!E438</f>
        <v>0</v>
      </c>
      <c r="E435" s="2">
        <f t="shared" si="24"/>
        <v>-268.68178358099749</v>
      </c>
      <c r="F435" s="5" t="str">
        <f t="shared" si="27"/>
        <v>BULLISH</v>
      </c>
      <c r="G435" s="5" t="str">
        <f t="shared" si="26"/>
        <v>WEAK</v>
      </c>
      <c r="H435" s="5" t="str">
        <f t="shared" si="25"/>
        <v>CONFIRMED BULLISH</v>
      </c>
    </row>
    <row r="436" spans="1:8" ht="13.5" x14ac:dyDescent="0.25">
      <c r="A436" s="3">
        <f>TITRES_STAT!B439</f>
        <v>45553</v>
      </c>
      <c r="B436" s="5">
        <f>TITRES_STAT!C439</f>
        <v>6</v>
      </c>
      <c r="C436" s="5">
        <f>TITRES_STAT!D439</f>
        <v>5.6340000000000003</v>
      </c>
      <c r="D436" s="5">
        <f>TITRES_STAT!E439</f>
        <v>5.6340000000000003</v>
      </c>
      <c r="E436" s="2">
        <f t="shared" si="24"/>
        <v>-268.68178358099749</v>
      </c>
      <c r="F436" s="5" t="str">
        <f t="shared" si="27"/>
        <v>BULLISH</v>
      </c>
      <c r="G436" s="5" t="str">
        <f t="shared" si="26"/>
        <v>WEAK</v>
      </c>
      <c r="H436" s="5" t="str">
        <f t="shared" si="25"/>
        <v>CONFIRMED BULLISH</v>
      </c>
    </row>
    <row r="437" spans="1:8" ht="13.5" x14ac:dyDescent="0.25">
      <c r="A437" s="3">
        <f>TITRES_STAT!B440</f>
        <v>45554</v>
      </c>
      <c r="B437" s="5">
        <f>TITRES_STAT!C440</f>
        <v>6.1</v>
      </c>
      <c r="C437" s="5">
        <f>TITRES_STAT!D440</f>
        <v>5.7279999999999998</v>
      </c>
      <c r="D437" s="5">
        <f>TITRES_STAT!E440</f>
        <v>5.7242439344262301</v>
      </c>
      <c r="E437" s="2">
        <f t="shared" si="24"/>
        <v>-262.95753964657126</v>
      </c>
      <c r="F437" s="5" t="str">
        <f t="shared" si="27"/>
        <v>BULLISH</v>
      </c>
      <c r="G437" s="5" t="str">
        <f t="shared" si="26"/>
        <v>WEAK</v>
      </c>
      <c r="H437" s="5" t="str">
        <f t="shared" si="25"/>
        <v>CONFIRMED BULLISH</v>
      </c>
    </row>
    <row r="438" spans="1:8" ht="13.5" x14ac:dyDescent="0.25">
      <c r="A438" s="3">
        <f>TITRES_STAT!B441</f>
        <v>45555</v>
      </c>
      <c r="B438" s="5">
        <f>TITRES_STAT!C441</f>
        <v>6.14</v>
      </c>
      <c r="C438" s="5">
        <f>TITRES_STAT!D441</f>
        <v>5.7649999999999997</v>
      </c>
      <c r="D438" s="5">
        <f>TITRES_STAT!E441</f>
        <v>5.7743892508143322</v>
      </c>
      <c r="E438" s="2">
        <f t="shared" si="24"/>
        <v>-257.18315039575691</v>
      </c>
      <c r="F438" s="5" t="str">
        <f t="shared" si="27"/>
        <v>BULLISH</v>
      </c>
      <c r="G438" s="5" t="str">
        <f t="shared" si="26"/>
        <v>WEAK</v>
      </c>
      <c r="H438" s="5" t="str">
        <f t="shared" si="25"/>
        <v>CONFIRMED BULLISH</v>
      </c>
    </row>
    <row r="439" spans="1:8" ht="13.5" x14ac:dyDescent="0.25">
      <c r="A439" s="3">
        <f>TITRES_STAT!B442</f>
        <v>45558</v>
      </c>
      <c r="B439" s="5">
        <f>TITRES_STAT!C442</f>
        <v>6.15</v>
      </c>
      <c r="C439" s="5">
        <f>TITRES_STAT!D442</f>
        <v>5.7750000000000004</v>
      </c>
      <c r="D439" s="5">
        <f>TITRES_STAT!E442</f>
        <v>5.7740609756097561</v>
      </c>
      <c r="E439" s="2">
        <f t="shared" si="24"/>
        <v>-251.40908942014715</v>
      </c>
      <c r="F439" s="5" t="str">
        <f t="shared" si="27"/>
        <v>BULLISH</v>
      </c>
      <c r="G439" s="5" t="str">
        <f t="shared" si="26"/>
        <v>WEAK</v>
      </c>
      <c r="H439" s="5" t="str">
        <f t="shared" si="25"/>
        <v>CONFIRMED BULLISH</v>
      </c>
    </row>
    <row r="440" spans="1:8" ht="13.5" x14ac:dyDescent="0.25">
      <c r="A440" s="3">
        <f>TITRES_STAT!B443</f>
        <v>45559</v>
      </c>
      <c r="B440" s="5">
        <f>TITRES_STAT!C443</f>
        <v>6.15</v>
      </c>
      <c r="C440" s="5">
        <f>TITRES_STAT!D443</f>
        <v>5.7750000000000004</v>
      </c>
      <c r="D440" s="5">
        <f>TITRES_STAT!E443</f>
        <v>5.7139634146341463</v>
      </c>
      <c r="E440" s="2">
        <f t="shared" si="24"/>
        <v>-251.40908942014715</v>
      </c>
      <c r="F440" s="5" t="str">
        <f t="shared" si="27"/>
        <v>BULLISH</v>
      </c>
      <c r="G440" s="5" t="str">
        <f t="shared" si="26"/>
        <v>WEAK</v>
      </c>
      <c r="H440" s="5" t="str">
        <f t="shared" si="25"/>
        <v>CONFIRMED BULLISH</v>
      </c>
    </row>
    <row r="441" spans="1:8" ht="13.5" x14ac:dyDescent="0.25">
      <c r="A441" s="3">
        <f>TITRES_STAT!B444</f>
        <v>45560</v>
      </c>
      <c r="B441" s="5">
        <f>TITRES_STAT!C444</f>
        <v>6.14</v>
      </c>
      <c r="C441" s="5">
        <f>TITRES_STAT!D444</f>
        <v>5.7649999999999997</v>
      </c>
      <c r="D441" s="5">
        <f>TITRES_STAT!E444</f>
        <v>5.7649999999999997</v>
      </c>
      <c r="E441" s="2">
        <f t="shared" si="24"/>
        <v>-257.17408942014714</v>
      </c>
      <c r="F441" s="5" t="str">
        <f t="shared" si="27"/>
        <v>BULLISH</v>
      </c>
      <c r="G441" s="5" t="str">
        <f t="shared" si="26"/>
        <v>WEAK</v>
      </c>
      <c r="H441" s="5" t="str">
        <f t="shared" si="25"/>
        <v>CONFIRMED BULLISH</v>
      </c>
    </row>
    <row r="442" spans="1:8" ht="13.5" x14ac:dyDescent="0.25">
      <c r="A442" s="3">
        <f>TITRES_STAT!B445</f>
        <v>45561</v>
      </c>
      <c r="B442" s="5">
        <f>TITRES_STAT!C445</f>
        <v>6.15</v>
      </c>
      <c r="C442" s="5">
        <f>TITRES_STAT!D445</f>
        <v>5.7750000000000004</v>
      </c>
      <c r="D442" s="5">
        <f>TITRES_STAT!E445</f>
        <v>5.7599756097560979</v>
      </c>
      <c r="E442" s="2">
        <f t="shared" si="24"/>
        <v>-251.41411381039103</v>
      </c>
      <c r="F442" s="5" t="str">
        <f t="shared" si="27"/>
        <v>BULLISH</v>
      </c>
      <c r="G442" s="5" t="str">
        <f t="shared" si="26"/>
        <v>WEAK</v>
      </c>
      <c r="H442" s="5" t="str">
        <f t="shared" si="25"/>
        <v>CONFIRMED BULLISH</v>
      </c>
    </row>
    <row r="443" spans="1:8" ht="13.5" x14ac:dyDescent="0.25">
      <c r="A443" s="3">
        <f>TITRES_STAT!B446</f>
        <v>45562</v>
      </c>
      <c r="B443" s="5">
        <f>TITRES_STAT!C446</f>
        <v>6.2</v>
      </c>
      <c r="C443" s="5">
        <f>TITRES_STAT!D446</f>
        <v>5.8220000000000001</v>
      </c>
      <c r="D443" s="5">
        <f>TITRES_STAT!E446</f>
        <v>5.7806825806451609</v>
      </c>
      <c r="E443" s="2">
        <f t="shared" si="24"/>
        <v>-245.63343122974587</v>
      </c>
      <c r="F443" s="5" t="str">
        <f t="shared" si="27"/>
        <v>BULLISH</v>
      </c>
      <c r="G443" s="5" t="str">
        <f t="shared" si="26"/>
        <v>WEAK</v>
      </c>
      <c r="H443" s="5" t="str">
        <f t="shared" si="25"/>
        <v>CONFIRMED BULLISH</v>
      </c>
    </row>
    <row r="444" spans="1:8" ht="13.5" x14ac:dyDescent="0.25">
      <c r="A444" s="3">
        <f>TITRES_STAT!B447</f>
        <v>45565</v>
      </c>
      <c r="B444" s="5">
        <f>TITRES_STAT!C447</f>
        <v>6.2</v>
      </c>
      <c r="C444" s="5">
        <f>TITRES_STAT!D447</f>
        <v>5.8220000000000001</v>
      </c>
      <c r="D444" s="5">
        <f>TITRES_STAT!E447</f>
        <v>5.8201219354838711</v>
      </c>
      <c r="E444" s="2">
        <f t="shared" si="24"/>
        <v>-245.63343122974587</v>
      </c>
      <c r="F444" s="5" t="str">
        <f t="shared" si="27"/>
        <v>BULLISH</v>
      </c>
      <c r="G444" s="5" t="str">
        <f t="shared" si="26"/>
        <v>WEAK</v>
      </c>
      <c r="H444" s="5" t="str">
        <f t="shared" si="25"/>
        <v>CONFIRMED BULLISH</v>
      </c>
    </row>
    <row r="445" spans="1:8" ht="13.5" x14ac:dyDescent="0.25">
      <c r="A445" s="3">
        <f>TITRES_STAT!B448</f>
        <v>45566</v>
      </c>
      <c r="B445" s="5">
        <f>TITRES_STAT!C448</f>
        <v>6.2</v>
      </c>
      <c r="C445" s="5">
        <f>TITRES_STAT!D448</f>
        <v>5.8220000000000001</v>
      </c>
      <c r="D445" s="5">
        <f>TITRES_STAT!E448</f>
        <v>5.7750483870967741</v>
      </c>
      <c r="E445" s="2">
        <f t="shared" si="24"/>
        <v>-245.63343122974587</v>
      </c>
      <c r="F445" s="5" t="str">
        <f t="shared" si="27"/>
        <v>BULLISH</v>
      </c>
      <c r="G445" s="5" t="str">
        <f t="shared" si="26"/>
        <v>WEAK</v>
      </c>
      <c r="H445" s="5" t="str">
        <f t="shared" si="25"/>
        <v>CONFIRMED BULLISH</v>
      </c>
    </row>
    <row r="446" spans="1:8" ht="13.5" x14ac:dyDescent="0.25">
      <c r="A446" s="3">
        <f>TITRES_STAT!B449</f>
        <v>45567</v>
      </c>
      <c r="B446" s="5">
        <f>TITRES_STAT!C449</f>
        <v>6.19</v>
      </c>
      <c r="C446" s="5">
        <f>TITRES_STAT!D449</f>
        <v>5.8120000000000003</v>
      </c>
      <c r="D446" s="5">
        <f>TITRES_STAT!E449</f>
        <v>5.8120000000000003</v>
      </c>
      <c r="E446" s="2">
        <f t="shared" si="24"/>
        <v>-251.44543122974588</v>
      </c>
      <c r="F446" s="5" t="str">
        <f t="shared" si="27"/>
        <v>BULLISH</v>
      </c>
      <c r="G446" s="5" t="str">
        <f t="shared" si="26"/>
        <v>WEAK</v>
      </c>
      <c r="H446" s="5" t="str">
        <f t="shared" si="25"/>
        <v>CONFIRMED BULLISH</v>
      </c>
    </row>
    <row r="447" spans="1:8" ht="13.5" x14ac:dyDescent="0.25">
      <c r="A447" s="3">
        <f>TITRES_STAT!B450</f>
        <v>45568</v>
      </c>
      <c r="B447" s="5">
        <f>TITRES_STAT!C450</f>
        <v>6.15</v>
      </c>
      <c r="C447" s="5">
        <f>TITRES_STAT!D450</f>
        <v>5.7750000000000004</v>
      </c>
      <c r="D447" s="5">
        <f>TITRES_STAT!E450</f>
        <v>5.7750000000000004</v>
      </c>
      <c r="E447" s="2">
        <f t="shared" si="24"/>
        <v>-257.22043122974588</v>
      </c>
      <c r="F447" s="5" t="str">
        <f t="shared" si="27"/>
        <v>BEARISH</v>
      </c>
      <c r="G447" s="5" t="str">
        <f t="shared" si="26"/>
        <v>STRONG</v>
      </c>
      <c r="H447" s="5" t="str">
        <f t="shared" si="25"/>
        <v>NEUTRAL</v>
      </c>
    </row>
    <row r="448" spans="1:8" ht="13.5" x14ac:dyDescent="0.25">
      <c r="A448" s="3">
        <f>TITRES_STAT!B451</f>
        <v>45569</v>
      </c>
      <c r="B448" s="5">
        <f>TITRES_STAT!C451</f>
        <v>6.15</v>
      </c>
      <c r="C448" s="5">
        <f>TITRES_STAT!D451</f>
        <v>5.7750000000000004</v>
      </c>
      <c r="D448" s="5">
        <f>TITRES_STAT!E451</f>
        <v>0</v>
      </c>
      <c r="E448" s="2">
        <f t="shared" si="24"/>
        <v>-257.22043122974588</v>
      </c>
      <c r="F448" s="5" t="str">
        <f t="shared" si="27"/>
        <v>BEARISH</v>
      </c>
      <c r="G448" s="5" t="str">
        <f t="shared" si="26"/>
        <v>STRONG</v>
      </c>
      <c r="H448" s="5" t="str">
        <f t="shared" si="25"/>
        <v>CONFIRMED BEARISH</v>
      </c>
    </row>
    <row r="449" spans="1:8" ht="13.5" x14ac:dyDescent="0.25">
      <c r="A449" s="3">
        <f>TITRES_STAT!B452</f>
        <v>45572</v>
      </c>
      <c r="B449" s="5">
        <f>TITRES_STAT!C452</f>
        <v>6.2</v>
      </c>
      <c r="C449" s="5">
        <f>TITRES_STAT!D452</f>
        <v>5.8220000000000001</v>
      </c>
      <c r="D449" s="5">
        <f>TITRES_STAT!E452</f>
        <v>5.7881948387096767</v>
      </c>
      <c r="E449" s="2">
        <f t="shared" si="24"/>
        <v>-251.43223639103621</v>
      </c>
      <c r="F449" s="5" t="str">
        <f t="shared" si="27"/>
        <v>BEARISH</v>
      </c>
      <c r="G449" s="5" t="str">
        <f t="shared" si="26"/>
        <v>STRONG</v>
      </c>
      <c r="H449" s="5" t="str">
        <f t="shared" si="25"/>
        <v>NEUTRAL</v>
      </c>
    </row>
    <row r="450" spans="1:8" ht="13.5" x14ac:dyDescent="0.25">
      <c r="A450" s="3">
        <f>TITRES_STAT!B453</f>
        <v>45573</v>
      </c>
      <c r="B450" s="5">
        <f>TITRES_STAT!C453</f>
        <v>6.03</v>
      </c>
      <c r="C450" s="5">
        <f>TITRES_STAT!D453</f>
        <v>5.6619999999999999</v>
      </c>
      <c r="D450" s="5">
        <f>TITRES_STAT!E453</f>
        <v>5.6629389718076277</v>
      </c>
      <c r="E450" s="2">
        <f t="shared" si="24"/>
        <v>-257.09517536284386</v>
      </c>
      <c r="F450" s="5" t="str">
        <f t="shared" si="27"/>
        <v>BEARISH</v>
      </c>
      <c r="G450" s="5" t="str">
        <f t="shared" si="26"/>
        <v>STRONG</v>
      </c>
      <c r="H450" s="5" t="str">
        <f t="shared" si="25"/>
        <v>CONFIRMED BEARISH</v>
      </c>
    </row>
    <row r="451" spans="1:8" ht="13.5" x14ac:dyDescent="0.25">
      <c r="A451" s="3">
        <f>TITRES_STAT!B454</f>
        <v>45574</v>
      </c>
      <c r="B451" s="5">
        <f>TITRES_STAT!C454</f>
        <v>6.15</v>
      </c>
      <c r="C451" s="5">
        <f>TITRES_STAT!D454</f>
        <v>5.7750000000000004</v>
      </c>
      <c r="D451" s="5">
        <f>TITRES_STAT!E454</f>
        <v>5.7102073170731718</v>
      </c>
      <c r="E451" s="2">
        <f t="shared" si="24"/>
        <v>-251.38496804577068</v>
      </c>
      <c r="F451" s="5" t="str">
        <f t="shared" si="27"/>
        <v>BULLISH</v>
      </c>
      <c r="G451" s="5" t="str">
        <f t="shared" si="26"/>
        <v>NEUTRAL</v>
      </c>
      <c r="H451" s="5" t="str">
        <f t="shared" si="25"/>
        <v>BULLISH DIVERGENCE</v>
      </c>
    </row>
    <row r="452" spans="1:8" ht="13.5" x14ac:dyDescent="0.25">
      <c r="A452" s="3">
        <f>TITRES_STAT!B455</f>
        <v>45575</v>
      </c>
      <c r="B452" s="5">
        <f>TITRES_STAT!C455</f>
        <v>6.15</v>
      </c>
      <c r="C452" s="5">
        <f>TITRES_STAT!D455</f>
        <v>5.7750000000000004</v>
      </c>
      <c r="D452" s="5">
        <f>TITRES_STAT!E455</f>
        <v>5.7468292682926831</v>
      </c>
      <c r="E452" s="2">
        <f t="shared" ref="E452:E515" si="28">IF(B452&gt;B451, E451+D452, IF(B452&lt;B451, E451-D452, E451))</f>
        <v>-251.38496804577068</v>
      </c>
      <c r="F452" s="5" t="str">
        <f t="shared" si="27"/>
        <v>BULLISH</v>
      </c>
      <c r="G452" s="5" t="str">
        <f t="shared" si="26"/>
        <v>WEAK</v>
      </c>
      <c r="H452" s="5" t="str">
        <f t="shared" si="25"/>
        <v>NEUTRAL</v>
      </c>
    </row>
    <row r="453" spans="1:8" ht="13.5" x14ac:dyDescent="0.25">
      <c r="A453" s="3">
        <f>TITRES_STAT!B456</f>
        <v>45576</v>
      </c>
      <c r="B453" s="5">
        <f>TITRES_STAT!C456</f>
        <v>6.23</v>
      </c>
      <c r="C453" s="5">
        <f>TITRES_STAT!D456</f>
        <v>5.85</v>
      </c>
      <c r="D453" s="5">
        <f>TITRES_STAT!E456</f>
        <v>5.7739406099518451</v>
      </c>
      <c r="E453" s="2">
        <f t="shared" si="28"/>
        <v>-245.61102743581884</v>
      </c>
      <c r="F453" s="5" t="str">
        <f t="shared" si="27"/>
        <v>BULLISH</v>
      </c>
      <c r="G453" s="5" t="str">
        <f t="shared" si="26"/>
        <v>WEAK</v>
      </c>
      <c r="H453" s="5" t="str">
        <f t="shared" si="25"/>
        <v>CONFIRMED BULLISH</v>
      </c>
    </row>
    <row r="454" spans="1:8" ht="13.5" x14ac:dyDescent="0.25">
      <c r="A454" s="3">
        <f>TITRES_STAT!B457</f>
        <v>45579</v>
      </c>
      <c r="B454" s="5">
        <f>TITRES_STAT!C457</f>
        <v>6.08</v>
      </c>
      <c r="C454" s="5">
        <f>TITRES_STAT!D457</f>
        <v>5.7089999999999996</v>
      </c>
      <c r="D454" s="5">
        <f>TITRES_STAT!E457</f>
        <v>5.683647532894736</v>
      </c>
      <c r="E454" s="2">
        <f t="shared" si="28"/>
        <v>-251.29467496871357</v>
      </c>
      <c r="F454" s="5" t="str">
        <f t="shared" si="27"/>
        <v>BULLISH</v>
      </c>
      <c r="G454" s="5" t="str">
        <f t="shared" si="26"/>
        <v>NEUTRAL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BULLISH DIVERGENCE</v>
      </c>
    </row>
    <row r="455" spans="1:8" ht="13.5" x14ac:dyDescent="0.25">
      <c r="A455" s="3">
        <f>TITRES_STAT!B458</f>
        <v>45581</v>
      </c>
      <c r="B455" s="5">
        <f>TITRES_STAT!C458</f>
        <v>6.15</v>
      </c>
      <c r="C455" s="5">
        <f>TITRES_STAT!D458</f>
        <v>5.7750000000000004</v>
      </c>
      <c r="D455" s="5">
        <f>TITRES_STAT!E458</f>
        <v>5.6782804878048783</v>
      </c>
      <c r="E455" s="2">
        <f t="shared" si="28"/>
        <v>-245.6163944809087</v>
      </c>
      <c r="F455" s="5" t="str">
        <f t="shared" si="27"/>
        <v>BULLISH</v>
      </c>
      <c r="G455" s="5" t="str">
        <f t="shared" ref="G455:G518" si="30">IF((E455-E450)/E450 &gt; 0.02, "STRONG",
 IF((E455-E450)/E450 &lt; -0.02, "WEAK", "NEUTRAL"))</f>
        <v>WEAK</v>
      </c>
      <c r="H455" s="5" t="str">
        <f t="shared" si="29"/>
        <v>CONFIRMED BULLISH</v>
      </c>
    </row>
    <row r="456" spans="1:8" ht="13.5" x14ac:dyDescent="0.25">
      <c r="A456" s="3">
        <f>TITRES_STAT!B459</f>
        <v>45582</v>
      </c>
      <c r="B456" s="5">
        <f>TITRES_STAT!C459</f>
        <v>6.15</v>
      </c>
      <c r="C456" s="5">
        <f>TITRES_STAT!D459</f>
        <v>5.7750000000000004</v>
      </c>
      <c r="D456" s="5">
        <f>TITRES_STAT!E459</f>
        <v>5.7750000000000004</v>
      </c>
      <c r="E456" s="2">
        <f t="shared" si="28"/>
        <v>-245.6163944809087</v>
      </c>
      <c r="F456" s="5" t="str">
        <f t="shared" ref="F456:F519" si="31">IF(E456&gt;E451,"BULLISH",IF(E456&lt;E451,"BEARISH","NEUTRAL"))</f>
        <v>BULLISH</v>
      </c>
      <c r="G456" s="5" t="str">
        <f t="shared" si="30"/>
        <v>WEAK</v>
      </c>
      <c r="H456" s="5" t="str">
        <f t="shared" si="29"/>
        <v>NEUTRAL</v>
      </c>
    </row>
    <row r="457" spans="1:8" ht="13.5" x14ac:dyDescent="0.25">
      <c r="A457" s="3">
        <f>TITRES_STAT!B460</f>
        <v>45583</v>
      </c>
      <c r="B457" s="5">
        <f>TITRES_STAT!C460</f>
        <v>6.23</v>
      </c>
      <c r="C457" s="5">
        <f>TITRES_STAT!D460</f>
        <v>5.85</v>
      </c>
      <c r="D457" s="5">
        <f>TITRES_STAT!E460</f>
        <v>0</v>
      </c>
      <c r="E457" s="2">
        <f t="shared" si="28"/>
        <v>-245.6163944809087</v>
      </c>
      <c r="F457" s="5" t="str">
        <f t="shared" si="31"/>
        <v>BULLISH</v>
      </c>
      <c r="G457" s="5" t="str">
        <f t="shared" si="30"/>
        <v>WEAK</v>
      </c>
      <c r="H457" s="5" t="str">
        <f t="shared" si="29"/>
        <v>CONFIRMED BULLISH</v>
      </c>
    </row>
    <row r="458" spans="1:8" ht="13.5" x14ac:dyDescent="0.25">
      <c r="A458" s="3">
        <f>TITRES_STAT!B461</f>
        <v>45586</v>
      </c>
      <c r="B458" s="5">
        <f>TITRES_STAT!C461</f>
        <v>6.19</v>
      </c>
      <c r="C458" s="5">
        <f>TITRES_STAT!D461</f>
        <v>5.8120000000000003</v>
      </c>
      <c r="D458" s="5">
        <f>TITRES_STAT!E461</f>
        <v>0</v>
      </c>
      <c r="E458" s="2">
        <f t="shared" si="28"/>
        <v>-245.6163944809087</v>
      </c>
      <c r="F458" s="5" t="str">
        <f t="shared" si="31"/>
        <v>BEARISH</v>
      </c>
      <c r="G458" s="5" t="str">
        <f t="shared" si="30"/>
        <v>NEUTRAL</v>
      </c>
      <c r="H458" s="5" t="str">
        <f t="shared" si="29"/>
        <v>CONFIRMED BEARISH</v>
      </c>
    </row>
    <row r="459" spans="1:8" ht="13.5" x14ac:dyDescent="0.25">
      <c r="A459" s="3">
        <f>TITRES_STAT!B462</f>
        <v>45587</v>
      </c>
      <c r="B459" s="5">
        <f>TITRES_STAT!C462</f>
        <v>6.2</v>
      </c>
      <c r="C459" s="5">
        <f>TITRES_STAT!D462</f>
        <v>5.8220000000000001</v>
      </c>
      <c r="D459" s="5">
        <f>TITRES_STAT!E462</f>
        <v>0</v>
      </c>
      <c r="E459" s="2">
        <f t="shared" si="28"/>
        <v>-245.6163944809087</v>
      </c>
      <c r="F459" s="5" t="str">
        <f t="shared" si="31"/>
        <v>BULLISH</v>
      </c>
      <c r="G459" s="5" t="str">
        <f t="shared" si="30"/>
        <v>WEAK</v>
      </c>
      <c r="H459" s="5" t="str">
        <f t="shared" si="29"/>
        <v>CONFIRMED BULLISH</v>
      </c>
    </row>
    <row r="460" spans="1:8" ht="13.5" x14ac:dyDescent="0.25">
      <c r="A460" s="3">
        <f>TITRES_STAT!B463</f>
        <v>45588</v>
      </c>
      <c r="B460" s="5">
        <f>TITRES_STAT!C463</f>
        <v>6.15</v>
      </c>
      <c r="C460" s="5">
        <f>TITRES_STAT!D463</f>
        <v>5.7750000000000004</v>
      </c>
      <c r="D460" s="5">
        <f>TITRES_STAT!E463</f>
        <v>0</v>
      </c>
      <c r="E460" s="2">
        <f t="shared" si="28"/>
        <v>-245.6163944809087</v>
      </c>
      <c r="F460" s="5" t="str">
        <f t="shared" si="31"/>
        <v>NEUTRAL</v>
      </c>
      <c r="G460" s="5" t="str">
        <f t="shared" si="30"/>
        <v>NEUTRAL</v>
      </c>
      <c r="H460" s="5" t="str">
        <f t="shared" si="29"/>
        <v>NEUTRAL</v>
      </c>
    </row>
    <row r="461" spans="1:8" ht="13.5" x14ac:dyDescent="0.25">
      <c r="A461" s="3">
        <f>TITRES_STAT!B464</f>
        <v>45589</v>
      </c>
      <c r="B461" s="5">
        <f>TITRES_STAT!C464</f>
        <v>6.25</v>
      </c>
      <c r="C461" s="5">
        <f>TITRES_STAT!D464</f>
        <v>5.8689999999999998</v>
      </c>
      <c r="D461" s="5">
        <f>TITRES_STAT!E464</f>
        <v>0</v>
      </c>
      <c r="E461" s="2">
        <f t="shared" si="28"/>
        <v>-245.6163944809087</v>
      </c>
      <c r="F461" s="5" t="str">
        <f t="shared" si="31"/>
        <v>NEUTRAL</v>
      </c>
      <c r="G461" s="5" t="str">
        <f t="shared" si="30"/>
        <v>NEUTRAL</v>
      </c>
      <c r="H461" s="5" t="str">
        <f t="shared" si="29"/>
        <v>NEUTRAL</v>
      </c>
    </row>
    <row r="462" spans="1:8" ht="13.5" x14ac:dyDescent="0.25">
      <c r="A462" s="3">
        <f>TITRES_STAT!B465</f>
        <v>45590</v>
      </c>
      <c r="B462" s="5">
        <f>TITRES_STAT!C465</f>
        <v>6.25</v>
      </c>
      <c r="C462" s="5">
        <f>TITRES_STAT!D465</f>
        <v>5.8689999999999998</v>
      </c>
      <c r="D462" s="5">
        <f>TITRES_STAT!E465</f>
        <v>0</v>
      </c>
      <c r="E462" s="2">
        <f t="shared" si="28"/>
        <v>-245.6163944809087</v>
      </c>
      <c r="F462" s="5" t="str">
        <f t="shared" si="31"/>
        <v>NEUTRAL</v>
      </c>
      <c r="G462" s="5" t="str">
        <f t="shared" si="30"/>
        <v>NEUTRAL</v>
      </c>
      <c r="H462" s="5" t="str">
        <f t="shared" si="29"/>
        <v>NEUTRAL</v>
      </c>
    </row>
    <row r="463" spans="1:8" ht="13.5" x14ac:dyDescent="0.25">
      <c r="A463" s="3">
        <f>TITRES_STAT!B466</f>
        <v>45593</v>
      </c>
      <c r="B463" s="5">
        <f>TITRES_STAT!C466</f>
        <v>6.25</v>
      </c>
      <c r="C463" s="5">
        <f>TITRES_STAT!D466</f>
        <v>5.8689999999999998</v>
      </c>
      <c r="D463" s="5">
        <f>TITRES_STAT!E466</f>
        <v>0</v>
      </c>
      <c r="E463" s="2">
        <f t="shared" si="28"/>
        <v>-245.6163944809087</v>
      </c>
      <c r="F463" s="5" t="str">
        <f t="shared" si="31"/>
        <v>NEUTRAL</v>
      </c>
      <c r="G463" s="5" t="str">
        <f t="shared" si="30"/>
        <v>NEUTRAL</v>
      </c>
      <c r="H463" s="5" t="str">
        <f t="shared" si="29"/>
        <v>NEUTRAL</v>
      </c>
    </row>
    <row r="464" spans="1:8" ht="13.5" x14ac:dyDescent="0.25">
      <c r="A464" s="3">
        <f>TITRES_STAT!B467</f>
        <v>45594</v>
      </c>
      <c r="B464" s="5">
        <f>TITRES_STAT!C467</f>
        <v>6.25</v>
      </c>
      <c r="C464" s="5">
        <f>TITRES_STAT!D467</f>
        <v>5.8689999999999998</v>
      </c>
      <c r="D464" s="5">
        <f>TITRES_STAT!E467</f>
        <v>0</v>
      </c>
      <c r="E464" s="2">
        <f t="shared" si="28"/>
        <v>-245.6163944809087</v>
      </c>
      <c r="F464" s="5" t="str">
        <f t="shared" si="31"/>
        <v>NEUTRAL</v>
      </c>
      <c r="G464" s="5" t="str">
        <f t="shared" si="30"/>
        <v>NEUTRAL</v>
      </c>
      <c r="H464" s="5" t="str">
        <f t="shared" si="29"/>
        <v>NEUTRAL</v>
      </c>
    </row>
    <row r="465" spans="1:8" ht="13.5" x14ac:dyDescent="0.25">
      <c r="A465" s="3">
        <f>TITRES_STAT!B468</f>
        <v>45595</v>
      </c>
      <c r="B465" s="5">
        <f>TITRES_STAT!C468</f>
        <v>6.2</v>
      </c>
      <c r="C465" s="5">
        <f>TITRES_STAT!D468</f>
        <v>5.8220000000000001</v>
      </c>
      <c r="D465" s="5">
        <f>TITRES_STAT!E468</f>
        <v>0</v>
      </c>
      <c r="E465" s="2">
        <f t="shared" si="28"/>
        <v>-245.6163944809087</v>
      </c>
      <c r="F465" s="5" t="str">
        <f t="shared" si="31"/>
        <v>NEUTRAL</v>
      </c>
      <c r="G465" s="5" t="str">
        <f t="shared" si="30"/>
        <v>NEUTRAL</v>
      </c>
      <c r="H465" s="5" t="str">
        <f t="shared" si="29"/>
        <v>NEUTRAL</v>
      </c>
    </row>
    <row r="466" spans="1:8" ht="13.5" x14ac:dyDescent="0.25">
      <c r="A466" s="3">
        <f>TITRES_STAT!B469</f>
        <v>45596</v>
      </c>
      <c r="B466" s="5">
        <f>TITRES_STAT!C469</f>
        <v>6.2</v>
      </c>
      <c r="C466" s="5">
        <f>TITRES_STAT!D469</f>
        <v>5.8220000000000001</v>
      </c>
      <c r="D466" s="5">
        <f>TITRES_STAT!E469</f>
        <v>0</v>
      </c>
      <c r="E466" s="2">
        <f t="shared" si="28"/>
        <v>-245.6163944809087</v>
      </c>
      <c r="F466" s="5" t="str">
        <f t="shared" si="31"/>
        <v>NEUTRAL</v>
      </c>
      <c r="G466" s="5" t="str">
        <f t="shared" si="30"/>
        <v>NEUTRAL</v>
      </c>
      <c r="H466" s="5" t="str">
        <f t="shared" si="29"/>
        <v>NEUTRAL</v>
      </c>
    </row>
    <row r="467" spans="1:8" ht="13.5" x14ac:dyDescent="0.25">
      <c r="A467" s="3">
        <f>TITRES_STAT!B470</f>
        <v>45597</v>
      </c>
      <c r="B467" s="5">
        <f>TITRES_STAT!C470</f>
        <v>6.2</v>
      </c>
      <c r="C467" s="5">
        <f>TITRES_STAT!D470</f>
        <v>5.8220000000000001</v>
      </c>
      <c r="D467" s="5">
        <f>TITRES_STAT!E470</f>
        <v>0</v>
      </c>
      <c r="E467" s="2">
        <f t="shared" si="28"/>
        <v>-245.6163944809087</v>
      </c>
      <c r="F467" s="5" t="str">
        <f t="shared" si="31"/>
        <v>NEUTRAL</v>
      </c>
      <c r="G467" s="5" t="str">
        <f t="shared" si="30"/>
        <v>NEUTRAL</v>
      </c>
      <c r="H467" s="5" t="str">
        <f t="shared" si="29"/>
        <v>NEUTRAL</v>
      </c>
    </row>
    <row r="468" spans="1:8" ht="13.5" x14ac:dyDescent="0.25">
      <c r="A468" s="3">
        <f>TITRES_STAT!B471</f>
        <v>45600</v>
      </c>
      <c r="B468" s="5">
        <f>TITRES_STAT!C471</f>
        <v>6.15</v>
      </c>
      <c r="C468" s="5">
        <f>TITRES_STAT!D471</f>
        <v>5.7750000000000004</v>
      </c>
      <c r="D468" s="5">
        <f>TITRES_STAT!E471</f>
        <v>0</v>
      </c>
      <c r="E468" s="2">
        <f t="shared" si="28"/>
        <v>-245.6163944809087</v>
      </c>
      <c r="F468" s="5" t="str">
        <f t="shared" si="31"/>
        <v>NEUTRAL</v>
      </c>
      <c r="G468" s="5" t="str">
        <f t="shared" si="30"/>
        <v>NEUTRAL</v>
      </c>
      <c r="H468" s="5" t="str">
        <f t="shared" si="29"/>
        <v>NEUTRAL</v>
      </c>
    </row>
    <row r="469" spans="1:8" ht="13.5" x14ac:dyDescent="0.25">
      <c r="A469" s="3">
        <f>TITRES_STAT!B472</f>
        <v>45601</v>
      </c>
      <c r="B469" s="5">
        <f>TITRES_STAT!C472</f>
        <v>6.19</v>
      </c>
      <c r="C469" s="5">
        <f>TITRES_STAT!D472</f>
        <v>5.8120000000000003</v>
      </c>
      <c r="D469" s="5">
        <f>TITRES_STAT!E472</f>
        <v>0</v>
      </c>
      <c r="E469" s="2">
        <f t="shared" si="28"/>
        <v>-245.6163944809087</v>
      </c>
      <c r="F469" s="5" t="str">
        <f t="shared" si="31"/>
        <v>NEUTRAL</v>
      </c>
      <c r="G469" s="5" t="str">
        <f t="shared" si="30"/>
        <v>NEUTRAL</v>
      </c>
      <c r="H469" s="5" t="str">
        <f t="shared" si="29"/>
        <v>NEUTRAL</v>
      </c>
    </row>
    <row r="470" spans="1:8" ht="13.5" x14ac:dyDescent="0.25">
      <c r="A470" s="3">
        <f>TITRES_STAT!B473</f>
        <v>45602</v>
      </c>
      <c r="B470" s="5">
        <f>TITRES_STAT!C473</f>
        <v>6.17</v>
      </c>
      <c r="C470" s="5">
        <f>TITRES_STAT!D473</f>
        <v>5.7939999999999996</v>
      </c>
      <c r="D470" s="5">
        <f>TITRES_STAT!E473</f>
        <v>0</v>
      </c>
      <c r="E470" s="2">
        <f t="shared" si="28"/>
        <v>-245.6163944809087</v>
      </c>
      <c r="F470" s="5" t="str">
        <f t="shared" si="31"/>
        <v>NEUTRAL</v>
      </c>
      <c r="G470" s="5" t="str">
        <f t="shared" si="30"/>
        <v>NEUTRAL</v>
      </c>
      <c r="H470" s="5" t="str">
        <f t="shared" si="29"/>
        <v>NEUTRAL</v>
      </c>
    </row>
    <row r="471" spans="1:8" ht="13.5" x14ac:dyDescent="0.25">
      <c r="A471" s="3">
        <f>TITRES_STAT!B474</f>
        <v>45603</v>
      </c>
      <c r="B471" s="5">
        <f>TITRES_STAT!C474</f>
        <v>6.09</v>
      </c>
      <c r="C471" s="5">
        <f>TITRES_STAT!D474</f>
        <v>5.718</v>
      </c>
      <c r="D471" s="5">
        <f>TITRES_STAT!E474</f>
        <v>0</v>
      </c>
      <c r="E471" s="2">
        <f t="shared" si="28"/>
        <v>-245.6163944809087</v>
      </c>
      <c r="F471" s="5" t="str">
        <f t="shared" si="31"/>
        <v>NEUTRAL</v>
      </c>
      <c r="G471" s="5" t="str">
        <f t="shared" si="30"/>
        <v>NEUTRAL</v>
      </c>
      <c r="H471" s="5" t="str">
        <f t="shared" si="29"/>
        <v>NEUTRAL</v>
      </c>
    </row>
    <row r="472" spans="1:8" ht="13.5" x14ac:dyDescent="0.25">
      <c r="A472" s="3">
        <f>TITRES_STAT!B475</f>
        <v>45604</v>
      </c>
      <c r="B472" s="5">
        <f>TITRES_STAT!C475</f>
        <v>6.18</v>
      </c>
      <c r="C472" s="5">
        <f>TITRES_STAT!D475</f>
        <v>5.8029999999999999</v>
      </c>
      <c r="D472" s="5">
        <f>TITRES_STAT!E475</f>
        <v>0</v>
      </c>
      <c r="E472" s="2">
        <f t="shared" si="28"/>
        <v>-245.6163944809087</v>
      </c>
      <c r="F472" s="5" t="str">
        <f t="shared" si="31"/>
        <v>NEUTRAL</v>
      </c>
      <c r="G472" s="5" t="str">
        <f t="shared" si="30"/>
        <v>NEUTRAL</v>
      </c>
      <c r="H472" s="5" t="str">
        <f t="shared" si="29"/>
        <v>NEUTRAL</v>
      </c>
    </row>
    <row r="473" spans="1:8" ht="13.5" x14ac:dyDescent="0.25">
      <c r="A473" s="3">
        <f>TITRES_STAT!B476</f>
        <v>45607</v>
      </c>
      <c r="B473" s="5">
        <f>TITRES_STAT!C476</f>
        <v>6.25</v>
      </c>
      <c r="C473" s="5">
        <f>TITRES_STAT!D476</f>
        <v>5.8689999999999998</v>
      </c>
      <c r="D473" s="5">
        <f>TITRES_STAT!E476</f>
        <v>0</v>
      </c>
      <c r="E473" s="2">
        <f t="shared" si="28"/>
        <v>-245.6163944809087</v>
      </c>
      <c r="F473" s="5" t="str">
        <f t="shared" si="31"/>
        <v>NEUTRAL</v>
      </c>
      <c r="G473" s="5" t="str">
        <f t="shared" si="30"/>
        <v>NEUTRAL</v>
      </c>
      <c r="H473" s="5" t="str">
        <f t="shared" si="29"/>
        <v>NEUTRAL</v>
      </c>
    </row>
    <row r="474" spans="1:8" ht="13.5" x14ac:dyDescent="0.25">
      <c r="A474" s="3">
        <f>TITRES_STAT!B477</f>
        <v>45608</v>
      </c>
      <c r="B474" s="5">
        <f>TITRES_STAT!C477</f>
        <v>6.22</v>
      </c>
      <c r="C474" s="5">
        <f>TITRES_STAT!D477</f>
        <v>5.8410000000000002</v>
      </c>
      <c r="D474" s="5">
        <f>TITRES_STAT!E477</f>
        <v>0</v>
      </c>
      <c r="E474" s="2">
        <f t="shared" si="28"/>
        <v>-245.6163944809087</v>
      </c>
      <c r="F474" s="5" t="str">
        <f t="shared" si="31"/>
        <v>NEUTRAL</v>
      </c>
      <c r="G474" s="5" t="str">
        <f t="shared" si="30"/>
        <v>NEUTRAL</v>
      </c>
      <c r="H474" s="5" t="str">
        <f t="shared" si="29"/>
        <v>NEUTRAL</v>
      </c>
    </row>
    <row r="475" spans="1:8" ht="13.5" x14ac:dyDescent="0.25">
      <c r="A475" s="3">
        <f>TITRES_STAT!B478</f>
        <v>45609</v>
      </c>
      <c r="B475" s="5">
        <f>TITRES_STAT!C478</f>
        <v>6.19</v>
      </c>
      <c r="C475" s="5">
        <f>TITRES_STAT!D478</f>
        <v>5.8120000000000003</v>
      </c>
      <c r="D475" s="5">
        <f>TITRES_STAT!E478</f>
        <v>0</v>
      </c>
      <c r="E475" s="2">
        <f t="shared" si="28"/>
        <v>-245.6163944809087</v>
      </c>
      <c r="F475" s="5" t="str">
        <f t="shared" si="31"/>
        <v>NEUTRAL</v>
      </c>
      <c r="G475" s="5" t="str">
        <f t="shared" si="30"/>
        <v>NEUTRAL</v>
      </c>
      <c r="H475" s="5" t="str">
        <f t="shared" si="29"/>
        <v>NEUTRAL</v>
      </c>
    </row>
    <row r="476" spans="1:8" ht="13.5" x14ac:dyDescent="0.25">
      <c r="A476" s="3">
        <f>TITRES_STAT!B479</f>
        <v>45610</v>
      </c>
      <c r="B476" s="5">
        <f>TITRES_STAT!C479</f>
        <v>6.19</v>
      </c>
      <c r="C476" s="5">
        <f>TITRES_STAT!D479</f>
        <v>5.8120000000000003</v>
      </c>
      <c r="D476" s="5">
        <f>TITRES_STAT!E479</f>
        <v>0</v>
      </c>
      <c r="E476" s="2">
        <f t="shared" si="28"/>
        <v>-245.6163944809087</v>
      </c>
      <c r="F476" s="5" t="str">
        <f t="shared" si="31"/>
        <v>NEUTRAL</v>
      </c>
      <c r="G476" s="5" t="str">
        <f t="shared" si="30"/>
        <v>NEUTRAL</v>
      </c>
      <c r="H476" s="5" t="str">
        <f t="shared" si="29"/>
        <v>NEUTRAL</v>
      </c>
    </row>
    <row r="477" spans="1:8" ht="13.5" x14ac:dyDescent="0.25">
      <c r="A477" s="3">
        <f>TITRES_STAT!B480</f>
        <v>45611</v>
      </c>
      <c r="B477" s="5">
        <f>TITRES_STAT!C480</f>
        <v>6.2</v>
      </c>
      <c r="C477" s="5">
        <f>TITRES_STAT!D480</f>
        <v>5.8220000000000001</v>
      </c>
      <c r="D477" s="5">
        <f>TITRES_STAT!E480</f>
        <v>0</v>
      </c>
      <c r="E477" s="2">
        <f t="shared" si="28"/>
        <v>-245.6163944809087</v>
      </c>
      <c r="F477" s="5" t="str">
        <f t="shared" si="31"/>
        <v>NEUTRAL</v>
      </c>
      <c r="G477" s="5" t="str">
        <f t="shared" si="30"/>
        <v>NEUTRAL</v>
      </c>
      <c r="H477" s="5" t="str">
        <f t="shared" si="29"/>
        <v>NEUTRAL</v>
      </c>
    </row>
    <row r="478" spans="1:8" ht="13.5" x14ac:dyDescent="0.25">
      <c r="A478" s="3">
        <f>TITRES_STAT!B481</f>
        <v>45614</v>
      </c>
      <c r="B478" s="5">
        <f>TITRES_STAT!C481</f>
        <v>6.2</v>
      </c>
      <c r="C478" s="5">
        <f>TITRES_STAT!D481</f>
        <v>5.8220000000000001</v>
      </c>
      <c r="D478" s="5">
        <f>TITRES_STAT!E481</f>
        <v>0</v>
      </c>
      <c r="E478" s="2">
        <f t="shared" si="28"/>
        <v>-245.6163944809087</v>
      </c>
      <c r="F478" s="5" t="str">
        <f t="shared" si="31"/>
        <v>NEUTRAL</v>
      </c>
      <c r="G478" s="5" t="str">
        <f t="shared" si="30"/>
        <v>NEUTRAL</v>
      </c>
      <c r="H478" s="5" t="str">
        <f t="shared" si="29"/>
        <v>NEUTRAL</v>
      </c>
    </row>
    <row r="479" spans="1:8" ht="13.5" x14ac:dyDescent="0.25">
      <c r="A479" s="3">
        <f>TITRES_STAT!B482</f>
        <v>45615</v>
      </c>
      <c r="B479" s="5">
        <f>TITRES_STAT!C482</f>
        <v>6.17</v>
      </c>
      <c r="C479" s="5">
        <f>TITRES_STAT!D482</f>
        <v>5.7939999999999996</v>
      </c>
      <c r="D479" s="5">
        <f>TITRES_STAT!E482</f>
        <v>0</v>
      </c>
      <c r="E479" s="2">
        <f t="shared" si="28"/>
        <v>-245.6163944809087</v>
      </c>
      <c r="F479" s="5" t="str">
        <f t="shared" si="31"/>
        <v>NEUTRAL</v>
      </c>
      <c r="G479" s="5" t="str">
        <f t="shared" si="30"/>
        <v>NEUTRAL</v>
      </c>
      <c r="H479" s="5" t="str">
        <f t="shared" si="29"/>
        <v>NEUTRAL</v>
      </c>
    </row>
    <row r="480" spans="1:8" ht="13.5" x14ac:dyDescent="0.25">
      <c r="A480" s="3">
        <f>TITRES_STAT!B483</f>
        <v>45616</v>
      </c>
      <c r="B480" s="5">
        <f>TITRES_STAT!C483</f>
        <v>6.17</v>
      </c>
      <c r="C480" s="5">
        <f>TITRES_STAT!D483</f>
        <v>5.7939999999999996</v>
      </c>
      <c r="D480" s="5">
        <f>TITRES_STAT!E483</f>
        <v>0</v>
      </c>
      <c r="E480" s="2">
        <f t="shared" si="28"/>
        <v>-245.6163944809087</v>
      </c>
      <c r="F480" s="5" t="str">
        <f t="shared" si="31"/>
        <v>NEUTRAL</v>
      </c>
      <c r="G480" s="5" t="str">
        <f t="shared" si="30"/>
        <v>NEUTRAL</v>
      </c>
      <c r="H480" s="5" t="str">
        <f t="shared" si="29"/>
        <v>NEUTRAL</v>
      </c>
    </row>
    <row r="481" spans="1:8" ht="13.5" x14ac:dyDescent="0.25">
      <c r="A481" s="3">
        <f>TITRES_STAT!B484</f>
        <v>45617</v>
      </c>
      <c r="B481" s="5">
        <f>TITRES_STAT!C484</f>
        <v>6.17</v>
      </c>
      <c r="C481" s="5">
        <f>TITRES_STAT!D484</f>
        <v>5.7939999999999996</v>
      </c>
      <c r="D481" s="5">
        <f>TITRES_STAT!E484</f>
        <v>0</v>
      </c>
      <c r="E481" s="2">
        <f t="shared" si="28"/>
        <v>-245.6163944809087</v>
      </c>
      <c r="F481" s="5" t="str">
        <f t="shared" si="31"/>
        <v>NEUTRAL</v>
      </c>
      <c r="G481" s="5" t="str">
        <f t="shared" si="30"/>
        <v>NEUTRAL</v>
      </c>
      <c r="H481" s="5" t="str">
        <f t="shared" si="29"/>
        <v>NEUTRAL</v>
      </c>
    </row>
    <row r="482" spans="1:8" ht="13.5" x14ac:dyDescent="0.25">
      <c r="A482" s="3">
        <f>TITRES_STAT!B485</f>
        <v>45618</v>
      </c>
      <c r="B482" s="5">
        <f>TITRES_STAT!C485</f>
        <v>6.15</v>
      </c>
      <c r="C482" s="5">
        <f>TITRES_STAT!D485</f>
        <v>5.7750000000000004</v>
      </c>
      <c r="D482" s="5">
        <f>TITRES_STAT!E485</f>
        <v>0</v>
      </c>
      <c r="E482" s="2">
        <f t="shared" si="28"/>
        <v>-245.6163944809087</v>
      </c>
      <c r="F482" s="5" t="str">
        <f t="shared" si="31"/>
        <v>NEUTRAL</v>
      </c>
      <c r="G482" s="5" t="str">
        <f t="shared" si="30"/>
        <v>NEUTRAL</v>
      </c>
      <c r="H482" s="5" t="str">
        <f t="shared" si="29"/>
        <v>NEUTRAL</v>
      </c>
    </row>
    <row r="483" spans="1:8" ht="13.5" x14ac:dyDescent="0.25">
      <c r="A483" s="3">
        <f>TITRES_STAT!B486</f>
        <v>45621</v>
      </c>
      <c r="B483" s="5">
        <f>TITRES_STAT!C486</f>
        <v>6.18</v>
      </c>
      <c r="C483" s="5">
        <f>TITRES_STAT!D486</f>
        <v>5.8029999999999999</v>
      </c>
      <c r="D483" s="5">
        <f>TITRES_STAT!E486</f>
        <v>0</v>
      </c>
      <c r="E483" s="2">
        <f t="shared" si="28"/>
        <v>-245.6163944809087</v>
      </c>
      <c r="F483" s="5" t="str">
        <f t="shared" si="31"/>
        <v>NEUTRAL</v>
      </c>
      <c r="G483" s="5" t="str">
        <f t="shared" si="30"/>
        <v>NEUTRAL</v>
      </c>
      <c r="H483" s="5" t="str">
        <f t="shared" si="29"/>
        <v>NEUTRAL</v>
      </c>
    </row>
    <row r="484" spans="1:8" ht="13.5" x14ac:dyDescent="0.25">
      <c r="A484" s="3">
        <f>TITRES_STAT!B487</f>
        <v>45622</v>
      </c>
      <c r="B484" s="5">
        <f>TITRES_STAT!C487</f>
        <v>6.16</v>
      </c>
      <c r="C484" s="5">
        <f>TITRES_STAT!D487</f>
        <v>5.7839999999999998</v>
      </c>
      <c r="D484" s="5">
        <f>TITRES_STAT!E487</f>
        <v>0</v>
      </c>
      <c r="E484" s="2">
        <f t="shared" si="28"/>
        <v>-245.6163944809087</v>
      </c>
      <c r="F484" s="5" t="str">
        <f t="shared" si="31"/>
        <v>NEUTRAL</v>
      </c>
      <c r="G484" s="5" t="str">
        <f t="shared" si="30"/>
        <v>NEUTRAL</v>
      </c>
      <c r="H484" s="5" t="str">
        <f t="shared" si="29"/>
        <v>NEUTRAL</v>
      </c>
    </row>
    <row r="485" spans="1:8" ht="13.5" x14ac:dyDescent="0.25">
      <c r="A485" s="3">
        <f>TITRES_STAT!B488</f>
        <v>45623</v>
      </c>
      <c r="B485" s="5">
        <f>TITRES_STAT!C488</f>
        <v>6.1</v>
      </c>
      <c r="C485" s="5">
        <f>TITRES_STAT!D488</f>
        <v>5.7279999999999998</v>
      </c>
      <c r="D485" s="5">
        <f>TITRES_STAT!E488</f>
        <v>0</v>
      </c>
      <c r="E485" s="2">
        <f t="shared" si="28"/>
        <v>-245.6163944809087</v>
      </c>
      <c r="F485" s="5" t="str">
        <f t="shared" si="31"/>
        <v>NEUTRAL</v>
      </c>
      <c r="G485" s="5" t="str">
        <f t="shared" si="30"/>
        <v>NEUTRAL</v>
      </c>
      <c r="H485" s="5" t="str">
        <f t="shared" si="29"/>
        <v>NEUTRAL</v>
      </c>
    </row>
    <row r="486" spans="1:8" ht="13.5" x14ac:dyDescent="0.25">
      <c r="A486" s="3">
        <f>TITRES_STAT!B489</f>
        <v>45624</v>
      </c>
      <c r="B486" s="5">
        <f>TITRES_STAT!C489</f>
        <v>6</v>
      </c>
      <c r="C486" s="5">
        <f>TITRES_STAT!D489</f>
        <v>5.6340000000000003</v>
      </c>
      <c r="D486" s="5">
        <f>TITRES_STAT!E489</f>
        <v>0</v>
      </c>
      <c r="E486" s="2">
        <f t="shared" si="28"/>
        <v>-245.6163944809087</v>
      </c>
      <c r="F486" s="5" t="str">
        <f t="shared" si="31"/>
        <v>NEUTRAL</v>
      </c>
      <c r="G486" s="5" t="str">
        <f t="shared" si="30"/>
        <v>NEUTRAL</v>
      </c>
      <c r="H486" s="5" t="str">
        <f t="shared" si="29"/>
        <v>NEUTRAL</v>
      </c>
    </row>
    <row r="487" spans="1:8" ht="13.5" x14ac:dyDescent="0.25">
      <c r="A487" s="3">
        <f>TITRES_STAT!B490</f>
        <v>45625</v>
      </c>
      <c r="B487" s="5">
        <f>TITRES_STAT!C490</f>
        <v>6.17</v>
      </c>
      <c r="C487" s="5">
        <f>TITRES_STAT!D490</f>
        <v>5.7939999999999996</v>
      </c>
      <c r="D487" s="5">
        <f>TITRES_STAT!E490</f>
        <v>0</v>
      </c>
      <c r="E487" s="2">
        <f t="shared" si="28"/>
        <v>-245.6163944809087</v>
      </c>
      <c r="F487" s="5" t="str">
        <f t="shared" si="31"/>
        <v>NEUTRAL</v>
      </c>
      <c r="G487" s="5" t="str">
        <f t="shared" si="30"/>
        <v>NEUTRAL</v>
      </c>
      <c r="H487" s="5" t="str">
        <f t="shared" si="29"/>
        <v>NEUTRAL</v>
      </c>
    </row>
    <row r="488" spans="1:8" ht="13.5" x14ac:dyDescent="0.25">
      <c r="A488" s="3">
        <f>TITRES_STAT!B491</f>
        <v>45628</v>
      </c>
      <c r="B488" s="5">
        <f>TITRES_STAT!C491</f>
        <v>6.16</v>
      </c>
      <c r="C488" s="5">
        <f>TITRES_STAT!D491</f>
        <v>5.7839999999999998</v>
      </c>
      <c r="D488" s="5">
        <f>TITRES_STAT!E491</f>
        <v>0</v>
      </c>
      <c r="E488" s="2">
        <f t="shared" si="28"/>
        <v>-245.6163944809087</v>
      </c>
      <c r="F488" s="5" t="str">
        <f t="shared" si="31"/>
        <v>NEUTRAL</v>
      </c>
      <c r="G488" s="5" t="str">
        <f t="shared" si="30"/>
        <v>NEUTRAL</v>
      </c>
      <c r="H488" s="5" t="str">
        <f t="shared" si="29"/>
        <v>NEUTRAL</v>
      </c>
    </row>
    <row r="489" spans="1:8" ht="13.5" x14ac:dyDescent="0.25">
      <c r="A489" s="3">
        <f>TITRES_STAT!B492</f>
        <v>45629</v>
      </c>
      <c r="B489" s="5">
        <f>TITRES_STAT!C492</f>
        <v>6.16</v>
      </c>
      <c r="C489" s="5">
        <f>TITRES_STAT!D492</f>
        <v>5.7839999999999998</v>
      </c>
      <c r="D489" s="5">
        <f>TITRES_STAT!E492</f>
        <v>0</v>
      </c>
      <c r="E489" s="2">
        <f t="shared" si="28"/>
        <v>-245.6163944809087</v>
      </c>
      <c r="F489" s="5" t="str">
        <f t="shared" si="31"/>
        <v>NEUTRAL</v>
      </c>
      <c r="G489" s="5" t="str">
        <f t="shared" si="30"/>
        <v>NEUTRAL</v>
      </c>
      <c r="H489" s="5" t="str">
        <f t="shared" si="29"/>
        <v>NEUTRAL</v>
      </c>
    </row>
    <row r="490" spans="1:8" ht="13.5" x14ac:dyDescent="0.25">
      <c r="A490" s="3">
        <f>TITRES_STAT!B493</f>
        <v>45630</v>
      </c>
      <c r="B490" s="5">
        <f>TITRES_STAT!C493</f>
        <v>6.16</v>
      </c>
      <c r="C490" s="5">
        <f>TITRES_STAT!D493</f>
        <v>5.7839999999999998</v>
      </c>
      <c r="D490" s="5">
        <f>TITRES_STAT!E493</f>
        <v>0</v>
      </c>
      <c r="E490" s="2">
        <f t="shared" si="28"/>
        <v>-245.6163944809087</v>
      </c>
      <c r="F490" s="5" t="str">
        <f t="shared" si="31"/>
        <v>NEUTRAL</v>
      </c>
      <c r="G490" s="5" t="str">
        <f t="shared" si="30"/>
        <v>NEUTRAL</v>
      </c>
      <c r="H490" s="5" t="str">
        <f t="shared" si="29"/>
        <v>NEUTRAL</v>
      </c>
    </row>
    <row r="491" spans="1:8" ht="13.5" x14ac:dyDescent="0.25">
      <c r="A491" s="3">
        <f>TITRES_STAT!B494</f>
        <v>45631</v>
      </c>
      <c r="B491" s="5">
        <f>TITRES_STAT!C494</f>
        <v>6.16</v>
      </c>
      <c r="C491" s="5">
        <f>TITRES_STAT!D494</f>
        <v>5.7839999999999998</v>
      </c>
      <c r="D491" s="5">
        <f>TITRES_STAT!E494</f>
        <v>0</v>
      </c>
      <c r="E491" s="2">
        <f t="shared" si="28"/>
        <v>-245.6163944809087</v>
      </c>
      <c r="F491" s="5" t="str">
        <f t="shared" si="31"/>
        <v>NEUTRAL</v>
      </c>
      <c r="G491" s="5" t="str">
        <f t="shared" si="30"/>
        <v>NEUTRAL</v>
      </c>
      <c r="H491" s="5" t="str">
        <f t="shared" si="29"/>
        <v>NEUTRAL</v>
      </c>
    </row>
    <row r="492" spans="1:8" ht="13.5" x14ac:dyDescent="0.25">
      <c r="A492" s="3">
        <f>TITRES_STAT!B495</f>
        <v>45632</v>
      </c>
      <c r="B492" s="5">
        <f>TITRES_STAT!C495</f>
        <v>6.2</v>
      </c>
      <c r="C492" s="5">
        <f>TITRES_STAT!D495</f>
        <v>5.8220000000000001</v>
      </c>
      <c r="D492" s="5">
        <f>TITRES_STAT!E495</f>
        <v>0</v>
      </c>
      <c r="E492" s="2">
        <f t="shared" si="28"/>
        <v>-245.6163944809087</v>
      </c>
      <c r="F492" s="5" t="str">
        <f t="shared" si="31"/>
        <v>NEUTRAL</v>
      </c>
      <c r="G492" s="5" t="str">
        <f t="shared" si="30"/>
        <v>NEUTRAL</v>
      </c>
      <c r="H492" s="5" t="str">
        <f t="shared" si="29"/>
        <v>NEUTRAL</v>
      </c>
    </row>
    <row r="493" spans="1:8" ht="13.5" x14ac:dyDescent="0.25">
      <c r="A493" s="3">
        <f>TITRES_STAT!B496</f>
        <v>45635</v>
      </c>
      <c r="B493" s="5">
        <f>TITRES_STAT!C496</f>
        <v>6.3</v>
      </c>
      <c r="C493" s="5">
        <f>TITRES_STAT!D496</f>
        <v>5.9160000000000004</v>
      </c>
      <c r="D493" s="5">
        <f>TITRES_STAT!E496</f>
        <v>0</v>
      </c>
      <c r="E493" s="2">
        <f t="shared" si="28"/>
        <v>-245.6163944809087</v>
      </c>
      <c r="F493" s="5" t="str">
        <f t="shared" si="31"/>
        <v>NEUTRAL</v>
      </c>
      <c r="G493" s="5" t="str">
        <f t="shared" si="30"/>
        <v>NEUTRAL</v>
      </c>
      <c r="H493" s="5" t="str">
        <f t="shared" si="29"/>
        <v>NEUTRAL</v>
      </c>
    </row>
    <row r="494" spans="1:8" ht="13.5" x14ac:dyDescent="0.25">
      <c r="A494" s="3">
        <f>TITRES_STAT!B497</f>
        <v>45636</v>
      </c>
      <c r="B494" s="5">
        <f>TITRES_STAT!C497</f>
        <v>6.29</v>
      </c>
      <c r="C494" s="5">
        <f>TITRES_STAT!D497</f>
        <v>5.9059999999999997</v>
      </c>
      <c r="D494" s="5">
        <f>TITRES_STAT!E497</f>
        <v>0</v>
      </c>
      <c r="E494" s="2">
        <f t="shared" si="28"/>
        <v>-245.6163944809087</v>
      </c>
      <c r="F494" s="5" t="str">
        <f t="shared" si="31"/>
        <v>NEUTRAL</v>
      </c>
      <c r="G494" s="5" t="str">
        <f t="shared" si="30"/>
        <v>NEUTRAL</v>
      </c>
      <c r="H494" s="5" t="str">
        <f t="shared" si="29"/>
        <v>NEUTRAL</v>
      </c>
    </row>
    <row r="495" spans="1:8" ht="13.5" x14ac:dyDescent="0.25">
      <c r="A495" s="3">
        <f>TITRES_STAT!B498</f>
        <v>45637</v>
      </c>
      <c r="B495" s="5">
        <f>TITRES_STAT!C498</f>
        <v>6.29</v>
      </c>
      <c r="C495" s="5">
        <f>TITRES_STAT!D498</f>
        <v>5.9059999999999997</v>
      </c>
      <c r="D495" s="5">
        <f>TITRES_STAT!E498</f>
        <v>0</v>
      </c>
      <c r="E495" s="2">
        <f t="shared" si="28"/>
        <v>-245.6163944809087</v>
      </c>
      <c r="F495" s="5" t="str">
        <f t="shared" si="31"/>
        <v>NEUTRAL</v>
      </c>
      <c r="G495" s="5" t="str">
        <f t="shared" si="30"/>
        <v>NEUTRAL</v>
      </c>
      <c r="H495" s="5" t="str">
        <f t="shared" si="29"/>
        <v>NEUTRAL</v>
      </c>
    </row>
    <row r="496" spans="1:8" ht="13.5" x14ac:dyDescent="0.25">
      <c r="A496" s="3">
        <f>TITRES_STAT!B499</f>
        <v>45638</v>
      </c>
      <c r="B496" s="5">
        <f>TITRES_STAT!C499</f>
        <v>6.32</v>
      </c>
      <c r="C496" s="5">
        <f>TITRES_STAT!D499</f>
        <v>5.9340000000000002</v>
      </c>
      <c r="D496" s="5">
        <f>TITRES_STAT!E499</f>
        <v>0</v>
      </c>
      <c r="E496" s="2">
        <f t="shared" si="28"/>
        <v>-245.6163944809087</v>
      </c>
      <c r="F496" s="5" t="str">
        <f t="shared" si="31"/>
        <v>NEUTRAL</v>
      </c>
      <c r="G496" s="5" t="str">
        <f t="shared" si="30"/>
        <v>NEUTRAL</v>
      </c>
      <c r="H496" s="5" t="str">
        <f t="shared" si="29"/>
        <v>NEUTRAL</v>
      </c>
    </row>
    <row r="497" spans="1:8" ht="13.5" x14ac:dyDescent="0.25">
      <c r="A497" s="3">
        <f>TITRES_STAT!B500</f>
        <v>45639</v>
      </c>
      <c r="B497" s="5">
        <f>TITRES_STAT!C500</f>
        <v>6.28</v>
      </c>
      <c r="C497" s="5">
        <f>TITRES_STAT!D500</f>
        <v>5.8970000000000002</v>
      </c>
      <c r="D497" s="5">
        <f>TITRES_STAT!E500</f>
        <v>0</v>
      </c>
      <c r="E497" s="2">
        <f t="shared" si="28"/>
        <v>-245.6163944809087</v>
      </c>
      <c r="F497" s="5" t="str">
        <f t="shared" si="31"/>
        <v>NEUTRAL</v>
      </c>
      <c r="G497" s="5" t="str">
        <f t="shared" si="30"/>
        <v>NEUTRAL</v>
      </c>
      <c r="H497" s="5" t="str">
        <f t="shared" si="29"/>
        <v>NEUTRAL</v>
      </c>
    </row>
    <row r="498" spans="1:8" ht="13.5" x14ac:dyDescent="0.25">
      <c r="A498" s="3">
        <f>TITRES_STAT!B501</f>
        <v>45642</v>
      </c>
      <c r="B498" s="5">
        <f>TITRES_STAT!C501</f>
        <v>6.27</v>
      </c>
      <c r="C498" s="5">
        <f>TITRES_STAT!D501</f>
        <v>5.8869999999999996</v>
      </c>
      <c r="D498" s="5">
        <f>TITRES_STAT!E501</f>
        <v>0</v>
      </c>
      <c r="E498" s="2">
        <f t="shared" si="28"/>
        <v>-245.6163944809087</v>
      </c>
      <c r="F498" s="5" t="str">
        <f t="shared" si="31"/>
        <v>NEUTRAL</v>
      </c>
      <c r="G498" s="5" t="str">
        <f t="shared" si="30"/>
        <v>NEUTRAL</v>
      </c>
      <c r="H498" s="5" t="str">
        <f t="shared" si="29"/>
        <v>NEUTRAL</v>
      </c>
    </row>
    <row r="499" spans="1:8" ht="13.5" x14ac:dyDescent="0.25">
      <c r="A499" s="3">
        <f>TITRES_STAT!B502</f>
        <v>45644</v>
      </c>
      <c r="B499" s="5">
        <f>TITRES_STAT!C502</f>
        <v>6.17</v>
      </c>
      <c r="C499" s="5">
        <f>TITRES_STAT!D502</f>
        <v>5.7939999999999996</v>
      </c>
      <c r="D499" s="5">
        <f>TITRES_STAT!E502</f>
        <v>0</v>
      </c>
      <c r="E499" s="2">
        <f t="shared" si="28"/>
        <v>-245.6163944809087</v>
      </c>
      <c r="F499" s="5" t="str">
        <f t="shared" si="31"/>
        <v>NEUTRAL</v>
      </c>
      <c r="G499" s="5" t="str">
        <f t="shared" si="30"/>
        <v>NEUTRAL</v>
      </c>
      <c r="H499" s="5" t="str">
        <f t="shared" si="29"/>
        <v>NEUTRAL</v>
      </c>
    </row>
    <row r="500" spans="1:8" ht="13.5" x14ac:dyDescent="0.25">
      <c r="A500" s="3">
        <f>TITRES_STAT!B503</f>
        <v>45645</v>
      </c>
      <c r="B500" s="5">
        <f>TITRES_STAT!C503</f>
        <v>6.19</v>
      </c>
      <c r="C500" s="5">
        <f>TITRES_STAT!D503</f>
        <v>5.8120000000000003</v>
      </c>
      <c r="D500" s="5">
        <f>TITRES_STAT!E503</f>
        <v>0</v>
      </c>
      <c r="E500" s="2">
        <f t="shared" si="28"/>
        <v>-245.6163944809087</v>
      </c>
      <c r="F500" s="5" t="str">
        <f t="shared" si="31"/>
        <v>NEUTRAL</v>
      </c>
      <c r="G500" s="5" t="str">
        <f t="shared" si="30"/>
        <v>NEUTRAL</v>
      </c>
      <c r="H500" s="5" t="str">
        <f t="shared" si="29"/>
        <v>NEUTRAL</v>
      </c>
    </row>
    <row r="501" spans="1:8" ht="13.5" x14ac:dyDescent="0.25">
      <c r="A501" s="3">
        <f>TITRES_STAT!B504</f>
        <v>45646</v>
      </c>
      <c r="B501" s="5">
        <f>TITRES_STAT!C504</f>
        <v>6.19</v>
      </c>
      <c r="C501" s="5">
        <f>TITRES_STAT!D504</f>
        <v>5.8120000000000003</v>
      </c>
      <c r="D501" s="5">
        <f>TITRES_STAT!E504</f>
        <v>0</v>
      </c>
      <c r="E501" s="2">
        <f t="shared" si="28"/>
        <v>-245.6163944809087</v>
      </c>
      <c r="F501" s="5" t="str">
        <f t="shared" si="31"/>
        <v>NEUTRAL</v>
      </c>
      <c r="G501" s="5" t="str">
        <f t="shared" si="30"/>
        <v>NEUTRAL</v>
      </c>
      <c r="H501" s="5" t="str">
        <f t="shared" si="29"/>
        <v>NEUTRAL</v>
      </c>
    </row>
    <row r="502" spans="1:8" ht="13.5" x14ac:dyDescent="0.25">
      <c r="A502" s="3">
        <f>TITRES_STAT!B505</f>
        <v>45649</v>
      </c>
      <c r="B502" s="5">
        <f>TITRES_STAT!C505</f>
        <v>6.19</v>
      </c>
      <c r="C502" s="5">
        <f>TITRES_STAT!D505</f>
        <v>5.8120000000000003</v>
      </c>
      <c r="D502" s="5">
        <f>TITRES_STAT!E505</f>
        <v>5.806926829268293</v>
      </c>
      <c r="E502" s="2">
        <f t="shared" si="28"/>
        <v>-245.6163944809087</v>
      </c>
      <c r="F502" s="5" t="str">
        <f t="shared" si="31"/>
        <v>NEUTRAL</v>
      </c>
      <c r="G502" s="5" t="str">
        <f t="shared" si="30"/>
        <v>NEUTRAL</v>
      </c>
      <c r="H502" s="5" t="str">
        <f t="shared" si="29"/>
        <v>NEUTRAL</v>
      </c>
    </row>
    <row r="503" spans="1:8" ht="13.5" x14ac:dyDescent="0.25">
      <c r="A503" s="3">
        <f>TITRES_STAT!B506</f>
        <v>45650</v>
      </c>
      <c r="B503" s="5">
        <f>TITRES_STAT!C506</f>
        <v>6.16</v>
      </c>
      <c r="C503" s="5">
        <f>TITRES_STAT!D506</f>
        <v>5.7839999999999998</v>
      </c>
      <c r="D503" s="5">
        <f>TITRES_STAT!E506</f>
        <v>0</v>
      </c>
      <c r="E503" s="2">
        <f t="shared" si="28"/>
        <v>-245.6163944809087</v>
      </c>
      <c r="F503" s="5" t="str">
        <f t="shared" si="31"/>
        <v>NEUTRAL</v>
      </c>
      <c r="G503" s="5" t="str">
        <f t="shared" si="30"/>
        <v>NEUTRAL</v>
      </c>
      <c r="H503" s="5" t="str">
        <f t="shared" si="29"/>
        <v>NEUTRAL</v>
      </c>
    </row>
    <row r="504" spans="1:8" ht="13.5" x14ac:dyDescent="0.25">
      <c r="A504" s="3">
        <f>TITRES_STAT!B507</f>
        <v>45651</v>
      </c>
      <c r="B504" s="5">
        <f>TITRES_STAT!C507</f>
        <v>6.17</v>
      </c>
      <c r="C504" s="5">
        <f>TITRES_STAT!D507</f>
        <v>5.7939999999999996</v>
      </c>
      <c r="D504" s="5">
        <f>TITRES_STAT!E507</f>
        <v>0</v>
      </c>
      <c r="E504" s="2">
        <f t="shared" si="28"/>
        <v>-245.6163944809087</v>
      </c>
      <c r="F504" s="5" t="str">
        <f t="shared" si="31"/>
        <v>NEUTRAL</v>
      </c>
      <c r="G504" s="5" t="str">
        <f t="shared" si="30"/>
        <v>NEUTRAL</v>
      </c>
      <c r="H504" s="5" t="str">
        <f t="shared" si="29"/>
        <v>NEUTRAL</v>
      </c>
    </row>
    <row r="505" spans="1:8" ht="13.5" x14ac:dyDescent="0.25">
      <c r="A505" s="3">
        <f>TITRES_STAT!B508</f>
        <v>45652</v>
      </c>
      <c r="B505" s="5">
        <f>TITRES_STAT!C508</f>
        <v>6.16</v>
      </c>
      <c r="C505" s="5">
        <f>TITRES_STAT!D508</f>
        <v>5.7839999999999998</v>
      </c>
      <c r="D505" s="5">
        <f>TITRES_STAT!E508</f>
        <v>5.6241083743842371</v>
      </c>
      <c r="E505" s="2">
        <f t="shared" si="28"/>
        <v>-251.24050285529293</v>
      </c>
      <c r="F505" s="5" t="str">
        <f t="shared" si="31"/>
        <v>BEARISH</v>
      </c>
      <c r="G505" s="5" t="str">
        <f t="shared" si="30"/>
        <v>STRONG</v>
      </c>
      <c r="H505" s="5" t="str">
        <f t="shared" si="29"/>
        <v>CONFIRMED BEARISH</v>
      </c>
    </row>
    <row r="506" spans="1:8" ht="13.5" x14ac:dyDescent="0.25">
      <c r="A506" s="3">
        <f>TITRES_STAT!B509</f>
        <v>45653</v>
      </c>
      <c r="B506" s="5">
        <f>TITRES_STAT!C509</f>
        <v>6.15</v>
      </c>
      <c r="C506" s="5">
        <f>TITRES_STAT!D509</f>
        <v>5.7750000000000004</v>
      </c>
      <c r="D506" s="5">
        <f>TITRES_STAT!E509</f>
        <v>5.7</v>
      </c>
      <c r="E506" s="2">
        <f t="shared" si="28"/>
        <v>-256.94050285529295</v>
      </c>
      <c r="F506" s="5" t="str">
        <f t="shared" si="31"/>
        <v>BEARISH</v>
      </c>
      <c r="G506" s="5" t="str">
        <f t="shared" si="30"/>
        <v>STRONG</v>
      </c>
      <c r="H506" s="5" t="str">
        <f t="shared" si="29"/>
        <v>CONFIRMED BEARISH</v>
      </c>
    </row>
    <row r="507" spans="1:8" ht="13.5" x14ac:dyDescent="0.25">
      <c r="A507" s="3">
        <f>TITRES_STAT!B510</f>
        <v>45656</v>
      </c>
      <c r="B507" s="5">
        <f>TITRES_STAT!C510</f>
        <v>6.15</v>
      </c>
      <c r="C507" s="5">
        <f>TITRES_STAT!D510</f>
        <v>5.7750000000000004</v>
      </c>
      <c r="D507" s="5">
        <f>TITRES_STAT!E510</f>
        <v>5.7171676898222943</v>
      </c>
      <c r="E507" s="2">
        <f t="shared" si="28"/>
        <v>-256.94050285529295</v>
      </c>
      <c r="F507" s="5" t="str">
        <f t="shared" si="31"/>
        <v>BEARISH</v>
      </c>
      <c r="G507" s="5" t="str">
        <f t="shared" si="30"/>
        <v>STRONG</v>
      </c>
      <c r="H507" s="5" t="str">
        <f t="shared" si="29"/>
        <v>CONFIRMED BEARISH</v>
      </c>
    </row>
    <row r="508" spans="1:8" ht="13.5" x14ac:dyDescent="0.25">
      <c r="A508" s="3">
        <f>TITRES_STAT!B511</f>
        <v>45657</v>
      </c>
      <c r="B508" s="5">
        <f>TITRES_STAT!C511</f>
        <v>6.15</v>
      </c>
      <c r="C508" s="5">
        <f>TITRES_STAT!D511</f>
        <v>5.7750000000000004</v>
      </c>
      <c r="D508" s="5">
        <f>TITRES_STAT!E511</f>
        <v>5.827022940226172</v>
      </c>
      <c r="E508" s="2">
        <f t="shared" si="28"/>
        <v>-256.94050285529295</v>
      </c>
      <c r="F508" s="5" t="str">
        <f t="shared" si="31"/>
        <v>BEARISH</v>
      </c>
      <c r="G508" s="5" t="str">
        <f t="shared" si="30"/>
        <v>STRONG</v>
      </c>
      <c r="H508" s="5" t="str">
        <f t="shared" si="29"/>
        <v>CONFIRMED BEARISH</v>
      </c>
    </row>
    <row r="509" spans="1:8" ht="13.5" x14ac:dyDescent="0.25">
      <c r="A509" s="3">
        <f>TITRES_STAT!B512</f>
        <v>45659</v>
      </c>
      <c r="B509" s="5">
        <f>TITRES_STAT!C512</f>
        <v>6.15</v>
      </c>
      <c r="C509" s="5">
        <f>TITRES_STAT!D512</f>
        <v>5.7750000000000004</v>
      </c>
      <c r="D509" s="5">
        <f>TITRES_STAT!E512</f>
        <v>5.7184902912621363</v>
      </c>
      <c r="E509" s="2">
        <f t="shared" si="28"/>
        <v>-256.94050285529295</v>
      </c>
      <c r="F509" s="5" t="str">
        <f t="shared" si="31"/>
        <v>BEARISH</v>
      </c>
      <c r="G509" s="5" t="str">
        <f t="shared" si="30"/>
        <v>STRONG</v>
      </c>
      <c r="H509" s="5" t="str">
        <f t="shared" si="29"/>
        <v>CONFIRMED BEARISH</v>
      </c>
    </row>
    <row r="510" spans="1:8" ht="13.5" x14ac:dyDescent="0.25">
      <c r="A510" s="3">
        <f>TITRES_STAT!B513</f>
        <v>45660</v>
      </c>
      <c r="B510" s="5">
        <f>TITRES_STAT!C513</f>
        <v>6.15</v>
      </c>
      <c r="C510" s="5">
        <f>TITRES_STAT!D513</f>
        <v>5.7750000000000004</v>
      </c>
      <c r="D510" s="5">
        <f>TITRES_STAT!E513</f>
        <v>0</v>
      </c>
      <c r="E510" s="2">
        <f t="shared" si="28"/>
        <v>-256.94050285529295</v>
      </c>
      <c r="F510" s="5" t="str">
        <f t="shared" si="31"/>
        <v>BEARISH</v>
      </c>
      <c r="G510" s="5" t="str">
        <f t="shared" si="30"/>
        <v>STRONG</v>
      </c>
      <c r="H510" s="5" t="str">
        <f t="shared" si="29"/>
        <v>CONFIRMED BEARISH</v>
      </c>
    </row>
    <row r="511" spans="1:8" ht="13.5" x14ac:dyDescent="0.25">
      <c r="A511" s="3">
        <f>TITRES_STAT!B514</f>
        <v>45663</v>
      </c>
      <c r="B511" s="5">
        <f>TITRES_STAT!C514</f>
        <v>6.09</v>
      </c>
      <c r="C511" s="5">
        <f>TITRES_STAT!D514</f>
        <v>5.718</v>
      </c>
      <c r="D511" s="5">
        <f>TITRES_STAT!E514</f>
        <v>0</v>
      </c>
      <c r="E511" s="2">
        <f t="shared" si="28"/>
        <v>-256.94050285529295</v>
      </c>
      <c r="F511" s="5" t="str">
        <f t="shared" si="31"/>
        <v>NEUTRAL</v>
      </c>
      <c r="G511" s="5" t="str">
        <f t="shared" si="30"/>
        <v>NEUTRAL</v>
      </c>
      <c r="H511" s="5" t="str">
        <f t="shared" si="29"/>
        <v>NEUTRAL</v>
      </c>
    </row>
    <row r="512" spans="1:8" ht="13.5" x14ac:dyDescent="0.25">
      <c r="A512" s="3">
        <f>TITRES_STAT!B515</f>
        <v>45664</v>
      </c>
      <c r="B512" s="5">
        <f>TITRES_STAT!C515</f>
        <v>6.07</v>
      </c>
      <c r="C512" s="5">
        <f>TITRES_STAT!D515</f>
        <v>5.7</v>
      </c>
      <c r="D512" s="5">
        <f>TITRES_STAT!E515</f>
        <v>5.766767260940032</v>
      </c>
      <c r="E512" s="2">
        <f t="shared" si="28"/>
        <v>-262.70727011623296</v>
      </c>
      <c r="F512" s="5" t="str">
        <f t="shared" si="31"/>
        <v>BEARISH</v>
      </c>
      <c r="G512" s="5" t="str">
        <f t="shared" si="30"/>
        <v>STRONG</v>
      </c>
      <c r="H512" s="5" t="str">
        <f t="shared" si="29"/>
        <v>CONFIRMED BEARISH</v>
      </c>
    </row>
    <row r="513" spans="1:8" ht="13.5" x14ac:dyDescent="0.25">
      <c r="A513" s="3">
        <f>TITRES_STAT!B516</f>
        <v>45665</v>
      </c>
      <c r="B513" s="5">
        <f>TITRES_STAT!C516</f>
        <v>6.19</v>
      </c>
      <c r="C513" s="5">
        <f>TITRES_STAT!D516</f>
        <v>5.8120000000000003</v>
      </c>
      <c r="D513" s="5">
        <f>TITRES_STAT!E516</f>
        <v>5.7921218800648298</v>
      </c>
      <c r="E513" s="2">
        <f t="shared" si="28"/>
        <v>-256.91514823616814</v>
      </c>
      <c r="F513" s="5" t="str">
        <f t="shared" si="31"/>
        <v>BULLISH</v>
      </c>
      <c r="G513" s="5" t="str">
        <f t="shared" si="30"/>
        <v>NEUTRAL</v>
      </c>
      <c r="H513" s="5" t="str">
        <f t="shared" si="29"/>
        <v>CONFIRMED BULLISH</v>
      </c>
    </row>
    <row r="514" spans="1:8" ht="13.5" x14ac:dyDescent="0.25">
      <c r="A514" s="3">
        <f>TITRES_STAT!B517</f>
        <v>45666</v>
      </c>
      <c r="B514" s="5">
        <f>TITRES_STAT!C517</f>
        <v>6.19</v>
      </c>
      <c r="C514" s="5">
        <f>TITRES_STAT!D517</f>
        <v>5.8120000000000003</v>
      </c>
      <c r="D514" s="5">
        <f>TITRES_STAT!E517</f>
        <v>5.7764883116883112</v>
      </c>
      <c r="E514" s="2">
        <f t="shared" si="28"/>
        <v>-256.91514823616814</v>
      </c>
      <c r="F514" s="5" t="str">
        <f t="shared" si="31"/>
        <v>BULLISH</v>
      </c>
      <c r="G514" s="5" t="str">
        <f t="shared" si="30"/>
        <v>NEUTRAL</v>
      </c>
      <c r="H514" s="5" t="str">
        <f t="shared" si="29"/>
        <v>CONFIRMED BULLISH</v>
      </c>
    </row>
    <row r="515" spans="1:8" ht="13.5" x14ac:dyDescent="0.25">
      <c r="A515" s="3">
        <f>TITRES_STAT!B518</f>
        <v>45667</v>
      </c>
      <c r="B515" s="5">
        <f>TITRES_STAT!C518</f>
        <v>6.18</v>
      </c>
      <c r="C515" s="5">
        <f>TITRES_STAT!D518</f>
        <v>5.8029999999999999</v>
      </c>
      <c r="D515" s="5">
        <f>TITRES_STAT!E518</f>
        <v>0</v>
      </c>
      <c r="E515" s="2">
        <f t="shared" si="28"/>
        <v>-256.91514823616814</v>
      </c>
      <c r="F515" s="5" t="str">
        <f t="shared" si="31"/>
        <v>BULLISH</v>
      </c>
      <c r="G515" s="5" t="str">
        <f t="shared" si="30"/>
        <v>NEUTRAL</v>
      </c>
      <c r="H515" s="5" t="str">
        <f t="shared" si="29"/>
        <v>CONFIRMED BULLISH</v>
      </c>
    </row>
    <row r="516" spans="1:8" ht="13.5" x14ac:dyDescent="0.25">
      <c r="A516" s="3">
        <f>TITRES_STAT!B519</f>
        <v>45670</v>
      </c>
      <c r="B516" s="5">
        <f>TITRES_STAT!C519</f>
        <v>6.18</v>
      </c>
      <c r="C516" s="5">
        <f>TITRES_STAT!D519</f>
        <v>5.8029999999999999</v>
      </c>
      <c r="D516" s="5">
        <f>TITRES_STAT!E519</f>
        <v>5.6470773246329538</v>
      </c>
      <c r="E516" s="2">
        <f t="shared" ref="E516:E579" si="32">IF(B516&gt;B515, E515+D516, IF(B516&lt;B515, E515-D516, E515))</f>
        <v>-256.91514823616814</v>
      </c>
      <c r="F516" s="5" t="str">
        <f t="shared" si="31"/>
        <v>BULLISH</v>
      </c>
      <c r="G516" s="5" t="str">
        <f t="shared" si="30"/>
        <v>NEUTRAL</v>
      </c>
      <c r="H516" s="5" t="str">
        <f t="shared" si="29"/>
        <v>CONFIRMED BULLISH</v>
      </c>
    </row>
    <row r="517" spans="1:8" ht="13.5" x14ac:dyDescent="0.25">
      <c r="A517" s="3">
        <f>TITRES_STAT!B520</f>
        <v>45671</v>
      </c>
      <c r="B517" s="5">
        <f>TITRES_STAT!C520</f>
        <v>6.18</v>
      </c>
      <c r="C517" s="5">
        <f>TITRES_STAT!D520</f>
        <v>5.8029999999999999</v>
      </c>
      <c r="D517" s="5">
        <f>TITRES_STAT!E520</f>
        <v>5.7560000000000002</v>
      </c>
      <c r="E517" s="2">
        <f t="shared" si="32"/>
        <v>-256.91514823616814</v>
      </c>
      <c r="F517" s="5" t="str">
        <f t="shared" si="31"/>
        <v>BULLISH</v>
      </c>
      <c r="G517" s="5" t="str">
        <f t="shared" si="30"/>
        <v>WEAK</v>
      </c>
      <c r="H517" s="5" t="str">
        <f t="shared" si="29"/>
        <v>CONFIRMED BULLISH</v>
      </c>
    </row>
    <row r="518" spans="1:8" ht="13.5" x14ac:dyDescent="0.25">
      <c r="A518" s="3">
        <f>TITRES_STAT!B521</f>
        <v>45672</v>
      </c>
      <c r="B518" s="5">
        <f>TITRES_STAT!C521</f>
        <v>6.17</v>
      </c>
      <c r="C518" s="5">
        <f>TITRES_STAT!D521</f>
        <v>5.7939999999999996</v>
      </c>
      <c r="D518" s="5">
        <f>TITRES_STAT!E521</f>
        <v>5.7345731147540988</v>
      </c>
      <c r="E518" s="2">
        <f t="shared" si="32"/>
        <v>-262.64972135092222</v>
      </c>
      <c r="F518" s="5" t="str">
        <f t="shared" si="31"/>
        <v>BEARISH</v>
      </c>
      <c r="G518" s="5" t="str">
        <f t="shared" si="30"/>
        <v>STRONG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45673</v>
      </c>
      <c r="B519" s="5">
        <f>TITRES_STAT!C522</f>
        <v>6.17</v>
      </c>
      <c r="C519" s="5">
        <f>TITRES_STAT!D522</f>
        <v>5.7939999999999996</v>
      </c>
      <c r="D519" s="5">
        <f>TITRES_STAT!E522</f>
        <v>5.6425495081967219</v>
      </c>
      <c r="E519" s="2">
        <f t="shared" si="32"/>
        <v>-262.64972135092222</v>
      </c>
      <c r="F519" s="5" t="str">
        <f t="shared" si="31"/>
        <v>BEARISH</v>
      </c>
      <c r="G519" s="5" t="str">
        <f t="shared" ref="G519:G582" si="34">IF((E519-E514)/E514 &gt; 0.02, "STRONG",
 IF((E519-E514)/E514 &lt; -0.02, "WEAK", "NEUTRAL"))</f>
        <v>STRONG</v>
      </c>
      <c r="H519" s="5" t="str">
        <f t="shared" si="33"/>
        <v>CONFIRMED BEARISH</v>
      </c>
    </row>
    <row r="520" spans="1:8" ht="13.5" x14ac:dyDescent="0.25">
      <c r="A520" s="3">
        <f>TITRES_STAT!B523</f>
        <v>45674</v>
      </c>
      <c r="B520" s="5">
        <f>TITRES_STAT!C523</f>
        <v>6.16</v>
      </c>
      <c r="C520" s="5">
        <f>TITRES_STAT!D523</f>
        <v>5.7839999999999998</v>
      </c>
      <c r="D520" s="5">
        <f>TITRES_STAT!E523</f>
        <v>5.7466101141924968</v>
      </c>
      <c r="E520" s="2">
        <f t="shared" si="32"/>
        <v>-268.39633146511471</v>
      </c>
      <c r="F520" s="5" t="str">
        <f t="shared" ref="F520:F583" si="35">IF(E520&gt;E515,"BULLISH",IF(E520&lt;E515,"BEARISH","NEUTRAL"))</f>
        <v>BEARISH</v>
      </c>
      <c r="G520" s="5" t="str">
        <f t="shared" si="34"/>
        <v>STRONG</v>
      </c>
      <c r="H520" s="5" t="str">
        <f t="shared" si="33"/>
        <v>CONFIRMED BEARISH</v>
      </c>
    </row>
    <row r="521" spans="1:8" ht="13.5" x14ac:dyDescent="0.25">
      <c r="A521" s="3">
        <f>TITRES_STAT!B524</f>
        <v>45677</v>
      </c>
      <c r="B521" s="5">
        <f>TITRES_STAT!C524</f>
        <v>6.16</v>
      </c>
      <c r="C521" s="5">
        <f>TITRES_STAT!D524</f>
        <v>5.7839999999999998</v>
      </c>
      <c r="D521" s="5">
        <f>TITRES_STAT!E524</f>
        <v>0</v>
      </c>
      <c r="E521" s="2">
        <f t="shared" si="32"/>
        <v>-268.39633146511471</v>
      </c>
      <c r="F521" s="5" t="str">
        <f t="shared" si="35"/>
        <v>BEARISH</v>
      </c>
      <c r="G521" s="5" t="str">
        <f t="shared" si="34"/>
        <v>STRONG</v>
      </c>
      <c r="H521" s="5" t="str">
        <f t="shared" si="33"/>
        <v>CONFIRMED BEARISH</v>
      </c>
    </row>
    <row r="522" spans="1:8" ht="13.5" x14ac:dyDescent="0.25">
      <c r="A522" s="3">
        <f>TITRES_STAT!B525</f>
        <v>45678</v>
      </c>
      <c r="B522" s="5">
        <f>TITRES_STAT!C525</f>
        <v>6.13</v>
      </c>
      <c r="C522" s="5">
        <f>TITRES_STAT!D525</f>
        <v>5.7560000000000002</v>
      </c>
      <c r="D522" s="5">
        <f>TITRES_STAT!E525</f>
        <v>5.6405044045677002</v>
      </c>
      <c r="E522" s="2">
        <f t="shared" si="32"/>
        <v>-274.03683586968242</v>
      </c>
      <c r="F522" s="5" t="str">
        <f t="shared" si="35"/>
        <v>BEARISH</v>
      </c>
      <c r="G522" s="5" t="str">
        <f t="shared" si="34"/>
        <v>STRONG</v>
      </c>
      <c r="H522" s="5" t="str">
        <f t="shared" si="33"/>
        <v>CONFIRMED BEARISH</v>
      </c>
    </row>
    <row r="523" spans="1:8" ht="13.5" x14ac:dyDescent="0.25">
      <c r="A523" s="3">
        <f>TITRES_STAT!B526</f>
        <v>45679</v>
      </c>
      <c r="B523" s="5">
        <f>TITRES_STAT!C526</f>
        <v>6.13</v>
      </c>
      <c r="C523" s="5">
        <f>TITRES_STAT!D526</f>
        <v>5.7560000000000002</v>
      </c>
      <c r="D523" s="5">
        <f>TITRES_STAT!E526</f>
        <v>5.7545124183006537</v>
      </c>
      <c r="E523" s="2">
        <f t="shared" si="32"/>
        <v>-274.03683586968242</v>
      </c>
      <c r="F523" s="5" t="str">
        <f t="shared" si="35"/>
        <v>BEARISH</v>
      </c>
      <c r="G523" s="5" t="str">
        <f t="shared" si="34"/>
        <v>STRONG</v>
      </c>
      <c r="H523" s="5" t="str">
        <f t="shared" si="33"/>
        <v>CONFIRMED BEARISH</v>
      </c>
    </row>
    <row r="524" spans="1:8" ht="13.5" x14ac:dyDescent="0.25">
      <c r="A524" s="3">
        <f>TITRES_STAT!B527</f>
        <v>45680</v>
      </c>
      <c r="B524" s="5">
        <f>TITRES_STAT!C527</f>
        <v>6.1</v>
      </c>
      <c r="C524" s="5">
        <f>TITRES_STAT!D527</f>
        <v>5.7279999999999998</v>
      </c>
      <c r="D524" s="5">
        <f>TITRES_STAT!E527</f>
        <v>0</v>
      </c>
      <c r="E524" s="2">
        <f t="shared" si="32"/>
        <v>-274.03683586968242</v>
      </c>
      <c r="F524" s="5" t="str">
        <f t="shared" si="35"/>
        <v>BEARISH</v>
      </c>
      <c r="G524" s="5" t="str">
        <f t="shared" si="34"/>
        <v>STRONG</v>
      </c>
      <c r="H524" s="5" t="str">
        <f t="shared" si="33"/>
        <v>CONFIRMED BEARISH</v>
      </c>
    </row>
    <row r="525" spans="1:8" ht="13.5" x14ac:dyDescent="0.25">
      <c r="A525" s="3">
        <f>TITRES_STAT!B528</f>
        <v>45681</v>
      </c>
      <c r="B525" s="5">
        <f>TITRES_STAT!C528</f>
        <v>6.1</v>
      </c>
      <c r="C525" s="5">
        <f>TITRES_STAT!D528</f>
        <v>5.7279999999999998</v>
      </c>
      <c r="D525" s="5">
        <f>TITRES_STAT!E528</f>
        <v>5.7969770597738286</v>
      </c>
      <c r="E525" s="2">
        <f t="shared" si="32"/>
        <v>-274.03683586968242</v>
      </c>
      <c r="F525" s="5" t="str">
        <f t="shared" si="35"/>
        <v>BEARISH</v>
      </c>
      <c r="G525" s="5" t="str">
        <f t="shared" si="34"/>
        <v>STRONG</v>
      </c>
      <c r="H525" s="5" t="str">
        <f t="shared" si="33"/>
        <v>CONFIRMED BEARISH</v>
      </c>
    </row>
    <row r="526" spans="1:8" ht="13.5" x14ac:dyDescent="0.25">
      <c r="A526" s="3">
        <f>TITRES_STAT!B529</f>
        <v>45684</v>
      </c>
      <c r="B526" s="5">
        <f>TITRES_STAT!C529</f>
        <v>6.13</v>
      </c>
      <c r="C526" s="5">
        <f>TITRES_STAT!D529</f>
        <v>5.7560000000000002</v>
      </c>
      <c r="D526" s="5">
        <f>TITRES_STAT!E529</f>
        <v>5.8120000000000003</v>
      </c>
      <c r="E526" s="2">
        <f t="shared" si="32"/>
        <v>-268.22483586968241</v>
      </c>
      <c r="F526" s="5" t="str">
        <f t="shared" si="35"/>
        <v>BULLISH</v>
      </c>
      <c r="G526" s="5" t="str">
        <f t="shared" si="34"/>
        <v>NEUTRAL</v>
      </c>
      <c r="H526" s="5" t="str">
        <f t="shared" si="33"/>
        <v>BULLISH DIVERGENCE</v>
      </c>
    </row>
    <row r="527" spans="1:8" ht="13.5" x14ac:dyDescent="0.25">
      <c r="A527" s="3">
        <f>TITRES_STAT!B530</f>
        <v>45685</v>
      </c>
      <c r="B527" s="5">
        <f>TITRES_STAT!C530</f>
        <v>6.13</v>
      </c>
      <c r="C527" s="5">
        <f>TITRES_STAT!D530</f>
        <v>5.7560000000000002</v>
      </c>
      <c r="D527" s="5">
        <f>TITRES_STAT!E530</f>
        <v>5.6861828756058159</v>
      </c>
      <c r="E527" s="2">
        <f t="shared" si="32"/>
        <v>-268.22483586968241</v>
      </c>
      <c r="F527" s="5" t="str">
        <f t="shared" si="35"/>
        <v>BULLISH</v>
      </c>
      <c r="G527" s="5" t="str">
        <f t="shared" si="34"/>
        <v>WEAK</v>
      </c>
      <c r="H527" s="5" t="str">
        <f t="shared" si="33"/>
        <v>NEUTRAL</v>
      </c>
    </row>
    <row r="528" spans="1:8" ht="13.5" x14ac:dyDescent="0.25">
      <c r="A528" s="3">
        <f>TITRES_STAT!B531</f>
        <v>45686</v>
      </c>
      <c r="B528" s="5">
        <f>TITRES_STAT!C531</f>
        <v>6.13</v>
      </c>
      <c r="C528" s="5">
        <f>TITRES_STAT!D531</f>
        <v>5.7560000000000002</v>
      </c>
      <c r="D528" s="5">
        <f>TITRES_STAT!E531</f>
        <v>0</v>
      </c>
      <c r="E528" s="2">
        <f t="shared" si="32"/>
        <v>-268.22483586968241</v>
      </c>
      <c r="F528" s="5" t="str">
        <f t="shared" si="35"/>
        <v>BULLISH</v>
      </c>
      <c r="G528" s="5" t="str">
        <f t="shared" si="34"/>
        <v>WEAK</v>
      </c>
      <c r="H528" s="5" t="str">
        <f t="shared" si="33"/>
        <v>NEUTRAL</v>
      </c>
    </row>
    <row r="529" spans="1:8" ht="13.5" x14ac:dyDescent="0.25">
      <c r="A529" s="3">
        <f>TITRES_STAT!B532</f>
        <v>45687</v>
      </c>
      <c r="B529" s="5">
        <f>TITRES_STAT!C532</f>
        <v>6.12</v>
      </c>
      <c r="C529" s="5">
        <f>TITRES_STAT!D532</f>
        <v>5.7469999999999999</v>
      </c>
      <c r="D529" s="5">
        <f>TITRES_STAT!E532</f>
        <v>5.6437042483660127</v>
      </c>
      <c r="E529" s="2">
        <f t="shared" si="32"/>
        <v>-273.86854011804843</v>
      </c>
      <c r="F529" s="5" t="str">
        <f t="shared" si="35"/>
        <v>BULLISH</v>
      </c>
      <c r="G529" s="5" t="str">
        <f t="shared" si="34"/>
        <v>NEUTRAL</v>
      </c>
      <c r="H529" s="5" t="str">
        <f t="shared" si="33"/>
        <v>CONFIRMED BULLISH</v>
      </c>
    </row>
    <row r="530" spans="1:8" ht="13.5" x14ac:dyDescent="0.25">
      <c r="A530" s="3">
        <f>TITRES_STAT!B533</f>
        <v>45688</v>
      </c>
      <c r="B530" s="5">
        <f>TITRES_STAT!C533</f>
        <v>6.12</v>
      </c>
      <c r="C530" s="5">
        <f>TITRES_STAT!D533</f>
        <v>5.7469999999999999</v>
      </c>
      <c r="D530" s="5">
        <f>TITRES_STAT!E533</f>
        <v>5.6368666115702482</v>
      </c>
      <c r="E530" s="2">
        <f t="shared" si="32"/>
        <v>-273.86854011804843</v>
      </c>
      <c r="F530" s="5" t="str">
        <f t="shared" si="35"/>
        <v>BULLISH</v>
      </c>
      <c r="G530" s="5" t="str">
        <f t="shared" si="34"/>
        <v>NEUTRAL</v>
      </c>
      <c r="H530" s="5" t="str">
        <f t="shared" si="33"/>
        <v>CONFIRMED BULLISH</v>
      </c>
    </row>
    <row r="531" spans="1:8" ht="13.5" x14ac:dyDescent="0.25">
      <c r="A531" s="3">
        <f>TITRES_STAT!B534</f>
        <v>45691</v>
      </c>
      <c r="B531" s="5">
        <f>TITRES_STAT!C534</f>
        <v>6.19</v>
      </c>
      <c r="C531" s="5">
        <f>TITRES_STAT!D534</f>
        <v>5.8120000000000003</v>
      </c>
      <c r="D531" s="5">
        <f>TITRES_STAT!E534</f>
        <v>5.627864039408867</v>
      </c>
      <c r="E531" s="2">
        <f t="shared" si="32"/>
        <v>-268.24067607863958</v>
      </c>
      <c r="F531" s="5" t="str">
        <f t="shared" si="35"/>
        <v>BEARISH</v>
      </c>
      <c r="G531" s="5" t="str">
        <f t="shared" si="34"/>
        <v>NEUTRAL</v>
      </c>
      <c r="H531" s="5" t="str">
        <f t="shared" si="33"/>
        <v>BEARISH DIVERGENCE</v>
      </c>
    </row>
    <row r="532" spans="1:8" ht="13.5" x14ac:dyDescent="0.25">
      <c r="A532" s="3">
        <f>TITRES_STAT!B535</f>
        <v>45692</v>
      </c>
      <c r="B532" s="5">
        <f>TITRES_STAT!C535</f>
        <v>6.19</v>
      </c>
      <c r="C532" s="5">
        <f>TITRES_STAT!D535</f>
        <v>5.8120000000000003</v>
      </c>
      <c r="D532" s="5">
        <f>TITRES_STAT!E535</f>
        <v>5.7217556650246308</v>
      </c>
      <c r="E532" s="2">
        <f t="shared" si="32"/>
        <v>-268.24067607863958</v>
      </c>
      <c r="F532" s="5" t="str">
        <f t="shared" si="35"/>
        <v>BEARISH</v>
      </c>
      <c r="G532" s="5" t="str">
        <f t="shared" si="34"/>
        <v>NEUTRAL</v>
      </c>
      <c r="H532" s="5" t="str">
        <f t="shared" si="33"/>
        <v>BEARISH DIVERGENCE</v>
      </c>
    </row>
    <row r="533" spans="1:8" ht="13.5" x14ac:dyDescent="0.25">
      <c r="A533" s="3">
        <f>TITRES_STAT!B536</f>
        <v>45693</v>
      </c>
      <c r="B533" s="5">
        <f>TITRES_STAT!C536</f>
        <v>6.19</v>
      </c>
      <c r="C533" s="5">
        <f>TITRES_STAT!D536</f>
        <v>5.8120000000000003</v>
      </c>
      <c r="D533" s="5">
        <f>TITRES_STAT!E536</f>
        <v>5.6800609917355374</v>
      </c>
      <c r="E533" s="2">
        <f t="shared" si="32"/>
        <v>-268.24067607863958</v>
      </c>
      <c r="F533" s="5" t="str">
        <f t="shared" si="35"/>
        <v>BEARISH</v>
      </c>
      <c r="G533" s="5" t="str">
        <f t="shared" si="34"/>
        <v>NEUTRAL</v>
      </c>
      <c r="H533" s="5" t="str">
        <f t="shared" si="33"/>
        <v>BEARISH DIVERGENCE</v>
      </c>
    </row>
    <row r="534" spans="1:8" ht="13.5" x14ac:dyDescent="0.25">
      <c r="A534" s="3">
        <f>TITRES_STAT!B537</f>
        <v>45694</v>
      </c>
      <c r="B534" s="5">
        <f>TITRES_STAT!C537</f>
        <v>6.19</v>
      </c>
      <c r="C534" s="5">
        <f>TITRES_STAT!D537</f>
        <v>5.8120000000000003</v>
      </c>
      <c r="D534" s="5">
        <f>TITRES_STAT!E537</f>
        <v>0</v>
      </c>
      <c r="E534" s="2">
        <f t="shared" si="32"/>
        <v>-268.24067607863958</v>
      </c>
      <c r="F534" s="5" t="str">
        <f t="shared" si="35"/>
        <v>BULLISH</v>
      </c>
      <c r="G534" s="5" t="str">
        <f t="shared" si="34"/>
        <v>WEAK</v>
      </c>
      <c r="H534" s="5" t="str">
        <f t="shared" si="33"/>
        <v>CONFIRMED BULLISH</v>
      </c>
    </row>
    <row r="535" spans="1:8" ht="13.5" x14ac:dyDescent="0.25">
      <c r="A535" s="3">
        <f>TITRES_STAT!B538</f>
        <v>45695</v>
      </c>
      <c r="B535" s="5">
        <f>TITRES_STAT!C538</f>
        <v>6.12</v>
      </c>
      <c r="C535" s="5">
        <f>TITRES_STAT!D538</f>
        <v>5.7469999999999999</v>
      </c>
      <c r="D535" s="5">
        <f>TITRES_STAT!E538</f>
        <v>0</v>
      </c>
      <c r="E535" s="2">
        <f t="shared" si="32"/>
        <v>-268.24067607863958</v>
      </c>
      <c r="F535" s="5" t="str">
        <f t="shared" si="35"/>
        <v>BULLISH</v>
      </c>
      <c r="G535" s="5" t="str">
        <f t="shared" si="34"/>
        <v>WEAK</v>
      </c>
      <c r="H535" s="5" t="str">
        <f t="shared" si="33"/>
        <v>NEUTRAL</v>
      </c>
    </row>
    <row r="536" spans="1:8" ht="13.5" x14ac:dyDescent="0.25">
      <c r="A536" s="3">
        <f>TITRES_STAT!B539</f>
        <v>45698</v>
      </c>
      <c r="B536" s="5">
        <f>TITRES_STAT!C539</f>
        <v>6.05</v>
      </c>
      <c r="C536" s="5">
        <f>TITRES_STAT!D539</f>
        <v>5.681</v>
      </c>
      <c r="D536" s="5">
        <f>TITRES_STAT!E539</f>
        <v>5.681</v>
      </c>
      <c r="E536" s="2">
        <f t="shared" si="32"/>
        <v>-273.92167607863956</v>
      </c>
      <c r="F536" s="5" t="str">
        <f t="shared" si="35"/>
        <v>BEARISH</v>
      </c>
      <c r="G536" s="5" t="str">
        <f t="shared" si="34"/>
        <v>STRONG</v>
      </c>
      <c r="H536" s="5" t="str">
        <f t="shared" si="33"/>
        <v>CONFIRMED BEARISH</v>
      </c>
    </row>
    <row r="537" spans="1:8" ht="13.5" x14ac:dyDescent="0.25">
      <c r="A537" s="3">
        <f>TITRES_STAT!B540</f>
        <v>45699</v>
      </c>
      <c r="B537" s="5">
        <f>TITRES_STAT!C540</f>
        <v>6.09</v>
      </c>
      <c r="C537" s="5">
        <f>TITRES_STAT!D540</f>
        <v>5.718</v>
      </c>
      <c r="D537" s="5">
        <f>TITRES_STAT!E540</f>
        <v>5.681</v>
      </c>
      <c r="E537" s="2">
        <f t="shared" si="32"/>
        <v>-268.24067607863958</v>
      </c>
      <c r="F537" s="5" t="str">
        <f t="shared" si="35"/>
        <v>NEUTRAL</v>
      </c>
      <c r="G537" s="5" t="str">
        <f t="shared" si="34"/>
        <v>NEUTRAL</v>
      </c>
      <c r="H537" s="5" t="str">
        <f t="shared" si="33"/>
        <v>NEUTRAL</v>
      </c>
    </row>
    <row r="538" spans="1:8" ht="13.5" x14ac:dyDescent="0.25">
      <c r="A538" s="3">
        <f>TITRES_STAT!B541</f>
        <v>45700</v>
      </c>
      <c r="B538" s="5">
        <f>TITRES_STAT!C541</f>
        <v>6.09</v>
      </c>
      <c r="C538" s="5">
        <f>TITRES_STAT!D541</f>
        <v>5.718</v>
      </c>
      <c r="D538" s="5">
        <f>TITRES_STAT!E541</f>
        <v>5.6719999999999997</v>
      </c>
      <c r="E538" s="2">
        <f t="shared" si="32"/>
        <v>-268.24067607863958</v>
      </c>
      <c r="F538" s="5" t="str">
        <f t="shared" si="35"/>
        <v>NEUTRAL</v>
      </c>
      <c r="G538" s="5" t="str">
        <f t="shared" si="34"/>
        <v>NEUTRAL</v>
      </c>
      <c r="H538" s="5" t="str">
        <f t="shared" si="33"/>
        <v>NEUTRAL</v>
      </c>
    </row>
    <row r="539" spans="1:8" ht="13.5" x14ac:dyDescent="0.25">
      <c r="A539" s="3">
        <f>TITRES_STAT!B542</f>
        <v>45701</v>
      </c>
      <c r="B539" s="5">
        <f>TITRES_STAT!C542</f>
        <v>6.05</v>
      </c>
      <c r="C539" s="5">
        <f>TITRES_STAT!D542</f>
        <v>5.681</v>
      </c>
      <c r="D539" s="5">
        <f>TITRES_STAT!E542</f>
        <v>5.6340000000000003</v>
      </c>
      <c r="E539" s="2">
        <f t="shared" si="32"/>
        <v>-273.8746760786396</v>
      </c>
      <c r="F539" s="5" t="str">
        <f t="shared" si="35"/>
        <v>BEARISH</v>
      </c>
      <c r="G539" s="5" t="str">
        <f t="shared" si="34"/>
        <v>STRONG</v>
      </c>
      <c r="H539" s="5" t="str">
        <f t="shared" si="33"/>
        <v>CONFIRMED BEARISH</v>
      </c>
    </row>
    <row r="540" spans="1:8" ht="13.5" x14ac:dyDescent="0.25">
      <c r="A540" s="3">
        <f>TITRES_STAT!B543</f>
        <v>45702</v>
      </c>
      <c r="B540" s="5">
        <f>TITRES_STAT!C543</f>
        <v>6.05</v>
      </c>
      <c r="C540" s="5">
        <f>TITRES_STAT!D543</f>
        <v>5.681</v>
      </c>
      <c r="D540" s="5">
        <f>TITRES_STAT!E543</f>
        <v>5.6034015025041732</v>
      </c>
      <c r="E540" s="2">
        <f t="shared" si="32"/>
        <v>-273.8746760786396</v>
      </c>
      <c r="F540" s="5" t="str">
        <f t="shared" si="35"/>
        <v>BEARISH</v>
      </c>
      <c r="G540" s="5" t="str">
        <f t="shared" si="34"/>
        <v>STRONG</v>
      </c>
      <c r="H540" s="5" t="str">
        <f t="shared" si="33"/>
        <v>CONFIRMED BEARISH</v>
      </c>
    </row>
    <row r="541" spans="1:8" ht="13.5" x14ac:dyDescent="0.25">
      <c r="A541" s="3">
        <f>TITRES_STAT!B544</f>
        <v>45705</v>
      </c>
      <c r="B541" s="5">
        <f>TITRES_STAT!C544</f>
        <v>6.05</v>
      </c>
      <c r="C541" s="5">
        <f>TITRES_STAT!D544</f>
        <v>5.681</v>
      </c>
      <c r="D541" s="5">
        <f>TITRES_STAT!E544</f>
        <v>5.5917450000000004</v>
      </c>
      <c r="E541" s="2">
        <f t="shared" si="32"/>
        <v>-273.8746760786396</v>
      </c>
      <c r="F541" s="5" t="str">
        <f t="shared" si="35"/>
        <v>BULLISH</v>
      </c>
      <c r="G541" s="5" t="str">
        <f t="shared" si="34"/>
        <v>NEUTRAL</v>
      </c>
      <c r="H541" s="5" t="str">
        <f t="shared" si="33"/>
        <v>NEUTRAL</v>
      </c>
    </row>
    <row r="542" spans="1:8" ht="13.5" x14ac:dyDescent="0.25">
      <c r="A542" s="3">
        <f>TITRES_STAT!B545</f>
        <v>45706</v>
      </c>
      <c r="B542" s="5">
        <f>TITRES_STAT!C545</f>
        <v>6.05</v>
      </c>
      <c r="C542" s="5">
        <f>TITRES_STAT!D545</f>
        <v>5.681</v>
      </c>
      <c r="D542" s="5">
        <f>TITRES_STAT!E545</f>
        <v>5.6255490000000004</v>
      </c>
      <c r="E542" s="2">
        <f t="shared" si="32"/>
        <v>-273.8746760786396</v>
      </c>
      <c r="F542" s="5" t="str">
        <f t="shared" si="35"/>
        <v>BEARISH</v>
      </c>
      <c r="G542" s="5" t="str">
        <f t="shared" si="34"/>
        <v>STRONG</v>
      </c>
      <c r="H542" s="5" t="str">
        <f t="shared" si="33"/>
        <v>CONFIRMED BEARISH</v>
      </c>
    </row>
    <row r="543" spans="1:8" ht="13.5" x14ac:dyDescent="0.25">
      <c r="A543" s="3">
        <f>TITRES_STAT!B546</f>
        <v>45707</v>
      </c>
      <c r="B543" s="5">
        <f>TITRES_STAT!C546</f>
        <v>6.05</v>
      </c>
      <c r="C543" s="5">
        <f>TITRES_STAT!D546</f>
        <v>5.681</v>
      </c>
      <c r="D543" s="5">
        <f>TITRES_STAT!E546</f>
        <v>5.5779524617996605</v>
      </c>
      <c r="E543" s="2">
        <f t="shared" si="32"/>
        <v>-273.8746760786396</v>
      </c>
      <c r="F543" s="5" t="str">
        <f t="shared" si="35"/>
        <v>BEARISH</v>
      </c>
      <c r="G543" s="5" t="str">
        <f t="shared" si="34"/>
        <v>STRONG</v>
      </c>
      <c r="H543" s="5" t="str">
        <f t="shared" si="33"/>
        <v>CONFIRMED BEARISH</v>
      </c>
    </row>
    <row r="544" spans="1:8" ht="13.5" x14ac:dyDescent="0.25">
      <c r="A544" s="3">
        <f>TITRES_STAT!B547</f>
        <v>45708</v>
      </c>
      <c r="B544" s="5">
        <f>TITRES_STAT!C547</f>
        <v>6.04</v>
      </c>
      <c r="C544" s="5">
        <f>TITRES_STAT!D547</f>
        <v>5.6719999999999997</v>
      </c>
      <c r="D544" s="5">
        <f>TITRES_STAT!E547</f>
        <v>5.5309999999999997</v>
      </c>
      <c r="E544" s="2">
        <f t="shared" si="32"/>
        <v>-279.4056760786396</v>
      </c>
      <c r="F544" s="5" t="str">
        <f t="shared" si="35"/>
        <v>BEARISH</v>
      </c>
      <c r="G544" s="5" t="str">
        <f t="shared" si="34"/>
        <v>STRONG</v>
      </c>
      <c r="H544" s="5" t="str">
        <f t="shared" si="33"/>
        <v>CONFIRMED BEARISH</v>
      </c>
    </row>
    <row r="545" spans="1:8" ht="13.5" x14ac:dyDescent="0.25">
      <c r="A545" s="3">
        <f>TITRES_STAT!B548</f>
        <v>45709</v>
      </c>
      <c r="B545" s="5">
        <f>TITRES_STAT!C548</f>
        <v>6</v>
      </c>
      <c r="C545" s="5">
        <f>TITRES_STAT!D548</f>
        <v>5.6340000000000003</v>
      </c>
      <c r="D545" s="5">
        <f>TITRES_STAT!E548</f>
        <v>5.5211172413793106</v>
      </c>
      <c r="E545" s="2">
        <f t="shared" si="32"/>
        <v>-284.92679332001893</v>
      </c>
      <c r="F545" s="5" t="str">
        <f t="shared" si="35"/>
        <v>BEARISH</v>
      </c>
      <c r="G545" s="5" t="str">
        <f t="shared" si="34"/>
        <v>STRONG</v>
      </c>
      <c r="H545" s="5" t="str">
        <f t="shared" si="33"/>
        <v>CONFIRMED BEARISH</v>
      </c>
    </row>
    <row r="546" spans="1:8" ht="13.5" x14ac:dyDescent="0.25">
      <c r="A546" s="3">
        <f>TITRES_STAT!B549</f>
        <v>45712</v>
      </c>
      <c r="B546" s="5">
        <f>TITRES_STAT!C549</f>
        <v>5.99</v>
      </c>
      <c r="C546" s="5">
        <f>TITRES_STAT!D549</f>
        <v>5.625</v>
      </c>
      <c r="D546" s="5">
        <f>TITRES_STAT!E549</f>
        <v>5.4497558620689661</v>
      </c>
      <c r="E546" s="2">
        <f t="shared" si="32"/>
        <v>-290.3765491820879</v>
      </c>
      <c r="F546" s="5" t="str">
        <f t="shared" si="35"/>
        <v>BEARISH</v>
      </c>
      <c r="G546" s="5" t="str">
        <f t="shared" si="34"/>
        <v>STRONG</v>
      </c>
      <c r="H546" s="5" t="str">
        <f t="shared" si="33"/>
        <v>CONFIRMED BEARISH</v>
      </c>
    </row>
    <row r="547" spans="1:8" ht="13.5" x14ac:dyDescent="0.25">
      <c r="A547" s="3">
        <f>TITRES_STAT!B550</f>
        <v>45713</v>
      </c>
      <c r="B547" s="5">
        <f>TITRES_STAT!C550</f>
        <v>6</v>
      </c>
      <c r="C547" s="5">
        <f>TITRES_STAT!D550</f>
        <v>5.6340000000000003</v>
      </c>
      <c r="D547" s="5">
        <f>TITRES_STAT!E550</f>
        <v>5.487466890756302</v>
      </c>
      <c r="E547" s="2">
        <f t="shared" si="32"/>
        <v>-284.88908229133159</v>
      </c>
      <c r="F547" s="5" t="str">
        <f t="shared" si="35"/>
        <v>BEARISH</v>
      </c>
      <c r="G547" s="5" t="str">
        <f t="shared" si="34"/>
        <v>STRONG</v>
      </c>
      <c r="H547" s="5" t="str">
        <f t="shared" si="33"/>
        <v>CONFIRMED BEARISH</v>
      </c>
    </row>
    <row r="548" spans="1:8" ht="13.5" x14ac:dyDescent="0.25">
      <c r="A548" s="3">
        <f>TITRES_STAT!B551</f>
        <v>45714</v>
      </c>
      <c r="B548" s="5">
        <f>TITRES_STAT!C551</f>
        <v>6</v>
      </c>
      <c r="C548" s="5">
        <f>TITRES_STAT!D551</f>
        <v>5.6340000000000003</v>
      </c>
      <c r="D548" s="5">
        <f>TITRES_STAT!E551</f>
        <v>5.5950610738255033</v>
      </c>
      <c r="E548" s="2">
        <f t="shared" si="32"/>
        <v>-284.88908229133159</v>
      </c>
      <c r="F548" s="5" t="str">
        <f t="shared" si="35"/>
        <v>BEARISH</v>
      </c>
      <c r="G548" s="5" t="str">
        <f t="shared" si="34"/>
        <v>STRONG</v>
      </c>
      <c r="H548" s="5" t="str">
        <f t="shared" si="33"/>
        <v>CONFIRMED BEARISH</v>
      </c>
    </row>
    <row r="549" spans="1:8" ht="13.5" x14ac:dyDescent="0.25">
      <c r="A549" s="3">
        <f>TITRES_STAT!B552</f>
        <v>45715</v>
      </c>
      <c r="B549" s="5">
        <f>TITRES_STAT!C552</f>
        <v>5.89</v>
      </c>
      <c r="C549" s="5">
        <f>TITRES_STAT!D552</f>
        <v>5.5309999999999997</v>
      </c>
      <c r="D549" s="5">
        <f>TITRES_STAT!E552</f>
        <v>5.5963899159663857</v>
      </c>
      <c r="E549" s="2">
        <f t="shared" si="32"/>
        <v>-290.48547220729796</v>
      </c>
      <c r="F549" s="5" t="str">
        <f t="shared" si="35"/>
        <v>BEARISH</v>
      </c>
      <c r="G549" s="5" t="str">
        <f t="shared" si="34"/>
        <v>STRONG</v>
      </c>
      <c r="H549" s="5" t="str">
        <f t="shared" si="33"/>
        <v>CONFIRMED BEARISH</v>
      </c>
    </row>
    <row r="550" spans="1:8" ht="13.5" x14ac:dyDescent="0.25">
      <c r="A550" s="3">
        <f>TITRES_STAT!B553</f>
        <v>45716</v>
      </c>
      <c r="B550" s="5">
        <f>TITRES_STAT!C553</f>
        <v>5.89</v>
      </c>
      <c r="C550" s="5">
        <f>TITRES_STAT!D553</f>
        <v>5.5309999999999997</v>
      </c>
      <c r="D550" s="5">
        <f>TITRES_STAT!E553</f>
        <v>5.5325384873949579</v>
      </c>
      <c r="E550" s="2">
        <f t="shared" si="32"/>
        <v>-290.48547220729796</v>
      </c>
      <c r="F550" s="5" t="str">
        <f t="shared" si="35"/>
        <v>BEARISH</v>
      </c>
      <c r="G550" s="5" t="str">
        <f t="shared" si="34"/>
        <v>NEUTRAL</v>
      </c>
      <c r="H550" s="5" t="str">
        <f t="shared" si="33"/>
        <v>CONFIRMED BEARISH</v>
      </c>
    </row>
    <row r="551" spans="1:8" ht="13.5" x14ac:dyDescent="0.25">
      <c r="A551" s="3">
        <f>TITRES_STAT!B554</f>
        <v>45719</v>
      </c>
      <c r="B551" s="5">
        <f>TITRES_STAT!C554</f>
        <v>5.8</v>
      </c>
      <c r="C551" s="5">
        <f>TITRES_STAT!D554</f>
        <v>5.4459999999999997</v>
      </c>
      <c r="D551" s="5">
        <f>TITRES_STAT!E554</f>
        <v>5.4732815384615385</v>
      </c>
      <c r="E551" s="2">
        <f t="shared" si="32"/>
        <v>-295.95875374575951</v>
      </c>
      <c r="F551" s="5" t="str">
        <f t="shared" si="35"/>
        <v>BEARISH</v>
      </c>
      <c r="G551" s="5" t="str">
        <f t="shared" si="34"/>
        <v>NEUTRAL</v>
      </c>
      <c r="H551" s="5" t="str">
        <f t="shared" si="33"/>
        <v>CONFIRMED BEARISH</v>
      </c>
    </row>
    <row r="552" spans="1:8" ht="13.5" x14ac:dyDescent="0.25">
      <c r="A552" s="3">
        <f>TITRES_STAT!B555</f>
        <v>45720</v>
      </c>
      <c r="B552" s="5">
        <f>TITRES_STAT!C555</f>
        <v>5.8</v>
      </c>
      <c r="C552" s="5">
        <f>TITRES_STAT!D555</f>
        <v>5.4459999999999997</v>
      </c>
      <c r="D552" s="5">
        <f>TITRES_STAT!E555</f>
        <v>5.4649999999999999</v>
      </c>
      <c r="E552" s="2">
        <f t="shared" si="32"/>
        <v>-295.95875374575951</v>
      </c>
      <c r="F552" s="5" t="str">
        <f t="shared" si="35"/>
        <v>BEARISH</v>
      </c>
      <c r="G552" s="5" t="str">
        <f t="shared" si="34"/>
        <v>STRONG</v>
      </c>
      <c r="H552" s="5" t="str">
        <f t="shared" si="33"/>
        <v>CONFIRMED BEARISH</v>
      </c>
    </row>
    <row r="553" spans="1:8" ht="13.5" x14ac:dyDescent="0.25">
      <c r="A553" s="3">
        <f>TITRES_STAT!B556</f>
        <v>45721</v>
      </c>
      <c r="B553" s="5">
        <f>TITRES_STAT!C556</f>
        <v>5.95</v>
      </c>
      <c r="C553" s="5">
        <f>TITRES_STAT!D556</f>
        <v>5.5869999999999997</v>
      </c>
      <c r="D553" s="5">
        <f>TITRES_STAT!E556</f>
        <v>5.4292679376083193</v>
      </c>
      <c r="E553" s="2">
        <f t="shared" si="32"/>
        <v>-290.52948580815121</v>
      </c>
      <c r="F553" s="5" t="str">
        <f t="shared" si="35"/>
        <v>BEARISH</v>
      </c>
      <c r="G553" s="5" t="str">
        <f t="shared" si="34"/>
        <v>NEUTRAL</v>
      </c>
      <c r="H553" s="5" t="str">
        <f t="shared" si="33"/>
        <v>CONFIRMED BEARISH</v>
      </c>
    </row>
    <row r="554" spans="1:8" ht="13.5" x14ac:dyDescent="0.25">
      <c r="A554" s="3">
        <f>TITRES_STAT!B557</f>
        <v>45722</v>
      </c>
      <c r="B554" s="5">
        <f>TITRES_STAT!C557</f>
        <v>5.96</v>
      </c>
      <c r="C554" s="5">
        <f>TITRES_STAT!D557</f>
        <v>5.5960000000000001</v>
      </c>
      <c r="D554" s="5">
        <f>TITRES_STAT!E557</f>
        <v>5.4358409012131723</v>
      </c>
      <c r="E554" s="2">
        <f t="shared" si="32"/>
        <v>-285.09364490693804</v>
      </c>
      <c r="F554" s="5" t="str">
        <f t="shared" si="35"/>
        <v>BULLISH</v>
      </c>
      <c r="G554" s="5" t="str">
        <f t="shared" si="34"/>
        <v>NEUTRAL</v>
      </c>
      <c r="H554" s="5" t="str">
        <f t="shared" si="33"/>
        <v>CONFIRMED BULLISH</v>
      </c>
    </row>
    <row r="555" spans="1:8" ht="13.5" x14ac:dyDescent="0.25">
      <c r="A555" s="3">
        <f>TITRES_STAT!B558</f>
        <v>45723</v>
      </c>
      <c r="B555" s="5">
        <f>TITRES_STAT!C558</f>
        <v>5.95</v>
      </c>
      <c r="C555" s="5">
        <f>TITRES_STAT!D558</f>
        <v>5.5869999999999997</v>
      </c>
      <c r="D555" s="5">
        <f>TITRES_STAT!E558</f>
        <v>5.4292679376083193</v>
      </c>
      <c r="E555" s="2">
        <f t="shared" si="32"/>
        <v>-290.52291284454634</v>
      </c>
      <c r="F555" s="5" t="str">
        <f t="shared" si="35"/>
        <v>BEARISH</v>
      </c>
      <c r="G555" s="5" t="str">
        <f t="shared" si="34"/>
        <v>NEUTRAL</v>
      </c>
      <c r="H555" s="5" t="str">
        <f t="shared" si="33"/>
        <v>BEARISH DIVERGENCE</v>
      </c>
    </row>
    <row r="556" spans="1:8" ht="13.5" x14ac:dyDescent="0.25">
      <c r="A556" s="3">
        <f>TITRES_STAT!B559</f>
        <v>45726</v>
      </c>
      <c r="B556" s="5">
        <f>TITRES_STAT!C559</f>
        <v>5.95</v>
      </c>
      <c r="C556" s="5">
        <f>TITRES_STAT!D559</f>
        <v>5.5869999999999997</v>
      </c>
      <c r="D556" s="5">
        <f>TITRES_STAT!E559</f>
        <v>5.4404677966101689</v>
      </c>
      <c r="E556" s="2">
        <f t="shared" si="32"/>
        <v>-290.52291284454634</v>
      </c>
      <c r="F556" s="5" t="str">
        <f t="shared" si="35"/>
        <v>BULLISH</v>
      </c>
      <c r="G556" s="5" t="str">
        <f t="shared" si="34"/>
        <v>NEUTRAL</v>
      </c>
      <c r="H556" s="5" t="str">
        <f t="shared" si="33"/>
        <v>CONFIRMED BULLISH</v>
      </c>
    </row>
    <row r="557" spans="1:8" ht="13.5" x14ac:dyDescent="0.25">
      <c r="A557" s="3">
        <f>TITRES_STAT!B560</f>
        <v>45727</v>
      </c>
      <c r="B557" s="5">
        <f>TITRES_STAT!C560</f>
        <v>5.85</v>
      </c>
      <c r="C557" s="5">
        <f>TITRES_STAT!D560</f>
        <v>5.4930000000000003</v>
      </c>
      <c r="D557" s="5">
        <f>TITRES_STAT!E560</f>
        <v>5.4677667244367427</v>
      </c>
      <c r="E557" s="2">
        <f t="shared" si="32"/>
        <v>-295.99067956898307</v>
      </c>
      <c r="F557" s="5" t="str">
        <f t="shared" si="35"/>
        <v>BEARISH</v>
      </c>
      <c r="G557" s="5" t="str">
        <f t="shared" si="34"/>
        <v>NEUTRAL</v>
      </c>
      <c r="H557" s="5" t="str">
        <f t="shared" si="33"/>
        <v>BEARISH DIVERGENCE</v>
      </c>
    </row>
    <row r="558" spans="1:8" ht="13.5" x14ac:dyDescent="0.25">
      <c r="A558" s="3">
        <f>TITRES_STAT!B561</f>
        <v>45728</v>
      </c>
      <c r="B558" s="5">
        <f>TITRES_STAT!C561</f>
        <v>5.82</v>
      </c>
      <c r="C558" s="5">
        <f>TITRES_STAT!D561</f>
        <v>5.4649999999999999</v>
      </c>
      <c r="D558" s="5">
        <f>TITRES_STAT!E561</f>
        <v>5.4309765517241377</v>
      </c>
      <c r="E558" s="2">
        <f t="shared" si="32"/>
        <v>-301.42165612070721</v>
      </c>
      <c r="F558" s="5" t="str">
        <f t="shared" si="35"/>
        <v>BEARISH</v>
      </c>
      <c r="G558" s="5" t="str">
        <f t="shared" si="34"/>
        <v>STRONG</v>
      </c>
      <c r="H558" s="5" t="str">
        <f t="shared" si="33"/>
        <v>CONFIRMED BEARISH</v>
      </c>
    </row>
    <row r="559" spans="1:8" ht="13.5" x14ac:dyDescent="0.25">
      <c r="A559" s="3">
        <f>TITRES_STAT!B562</f>
        <v>45729</v>
      </c>
      <c r="B559" s="5">
        <f>TITRES_STAT!C562</f>
        <v>5.77</v>
      </c>
      <c r="C559" s="5">
        <f>TITRES_STAT!D562</f>
        <v>5.4180000000000001</v>
      </c>
      <c r="D559" s="5">
        <f>TITRES_STAT!E562</f>
        <v>5.4046337391304355</v>
      </c>
      <c r="E559" s="2">
        <f t="shared" si="32"/>
        <v>-306.82628985983763</v>
      </c>
      <c r="F559" s="5" t="str">
        <f t="shared" si="35"/>
        <v>BEARISH</v>
      </c>
      <c r="G559" s="5" t="str">
        <f t="shared" si="34"/>
        <v>STRONG</v>
      </c>
      <c r="H559" s="5" t="str">
        <f t="shared" si="33"/>
        <v>CONFIRMED BEARISH</v>
      </c>
    </row>
    <row r="560" spans="1:8" ht="13.5" x14ac:dyDescent="0.25">
      <c r="A560" s="3">
        <f>TITRES_STAT!B563</f>
        <v>45730</v>
      </c>
      <c r="B560" s="5">
        <f>TITRES_STAT!C563</f>
        <v>5.77</v>
      </c>
      <c r="C560" s="5">
        <f>TITRES_STAT!D563</f>
        <v>5.4180000000000001</v>
      </c>
      <c r="D560" s="5">
        <f>TITRES_STAT!E563</f>
        <v>5.399390243902439</v>
      </c>
      <c r="E560" s="2">
        <f t="shared" si="32"/>
        <v>-306.82628985983763</v>
      </c>
      <c r="F560" s="5" t="str">
        <f t="shared" si="35"/>
        <v>BEARISH</v>
      </c>
      <c r="G560" s="5" t="str">
        <f t="shared" si="34"/>
        <v>STRONG</v>
      </c>
      <c r="H560" s="5" t="str">
        <f t="shared" si="33"/>
        <v>CONFIRMED BEARISH</v>
      </c>
    </row>
    <row r="561" spans="1:8" ht="13.5" x14ac:dyDescent="0.25">
      <c r="A561" s="3">
        <f>TITRES_STAT!B564</f>
        <v>45733</v>
      </c>
      <c r="B561" s="5">
        <f>TITRES_STAT!C564</f>
        <v>5.77</v>
      </c>
      <c r="C561" s="5">
        <f>TITRES_STAT!D564</f>
        <v>5.4180000000000001</v>
      </c>
      <c r="D561" s="5">
        <f>TITRES_STAT!E564</f>
        <v>5.3996093749999998</v>
      </c>
      <c r="E561" s="2">
        <f t="shared" si="32"/>
        <v>-306.82628985983763</v>
      </c>
      <c r="F561" s="5" t="str">
        <f t="shared" si="35"/>
        <v>BEARISH</v>
      </c>
      <c r="G561" s="5" t="str">
        <f t="shared" si="34"/>
        <v>STRONG</v>
      </c>
      <c r="H561" s="5" t="str">
        <f t="shared" si="33"/>
        <v>CONFIRMED BEARISH</v>
      </c>
    </row>
    <row r="562" spans="1:8" ht="13.5" x14ac:dyDescent="0.25">
      <c r="A562" s="3">
        <f>TITRES_STAT!B565</f>
        <v>45734</v>
      </c>
      <c r="B562" s="5">
        <f>TITRES_STAT!C565</f>
        <v>5.9</v>
      </c>
      <c r="C562" s="5">
        <f>TITRES_STAT!D565</f>
        <v>5.54</v>
      </c>
      <c r="D562" s="5">
        <f>TITRES_STAT!E565</f>
        <v>5.5371830508474575</v>
      </c>
      <c r="E562" s="2">
        <f t="shared" si="32"/>
        <v>-301.2891068089902</v>
      </c>
      <c r="F562" s="5" t="str">
        <f t="shared" si="35"/>
        <v>BEARISH</v>
      </c>
      <c r="G562" s="5" t="str">
        <f t="shared" si="34"/>
        <v>NEUTRAL</v>
      </c>
      <c r="H562" s="5" t="str">
        <f t="shared" si="33"/>
        <v>BEARISH DIVERGENCE</v>
      </c>
    </row>
    <row r="563" spans="1:8" ht="13.5" x14ac:dyDescent="0.25">
      <c r="A563" s="3">
        <f>TITRES_STAT!B566</f>
        <v>45735</v>
      </c>
      <c r="B563" s="5">
        <f>TITRES_STAT!C566</f>
        <v>5.77</v>
      </c>
      <c r="C563" s="5">
        <f>TITRES_STAT!D566</f>
        <v>5.4180000000000001</v>
      </c>
      <c r="D563" s="5">
        <f>TITRES_STAT!E566</f>
        <v>5.465718275862069</v>
      </c>
      <c r="E563" s="2">
        <f t="shared" si="32"/>
        <v>-306.75482508485226</v>
      </c>
      <c r="F563" s="5" t="str">
        <f t="shared" si="35"/>
        <v>BEARISH</v>
      </c>
      <c r="G563" s="5" t="str">
        <f t="shared" si="34"/>
        <v>NEUTRAL</v>
      </c>
      <c r="H563" s="5" t="str">
        <f t="shared" si="33"/>
        <v>CONFIRMED BEARISH</v>
      </c>
    </row>
    <row r="564" spans="1:8" ht="13.5" x14ac:dyDescent="0.25">
      <c r="A564" s="3">
        <f>TITRES_STAT!B567</f>
        <v>45737</v>
      </c>
      <c r="B564" s="5">
        <f>TITRES_STAT!C567</f>
        <v>5.8</v>
      </c>
      <c r="C564" s="5">
        <f>TITRES_STAT!D567</f>
        <v>5.4459999999999997</v>
      </c>
      <c r="D564" s="5">
        <f>TITRES_STAT!E567</f>
        <v>5.4212078124999996</v>
      </c>
      <c r="E564" s="2">
        <f t="shared" si="32"/>
        <v>-301.33361727235228</v>
      </c>
      <c r="F564" s="5" t="str">
        <f t="shared" si="35"/>
        <v>BULLISH</v>
      </c>
      <c r="G564" s="5" t="str">
        <f t="shared" si="34"/>
        <v>NEUTRAL</v>
      </c>
      <c r="H564" s="5" t="str">
        <f t="shared" si="33"/>
        <v>CONFIRMED BULLISH</v>
      </c>
    </row>
    <row r="565" spans="1:8" ht="13.5" x14ac:dyDescent="0.25">
      <c r="A565" s="3">
        <f>TITRES_STAT!B568</f>
        <v>45740</v>
      </c>
      <c r="B565" s="5">
        <f>TITRES_STAT!C568</f>
        <v>5.75</v>
      </c>
      <c r="C565" s="5">
        <f>TITRES_STAT!D568</f>
        <v>5.399</v>
      </c>
      <c r="D565" s="5">
        <f>TITRES_STAT!E568</f>
        <v>5.444122068965517</v>
      </c>
      <c r="E565" s="2">
        <f t="shared" si="32"/>
        <v>-306.77773934131778</v>
      </c>
      <c r="F565" s="5" t="str">
        <f t="shared" si="35"/>
        <v>BULLISH</v>
      </c>
      <c r="G565" s="5" t="str">
        <f t="shared" si="34"/>
        <v>NEUTRAL</v>
      </c>
      <c r="H565" s="5" t="str">
        <f t="shared" si="33"/>
        <v>BULLISH DIVERGENCE</v>
      </c>
    </row>
    <row r="566" spans="1:8" ht="13.5" x14ac:dyDescent="0.25">
      <c r="A566" s="3">
        <f>TITRES_STAT!B569</f>
        <v>45741</v>
      </c>
      <c r="B566" s="5">
        <f>TITRES_STAT!C569</f>
        <v>5.74</v>
      </c>
      <c r="C566" s="5">
        <f>TITRES_STAT!D569</f>
        <v>5.39</v>
      </c>
      <c r="D566" s="5">
        <f>TITRES_STAT!E569</f>
        <v>5.4298167820069203</v>
      </c>
      <c r="E566" s="2">
        <f t="shared" si="32"/>
        <v>-312.20755612332471</v>
      </c>
      <c r="F566" s="5" t="str">
        <f t="shared" si="35"/>
        <v>BEARISH</v>
      </c>
      <c r="G566" s="5" t="str">
        <f t="shared" si="34"/>
        <v>NEUTRAL</v>
      </c>
      <c r="H566" s="5" t="str">
        <f t="shared" si="33"/>
        <v>CONFIRMED BEARISH</v>
      </c>
    </row>
    <row r="567" spans="1:8" ht="13.5" x14ac:dyDescent="0.25">
      <c r="A567" s="3">
        <f>TITRES_STAT!B570</f>
        <v>45742</v>
      </c>
      <c r="B567" s="5">
        <f>TITRES_STAT!C570</f>
        <v>5.76</v>
      </c>
      <c r="C567" s="5">
        <f>TITRES_STAT!D570</f>
        <v>5.4089999999999998</v>
      </c>
      <c r="D567" s="5">
        <f>TITRES_STAT!E570</f>
        <v>5.4451123076923089</v>
      </c>
      <c r="E567" s="2">
        <f t="shared" si="32"/>
        <v>-306.76244381563242</v>
      </c>
      <c r="F567" s="5" t="str">
        <f t="shared" si="35"/>
        <v>BEARISH</v>
      </c>
      <c r="G567" s="5" t="str">
        <f t="shared" si="34"/>
        <v>NEUTRAL</v>
      </c>
      <c r="H567" s="5" t="str">
        <f t="shared" si="33"/>
        <v>CONFIRMED BEARISH</v>
      </c>
    </row>
    <row r="568" spans="1:8" ht="13.5" x14ac:dyDescent="0.25">
      <c r="A568" s="3">
        <f>TITRES_STAT!B571</f>
        <v>45743</v>
      </c>
      <c r="B568" s="5">
        <f>TITRES_STAT!C571</f>
        <v>5.9</v>
      </c>
      <c r="C568" s="5">
        <f>TITRES_STAT!D571</f>
        <v>5.54</v>
      </c>
      <c r="D568" s="5">
        <f>TITRES_STAT!E571</f>
        <v>0</v>
      </c>
      <c r="E568" s="2">
        <f t="shared" si="32"/>
        <v>-306.76244381563242</v>
      </c>
      <c r="F568" s="5" t="str">
        <f t="shared" si="35"/>
        <v>BEARISH</v>
      </c>
      <c r="G568" s="5" t="str">
        <f t="shared" si="34"/>
        <v>NEUTRAL</v>
      </c>
      <c r="H568" s="5" t="str">
        <f t="shared" si="33"/>
        <v>BEARISH DIVERGENCE</v>
      </c>
    </row>
    <row r="569" spans="1:8" ht="13.5" x14ac:dyDescent="0.25">
      <c r="A569" s="3">
        <f>TITRES_STAT!B572</f>
        <v>45744</v>
      </c>
      <c r="B569" s="5">
        <f>TITRES_STAT!C572</f>
        <v>5.8</v>
      </c>
      <c r="C569" s="5">
        <f>TITRES_STAT!D572</f>
        <v>5.4459999999999997</v>
      </c>
      <c r="D569" s="5">
        <f>TITRES_STAT!E572</f>
        <v>5.4102674782608693</v>
      </c>
      <c r="E569" s="2">
        <f t="shared" si="32"/>
        <v>-312.17271129389331</v>
      </c>
      <c r="F569" s="5" t="str">
        <f t="shared" si="35"/>
        <v>BEARISH</v>
      </c>
      <c r="G569" s="5" t="str">
        <f t="shared" si="34"/>
        <v>STRONG</v>
      </c>
      <c r="H569" s="5" t="str">
        <f t="shared" si="33"/>
        <v>NEUTRAL</v>
      </c>
    </row>
    <row r="570" spans="1:8" ht="13.5" x14ac:dyDescent="0.25">
      <c r="A570" s="3">
        <f>TITRES_STAT!B573</f>
        <v>45749</v>
      </c>
      <c r="B570" s="5">
        <f>TITRES_STAT!C573</f>
        <v>5.76</v>
      </c>
      <c r="C570" s="5">
        <f>TITRES_STAT!D573</f>
        <v>5.4089999999999998</v>
      </c>
      <c r="D570" s="5">
        <f>TITRES_STAT!E573</f>
        <v>5.4373282006920416</v>
      </c>
      <c r="E570" s="2">
        <f t="shared" si="32"/>
        <v>-317.61003949458535</v>
      </c>
      <c r="F570" s="5" t="str">
        <f t="shared" si="35"/>
        <v>BEARISH</v>
      </c>
      <c r="G570" s="5" t="str">
        <f t="shared" si="34"/>
        <v>STRONG</v>
      </c>
      <c r="H570" s="5" t="str">
        <f t="shared" si="33"/>
        <v>BEARISH DIVERGENCE</v>
      </c>
    </row>
    <row r="571" spans="1:8" ht="13.5" x14ac:dyDescent="0.25">
      <c r="A571" s="3">
        <f>TITRES_STAT!B574</f>
        <v>45750</v>
      </c>
      <c r="B571" s="5">
        <f>TITRES_STAT!C574</f>
        <v>5.8</v>
      </c>
      <c r="C571" s="5">
        <f>TITRES_STAT!D574</f>
        <v>5.4459999999999997</v>
      </c>
      <c r="D571" s="5">
        <f>TITRES_STAT!E574</f>
        <v>5.4551678200692031</v>
      </c>
      <c r="E571" s="2">
        <f t="shared" si="32"/>
        <v>-312.15487167451613</v>
      </c>
      <c r="F571" s="5" t="str">
        <f t="shared" si="35"/>
        <v>BULLISH</v>
      </c>
      <c r="G571" s="5" t="str">
        <f t="shared" si="34"/>
        <v>NEUTRAL</v>
      </c>
      <c r="H571" s="5" t="str">
        <f t="shared" si="33"/>
        <v>CONFIRMED BULLISH</v>
      </c>
    </row>
    <row r="572" spans="1:8" ht="13.5" x14ac:dyDescent="0.25">
      <c r="A572" s="3">
        <f>TITRES_STAT!B575</f>
        <v>45751</v>
      </c>
      <c r="B572" s="5">
        <f>TITRES_STAT!C575</f>
        <v>5.78</v>
      </c>
      <c r="C572" s="5">
        <f>TITRES_STAT!D575</f>
        <v>5.4269999999999996</v>
      </c>
      <c r="D572" s="5">
        <f>TITRES_STAT!E575</f>
        <v>5.4241832179930789</v>
      </c>
      <c r="E572" s="2">
        <f t="shared" si="32"/>
        <v>-317.57905489250919</v>
      </c>
      <c r="F572" s="5" t="str">
        <f t="shared" si="35"/>
        <v>BEARISH</v>
      </c>
      <c r="G572" s="5" t="str">
        <f t="shared" si="34"/>
        <v>STRONG</v>
      </c>
      <c r="H572" s="5" t="str">
        <f t="shared" si="33"/>
        <v>BEARISH DIVERGENCE</v>
      </c>
    </row>
    <row r="573" spans="1:8" ht="13.5" x14ac:dyDescent="0.25">
      <c r="A573" s="3">
        <f>TITRES_STAT!B576</f>
        <v>45754</v>
      </c>
      <c r="B573" s="5">
        <f>TITRES_STAT!C576</f>
        <v>5.85</v>
      </c>
      <c r="C573" s="5">
        <f>TITRES_STAT!D576</f>
        <v>5.4930000000000003</v>
      </c>
      <c r="D573" s="5">
        <f>TITRES_STAT!E576</f>
        <v>5.4251221453287188</v>
      </c>
      <c r="E573" s="2">
        <f t="shared" si="32"/>
        <v>-312.15393274718048</v>
      </c>
      <c r="F573" s="5" t="str">
        <f t="shared" si="35"/>
        <v>BEARISH</v>
      </c>
      <c r="G573" s="5" t="str">
        <f t="shared" si="34"/>
        <v>NEUTRAL</v>
      </c>
      <c r="H573" s="5" t="str">
        <f t="shared" si="33"/>
        <v>CONFIRMED BEARISH</v>
      </c>
    </row>
    <row r="574" spans="1:8" ht="13.5" x14ac:dyDescent="0.25">
      <c r="A574" s="3">
        <f>TITRES_STAT!B577</f>
        <v>45755</v>
      </c>
      <c r="B574" s="5">
        <f>TITRES_STAT!C577</f>
        <v>5.85</v>
      </c>
      <c r="C574" s="5">
        <f>TITRES_STAT!D577</f>
        <v>5.4930000000000003</v>
      </c>
      <c r="D574" s="5">
        <f>TITRES_STAT!E577</f>
        <v>5.4103193103448275</v>
      </c>
      <c r="E574" s="2">
        <f t="shared" si="32"/>
        <v>-312.15393274718048</v>
      </c>
      <c r="F574" s="5" t="str">
        <f t="shared" si="35"/>
        <v>BULLISH</v>
      </c>
      <c r="G574" s="5" t="str">
        <f t="shared" si="34"/>
        <v>NEUTRAL</v>
      </c>
      <c r="H574" s="5" t="str">
        <f t="shared" si="33"/>
        <v>CONFIRMED BULLISH</v>
      </c>
    </row>
    <row r="575" spans="1:8" ht="13.5" x14ac:dyDescent="0.25">
      <c r="A575" s="3">
        <f>TITRES_STAT!B578</f>
        <v>45757</v>
      </c>
      <c r="B575" s="5">
        <f>TITRES_STAT!C578</f>
        <v>5.75</v>
      </c>
      <c r="C575" s="5">
        <f>TITRES_STAT!D578</f>
        <v>5.399</v>
      </c>
      <c r="D575" s="5">
        <f>TITRES_STAT!E578</f>
        <v>5.4422441379310351</v>
      </c>
      <c r="E575" s="2">
        <f t="shared" si="32"/>
        <v>-317.5961768851115</v>
      </c>
      <c r="F575" s="5" t="str">
        <f t="shared" si="35"/>
        <v>BULLISH</v>
      </c>
      <c r="G575" s="5" t="str">
        <f t="shared" si="34"/>
        <v>NEUTRAL</v>
      </c>
      <c r="H575" s="5" t="str">
        <f t="shared" si="33"/>
        <v>BULLISH DIVERGENCE</v>
      </c>
    </row>
    <row r="576" spans="1:8" ht="13.5" x14ac:dyDescent="0.25">
      <c r="A576" s="3">
        <f>TITRES_STAT!B579</f>
        <v>45758</v>
      </c>
      <c r="B576" s="5">
        <f>TITRES_STAT!C579</f>
        <v>5.78</v>
      </c>
      <c r="C576" s="5">
        <f>TITRES_STAT!D579</f>
        <v>5.4269999999999996</v>
      </c>
      <c r="D576" s="5">
        <f>TITRES_STAT!E579</f>
        <v>5.4695256410256423</v>
      </c>
      <c r="E576" s="2">
        <f t="shared" si="32"/>
        <v>-312.12665124408585</v>
      </c>
      <c r="F576" s="5" t="str">
        <f t="shared" si="35"/>
        <v>BULLISH</v>
      </c>
      <c r="G576" s="5" t="str">
        <f t="shared" si="34"/>
        <v>NEUTRAL</v>
      </c>
      <c r="H576" s="5" t="str">
        <f t="shared" si="33"/>
        <v>BULLISH DIVERGENCE</v>
      </c>
    </row>
    <row r="577" spans="1:8" ht="13.5" x14ac:dyDescent="0.25">
      <c r="A577" s="3">
        <f>TITRES_STAT!B580</f>
        <v>45761</v>
      </c>
      <c r="B577" s="5">
        <f>TITRES_STAT!C580</f>
        <v>5.78</v>
      </c>
      <c r="C577" s="5">
        <f>TITRES_STAT!D580</f>
        <v>5.4269999999999996</v>
      </c>
      <c r="D577" s="5">
        <f>TITRES_STAT!E580</f>
        <v>5.5419780000000003</v>
      </c>
      <c r="E577" s="2">
        <f t="shared" si="32"/>
        <v>-312.12665124408585</v>
      </c>
      <c r="F577" s="5" t="str">
        <f t="shared" si="35"/>
        <v>BULLISH</v>
      </c>
      <c r="G577" s="5" t="str">
        <f t="shared" si="34"/>
        <v>NEUTRAL</v>
      </c>
      <c r="H577" s="5" t="str">
        <f t="shared" si="33"/>
        <v>NEUTRAL</v>
      </c>
    </row>
    <row r="578" spans="1:8" ht="13.5" x14ac:dyDescent="0.25">
      <c r="A578" s="3">
        <f>TITRES_STAT!B581</f>
        <v>45762</v>
      </c>
      <c r="B578" s="5">
        <f>TITRES_STAT!C581</f>
        <v>5.78</v>
      </c>
      <c r="C578" s="5">
        <f>TITRES_STAT!D581</f>
        <v>5.4269999999999996</v>
      </c>
      <c r="D578" s="5">
        <f>TITRES_STAT!E581</f>
        <v>5.566361178509533</v>
      </c>
      <c r="E578" s="2">
        <f t="shared" si="32"/>
        <v>-312.12665124408585</v>
      </c>
      <c r="F578" s="5" t="str">
        <f t="shared" si="35"/>
        <v>BULLISH</v>
      </c>
      <c r="G578" s="5" t="str">
        <f t="shared" si="34"/>
        <v>NEUTRAL</v>
      </c>
      <c r="H578" s="5" t="str">
        <f t="shared" si="33"/>
        <v>BULLISH DIVERGENCE</v>
      </c>
    </row>
    <row r="579" spans="1:8" ht="13.5" x14ac:dyDescent="0.25">
      <c r="A579" s="3">
        <f>TITRES_STAT!B582</f>
        <v>45763</v>
      </c>
      <c r="B579" s="5">
        <f>TITRES_STAT!C582</f>
        <v>5.78</v>
      </c>
      <c r="C579" s="5">
        <f>TITRES_STAT!D582</f>
        <v>5.4269999999999996</v>
      </c>
      <c r="D579" s="5">
        <f>TITRES_STAT!E582</f>
        <v>5.4090150250417359</v>
      </c>
      <c r="E579" s="2">
        <f t="shared" si="32"/>
        <v>-312.12665124408585</v>
      </c>
      <c r="F579" s="5" t="str">
        <f t="shared" si="35"/>
        <v>BULLISH</v>
      </c>
      <c r="G579" s="5" t="str">
        <f t="shared" si="34"/>
        <v>NEUTRAL</v>
      </c>
      <c r="H579" s="5" t="str">
        <f t="shared" si="33"/>
        <v>BULLISH DIVERGENCE</v>
      </c>
    </row>
    <row r="580" spans="1:8" ht="13.5" x14ac:dyDescent="0.25">
      <c r="A580" s="3">
        <f>TITRES_STAT!B583</f>
        <v>45764</v>
      </c>
      <c r="B580" s="5">
        <f>TITRES_STAT!C583</f>
        <v>5.8</v>
      </c>
      <c r="C580" s="5">
        <f>TITRES_STAT!D583</f>
        <v>5.4459999999999997</v>
      </c>
      <c r="D580" s="5">
        <f>TITRES_STAT!E583</f>
        <v>5.6125241554054064</v>
      </c>
      <c r="E580" s="2">
        <f t="shared" ref="E580:E643" si="36">IF(B580&gt;B579, E579+D580, IF(B580&lt;B579, E579-D580, E579))</f>
        <v>-306.51412708868043</v>
      </c>
      <c r="F580" s="5" t="str">
        <f t="shared" si="35"/>
        <v>BULLISH</v>
      </c>
      <c r="G580" s="5" t="str">
        <f t="shared" si="34"/>
        <v>WEAK</v>
      </c>
      <c r="H580" s="5" t="str">
        <f t="shared" si="33"/>
        <v>CONFIRMED BULLISH</v>
      </c>
    </row>
    <row r="581" spans="1:8" ht="13.5" x14ac:dyDescent="0.25">
      <c r="A581" s="3">
        <f>TITRES_STAT!B584</f>
        <v>45765</v>
      </c>
      <c r="B581" s="5">
        <f>TITRES_STAT!C584</f>
        <v>5.8</v>
      </c>
      <c r="C581" s="5">
        <f>TITRES_STAT!D584</f>
        <v>5.4459999999999997</v>
      </c>
      <c r="D581" s="5">
        <f>TITRES_STAT!E584</f>
        <v>5.4516337931034489</v>
      </c>
      <c r="E581" s="2">
        <f t="shared" si="36"/>
        <v>-306.51412708868043</v>
      </c>
      <c r="F581" s="5" t="str">
        <f t="shared" si="35"/>
        <v>BULLISH</v>
      </c>
      <c r="G581" s="5" t="str">
        <f t="shared" si="34"/>
        <v>NEUTRAL</v>
      </c>
      <c r="H581" s="5" t="str">
        <f t="shared" si="33"/>
        <v>CONFIRMED BULLISH</v>
      </c>
    </row>
    <row r="582" spans="1:8" ht="13.5" x14ac:dyDescent="0.25">
      <c r="A582" s="3">
        <f>TITRES_STAT!B585</f>
        <v>45768</v>
      </c>
      <c r="B582" s="5">
        <f>TITRES_STAT!C585</f>
        <v>5.85</v>
      </c>
      <c r="C582" s="5">
        <f>TITRES_STAT!D585</f>
        <v>5.4930000000000003</v>
      </c>
      <c r="D582" s="5">
        <f>TITRES_STAT!E585</f>
        <v>5.4459999999999997</v>
      </c>
      <c r="E582" s="2">
        <f t="shared" si="36"/>
        <v>-301.0681270886804</v>
      </c>
      <c r="F582" s="5" t="str">
        <f t="shared" si="35"/>
        <v>BULLISH</v>
      </c>
      <c r="G582" s="5" t="str">
        <f t="shared" si="34"/>
        <v>WEAK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3">
        <f>TITRES_STAT!B586</f>
        <v>45769</v>
      </c>
      <c r="B583" s="5">
        <f>TITRES_STAT!C586</f>
        <v>6</v>
      </c>
      <c r="C583" s="5">
        <f>TITRES_STAT!D586</f>
        <v>5.6340000000000003</v>
      </c>
      <c r="D583" s="5">
        <f>TITRES_STAT!E586</f>
        <v>5.6217930000000003</v>
      </c>
      <c r="E583" s="2">
        <f t="shared" si="36"/>
        <v>-295.44633408868037</v>
      </c>
      <c r="F583" s="5" t="str">
        <f t="shared" si="35"/>
        <v>BULLISH</v>
      </c>
      <c r="G583" s="5" t="str">
        <f t="shared" ref="G583:G646" si="38">IF((E583-E578)/E578 &gt; 0.02, "STRONG",
 IF((E583-E578)/E578 &lt; -0.02, "WEAK", "NEUTRAL"))</f>
        <v>WEAK</v>
      </c>
      <c r="H583" s="5" t="str">
        <f t="shared" si="37"/>
        <v>CONFIRMED BULLISH</v>
      </c>
    </row>
    <row r="584" spans="1:8" ht="13.5" x14ac:dyDescent="0.25">
      <c r="A584" s="3">
        <f>TITRES_STAT!B587</f>
        <v>45770</v>
      </c>
      <c r="B584" s="5">
        <f>TITRES_STAT!C587</f>
        <v>5.77</v>
      </c>
      <c r="C584" s="5">
        <f>TITRES_STAT!D587</f>
        <v>5.4180000000000001</v>
      </c>
      <c r="D584" s="5">
        <f>TITRES_STAT!E587</f>
        <v>5.6340000000000003</v>
      </c>
      <c r="E584" s="2">
        <f t="shared" si="36"/>
        <v>-301.08033408868039</v>
      </c>
      <c r="F584" s="5" t="str">
        <f t="shared" ref="F584:F647" si="39">IF(E584&gt;E579,"BULLISH",IF(E584&lt;E579,"BEARISH","NEUTRAL"))</f>
        <v>BULLISH</v>
      </c>
      <c r="G584" s="5" t="str">
        <f t="shared" si="38"/>
        <v>WEAK</v>
      </c>
      <c r="H584" s="5" t="str">
        <f t="shared" si="37"/>
        <v>BULLISH DIVERGENCE</v>
      </c>
    </row>
    <row r="585" spans="1:8" ht="13.5" x14ac:dyDescent="0.25">
      <c r="A585" s="3">
        <f>TITRES_STAT!B588</f>
        <v>45771</v>
      </c>
      <c r="B585" s="5">
        <f>TITRES_STAT!C588</f>
        <v>5.99</v>
      </c>
      <c r="C585" s="5">
        <f>TITRES_STAT!D588</f>
        <v>5.625</v>
      </c>
      <c r="D585" s="5">
        <f>TITRES_STAT!E588</f>
        <v>5.6293050000000004</v>
      </c>
      <c r="E585" s="2">
        <f t="shared" si="36"/>
        <v>-295.4510290886804</v>
      </c>
      <c r="F585" s="5" t="str">
        <f t="shared" si="39"/>
        <v>BULLISH</v>
      </c>
      <c r="G585" s="5" t="str">
        <f t="shared" si="38"/>
        <v>WEAK</v>
      </c>
      <c r="H585" s="5" t="str">
        <f t="shared" si="37"/>
        <v>CONFIRMED BULLISH</v>
      </c>
    </row>
    <row r="586" spans="1:8" ht="13.5" x14ac:dyDescent="0.25">
      <c r="A586" s="3">
        <f>TITRES_STAT!B589</f>
        <v>45772</v>
      </c>
      <c r="B586" s="5">
        <f>TITRES_STAT!C589</f>
        <v>5.92</v>
      </c>
      <c r="C586" s="5">
        <f>TITRES_STAT!D589</f>
        <v>5.5590000000000002</v>
      </c>
      <c r="D586" s="5">
        <f>TITRES_STAT!E589</f>
        <v>5.6302440000000011</v>
      </c>
      <c r="E586" s="2">
        <f t="shared" si="36"/>
        <v>-301.0812730886804</v>
      </c>
      <c r="F586" s="5" t="str">
        <f t="shared" si="39"/>
        <v>BULLISH</v>
      </c>
      <c r="G586" s="5" t="str">
        <f t="shared" si="38"/>
        <v>NEUTRAL</v>
      </c>
      <c r="H586" s="5" t="str">
        <f t="shared" si="37"/>
        <v>CONFIRMED BULLISH</v>
      </c>
    </row>
    <row r="587" spans="1:8" ht="13.5" x14ac:dyDescent="0.25">
      <c r="A587" s="3">
        <f>TITRES_STAT!B590</f>
        <v>45775</v>
      </c>
      <c r="B587" s="5">
        <f>TITRES_STAT!C590</f>
        <v>5.8</v>
      </c>
      <c r="C587" s="5">
        <f>TITRES_STAT!D590</f>
        <v>5.4459999999999997</v>
      </c>
      <c r="D587" s="5">
        <f>TITRES_STAT!E590</f>
        <v>5.611138775510204</v>
      </c>
      <c r="E587" s="2">
        <f t="shared" si="36"/>
        <v>-306.6924118641906</v>
      </c>
      <c r="F587" s="5" t="str">
        <f t="shared" si="39"/>
        <v>BEARISH</v>
      </c>
      <c r="G587" s="5" t="str">
        <f t="shared" si="38"/>
        <v>NEUTRAL</v>
      </c>
      <c r="H587" s="5" t="str">
        <f t="shared" si="37"/>
        <v>CONFIRMED BEARISH</v>
      </c>
    </row>
    <row r="588" spans="1:8" ht="13.5" x14ac:dyDescent="0.25">
      <c r="A588" s="3">
        <f>TITRES_STAT!B591</f>
        <v>45776</v>
      </c>
      <c r="B588" s="5">
        <f>TITRES_STAT!C591</f>
        <v>5.8</v>
      </c>
      <c r="C588" s="5">
        <f>TITRES_STAT!D591</f>
        <v>5.4459999999999997</v>
      </c>
      <c r="D588" s="5">
        <f>TITRES_STAT!E591</f>
        <v>5.5209999999999999</v>
      </c>
      <c r="E588" s="2">
        <f t="shared" si="36"/>
        <v>-306.6924118641906</v>
      </c>
      <c r="F588" s="5" t="str">
        <f t="shared" si="39"/>
        <v>BEARISH</v>
      </c>
      <c r="G588" s="5" t="str">
        <f t="shared" si="38"/>
        <v>STRONG</v>
      </c>
      <c r="H588" s="5" t="str">
        <f t="shared" si="37"/>
        <v>CONFIRMED BEARISH</v>
      </c>
    </row>
    <row r="589" spans="1:8" ht="13.5" x14ac:dyDescent="0.25">
      <c r="A589" s="3">
        <f>TITRES_STAT!B592</f>
        <v>45777</v>
      </c>
      <c r="B589" s="5">
        <f>TITRES_STAT!C592</f>
        <v>6</v>
      </c>
      <c r="C589" s="5">
        <f>TITRES_STAT!D592</f>
        <v>5.6340000000000003</v>
      </c>
      <c r="D589" s="5">
        <f>TITRES_STAT!E592</f>
        <v>5.4470406779661014</v>
      </c>
      <c r="E589" s="2">
        <f t="shared" si="36"/>
        <v>-301.24537118622447</v>
      </c>
      <c r="F589" s="5" t="str">
        <f t="shared" si="39"/>
        <v>BEARISH</v>
      </c>
      <c r="G589" s="5" t="str">
        <f t="shared" si="38"/>
        <v>NEUTRAL</v>
      </c>
      <c r="H589" s="5" t="str">
        <f t="shared" si="37"/>
        <v>BEARISH DIVERGENCE</v>
      </c>
    </row>
    <row r="590" spans="1:8" ht="13.5" x14ac:dyDescent="0.25">
      <c r="A590" s="3">
        <f>TITRES_STAT!B593</f>
        <v>45779</v>
      </c>
      <c r="B590" s="5">
        <f>TITRES_STAT!C593</f>
        <v>6</v>
      </c>
      <c r="C590" s="5">
        <f>TITRES_STAT!D593</f>
        <v>5.6340000000000003</v>
      </c>
      <c r="D590" s="5">
        <f>TITRES_STAT!E593</f>
        <v>5.5404841402337235</v>
      </c>
      <c r="E590" s="2">
        <f t="shared" si="36"/>
        <v>-301.24537118622447</v>
      </c>
      <c r="F590" s="5" t="str">
        <f t="shared" si="39"/>
        <v>BEARISH</v>
      </c>
      <c r="G590" s="5" t="str">
        <f t="shared" si="38"/>
        <v>NEUTRAL</v>
      </c>
      <c r="H590" s="5" t="str">
        <f t="shared" si="37"/>
        <v>BEARISH DIVERGENCE</v>
      </c>
    </row>
    <row r="591" spans="1:8" ht="13.5" x14ac:dyDescent="0.25">
      <c r="A591" s="3">
        <f>TITRES_STAT!B594</f>
        <v>45782</v>
      </c>
      <c r="B591" s="5">
        <f>TITRES_STAT!C594</f>
        <v>6</v>
      </c>
      <c r="C591" s="5">
        <f>TITRES_STAT!D594</f>
        <v>5.6340000000000003</v>
      </c>
      <c r="D591" s="5">
        <f>TITRES_STAT!E594</f>
        <v>5.625</v>
      </c>
      <c r="E591" s="2">
        <f t="shared" si="36"/>
        <v>-301.24537118622447</v>
      </c>
      <c r="F591" s="5" t="str">
        <f t="shared" si="39"/>
        <v>BEARISH</v>
      </c>
      <c r="G591" s="5" t="str">
        <f t="shared" si="38"/>
        <v>NEUTRAL</v>
      </c>
      <c r="H591" s="5" t="str">
        <f t="shared" si="37"/>
        <v>BEARISH DIVERGENCE</v>
      </c>
    </row>
    <row r="592" spans="1:8" ht="13.5" x14ac:dyDescent="0.25">
      <c r="A592" s="3">
        <f>TITRES_STAT!B595</f>
        <v>45783</v>
      </c>
      <c r="B592" s="5">
        <f>TITRES_STAT!C595</f>
        <v>6</v>
      </c>
      <c r="C592" s="5">
        <f>TITRES_STAT!D595</f>
        <v>5.6340000000000003</v>
      </c>
      <c r="D592" s="5">
        <f>TITRES_STAT!E595</f>
        <v>5.625</v>
      </c>
      <c r="E592" s="2">
        <f t="shared" si="36"/>
        <v>-301.24537118622447</v>
      </c>
      <c r="F592" s="5" t="str">
        <f t="shared" si="39"/>
        <v>BULLISH</v>
      </c>
      <c r="G592" s="5" t="str">
        <f t="shared" si="38"/>
        <v>NEUTRAL</v>
      </c>
      <c r="H592" s="5" t="str">
        <f t="shared" si="37"/>
        <v>CONFIRMED BULLISH</v>
      </c>
    </row>
    <row r="593" spans="1:8" ht="13.5" x14ac:dyDescent="0.25">
      <c r="A593" s="3">
        <f>TITRES_STAT!B596</f>
        <v>45784</v>
      </c>
      <c r="B593" s="5">
        <f>TITRES_STAT!C596</f>
        <v>5.88</v>
      </c>
      <c r="C593" s="5">
        <f>TITRES_STAT!D596</f>
        <v>5.5209999999999999</v>
      </c>
      <c r="D593" s="5">
        <f>TITRES_STAT!E596</f>
        <v>5.5014507692307699</v>
      </c>
      <c r="E593" s="2">
        <f t="shared" si="36"/>
        <v>-306.74682195545523</v>
      </c>
      <c r="F593" s="5" t="str">
        <f t="shared" si="39"/>
        <v>BEARISH</v>
      </c>
      <c r="G593" s="5" t="str">
        <f t="shared" si="38"/>
        <v>NEUTRAL</v>
      </c>
      <c r="H593" s="5" t="str">
        <f t="shared" si="37"/>
        <v>BEARISH DIVERGENCE</v>
      </c>
    </row>
    <row r="594" spans="1:8" ht="13.5" x14ac:dyDescent="0.25">
      <c r="A594" s="3">
        <f>TITRES_STAT!B597</f>
        <v>45785</v>
      </c>
      <c r="B594" s="5">
        <f>TITRES_STAT!C597</f>
        <v>5.88</v>
      </c>
      <c r="C594" s="5">
        <f>TITRES_STAT!D597</f>
        <v>5.5209999999999999</v>
      </c>
      <c r="D594" s="5">
        <f>TITRES_STAT!E597</f>
        <v>5.4894140893470782</v>
      </c>
      <c r="E594" s="2">
        <f t="shared" si="36"/>
        <v>-306.74682195545523</v>
      </c>
      <c r="F594" s="5" t="str">
        <f t="shared" si="39"/>
        <v>BEARISH</v>
      </c>
      <c r="G594" s="5" t="str">
        <f t="shared" si="38"/>
        <v>NEUTRAL</v>
      </c>
      <c r="H594" s="5" t="str">
        <f t="shared" si="37"/>
        <v>CONFIRMED BEARISH</v>
      </c>
    </row>
    <row r="595" spans="1:8" ht="13.5" x14ac:dyDescent="0.25">
      <c r="A595" s="3">
        <f>TITRES_STAT!B598</f>
        <v>45786</v>
      </c>
      <c r="B595" s="5">
        <f>TITRES_STAT!C598</f>
        <v>5.9</v>
      </c>
      <c r="C595" s="5">
        <f>TITRES_STAT!D598</f>
        <v>5.54</v>
      </c>
      <c r="D595" s="5">
        <f>TITRES_STAT!E598</f>
        <v>5.5960000000000001</v>
      </c>
      <c r="E595" s="2">
        <f t="shared" si="36"/>
        <v>-301.15082195545523</v>
      </c>
      <c r="F595" s="5" t="str">
        <f t="shared" si="39"/>
        <v>BULLISH</v>
      </c>
      <c r="G595" s="5" t="str">
        <f t="shared" si="38"/>
        <v>NEUTRAL</v>
      </c>
      <c r="H595" s="5" t="str">
        <f t="shared" si="37"/>
        <v>BULLISH DIVERGENCE</v>
      </c>
    </row>
    <row r="596" spans="1:8" ht="13.5" x14ac:dyDescent="0.25">
      <c r="A596" s="3">
        <f>TITRES_STAT!B599</f>
        <v>45789</v>
      </c>
      <c r="B596" s="5">
        <f>TITRES_STAT!C599</f>
        <v>5.99</v>
      </c>
      <c r="C596" s="5">
        <f>TITRES_STAT!D599</f>
        <v>5.625</v>
      </c>
      <c r="D596" s="5">
        <f>TITRES_STAT!E599</f>
        <v>5.4656539629005056</v>
      </c>
      <c r="E596" s="2">
        <f t="shared" si="36"/>
        <v>-295.68516799255474</v>
      </c>
      <c r="F596" s="5" t="str">
        <f t="shared" si="39"/>
        <v>BULLISH</v>
      </c>
      <c r="G596" s="5" t="str">
        <f t="shared" si="38"/>
        <v>NEUTRAL</v>
      </c>
      <c r="H596" s="5" t="str">
        <f t="shared" si="37"/>
        <v>BULLISH DIVERGENCE</v>
      </c>
    </row>
    <row r="597" spans="1:8" ht="13.5" x14ac:dyDescent="0.25">
      <c r="A597" s="3">
        <f>TITRES_STAT!B600</f>
        <v>45790</v>
      </c>
      <c r="B597" s="5">
        <f>TITRES_STAT!C600</f>
        <v>5.99</v>
      </c>
      <c r="C597" s="5">
        <f>TITRES_STAT!D600</f>
        <v>5.625</v>
      </c>
      <c r="D597" s="5">
        <f>TITRES_STAT!E600</f>
        <v>5.5679999999999996</v>
      </c>
      <c r="E597" s="2">
        <f t="shared" si="36"/>
        <v>-295.68516799255474</v>
      </c>
      <c r="F597" s="5" t="str">
        <f t="shared" si="39"/>
        <v>BULLISH</v>
      </c>
      <c r="G597" s="5" t="str">
        <f t="shared" si="38"/>
        <v>NEUTRAL</v>
      </c>
      <c r="H597" s="5" t="str">
        <f t="shared" si="37"/>
        <v>BULLISH DIVERGENCE</v>
      </c>
    </row>
    <row r="598" spans="1:8" ht="13.5" x14ac:dyDescent="0.25">
      <c r="A598" s="3">
        <f>TITRES_STAT!B601</f>
        <v>45791</v>
      </c>
      <c r="B598" s="5">
        <f>TITRES_STAT!C601</f>
        <v>5.99</v>
      </c>
      <c r="C598" s="5">
        <f>TITRES_STAT!D601</f>
        <v>5.625</v>
      </c>
      <c r="D598" s="5">
        <f>TITRES_STAT!E601</f>
        <v>5.5198392491467567</v>
      </c>
      <c r="E598" s="2">
        <f t="shared" si="36"/>
        <v>-295.68516799255474</v>
      </c>
      <c r="F598" s="5" t="str">
        <f t="shared" si="39"/>
        <v>BULLISH</v>
      </c>
      <c r="G598" s="5" t="str">
        <f t="shared" si="38"/>
        <v>WEAK</v>
      </c>
      <c r="H598" s="5" t="str">
        <f t="shared" si="37"/>
        <v>CONFIRMED BULLISH</v>
      </c>
    </row>
    <row r="599" spans="1:8" ht="13.5" x14ac:dyDescent="0.25">
      <c r="A599" s="3">
        <f>TITRES_STAT!B602</f>
        <v>45792</v>
      </c>
      <c r="B599" s="5">
        <f>TITRES_STAT!C602</f>
        <v>5.85</v>
      </c>
      <c r="C599" s="5">
        <f>TITRES_STAT!D602</f>
        <v>5.4930000000000003</v>
      </c>
      <c r="D599" s="5">
        <f>TITRES_STAT!E602</f>
        <v>5.4743210084033613</v>
      </c>
      <c r="E599" s="2">
        <f t="shared" si="36"/>
        <v>-301.1594890009581</v>
      </c>
      <c r="F599" s="5" t="str">
        <f t="shared" si="39"/>
        <v>BULLISH</v>
      </c>
      <c r="G599" s="5" t="str">
        <f t="shared" si="38"/>
        <v>NEUTRAL</v>
      </c>
      <c r="H599" s="5" t="str">
        <f t="shared" si="37"/>
        <v>BULLISH DIVERGENCE</v>
      </c>
    </row>
    <row r="600" spans="1:8" ht="13.5" x14ac:dyDescent="0.25">
      <c r="A600" s="3">
        <f>TITRES_STAT!B603</f>
        <v>45793</v>
      </c>
      <c r="B600" s="5">
        <f>TITRES_STAT!C603</f>
        <v>5.82</v>
      </c>
      <c r="C600" s="5">
        <f>TITRES_STAT!D603</f>
        <v>5.4649999999999999</v>
      </c>
      <c r="D600" s="5">
        <f>TITRES_STAT!E603</f>
        <v>5.5869999999999997</v>
      </c>
      <c r="E600" s="2">
        <f t="shared" si="36"/>
        <v>-306.74648900095809</v>
      </c>
      <c r="F600" s="5" t="str">
        <f t="shared" si="39"/>
        <v>BEARISH</v>
      </c>
      <c r="G600" s="5" t="str">
        <f t="shared" si="38"/>
        <v>NEUTRAL</v>
      </c>
      <c r="H600" s="5" t="str">
        <f t="shared" si="37"/>
        <v>CONFIRMED BEARISH</v>
      </c>
    </row>
    <row r="601" spans="1:8" ht="13.5" x14ac:dyDescent="0.25">
      <c r="A601" s="3">
        <f>TITRES_STAT!B604</f>
        <v>45796</v>
      </c>
      <c r="B601" s="5">
        <f>TITRES_STAT!C604</f>
        <v>5.96</v>
      </c>
      <c r="C601" s="5">
        <f>TITRES_STAT!D604</f>
        <v>5.5960000000000001</v>
      </c>
      <c r="D601" s="5">
        <f>TITRES_STAT!E604</f>
        <v>5.6353297161936569</v>
      </c>
      <c r="E601" s="2">
        <f t="shared" si="36"/>
        <v>-301.11115928476443</v>
      </c>
      <c r="F601" s="5" t="str">
        <f t="shared" si="39"/>
        <v>BEARISH</v>
      </c>
      <c r="G601" s="5" t="str">
        <f t="shared" si="38"/>
        <v>NEUTRAL</v>
      </c>
      <c r="H601" s="5" t="str">
        <f t="shared" si="37"/>
        <v>CONFIRMED BEARISH</v>
      </c>
    </row>
    <row r="602" spans="1:8" ht="13.5" x14ac:dyDescent="0.25">
      <c r="A602" s="3">
        <f>TITRES_STAT!B605</f>
        <v>45797</v>
      </c>
      <c r="B602" s="5">
        <f>TITRES_STAT!C605</f>
        <v>5.93</v>
      </c>
      <c r="C602" s="5">
        <f>TITRES_STAT!D605</f>
        <v>5.5679999999999996</v>
      </c>
      <c r="D602" s="5">
        <f>TITRES_STAT!E605</f>
        <v>5.634939000000001</v>
      </c>
      <c r="E602" s="2">
        <f t="shared" si="36"/>
        <v>-306.7460982847644</v>
      </c>
      <c r="F602" s="5" t="str">
        <f t="shared" si="39"/>
        <v>BEARISH</v>
      </c>
      <c r="G602" s="5" t="str">
        <f t="shared" si="38"/>
        <v>STRONG</v>
      </c>
      <c r="H602" s="5" t="str">
        <f t="shared" si="37"/>
        <v>CONFIRMED BEARISH</v>
      </c>
    </row>
    <row r="603" spans="1:8" ht="13.5" x14ac:dyDescent="0.25">
      <c r="A603" s="3">
        <f>TITRES_STAT!B606</f>
        <v>45798</v>
      </c>
      <c r="B603" s="5">
        <f>TITRES_STAT!C606</f>
        <v>5.93</v>
      </c>
      <c r="C603" s="5">
        <f>TITRES_STAT!D606</f>
        <v>5.5679999999999996</v>
      </c>
      <c r="D603" s="5">
        <f>TITRES_STAT!E606</f>
        <v>5.6330609999999997</v>
      </c>
      <c r="E603" s="2">
        <f t="shared" si="36"/>
        <v>-306.7460982847644</v>
      </c>
      <c r="F603" s="5" t="str">
        <f t="shared" si="39"/>
        <v>BEARISH</v>
      </c>
      <c r="G603" s="5" t="str">
        <f t="shared" si="38"/>
        <v>STRONG</v>
      </c>
      <c r="H603" s="5" t="str">
        <f t="shared" si="37"/>
        <v>CONFIRMED BEARISH</v>
      </c>
    </row>
    <row r="604" spans="1:8" ht="13.5" x14ac:dyDescent="0.25">
      <c r="A604" s="3">
        <f>TITRES_STAT!B607</f>
        <v>45799</v>
      </c>
      <c r="B604" s="5">
        <f>TITRES_STAT!C607</f>
        <v>5.86</v>
      </c>
      <c r="C604" s="5">
        <f>TITRES_STAT!D607</f>
        <v>5.5019999999999998</v>
      </c>
      <c r="D604" s="5">
        <f>TITRES_STAT!E607</f>
        <v>5.536727879799666</v>
      </c>
      <c r="E604" s="2">
        <f t="shared" si="36"/>
        <v>-312.28282616456409</v>
      </c>
      <c r="F604" s="5" t="str">
        <f t="shared" si="39"/>
        <v>BEARISH</v>
      </c>
      <c r="G604" s="5" t="str">
        <f t="shared" si="38"/>
        <v>STRONG</v>
      </c>
      <c r="H604" s="5" t="str">
        <f t="shared" si="37"/>
        <v>BEARISH DIVERGENCE</v>
      </c>
    </row>
    <row r="605" spans="1:8" ht="13.5" x14ac:dyDescent="0.25">
      <c r="A605" s="3">
        <f>TITRES_STAT!B608</f>
        <v>45800</v>
      </c>
      <c r="B605" s="5">
        <f>TITRES_STAT!C608</f>
        <v>5.95</v>
      </c>
      <c r="C605" s="5">
        <f>TITRES_STAT!D608</f>
        <v>5.5869999999999997</v>
      </c>
      <c r="D605" s="5">
        <f>TITRES_STAT!E608</f>
        <v>5.5868311036789295</v>
      </c>
      <c r="E605" s="2">
        <f t="shared" si="36"/>
        <v>-306.69599506088514</v>
      </c>
      <c r="F605" s="5" t="str">
        <f t="shared" si="39"/>
        <v>BULLISH</v>
      </c>
      <c r="G605" s="5" t="str">
        <f t="shared" si="38"/>
        <v>NEUTRAL</v>
      </c>
      <c r="H605" s="5" t="str">
        <f t="shared" si="37"/>
        <v>CONFIRMED BULLISH</v>
      </c>
    </row>
    <row r="606" spans="1:8" ht="13.5" x14ac:dyDescent="0.25">
      <c r="A606" s="3">
        <f>TITRES_STAT!B609</f>
        <v>45803</v>
      </c>
      <c r="B606" s="5">
        <f>TITRES_STAT!C609</f>
        <v>5.95</v>
      </c>
      <c r="C606" s="5">
        <f>TITRES_STAT!D609</f>
        <v>5.5869999999999997</v>
      </c>
      <c r="D606" s="5">
        <f>TITRES_STAT!E609</f>
        <v>0</v>
      </c>
      <c r="E606" s="2">
        <f t="shared" si="36"/>
        <v>-306.69599506088514</v>
      </c>
      <c r="F606" s="5" t="str">
        <f t="shared" si="39"/>
        <v>BEARISH</v>
      </c>
      <c r="G606" s="5" t="str">
        <f t="shared" si="38"/>
        <v>NEUTRAL</v>
      </c>
      <c r="H606" s="5" t="str">
        <f t="shared" si="37"/>
        <v>CONFIRMED BEARISH</v>
      </c>
    </row>
    <row r="607" spans="1:8" ht="13.5" x14ac:dyDescent="0.25">
      <c r="A607" s="3">
        <f>TITRES_STAT!B610</f>
        <v>45804</v>
      </c>
      <c r="B607" s="5">
        <f>TITRES_STAT!C610</f>
        <v>5.99</v>
      </c>
      <c r="C607" s="5">
        <f>TITRES_STAT!D610</f>
        <v>5.625</v>
      </c>
      <c r="D607" s="5">
        <f>TITRES_STAT!E610</f>
        <v>5.5134884353741498</v>
      </c>
      <c r="E607" s="2">
        <f t="shared" si="36"/>
        <v>-301.182506625511</v>
      </c>
      <c r="F607" s="5" t="str">
        <f t="shared" si="39"/>
        <v>BULLISH</v>
      </c>
      <c r="G607" s="5" t="str">
        <f t="shared" si="38"/>
        <v>NEUTRAL</v>
      </c>
      <c r="H607" s="5" t="str">
        <f t="shared" si="37"/>
        <v>CONFIRMED BULLISH</v>
      </c>
    </row>
    <row r="608" spans="1:8" ht="13.5" x14ac:dyDescent="0.25">
      <c r="A608" s="3">
        <f>TITRES_STAT!B611</f>
        <v>45805</v>
      </c>
      <c r="B608" s="5">
        <f>TITRES_STAT!C611</f>
        <v>6</v>
      </c>
      <c r="C608" s="5">
        <f>TITRES_STAT!D611</f>
        <v>5.6340000000000003</v>
      </c>
      <c r="D608" s="5">
        <f>TITRES_STAT!E611</f>
        <v>5.4684190476190473</v>
      </c>
      <c r="E608" s="2">
        <f t="shared" si="36"/>
        <v>-295.71408757789197</v>
      </c>
      <c r="F608" s="5" t="str">
        <f t="shared" si="39"/>
        <v>BULLISH</v>
      </c>
      <c r="G608" s="5" t="str">
        <f t="shared" si="38"/>
        <v>WEAK</v>
      </c>
      <c r="H608" s="5" t="str">
        <f t="shared" si="37"/>
        <v>CONFIRMED BULLISH</v>
      </c>
    </row>
    <row r="609" spans="1:8" ht="13.5" x14ac:dyDescent="0.25">
      <c r="A609" s="3">
        <f>TITRES_STAT!B612</f>
        <v>45806</v>
      </c>
      <c r="B609" s="5">
        <f>TITRES_STAT!C612</f>
        <v>6</v>
      </c>
      <c r="C609" s="5">
        <f>TITRES_STAT!D612</f>
        <v>5.6340000000000003</v>
      </c>
      <c r="D609" s="5">
        <f>TITRES_STAT!E612</f>
        <v>5.5332586846543004</v>
      </c>
      <c r="E609" s="2">
        <f t="shared" si="36"/>
        <v>-295.71408757789197</v>
      </c>
      <c r="F609" s="5" t="str">
        <f t="shared" si="39"/>
        <v>BULLISH</v>
      </c>
      <c r="G609" s="5" t="str">
        <f t="shared" si="38"/>
        <v>WEAK</v>
      </c>
      <c r="H609" s="5" t="str">
        <f t="shared" si="37"/>
        <v>CONFIRMED BULLISH</v>
      </c>
    </row>
    <row r="610" spans="1:8" ht="13.5" x14ac:dyDescent="0.25">
      <c r="A610" s="3">
        <f>TITRES_STAT!B613</f>
        <v>45807</v>
      </c>
      <c r="B610" s="5">
        <f>TITRES_STAT!C613</f>
        <v>5.99</v>
      </c>
      <c r="C610" s="5">
        <f>TITRES_STAT!D613</f>
        <v>5.625</v>
      </c>
      <c r="D610" s="5">
        <f>TITRES_STAT!E613</f>
        <v>5.6150000000000002</v>
      </c>
      <c r="E610" s="2">
        <f t="shared" si="36"/>
        <v>-301.32908757789198</v>
      </c>
      <c r="F610" s="5" t="str">
        <f t="shared" si="39"/>
        <v>BULLISH</v>
      </c>
      <c r="G610" s="5" t="str">
        <f t="shared" si="38"/>
        <v>NEUTRAL</v>
      </c>
      <c r="H610" s="5" t="str">
        <f t="shared" si="37"/>
        <v>CONFIRMED BULLISH</v>
      </c>
    </row>
    <row r="611" spans="1:8" ht="13.5" x14ac:dyDescent="0.25">
      <c r="A611" s="3">
        <f>TITRES_STAT!B614</f>
        <v>45810</v>
      </c>
      <c r="B611" s="5">
        <f>TITRES_STAT!C614</f>
        <v>5.98</v>
      </c>
      <c r="C611" s="5">
        <f>TITRES_STAT!D614</f>
        <v>5.6150000000000002</v>
      </c>
      <c r="D611" s="5">
        <f>TITRES_STAT!E614</f>
        <v>5.6337792642140467</v>
      </c>
      <c r="E611" s="2">
        <f t="shared" si="36"/>
        <v>-306.96286684210605</v>
      </c>
      <c r="F611" s="5" t="str">
        <f t="shared" si="39"/>
        <v>BEARISH</v>
      </c>
      <c r="G611" s="5" t="str">
        <f t="shared" si="38"/>
        <v>NEUTRAL</v>
      </c>
      <c r="H611" s="5" t="str">
        <f t="shared" si="37"/>
        <v>BEARISH DIVERGENCE</v>
      </c>
    </row>
    <row r="612" spans="1:8" ht="13.5" x14ac:dyDescent="0.25">
      <c r="A612" s="3">
        <f>TITRES_STAT!B615</f>
        <v>45811</v>
      </c>
      <c r="B612" s="5">
        <f>TITRES_STAT!C615</f>
        <v>5.98</v>
      </c>
      <c r="C612" s="5">
        <f>TITRES_STAT!D615</f>
        <v>5.6150000000000002</v>
      </c>
      <c r="D612" s="5">
        <f>TITRES_STAT!E615</f>
        <v>5.5417608695652172</v>
      </c>
      <c r="E612" s="2">
        <f t="shared" si="36"/>
        <v>-306.96286684210605</v>
      </c>
      <c r="F612" s="5" t="str">
        <f t="shared" si="39"/>
        <v>BEARISH</v>
      </c>
      <c r="G612" s="5" t="str">
        <f t="shared" si="38"/>
        <v>NEUTRAL</v>
      </c>
      <c r="H612" s="5" t="str">
        <f t="shared" si="37"/>
        <v>CONFIRMED BEARISH</v>
      </c>
    </row>
    <row r="613" spans="1:8" ht="13.5" x14ac:dyDescent="0.25">
      <c r="A613" s="3">
        <f>TITRES_STAT!B616</f>
        <v>45812</v>
      </c>
      <c r="B613" s="5">
        <f>TITRES_STAT!C616</f>
        <v>5.88</v>
      </c>
      <c r="C613" s="5">
        <f>TITRES_STAT!D616</f>
        <v>5.5209999999999999</v>
      </c>
      <c r="D613" s="5">
        <f>TITRES_STAT!E616</f>
        <v>5.54</v>
      </c>
      <c r="E613" s="2">
        <f t="shared" si="36"/>
        <v>-312.50286684210607</v>
      </c>
      <c r="F613" s="5" t="str">
        <f t="shared" si="39"/>
        <v>BEARISH</v>
      </c>
      <c r="G613" s="5" t="str">
        <f t="shared" si="38"/>
        <v>STRONG</v>
      </c>
      <c r="H613" s="5" t="str">
        <f t="shared" si="37"/>
        <v>CONFIRMED BEARISH</v>
      </c>
    </row>
    <row r="614" spans="1:8" ht="13.5" x14ac:dyDescent="0.25">
      <c r="A614" s="3">
        <f>TITRES_STAT!B617</f>
        <v>45813</v>
      </c>
      <c r="B614" s="5">
        <f>TITRES_STAT!C617</f>
        <v>5.88</v>
      </c>
      <c r="C614" s="5">
        <f>TITRES_STAT!D617</f>
        <v>5.5209999999999999</v>
      </c>
      <c r="D614" s="5">
        <f>TITRES_STAT!E617</f>
        <v>5.54</v>
      </c>
      <c r="E614" s="2">
        <f t="shared" si="36"/>
        <v>-312.50286684210607</v>
      </c>
      <c r="F614" s="5" t="str">
        <f t="shared" si="39"/>
        <v>BEARISH</v>
      </c>
      <c r="G614" s="5" t="str">
        <f t="shared" si="38"/>
        <v>STRONG</v>
      </c>
      <c r="H614" s="5" t="str">
        <f t="shared" si="37"/>
        <v>CONFIRMED BEARISH</v>
      </c>
    </row>
    <row r="615" spans="1:8" ht="13.5" x14ac:dyDescent="0.25">
      <c r="A615" s="3">
        <f>TITRES_STAT!B618</f>
        <v>45817</v>
      </c>
      <c r="B615" s="5">
        <f>TITRES_STAT!C618</f>
        <v>5.93</v>
      </c>
      <c r="C615" s="5">
        <f>TITRES_STAT!D618</f>
        <v>5.5679999999999996</v>
      </c>
      <c r="D615" s="5">
        <f>TITRES_STAT!E618</f>
        <v>5.54</v>
      </c>
      <c r="E615" s="2">
        <f t="shared" si="36"/>
        <v>-306.96286684210605</v>
      </c>
      <c r="F615" s="5" t="str">
        <f t="shared" si="39"/>
        <v>BEARISH</v>
      </c>
      <c r="G615" s="5" t="str">
        <f t="shared" si="38"/>
        <v>NEUTRAL</v>
      </c>
      <c r="H615" s="5" t="str">
        <f t="shared" si="37"/>
        <v>CONFIRMED BEARISH</v>
      </c>
    </row>
    <row r="616" spans="1:8" ht="13.5" x14ac:dyDescent="0.25">
      <c r="A616" s="3">
        <f>TITRES_STAT!B619</f>
        <v>45818</v>
      </c>
      <c r="B616" s="5">
        <f>TITRES_STAT!C619</f>
        <v>5.98</v>
      </c>
      <c r="C616" s="5">
        <f>TITRES_STAT!D619</f>
        <v>5.6150000000000002</v>
      </c>
      <c r="D616" s="5">
        <f>TITRES_STAT!E619</f>
        <v>5.5794880672268903</v>
      </c>
      <c r="E616" s="2">
        <f t="shared" si="36"/>
        <v>-301.38337877487913</v>
      </c>
      <c r="F616" s="5" t="str">
        <f t="shared" si="39"/>
        <v>BULLISH</v>
      </c>
      <c r="G616" s="5" t="str">
        <f t="shared" si="38"/>
        <v>NEUTRAL</v>
      </c>
      <c r="H616" s="5" t="str">
        <f t="shared" si="37"/>
        <v>NEUTRAL</v>
      </c>
    </row>
    <row r="617" spans="1:8" ht="13.5" x14ac:dyDescent="0.25">
      <c r="A617" s="3">
        <f>TITRES_STAT!B620</f>
        <v>45819</v>
      </c>
      <c r="B617" s="5">
        <f>TITRES_STAT!C620</f>
        <v>5.98</v>
      </c>
      <c r="C617" s="5">
        <f>TITRES_STAT!D620</f>
        <v>5.6150000000000002</v>
      </c>
      <c r="D617" s="5">
        <f>TITRES_STAT!E620</f>
        <v>5.54</v>
      </c>
      <c r="E617" s="2">
        <f t="shared" si="36"/>
        <v>-301.38337877487913</v>
      </c>
      <c r="F617" s="5" t="str">
        <f t="shared" si="39"/>
        <v>BULLISH</v>
      </c>
      <c r="G617" s="5" t="str">
        <f t="shared" si="38"/>
        <v>NEUTRAL</v>
      </c>
      <c r="H617" s="5" t="str">
        <f t="shared" si="37"/>
        <v>NEUTRAL</v>
      </c>
    </row>
    <row r="618" spans="1:8" ht="13.5" x14ac:dyDescent="0.25">
      <c r="A618" s="3">
        <f>TITRES_STAT!B621</f>
        <v>45820</v>
      </c>
      <c r="B618" s="5">
        <f>TITRES_STAT!C621</f>
        <v>5.98</v>
      </c>
      <c r="C618" s="5">
        <f>TITRES_STAT!D621</f>
        <v>5.6150000000000002</v>
      </c>
      <c r="D618" s="5">
        <f>TITRES_STAT!E621</f>
        <v>5.54</v>
      </c>
      <c r="E618" s="2">
        <f t="shared" si="36"/>
        <v>-301.38337877487913</v>
      </c>
      <c r="F618" s="5" t="str">
        <f t="shared" si="39"/>
        <v>BULLISH</v>
      </c>
      <c r="G618" s="5" t="str">
        <f t="shared" si="38"/>
        <v>WEAK</v>
      </c>
      <c r="H618" s="5" t="str">
        <f t="shared" si="37"/>
        <v>CONFIRMED BULLISH</v>
      </c>
    </row>
    <row r="619" spans="1:8" ht="13.5" x14ac:dyDescent="0.25">
      <c r="A619" s="3">
        <f>TITRES_STAT!B622</f>
        <v>45821</v>
      </c>
      <c r="B619" s="5">
        <f>TITRES_STAT!C622</f>
        <v>5.9</v>
      </c>
      <c r="C619" s="5">
        <f>TITRES_STAT!D622</f>
        <v>5.54</v>
      </c>
      <c r="D619" s="5">
        <f>TITRES_STAT!E622</f>
        <v>5.583244033613445</v>
      </c>
      <c r="E619" s="2">
        <f t="shared" si="36"/>
        <v>-306.96662280849256</v>
      </c>
      <c r="F619" s="5" t="str">
        <f t="shared" si="39"/>
        <v>BULLISH</v>
      </c>
      <c r="G619" s="5" t="str">
        <f t="shared" si="38"/>
        <v>NEUTRAL</v>
      </c>
      <c r="H619" s="5" t="str">
        <f t="shared" si="37"/>
        <v>CONFIRMED BULLISH</v>
      </c>
    </row>
    <row r="620" spans="1:8" ht="13.5" x14ac:dyDescent="0.25">
      <c r="A620" s="3">
        <f>TITRES_STAT!B623</f>
        <v>45824</v>
      </c>
      <c r="B620" s="5">
        <f>TITRES_STAT!C623</f>
        <v>5.9</v>
      </c>
      <c r="C620" s="5">
        <f>TITRES_STAT!D623</f>
        <v>5.54</v>
      </c>
      <c r="D620" s="5">
        <f>TITRES_STAT!E623</f>
        <v>5.5776600000000007</v>
      </c>
      <c r="E620" s="2">
        <f t="shared" si="36"/>
        <v>-306.96662280849256</v>
      </c>
      <c r="F620" s="5" t="str">
        <f t="shared" si="39"/>
        <v>BEARISH</v>
      </c>
      <c r="G620" s="5" t="str">
        <f t="shared" si="38"/>
        <v>NEUTRAL</v>
      </c>
      <c r="H620" s="5" t="str">
        <f t="shared" si="37"/>
        <v>CONFIRMED BEARISH</v>
      </c>
    </row>
    <row r="621" spans="1:8" ht="13.5" x14ac:dyDescent="0.25">
      <c r="A621" s="3">
        <f>TITRES_STAT!B624</f>
        <v>45825</v>
      </c>
      <c r="B621" s="5">
        <f>TITRES_STAT!C624</f>
        <v>5.9</v>
      </c>
      <c r="C621" s="5">
        <f>TITRES_STAT!D624</f>
        <v>5.54</v>
      </c>
      <c r="D621" s="5">
        <f>TITRES_STAT!E624</f>
        <v>5.5869999999999997</v>
      </c>
      <c r="E621" s="2">
        <f t="shared" si="36"/>
        <v>-306.96662280849256</v>
      </c>
      <c r="F621" s="5" t="str">
        <f t="shared" si="39"/>
        <v>BEARISH</v>
      </c>
      <c r="G621" s="5" t="str">
        <f t="shared" si="38"/>
        <v>NEUTRAL</v>
      </c>
      <c r="H621" s="5" t="str">
        <f t="shared" si="37"/>
        <v>CONFIRMED BEARISH</v>
      </c>
    </row>
    <row r="622" spans="1:8" ht="13.5" x14ac:dyDescent="0.25">
      <c r="A622" s="3">
        <f>TITRES_STAT!B625</f>
        <v>45826</v>
      </c>
      <c r="B622" s="5">
        <f>TITRES_STAT!C625</f>
        <v>5.95</v>
      </c>
      <c r="C622" s="5">
        <f>TITRES_STAT!D625</f>
        <v>5.5869999999999997</v>
      </c>
      <c r="D622" s="5">
        <f>TITRES_STAT!E625</f>
        <v>5.5228778911564627</v>
      </c>
      <c r="E622" s="2">
        <f t="shared" si="36"/>
        <v>-301.44374491733612</v>
      </c>
      <c r="F622" s="5" t="str">
        <f t="shared" si="39"/>
        <v>BEARISH</v>
      </c>
      <c r="G622" s="5" t="str">
        <f t="shared" si="38"/>
        <v>NEUTRAL</v>
      </c>
      <c r="H622" s="5" t="str">
        <f t="shared" si="37"/>
        <v>CONFIRMED BEARISH</v>
      </c>
    </row>
    <row r="623" spans="1:8" ht="13.5" x14ac:dyDescent="0.25">
      <c r="A623" s="3">
        <f>TITRES_STAT!B626</f>
        <v>45827</v>
      </c>
      <c r="B623" s="5">
        <f>TITRES_STAT!C626</f>
        <v>5.9</v>
      </c>
      <c r="C623" s="5">
        <f>TITRES_STAT!D626</f>
        <v>5.54</v>
      </c>
      <c r="D623" s="5">
        <f>TITRES_STAT!E626</f>
        <v>5.5266336734693882</v>
      </c>
      <c r="E623" s="2">
        <f t="shared" si="36"/>
        <v>-306.97037859080552</v>
      </c>
      <c r="F623" s="5" t="str">
        <f t="shared" si="39"/>
        <v>BEARISH</v>
      </c>
      <c r="G623" s="5" t="str">
        <f t="shared" si="38"/>
        <v>NEUTRAL</v>
      </c>
      <c r="H623" s="5" t="str">
        <f t="shared" si="37"/>
        <v>CONFIRMED BEARISH</v>
      </c>
    </row>
    <row r="624" spans="1:8" ht="13.5" x14ac:dyDescent="0.25">
      <c r="A624" s="3">
        <f>TITRES_STAT!B627</f>
        <v>45828</v>
      </c>
      <c r="B624" s="5">
        <f>TITRES_STAT!C627</f>
        <v>5.9</v>
      </c>
      <c r="C624" s="5">
        <f>TITRES_STAT!D627</f>
        <v>5.54</v>
      </c>
      <c r="D624" s="5">
        <f>TITRES_STAT!E627</f>
        <v>5.5110609880749566</v>
      </c>
      <c r="E624" s="2">
        <f t="shared" si="36"/>
        <v>-306.97037859080552</v>
      </c>
      <c r="F624" s="5" t="str">
        <f t="shared" si="39"/>
        <v>BEARISH</v>
      </c>
      <c r="G624" s="5" t="str">
        <f t="shared" si="38"/>
        <v>NEUTRAL</v>
      </c>
      <c r="H624" s="5" t="str">
        <f t="shared" si="37"/>
        <v>NEUTRAL</v>
      </c>
    </row>
    <row r="625" spans="1:8" ht="13.5" x14ac:dyDescent="0.25">
      <c r="A625" s="3">
        <f>TITRES_STAT!B628</f>
        <v>45831</v>
      </c>
      <c r="B625" s="5">
        <f>TITRES_STAT!C628</f>
        <v>5.95</v>
      </c>
      <c r="C625" s="5">
        <f>TITRES_STAT!D628</f>
        <v>5.5869999999999997</v>
      </c>
      <c r="D625" s="5">
        <f>TITRES_STAT!E628</f>
        <v>5.5119999999999996</v>
      </c>
      <c r="E625" s="2">
        <f t="shared" si="36"/>
        <v>-301.45837859080552</v>
      </c>
      <c r="F625" s="5" t="str">
        <f t="shared" si="39"/>
        <v>BULLISH</v>
      </c>
      <c r="G625" s="5" t="str">
        <f t="shared" si="38"/>
        <v>NEUTRAL</v>
      </c>
      <c r="H625" s="5" t="str">
        <f t="shared" si="37"/>
        <v>CONFIRMED BULLISH</v>
      </c>
    </row>
    <row r="626" spans="1:8" ht="13.5" x14ac:dyDescent="0.25">
      <c r="A626" s="3">
        <f>TITRES_STAT!B629</f>
        <v>45832</v>
      </c>
      <c r="B626" s="5">
        <f>TITRES_STAT!C629</f>
        <v>6</v>
      </c>
      <c r="C626" s="5">
        <f>TITRES_STAT!D629</f>
        <v>5.6340000000000003</v>
      </c>
      <c r="D626" s="5">
        <f>TITRES_STAT!E629</f>
        <v>5.5851220168067224</v>
      </c>
      <c r="E626" s="2">
        <f t="shared" si="36"/>
        <v>-295.87325657399879</v>
      </c>
      <c r="F626" s="5" t="str">
        <f t="shared" si="39"/>
        <v>BULLISH</v>
      </c>
      <c r="G626" s="5" t="str">
        <f t="shared" si="38"/>
        <v>WEAK</v>
      </c>
      <c r="H626" s="5" t="str">
        <f t="shared" si="37"/>
        <v>CONFIRMED BULLISH</v>
      </c>
    </row>
    <row r="627" spans="1:8" ht="13.5" x14ac:dyDescent="0.25">
      <c r="A627" s="3">
        <f>TITRES_STAT!B630</f>
        <v>45833</v>
      </c>
      <c r="B627" s="5">
        <f>TITRES_STAT!C630</f>
        <v>5.95</v>
      </c>
      <c r="C627" s="5">
        <f>TITRES_STAT!D630</f>
        <v>5.5869999999999997</v>
      </c>
      <c r="D627" s="5">
        <f>TITRES_STAT!E630</f>
        <v>5.734</v>
      </c>
      <c r="E627" s="2">
        <f t="shared" si="36"/>
        <v>-301.60725657399877</v>
      </c>
      <c r="F627" s="5" t="str">
        <f t="shared" si="39"/>
        <v>BEARISH</v>
      </c>
      <c r="G627" s="5" t="str">
        <f t="shared" si="38"/>
        <v>NEUTRAL</v>
      </c>
      <c r="H627" s="5" t="str">
        <f t="shared" si="37"/>
        <v>NEUTRAL</v>
      </c>
    </row>
    <row r="628" spans="1:8" ht="13.5" x14ac:dyDescent="0.25">
      <c r="A628" s="3">
        <f>TITRES_STAT!B631</f>
        <v>45835</v>
      </c>
      <c r="B628" s="5">
        <f>TITRES_STAT!C631</f>
        <v>5.88</v>
      </c>
      <c r="C628" s="5">
        <f>TITRES_STAT!D631</f>
        <v>5.5209999999999999</v>
      </c>
      <c r="D628" s="5">
        <f>TITRES_STAT!E631</f>
        <v>5.7160000000000002</v>
      </c>
      <c r="E628" s="2">
        <f t="shared" si="36"/>
        <v>-307.32325657399878</v>
      </c>
      <c r="F628" s="5" t="str">
        <f t="shared" si="39"/>
        <v>BEARISH</v>
      </c>
      <c r="G628" s="5" t="str">
        <f t="shared" si="38"/>
        <v>NEUTRAL</v>
      </c>
      <c r="H628" s="5" t="str">
        <f t="shared" si="37"/>
        <v>CONFIRMED BEARISH</v>
      </c>
    </row>
    <row r="629" spans="1:8" ht="13.5" x14ac:dyDescent="0.25">
      <c r="A629" s="3">
        <f>TITRES_STAT!B632</f>
        <v>45838</v>
      </c>
      <c r="B629" s="5">
        <f>TITRES_STAT!C632</f>
        <v>5.88</v>
      </c>
      <c r="C629" s="5">
        <f>TITRES_STAT!D632</f>
        <v>5.5209999999999999</v>
      </c>
      <c r="D629" s="5">
        <f>TITRES_STAT!E632</f>
        <v>5.7089999999999996</v>
      </c>
      <c r="E629" s="2">
        <f t="shared" si="36"/>
        <v>-307.32325657399878</v>
      </c>
      <c r="F629" s="5" t="str">
        <f t="shared" si="39"/>
        <v>BEARISH</v>
      </c>
      <c r="G629" s="5" t="str">
        <f t="shared" si="38"/>
        <v>NEUTRAL</v>
      </c>
      <c r="H629" s="5" t="str">
        <f t="shared" si="37"/>
        <v>CONFIRMED BEARISH</v>
      </c>
    </row>
    <row r="630" spans="1:8" ht="13.5" x14ac:dyDescent="0.25">
      <c r="A630" s="3">
        <f>TITRES_STAT!B633</f>
        <v>45839</v>
      </c>
      <c r="B630" s="5">
        <f>TITRES_STAT!C633</f>
        <v>5.87</v>
      </c>
      <c r="C630" s="5">
        <f>TITRES_STAT!D633</f>
        <v>5.5119999999999996</v>
      </c>
      <c r="D630" s="5">
        <f>TITRES_STAT!E633</f>
        <v>5.7009999999999996</v>
      </c>
      <c r="E630" s="2">
        <f t="shared" si="36"/>
        <v>-313.0242565739988</v>
      </c>
      <c r="F630" s="5" t="str">
        <f t="shared" si="39"/>
        <v>BEARISH</v>
      </c>
      <c r="G630" s="5" t="str">
        <f t="shared" si="38"/>
        <v>STRONG</v>
      </c>
      <c r="H630" s="5" t="str">
        <f t="shared" si="37"/>
        <v>CONFIRMED BEARISH</v>
      </c>
    </row>
    <row r="631" spans="1:8" ht="13.5" x14ac:dyDescent="0.25">
      <c r="A631" s="3">
        <f>TITRES_STAT!B634</f>
        <v>45840</v>
      </c>
      <c r="B631" s="5">
        <f>TITRES_STAT!C634</f>
        <v>5.87</v>
      </c>
      <c r="C631" s="5">
        <f>TITRES_STAT!D634</f>
        <v>5.5119999999999996</v>
      </c>
      <c r="D631" s="5">
        <f>TITRES_STAT!E634</f>
        <v>5.7</v>
      </c>
      <c r="E631" s="2">
        <f t="shared" si="36"/>
        <v>-313.0242565739988</v>
      </c>
      <c r="F631" s="5" t="str">
        <f t="shared" si="39"/>
        <v>BEARISH</v>
      </c>
      <c r="G631" s="5" t="str">
        <f t="shared" si="38"/>
        <v>STRONG</v>
      </c>
      <c r="H631" s="5" t="str">
        <f t="shared" si="37"/>
        <v>CONFIRMED BEARISH</v>
      </c>
    </row>
    <row r="632" spans="1:8" ht="13.5" x14ac:dyDescent="0.25">
      <c r="A632" s="3">
        <f>TITRES_STAT!B635</f>
        <v>45841</v>
      </c>
      <c r="B632" s="5">
        <f>TITRES_STAT!C635</f>
        <v>5.95</v>
      </c>
      <c r="C632" s="5">
        <f>TITRES_STAT!D635</f>
        <v>5.5869999999999997</v>
      </c>
      <c r="D632" s="5">
        <f>TITRES_STAT!E635</f>
        <v>5.6989999999999998</v>
      </c>
      <c r="E632" s="2">
        <f t="shared" si="36"/>
        <v>-307.32525657399879</v>
      </c>
      <c r="F632" s="5" t="str">
        <f t="shared" si="39"/>
        <v>BEARISH</v>
      </c>
      <c r="G632" s="5" t="str">
        <f t="shared" si="38"/>
        <v>NEUTRAL</v>
      </c>
      <c r="H632" s="5" t="str">
        <f t="shared" si="37"/>
        <v>NEUTRAL</v>
      </c>
    </row>
    <row r="633" spans="1:8" ht="13.5" x14ac:dyDescent="0.25">
      <c r="A633" s="3">
        <f>TITRES_STAT!B636</f>
        <v>45842</v>
      </c>
      <c r="B633" s="5">
        <f>TITRES_STAT!C636</f>
        <v>5.72</v>
      </c>
      <c r="C633" s="5">
        <f>TITRES_STAT!D636</f>
        <v>5.72</v>
      </c>
      <c r="D633" s="5">
        <f>TITRES_STAT!E636</f>
        <v>5.681</v>
      </c>
      <c r="E633" s="2">
        <f t="shared" si="36"/>
        <v>-313.00625657399877</v>
      </c>
      <c r="F633" s="5" t="str">
        <f t="shared" si="39"/>
        <v>BEARISH</v>
      </c>
      <c r="G633" s="5" t="str">
        <f t="shared" si="38"/>
        <v>NEUTRAL</v>
      </c>
      <c r="H633" s="5" t="str">
        <f t="shared" si="37"/>
        <v>CONFIRMED BEARISH</v>
      </c>
    </row>
    <row r="634" spans="1:8" ht="13.5" x14ac:dyDescent="0.25">
      <c r="A634" s="3">
        <f>TITRES_STAT!B637</f>
        <v>45845</v>
      </c>
      <c r="B634" s="5">
        <f>TITRES_STAT!C637</f>
        <v>5.72</v>
      </c>
      <c r="C634" s="5">
        <f>TITRES_STAT!D637</f>
        <v>5.72</v>
      </c>
      <c r="D634" s="5">
        <f>TITRES_STAT!E637</f>
        <v>5.67</v>
      </c>
      <c r="E634" s="2">
        <f t="shared" si="36"/>
        <v>-313.00625657399877</v>
      </c>
      <c r="F634" s="5" t="str">
        <f t="shared" si="39"/>
        <v>BEARISH</v>
      </c>
      <c r="G634" s="5" t="str">
        <f t="shared" si="38"/>
        <v>NEUTRAL</v>
      </c>
      <c r="H634" s="5" t="str">
        <f t="shared" si="37"/>
        <v>CONFIRMED BEARISH</v>
      </c>
    </row>
    <row r="635" spans="1:8" ht="13.5" x14ac:dyDescent="0.25">
      <c r="A635" s="3">
        <f>TITRES_STAT!B638</f>
        <v>45846</v>
      </c>
      <c r="B635" s="5">
        <f>TITRES_STAT!C638</f>
        <v>5.75</v>
      </c>
      <c r="C635" s="5">
        <f>TITRES_STAT!D638</f>
        <v>5.75</v>
      </c>
      <c r="D635" s="5">
        <f>TITRES_STAT!E638</f>
        <v>5.67</v>
      </c>
      <c r="E635" s="2">
        <f t="shared" si="36"/>
        <v>-307.33625657399875</v>
      </c>
      <c r="F635" s="5" t="str">
        <f t="shared" si="39"/>
        <v>BULLISH</v>
      </c>
      <c r="G635" s="5" t="str">
        <f t="shared" si="38"/>
        <v>NEUTRAL</v>
      </c>
      <c r="H635" s="5" t="str">
        <f t="shared" si="37"/>
        <v>BULLISH DIVERGENCE</v>
      </c>
    </row>
    <row r="636" spans="1:8" ht="13.5" x14ac:dyDescent="0.25">
      <c r="A636" s="3">
        <f>TITRES_STAT!B639</f>
        <v>45847</v>
      </c>
      <c r="B636" s="5">
        <f>TITRES_STAT!C639</f>
        <v>5.7</v>
      </c>
      <c r="C636" s="5">
        <f>TITRES_STAT!D639</f>
        <v>5.7</v>
      </c>
      <c r="D636" s="5">
        <f>TITRES_STAT!E639</f>
        <v>5.6559999999999997</v>
      </c>
      <c r="E636" s="2">
        <f t="shared" si="36"/>
        <v>-312.99225657399876</v>
      </c>
      <c r="F636" s="5" t="str">
        <f t="shared" si="39"/>
        <v>BULLISH</v>
      </c>
      <c r="G636" s="5" t="str">
        <f t="shared" si="38"/>
        <v>NEUTRAL</v>
      </c>
      <c r="H636" s="5" t="str">
        <f t="shared" si="37"/>
        <v>BULLISH DIVERGENCE</v>
      </c>
    </row>
    <row r="637" spans="1:8" ht="13.5" x14ac:dyDescent="0.25">
      <c r="A637" s="3">
        <f>TITRES_STAT!B640</f>
        <v>45848</v>
      </c>
      <c r="B637" s="5">
        <f>TITRES_STAT!C640</f>
        <v>5.7</v>
      </c>
      <c r="C637" s="5">
        <f>TITRES_STAT!D640</f>
        <v>5.7</v>
      </c>
      <c r="D637" s="5">
        <f>TITRES_STAT!E640</f>
        <v>5.6950000000000003</v>
      </c>
      <c r="E637" s="2">
        <f t="shared" si="36"/>
        <v>-312.99225657399876</v>
      </c>
      <c r="F637" s="5" t="str">
        <f t="shared" si="39"/>
        <v>BEARISH</v>
      </c>
      <c r="G637" s="5" t="str">
        <f t="shared" si="38"/>
        <v>NEUTRAL</v>
      </c>
      <c r="H637" s="5" t="str">
        <f t="shared" si="37"/>
        <v>CONFIRMED BEARISH</v>
      </c>
    </row>
    <row r="638" spans="1:8" ht="13.5" x14ac:dyDescent="0.25">
      <c r="A638" s="3">
        <f>TITRES_STAT!B641</f>
        <v>45849</v>
      </c>
      <c r="B638" s="5">
        <f>TITRES_STAT!C641</f>
        <v>5.68</v>
      </c>
      <c r="C638" s="5">
        <f>TITRES_STAT!D641</f>
        <v>5.68</v>
      </c>
      <c r="D638" s="5">
        <f>TITRES_STAT!E641</f>
        <v>5.7</v>
      </c>
      <c r="E638" s="2">
        <f t="shared" si="36"/>
        <v>-318.69225657399875</v>
      </c>
      <c r="F638" s="5" t="str">
        <f t="shared" si="39"/>
        <v>BEARISH</v>
      </c>
      <c r="G638" s="5" t="str">
        <f t="shared" si="38"/>
        <v>NEUTRAL</v>
      </c>
      <c r="H638" s="5" t="str">
        <f t="shared" si="37"/>
        <v>CONFIRMED BEARISH</v>
      </c>
    </row>
    <row r="639" spans="1:8" ht="13.5" x14ac:dyDescent="0.25">
      <c r="A639" s="3">
        <f>TITRES_STAT!B642</f>
        <v>45852</v>
      </c>
      <c r="B639" s="5">
        <f>TITRES_STAT!C642</f>
        <v>5.69</v>
      </c>
      <c r="C639" s="5">
        <f>TITRES_STAT!D642</f>
        <v>5.69</v>
      </c>
      <c r="D639" s="5">
        <f>TITRES_STAT!E642</f>
        <v>5.6980000000000004</v>
      </c>
      <c r="E639" s="2">
        <f t="shared" si="36"/>
        <v>-312.99425657399877</v>
      </c>
      <c r="F639" s="5" t="str">
        <f t="shared" si="39"/>
        <v>BULLISH</v>
      </c>
      <c r="G639" s="5" t="str">
        <f t="shared" si="38"/>
        <v>NEUTRAL</v>
      </c>
      <c r="H639" s="5" t="str">
        <f t="shared" si="37"/>
        <v>BULLISH DIVERGENCE</v>
      </c>
    </row>
    <row r="640" spans="1:8" ht="13.5" x14ac:dyDescent="0.25">
      <c r="A640" s="3">
        <f>TITRES_STAT!B643</f>
        <v>45853</v>
      </c>
      <c r="B640" s="5">
        <f>TITRES_STAT!C643</f>
        <v>5.67</v>
      </c>
      <c r="C640" s="5">
        <f>TITRES_STAT!D643</f>
        <v>5.67</v>
      </c>
      <c r="D640" s="5">
        <f>TITRES_STAT!E643</f>
        <v>5.6929999999999996</v>
      </c>
      <c r="E640" s="2">
        <f t="shared" si="36"/>
        <v>-318.68725657399875</v>
      </c>
      <c r="F640" s="5" t="str">
        <f t="shared" si="39"/>
        <v>BEARISH</v>
      </c>
      <c r="G640" s="5" t="str">
        <f t="shared" si="38"/>
        <v>STRONG</v>
      </c>
      <c r="H640" s="5" t="str">
        <f t="shared" si="37"/>
        <v>CONFIRMED BEARISH</v>
      </c>
    </row>
    <row r="641" spans="1:8" ht="13.5" x14ac:dyDescent="0.25">
      <c r="A641" s="3">
        <f>TITRES_STAT!B644</f>
        <v>45854</v>
      </c>
      <c r="B641" s="5">
        <f>TITRES_STAT!C644</f>
        <v>5.67</v>
      </c>
      <c r="C641" s="5">
        <f>TITRES_STAT!D644</f>
        <v>5.67</v>
      </c>
      <c r="D641" s="5">
        <f>TITRES_STAT!E644</f>
        <v>5.6630000000000003</v>
      </c>
      <c r="E641" s="2">
        <f t="shared" si="36"/>
        <v>-318.68725657399875</v>
      </c>
      <c r="F641" s="5" t="str">
        <f t="shared" si="39"/>
        <v>BEARISH</v>
      </c>
      <c r="G641" s="5" t="str">
        <f t="shared" si="38"/>
        <v>NEUTRAL</v>
      </c>
      <c r="H641" s="5" t="str">
        <f t="shared" si="37"/>
        <v>CONFIRMED BEARISH</v>
      </c>
    </row>
    <row r="642" spans="1:8" ht="13.5" x14ac:dyDescent="0.25">
      <c r="A642" s="3">
        <f>TITRES_STAT!B645</f>
        <v>45855</v>
      </c>
      <c r="B642" s="5">
        <f>TITRES_STAT!C645</f>
        <v>5.66</v>
      </c>
      <c r="C642" s="5">
        <f>TITRES_STAT!D645</f>
        <v>5.66</v>
      </c>
      <c r="D642" s="5">
        <f>TITRES_STAT!E645</f>
        <v>5.6609999999999996</v>
      </c>
      <c r="E642" s="2">
        <f t="shared" si="36"/>
        <v>-324.34825657399875</v>
      </c>
      <c r="F642" s="5" t="str">
        <f t="shared" si="39"/>
        <v>BEARISH</v>
      </c>
      <c r="G642" s="5" t="str">
        <f t="shared" si="38"/>
        <v>STRONG</v>
      </c>
      <c r="H642" s="5" t="str">
        <f t="shared" si="37"/>
        <v>CONFIRMED BEARISH</v>
      </c>
    </row>
    <row r="643" spans="1:8" ht="13.5" x14ac:dyDescent="0.25">
      <c r="A643" s="3">
        <f>TITRES_STAT!B646</f>
        <v>45856</v>
      </c>
      <c r="B643" s="5">
        <f>TITRES_STAT!C646</f>
        <v>5.7</v>
      </c>
      <c r="C643" s="5">
        <f>TITRES_STAT!D646</f>
        <v>5.7</v>
      </c>
      <c r="D643" s="5">
        <f>TITRES_STAT!E646</f>
        <v>5.66</v>
      </c>
      <c r="E643" s="2">
        <f t="shared" si="36"/>
        <v>-318.68825657399873</v>
      </c>
      <c r="F643" s="5" t="str">
        <f t="shared" si="39"/>
        <v>BULLISH</v>
      </c>
      <c r="G643" s="5" t="str">
        <f t="shared" si="38"/>
        <v>NEUTRAL</v>
      </c>
      <c r="H643" s="5" t="str">
        <f t="shared" si="37"/>
        <v>CONFIRMED BULLISH</v>
      </c>
    </row>
    <row r="644" spans="1:8" ht="13.5" x14ac:dyDescent="0.25">
      <c r="A644" s="3">
        <f>TITRES_STAT!B647</f>
        <v>45859</v>
      </c>
      <c r="B644" s="5">
        <f>TITRES_STAT!C647</f>
        <v>5.7</v>
      </c>
      <c r="C644" s="5">
        <f>TITRES_STAT!D647</f>
        <v>5.7</v>
      </c>
      <c r="D644" s="5">
        <f>TITRES_STAT!E647</f>
        <v>5.673</v>
      </c>
      <c r="E644" s="2">
        <f t="shared" ref="E644:E691" si="40">IF(B644&gt;B643, E643+D644, IF(B644&lt;B643, E643-D644, E643))</f>
        <v>-318.68825657399873</v>
      </c>
      <c r="F644" s="5" t="str">
        <f t="shared" si="39"/>
        <v>BEARISH</v>
      </c>
      <c r="G644" s="5" t="str">
        <f t="shared" si="38"/>
        <v>NEUTRAL</v>
      </c>
      <c r="H644" s="5" t="str">
        <f t="shared" si="37"/>
        <v>BEARISH DIVERGENCE</v>
      </c>
    </row>
    <row r="645" spans="1:8" ht="13.5" x14ac:dyDescent="0.25">
      <c r="A645" s="3">
        <f>TITRES_STAT!B648</f>
        <v>45860</v>
      </c>
      <c r="B645" s="5">
        <f>TITRES_STAT!C648</f>
        <v>5.7</v>
      </c>
      <c r="C645" s="5">
        <f>TITRES_STAT!D648</f>
        <v>5.7</v>
      </c>
      <c r="D645" s="5">
        <f>TITRES_STAT!E648</f>
        <v>5.6660000000000004</v>
      </c>
      <c r="E645" s="2">
        <f t="shared" si="40"/>
        <v>-318.68825657399873</v>
      </c>
      <c r="F645" s="5" t="str">
        <f t="shared" si="39"/>
        <v>BEARISH</v>
      </c>
      <c r="G645" s="5" t="str">
        <f t="shared" si="38"/>
        <v>NEUTRAL</v>
      </c>
      <c r="H645" s="5" t="str">
        <f t="shared" si="37"/>
        <v>BEARISH DIVERGENCE</v>
      </c>
    </row>
    <row r="646" spans="1:8" ht="13.5" x14ac:dyDescent="0.25">
      <c r="A646" s="3">
        <f>TITRES_STAT!B649</f>
        <v>45861</v>
      </c>
      <c r="B646" s="5">
        <f>TITRES_STAT!C649</f>
        <v>5.69</v>
      </c>
      <c r="C646" s="5">
        <f>TITRES_STAT!D649</f>
        <v>5.69</v>
      </c>
      <c r="D646" s="5">
        <f>TITRES_STAT!E649</f>
        <v>5.6749999999999998</v>
      </c>
      <c r="E646" s="2">
        <f t="shared" si="40"/>
        <v>-324.36325657399874</v>
      </c>
      <c r="F646" s="5" t="str">
        <f t="shared" si="39"/>
        <v>BEARISH</v>
      </c>
      <c r="G646" s="5" t="str">
        <f t="shared" si="38"/>
        <v>NEUTRAL</v>
      </c>
      <c r="H646" s="5" t="str">
        <f t="shared" ref="H646:H691" si="41">IF(AND(B646&gt;B641, E646&gt;E641), "CONFIRMED BULLISH",
 IF(AND(B646&lt;B641, E646&lt;E641), "CONFIRMED BEARISH",
 IF(AND(B646&gt;B641, E646&lt;E641), "BEARISH DIVERGENCE",
 IF(AND(B646&lt;B641, E646&gt;E641), "BULLISH DIVERGENCE", "NEUTRAL"))))</f>
        <v>BEARISH DIVERGENCE</v>
      </c>
    </row>
    <row r="647" spans="1:8" ht="13.5" x14ac:dyDescent="0.25">
      <c r="A647" s="3">
        <f>TITRES_STAT!B650</f>
        <v>45862</v>
      </c>
      <c r="B647" s="5">
        <f>TITRES_STAT!C650</f>
        <v>5.66</v>
      </c>
      <c r="C647" s="5">
        <f>TITRES_STAT!D650</f>
        <v>5.66</v>
      </c>
      <c r="D647" s="5">
        <f>TITRES_STAT!E650</f>
        <v>0</v>
      </c>
      <c r="E647" s="2">
        <f t="shared" si="40"/>
        <v>-324.36325657399874</v>
      </c>
      <c r="F647" s="5" t="str">
        <f t="shared" si="39"/>
        <v>BEARISH</v>
      </c>
      <c r="G647" s="5" t="str">
        <f t="shared" ref="G647:G691" si="42">IF((E647-E642)/E642 &gt; 0.02, "STRONG",
 IF((E647-E642)/E642 &lt; -0.02, "WEAK", "NEUTRAL"))</f>
        <v>NEUTRAL</v>
      </c>
      <c r="H647" s="5" t="str">
        <f t="shared" si="41"/>
        <v>NEUTRAL</v>
      </c>
    </row>
    <row r="648" spans="1:8" ht="13.5" x14ac:dyDescent="0.25">
      <c r="A648" s="3">
        <f>TITRES_STAT!B651</f>
        <v>45866</v>
      </c>
      <c r="B648" s="5">
        <f>TITRES_STAT!C651</f>
        <v>5.69</v>
      </c>
      <c r="C648" s="5">
        <f>TITRES_STAT!D651</f>
        <v>5.69</v>
      </c>
      <c r="D648" s="5">
        <f>TITRES_STAT!E651</f>
        <v>5.625</v>
      </c>
      <c r="E648" s="2">
        <f t="shared" si="40"/>
        <v>-318.73825657399874</v>
      </c>
      <c r="F648" s="5" t="str">
        <f t="shared" ref="F648:F691" si="43">IF(E648&gt;E643,"BULLISH",IF(E648&lt;E643,"BEARISH","NEUTRAL"))</f>
        <v>BEARISH</v>
      </c>
      <c r="G648" s="5" t="str">
        <f t="shared" si="42"/>
        <v>NEUTRAL</v>
      </c>
      <c r="H648" s="5" t="str">
        <f t="shared" si="41"/>
        <v>CONFIRMED BEARISH</v>
      </c>
    </row>
    <row r="649" spans="1:8" ht="13.5" x14ac:dyDescent="0.25">
      <c r="A649" s="3">
        <f>TITRES_STAT!B652</f>
        <v>45867</v>
      </c>
      <c r="B649" s="5">
        <f>TITRES_STAT!C652</f>
        <v>5.66</v>
      </c>
      <c r="C649" s="5">
        <f>TITRES_STAT!D652</f>
        <v>5.66</v>
      </c>
      <c r="D649" s="5">
        <f>TITRES_STAT!E652</f>
        <v>5.66</v>
      </c>
      <c r="E649" s="2">
        <f t="shared" si="40"/>
        <v>-324.39825657399876</v>
      </c>
      <c r="F649" s="5" t="str">
        <f t="shared" si="43"/>
        <v>BEARISH</v>
      </c>
      <c r="G649" s="5" t="str">
        <f t="shared" si="42"/>
        <v>NEUTRAL</v>
      </c>
      <c r="H649" s="5" t="str">
        <f t="shared" si="41"/>
        <v>CONFIRMED BEARISH</v>
      </c>
    </row>
    <row r="650" spans="1:8" ht="13.5" x14ac:dyDescent="0.25">
      <c r="A650" s="3">
        <f>TITRES_STAT!B653</f>
        <v>45868</v>
      </c>
      <c r="B650" s="5">
        <f>TITRES_STAT!C653</f>
        <v>5.67</v>
      </c>
      <c r="C650" s="5">
        <f>TITRES_STAT!D653</f>
        <v>5.67</v>
      </c>
      <c r="D650" s="5">
        <f>TITRES_STAT!E653</f>
        <v>5.6219999999999999</v>
      </c>
      <c r="E650" s="2">
        <f t="shared" si="40"/>
        <v>-318.77625657399875</v>
      </c>
      <c r="F650" s="5" t="str">
        <f t="shared" si="43"/>
        <v>BEARISH</v>
      </c>
      <c r="G650" s="5" t="str">
        <f t="shared" si="42"/>
        <v>NEUTRAL</v>
      </c>
      <c r="H650" s="5" t="str">
        <f t="shared" si="41"/>
        <v>CONFIRMED BEARISH</v>
      </c>
    </row>
    <row r="651" spans="1:8" ht="13.5" x14ac:dyDescent="0.25">
      <c r="A651" s="3">
        <f>TITRES_STAT!B654</f>
        <v>45869</v>
      </c>
      <c r="B651" s="5">
        <f>TITRES_STAT!C654</f>
        <v>5.67</v>
      </c>
      <c r="C651" s="5">
        <f>TITRES_STAT!D654</f>
        <v>5.67</v>
      </c>
      <c r="D651" s="5">
        <f>TITRES_STAT!E654</f>
        <v>5.5970000000000004</v>
      </c>
      <c r="E651" s="2">
        <f t="shared" si="40"/>
        <v>-318.77625657399875</v>
      </c>
      <c r="F651" s="5" t="str">
        <f t="shared" si="43"/>
        <v>BULLISH</v>
      </c>
      <c r="G651" s="5" t="str">
        <f t="shared" si="42"/>
        <v>NEUTRAL</v>
      </c>
      <c r="H651" s="5" t="str">
        <f t="shared" si="41"/>
        <v>BULLISH DIVERGENCE</v>
      </c>
    </row>
    <row r="652" spans="1:8" ht="13.5" x14ac:dyDescent="0.25">
      <c r="A652" s="3">
        <f>TITRES_STAT!B655</f>
        <v>45870</v>
      </c>
      <c r="B652" s="5">
        <f>TITRES_STAT!C655</f>
        <v>5.7</v>
      </c>
      <c r="C652" s="5">
        <f>TITRES_STAT!D655</f>
        <v>5.7</v>
      </c>
      <c r="D652" s="5">
        <f>TITRES_STAT!E655</f>
        <v>5.5140000000000002</v>
      </c>
      <c r="E652" s="2">
        <f t="shared" si="40"/>
        <v>-313.26225657399874</v>
      </c>
      <c r="F652" s="5" t="str">
        <f t="shared" si="43"/>
        <v>BULLISH</v>
      </c>
      <c r="G652" s="5" t="str">
        <f t="shared" si="42"/>
        <v>WEAK</v>
      </c>
      <c r="H652" s="5" t="str">
        <f t="shared" si="41"/>
        <v>CONFIRMED BULLISH</v>
      </c>
    </row>
    <row r="653" spans="1:8" ht="13.5" x14ac:dyDescent="0.25">
      <c r="A653" s="3">
        <f>TITRES_STAT!B656</f>
        <v>45873</v>
      </c>
      <c r="B653" s="5">
        <f>TITRES_STAT!C656</f>
        <v>5.7</v>
      </c>
      <c r="C653" s="5">
        <f>TITRES_STAT!D656</f>
        <v>5.7</v>
      </c>
      <c r="D653" s="5">
        <f>TITRES_STAT!E656</f>
        <v>5.6390000000000002</v>
      </c>
      <c r="E653" s="2">
        <f t="shared" si="40"/>
        <v>-313.26225657399874</v>
      </c>
      <c r="F653" s="5" t="str">
        <f t="shared" si="43"/>
        <v>BULLISH</v>
      </c>
      <c r="G653" s="5" t="str">
        <f t="shared" si="42"/>
        <v>NEUTRAL</v>
      </c>
      <c r="H653" s="5" t="str">
        <f t="shared" si="41"/>
        <v>CONFIRMED BULLISH</v>
      </c>
    </row>
    <row r="654" spans="1:8" ht="13.5" x14ac:dyDescent="0.25">
      <c r="A654" s="3">
        <f>TITRES_STAT!B657</f>
        <v>45874</v>
      </c>
      <c r="B654" s="5">
        <f>TITRES_STAT!C657</f>
        <v>5.6</v>
      </c>
      <c r="C654" s="5">
        <f>TITRES_STAT!D657</f>
        <v>5.6</v>
      </c>
      <c r="D654" s="5">
        <f>TITRES_STAT!E657</f>
        <v>0</v>
      </c>
      <c r="E654" s="2">
        <f t="shared" si="40"/>
        <v>-313.26225657399874</v>
      </c>
      <c r="F654" s="5" t="str">
        <f t="shared" si="43"/>
        <v>BULLISH</v>
      </c>
      <c r="G654" s="5" t="str">
        <f t="shared" si="42"/>
        <v>WEAK</v>
      </c>
      <c r="H654" s="5" t="str">
        <f t="shared" si="41"/>
        <v>BULLISH DIVERGENCE</v>
      </c>
    </row>
    <row r="655" spans="1:8" ht="13.5" x14ac:dyDescent="0.25">
      <c r="A655" s="3">
        <f>TITRES_STAT!B658</f>
        <v>45875</v>
      </c>
      <c r="B655" s="5">
        <f>TITRES_STAT!C658</f>
        <v>5.66</v>
      </c>
      <c r="C655" s="5">
        <f>TITRES_STAT!D658</f>
        <v>5.66</v>
      </c>
      <c r="D655" s="5">
        <f>TITRES_STAT!E658</f>
        <v>5.5460000000000003</v>
      </c>
      <c r="E655" s="2">
        <f t="shared" si="40"/>
        <v>-307.71625657399875</v>
      </c>
      <c r="F655" s="5" t="str">
        <f t="shared" si="43"/>
        <v>BULLISH</v>
      </c>
      <c r="G655" s="5" t="str">
        <f t="shared" si="42"/>
        <v>WEAK</v>
      </c>
      <c r="H655" s="5" t="str">
        <f t="shared" si="41"/>
        <v>BULLISH DIVERGENCE</v>
      </c>
    </row>
    <row r="656" spans="1:8" ht="13.5" x14ac:dyDescent="0.25">
      <c r="A656" s="3">
        <f>TITRES_STAT!B659</f>
        <v>45876</v>
      </c>
      <c r="B656" s="5">
        <f>TITRES_STAT!C659</f>
        <v>5.65</v>
      </c>
      <c r="C656" s="5">
        <f>TITRES_STAT!D659</f>
        <v>5.65</v>
      </c>
      <c r="D656" s="5">
        <f>TITRES_STAT!E659</f>
        <v>5.5430000000000001</v>
      </c>
      <c r="E656" s="2">
        <f t="shared" si="40"/>
        <v>-313.25925657399875</v>
      </c>
      <c r="F656" s="5" t="str">
        <f t="shared" si="43"/>
        <v>BULLISH</v>
      </c>
      <c r="G656" s="5" t="str">
        <f t="shared" si="42"/>
        <v>NEUTRAL</v>
      </c>
      <c r="H656" s="5" t="str">
        <f t="shared" si="41"/>
        <v>BULLISH DIVERGENCE</v>
      </c>
    </row>
    <row r="657" spans="1:8" ht="13.5" x14ac:dyDescent="0.25">
      <c r="A657" s="3">
        <f>TITRES_STAT!B660</f>
        <v>45877</v>
      </c>
      <c r="B657" s="5">
        <f>TITRES_STAT!C660</f>
        <v>5.58</v>
      </c>
      <c r="C657" s="5">
        <f>TITRES_STAT!D660</f>
        <v>5.58</v>
      </c>
      <c r="D657" s="5">
        <f>TITRES_STAT!E660</f>
        <v>5.6230000000000002</v>
      </c>
      <c r="E657" s="2">
        <f t="shared" si="40"/>
        <v>-318.88225657399875</v>
      </c>
      <c r="F657" s="5" t="str">
        <f t="shared" si="43"/>
        <v>BEARISH</v>
      </c>
      <c r="G657" s="5" t="str">
        <f t="shared" si="42"/>
        <v>NEUTRAL</v>
      </c>
      <c r="H657" s="5" t="str">
        <f t="shared" si="41"/>
        <v>CONFIRMED BEARISH</v>
      </c>
    </row>
    <row r="658" spans="1:8" ht="13.5" x14ac:dyDescent="0.25">
      <c r="A658" s="3">
        <f>TITRES_STAT!B661</f>
        <v>45880</v>
      </c>
      <c r="B658" s="5">
        <f>TITRES_STAT!C661</f>
        <v>5.64</v>
      </c>
      <c r="C658" s="5">
        <f>TITRES_STAT!D661</f>
        <v>5.64</v>
      </c>
      <c r="D658" s="5">
        <f>TITRES_STAT!E661</f>
        <v>5.6980000000000004</v>
      </c>
      <c r="E658" s="2">
        <f t="shared" si="40"/>
        <v>-313.18425657399877</v>
      </c>
      <c r="F658" s="5" t="str">
        <f t="shared" si="43"/>
        <v>BULLISH</v>
      </c>
      <c r="G658" s="5" t="str">
        <f t="shared" si="42"/>
        <v>NEUTRAL</v>
      </c>
      <c r="H658" s="5" t="str">
        <f t="shared" si="41"/>
        <v>BULLISH DIVERGENCE</v>
      </c>
    </row>
    <row r="659" spans="1:8" ht="13.5" x14ac:dyDescent="0.25">
      <c r="A659" s="3">
        <f>TITRES_STAT!B662</f>
        <v>45881</v>
      </c>
      <c r="B659" s="5">
        <f>TITRES_STAT!C662</f>
        <v>5.64</v>
      </c>
      <c r="C659" s="5">
        <f>TITRES_STAT!D662</f>
        <v>5.64</v>
      </c>
      <c r="D659" s="5">
        <f>TITRES_STAT!E662</f>
        <v>5.6079999999999997</v>
      </c>
      <c r="E659" s="2">
        <f t="shared" si="40"/>
        <v>-313.18425657399877</v>
      </c>
      <c r="F659" s="5" t="str">
        <f t="shared" si="43"/>
        <v>BULLISH</v>
      </c>
      <c r="G659" s="5" t="str">
        <f t="shared" si="42"/>
        <v>NEUTRAL</v>
      </c>
      <c r="H659" s="5" t="str">
        <f t="shared" si="41"/>
        <v>CONFIRMED BULLISH</v>
      </c>
    </row>
    <row r="660" spans="1:8" ht="13.5" x14ac:dyDescent="0.25">
      <c r="A660" s="3">
        <f>TITRES_STAT!B663</f>
        <v>45883</v>
      </c>
      <c r="B660" s="5">
        <f>TITRES_STAT!C663</f>
        <v>5.64</v>
      </c>
      <c r="C660" s="5">
        <f>TITRES_STAT!D663</f>
        <v>5.64</v>
      </c>
      <c r="D660" s="5">
        <f>TITRES_STAT!E663</f>
        <v>0</v>
      </c>
      <c r="E660" s="2">
        <f t="shared" si="40"/>
        <v>-313.18425657399877</v>
      </c>
      <c r="F660" s="5" t="str">
        <f t="shared" si="43"/>
        <v>BEARISH</v>
      </c>
      <c r="G660" s="5" t="str">
        <f t="shared" si="42"/>
        <v>NEUTRAL</v>
      </c>
      <c r="H660" s="5" t="str">
        <f t="shared" si="41"/>
        <v>CONFIRMED BEARISH</v>
      </c>
    </row>
    <row r="661" spans="1:8" ht="13.5" x14ac:dyDescent="0.25">
      <c r="A661" s="3">
        <f>TITRES_STAT!B664</f>
        <v>45884</v>
      </c>
      <c r="B661" s="5">
        <f>TITRES_STAT!C664</f>
        <v>5.52</v>
      </c>
      <c r="C661" s="5">
        <f>TITRES_STAT!D664</f>
        <v>5.52</v>
      </c>
      <c r="D661" s="5">
        <f>TITRES_STAT!E664</f>
        <v>5.7</v>
      </c>
      <c r="E661" s="2">
        <f t="shared" si="40"/>
        <v>-318.88425657399875</v>
      </c>
      <c r="F661" s="5" t="str">
        <f t="shared" si="43"/>
        <v>BEARISH</v>
      </c>
      <c r="G661" s="5" t="str">
        <f t="shared" si="42"/>
        <v>NEUTRAL</v>
      </c>
      <c r="H661" s="5" t="str">
        <f t="shared" si="41"/>
        <v>CONFIRMED BEARISH</v>
      </c>
    </row>
    <row r="662" spans="1:8" ht="13.5" x14ac:dyDescent="0.25">
      <c r="A662" s="3">
        <f>TITRES_STAT!B665</f>
        <v>45887</v>
      </c>
      <c r="B662" s="5">
        <f>TITRES_STAT!C665</f>
        <v>5.56</v>
      </c>
      <c r="C662" s="5">
        <f>TITRES_STAT!D665</f>
        <v>5.56</v>
      </c>
      <c r="D662" s="5">
        <f>TITRES_STAT!E665</f>
        <v>0</v>
      </c>
      <c r="E662" s="2">
        <f t="shared" si="40"/>
        <v>-318.88425657399875</v>
      </c>
      <c r="F662" s="5" t="str">
        <f t="shared" si="43"/>
        <v>BEARISH</v>
      </c>
      <c r="G662" s="5" t="str">
        <f t="shared" si="42"/>
        <v>NEUTRAL</v>
      </c>
      <c r="H662" s="5" t="str">
        <f t="shared" si="41"/>
        <v>CONFIRMED BEARISH</v>
      </c>
    </row>
    <row r="663" spans="1:8" ht="13.5" x14ac:dyDescent="0.25">
      <c r="A663" s="3">
        <f>TITRES_STAT!B666</f>
        <v>45888</v>
      </c>
      <c r="B663" s="5">
        <f>TITRES_STAT!C666</f>
        <v>5.69</v>
      </c>
      <c r="C663" s="5">
        <f>TITRES_STAT!D666</f>
        <v>5.69</v>
      </c>
      <c r="D663" s="5">
        <f>TITRES_STAT!E666</f>
        <v>5.6829999999999998</v>
      </c>
      <c r="E663" s="2">
        <f t="shared" si="40"/>
        <v>-313.20125657399876</v>
      </c>
      <c r="F663" s="5" t="str">
        <f t="shared" si="43"/>
        <v>BEARISH</v>
      </c>
      <c r="G663" s="5" t="str">
        <f t="shared" si="42"/>
        <v>NEUTRAL</v>
      </c>
      <c r="H663" s="5" t="str">
        <f t="shared" si="41"/>
        <v>BEARISH DIVERGENCE</v>
      </c>
    </row>
    <row r="664" spans="1:8" ht="13.5" x14ac:dyDescent="0.25">
      <c r="A664" s="3">
        <f>TITRES_STAT!B667</f>
        <v>45889</v>
      </c>
      <c r="B664" s="5">
        <f>TITRES_STAT!C667</f>
        <v>5.74</v>
      </c>
      <c r="C664" s="5">
        <f>TITRES_STAT!D667</f>
        <v>5.74</v>
      </c>
      <c r="D664" s="5">
        <f>TITRES_STAT!E667</f>
        <v>5.69</v>
      </c>
      <c r="E664" s="2">
        <f t="shared" si="40"/>
        <v>-307.51125657399876</v>
      </c>
      <c r="F664" s="5" t="str">
        <f t="shared" si="43"/>
        <v>BULLISH</v>
      </c>
      <c r="G664" s="5" t="str">
        <f t="shared" si="42"/>
        <v>NEUTRAL</v>
      </c>
      <c r="H664" s="5" t="str">
        <f t="shared" si="41"/>
        <v>CONFIRMED BULLISH</v>
      </c>
    </row>
    <row r="665" spans="1:8" ht="13.5" x14ac:dyDescent="0.25">
      <c r="A665" s="3">
        <f>TITRES_STAT!B668</f>
        <v>45890</v>
      </c>
      <c r="B665" s="5">
        <f>TITRES_STAT!C668</f>
        <v>5.74</v>
      </c>
      <c r="C665" s="5">
        <f>TITRES_STAT!D668</f>
        <v>5.74</v>
      </c>
      <c r="D665" s="5">
        <f>TITRES_STAT!E668</f>
        <v>5.694</v>
      </c>
      <c r="E665" s="2">
        <f t="shared" si="40"/>
        <v>-307.51125657399876</v>
      </c>
      <c r="F665" s="5" t="str">
        <f t="shared" si="43"/>
        <v>BULLISH</v>
      </c>
      <c r="G665" s="5" t="str">
        <f t="shared" si="42"/>
        <v>NEUTRAL</v>
      </c>
      <c r="H665" s="5" t="str">
        <f t="shared" si="41"/>
        <v>CONFIRMED BULLISH</v>
      </c>
    </row>
    <row r="666" spans="1:8" ht="13.5" x14ac:dyDescent="0.25">
      <c r="A666" s="3">
        <f>TITRES_STAT!B669</f>
        <v>45891</v>
      </c>
      <c r="B666" s="5">
        <f>TITRES_STAT!C669</f>
        <v>5.74</v>
      </c>
      <c r="C666" s="5">
        <f>TITRES_STAT!D669</f>
        <v>5.74</v>
      </c>
      <c r="D666" s="5">
        <f>TITRES_STAT!E669</f>
        <v>5.851</v>
      </c>
      <c r="E666" s="2">
        <f t="shared" si="40"/>
        <v>-307.51125657399876</v>
      </c>
      <c r="F666" s="5" t="str">
        <f t="shared" si="43"/>
        <v>BULLISH</v>
      </c>
      <c r="G666" s="5" t="str">
        <f t="shared" si="42"/>
        <v>WEAK</v>
      </c>
      <c r="H666" s="5" t="str">
        <f t="shared" si="41"/>
        <v>CONFIRMED BULLISH</v>
      </c>
    </row>
    <row r="667" spans="1:8" ht="13.5" x14ac:dyDescent="0.25">
      <c r="A667" s="3">
        <f>TITRES_STAT!B670</f>
        <v>45894</v>
      </c>
      <c r="B667" s="5">
        <f>TITRES_STAT!C670</f>
        <v>5.7</v>
      </c>
      <c r="C667" s="5">
        <f>TITRES_STAT!D670</f>
        <v>5.7</v>
      </c>
      <c r="D667" s="5">
        <f>TITRES_STAT!E670</f>
        <v>5.9980000000000002</v>
      </c>
      <c r="E667" s="2">
        <f t="shared" si="40"/>
        <v>-313.50925657399875</v>
      </c>
      <c r="F667" s="5" t="str">
        <f t="shared" si="43"/>
        <v>BULLISH</v>
      </c>
      <c r="G667" s="5" t="str">
        <f t="shared" si="42"/>
        <v>NEUTRAL</v>
      </c>
      <c r="H667" s="5" t="str">
        <f t="shared" si="41"/>
        <v>CONFIRMED BULLISH</v>
      </c>
    </row>
    <row r="668" spans="1:8" ht="13.5" x14ac:dyDescent="0.25">
      <c r="A668" s="3">
        <f>TITRES_STAT!B671</f>
        <v>45895</v>
      </c>
      <c r="B668" s="5">
        <f>TITRES_STAT!C671</f>
        <v>5.7</v>
      </c>
      <c r="C668" s="5">
        <f>TITRES_STAT!D671</f>
        <v>5.7</v>
      </c>
      <c r="D668" s="5">
        <f>TITRES_STAT!E671</f>
        <v>6.0380000000000003</v>
      </c>
      <c r="E668" s="2">
        <f t="shared" si="40"/>
        <v>-313.50925657399875</v>
      </c>
      <c r="F668" s="5" t="str">
        <f t="shared" si="43"/>
        <v>BEARISH</v>
      </c>
      <c r="G668" s="5" t="str">
        <f t="shared" si="42"/>
        <v>NEUTRAL</v>
      </c>
      <c r="H668" s="5" t="str">
        <f t="shared" si="41"/>
        <v>BEARISH DIVERGENCE</v>
      </c>
    </row>
    <row r="669" spans="1:8" ht="13.5" x14ac:dyDescent="0.25">
      <c r="A669" s="3">
        <f>TITRES_STAT!B672</f>
        <v>45896</v>
      </c>
      <c r="B669" s="5">
        <f>TITRES_STAT!C672</f>
        <v>5.69</v>
      </c>
      <c r="C669" s="5">
        <f>TITRES_STAT!D672</f>
        <v>5.69</v>
      </c>
      <c r="D669" s="5">
        <f>TITRES_STAT!E672</f>
        <v>6.0010000000000003</v>
      </c>
      <c r="E669" s="2">
        <f t="shared" si="40"/>
        <v>-319.51025657399873</v>
      </c>
      <c r="F669" s="5" t="str">
        <f t="shared" si="43"/>
        <v>BEARISH</v>
      </c>
      <c r="G669" s="5" t="str">
        <f t="shared" si="42"/>
        <v>STRONG</v>
      </c>
      <c r="H669" s="5" t="str">
        <f t="shared" si="41"/>
        <v>CONFIRMED BEARISH</v>
      </c>
    </row>
    <row r="670" spans="1:8" ht="13.5" x14ac:dyDescent="0.25">
      <c r="A670" s="3">
        <f>TITRES_STAT!B673</f>
        <v>45897</v>
      </c>
      <c r="B670" s="5">
        <f>TITRES_STAT!C673</f>
        <v>5.69</v>
      </c>
      <c r="C670" s="5">
        <f>TITRES_STAT!D673</f>
        <v>5.69</v>
      </c>
      <c r="D670" s="5">
        <f>TITRES_STAT!E673</f>
        <v>5.9829999999999997</v>
      </c>
      <c r="E670" s="2">
        <f t="shared" si="40"/>
        <v>-319.51025657399873</v>
      </c>
      <c r="F670" s="5" t="str">
        <f t="shared" si="43"/>
        <v>BEARISH</v>
      </c>
      <c r="G670" s="5" t="str">
        <f t="shared" si="42"/>
        <v>STRONG</v>
      </c>
      <c r="H670" s="5" t="str">
        <f t="shared" si="41"/>
        <v>CONFIRMED BEARISH</v>
      </c>
    </row>
    <row r="671" spans="1:8" ht="13.5" x14ac:dyDescent="0.25">
      <c r="A671" s="3">
        <f>TITRES_STAT!B674</f>
        <v>45898</v>
      </c>
      <c r="B671" s="5">
        <f>TITRES_STAT!C674</f>
        <v>5.7</v>
      </c>
      <c r="C671" s="5">
        <f>TITRES_STAT!D674</f>
        <v>5.7</v>
      </c>
      <c r="D671" s="5">
        <f>TITRES_STAT!E674</f>
        <v>5.9420000000000002</v>
      </c>
      <c r="E671" s="2">
        <f t="shared" si="40"/>
        <v>-313.56825657399872</v>
      </c>
      <c r="F671" s="5" t="str">
        <f t="shared" si="43"/>
        <v>BEARISH</v>
      </c>
      <c r="G671" s="5" t="str">
        <f t="shared" si="42"/>
        <v>NEUTRAL</v>
      </c>
      <c r="H671" s="5" t="str">
        <f t="shared" si="41"/>
        <v>CONFIRMED BEARISH</v>
      </c>
    </row>
    <row r="672" spans="1:8" ht="13.5" x14ac:dyDescent="0.25">
      <c r="A672" s="3">
        <f>TITRES_STAT!B675</f>
        <v>45901</v>
      </c>
      <c r="B672" s="5">
        <f>TITRES_STAT!C675</f>
        <v>6</v>
      </c>
      <c r="C672" s="5">
        <f>TITRES_STAT!D675</f>
        <v>6</v>
      </c>
      <c r="D672" s="5">
        <f>TITRES_STAT!E675</f>
        <v>5.915</v>
      </c>
      <c r="E672" s="2">
        <f t="shared" si="40"/>
        <v>-307.6532565739987</v>
      </c>
      <c r="F672" s="5" t="str">
        <f t="shared" si="43"/>
        <v>BULLISH</v>
      </c>
      <c r="G672" s="5" t="str">
        <f t="shared" si="42"/>
        <v>NEUTRAL</v>
      </c>
      <c r="H672" s="5" t="str">
        <f t="shared" si="41"/>
        <v>CONFIRMED BULLISH</v>
      </c>
    </row>
    <row r="673" spans="1:8" ht="13.5" x14ac:dyDescent="0.25">
      <c r="A673" s="3">
        <f>TITRES_STAT!B676</f>
        <v>45902</v>
      </c>
      <c r="B673" s="5">
        <f>TITRES_STAT!C676</f>
        <v>6.06</v>
      </c>
      <c r="C673" s="5">
        <f>TITRES_STAT!D676</f>
        <v>6.06</v>
      </c>
      <c r="D673" s="5">
        <f>TITRES_STAT!E676</f>
        <v>6.0650000000000004</v>
      </c>
      <c r="E673" s="2">
        <f t="shared" si="40"/>
        <v>-301.58825657399871</v>
      </c>
      <c r="F673" s="5" t="str">
        <f t="shared" si="43"/>
        <v>BULLISH</v>
      </c>
      <c r="G673" s="5" t="str">
        <f t="shared" si="42"/>
        <v>WEAK</v>
      </c>
      <c r="H673" s="5" t="str">
        <f t="shared" si="41"/>
        <v>CONFIRMED BULLISH</v>
      </c>
    </row>
    <row r="674" spans="1:8" ht="13.5" x14ac:dyDescent="0.25">
      <c r="A674" s="3">
        <f>TITRES_STAT!B677</f>
        <v>45903</v>
      </c>
      <c r="B674" s="5">
        <f>TITRES_STAT!C677</f>
        <v>6.05</v>
      </c>
      <c r="C674" s="5">
        <f>TITRES_STAT!D677</f>
        <v>6.05</v>
      </c>
      <c r="D674" s="5">
        <f>TITRES_STAT!E677</f>
        <v>6.2229999999999999</v>
      </c>
      <c r="E674" s="2">
        <f t="shared" si="40"/>
        <v>-307.81125657399872</v>
      </c>
      <c r="F674" s="5" t="str">
        <f t="shared" si="43"/>
        <v>BULLISH</v>
      </c>
      <c r="G674" s="5" t="str">
        <f t="shared" si="42"/>
        <v>WEAK</v>
      </c>
      <c r="H674" s="5" t="str">
        <f t="shared" si="41"/>
        <v>CONFIRMED BULLISH</v>
      </c>
    </row>
    <row r="675" spans="1:8" ht="13.5" x14ac:dyDescent="0.25">
      <c r="A675" s="3">
        <f>TITRES_STAT!B678</f>
        <v>45905</v>
      </c>
      <c r="B675" s="5">
        <f>TITRES_STAT!C678</f>
        <v>5.95</v>
      </c>
      <c r="C675" s="5">
        <f>TITRES_STAT!D678</f>
        <v>5.95</v>
      </c>
      <c r="D675" s="5">
        <f>TITRES_STAT!E678</f>
        <v>6.1</v>
      </c>
      <c r="E675" s="2">
        <f t="shared" si="40"/>
        <v>-313.91125657399874</v>
      </c>
      <c r="F675" s="5" t="str">
        <f t="shared" si="43"/>
        <v>BULLISH</v>
      </c>
      <c r="G675" s="5" t="str">
        <f t="shared" si="42"/>
        <v>NEUTRAL</v>
      </c>
      <c r="H675" s="5" t="str">
        <f t="shared" si="41"/>
        <v>CONFIRMED BULLISH</v>
      </c>
    </row>
    <row r="676" spans="1:8" ht="13.5" x14ac:dyDescent="0.25">
      <c r="A676" s="3">
        <f>TITRES_STAT!B679</f>
        <v>45908</v>
      </c>
      <c r="B676" s="5">
        <f>TITRES_STAT!C679</f>
        <v>6</v>
      </c>
      <c r="C676" s="5">
        <f>TITRES_STAT!D679</f>
        <v>6</v>
      </c>
      <c r="D676" s="5">
        <f>TITRES_STAT!E679</f>
        <v>6.1040000000000001</v>
      </c>
      <c r="E676" s="2">
        <f t="shared" si="40"/>
        <v>-307.80725657399876</v>
      </c>
      <c r="F676" s="5" t="str">
        <f t="shared" si="43"/>
        <v>BULLISH</v>
      </c>
      <c r="G676" s="5" t="str">
        <f t="shared" si="42"/>
        <v>NEUTRAL</v>
      </c>
      <c r="H676" s="5" t="str">
        <f t="shared" si="41"/>
        <v>CONFIRMED BULLISH</v>
      </c>
    </row>
    <row r="677" spans="1:8" ht="13.5" x14ac:dyDescent="0.25">
      <c r="A677" s="3">
        <f>TITRES_STAT!B680</f>
        <v>45909</v>
      </c>
      <c r="B677" s="5">
        <f>TITRES_STAT!C680</f>
        <v>5.93</v>
      </c>
      <c r="C677" s="5">
        <f>TITRES_STAT!D680</f>
        <v>5.93</v>
      </c>
      <c r="D677" s="5">
        <f>TITRES_STAT!E680</f>
        <v>6.1950000000000003</v>
      </c>
      <c r="E677" s="2">
        <f t="shared" si="40"/>
        <v>-314.00225657399875</v>
      </c>
      <c r="F677" s="5" t="str">
        <f t="shared" si="43"/>
        <v>BEARISH</v>
      </c>
      <c r="G677" s="5" t="str">
        <f t="shared" si="42"/>
        <v>STRONG</v>
      </c>
      <c r="H677" s="5" t="str">
        <f t="shared" si="41"/>
        <v>CONFIRMED BEARISH</v>
      </c>
    </row>
    <row r="678" spans="1:8" ht="13.5" x14ac:dyDescent="0.25">
      <c r="A678" s="3">
        <f>TITRES_STAT!B681</f>
        <v>45910</v>
      </c>
      <c r="B678" s="5">
        <f>TITRES_STAT!C681</f>
        <v>5.95</v>
      </c>
      <c r="C678" s="5">
        <f>TITRES_STAT!D681</f>
        <v>5.95</v>
      </c>
      <c r="D678" s="5">
        <f>TITRES_STAT!E681</f>
        <v>6.2380000000000004</v>
      </c>
      <c r="E678" s="2">
        <f t="shared" si="40"/>
        <v>-307.76425657399875</v>
      </c>
      <c r="F678" s="5" t="str">
        <f t="shared" si="43"/>
        <v>BEARISH</v>
      </c>
      <c r="G678" s="5" t="str">
        <f t="shared" si="42"/>
        <v>STRONG</v>
      </c>
      <c r="H678" s="5" t="str">
        <f t="shared" si="41"/>
        <v>CONFIRMED BEARISH</v>
      </c>
    </row>
    <row r="679" spans="1:8" ht="13.5" x14ac:dyDescent="0.25">
      <c r="A679" s="3">
        <f>TITRES_STAT!B682</f>
        <v>45911</v>
      </c>
      <c r="B679" s="5">
        <f>TITRES_STAT!C682</f>
        <v>6.14</v>
      </c>
      <c r="C679" s="5">
        <f>TITRES_STAT!D682</f>
        <v>6.14</v>
      </c>
      <c r="D679" s="5">
        <f>TITRES_STAT!E682</f>
        <v>0</v>
      </c>
      <c r="E679" s="2">
        <f t="shared" si="40"/>
        <v>-307.76425657399875</v>
      </c>
      <c r="F679" s="5" t="str">
        <f t="shared" si="43"/>
        <v>BULLISH</v>
      </c>
      <c r="G679" s="5" t="str">
        <f t="shared" si="42"/>
        <v>NEUTRAL</v>
      </c>
      <c r="H679" s="5" t="str">
        <f t="shared" si="41"/>
        <v>CONFIRMED BULLISH</v>
      </c>
    </row>
    <row r="680" spans="1:8" ht="13.5" x14ac:dyDescent="0.25">
      <c r="A680" s="3">
        <f>TITRES_STAT!B683</f>
        <v>45912</v>
      </c>
      <c r="B680" s="5">
        <f>TITRES_STAT!C683</f>
        <v>6.2</v>
      </c>
      <c r="C680" s="5">
        <f>TITRES_STAT!D683</f>
        <v>6.2</v>
      </c>
      <c r="D680" s="5">
        <f>TITRES_STAT!E683</f>
        <v>0</v>
      </c>
      <c r="E680" s="2">
        <f t="shared" si="40"/>
        <v>-307.76425657399875</v>
      </c>
      <c r="F680" s="5" t="str">
        <f t="shared" si="43"/>
        <v>BULLISH</v>
      </c>
      <c r="G680" s="5" t="str">
        <f t="shared" si="42"/>
        <v>NEUTRAL</v>
      </c>
      <c r="H680" s="5" t="str">
        <f t="shared" si="41"/>
        <v>CONFIRMED BULLISH</v>
      </c>
    </row>
    <row r="681" spans="1:8" ht="13.5" x14ac:dyDescent="0.25">
      <c r="A681" s="3">
        <f>TITRES_STAT!B684</f>
        <v>45915</v>
      </c>
      <c r="B681" s="5">
        <f>TITRES_STAT!C684</f>
        <v>6.1</v>
      </c>
      <c r="C681" s="5">
        <f>TITRES_STAT!D684</f>
        <v>6.1</v>
      </c>
      <c r="D681" s="5">
        <f>TITRES_STAT!E684</f>
        <v>0</v>
      </c>
      <c r="E681" s="2">
        <f t="shared" si="40"/>
        <v>-307.76425657399875</v>
      </c>
      <c r="F681" s="5" t="str">
        <f t="shared" si="43"/>
        <v>BULLISH</v>
      </c>
      <c r="G681" s="5" t="str">
        <f t="shared" si="42"/>
        <v>NEUTRAL</v>
      </c>
      <c r="H681" s="5" t="str">
        <f t="shared" si="41"/>
        <v>CONFIRMED BULLISH</v>
      </c>
    </row>
    <row r="682" spans="1:8" ht="13.5" x14ac:dyDescent="0.25">
      <c r="A682" s="3">
        <f>TITRES_STAT!B685</f>
        <v>45916</v>
      </c>
      <c r="B682" s="5">
        <f>TITRES_STAT!C685</f>
        <v>6.12</v>
      </c>
      <c r="C682" s="5">
        <f>TITRES_STAT!D685</f>
        <v>6.12</v>
      </c>
      <c r="D682" s="5">
        <f>TITRES_STAT!E685</f>
        <v>795</v>
      </c>
      <c r="E682" s="2">
        <f t="shared" si="40"/>
        <v>487.23574342600125</v>
      </c>
      <c r="F682" s="5" t="str">
        <f t="shared" si="43"/>
        <v>BULLISH</v>
      </c>
      <c r="G682" s="5" t="str">
        <f t="shared" si="42"/>
        <v>WEAK</v>
      </c>
      <c r="H682" s="5" t="str">
        <f t="shared" si="41"/>
        <v>CONFIRMED BULLISH</v>
      </c>
    </row>
    <row r="683" spans="1:8" ht="13.5" x14ac:dyDescent="0.25">
      <c r="A683" s="3">
        <f>TITRES_STAT!B686</f>
        <v>45917</v>
      </c>
      <c r="B683" s="5">
        <f>TITRES_STAT!C686</f>
        <v>6.23</v>
      </c>
      <c r="C683" s="5">
        <f>TITRES_STAT!D686</f>
        <v>6.23</v>
      </c>
      <c r="D683" s="5">
        <f>TITRES_STAT!E686</f>
        <v>160</v>
      </c>
      <c r="E683" s="2">
        <f t="shared" si="40"/>
        <v>647.23574342600125</v>
      </c>
      <c r="F683" s="5" t="str">
        <f t="shared" si="43"/>
        <v>BULLISH</v>
      </c>
      <c r="G683" s="5" t="str">
        <f t="shared" si="42"/>
        <v>WEAK</v>
      </c>
      <c r="H683" s="5" t="str">
        <f t="shared" si="41"/>
        <v>CONFIRMED BULLISH</v>
      </c>
    </row>
    <row r="684" spans="1:8" ht="13.5" x14ac:dyDescent="0.25">
      <c r="A684" s="3">
        <f>TITRES_STAT!B687</f>
        <v>45918</v>
      </c>
      <c r="B684" s="5">
        <f>TITRES_STAT!C687</f>
        <v>6.27</v>
      </c>
      <c r="C684" s="5">
        <f>TITRES_STAT!D687</f>
        <v>6.27</v>
      </c>
      <c r="D684" s="5">
        <f>TITRES_STAT!E687</f>
        <v>22</v>
      </c>
      <c r="E684" s="2">
        <f t="shared" si="40"/>
        <v>669.23574342600125</v>
      </c>
      <c r="F684" s="5" t="str">
        <f t="shared" si="43"/>
        <v>BULLISH</v>
      </c>
      <c r="G684" s="5" t="str">
        <f t="shared" si="42"/>
        <v>WEAK</v>
      </c>
      <c r="H684" s="5" t="str">
        <f t="shared" si="41"/>
        <v>CONFIRMED BULLISH</v>
      </c>
    </row>
    <row r="685" spans="1:8" ht="13.5" x14ac:dyDescent="0.25">
      <c r="A685" s="3">
        <f>TITRES_STAT!B688</f>
        <v>45919</v>
      </c>
      <c r="B685" s="5">
        <f>TITRES_STAT!C688</f>
        <v>6.34</v>
      </c>
      <c r="C685" s="5">
        <f>TITRES_STAT!D688</f>
        <v>6.34</v>
      </c>
      <c r="D685" s="5">
        <f>TITRES_STAT!E688</f>
        <v>31</v>
      </c>
      <c r="E685" s="2">
        <f t="shared" si="40"/>
        <v>700.23574342600125</v>
      </c>
      <c r="F685" s="5" t="str">
        <f t="shared" si="43"/>
        <v>BULLISH</v>
      </c>
      <c r="G685" s="5" t="str">
        <f t="shared" si="42"/>
        <v>WEAK</v>
      </c>
      <c r="H685" s="5" t="str">
        <f t="shared" si="41"/>
        <v>CONFIRMED BULLISH</v>
      </c>
    </row>
    <row r="686" spans="1:8" ht="13.5" x14ac:dyDescent="0.25">
      <c r="A686" s="3">
        <f>TITRES_STAT!B689</f>
        <v>45922</v>
      </c>
      <c r="B686" s="5">
        <f>TITRES_STAT!C689</f>
        <v>6.49</v>
      </c>
      <c r="C686" s="5">
        <f>TITRES_STAT!D689</f>
        <v>6.49</v>
      </c>
      <c r="D686" s="5">
        <f>TITRES_STAT!E689</f>
        <v>2636</v>
      </c>
      <c r="E686" s="2">
        <f t="shared" si="40"/>
        <v>3336.2357434260011</v>
      </c>
      <c r="F686" s="5" t="str">
        <f t="shared" si="43"/>
        <v>BULLISH</v>
      </c>
      <c r="G686" s="5" t="str">
        <f t="shared" si="42"/>
        <v>WEAK</v>
      </c>
      <c r="H686" s="5" t="str">
        <f t="shared" si="41"/>
        <v>CONFIRMED BULLISH</v>
      </c>
    </row>
    <row r="687" spans="1:8" ht="13.5" x14ac:dyDescent="0.25">
      <c r="A687" s="3">
        <f>TITRES_STAT!B690</f>
        <v>45923</v>
      </c>
      <c r="B687" s="5">
        <f>TITRES_STAT!C690</f>
        <v>6.48</v>
      </c>
      <c r="C687" s="5">
        <f>TITRES_STAT!D690</f>
        <v>6.48</v>
      </c>
      <c r="D687" s="5">
        <f>TITRES_STAT!E690</f>
        <v>0</v>
      </c>
      <c r="E687" s="2">
        <f t="shared" si="40"/>
        <v>3336.2357434260011</v>
      </c>
      <c r="F687" s="5" t="str">
        <f t="shared" si="43"/>
        <v>BULLISH</v>
      </c>
      <c r="G687" s="5" t="str">
        <f t="shared" si="42"/>
        <v>STRONG</v>
      </c>
      <c r="H687" s="5" t="str">
        <f t="shared" si="41"/>
        <v>CONFIRMED BULLISH</v>
      </c>
    </row>
    <row r="688" spans="1:8" ht="13.5" x14ac:dyDescent="0.25">
      <c r="A688" s="3">
        <f>TITRES_STAT!B691</f>
        <v>45924</v>
      </c>
      <c r="B688" s="5">
        <f>TITRES_STAT!C691</f>
        <v>6.5</v>
      </c>
      <c r="C688" s="5">
        <f>TITRES_STAT!D691</f>
        <v>6.5</v>
      </c>
      <c r="D688" s="5">
        <f>TITRES_STAT!E691</f>
        <v>8</v>
      </c>
      <c r="E688" s="2">
        <f t="shared" si="40"/>
        <v>3344.2357434260011</v>
      </c>
      <c r="F688" s="5" t="str">
        <f t="shared" si="43"/>
        <v>BULLISH</v>
      </c>
      <c r="G688" s="5" t="str">
        <f t="shared" si="42"/>
        <v>STRONG</v>
      </c>
      <c r="H688" s="5" t="str">
        <f t="shared" si="41"/>
        <v>CONFIRMED BULLISH</v>
      </c>
    </row>
    <row r="689" spans="1:8" ht="13.5" x14ac:dyDescent="0.25">
      <c r="A689" s="3">
        <f>TITRES_STAT!B692</f>
        <v>45925</v>
      </c>
      <c r="B689" s="5">
        <f>TITRES_STAT!C692</f>
        <v>6.48</v>
      </c>
      <c r="C689" s="5">
        <f>TITRES_STAT!D692</f>
        <v>6.48</v>
      </c>
      <c r="D689" s="5">
        <f>TITRES_STAT!E692</f>
        <v>0</v>
      </c>
      <c r="E689" s="2">
        <f t="shared" si="40"/>
        <v>3344.2357434260011</v>
      </c>
      <c r="F689" s="5" t="str">
        <f t="shared" si="43"/>
        <v>BULLISH</v>
      </c>
      <c r="G689" s="5" t="str">
        <f t="shared" si="42"/>
        <v>STRONG</v>
      </c>
      <c r="H689" s="5" t="str">
        <f t="shared" si="41"/>
        <v>CONFIRMED BULLISH</v>
      </c>
    </row>
    <row r="690" spans="1:8" ht="13.5" x14ac:dyDescent="0.25">
      <c r="A690" s="3">
        <f>TITRES_STAT!B693</f>
        <v>45926</v>
      </c>
      <c r="B690" s="5">
        <f>TITRES_STAT!C693</f>
        <v>6.44</v>
      </c>
      <c r="C690" s="5">
        <f>TITRES_STAT!D693</f>
        <v>6.44</v>
      </c>
      <c r="D690" s="5">
        <f>TITRES_STAT!E693</f>
        <v>100</v>
      </c>
      <c r="E690" s="2">
        <f t="shared" si="40"/>
        <v>3244.2357434260011</v>
      </c>
      <c r="F690" s="5" t="str">
        <f t="shared" si="43"/>
        <v>BULLISH</v>
      </c>
      <c r="G690" s="5" t="str">
        <f t="shared" si="42"/>
        <v>STRONG</v>
      </c>
      <c r="H690" s="5" t="str">
        <f t="shared" si="41"/>
        <v>CONFIRMED BULLISH</v>
      </c>
    </row>
    <row r="691" spans="1:8" ht="13.5" x14ac:dyDescent="0.25">
      <c r="A691" s="3">
        <f>TITRES_STAT!B694</f>
        <v>45929</v>
      </c>
      <c r="B691" s="5">
        <f>TITRES_STAT!C694</f>
        <v>6.45</v>
      </c>
      <c r="C691" s="5">
        <f>TITRES_STAT!D694</f>
        <v>6.45</v>
      </c>
      <c r="D691" s="5">
        <f>TITRES_STAT!E694</f>
        <v>100</v>
      </c>
      <c r="E691" s="2">
        <f t="shared" si="40"/>
        <v>3344.2357434260011</v>
      </c>
      <c r="F691" s="5" t="str">
        <f t="shared" si="43"/>
        <v>BULLISH</v>
      </c>
      <c r="G691" s="5" t="str">
        <f t="shared" si="42"/>
        <v>NEUTRAL</v>
      </c>
      <c r="H691" s="5" t="str">
        <f t="shared" si="41"/>
        <v>BULLISH DIVERGENCE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691"/>
  <sheetViews>
    <sheetView topLeftCell="A679" workbookViewId="0">
      <selection activeCell="A692" sqref="A692:XFD2693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44922</v>
      </c>
      <c r="B2" s="2">
        <f>RSI!B2</f>
        <v>0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44923</v>
      </c>
      <c r="B3" s="2">
        <f>RSI!B3</f>
        <v>0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44924</v>
      </c>
      <c r="B4" s="2">
        <f>RSI!B4</f>
        <v>5.266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44925</v>
      </c>
      <c r="B5" s="2">
        <f>RSI!B5</f>
        <v>5.4020000000000001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2.6669999999999998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44928</v>
      </c>
      <c r="B6" s="2">
        <f>RSI!B6</f>
        <v>5.3680000000000003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3.2072000000000003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44929</v>
      </c>
      <c r="B7" s="2">
        <f>RSI!B7</f>
        <v>5.3940000000000001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4.2859999999999996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BULLISH</v>
      </c>
      <c r="K7" s="5" t="e">
        <f>OBV!G7</f>
        <v>#DIV/0!</v>
      </c>
      <c r="L7" s="5" t="str">
        <f>OBV!H7</f>
        <v>CONFIRMED BULLISH</v>
      </c>
    </row>
    <row r="8" spans="1:12" ht="13.5" x14ac:dyDescent="0.25">
      <c r="A8" s="3">
        <f>RSI!A8</f>
        <v>44930</v>
      </c>
      <c r="B8" s="2">
        <f>RSI!B8</f>
        <v>5.266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5.3391999999999999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BULLISH</v>
      </c>
      <c r="K8" s="5" t="e">
        <f>OBV!G8</f>
        <v>#DIV/0!</v>
      </c>
      <c r="L8" s="5" t="str">
        <f>OBV!H8</f>
        <v>CONFIRMED BULLISH</v>
      </c>
    </row>
    <row r="9" spans="1:12" ht="13.5" x14ac:dyDescent="0.25">
      <c r="A9" s="3">
        <f>RSI!A9</f>
        <v>44931</v>
      </c>
      <c r="B9" s="2">
        <f>RSI!B9</f>
        <v>5.351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5.3561999999999994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BULLISH</v>
      </c>
      <c r="K9" s="5" t="str">
        <f>OBV!G9</f>
        <v>STRONG</v>
      </c>
      <c r="L9" s="5" t="str">
        <f>OBV!H9</f>
        <v>CONFIRMED BULLISH</v>
      </c>
    </row>
    <row r="10" spans="1:12" ht="13.5" x14ac:dyDescent="0.25">
      <c r="A10" s="3">
        <f>RSI!A10</f>
        <v>44932</v>
      </c>
      <c r="B10" s="2">
        <f>RSI!B10</f>
        <v>5.351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5.3459999999999992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NEUTRAL</v>
      </c>
      <c r="L10" s="5" t="str">
        <f>OBV!H10</f>
        <v>CONFIRMED BEARISH</v>
      </c>
    </row>
    <row r="11" spans="1:12" ht="13.5" x14ac:dyDescent="0.25">
      <c r="A11" s="3">
        <f>RSI!A11</f>
        <v>44935</v>
      </c>
      <c r="B11" s="2">
        <f>RSI!B11</f>
        <v>5.3170000000000002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5.3357999999999999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BULLISH</v>
      </c>
      <c r="K11" s="5" t="str">
        <f>OBV!G11</f>
        <v>NEUTRAL</v>
      </c>
      <c r="L11" s="5" t="str">
        <f>OBV!H11</f>
        <v>BULLISH DIVERGENCE</v>
      </c>
    </row>
    <row r="12" spans="1:12" ht="13.5" x14ac:dyDescent="0.25">
      <c r="A12" s="3">
        <f>RSI!A12</f>
        <v>44936</v>
      </c>
      <c r="B12" s="2">
        <f>RSI!B12</f>
        <v>5.266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5.3102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BEARISH</v>
      </c>
      <c r="K12" s="5" t="str">
        <f>OBV!G12</f>
        <v>WEAK</v>
      </c>
      <c r="L12" s="5" t="str">
        <f>OBV!H12</f>
        <v>CONFIRMED BEARISH</v>
      </c>
    </row>
    <row r="13" spans="1:12" ht="13.5" x14ac:dyDescent="0.25">
      <c r="A13" s="3">
        <f>RSI!A13</f>
        <v>44937</v>
      </c>
      <c r="B13" s="2">
        <f>RSI!B13</f>
        <v>5.3090000000000002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5.3187999999999995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BEARISH</v>
      </c>
      <c r="K13" s="5" t="str">
        <f>OBV!G13</f>
        <v>NEUTRAL</v>
      </c>
      <c r="L13" s="5" t="str">
        <f>OBV!H13</f>
        <v>BEARISH DIVERGENCE</v>
      </c>
    </row>
    <row r="14" spans="1:12" ht="13.5" x14ac:dyDescent="0.25">
      <c r="A14" s="3">
        <f>RSI!A14</f>
        <v>44938</v>
      </c>
      <c r="B14" s="2">
        <f>RSI!B14</f>
        <v>5.181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5.2847999999999997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BEARISH</v>
      </c>
      <c r="K14" s="5" t="str">
        <f>OBV!G14</f>
        <v>WEAK</v>
      </c>
      <c r="L14" s="5" t="str">
        <f>OBV!H14</f>
        <v>CONFIRMED BEARISH</v>
      </c>
    </row>
    <row r="15" spans="1:12" ht="13.5" x14ac:dyDescent="0.25">
      <c r="A15" s="3">
        <f>RSI!A15</f>
        <v>44939</v>
      </c>
      <c r="B15" s="2">
        <f>RSI!B15</f>
        <v>5.4189999999999996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5.2984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BEARISH</v>
      </c>
      <c r="K15" s="5" t="str">
        <f>OBV!G15</f>
        <v>WEAK</v>
      </c>
      <c r="L15" s="5" t="str">
        <f>OBV!H15</f>
        <v>BEARISH DIVERGENCE</v>
      </c>
    </row>
    <row r="16" spans="1:12" ht="13.5" x14ac:dyDescent="0.25">
      <c r="A16" s="3">
        <f>RSI!A16</f>
        <v>44942</v>
      </c>
      <c r="B16" s="2">
        <f>RSI!B16</f>
        <v>5.47</v>
      </c>
      <c r="C16" s="2">
        <f>RSI!I16</f>
        <v>93.971061093247584</v>
      </c>
      <c r="D16" s="2">
        <f>MACD!E16</f>
        <v>0</v>
      </c>
      <c r="E16" s="2">
        <f>MACD!F16</f>
        <v>0</v>
      </c>
      <c r="F16" s="2">
        <f>'Moving Avg'!D16</f>
        <v>5.3289999999999997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STRONG</v>
      </c>
      <c r="L16" s="5" t="str">
        <f>OBV!H16</f>
        <v>CONFIRMED BULLISH</v>
      </c>
    </row>
    <row r="17" spans="1:12" ht="13.5" x14ac:dyDescent="0.25">
      <c r="A17" s="3">
        <f>RSI!A17</f>
        <v>44943</v>
      </c>
      <c r="B17" s="2">
        <f>RSI!B17</f>
        <v>5.4359999999999999</v>
      </c>
      <c r="C17" s="2">
        <f>RSI!I17</f>
        <v>93.421117340415066</v>
      </c>
      <c r="D17" s="2">
        <f>MACD!E17</f>
        <v>0</v>
      </c>
      <c r="E17" s="2">
        <f>MACD!F17</f>
        <v>0</v>
      </c>
      <c r="F17" s="2">
        <f>'Moving Avg'!D17</f>
        <v>5.3629999999999995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BULLISH</v>
      </c>
      <c r="K17" s="5" t="str">
        <f>OBV!G17</f>
        <v>WEAK</v>
      </c>
      <c r="L17" s="5" t="str">
        <f>OBV!H17</f>
        <v>CONFIRMED BULLISH</v>
      </c>
    </row>
    <row r="18" spans="1:12" ht="13.5" x14ac:dyDescent="0.25">
      <c r="A18" s="3">
        <f>RSI!A18</f>
        <v>44944</v>
      </c>
      <c r="B18" s="2">
        <f>RSI!B18</f>
        <v>5.4619999999999997</v>
      </c>
      <c r="C18" s="2">
        <f>RSI!I18</f>
        <v>93.452672278778394</v>
      </c>
      <c r="D18" s="2">
        <f>MACD!E18</f>
        <v>0</v>
      </c>
      <c r="E18" s="2">
        <f>MACD!F18</f>
        <v>0</v>
      </c>
      <c r="F18" s="2">
        <f>'Moving Avg'!D18</f>
        <v>5.3936000000000002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STRONG</v>
      </c>
      <c r="L18" s="5" t="str">
        <f>OBV!H18</f>
        <v>CONFIRMED BULLISH</v>
      </c>
    </row>
    <row r="19" spans="1:12" ht="13.5" x14ac:dyDescent="0.25">
      <c r="A19" s="3">
        <f>RSI!A19</f>
        <v>44945</v>
      </c>
      <c r="B19" s="2">
        <f>RSI!B19</f>
        <v>5.4619999999999997</v>
      </c>
      <c r="C19" s="2">
        <f>RSI!I19</f>
        <v>93.452672278778394</v>
      </c>
      <c r="D19" s="2">
        <f>MACD!E19</f>
        <v>0</v>
      </c>
      <c r="E19" s="2">
        <f>MACD!F19</f>
        <v>0</v>
      </c>
      <c r="F19" s="2">
        <f>'Moving Avg'!D19</f>
        <v>5.4497999999999998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BULLISH</v>
      </c>
      <c r="K19" s="5" t="str">
        <f>OBV!G19</f>
        <v>WEAK</v>
      </c>
      <c r="L19" s="5" t="str">
        <f>OBV!H19</f>
        <v>CONFIRMED BULLISH</v>
      </c>
    </row>
    <row r="20" spans="1:12" ht="13.5" x14ac:dyDescent="0.25">
      <c r="A20" s="3">
        <f>RSI!A20</f>
        <v>44946</v>
      </c>
      <c r="B20" s="2">
        <f>RSI!B20</f>
        <v>5.4359999999999999</v>
      </c>
      <c r="C20" s="2">
        <f>RSI!I20</f>
        <v>92.935700140774657</v>
      </c>
      <c r="D20" s="2">
        <f>MACD!E20</f>
        <v>0</v>
      </c>
      <c r="E20" s="2">
        <f>MACD!F20</f>
        <v>0</v>
      </c>
      <c r="F20" s="2">
        <f>'Moving Avg'!D20</f>
        <v>5.4531999999999998</v>
      </c>
      <c r="G20" s="2">
        <f>'Moving Avg'!F20</f>
        <v>4.7976842105263158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NEUTRAL</v>
      </c>
      <c r="L20" s="5" t="str">
        <f>OBV!H20</f>
        <v>CONFIRMED BULLISH</v>
      </c>
    </row>
    <row r="21" spans="1:12" ht="13.5" x14ac:dyDescent="0.25">
      <c r="A21" s="3">
        <f>RSI!A21</f>
        <v>44949</v>
      </c>
      <c r="B21" s="2">
        <f>RSI!B21</f>
        <v>5.3940000000000001</v>
      </c>
      <c r="C21" s="2">
        <f>RSI!I21</f>
        <v>92.04985229208306</v>
      </c>
      <c r="D21" s="2">
        <f>MACD!E21</f>
        <v>0</v>
      </c>
      <c r="E21" s="2">
        <f>MACD!F21</f>
        <v>0</v>
      </c>
      <c r="F21" s="2">
        <f>'Moving Avg'!D21</f>
        <v>5.4379999999999997</v>
      </c>
      <c r="G21" s="2">
        <f>'Moving Avg'!F21</f>
        <v>4.8275000000000006</v>
      </c>
      <c r="H21" s="2">
        <f>'Moving Avg'!G21</f>
        <v>0</v>
      </c>
      <c r="I21" s="2">
        <f>'Moving Avg'!H21</f>
        <v>0</v>
      </c>
      <c r="J21" s="5" t="str">
        <f>OBV!F21</f>
        <v>BEARISH</v>
      </c>
      <c r="K21" s="5" t="str">
        <f>OBV!G21</f>
        <v>WEAK</v>
      </c>
      <c r="L21" s="5" t="str">
        <f>OBV!H21</f>
        <v>CONFIRMED BEARISH</v>
      </c>
    </row>
    <row r="22" spans="1:12" ht="13.5" x14ac:dyDescent="0.25">
      <c r="A22" s="3">
        <f>RSI!A22</f>
        <v>44950</v>
      </c>
      <c r="B22" s="2">
        <f>RSI!B22</f>
        <v>5.4189999999999996</v>
      </c>
      <c r="C22" s="2">
        <f>RSI!I22</f>
        <v>92.09813388923439</v>
      </c>
      <c r="D22" s="2">
        <f>MACD!E22</f>
        <v>0</v>
      </c>
      <c r="E22" s="2">
        <f>MACD!F22</f>
        <v>0</v>
      </c>
      <c r="F22" s="2">
        <f>'Moving Avg'!D22</f>
        <v>5.4345999999999997</v>
      </c>
      <c r="G22" s="2">
        <f>'Moving Avg'!F22</f>
        <v>5.0984500000000006</v>
      </c>
      <c r="H22" s="2">
        <f>'Moving Avg'!G22</f>
        <v>0</v>
      </c>
      <c r="I22" s="2">
        <f>'Moving Avg'!H22</f>
        <v>0</v>
      </c>
      <c r="J22" s="5" t="str">
        <f>OBV!F22</f>
        <v>BEARISH</v>
      </c>
      <c r="K22" s="5" t="str">
        <f>OBV!G22</f>
        <v>NEUTRAL</v>
      </c>
      <c r="L22" s="5" t="str">
        <f>OBV!H22</f>
        <v>CONFIRMED BEARISH</v>
      </c>
    </row>
    <row r="23" spans="1:12" ht="13.5" x14ac:dyDescent="0.25">
      <c r="A23" s="3">
        <f>RSI!A23</f>
        <v>44951</v>
      </c>
      <c r="B23" s="2">
        <f>RSI!B23</f>
        <v>5.3259999999999996</v>
      </c>
      <c r="C23" s="2">
        <f>RSI!I23</f>
        <v>89.910648387318361</v>
      </c>
      <c r="D23" s="2">
        <f>MACD!E23</f>
        <v>0</v>
      </c>
      <c r="E23" s="2">
        <f>MACD!F23</f>
        <v>0</v>
      </c>
      <c r="F23" s="2">
        <f>'Moving Avg'!D23</f>
        <v>5.4074000000000009</v>
      </c>
      <c r="G23" s="2">
        <f>'Moving Avg'!F23</f>
        <v>5.3647499999999999</v>
      </c>
      <c r="H23" s="2">
        <f>'Moving Avg'!G23</f>
        <v>0</v>
      </c>
      <c r="I23" s="2">
        <f>'Moving Avg'!H23</f>
        <v>0</v>
      </c>
      <c r="J23" s="5" t="str">
        <f>OBV!F23</f>
        <v>BEARISH</v>
      </c>
      <c r="K23" s="5" t="str">
        <f>OBV!G23</f>
        <v>WEAK</v>
      </c>
      <c r="L23" s="5" t="str">
        <f>OBV!H23</f>
        <v>CONFIRMED BEARISH</v>
      </c>
    </row>
    <row r="24" spans="1:12" ht="13.5" x14ac:dyDescent="0.25">
      <c r="A24" s="3">
        <f>RSI!A24</f>
        <v>44952</v>
      </c>
      <c r="B24" s="2">
        <f>RSI!B24</f>
        <v>5.351</v>
      </c>
      <c r="C24" s="2">
        <f>RSI!I24</f>
        <v>89.979549044303582</v>
      </c>
      <c r="D24" s="2">
        <f>MACD!E24</f>
        <v>0</v>
      </c>
      <c r="E24" s="2">
        <f>MACD!F24</f>
        <v>0</v>
      </c>
      <c r="F24" s="2">
        <f>'Moving Avg'!D24</f>
        <v>5.3851999999999993</v>
      </c>
      <c r="G24" s="2">
        <f>'Moving Avg'!F24</f>
        <v>5.3690000000000007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WEAK</v>
      </c>
      <c r="L24" s="5" t="str">
        <f>OBV!H24</f>
        <v>CONFIRMED BEARISH</v>
      </c>
    </row>
    <row r="25" spans="1:12" ht="13.5" x14ac:dyDescent="0.25">
      <c r="A25" s="3">
        <f>RSI!A25</f>
        <v>44953</v>
      </c>
      <c r="B25" s="2">
        <f>RSI!B25</f>
        <v>5.4020000000000001</v>
      </c>
      <c r="C25" s="2">
        <f>RSI!I25</f>
        <v>90.127662646357692</v>
      </c>
      <c r="D25" s="2">
        <f>MACD!E25</f>
        <v>0</v>
      </c>
      <c r="E25" s="2">
        <f>MACD!F25</f>
        <v>0</v>
      </c>
      <c r="F25" s="2">
        <f>'Moving Avg'!D25</f>
        <v>5.3784000000000001</v>
      </c>
      <c r="G25" s="2">
        <f>'Moving Avg'!F25</f>
        <v>5.3689999999999998</v>
      </c>
      <c r="H25" s="2">
        <f>'Moving Avg'!G25</f>
        <v>0</v>
      </c>
      <c r="I25" s="2">
        <f>'Moving Avg'!H25</f>
        <v>0</v>
      </c>
      <c r="J25" s="5" t="str">
        <f>OBV!F25</f>
        <v>BULLISH</v>
      </c>
      <c r="K25" s="5" t="str">
        <f>OBV!G25</f>
        <v>STRONG</v>
      </c>
      <c r="L25" s="5" t="str">
        <f>OBV!H25</f>
        <v>BULLISH DIVERGENCE</v>
      </c>
    </row>
    <row r="26" spans="1:12" ht="13.5" x14ac:dyDescent="0.25">
      <c r="A26" s="3">
        <f>RSI!A26</f>
        <v>44956</v>
      </c>
      <c r="B26" s="2">
        <f>RSI!B26</f>
        <v>5.4279999999999999</v>
      </c>
      <c r="C26" s="2">
        <f>RSI!I26</f>
        <v>90.207133044112368</v>
      </c>
      <c r="D26" s="2">
        <f>MACD!E26</f>
        <v>0</v>
      </c>
      <c r="E26" s="2">
        <f>MACD!F26</f>
        <v>0</v>
      </c>
      <c r="F26" s="2">
        <f>'Moving Avg'!D26</f>
        <v>5.3852000000000002</v>
      </c>
      <c r="G26" s="2">
        <f>'Moving Avg'!F26</f>
        <v>5.3719999999999999</v>
      </c>
      <c r="H26" s="2">
        <f>'Moving Avg'!G26</f>
        <v>0</v>
      </c>
      <c r="I26" s="2">
        <f>'Moving Avg'!H26</f>
        <v>0</v>
      </c>
      <c r="J26" s="5" t="str">
        <f>OBV!F26</f>
        <v>BULLISH</v>
      </c>
      <c r="K26" s="5" t="str">
        <f>OBV!G26</f>
        <v>WEAK</v>
      </c>
      <c r="L26" s="5" t="str">
        <f>OBV!H26</f>
        <v>CONFIRMED BULLISH</v>
      </c>
    </row>
    <row r="27" spans="1:12" ht="13.5" x14ac:dyDescent="0.25">
      <c r="A27" s="3">
        <f>RSI!A27</f>
        <v>44957</v>
      </c>
      <c r="B27" s="2">
        <f>RSI!B27</f>
        <v>5.4279999999999999</v>
      </c>
      <c r="C27" s="2">
        <f>RSI!I27</f>
        <v>90.207133044112368</v>
      </c>
      <c r="D27" s="2">
        <f>MACD!E27</f>
        <v>0.31299953454358587</v>
      </c>
      <c r="E27" s="2">
        <f>MACD!F27</f>
        <v>0</v>
      </c>
      <c r="F27" s="2">
        <f>'Moving Avg'!D27</f>
        <v>5.3870000000000005</v>
      </c>
      <c r="G27" s="2">
        <f>'Moving Avg'!F27</f>
        <v>5.3736999999999995</v>
      </c>
      <c r="H27" s="2">
        <f>'Moving Avg'!G27</f>
        <v>0</v>
      </c>
      <c r="I27" s="2">
        <f>'Moving Avg'!H27</f>
        <v>0</v>
      </c>
      <c r="J27" s="5" t="str">
        <f>OBV!F27</f>
        <v>BULLISH</v>
      </c>
      <c r="K27" s="5" t="str">
        <f>OBV!G27</f>
        <v>STRONG</v>
      </c>
      <c r="L27" s="5" t="str">
        <f>OBV!H27</f>
        <v>CONFIRMED BULLISH</v>
      </c>
    </row>
    <row r="28" spans="1:12" ht="13.5" x14ac:dyDescent="0.25">
      <c r="A28" s="3">
        <f>RSI!A28</f>
        <v>44958</v>
      </c>
      <c r="B28" s="2">
        <f>RSI!B28</f>
        <v>5.4279999999999999</v>
      </c>
      <c r="C28" s="2">
        <f>RSI!I28</f>
        <v>90.207133044112368</v>
      </c>
      <c r="D28" s="2">
        <f>MACD!E28</f>
        <v>0.30758167934972303</v>
      </c>
      <c r="E28" s="2">
        <f>MACD!F28</f>
        <v>0</v>
      </c>
      <c r="F28" s="2">
        <f>'Moving Avg'!D28</f>
        <v>5.4074000000000009</v>
      </c>
      <c r="G28" s="2">
        <f>'Moving Avg'!F28</f>
        <v>5.3818000000000001</v>
      </c>
      <c r="H28" s="2">
        <f>'Moving Avg'!G28</f>
        <v>0</v>
      </c>
      <c r="I28" s="2">
        <f>'Moving Avg'!H28</f>
        <v>0</v>
      </c>
      <c r="J28" s="5" t="str">
        <f>OBV!F28</f>
        <v>BULLISH</v>
      </c>
      <c r="K28" s="5" t="str">
        <f>OBV!G28</f>
        <v>WEAK</v>
      </c>
      <c r="L28" s="5" t="str">
        <f>OBV!H28</f>
        <v>CONFIRMED BULLISH</v>
      </c>
    </row>
    <row r="29" spans="1:12" ht="13.5" x14ac:dyDescent="0.25">
      <c r="A29" s="3">
        <f>RSI!A29</f>
        <v>44959</v>
      </c>
      <c r="B29" s="2">
        <f>RSI!B29</f>
        <v>5.4279999999999999</v>
      </c>
      <c r="C29" s="2">
        <f>RSI!I29</f>
        <v>90.207133044112368</v>
      </c>
      <c r="D29" s="2">
        <f>MACD!E29</f>
        <v>0.30021918107134393</v>
      </c>
      <c r="E29" s="2">
        <f>MACD!F29</f>
        <v>0</v>
      </c>
      <c r="F29" s="2">
        <f>'Moving Avg'!D29</f>
        <v>5.4228000000000005</v>
      </c>
      <c r="G29" s="2">
        <f>'Moving Avg'!F29</f>
        <v>5.3856499999999992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str">
        <f>OBV!G29</f>
        <v>STRONG</v>
      </c>
      <c r="L29" s="5" t="str">
        <f>OBV!H29</f>
        <v>CONFIRMED BULLISH</v>
      </c>
    </row>
    <row r="30" spans="1:12" ht="13.5" x14ac:dyDescent="0.25">
      <c r="A30" s="3">
        <f>RSI!A30</f>
        <v>44960</v>
      </c>
      <c r="B30" s="2">
        <f>RSI!B30</f>
        <v>5.3940000000000001</v>
      </c>
      <c r="C30" s="2">
        <f>RSI!I30</f>
        <v>88.947730479898098</v>
      </c>
      <c r="D30" s="2">
        <f>MACD!E30</f>
        <v>0.28993552366154418</v>
      </c>
      <c r="E30" s="2">
        <f>MACD!F30</f>
        <v>0</v>
      </c>
      <c r="F30" s="2">
        <f>'Moving Avg'!D30</f>
        <v>5.4212000000000007</v>
      </c>
      <c r="G30" s="2">
        <f>'Moving Avg'!F30</f>
        <v>5.3877999999999995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NEUTRAL</v>
      </c>
      <c r="L30" s="5" t="str">
        <f>OBV!H30</f>
        <v>BULLISH DIVERGENCE</v>
      </c>
    </row>
    <row r="31" spans="1:12" ht="13.5" x14ac:dyDescent="0.25">
      <c r="A31" s="3">
        <f>RSI!A31</f>
        <v>44963</v>
      </c>
      <c r="B31" s="2">
        <f>RSI!B31</f>
        <v>5.3849999999999998</v>
      </c>
      <c r="C31" s="2">
        <f>RSI!I31</f>
        <v>88.595130873895386</v>
      </c>
      <c r="D31" s="2">
        <f>MACD!E31</f>
        <v>0.27325817926741003</v>
      </c>
      <c r="E31" s="2">
        <f>MACD!F31</f>
        <v>0</v>
      </c>
      <c r="F31" s="2">
        <f>'Moving Avg'!D31</f>
        <v>5.4125999999999994</v>
      </c>
      <c r="G31" s="2">
        <f>'Moving Avg'!F31</f>
        <v>5.3911999999999995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WEAK</v>
      </c>
      <c r="L31" s="5" t="str">
        <f>OBV!H31</f>
        <v>CONFIRMED BEARISH</v>
      </c>
    </row>
    <row r="32" spans="1:12" ht="13.5" x14ac:dyDescent="0.25">
      <c r="A32" s="3">
        <f>RSI!A32</f>
        <v>44964</v>
      </c>
      <c r="B32" s="2">
        <f>RSI!B32</f>
        <v>5.3</v>
      </c>
      <c r="C32" s="2">
        <f>RSI!I32</f>
        <v>85.161517115591451</v>
      </c>
      <c r="D32" s="2">
        <f>MACD!E32</f>
        <v>0.26732284472194934</v>
      </c>
      <c r="E32" s="2">
        <f>MACD!F32</f>
        <v>0</v>
      </c>
      <c r="F32" s="2">
        <f>'Moving Avg'!D32</f>
        <v>5.3869999999999996</v>
      </c>
      <c r="G32" s="2">
        <f>'Moving Avg'!F32</f>
        <v>5.3929</v>
      </c>
      <c r="H32" s="2">
        <f>'Moving Avg'!G32</f>
        <v>0</v>
      </c>
      <c r="I32" s="2">
        <f>'Moving Avg'!H32</f>
        <v>0</v>
      </c>
      <c r="J32" s="5" t="str">
        <f>OBV!F32</f>
        <v>BEARISH</v>
      </c>
      <c r="K32" s="5" t="str">
        <f>OBV!G32</f>
        <v>WEAK</v>
      </c>
      <c r="L32" s="5" t="str">
        <f>OBV!H32</f>
        <v>CONFIRMED BEARISH</v>
      </c>
    </row>
    <row r="33" spans="1:12" ht="13.5" x14ac:dyDescent="0.25">
      <c r="A33" s="3">
        <f>RSI!A33</f>
        <v>44965</v>
      </c>
      <c r="B33" s="2">
        <f>RSI!B33</f>
        <v>5.181</v>
      </c>
      <c r="C33" s="2">
        <f>RSI!I33</f>
        <v>80.460037717880482</v>
      </c>
      <c r="D33" s="2">
        <f>MACD!E33</f>
        <v>0.25548948751713674</v>
      </c>
      <c r="E33" s="2">
        <f>MACD!F33</f>
        <v>0</v>
      </c>
      <c r="F33" s="2">
        <f>'Moving Avg'!D33</f>
        <v>5.3376000000000001</v>
      </c>
      <c r="G33" s="2">
        <f>'Moving Avg'!F33</f>
        <v>5.3864999999999998</v>
      </c>
      <c r="H33" s="2">
        <f>'Moving Avg'!G33</f>
        <v>0</v>
      </c>
      <c r="I33" s="2">
        <f>'Moving Avg'!H33</f>
        <v>0</v>
      </c>
      <c r="J33" s="5" t="str">
        <f>OBV!F33</f>
        <v>BEARISH</v>
      </c>
      <c r="K33" s="5" t="str">
        <f>OBV!G33</f>
        <v>WEAK</v>
      </c>
      <c r="L33" s="5" t="str">
        <f>OBV!H33</f>
        <v>CONFIRMED BEARISH</v>
      </c>
    </row>
    <row r="34" spans="1:12" ht="13.5" x14ac:dyDescent="0.25">
      <c r="A34" s="3">
        <f>RSI!A34</f>
        <v>44966</v>
      </c>
      <c r="B34" s="2">
        <f>RSI!B34</f>
        <v>5.2149999999999999</v>
      </c>
      <c r="C34" s="2">
        <f>RSI!I34</f>
        <v>80.786412244590565</v>
      </c>
      <c r="D34" s="2">
        <f>MACD!E34</f>
        <v>0.24628683457869727</v>
      </c>
      <c r="E34" s="2">
        <f>MACD!F34</f>
        <v>0</v>
      </c>
      <c r="F34" s="2">
        <f>'Moving Avg'!D34</f>
        <v>5.2949999999999999</v>
      </c>
      <c r="G34" s="2">
        <f>'Moving Avg'!F34</f>
        <v>5.3881999999999994</v>
      </c>
      <c r="H34" s="2">
        <f>'Moving Avg'!G34</f>
        <v>0</v>
      </c>
      <c r="I34" s="2">
        <f>'Moving Avg'!H34</f>
        <v>0</v>
      </c>
      <c r="J34" s="5" t="str">
        <f>OBV!F34</f>
        <v>BEARISH</v>
      </c>
      <c r="K34" s="5" t="str">
        <f>OBV!G34</f>
        <v>WEAK</v>
      </c>
      <c r="L34" s="5" t="str">
        <f>OBV!H34</f>
        <v>CONFIRMED BEARISH</v>
      </c>
    </row>
    <row r="35" spans="1:12" ht="13.5" x14ac:dyDescent="0.25">
      <c r="A35" s="3">
        <f>RSI!A35</f>
        <v>44967</v>
      </c>
      <c r="B35" s="2">
        <f>RSI!B35</f>
        <v>5.2069999999999999</v>
      </c>
      <c r="C35" s="2">
        <f>RSI!I35</f>
        <v>80.445931643568116</v>
      </c>
      <c r="D35" s="2">
        <f>MACD!E35</f>
        <v>0.24625869527275501</v>
      </c>
      <c r="E35" s="2">
        <f>MACD!F35</f>
        <v>0.2777057733315717</v>
      </c>
      <c r="F35" s="2">
        <f>'Moving Avg'!D35</f>
        <v>5.2576000000000001</v>
      </c>
      <c r="G35" s="2">
        <f>'Moving Avg'!F35</f>
        <v>5.3775999999999993</v>
      </c>
      <c r="H35" s="2">
        <f>'Moving Avg'!G35</f>
        <v>0</v>
      </c>
      <c r="I35" s="2">
        <f>'Moving Avg'!H35</f>
        <v>0</v>
      </c>
      <c r="J35" s="5" t="str">
        <f>OBV!F35</f>
        <v>BEARISH</v>
      </c>
      <c r="K35" s="5" t="str">
        <f>OBV!G35</f>
        <v>WEAK</v>
      </c>
      <c r="L35" s="5" t="str">
        <f>OBV!H35</f>
        <v>CONFIRMED BEARISH</v>
      </c>
    </row>
    <row r="36" spans="1:12" ht="13.5" x14ac:dyDescent="0.25">
      <c r="A36" s="3">
        <f>RSI!A36</f>
        <v>44970</v>
      </c>
      <c r="B36" s="2">
        <f>RSI!B36</f>
        <v>5.181</v>
      </c>
      <c r="C36" s="2">
        <f>RSI!I36</f>
        <v>79.276521963975057</v>
      </c>
      <c r="D36" s="2">
        <f>MACD!E36</f>
        <v>0.25157843005843894</v>
      </c>
      <c r="E36" s="2">
        <f>MACD!F36</f>
        <v>0.27248030467694517</v>
      </c>
      <c r="F36" s="2">
        <f>'Moving Avg'!D36</f>
        <v>5.2168000000000001</v>
      </c>
      <c r="G36" s="2">
        <f>'Moving Avg'!F36</f>
        <v>5.3631499999999992</v>
      </c>
      <c r="H36" s="2">
        <f>'Moving Avg'!G36</f>
        <v>0</v>
      </c>
      <c r="I36" s="2">
        <f>'Moving Avg'!H36</f>
        <v>0</v>
      </c>
      <c r="J36" s="5" t="str">
        <f>OBV!F36</f>
        <v>BEARISH</v>
      </c>
      <c r="K36" s="5" t="str">
        <f>OBV!G36</f>
        <v>WEAK</v>
      </c>
      <c r="L36" s="5" t="str">
        <f>OBV!H36</f>
        <v>CONFIRMED BEARISH</v>
      </c>
    </row>
    <row r="37" spans="1:12" ht="13.5" x14ac:dyDescent="0.25">
      <c r="A37" s="3">
        <f>RSI!A37</f>
        <v>44971</v>
      </c>
      <c r="B37" s="2">
        <f>RSI!B37</f>
        <v>5.173</v>
      </c>
      <c r="C37" s="2">
        <f>RSI!I37</f>
        <v>78.896488713317837</v>
      </c>
      <c r="D37" s="2">
        <f>MACD!E37</f>
        <v>0.25628673018900638</v>
      </c>
      <c r="E37" s="2">
        <f>MACD!F37</f>
        <v>0.26924158977935742</v>
      </c>
      <c r="F37" s="2">
        <f>'Moving Avg'!D37</f>
        <v>5.1913999999999998</v>
      </c>
      <c r="G37" s="2">
        <f>'Moving Avg'!F37</f>
        <v>5.35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WEAK</v>
      </c>
      <c r="L37" s="5" t="str">
        <f>OBV!H37</f>
        <v>CONFIRMED BEARISH</v>
      </c>
    </row>
    <row r="38" spans="1:12" ht="13.5" x14ac:dyDescent="0.25">
      <c r="A38" s="3">
        <f>RSI!A38</f>
        <v>44972</v>
      </c>
      <c r="B38" s="2">
        <f>RSI!B38</f>
        <v>5.1639999999999997</v>
      </c>
      <c r="C38" s="2">
        <f>RSI!I38</f>
        <v>78.440916869374703</v>
      </c>
      <c r="D38" s="2">
        <f>MACD!E38</f>
        <v>0.26062757239741163</v>
      </c>
      <c r="E38" s="2">
        <f>MACD!F38</f>
        <v>0.26751878630296827</v>
      </c>
      <c r="F38" s="2">
        <f>'Moving Avg'!D38</f>
        <v>5.1880000000000006</v>
      </c>
      <c r="G38" s="2">
        <f>'Moving Avg'!F38</f>
        <v>5.3350999999999997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STRONG</v>
      </c>
      <c r="L38" s="5" t="str">
        <f>OBV!H38</f>
        <v>CONFIRMED BEARISH</v>
      </c>
    </row>
    <row r="39" spans="1:12" ht="13.5" x14ac:dyDescent="0.25">
      <c r="A39" s="3">
        <f>RSI!A39</f>
        <v>44973</v>
      </c>
      <c r="B39" s="2">
        <f>RSI!B39</f>
        <v>5.181</v>
      </c>
      <c r="C39" s="2">
        <f>RSI!I39</f>
        <v>78.69121008779149</v>
      </c>
      <c r="D39" s="2">
        <f>MACD!E39</f>
        <v>0.26280769011171934</v>
      </c>
      <c r="E39" s="2">
        <f>MACD!F39</f>
        <v>0.26657656706471849</v>
      </c>
      <c r="F39" s="2">
        <f>'Moving Avg'!D39</f>
        <v>5.1812000000000005</v>
      </c>
      <c r="G39" s="2">
        <f>'Moving Avg'!F39</f>
        <v>5.3210499999999987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WEAK</v>
      </c>
      <c r="L39" s="5" t="str">
        <f>OBV!H39</f>
        <v>CONFIRMED BEARISH</v>
      </c>
    </row>
    <row r="40" spans="1:12" ht="13.5" x14ac:dyDescent="0.25">
      <c r="A40" s="3">
        <f>RSI!A40</f>
        <v>44974</v>
      </c>
      <c r="B40" s="2">
        <f>RSI!B40</f>
        <v>5.1639999999999997</v>
      </c>
      <c r="C40" s="2">
        <f>RSI!I40</f>
        <v>77.719507147486681</v>
      </c>
      <c r="D40" s="2">
        <f>MACD!E40</f>
        <v>0.2603641049578389</v>
      </c>
      <c r="E40" s="2">
        <f>MACD!F40</f>
        <v>0.26533407464334258</v>
      </c>
      <c r="F40" s="2">
        <f>'Moving Avg'!D40</f>
        <v>5.1726000000000001</v>
      </c>
      <c r="G40" s="2">
        <f>'Moving Avg'!F40</f>
        <v>5.3074499999999993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STRONG</v>
      </c>
      <c r="L40" s="5" t="str">
        <f>OBV!H40</f>
        <v>CONFIRMED BEARISH</v>
      </c>
    </row>
    <row r="41" spans="1:12" ht="13.5" x14ac:dyDescent="0.25">
      <c r="A41" s="3">
        <f>RSI!A41</f>
        <v>44977</v>
      </c>
      <c r="B41" s="2">
        <f>RSI!B41</f>
        <v>5.1639999999999997</v>
      </c>
      <c r="C41" s="2">
        <f>RSI!I41</f>
        <v>77.719507147486681</v>
      </c>
      <c r="D41" s="2">
        <f>MACD!E41</f>
        <v>0.256718970094167</v>
      </c>
      <c r="E41" s="2">
        <f>MACD!F41</f>
        <v>0.26361105373350746</v>
      </c>
      <c r="F41" s="2">
        <f>'Moving Avg'!D41</f>
        <v>5.1692000000000009</v>
      </c>
      <c r="G41" s="2">
        <f>'Moving Avg'!F41</f>
        <v>5.2959499999999995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STRONG</v>
      </c>
      <c r="L41" s="5" t="str">
        <f>OBV!H41</f>
        <v>CONFIRMED BEARISH</v>
      </c>
    </row>
    <row r="42" spans="1:12" ht="13.5" x14ac:dyDescent="0.25">
      <c r="A42" s="3">
        <f>RSI!A42</f>
        <v>44978</v>
      </c>
      <c r="B42" s="2">
        <f>RSI!B42</f>
        <v>5.1639999999999997</v>
      </c>
      <c r="C42" s="2">
        <f>RSI!I42</f>
        <v>77.719507147486681</v>
      </c>
      <c r="D42" s="2">
        <f>MACD!E42</f>
        <v>0.24037911833380576</v>
      </c>
      <c r="E42" s="2">
        <f>MACD!F42</f>
        <v>0.25896466665356715</v>
      </c>
      <c r="F42" s="2">
        <f>'Moving Avg'!D42</f>
        <v>5.1673999999999989</v>
      </c>
      <c r="G42" s="2">
        <f>'Moving Avg'!F42</f>
        <v>5.283199999999999</v>
      </c>
      <c r="H42" s="2">
        <f>'Moving Avg'!G42</f>
        <v>0</v>
      </c>
      <c r="I42" s="2">
        <f>'Moving Avg'!H42</f>
        <v>0</v>
      </c>
      <c r="J42" s="5" t="str">
        <f>OBV!F42</f>
        <v>BEARISH</v>
      </c>
      <c r="K42" s="5" t="str">
        <f>OBV!G42</f>
        <v>STRONG</v>
      </c>
      <c r="L42" s="5" t="str">
        <f>OBV!H42</f>
        <v>CONFIRMED BEARISH</v>
      </c>
    </row>
    <row r="43" spans="1:12" ht="13.5" x14ac:dyDescent="0.25">
      <c r="A43" s="3">
        <f>RSI!A43</f>
        <v>44979</v>
      </c>
      <c r="B43" s="2">
        <f>RSI!B43</f>
        <v>5.1639999999999997</v>
      </c>
      <c r="C43" s="2">
        <f>RSI!I43</f>
        <v>77.719507147486681</v>
      </c>
      <c r="D43" s="2">
        <f>MACD!E43</f>
        <v>0.2080800422442497</v>
      </c>
      <c r="E43" s="2">
        <f>MACD!F43</f>
        <v>0.24878774177170368</v>
      </c>
      <c r="F43" s="2">
        <f>'Moving Avg'!D43</f>
        <v>5.1673999999999989</v>
      </c>
      <c r="G43" s="2">
        <f>'Moving Avg'!F43</f>
        <v>5.2751000000000001</v>
      </c>
      <c r="H43" s="2">
        <f>'Moving Avg'!G43</f>
        <v>0</v>
      </c>
      <c r="I43" s="2">
        <f>'Moving Avg'!H43</f>
        <v>0</v>
      </c>
      <c r="J43" s="5" t="str">
        <f>OBV!F43</f>
        <v>BEARISH</v>
      </c>
      <c r="K43" s="5" t="str">
        <f>OBV!G43</f>
        <v>NEUTRAL</v>
      </c>
      <c r="L43" s="5" t="str">
        <f>OBV!H43</f>
        <v>NEUTRAL</v>
      </c>
    </row>
    <row r="44" spans="1:12" ht="13.5" x14ac:dyDescent="0.25">
      <c r="A44" s="3">
        <f>RSI!A44</f>
        <v>44980</v>
      </c>
      <c r="B44" s="2">
        <f>RSI!B44</f>
        <v>5.1559999999999997</v>
      </c>
      <c r="C44" s="2">
        <f>RSI!I44</f>
        <v>77.116759031660706</v>
      </c>
      <c r="D44" s="2">
        <f>MACD!E44</f>
        <v>0.18642030978383506</v>
      </c>
      <c r="E44" s="2">
        <f>MACD!F44</f>
        <v>0.23631425537412995</v>
      </c>
      <c r="F44" s="2">
        <f>'Moving Avg'!D44</f>
        <v>5.1623999999999999</v>
      </c>
      <c r="G44" s="2">
        <f>'Moving Avg'!F44</f>
        <v>5.2653499999999998</v>
      </c>
      <c r="H44" s="2">
        <f>'Moving Avg'!G44</f>
        <v>0</v>
      </c>
      <c r="I44" s="2">
        <f>'Moving Avg'!H44</f>
        <v>0</v>
      </c>
      <c r="J44" s="5" t="str">
        <f>OBV!F44</f>
        <v>BEARISH</v>
      </c>
      <c r="K44" s="5" t="str">
        <f>OBV!G44</f>
        <v>STRONG</v>
      </c>
      <c r="L44" s="5" t="str">
        <f>OBV!H44</f>
        <v>CONFIRMED BEARISH</v>
      </c>
    </row>
    <row r="45" spans="1:12" ht="13.5" x14ac:dyDescent="0.25">
      <c r="A45" s="3">
        <f>RSI!A45</f>
        <v>44981</v>
      </c>
      <c r="B45" s="2">
        <f>RSI!B45</f>
        <v>5.1559999999999997</v>
      </c>
      <c r="C45" s="2">
        <f>RSI!I45</f>
        <v>77.116759031660706</v>
      </c>
      <c r="D45" s="2">
        <f>MACD!E45</f>
        <v>0.16676758139138848</v>
      </c>
      <c r="E45" s="2">
        <f>MACD!F45</f>
        <v>0.22240492057758168</v>
      </c>
      <c r="F45" s="2">
        <f>'Moving Avg'!D45</f>
        <v>5.1608000000000001</v>
      </c>
      <c r="G45" s="2">
        <f>'Moving Avg'!F45</f>
        <v>5.25305</v>
      </c>
      <c r="H45" s="2">
        <f>'Moving Avg'!G45</f>
        <v>0</v>
      </c>
      <c r="I45" s="2">
        <f>'Moving Avg'!H45</f>
        <v>0</v>
      </c>
      <c r="J45" s="5" t="str">
        <f>OBV!F45</f>
        <v>BEARISH</v>
      </c>
      <c r="K45" s="5" t="str">
        <f>OBV!G45</f>
        <v>STRONG</v>
      </c>
      <c r="L45" s="5" t="str">
        <f>OBV!H45</f>
        <v>CONFIRMED BEARISH</v>
      </c>
    </row>
    <row r="46" spans="1:12" ht="13.5" x14ac:dyDescent="0.25">
      <c r="A46" s="3">
        <f>RSI!A46</f>
        <v>44984</v>
      </c>
      <c r="B46" s="2">
        <f>RSI!B46</f>
        <v>5.1559999999999997</v>
      </c>
      <c r="C46" s="2">
        <f>RSI!I46</f>
        <v>77.116759031660706</v>
      </c>
      <c r="D46" s="2">
        <f>MACD!E46</f>
        <v>0.1460508559398539</v>
      </c>
      <c r="E46" s="2">
        <f>MACD!F46</f>
        <v>0.20713410765003615</v>
      </c>
      <c r="F46" s="2">
        <f>'Moving Avg'!D46</f>
        <v>5.1591999999999993</v>
      </c>
      <c r="G46" s="2">
        <f>'Moving Avg'!F46</f>
        <v>5.2394500000000006</v>
      </c>
      <c r="H46" s="2">
        <f>'Moving Avg'!G46</f>
        <v>0</v>
      </c>
      <c r="I46" s="2">
        <f>'Moving Avg'!H46</f>
        <v>0</v>
      </c>
      <c r="J46" s="5" t="str">
        <f>OBV!F46</f>
        <v>BEARISH</v>
      </c>
      <c r="K46" s="5" t="str">
        <f>OBV!G46</f>
        <v>STRONG</v>
      </c>
      <c r="L46" s="5" t="str">
        <f>OBV!H46</f>
        <v>CONFIRMED BEARISH</v>
      </c>
    </row>
    <row r="47" spans="1:12" ht="13.5" x14ac:dyDescent="0.25">
      <c r="A47" s="3">
        <f>RSI!A47</f>
        <v>44985</v>
      </c>
      <c r="B47" s="2">
        <f>RSI!B47</f>
        <v>5.1470000000000002</v>
      </c>
      <c r="C47" s="2">
        <f>RSI!I47</f>
        <v>76.28546588710671</v>
      </c>
      <c r="D47" s="2">
        <f>MACD!E47</f>
        <v>0.12787620373777031</v>
      </c>
      <c r="E47" s="2">
        <f>MACD!F47</f>
        <v>0.19128252686758301</v>
      </c>
      <c r="F47" s="2">
        <f>'Moving Avg'!D47</f>
        <v>5.1557999999999993</v>
      </c>
      <c r="G47" s="2">
        <f>'Moving Avg'!F47</f>
        <v>5.2254000000000014</v>
      </c>
      <c r="H47" s="2">
        <f>'Moving Avg'!G47</f>
        <v>0</v>
      </c>
      <c r="I47" s="2">
        <f>'Moving Avg'!H47</f>
        <v>0</v>
      </c>
      <c r="J47" s="5" t="str">
        <f>OBV!F47</f>
        <v>BEARISH</v>
      </c>
      <c r="K47" s="5" t="str">
        <f>OBV!G47</f>
        <v>STRONG</v>
      </c>
      <c r="L47" s="5" t="str">
        <f>OBV!H47</f>
        <v>CONFIRMED BEARISH</v>
      </c>
    </row>
    <row r="48" spans="1:12" ht="13.5" x14ac:dyDescent="0.25">
      <c r="A48" s="3">
        <f>RSI!A48</f>
        <v>44986</v>
      </c>
      <c r="B48" s="2">
        <f>RSI!B48</f>
        <v>5.1390000000000002</v>
      </c>
      <c r="C48" s="2">
        <f>RSI!I48</f>
        <v>75.506316248852016</v>
      </c>
      <c r="D48" s="2">
        <f>MACD!E48</f>
        <v>0.11168379869354261</v>
      </c>
      <c r="E48" s="2">
        <f>MACD!F48</f>
        <v>0.17536278123277493</v>
      </c>
      <c r="F48" s="2">
        <f>'Moving Avg'!D48</f>
        <v>5.1508000000000003</v>
      </c>
      <c r="G48" s="2">
        <f>'Moving Avg'!F48</f>
        <v>5.2109500000000013</v>
      </c>
      <c r="H48" s="2">
        <f>'Moving Avg'!G48</f>
        <v>0</v>
      </c>
      <c r="I48" s="2">
        <f>'Moving Avg'!H48</f>
        <v>0</v>
      </c>
      <c r="J48" s="5" t="str">
        <f>OBV!F48</f>
        <v>BEARISH</v>
      </c>
      <c r="K48" s="5" t="str">
        <f>OBV!G48</f>
        <v>STRONG</v>
      </c>
      <c r="L48" s="5" t="str">
        <f>OBV!H48</f>
        <v>CONFIRMED BEARISH</v>
      </c>
    </row>
    <row r="49" spans="1:12" ht="13.5" x14ac:dyDescent="0.25">
      <c r="A49" s="3">
        <f>RSI!A49</f>
        <v>44987</v>
      </c>
      <c r="B49" s="2">
        <f>RSI!B49</f>
        <v>5.1390000000000002</v>
      </c>
      <c r="C49" s="2">
        <f>RSI!I49</f>
        <v>75.506316248852016</v>
      </c>
      <c r="D49" s="2">
        <f>MACD!E49</f>
        <v>0.10062497652278246</v>
      </c>
      <c r="E49" s="2">
        <f>MACD!F49</f>
        <v>0.16041522029077646</v>
      </c>
      <c r="F49" s="2">
        <f>'Moving Avg'!D49</f>
        <v>5.1473999999999993</v>
      </c>
      <c r="G49" s="2">
        <f>'Moving Avg'!F49</f>
        <v>5.1965000000000012</v>
      </c>
      <c r="H49" s="2">
        <f>'Moving Avg'!G49</f>
        <v>0</v>
      </c>
      <c r="I49" s="2">
        <f>'Moving Avg'!H49</f>
        <v>0</v>
      </c>
      <c r="J49" s="5" t="str">
        <f>OBV!F49</f>
        <v>BEARISH</v>
      </c>
      <c r="K49" s="5" t="str">
        <f>OBV!G49</f>
        <v>STRONG</v>
      </c>
      <c r="L49" s="5" t="str">
        <f>OBV!H49</f>
        <v>CONFIRMED BEARISH</v>
      </c>
    </row>
    <row r="50" spans="1:12" ht="13.5" x14ac:dyDescent="0.25">
      <c r="A50" s="3">
        <f>RSI!A50</f>
        <v>44988</v>
      </c>
      <c r="B50" s="2">
        <f>RSI!B50</f>
        <v>5.13</v>
      </c>
      <c r="C50" s="2">
        <f>RSI!I50</f>
        <v>74.513348732584006</v>
      </c>
      <c r="D50" s="2">
        <f>MACD!E50</f>
        <v>8.9343848308963913E-2</v>
      </c>
      <c r="E50" s="2">
        <f>MACD!F50</f>
        <v>0.14620094589441396</v>
      </c>
      <c r="F50" s="2">
        <f>'Moving Avg'!D50</f>
        <v>5.1421999999999999</v>
      </c>
      <c r="G50" s="2">
        <f>'Moving Avg'!F50</f>
        <v>5.1833000000000009</v>
      </c>
      <c r="H50" s="2">
        <f>'Moving Avg'!G50</f>
        <v>5.0779591836734692</v>
      </c>
      <c r="I50" s="2">
        <f>'Moving Avg'!H50</f>
        <v>0</v>
      </c>
      <c r="J50" s="5" t="str">
        <f>OBV!F50</f>
        <v>BEARISH</v>
      </c>
      <c r="K50" s="5" t="str">
        <f>OBV!G50</f>
        <v>STRONG</v>
      </c>
      <c r="L50" s="5" t="str">
        <f>OBV!H50</f>
        <v>CONFIRMED BEARISH</v>
      </c>
    </row>
    <row r="51" spans="1:12" ht="13.5" x14ac:dyDescent="0.25">
      <c r="A51" s="3">
        <f>RSI!A51</f>
        <v>44991</v>
      </c>
      <c r="B51" s="2">
        <f>RSI!B51</f>
        <v>5.0960000000000001</v>
      </c>
      <c r="C51" s="2">
        <f>RSI!I51</f>
        <v>70.729171896830053</v>
      </c>
      <c r="D51" s="2">
        <f>MACD!E51</f>
        <v>8.2393176935641854E-2</v>
      </c>
      <c r="E51" s="2">
        <f>MACD!F51</f>
        <v>0.13343939210265954</v>
      </c>
      <c r="F51" s="2">
        <f>'Moving Avg'!D51</f>
        <v>5.1302000000000003</v>
      </c>
      <c r="G51" s="2">
        <f>'Moving Avg'!F51</f>
        <v>5.1688500000000008</v>
      </c>
      <c r="H51" s="2">
        <f>'Moving Avg'!G51</f>
        <v>5.0783199999999997</v>
      </c>
      <c r="I51" s="2">
        <f>'Moving Avg'!H51</f>
        <v>0</v>
      </c>
      <c r="J51" s="5" t="str">
        <f>OBV!F51</f>
        <v>BEARISH</v>
      </c>
      <c r="K51" s="5" t="str">
        <f>OBV!G51</f>
        <v>STRONG</v>
      </c>
      <c r="L51" s="5" t="str">
        <f>OBV!H51</f>
        <v>CONFIRMED BEARISH</v>
      </c>
    </row>
    <row r="52" spans="1:12" ht="13.5" x14ac:dyDescent="0.25">
      <c r="A52" s="3">
        <f>RSI!A52</f>
        <v>44992</v>
      </c>
      <c r="B52" s="2">
        <f>RSI!B52</f>
        <v>5.0960000000000001</v>
      </c>
      <c r="C52" s="2">
        <f>RSI!I52</f>
        <v>70.729171896830053</v>
      </c>
      <c r="D52" s="2">
        <f>MACD!E52</f>
        <v>7.6783469427361695E-2</v>
      </c>
      <c r="E52" s="2">
        <f>MACD!F52</f>
        <v>0.12210820756759998</v>
      </c>
      <c r="F52" s="2">
        <f>'Moving Avg'!D52</f>
        <v>5.12</v>
      </c>
      <c r="G52" s="2">
        <f>'Moving Avg'!F52</f>
        <v>5.1586500000000006</v>
      </c>
      <c r="H52" s="2">
        <f>'Moving Avg'!G52</f>
        <v>5.1802400000000004</v>
      </c>
      <c r="I52" s="2">
        <f>'Moving Avg'!H52</f>
        <v>0</v>
      </c>
      <c r="J52" s="5" t="str">
        <f>OBV!F52</f>
        <v>BEARISH</v>
      </c>
      <c r="K52" s="5" t="str">
        <f>OBV!G52</f>
        <v>STRONG</v>
      </c>
      <c r="L52" s="5" t="str">
        <f>OBV!H52</f>
        <v>CONFIRMED BEARISH</v>
      </c>
    </row>
    <row r="53" spans="1:12" ht="13.5" x14ac:dyDescent="0.25">
      <c r="A53" s="3">
        <f>RSI!A53</f>
        <v>44993</v>
      </c>
      <c r="B53" s="2">
        <f>RSI!B53</f>
        <v>5.0880000000000001</v>
      </c>
      <c r="C53" s="2">
        <f>RSI!I53</f>
        <v>69.762366683569766</v>
      </c>
      <c r="D53" s="2">
        <f>MACD!E53</f>
        <v>7.2880895517144495E-2</v>
      </c>
      <c r="E53" s="2">
        <f>MACD!F53</f>
        <v>0.11226274515750889</v>
      </c>
      <c r="F53" s="2">
        <f>'Moving Avg'!D53</f>
        <v>5.1097999999999999</v>
      </c>
      <c r="G53" s="2">
        <f>'Moving Avg'!F53</f>
        <v>5.1539999999999999</v>
      </c>
      <c r="H53" s="2">
        <f>'Moving Avg'!G53</f>
        <v>5.282</v>
      </c>
      <c r="I53" s="2">
        <f>'Moving Avg'!H53</f>
        <v>0</v>
      </c>
      <c r="J53" s="5" t="str">
        <f>OBV!F53</f>
        <v>BEARISH</v>
      </c>
      <c r="K53" s="5" t="str">
        <f>OBV!G53</f>
        <v>STRONG</v>
      </c>
      <c r="L53" s="5" t="str">
        <f>OBV!H53</f>
        <v>CONFIRMED BEARISH</v>
      </c>
    </row>
    <row r="54" spans="1:12" ht="13.5" x14ac:dyDescent="0.25">
      <c r="A54" s="3">
        <f>RSI!A54</f>
        <v>44994</v>
      </c>
      <c r="B54" s="2">
        <f>RSI!B54</f>
        <v>5.3090000000000002</v>
      </c>
      <c r="C54" s="2">
        <f>RSI!I54</f>
        <v>78.503891942810256</v>
      </c>
      <c r="D54" s="2">
        <f>MACD!E54</f>
        <v>5.2257729114357332E-2</v>
      </c>
      <c r="E54" s="2">
        <f>MACD!F54</f>
        <v>0.10026174194887859</v>
      </c>
      <c r="F54" s="2">
        <f>'Moving Avg'!D54</f>
        <v>5.1438000000000006</v>
      </c>
      <c r="G54" s="2">
        <f>'Moving Avg'!F54</f>
        <v>5.1586999999999996</v>
      </c>
      <c r="H54" s="2">
        <f>'Moving Avg'!G54</f>
        <v>5.2828600000000003</v>
      </c>
      <c r="I54" s="2">
        <f>'Moving Avg'!H54</f>
        <v>0</v>
      </c>
      <c r="J54" s="5" t="str">
        <f>OBV!F54</f>
        <v>BEARISH</v>
      </c>
      <c r="K54" s="5" t="str">
        <f>OBV!G54</f>
        <v>STRONG</v>
      </c>
      <c r="L54" s="5" t="str">
        <f>OBV!H54</f>
        <v>BEARISH DIVERGENCE</v>
      </c>
    </row>
    <row r="55" spans="1:12" ht="13.5" x14ac:dyDescent="0.25">
      <c r="A55" s="3">
        <f>RSI!A55</f>
        <v>44995</v>
      </c>
      <c r="B55" s="2">
        <f>RSI!B55</f>
        <v>5.3339999999999996</v>
      </c>
      <c r="C55" s="2">
        <f>RSI!I55</f>
        <v>79.235198752741084</v>
      </c>
      <c r="D55" s="2">
        <f>MACD!E55</f>
        <v>3.1909006387222938E-2</v>
      </c>
      <c r="E55" s="2">
        <f>MACD!F55</f>
        <v>8.6591194836547467E-2</v>
      </c>
      <c r="F55" s="2">
        <f>'Moving Avg'!D55</f>
        <v>5.1846000000000005</v>
      </c>
      <c r="G55" s="2">
        <f>'Moving Avg'!F55</f>
        <v>5.165049999999999</v>
      </c>
      <c r="H55" s="2">
        <f>'Moving Avg'!G55</f>
        <v>5.2814999999999994</v>
      </c>
      <c r="I55" s="2">
        <f>'Moving Avg'!H55</f>
        <v>0</v>
      </c>
      <c r="J55" s="5" t="str">
        <f>OBV!F55</f>
        <v>BULLISH</v>
      </c>
      <c r="K55" s="5" t="str">
        <f>OBV!G55</f>
        <v>NEUTRAL</v>
      </c>
      <c r="L55" s="5" t="str">
        <f>OBV!H55</f>
        <v>CONFIRMED BULLISH</v>
      </c>
    </row>
    <row r="56" spans="1:12" ht="13.5" x14ac:dyDescent="0.25">
      <c r="A56" s="3">
        <f>RSI!A56</f>
        <v>44998</v>
      </c>
      <c r="B56" s="2">
        <f>RSI!B56</f>
        <v>5.3259999999999996</v>
      </c>
      <c r="C56" s="2">
        <f>RSI!I56</f>
        <v>78.317012982720684</v>
      </c>
      <c r="D56" s="2">
        <f>MACD!E56</f>
        <v>1.4166742069528837E-2</v>
      </c>
      <c r="E56" s="2">
        <f>MACD!F56</f>
        <v>7.2106304283143741E-2</v>
      </c>
      <c r="F56" s="2">
        <f>'Moving Avg'!D56</f>
        <v>5.2306000000000008</v>
      </c>
      <c r="G56" s="2">
        <f>'Moving Avg'!F56</f>
        <v>5.1722999999999999</v>
      </c>
      <c r="H56" s="2">
        <f>'Moving Avg'!G56</f>
        <v>5.2806600000000001</v>
      </c>
      <c r="I56" s="2">
        <f>'Moving Avg'!H56</f>
        <v>0</v>
      </c>
      <c r="J56" s="5" t="str">
        <f>OBV!F56</f>
        <v>BULLISH</v>
      </c>
      <c r="K56" s="5" t="str">
        <f>OBV!G56</f>
        <v>NEUTRAL</v>
      </c>
      <c r="L56" s="5" t="str">
        <f>OBV!H56</f>
        <v>CONFIRMED BULLISH</v>
      </c>
    </row>
    <row r="57" spans="1:12" ht="13.5" x14ac:dyDescent="0.25">
      <c r="A57" s="3">
        <f>RSI!A57</f>
        <v>44999</v>
      </c>
      <c r="B57" s="2">
        <f>RSI!B57</f>
        <v>5.3849999999999998</v>
      </c>
      <c r="C57" s="2">
        <f>RSI!I57</f>
        <v>80.144444674287797</v>
      </c>
      <c r="D57" s="2">
        <f>MACD!E57</f>
        <v>-7.5876444137872312E-3</v>
      </c>
      <c r="E57" s="2">
        <f>MACD!F57</f>
        <v>5.6167514543757548E-2</v>
      </c>
      <c r="F57" s="2">
        <f>'Moving Avg'!D57</f>
        <v>5.2884000000000002</v>
      </c>
      <c r="G57" s="2">
        <f>'Moving Avg'!F57</f>
        <v>5.1829000000000001</v>
      </c>
      <c r="H57" s="2">
        <f>'Moving Avg'!G57</f>
        <v>5.2804799999999998</v>
      </c>
      <c r="I57" s="2">
        <f>'Moving Avg'!H57</f>
        <v>0</v>
      </c>
      <c r="J57" s="5" t="str">
        <f>OBV!F57</f>
        <v>BULLISH</v>
      </c>
      <c r="K57" s="5" t="str">
        <f>OBV!G57</f>
        <v>WEAK</v>
      </c>
      <c r="L57" s="5" t="str">
        <f>OBV!H57</f>
        <v>CONFIRMED BULLISH</v>
      </c>
    </row>
    <row r="58" spans="1:12" ht="13.5" x14ac:dyDescent="0.25">
      <c r="A58" s="3">
        <f>RSI!A58</f>
        <v>45000</v>
      </c>
      <c r="B58" s="2">
        <f>RSI!B58</f>
        <v>5.4359999999999999</v>
      </c>
      <c r="C58" s="2">
        <f>RSI!I58</f>
        <v>81.588901581162176</v>
      </c>
      <c r="D58" s="2">
        <f>MACD!E58</f>
        <v>-3.2266008246427447E-2</v>
      </c>
      <c r="E58" s="2">
        <f>MACD!F58</f>
        <v>3.8480809985720552E-2</v>
      </c>
      <c r="F58" s="2">
        <f>'Moving Avg'!D58</f>
        <v>5.3579999999999997</v>
      </c>
      <c r="G58" s="2">
        <f>'Moving Avg'!F58</f>
        <v>5.1965000000000003</v>
      </c>
      <c r="H58" s="2">
        <f>'Moving Avg'!G58</f>
        <v>5.283879999999999</v>
      </c>
      <c r="I58" s="2">
        <f>'Moving Avg'!H58</f>
        <v>0</v>
      </c>
      <c r="J58" s="5" t="str">
        <f>OBV!F58</f>
        <v>BULLISH</v>
      </c>
      <c r="K58" s="5" t="str">
        <f>OBV!G58</f>
        <v>WEAK</v>
      </c>
      <c r="L58" s="5" t="str">
        <f>OBV!H58</f>
        <v>CONFIRMED BULLISH</v>
      </c>
    </row>
    <row r="59" spans="1:12" ht="13.5" x14ac:dyDescent="0.25">
      <c r="A59" s="3">
        <f>RSI!A59</f>
        <v>45001</v>
      </c>
      <c r="B59" s="2">
        <f>RSI!B59</f>
        <v>5.4359999999999999</v>
      </c>
      <c r="C59" s="2">
        <f>RSI!I59</f>
        <v>81.588901581162176</v>
      </c>
      <c r="D59" s="2">
        <f>MACD!E59</f>
        <v>-5.4617820272041762E-2</v>
      </c>
      <c r="E59" s="2">
        <f>MACD!F59</f>
        <v>1.9861083934168088E-2</v>
      </c>
      <c r="F59" s="2">
        <f>'Moving Avg'!D59</f>
        <v>5.3834</v>
      </c>
      <c r="G59" s="2">
        <f>'Moving Avg'!F59</f>
        <v>5.2092499999999999</v>
      </c>
      <c r="H59" s="2">
        <f>'Moving Avg'!G59</f>
        <v>5.2855799999999986</v>
      </c>
      <c r="I59" s="2">
        <f>'Moving Avg'!H59</f>
        <v>0</v>
      </c>
      <c r="J59" s="5" t="str">
        <f>OBV!F59</f>
        <v>BULLISH</v>
      </c>
      <c r="K59" s="5" t="str">
        <f>OBV!G59</f>
        <v>WEAK</v>
      </c>
      <c r="L59" s="5" t="str">
        <f>OBV!H59</f>
        <v>CONFIRMED BULLISH</v>
      </c>
    </row>
    <row r="60" spans="1:12" ht="13.5" x14ac:dyDescent="0.25">
      <c r="A60" s="3">
        <f>RSI!A60</f>
        <v>45002</v>
      </c>
      <c r="B60" s="2">
        <f>RSI!B60</f>
        <v>5.3940000000000001</v>
      </c>
      <c r="C60" s="2">
        <f>RSI!I60</f>
        <v>76.288256538585301</v>
      </c>
      <c r="D60" s="2">
        <f>MACD!E60</f>
        <v>-7.3165618066786564E-2</v>
      </c>
      <c r="E60" s="2">
        <f>MACD!F60</f>
        <v>1.2557435339771578E-3</v>
      </c>
      <c r="F60" s="2">
        <f>'Moving Avg'!D60</f>
        <v>5.3953999999999995</v>
      </c>
      <c r="G60" s="2">
        <f>'Moving Avg'!F60</f>
        <v>5.2207500000000007</v>
      </c>
      <c r="H60" s="2">
        <f>'Moving Avg'!G60</f>
        <v>5.2864399999999989</v>
      </c>
      <c r="I60" s="2">
        <f>'Moving Avg'!H60</f>
        <v>0</v>
      </c>
      <c r="J60" s="5" t="str">
        <f>OBV!F60</f>
        <v>BULLISH</v>
      </c>
      <c r="K60" s="5" t="str">
        <f>OBV!G60</f>
        <v>NEUTRAL</v>
      </c>
      <c r="L60" s="5" t="str">
        <f>OBV!H60</f>
        <v>CONFIRMED BULLISH</v>
      </c>
    </row>
    <row r="61" spans="1:12" ht="13.5" x14ac:dyDescent="0.25">
      <c r="A61" s="3">
        <f>RSI!A61</f>
        <v>45006</v>
      </c>
      <c r="B61" s="2">
        <f>RSI!B61</f>
        <v>5.3940000000000001</v>
      </c>
      <c r="C61" s="2">
        <f>RSI!I61</f>
        <v>76.288256538585301</v>
      </c>
      <c r="D61" s="2">
        <f>MACD!E61</f>
        <v>-9.5102888497806681E-2</v>
      </c>
      <c r="E61" s="2">
        <f>MACD!F61</f>
        <v>-1.8015982872379609E-2</v>
      </c>
      <c r="F61" s="2">
        <f>'Moving Avg'!D61</f>
        <v>5.4089999999999989</v>
      </c>
      <c r="G61" s="2">
        <f>'Moving Avg'!F61</f>
        <v>5.2322500000000023</v>
      </c>
      <c r="H61" s="2">
        <f>'Moving Avg'!G61</f>
        <v>5.2879800000000001</v>
      </c>
      <c r="I61" s="2">
        <f>'Moving Avg'!H61</f>
        <v>0</v>
      </c>
      <c r="J61" s="5" t="str">
        <f>OBV!F61</f>
        <v>BULLISH</v>
      </c>
      <c r="K61" s="5" t="str">
        <f>OBV!G61</f>
        <v>WEAK</v>
      </c>
      <c r="L61" s="5" t="str">
        <f>OBV!H61</f>
        <v>CONFIRMED BULLISH</v>
      </c>
    </row>
    <row r="62" spans="1:12" ht="13.5" x14ac:dyDescent="0.25">
      <c r="A62" s="3">
        <f>RSI!A62</f>
        <v>45007</v>
      </c>
      <c r="B62" s="2">
        <f>RSI!B62</f>
        <v>5.3849999999999998</v>
      </c>
      <c r="C62" s="2">
        <f>RSI!I62</f>
        <v>75.076091161565898</v>
      </c>
      <c r="D62" s="2">
        <f>MACD!E62</f>
        <v>-0.11393575976430004</v>
      </c>
      <c r="E62" s="2">
        <f>MACD!F62</f>
        <v>-3.7199938250763696E-2</v>
      </c>
      <c r="F62" s="2">
        <f>'Moving Avg'!D62</f>
        <v>5.4089999999999989</v>
      </c>
      <c r="G62" s="2">
        <f>'Moving Avg'!F62</f>
        <v>5.2433000000000014</v>
      </c>
      <c r="H62" s="2">
        <f>'Moving Avg'!G62</f>
        <v>5.2903599999999997</v>
      </c>
      <c r="I62" s="2">
        <f>'Moving Avg'!H62</f>
        <v>0</v>
      </c>
      <c r="J62" s="5" t="str">
        <f>OBV!F62</f>
        <v>BEARISH</v>
      </c>
      <c r="K62" s="5" t="str">
        <f>OBV!G62</f>
        <v>STRONG</v>
      </c>
      <c r="L62" s="5" t="str">
        <f>OBV!H62</f>
        <v>NEUTRAL</v>
      </c>
    </row>
    <row r="63" spans="1:12" ht="13.5" x14ac:dyDescent="0.25">
      <c r="A63" s="3">
        <f>RSI!A63</f>
        <v>45008</v>
      </c>
      <c r="B63" s="2">
        <f>RSI!B63</f>
        <v>5.3849999999999998</v>
      </c>
      <c r="C63" s="2">
        <f>RSI!I63</f>
        <v>75.076091161565898</v>
      </c>
      <c r="D63" s="2">
        <f>MACD!E63</f>
        <v>-0.13191666164244431</v>
      </c>
      <c r="E63" s="2">
        <f>MACD!F63</f>
        <v>-5.6143282929099821E-2</v>
      </c>
      <c r="F63" s="2">
        <f>'Moving Avg'!D63</f>
        <v>5.3987999999999996</v>
      </c>
      <c r="G63" s="2">
        <f>'Moving Avg'!F63</f>
        <v>5.2543500000000005</v>
      </c>
      <c r="H63" s="2">
        <f>'Moving Avg'!G63</f>
        <v>5.291879999999999</v>
      </c>
      <c r="I63" s="2">
        <f>'Moving Avg'!H63</f>
        <v>0</v>
      </c>
      <c r="J63" s="5" t="str">
        <f>OBV!F63</f>
        <v>BEARISH</v>
      </c>
      <c r="K63" s="5" t="str">
        <f>OBV!G63</f>
        <v>STRONG</v>
      </c>
      <c r="L63" s="5" t="str">
        <f>OBV!H63</f>
        <v>CONFIRMED BEARISH</v>
      </c>
    </row>
    <row r="64" spans="1:12" ht="13.5" x14ac:dyDescent="0.25">
      <c r="A64" s="3">
        <f>RSI!A64</f>
        <v>45009</v>
      </c>
      <c r="B64" s="2">
        <f>RSI!B64</f>
        <v>5.351</v>
      </c>
      <c r="C64" s="2">
        <f>RSI!I64</f>
        <v>70.189751374513861</v>
      </c>
      <c r="D64" s="2">
        <f>MACD!E64</f>
        <v>-0.11136703591571973</v>
      </c>
      <c r="E64" s="2">
        <f>MACD!F64</f>
        <v>-6.7188033526423802E-2</v>
      </c>
      <c r="F64" s="2">
        <f>'Moving Avg'!D64</f>
        <v>5.3818000000000001</v>
      </c>
      <c r="G64" s="2">
        <f>'Moving Avg'!F64</f>
        <v>5.2641000000000009</v>
      </c>
      <c r="H64" s="2">
        <f>'Moving Avg'!G64</f>
        <v>5.2952799999999991</v>
      </c>
      <c r="I64" s="2">
        <f>'Moving Avg'!H64</f>
        <v>0</v>
      </c>
      <c r="J64" s="5" t="str">
        <f>OBV!F64</f>
        <v>BEARISH</v>
      </c>
      <c r="K64" s="5" t="str">
        <f>OBV!G64</f>
        <v>STRONG</v>
      </c>
      <c r="L64" s="5" t="str">
        <f>OBV!H64</f>
        <v>CONFIRMED BEARISH</v>
      </c>
    </row>
    <row r="65" spans="1:12" ht="13.5" x14ac:dyDescent="0.25">
      <c r="A65" s="3">
        <f>RSI!A65</f>
        <v>45012</v>
      </c>
      <c r="B65" s="2">
        <f>RSI!B65</f>
        <v>5.3259999999999996</v>
      </c>
      <c r="C65" s="2">
        <f>RSI!I65</f>
        <v>66.749608283926804</v>
      </c>
      <c r="D65" s="2">
        <f>MACD!E65</f>
        <v>-8.8778388569530797E-2</v>
      </c>
      <c r="E65" s="2">
        <f>MACD!F65</f>
        <v>-7.1506104535045203E-2</v>
      </c>
      <c r="F65" s="2">
        <f>'Moving Avg'!D65</f>
        <v>5.3681999999999999</v>
      </c>
      <c r="G65" s="2">
        <f>'Moving Avg'!F65</f>
        <v>5.2726000000000015</v>
      </c>
      <c r="H65" s="2">
        <f>'Moving Avg'!G65</f>
        <v>5.2934200000000002</v>
      </c>
      <c r="I65" s="2">
        <f>'Moving Avg'!H65</f>
        <v>0</v>
      </c>
      <c r="J65" s="5" t="str">
        <f>OBV!F65</f>
        <v>BEARISH</v>
      </c>
      <c r="K65" s="5" t="str">
        <f>OBV!G65</f>
        <v>STRONG</v>
      </c>
      <c r="L65" s="5" t="str">
        <f>OBV!H65</f>
        <v>CONFIRMED BEARISH</v>
      </c>
    </row>
    <row r="66" spans="1:12" ht="13.5" x14ac:dyDescent="0.25">
      <c r="A66" s="3">
        <f>RSI!A66</f>
        <v>45013</v>
      </c>
      <c r="B66" s="2">
        <f>RSI!B66</f>
        <v>5.3</v>
      </c>
      <c r="C66" s="2">
        <f>RSI!I66</f>
        <v>63.27615920969172</v>
      </c>
      <c r="D66" s="2">
        <f>MACD!E66</f>
        <v>-6.9282686078134148E-2</v>
      </c>
      <c r="E66" s="2">
        <f>MACD!F66</f>
        <v>-7.1061420843662987E-2</v>
      </c>
      <c r="F66" s="2">
        <f>'Moving Avg'!D66</f>
        <v>5.3494000000000002</v>
      </c>
      <c r="G66" s="2">
        <f>'Moving Avg'!F66</f>
        <v>5.2797999999999998</v>
      </c>
      <c r="H66" s="2">
        <f>'Moving Avg'!G66</f>
        <v>5.2900199999999993</v>
      </c>
      <c r="I66" s="2">
        <f>'Moving Avg'!H66</f>
        <v>0</v>
      </c>
      <c r="J66" s="5" t="str">
        <f>OBV!F66</f>
        <v>BEARISH</v>
      </c>
      <c r="K66" s="5" t="str">
        <f>OBV!G66</f>
        <v>STRONG</v>
      </c>
      <c r="L66" s="5" t="str">
        <f>OBV!H66</f>
        <v>CONFIRMED BEARISH</v>
      </c>
    </row>
    <row r="67" spans="1:12" ht="13.5" x14ac:dyDescent="0.25">
      <c r="A67" s="3">
        <f>RSI!A67</f>
        <v>45014</v>
      </c>
      <c r="B67" s="2">
        <f>RSI!B67</f>
        <v>5.2830000000000004</v>
      </c>
      <c r="C67" s="2">
        <f>RSI!I67</f>
        <v>61.039581369389076</v>
      </c>
      <c r="D67" s="2">
        <f>MACD!E67</f>
        <v>-4.2586250381706492E-2</v>
      </c>
      <c r="E67" s="2">
        <f>MACD!F67</f>
        <v>-6.5366386751271682E-2</v>
      </c>
      <c r="F67" s="2">
        <f>'Moving Avg'!D67</f>
        <v>5.3290000000000006</v>
      </c>
      <c r="G67" s="2">
        <f>'Moving Avg'!F67</f>
        <v>5.2866000000000009</v>
      </c>
      <c r="H67" s="2">
        <f>'Moving Avg'!G67</f>
        <v>5.2869600000000005</v>
      </c>
      <c r="I67" s="2">
        <f>'Moving Avg'!H67</f>
        <v>0</v>
      </c>
      <c r="J67" s="5" t="str">
        <f>OBV!F67</f>
        <v>BEARISH</v>
      </c>
      <c r="K67" s="5" t="str">
        <f>OBV!G67</f>
        <v>STRONG</v>
      </c>
      <c r="L67" s="5" t="str">
        <f>OBV!H67</f>
        <v>CONFIRMED BEARISH</v>
      </c>
    </row>
    <row r="68" spans="1:12" ht="13.5" x14ac:dyDescent="0.25">
      <c r="A68" s="3">
        <f>RSI!A68</f>
        <v>45015</v>
      </c>
      <c r="B68" s="2">
        <f>RSI!B68</f>
        <v>5.3170000000000002</v>
      </c>
      <c r="C68" s="2">
        <f>RSI!I68</f>
        <v>63.795822870113682</v>
      </c>
      <c r="D68" s="2">
        <f>MACD!E68</f>
        <v>-1.4694897623744652E-2</v>
      </c>
      <c r="E68" s="2">
        <f>MACD!F68</f>
        <v>-5.5232088925766282E-2</v>
      </c>
      <c r="F68" s="2">
        <f>'Moving Avg'!D68</f>
        <v>5.3154000000000003</v>
      </c>
      <c r="G68" s="2">
        <f>'Moving Avg'!F68</f>
        <v>5.2954999999999997</v>
      </c>
      <c r="H68" s="2">
        <f>'Moving Avg'!G68</f>
        <v>5.2840600000000002</v>
      </c>
      <c r="I68" s="2">
        <f>'Moving Avg'!H68</f>
        <v>0</v>
      </c>
      <c r="J68" s="5" t="str">
        <f>OBV!F68</f>
        <v>BEARISH</v>
      </c>
      <c r="K68" s="5" t="str">
        <f>OBV!G68</f>
        <v>STRONG</v>
      </c>
      <c r="L68" s="5" t="str">
        <f>OBV!H68</f>
        <v>CONFIRMED BEARISH</v>
      </c>
    </row>
    <row r="69" spans="1:12" ht="13.5" x14ac:dyDescent="0.25">
      <c r="A69" s="3">
        <f>RSI!A69</f>
        <v>45016</v>
      </c>
      <c r="B69" s="2">
        <f>RSI!B69</f>
        <v>5.351</v>
      </c>
      <c r="C69" s="2">
        <f>RSI!I69</f>
        <v>66.358827880797094</v>
      </c>
      <c r="D69" s="2">
        <f>MACD!E69</f>
        <v>6.162371888890128E-3</v>
      </c>
      <c r="E69" s="2">
        <f>MACD!F69</f>
        <v>-4.2953196762835003E-2</v>
      </c>
      <c r="F69" s="2">
        <f>'Moving Avg'!D69</f>
        <v>5.3153999999999995</v>
      </c>
      <c r="G69" s="2">
        <f>'Moving Avg'!F69</f>
        <v>5.3060999999999989</v>
      </c>
      <c r="H69" s="2">
        <f>'Moving Avg'!G69</f>
        <v>5.2818399999999999</v>
      </c>
      <c r="I69" s="2">
        <f>'Moving Avg'!H69</f>
        <v>0</v>
      </c>
      <c r="J69" s="5" t="str">
        <f>OBV!F69</f>
        <v>BEARISH</v>
      </c>
      <c r="K69" s="5" t="str">
        <f>OBV!G69</f>
        <v>STRONG</v>
      </c>
      <c r="L69" s="5" t="str">
        <f>OBV!H69</f>
        <v>NEUTRAL</v>
      </c>
    </row>
    <row r="70" spans="1:12" ht="13.5" x14ac:dyDescent="0.25">
      <c r="A70" s="3">
        <f>RSI!A70</f>
        <v>45019</v>
      </c>
      <c r="B70" s="2">
        <f>RSI!B70</f>
        <v>5.351</v>
      </c>
      <c r="C70" s="2">
        <f>RSI!I70</f>
        <v>66.358827880797094</v>
      </c>
      <c r="D70" s="2">
        <f>MACD!E70</f>
        <v>1.694043350831631E-2</v>
      </c>
      <c r="E70" s="2">
        <f>MACD!F70</f>
        <v>-3.0974470708604741E-2</v>
      </c>
      <c r="F70" s="2">
        <f>'Moving Avg'!D70</f>
        <v>5.3204000000000002</v>
      </c>
      <c r="G70" s="2">
        <f>'Moving Avg'!F70</f>
        <v>5.3171499999999998</v>
      </c>
      <c r="H70" s="2">
        <f>'Moving Avg'!G70</f>
        <v>5.2801400000000003</v>
      </c>
      <c r="I70" s="2">
        <f>'Moving Avg'!H70</f>
        <v>0</v>
      </c>
      <c r="J70" s="5" t="str">
        <f>OBV!F70</f>
        <v>BULLISH</v>
      </c>
      <c r="K70" s="5" t="str">
        <f>OBV!G70</f>
        <v>NEUTRAL</v>
      </c>
      <c r="L70" s="5" t="str">
        <f>OBV!H70</f>
        <v>CONFIRMED BULLISH</v>
      </c>
    </row>
    <row r="71" spans="1:12" ht="13.5" x14ac:dyDescent="0.25">
      <c r="A71" s="3">
        <f>RSI!A71</f>
        <v>45020</v>
      </c>
      <c r="B71" s="2">
        <f>RSI!B71</f>
        <v>5.351</v>
      </c>
      <c r="C71" s="2">
        <f>RSI!I71</f>
        <v>66.358827880797094</v>
      </c>
      <c r="D71" s="2">
        <f>MACD!E71</f>
        <v>2.5681758896661577E-2</v>
      </c>
      <c r="E71" s="2">
        <f>MACD!F71</f>
        <v>-1.964322478755148E-2</v>
      </c>
      <c r="F71" s="2">
        <f>'Moving Avg'!D71</f>
        <v>5.3305999999999996</v>
      </c>
      <c r="G71" s="2">
        <f>'Moving Avg'!F71</f>
        <v>5.3298999999999994</v>
      </c>
      <c r="H71" s="2">
        <f>'Moving Avg'!G71</f>
        <v>5.27928</v>
      </c>
      <c r="I71" s="2">
        <f>'Moving Avg'!H71</f>
        <v>0</v>
      </c>
      <c r="J71" s="5" t="str">
        <f>OBV!F71</f>
        <v>BULLISH</v>
      </c>
      <c r="K71" s="5" t="str">
        <f>OBV!G71</f>
        <v>WEAK</v>
      </c>
      <c r="L71" s="5" t="str">
        <f>OBV!H71</f>
        <v>CONFIRMED BULLISH</v>
      </c>
    </row>
    <row r="72" spans="1:12" ht="13.5" x14ac:dyDescent="0.25">
      <c r="A72" s="3">
        <f>RSI!A72</f>
        <v>45021</v>
      </c>
      <c r="B72" s="2">
        <f>RSI!B72</f>
        <v>5.351</v>
      </c>
      <c r="C72" s="2">
        <f>RSI!I72</f>
        <v>66.358827880797094</v>
      </c>
      <c r="D72" s="2">
        <f>MACD!E72</f>
        <v>3.134311914226906E-2</v>
      </c>
      <c r="E72" s="2">
        <f>MACD!F72</f>
        <v>-9.445956001587371E-3</v>
      </c>
      <c r="F72" s="2">
        <f>'Moving Avg'!D72</f>
        <v>5.344199999999999</v>
      </c>
      <c r="G72" s="2">
        <f>'Moving Avg'!F72</f>
        <v>5.342649999999999</v>
      </c>
      <c r="H72" s="2">
        <f>'Moving Avg'!G72</f>
        <v>5.2779199999999999</v>
      </c>
      <c r="I72" s="2">
        <f>'Moving Avg'!H72</f>
        <v>0</v>
      </c>
      <c r="J72" s="5" t="str">
        <f>OBV!F72</f>
        <v>BULLISH</v>
      </c>
      <c r="K72" s="5" t="str">
        <f>OBV!G72</f>
        <v>WEAK</v>
      </c>
      <c r="L72" s="5" t="str">
        <f>OBV!H72</f>
        <v>CONFIRMED BULLISH</v>
      </c>
    </row>
    <row r="73" spans="1:12" ht="13.5" x14ac:dyDescent="0.25">
      <c r="A73" s="3">
        <f>RSI!A73</f>
        <v>45022</v>
      </c>
      <c r="B73" s="2">
        <f>RSI!B73</f>
        <v>5.3940000000000001</v>
      </c>
      <c r="C73" s="2">
        <f>RSI!I73</f>
        <v>69.974650502813091</v>
      </c>
      <c r="D73" s="2">
        <f>MACD!E73</f>
        <v>3.262375045558219E-2</v>
      </c>
      <c r="E73" s="2">
        <f>MACD!F73</f>
        <v>-1.032014710153459E-3</v>
      </c>
      <c r="F73" s="2">
        <f>'Moving Avg'!D73</f>
        <v>5.3596000000000004</v>
      </c>
      <c r="G73" s="2">
        <f>'Moving Avg'!F73</f>
        <v>5.3579499999999998</v>
      </c>
      <c r="H73" s="2">
        <f>'Moving Avg'!G73</f>
        <v>5.2792800000000009</v>
      </c>
      <c r="I73" s="2">
        <f>'Moving Avg'!H73</f>
        <v>0</v>
      </c>
      <c r="J73" s="5" t="str">
        <f>OBV!F73</f>
        <v>BULLISH</v>
      </c>
      <c r="K73" s="5" t="str">
        <f>OBV!G73</f>
        <v>WEAK</v>
      </c>
      <c r="L73" s="5" t="str">
        <f>OBV!H73</f>
        <v>CONFIRMED BULLISH</v>
      </c>
    </row>
    <row r="74" spans="1:12" ht="13.5" x14ac:dyDescent="0.25">
      <c r="A74" s="3">
        <f>RSI!A74</f>
        <v>45023</v>
      </c>
      <c r="B74" s="2">
        <f>RSI!B74</f>
        <v>5.3940000000000001</v>
      </c>
      <c r="C74" s="2">
        <f>RSI!I74</f>
        <v>69.974650502813091</v>
      </c>
      <c r="D74" s="2">
        <f>MACD!E74</f>
        <v>2.7921980111817568E-2</v>
      </c>
      <c r="E74" s="2">
        <f>MACD!F74</f>
        <v>4.7587842542407468E-3</v>
      </c>
      <c r="F74" s="2">
        <f>'Moving Avg'!D74</f>
        <v>5.3681999999999999</v>
      </c>
      <c r="G74" s="2">
        <f>'Moving Avg'!F74</f>
        <v>5.3621999999999996</v>
      </c>
      <c r="H74" s="2">
        <f>'Moving Avg'!G74</f>
        <v>5.2801400000000003</v>
      </c>
      <c r="I74" s="2">
        <f>'Moving Avg'!H74</f>
        <v>0</v>
      </c>
      <c r="J74" s="5" t="str">
        <f>OBV!F74</f>
        <v>BULLISH</v>
      </c>
      <c r="K74" s="5" t="str">
        <f>OBV!G74</f>
        <v>WEAK</v>
      </c>
      <c r="L74" s="5" t="str">
        <f>OBV!H74</f>
        <v>CONFIRMED BULLISH</v>
      </c>
    </row>
    <row r="75" spans="1:12" ht="13.5" x14ac:dyDescent="0.25">
      <c r="A75" s="3">
        <f>RSI!A75</f>
        <v>45026</v>
      </c>
      <c r="B75" s="2">
        <f>RSI!B75</f>
        <v>5.4359999999999999</v>
      </c>
      <c r="C75" s="2">
        <f>RSI!I75</f>
        <v>73.233590190042463</v>
      </c>
      <c r="D75" s="2">
        <f>MACD!E75</f>
        <v>1.6472764257166261E-2</v>
      </c>
      <c r="E75" s="2">
        <f>MACD!F75</f>
        <v>7.1015802548258502E-3</v>
      </c>
      <c r="F75" s="2">
        <f>'Moving Avg'!D75</f>
        <v>5.3852000000000002</v>
      </c>
      <c r="G75" s="2">
        <f>'Moving Avg'!F75</f>
        <v>5.3673000000000002</v>
      </c>
      <c r="H75" s="2">
        <f>'Moving Avg'!G75</f>
        <v>5.2808200000000003</v>
      </c>
      <c r="I75" s="2">
        <f>'Moving Avg'!H75</f>
        <v>0</v>
      </c>
      <c r="J75" s="5" t="str">
        <f>OBV!F75</f>
        <v>BULLISH</v>
      </c>
      <c r="K75" s="5" t="str">
        <f>OBV!G75</f>
        <v>WEAK</v>
      </c>
      <c r="L75" s="5" t="str">
        <f>OBV!H75</f>
        <v>CONFIRMED BULLISH</v>
      </c>
    </row>
    <row r="76" spans="1:12" ht="13.5" x14ac:dyDescent="0.25">
      <c r="A76" s="3">
        <f>RSI!A76</f>
        <v>45027</v>
      </c>
      <c r="B76" s="2">
        <f>RSI!B76</f>
        <v>5.5129999999999999</v>
      </c>
      <c r="C76" s="2">
        <f>RSI!I76</f>
        <v>77.957263723341896</v>
      </c>
      <c r="D76" s="2">
        <f>MACD!E76</f>
        <v>-3.6424078712036234E-3</v>
      </c>
      <c r="E76" s="2">
        <f>MACD!F76</f>
        <v>4.9527826296199553E-3</v>
      </c>
      <c r="F76" s="2">
        <f>'Moving Avg'!D76</f>
        <v>5.4176000000000002</v>
      </c>
      <c r="G76" s="2">
        <f>'Moving Avg'!F76</f>
        <v>5.3766500000000006</v>
      </c>
      <c r="H76" s="2">
        <f>'Moving Avg'!G76</f>
        <v>5.2825199999999999</v>
      </c>
      <c r="I76" s="2">
        <f>'Moving Avg'!H76</f>
        <v>0</v>
      </c>
      <c r="J76" s="5" t="str">
        <f>OBV!F76</f>
        <v>BULLISH</v>
      </c>
      <c r="K76" s="5" t="str">
        <f>OBV!G76</f>
        <v>WEAK</v>
      </c>
      <c r="L76" s="5" t="str">
        <f>OBV!H76</f>
        <v>CONFIRMED BULLISH</v>
      </c>
    </row>
    <row r="77" spans="1:12" ht="13.5" x14ac:dyDescent="0.25">
      <c r="A77" s="3">
        <f>RSI!A77</f>
        <v>45028</v>
      </c>
      <c r="B77" s="2">
        <f>RSI!B77</f>
        <v>5.4960000000000004</v>
      </c>
      <c r="C77" s="2">
        <f>RSI!I77</f>
        <v>74.817924212641444</v>
      </c>
      <c r="D77" s="2">
        <f>MACD!E77</f>
        <v>-2.3144124976094638E-2</v>
      </c>
      <c r="E77" s="2">
        <f>MACD!F77</f>
        <v>-6.6659889152296311E-4</v>
      </c>
      <c r="F77" s="2">
        <f>'Moving Avg'!D77</f>
        <v>5.446600000000001</v>
      </c>
      <c r="G77" s="2">
        <f>'Moving Avg'!F77</f>
        <v>5.3821999999999992</v>
      </c>
      <c r="H77" s="2">
        <f>'Moving Avg'!G77</f>
        <v>5.283879999999999</v>
      </c>
      <c r="I77" s="2">
        <f>'Moving Avg'!H77</f>
        <v>0</v>
      </c>
      <c r="J77" s="5" t="str">
        <f>OBV!F77</f>
        <v>BULLISH</v>
      </c>
      <c r="K77" s="5" t="str">
        <f>OBV!G77</f>
        <v>WEAK</v>
      </c>
      <c r="L77" s="5" t="str">
        <f>OBV!H77</f>
        <v>CONFIRMED BULLISH</v>
      </c>
    </row>
    <row r="78" spans="1:12" ht="13.5" x14ac:dyDescent="0.25">
      <c r="A78" s="3">
        <f>RSI!A78</f>
        <v>45029</v>
      </c>
      <c r="B78" s="2">
        <f>RSI!B78</f>
        <v>5.4960000000000004</v>
      </c>
      <c r="C78" s="2">
        <f>RSI!I78</f>
        <v>74.817924212641444</v>
      </c>
      <c r="D78" s="2">
        <f>MACD!E78</f>
        <v>-3.5356078548574921E-2</v>
      </c>
      <c r="E78" s="2">
        <f>MACD!F78</f>
        <v>-7.604494822933355E-3</v>
      </c>
      <c r="F78" s="2">
        <f>'Moving Avg'!D78</f>
        <v>5.4670000000000005</v>
      </c>
      <c r="G78" s="2">
        <f>'Moving Avg'!F78</f>
        <v>5.3852000000000002</v>
      </c>
      <c r="H78" s="2">
        <f>'Moving Avg'!G78</f>
        <v>5.2852399999999999</v>
      </c>
      <c r="I78" s="2">
        <f>'Moving Avg'!H78</f>
        <v>0</v>
      </c>
      <c r="J78" s="5" t="str">
        <f>OBV!F78</f>
        <v>BULLISH</v>
      </c>
      <c r="K78" s="5" t="str">
        <f>OBV!G78</f>
        <v>WEAK</v>
      </c>
      <c r="L78" s="5" t="str">
        <f>OBV!H78</f>
        <v>CONFIRMED BULLISH</v>
      </c>
    </row>
    <row r="79" spans="1:12" ht="13.5" x14ac:dyDescent="0.25">
      <c r="A79" s="3">
        <f>RSI!A79</f>
        <v>45030</v>
      </c>
      <c r="B79" s="2">
        <f>RSI!B79</f>
        <v>5.47</v>
      </c>
      <c r="C79" s="2">
        <f>RSI!I79</f>
        <v>69.830024782014135</v>
      </c>
      <c r="D79" s="2">
        <f>MACD!E79</f>
        <v>-3.9404121050676366E-2</v>
      </c>
      <c r="E79" s="2">
        <f>MACD!F79</f>
        <v>-1.3964420068481958E-2</v>
      </c>
      <c r="F79" s="2">
        <f>'Moving Avg'!D79</f>
        <v>5.4822000000000006</v>
      </c>
      <c r="G79" s="2">
        <f>'Moving Avg'!F79</f>
        <v>5.3868999999999998</v>
      </c>
      <c r="H79" s="2">
        <f>'Moving Avg'!G79</f>
        <v>5.2860800000000019</v>
      </c>
      <c r="I79" s="2">
        <f>'Moving Avg'!H79</f>
        <v>0</v>
      </c>
      <c r="J79" s="5" t="str">
        <f>OBV!F79</f>
        <v>BEARISH</v>
      </c>
      <c r="K79" s="5" t="str">
        <f>OBV!G79</f>
        <v>NEUTRAL</v>
      </c>
      <c r="L79" s="5" t="str">
        <f>OBV!H79</f>
        <v>BEARISH DIVERGENCE</v>
      </c>
    </row>
    <row r="80" spans="1:12" ht="13.5" x14ac:dyDescent="0.25">
      <c r="A80" s="3">
        <f>RSI!A80</f>
        <v>45033</v>
      </c>
      <c r="B80" s="2">
        <f>RSI!B80</f>
        <v>5.47</v>
      </c>
      <c r="C80" s="2">
        <f>RSI!I80</f>
        <v>69.830024782014135</v>
      </c>
      <c r="D80" s="2">
        <f>MACD!E80</f>
        <v>-4.34827398651354E-2</v>
      </c>
      <c r="E80" s="2">
        <f>MACD!F80</f>
        <v>-1.9868084027812649E-2</v>
      </c>
      <c r="F80" s="2">
        <f>'Moving Avg'!D80</f>
        <v>5.4889999999999999</v>
      </c>
      <c r="G80" s="2">
        <f>'Moving Avg'!F80</f>
        <v>5.3906999999999998</v>
      </c>
      <c r="H80" s="2">
        <f>'Moving Avg'!G80</f>
        <v>5.2876000000000012</v>
      </c>
      <c r="I80" s="2">
        <f>'Moving Avg'!H80</f>
        <v>0</v>
      </c>
      <c r="J80" s="5" t="str">
        <f>OBV!F80</f>
        <v>BEARISH</v>
      </c>
      <c r="K80" s="5" t="str">
        <f>OBV!G80</f>
        <v>STRONG</v>
      </c>
      <c r="L80" s="5" t="str">
        <f>OBV!H80</f>
        <v>BEARISH DIVERGENCE</v>
      </c>
    </row>
    <row r="81" spans="1:12" ht="13.5" x14ac:dyDescent="0.25">
      <c r="A81" s="3">
        <f>RSI!A81</f>
        <v>45034</v>
      </c>
      <c r="B81" s="2">
        <f>RSI!B81</f>
        <v>5.47</v>
      </c>
      <c r="C81" s="2">
        <f>RSI!I81</f>
        <v>69.830024782014135</v>
      </c>
      <c r="D81" s="2">
        <f>MACD!E81</f>
        <v>-4.7538834493384918E-2</v>
      </c>
      <c r="E81" s="2">
        <f>MACD!F81</f>
        <v>-2.5402234120927104E-2</v>
      </c>
      <c r="F81" s="2">
        <f>'Moving Avg'!D81</f>
        <v>5.4803999999999995</v>
      </c>
      <c r="G81" s="2">
        <f>'Moving Avg'!F81</f>
        <v>5.394499999999999</v>
      </c>
      <c r="H81" s="2">
        <f>'Moving Avg'!G81</f>
        <v>5.2893000000000017</v>
      </c>
      <c r="I81" s="2">
        <f>'Moving Avg'!H81</f>
        <v>0</v>
      </c>
      <c r="J81" s="5" t="str">
        <f>OBV!F81</f>
        <v>BEARISH</v>
      </c>
      <c r="K81" s="5" t="str">
        <f>OBV!G81</f>
        <v>STRONG</v>
      </c>
      <c r="L81" s="5" t="str">
        <f>OBV!H81</f>
        <v>CONFIRMED BEARISH</v>
      </c>
    </row>
    <row r="82" spans="1:12" ht="13.5" x14ac:dyDescent="0.25">
      <c r="A82" s="3">
        <f>RSI!A82</f>
        <v>45035</v>
      </c>
      <c r="B82" s="2">
        <f>RSI!B82</f>
        <v>5.47</v>
      </c>
      <c r="C82" s="2">
        <f>RSI!I82</f>
        <v>69.830024782014135</v>
      </c>
      <c r="D82" s="2">
        <f>MACD!E82</f>
        <v>-5.1531058666590468E-2</v>
      </c>
      <c r="E82" s="2">
        <f>MACD!F82</f>
        <v>-3.0627999030059777E-2</v>
      </c>
      <c r="F82" s="2">
        <f>'Moving Avg'!D82</f>
        <v>5.4751999999999992</v>
      </c>
      <c r="G82" s="2">
        <f>'Moving Avg'!F82</f>
        <v>5.3987499999999997</v>
      </c>
      <c r="H82" s="2">
        <f>'Moving Avg'!G82</f>
        <v>5.2927000000000017</v>
      </c>
      <c r="I82" s="2">
        <f>'Moving Avg'!H82</f>
        <v>0</v>
      </c>
      <c r="J82" s="5" t="str">
        <f>OBV!F82</f>
        <v>BEARISH</v>
      </c>
      <c r="K82" s="5" t="str">
        <f>OBV!G82</f>
        <v>STRONG</v>
      </c>
      <c r="L82" s="5" t="str">
        <f>OBV!H82</f>
        <v>CONFIRMED BEARISH</v>
      </c>
    </row>
    <row r="83" spans="1:12" ht="13.5" x14ac:dyDescent="0.25">
      <c r="A83" s="3">
        <f>RSI!A83</f>
        <v>45036</v>
      </c>
      <c r="B83" s="2">
        <f>RSI!B83</f>
        <v>5.47</v>
      </c>
      <c r="C83" s="2">
        <f>RSI!I83</f>
        <v>69.830024782014135</v>
      </c>
      <c r="D83" s="2">
        <f>MACD!E83</f>
        <v>-4.8812361837431872E-2</v>
      </c>
      <c r="E83" s="2">
        <f>MACD!F83</f>
        <v>-3.4264871591534199E-2</v>
      </c>
      <c r="F83" s="2">
        <f>'Moving Avg'!D83</f>
        <v>5.47</v>
      </c>
      <c r="G83" s="2">
        <f>'Moving Avg'!F83</f>
        <v>5.4029999999999996</v>
      </c>
      <c r="H83" s="2">
        <f>'Moving Avg'!G83</f>
        <v>5.2984800000000014</v>
      </c>
      <c r="I83" s="2">
        <f>'Moving Avg'!H83</f>
        <v>0</v>
      </c>
      <c r="J83" s="5" t="str">
        <f>OBV!F83</f>
        <v>BEARISH</v>
      </c>
      <c r="K83" s="5" t="str">
        <f>OBV!G83</f>
        <v>STRONG</v>
      </c>
      <c r="L83" s="5" t="str">
        <f>OBV!H83</f>
        <v>CONFIRMED BEARISH</v>
      </c>
    </row>
    <row r="84" spans="1:12" ht="13.5" x14ac:dyDescent="0.25">
      <c r="A84" s="3">
        <f>RSI!A84</f>
        <v>45040</v>
      </c>
      <c r="B84" s="2">
        <f>RSI!B84</f>
        <v>5.4619999999999997</v>
      </c>
      <c r="C84" s="2">
        <f>RSI!I84</f>
        <v>67.815011427520361</v>
      </c>
      <c r="D84" s="2">
        <f>MACD!E84</f>
        <v>-4.6399566750912946E-2</v>
      </c>
      <c r="E84" s="2">
        <f>MACD!F84</f>
        <v>-3.6691810623409954E-2</v>
      </c>
      <c r="F84" s="2">
        <f>'Moving Avg'!D84</f>
        <v>5.4683999999999999</v>
      </c>
      <c r="G84" s="2">
        <f>'Moving Avg'!F84</f>
        <v>5.4085499999999991</v>
      </c>
      <c r="H84" s="2">
        <f>'Moving Avg'!G84</f>
        <v>5.3034200000000009</v>
      </c>
      <c r="I84" s="2">
        <f>'Moving Avg'!H84</f>
        <v>0</v>
      </c>
      <c r="J84" s="5" t="str">
        <f>OBV!F84</f>
        <v>BEARISH</v>
      </c>
      <c r="K84" s="5" t="str">
        <f>OBV!G84</f>
        <v>STRONG</v>
      </c>
      <c r="L84" s="5" t="str">
        <f>OBV!H84</f>
        <v>CONFIRMED BEARISH</v>
      </c>
    </row>
    <row r="85" spans="1:12" ht="13.5" x14ac:dyDescent="0.25">
      <c r="A85" s="3">
        <f>RSI!A85</f>
        <v>45041</v>
      </c>
      <c r="B85" s="2">
        <f>RSI!B85</f>
        <v>5.4619999999999997</v>
      </c>
      <c r="C85" s="2">
        <f>RSI!I85</f>
        <v>67.815011427520361</v>
      </c>
      <c r="D85" s="2">
        <f>MACD!E85</f>
        <v>-3.8293820552063096E-2</v>
      </c>
      <c r="E85" s="2">
        <f>MACD!F85</f>
        <v>-3.7012212609140588E-2</v>
      </c>
      <c r="F85" s="2">
        <f>'Moving Avg'!D85</f>
        <v>5.4668000000000001</v>
      </c>
      <c r="G85" s="2">
        <f>'Moving Avg'!F85</f>
        <v>5.4153499999999992</v>
      </c>
      <c r="H85" s="2">
        <f>'Moving Avg'!G85</f>
        <v>5.3085199999999997</v>
      </c>
      <c r="I85" s="2">
        <f>'Moving Avg'!H85</f>
        <v>0</v>
      </c>
      <c r="J85" s="5" t="str">
        <f>OBV!F85</f>
        <v>BEARISH</v>
      </c>
      <c r="K85" s="5" t="str">
        <f>OBV!G85</f>
        <v>STRONG</v>
      </c>
      <c r="L85" s="5" t="str">
        <f>OBV!H85</f>
        <v>CONFIRMED BEARISH</v>
      </c>
    </row>
    <row r="86" spans="1:12" ht="13.5" x14ac:dyDescent="0.25">
      <c r="A86" s="3">
        <f>RSI!A86</f>
        <v>45042</v>
      </c>
      <c r="B86" s="2">
        <f>RSI!B86</f>
        <v>5.4530000000000003</v>
      </c>
      <c r="C86" s="2">
        <f>RSI!I86</f>
        <v>65.354457784241418</v>
      </c>
      <c r="D86" s="2">
        <f>MACD!E86</f>
        <v>-1.9290243666330475E-2</v>
      </c>
      <c r="E86" s="2">
        <f>MACD!F86</f>
        <v>-3.3467818820578567E-2</v>
      </c>
      <c r="F86" s="2">
        <f>'Moving Avg'!D86</f>
        <v>5.4634</v>
      </c>
      <c r="G86" s="2">
        <f>'Moving Avg'!F86</f>
        <v>5.423</v>
      </c>
      <c r="H86" s="2">
        <f>'Moving Avg'!G86</f>
        <v>5.3139599999999998</v>
      </c>
      <c r="I86" s="2">
        <f>'Moving Avg'!H86</f>
        <v>0</v>
      </c>
      <c r="J86" s="5" t="str">
        <f>OBV!F86</f>
        <v>BEARISH</v>
      </c>
      <c r="K86" s="5" t="str">
        <f>OBV!G86</f>
        <v>STRONG</v>
      </c>
      <c r="L86" s="5" t="str">
        <f>OBV!H86</f>
        <v>CONFIRMED BEARISH</v>
      </c>
    </row>
    <row r="87" spans="1:12" ht="13.5" x14ac:dyDescent="0.25">
      <c r="A87" s="3">
        <f>RSI!A87</f>
        <v>45043</v>
      </c>
      <c r="B87" s="2">
        <f>RSI!B87</f>
        <v>5.4530000000000003</v>
      </c>
      <c r="C87" s="2">
        <f>RSI!I87</f>
        <v>65.354457784241404</v>
      </c>
      <c r="D87" s="2">
        <f>MACD!E87</f>
        <v>-6.1131934719096392E-3</v>
      </c>
      <c r="E87" s="2">
        <f>MACD!F87</f>
        <v>-2.7996893750844784E-2</v>
      </c>
      <c r="F87" s="2">
        <f>'Moving Avg'!D87</f>
        <v>5.4599999999999991</v>
      </c>
      <c r="G87" s="2">
        <f>'Moving Avg'!F87</f>
        <v>5.4315000000000007</v>
      </c>
      <c r="H87" s="2">
        <f>'Moving Avg'!G87</f>
        <v>5.3195599999999992</v>
      </c>
      <c r="I87" s="2">
        <f>'Moving Avg'!H87</f>
        <v>0</v>
      </c>
      <c r="J87" s="5" t="str">
        <f>OBV!F87</f>
        <v>BEARISH</v>
      </c>
      <c r="K87" s="5" t="str">
        <f>OBV!G87</f>
        <v>STRONG</v>
      </c>
      <c r="L87" s="5" t="str">
        <f>OBV!H87</f>
        <v>CONFIRMED BEARISH</v>
      </c>
    </row>
    <row r="88" spans="1:12" ht="13.5" x14ac:dyDescent="0.25">
      <c r="A88" s="3">
        <f>RSI!A88</f>
        <v>45044</v>
      </c>
      <c r="B88" s="2">
        <f>RSI!B88</f>
        <v>5.4359999999999999</v>
      </c>
      <c r="C88" s="2">
        <f>RSI!I88</f>
        <v>60.542281174843268</v>
      </c>
      <c r="D88" s="2">
        <f>MACD!E88</f>
        <v>6.0296600248239685E-3</v>
      </c>
      <c r="E88" s="2">
        <f>MACD!F88</f>
        <v>-2.1191582995711035E-2</v>
      </c>
      <c r="F88" s="2">
        <f>'Moving Avg'!D88</f>
        <v>5.4531999999999998</v>
      </c>
      <c r="G88" s="2">
        <f>'Moving Avg'!F88</f>
        <v>5.437450000000001</v>
      </c>
      <c r="H88" s="2">
        <f>'Moving Avg'!G88</f>
        <v>5.3250000000000002</v>
      </c>
      <c r="I88" s="2">
        <f>'Moving Avg'!H88</f>
        <v>0</v>
      </c>
      <c r="J88" s="5" t="str">
        <f>OBV!F88</f>
        <v>BEARISH</v>
      </c>
      <c r="K88" s="5" t="str">
        <f>OBV!G88</f>
        <v>STRONG</v>
      </c>
      <c r="L88" s="5" t="str">
        <f>OBV!H88</f>
        <v>CONFIRMED BEARISH</v>
      </c>
    </row>
    <row r="89" spans="1:12" ht="13.5" x14ac:dyDescent="0.25">
      <c r="A89" s="3">
        <f>RSI!A89</f>
        <v>45048</v>
      </c>
      <c r="B89" s="2">
        <f>RSI!B89</f>
        <v>5.4359999999999999</v>
      </c>
      <c r="C89" s="2">
        <f>RSI!I89</f>
        <v>60.542281174843268</v>
      </c>
      <c r="D89" s="2">
        <f>MACD!E89</f>
        <v>1.2158338291212267E-2</v>
      </c>
      <c r="E89" s="2">
        <f>MACD!F89</f>
        <v>-1.4521598738326374E-2</v>
      </c>
      <c r="F89" s="2">
        <f>'Moving Avg'!D89</f>
        <v>5.4479999999999995</v>
      </c>
      <c r="G89" s="2">
        <f>'Moving Avg'!F89</f>
        <v>5.4417000000000018</v>
      </c>
      <c r="H89" s="2">
        <f>'Moving Avg'!G89</f>
        <v>5.3300999999999998</v>
      </c>
      <c r="I89" s="2">
        <f>'Moving Avg'!H89</f>
        <v>0</v>
      </c>
      <c r="J89" s="5" t="str">
        <f>OBV!F89</f>
        <v>BEARISH</v>
      </c>
      <c r="K89" s="5" t="str">
        <f>OBV!G89</f>
        <v>STRONG</v>
      </c>
      <c r="L89" s="5" t="str">
        <f>OBV!H89</f>
        <v>CONFIRMED BEARISH</v>
      </c>
    </row>
    <row r="90" spans="1:12" ht="13.5" x14ac:dyDescent="0.25">
      <c r="A90" s="3">
        <f>RSI!A90</f>
        <v>45049</v>
      </c>
      <c r="B90" s="2">
        <f>RSI!B90</f>
        <v>5.4189999999999996</v>
      </c>
      <c r="C90" s="2">
        <f>RSI!I90</f>
        <v>55.7789978358757</v>
      </c>
      <c r="D90" s="2">
        <f>MACD!E90</f>
        <v>1.8468176382642199E-2</v>
      </c>
      <c r="E90" s="2">
        <f>MACD!F90</f>
        <v>-7.9236437141326603E-3</v>
      </c>
      <c r="F90" s="2">
        <f>'Moving Avg'!D90</f>
        <v>5.4394</v>
      </c>
      <c r="G90" s="2">
        <f>'Moving Avg'!F90</f>
        <v>5.4451000000000018</v>
      </c>
      <c r="H90" s="2">
        <f>'Moving Avg'!G90</f>
        <v>5.3352000000000013</v>
      </c>
      <c r="I90" s="2">
        <f>'Moving Avg'!H90</f>
        <v>0</v>
      </c>
      <c r="J90" s="5" t="str">
        <f>OBV!F90</f>
        <v>BEARISH</v>
      </c>
      <c r="K90" s="5" t="str">
        <f>OBV!G90</f>
        <v>STRONG</v>
      </c>
      <c r="L90" s="5" t="str">
        <f>OBV!H90</f>
        <v>CONFIRMED BEARISH</v>
      </c>
    </row>
    <row r="91" spans="1:12" ht="13.5" x14ac:dyDescent="0.25">
      <c r="A91" s="3">
        <f>RSI!A91</f>
        <v>45050</v>
      </c>
      <c r="B91" s="2">
        <f>RSI!B91</f>
        <v>5.5209999999999999</v>
      </c>
      <c r="C91" s="2">
        <f>RSI!I91</f>
        <v>70.683004343971831</v>
      </c>
      <c r="D91" s="2">
        <f>MACD!E91</f>
        <v>1.6226959202052527E-2</v>
      </c>
      <c r="E91" s="2">
        <f>MACD!F91</f>
        <v>-3.0935231308956233E-3</v>
      </c>
      <c r="F91" s="2">
        <f>'Moving Avg'!D91</f>
        <v>5.4530000000000003</v>
      </c>
      <c r="G91" s="2">
        <f>'Moving Avg'!F91</f>
        <v>5.4536000000000016</v>
      </c>
      <c r="H91" s="2">
        <f>'Moving Avg'!G91</f>
        <v>5.3423400000000019</v>
      </c>
      <c r="I91" s="2">
        <f>'Moving Avg'!H91</f>
        <v>0</v>
      </c>
      <c r="J91" s="5" t="str">
        <f>OBV!F91</f>
        <v>BEARISH</v>
      </c>
      <c r="K91" s="5" t="str">
        <f>OBV!G91</f>
        <v>STRONG</v>
      </c>
      <c r="L91" s="5" t="str">
        <f>OBV!H91</f>
        <v>BEARISH DIVERGENCE</v>
      </c>
    </row>
    <row r="92" spans="1:12" ht="13.5" x14ac:dyDescent="0.25">
      <c r="A92" s="3">
        <f>RSI!A92</f>
        <v>45051</v>
      </c>
      <c r="B92" s="2">
        <f>RSI!B92</f>
        <v>5.5209999999999999</v>
      </c>
      <c r="C92" s="2">
        <f>RSI!I92</f>
        <v>70.683004343971831</v>
      </c>
      <c r="D92" s="2">
        <f>MACD!E92</f>
        <v>1.3704900622364846E-2</v>
      </c>
      <c r="E92" s="2">
        <f>MACD!F92</f>
        <v>2.6616161975647054E-4</v>
      </c>
      <c r="F92" s="2">
        <f>'Moving Avg'!D92</f>
        <v>5.4666000000000006</v>
      </c>
      <c r="G92" s="2">
        <f>'Moving Avg'!F92</f>
        <v>5.4621000000000004</v>
      </c>
      <c r="H92" s="2">
        <f>'Moving Avg'!G92</f>
        <v>5.3494800000000025</v>
      </c>
      <c r="I92" s="2">
        <f>'Moving Avg'!H92</f>
        <v>0</v>
      </c>
      <c r="J92" s="5" t="str">
        <f>OBV!F92</f>
        <v>BEARISH</v>
      </c>
      <c r="K92" s="5" t="str">
        <f>OBV!G92</f>
        <v>STRONG</v>
      </c>
      <c r="L92" s="5" t="str">
        <f>OBV!H92</f>
        <v>BEARISH DIVERGENCE</v>
      </c>
    </row>
    <row r="93" spans="1:12" ht="13.5" x14ac:dyDescent="0.25">
      <c r="A93" s="3">
        <f>RSI!A93</f>
        <v>45054</v>
      </c>
      <c r="B93" s="2">
        <f>RSI!B93</f>
        <v>5.5209999999999999</v>
      </c>
      <c r="C93" s="2">
        <f>RSI!I93</f>
        <v>70.683004343971831</v>
      </c>
      <c r="D93" s="2">
        <f>MACD!E93</f>
        <v>1.0991551015801626E-2</v>
      </c>
      <c r="E93" s="2">
        <f>MACD!F93</f>
        <v>2.4112394989655016E-3</v>
      </c>
      <c r="F93" s="2">
        <f>'Moving Avg'!D93</f>
        <v>5.4836000000000009</v>
      </c>
      <c r="G93" s="2">
        <f>'Moving Avg'!F93</f>
        <v>5.4684499999999998</v>
      </c>
      <c r="H93" s="2">
        <f>'Moving Avg'!G93</f>
        <v>5.3566200000000013</v>
      </c>
      <c r="I93" s="2">
        <f>'Moving Avg'!H93</f>
        <v>0</v>
      </c>
      <c r="J93" s="5" t="str">
        <f>OBV!F93</f>
        <v>BULLISH</v>
      </c>
      <c r="K93" s="5" t="str">
        <f>OBV!G93</f>
        <v>NEUTRAL</v>
      </c>
      <c r="L93" s="5" t="str">
        <f>OBV!H93</f>
        <v>CONFIRMED BULLISH</v>
      </c>
    </row>
    <row r="94" spans="1:12" ht="13.5" x14ac:dyDescent="0.25">
      <c r="A94" s="3">
        <f>RSI!A94</f>
        <v>45055</v>
      </c>
      <c r="B94" s="2">
        <f>RSI!B94</f>
        <v>5.5209999999999999</v>
      </c>
      <c r="C94" s="2">
        <f>RSI!I94</f>
        <v>70.683004343971831</v>
      </c>
      <c r="D94" s="2">
        <f>MACD!E94</f>
        <v>6.9284816543540018E-3</v>
      </c>
      <c r="E94" s="2">
        <f>MACD!F94</f>
        <v>3.3146879300432019E-3</v>
      </c>
      <c r="F94" s="2">
        <f>'Moving Avg'!D94</f>
        <v>5.5006000000000004</v>
      </c>
      <c r="G94" s="2">
        <f>'Moving Avg'!F94</f>
        <v>5.474800000000001</v>
      </c>
      <c r="H94" s="2">
        <f>'Moving Avg'!G94</f>
        <v>5.363920000000002</v>
      </c>
      <c r="I94" s="2">
        <f>'Moving Avg'!H94</f>
        <v>0</v>
      </c>
      <c r="J94" s="5" t="str">
        <f>OBV!F94</f>
        <v>BULLISH</v>
      </c>
      <c r="K94" s="5" t="str">
        <f>OBV!G94</f>
        <v>NEUTRAL</v>
      </c>
      <c r="L94" s="5" t="str">
        <f>OBV!H94</f>
        <v>CONFIRMED BULLISH</v>
      </c>
    </row>
    <row r="95" spans="1:12" ht="13.5" x14ac:dyDescent="0.25">
      <c r="A95" s="3">
        <f>RSI!A95</f>
        <v>45056</v>
      </c>
      <c r="B95" s="2">
        <f>RSI!B95</f>
        <v>5.5469999999999997</v>
      </c>
      <c r="C95" s="2">
        <f>RSI!I95</f>
        <v>73.719796597088717</v>
      </c>
      <c r="D95" s="2">
        <f>MACD!E95</f>
        <v>1.0679175488972348E-3</v>
      </c>
      <c r="E95" s="2">
        <f>MACD!F95</f>
        <v>2.8653338538140085E-3</v>
      </c>
      <c r="F95" s="2">
        <f>'Moving Avg'!D95</f>
        <v>5.5262000000000002</v>
      </c>
      <c r="G95" s="2">
        <f>'Moving Avg'!F95</f>
        <v>5.4803500000000005</v>
      </c>
      <c r="H95" s="2">
        <f>'Moving Avg'!G95</f>
        <v>5.3717400000000017</v>
      </c>
      <c r="I95" s="2">
        <f>'Moving Avg'!H95</f>
        <v>0</v>
      </c>
      <c r="J95" s="5" t="str">
        <f>OBV!F95</f>
        <v>BULLISH</v>
      </c>
      <c r="K95" s="5" t="str">
        <f>OBV!G95</f>
        <v>WEAK</v>
      </c>
      <c r="L95" s="5" t="str">
        <f>OBV!H95</f>
        <v>CONFIRMED BULLISH</v>
      </c>
    </row>
    <row r="96" spans="1:12" ht="13.5" x14ac:dyDescent="0.25">
      <c r="A96" s="3">
        <f>RSI!A96</f>
        <v>45057</v>
      </c>
      <c r="B96" s="2">
        <f>RSI!B96</f>
        <v>5.5549999999999997</v>
      </c>
      <c r="C96" s="2">
        <f>RSI!I96</f>
        <v>74.591902235626691</v>
      </c>
      <c r="D96" s="2">
        <f>MACD!E96</f>
        <v>-6.4817314516618652E-3</v>
      </c>
      <c r="E96" s="2">
        <f>MACD!F96</f>
        <v>9.9592079271883368E-4</v>
      </c>
      <c r="F96" s="2">
        <f>'Moving Avg'!D96</f>
        <v>5.5329999999999995</v>
      </c>
      <c r="G96" s="2">
        <f>'Moving Avg'!F96</f>
        <v>5.48245</v>
      </c>
      <c r="H96" s="2">
        <f>'Moving Avg'!G96</f>
        <v>5.3797200000000007</v>
      </c>
      <c r="I96" s="2">
        <f>'Moving Avg'!H96</f>
        <v>0</v>
      </c>
      <c r="J96" s="5" t="str">
        <f>OBV!F96</f>
        <v>BULLISH</v>
      </c>
      <c r="K96" s="5" t="str">
        <f>OBV!G96</f>
        <v>WEAK</v>
      </c>
      <c r="L96" s="5" t="str">
        <f>OBV!H96</f>
        <v>CONFIRMED BULLISH</v>
      </c>
    </row>
    <row r="97" spans="1:12" ht="13.5" x14ac:dyDescent="0.25">
      <c r="A97" s="3">
        <f>RSI!A97</f>
        <v>45058</v>
      </c>
      <c r="B97" s="2">
        <f>RSI!B97</f>
        <v>5.5640000000000001</v>
      </c>
      <c r="C97" s="2">
        <f>RSI!I97</f>
        <v>75.573946105400907</v>
      </c>
      <c r="D97" s="2">
        <f>MACD!E97</f>
        <v>-1.4151892560912316E-2</v>
      </c>
      <c r="E97" s="2">
        <f>MACD!F97</f>
        <v>-2.033641878007396E-3</v>
      </c>
      <c r="F97" s="2">
        <f>'Moving Avg'!D97</f>
        <v>5.5415999999999999</v>
      </c>
      <c r="G97" s="2">
        <f>'Moving Avg'!F97</f>
        <v>5.4858499999999992</v>
      </c>
      <c r="H97" s="2">
        <f>'Moving Avg'!G97</f>
        <v>5.3880600000000003</v>
      </c>
      <c r="I97" s="2">
        <f>'Moving Avg'!H97</f>
        <v>0</v>
      </c>
      <c r="J97" s="5" t="str">
        <f>OBV!F97</f>
        <v>BULLISH</v>
      </c>
      <c r="K97" s="5" t="str">
        <f>OBV!G97</f>
        <v>WEAK</v>
      </c>
      <c r="L97" s="5" t="str">
        <f>OBV!H97</f>
        <v>CONFIRMED BULLISH</v>
      </c>
    </row>
    <row r="98" spans="1:12" ht="13.5" x14ac:dyDescent="0.25">
      <c r="A98" s="3">
        <f>RSI!A98</f>
        <v>45061</v>
      </c>
      <c r="B98" s="2">
        <f>RSI!B98</f>
        <v>5.5640000000000001</v>
      </c>
      <c r="C98" s="2">
        <f>RSI!I98</f>
        <v>75.573946105400907</v>
      </c>
      <c r="D98" s="2">
        <f>MACD!E98</f>
        <v>-2.3880344796810782E-2</v>
      </c>
      <c r="E98" s="2">
        <f>MACD!F98</f>
        <v>-6.4029824617680741E-3</v>
      </c>
      <c r="F98" s="2">
        <f>'Moving Avg'!D98</f>
        <v>5.5501999999999994</v>
      </c>
      <c r="G98" s="2">
        <f>'Moving Avg'!F98</f>
        <v>5.4892500000000002</v>
      </c>
      <c r="H98" s="2">
        <f>'Moving Avg'!G98</f>
        <v>5.3965600000000009</v>
      </c>
      <c r="I98" s="2">
        <f>'Moving Avg'!H98</f>
        <v>0</v>
      </c>
      <c r="J98" s="5" t="str">
        <f>OBV!F98</f>
        <v>BULLISH</v>
      </c>
      <c r="K98" s="5" t="str">
        <f>OBV!G98</f>
        <v>WEAK</v>
      </c>
      <c r="L98" s="5" t="str">
        <f>OBV!H98</f>
        <v>CONFIRMED BULLISH</v>
      </c>
    </row>
    <row r="99" spans="1:12" ht="13.5" x14ac:dyDescent="0.25">
      <c r="A99" s="3">
        <f>RSI!A99</f>
        <v>45062</v>
      </c>
      <c r="B99" s="2">
        <f>RSI!B99</f>
        <v>5.5890000000000004</v>
      </c>
      <c r="C99" s="2">
        <f>RSI!I99</f>
        <v>78.278609517572136</v>
      </c>
      <c r="D99" s="2">
        <f>MACD!E99</f>
        <v>-3.4540752163433552E-2</v>
      </c>
      <c r="E99" s="2">
        <f>MACD!F99</f>
        <v>-1.203053640210117E-2</v>
      </c>
      <c r="F99" s="2">
        <f>'Moving Avg'!D99</f>
        <v>5.5638000000000005</v>
      </c>
      <c r="G99" s="2">
        <f>'Moving Avg'!F99</f>
        <v>5.4951999999999996</v>
      </c>
      <c r="H99" s="2">
        <f>'Moving Avg'!G99</f>
        <v>5.4055600000000004</v>
      </c>
      <c r="I99" s="2">
        <f>'Moving Avg'!H99</f>
        <v>0</v>
      </c>
      <c r="J99" s="5" t="str">
        <f>OBV!F99</f>
        <v>BULLISH</v>
      </c>
      <c r="K99" s="5" t="str">
        <f>OBV!G99</f>
        <v>WEAK</v>
      </c>
      <c r="L99" s="5" t="str">
        <f>OBV!H99</f>
        <v>CONFIRMED BULLISH</v>
      </c>
    </row>
    <row r="100" spans="1:12" ht="13.5" x14ac:dyDescent="0.25">
      <c r="A100" s="3">
        <f>RSI!A100</f>
        <v>45063</v>
      </c>
      <c r="B100" s="2">
        <f>RSI!B100</f>
        <v>5.5979999999999999</v>
      </c>
      <c r="C100" s="2">
        <f>RSI!I100</f>
        <v>79.17269723657904</v>
      </c>
      <c r="D100" s="2">
        <f>MACD!E100</f>
        <v>-4.7524937397529499E-2</v>
      </c>
      <c r="E100" s="2">
        <f>MACD!F100</f>
        <v>-1.9129416601186836E-2</v>
      </c>
      <c r="F100" s="2">
        <f>'Moving Avg'!D100</f>
        <v>5.5739999999999998</v>
      </c>
      <c r="G100" s="2">
        <f>'Moving Avg'!F100</f>
        <v>5.501599999999998</v>
      </c>
      <c r="H100" s="2">
        <f>'Moving Avg'!G100</f>
        <v>5.4149199999999995</v>
      </c>
      <c r="I100" s="2">
        <f>'Moving Avg'!H100</f>
        <v>0</v>
      </c>
      <c r="J100" s="5" t="str">
        <f>OBV!F100</f>
        <v>BULLISH</v>
      </c>
      <c r="K100" s="5" t="str">
        <f>OBV!G100</f>
        <v>WEAK</v>
      </c>
      <c r="L100" s="5" t="str">
        <f>OBV!H100</f>
        <v>CONFIRMED BULLISH</v>
      </c>
    </row>
    <row r="101" spans="1:12" ht="13.5" x14ac:dyDescent="0.25">
      <c r="A101" s="3">
        <f>RSI!A101</f>
        <v>45064</v>
      </c>
      <c r="B101" s="2">
        <f>RSI!B101</f>
        <v>5.5890000000000004</v>
      </c>
      <c r="C101" s="2">
        <f>RSI!I101</f>
        <v>75.812105550847932</v>
      </c>
      <c r="D101" s="2">
        <f>MACD!E101</f>
        <v>-4.2837049049341935E-2</v>
      </c>
      <c r="E101" s="2">
        <f>MACD!F101</f>
        <v>-2.3870943090817859E-2</v>
      </c>
      <c r="F101" s="2">
        <f>'Moving Avg'!D101</f>
        <v>5.5807999999999991</v>
      </c>
      <c r="G101" s="2">
        <f>'Moving Avg'!F101</f>
        <v>5.5075499999999984</v>
      </c>
      <c r="H101" s="2">
        <f>'Moving Avg'!G101</f>
        <v>5.4247799999999993</v>
      </c>
      <c r="I101" s="2">
        <f>'Moving Avg'!H101</f>
        <v>0</v>
      </c>
      <c r="J101" s="5" t="str">
        <f>OBV!F101</f>
        <v>BULLISH</v>
      </c>
      <c r="K101" s="5" t="str">
        <f>OBV!G101</f>
        <v>WEAK</v>
      </c>
      <c r="L101" s="5" t="str">
        <f>OBV!H101</f>
        <v>CONFIRMED BULLISH</v>
      </c>
    </row>
    <row r="102" spans="1:12" ht="13.5" x14ac:dyDescent="0.25">
      <c r="A102" s="3">
        <f>RSI!A102</f>
        <v>45065</v>
      </c>
      <c r="B102" s="2">
        <f>RSI!B102</f>
        <v>5.5810000000000004</v>
      </c>
      <c r="C102" s="2">
        <f>RSI!I102</f>
        <v>72.851955785619538</v>
      </c>
      <c r="D102" s="2">
        <f>MACD!E102</f>
        <v>-3.885836673609866E-2</v>
      </c>
      <c r="E102" s="2">
        <f>MACD!F102</f>
        <v>-2.686842781987402E-2</v>
      </c>
      <c r="F102" s="2">
        <f>'Moving Avg'!D102</f>
        <v>5.5842000000000009</v>
      </c>
      <c r="G102" s="2">
        <f>'Moving Avg'!F102</f>
        <v>5.5130999999999988</v>
      </c>
      <c r="H102" s="2">
        <f>'Moving Avg'!G102</f>
        <v>5.4344799999999998</v>
      </c>
      <c r="I102" s="2">
        <f>'Moving Avg'!H102</f>
        <v>0</v>
      </c>
      <c r="J102" s="5" t="str">
        <f>OBV!F102</f>
        <v>BEARISH</v>
      </c>
      <c r="K102" s="5" t="str">
        <f>OBV!G102</f>
        <v>NEUTRAL</v>
      </c>
      <c r="L102" s="5" t="str">
        <f>OBV!H102</f>
        <v>BEARISH DIVERGENCE</v>
      </c>
    </row>
    <row r="103" spans="1:12" ht="13.5" x14ac:dyDescent="0.25">
      <c r="A103" s="3">
        <f>RSI!A103</f>
        <v>45068</v>
      </c>
      <c r="B103" s="2">
        <f>RSI!B103</f>
        <v>5.6059999999999999</v>
      </c>
      <c r="C103" s="2">
        <f>RSI!I103</f>
        <v>76.005003363480952</v>
      </c>
      <c r="D103" s="2">
        <f>MACD!E103</f>
        <v>-3.7833947638986842E-2</v>
      </c>
      <c r="E103" s="2">
        <f>MACD!F103</f>
        <v>-2.9061531783696585E-2</v>
      </c>
      <c r="F103" s="2">
        <f>'Moving Avg'!D103</f>
        <v>5.5926</v>
      </c>
      <c r="G103" s="2">
        <f>'Moving Avg'!F103</f>
        <v>5.519899999999998</v>
      </c>
      <c r="H103" s="2">
        <f>'Moving Avg'!G103</f>
        <v>5.4448400000000001</v>
      </c>
      <c r="I103" s="2">
        <f>'Moving Avg'!H103</f>
        <v>0</v>
      </c>
      <c r="J103" s="5" t="str">
        <f>OBV!F103</f>
        <v>BULLISH</v>
      </c>
      <c r="K103" s="5" t="str">
        <f>OBV!G103</f>
        <v>WEAK</v>
      </c>
      <c r="L103" s="5" t="str">
        <f>OBV!H103</f>
        <v>CONFIRMED BULLISH</v>
      </c>
    </row>
    <row r="104" spans="1:12" ht="13.5" x14ac:dyDescent="0.25">
      <c r="A104" s="3">
        <f>RSI!A104</f>
        <v>45069</v>
      </c>
      <c r="B104" s="2">
        <f>RSI!B104</f>
        <v>5.6059999999999999</v>
      </c>
      <c r="C104" s="2">
        <f>RSI!I104</f>
        <v>76.005003363480952</v>
      </c>
      <c r="D104" s="2">
        <f>MACD!E104</f>
        <v>-3.7568844954479985E-2</v>
      </c>
      <c r="E104" s="2">
        <f>MACD!F104</f>
        <v>-3.0762994417853268E-2</v>
      </c>
      <c r="F104" s="2">
        <f>'Moving Avg'!D104</f>
        <v>5.596000000000001</v>
      </c>
      <c r="G104" s="2">
        <f>'Moving Avg'!F104</f>
        <v>5.527099999999999</v>
      </c>
      <c r="H104" s="2">
        <f>'Moving Avg'!G104</f>
        <v>5.4507799999999982</v>
      </c>
      <c r="I104" s="2">
        <f>'Moving Avg'!H104</f>
        <v>0</v>
      </c>
      <c r="J104" s="5" t="str">
        <f>OBV!F104</f>
        <v>BULLISH</v>
      </c>
      <c r="K104" s="5" t="str">
        <f>OBV!G104</f>
        <v>NEUTRAL</v>
      </c>
      <c r="L104" s="5" t="str">
        <f>OBV!H104</f>
        <v>CONFIRMED BULLISH</v>
      </c>
    </row>
    <row r="105" spans="1:12" ht="13.5" x14ac:dyDescent="0.25">
      <c r="A105" s="3">
        <f>RSI!A105</f>
        <v>45070</v>
      </c>
      <c r="B105" s="2">
        <f>RSI!B105</f>
        <v>5.657</v>
      </c>
      <c r="C105" s="2">
        <f>RSI!I105</f>
        <v>81.177206638606449</v>
      </c>
      <c r="D105" s="2">
        <f>MACD!E105</f>
        <v>-3.7679447182236814E-2</v>
      </c>
      <c r="E105" s="2">
        <f>MACD!F105</f>
        <v>-3.214628497072998E-2</v>
      </c>
      <c r="F105" s="2">
        <f>'Moving Avg'!D105</f>
        <v>5.607800000000001</v>
      </c>
      <c r="G105" s="2">
        <f>'Moving Avg'!F105</f>
        <v>5.5368499999999994</v>
      </c>
      <c r="H105" s="2">
        <f>'Moving Avg'!G105</f>
        <v>5.4572399999999979</v>
      </c>
      <c r="I105" s="2">
        <f>'Moving Avg'!H105</f>
        <v>0</v>
      </c>
      <c r="J105" s="5" t="str">
        <f>OBV!F105</f>
        <v>BULLISH</v>
      </c>
      <c r="K105" s="5" t="str">
        <f>OBV!G105</f>
        <v>NEUTRAL</v>
      </c>
      <c r="L105" s="5" t="str">
        <f>OBV!H105</f>
        <v>CONFIRMED BULLISH</v>
      </c>
    </row>
    <row r="106" spans="1:12" ht="13.5" x14ac:dyDescent="0.25">
      <c r="A106" s="3">
        <f>RSI!A106</f>
        <v>45071</v>
      </c>
      <c r="B106" s="2">
        <f>RSI!B106</f>
        <v>5.665</v>
      </c>
      <c r="C106" s="2">
        <f>RSI!I106</f>
        <v>81.838524885488027</v>
      </c>
      <c r="D106" s="2">
        <f>MACD!E106</f>
        <v>-3.7952090555182671E-2</v>
      </c>
      <c r="E106" s="2">
        <f>MACD!F106</f>
        <v>-3.3307446087620519E-2</v>
      </c>
      <c r="F106" s="2">
        <f>'Moving Avg'!D106</f>
        <v>5.6229999999999993</v>
      </c>
      <c r="G106" s="2">
        <f>'Moving Avg'!F106</f>
        <v>5.5474499999999995</v>
      </c>
      <c r="H106" s="2">
        <f>'Moving Avg'!G106</f>
        <v>5.4640199999999997</v>
      </c>
      <c r="I106" s="2">
        <f>'Moving Avg'!H106</f>
        <v>0</v>
      </c>
      <c r="J106" s="5" t="str">
        <f>OBV!F106</f>
        <v>BULLISH</v>
      </c>
      <c r="K106" s="5" t="str">
        <f>OBV!G106</f>
        <v>WEAK</v>
      </c>
      <c r="L106" s="5" t="str">
        <f>OBV!H106</f>
        <v>CONFIRMED BULLISH</v>
      </c>
    </row>
    <row r="107" spans="1:12" ht="13.5" x14ac:dyDescent="0.25">
      <c r="A107" s="3">
        <f>RSI!A107</f>
        <v>45072</v>
      </c>
      <c r="B107" s="2">
        <f>RSI!B107</f>
        <v>5.6479999999999997</v>
      </c>
      <c r="C107" s="2">
        <f>RSI!I107</f>
        <v>75.748175264099558</v>
      </c>
      <c r="D107" s="2">
        <f>MACD!E107</f>
        <v>-3.634288418862841E-2</v>
      </c>
      <c r="E107" s="2">
        <f>MACD!F107</f>
        <v>-3.3914533707822103E-2</v>
      </c>
      <c r="F107" s="2">
        <f>'Moving Avg'!D107</f>
        <v>5.6364000000000001</v>
      </c>
      <c r="G107" s="2">
        <f>'Moving Avg'!F107</f>
        <v>5.5571999999999999</v>
      </c>
      <c r="H107" s="2">
        <f>'Moving Avg'!G107</f>
        <v>5.4692799999999986</v>
      </c>
      <c r="I107" s="2">
        <f>'Moving Avg'!H107</f>
        <v>0</v>
      </c>
      <c r="J107" s="5" t="str">
        <f>OBV!F107</f>
        <v>BULLISH</v>
      </c>
      <c r="K107" s="5" t="str">
        <f>OBV!G107</f>
        <v>WEAK</v>
      </c>
      <c r="L107" s="5" t="str">
        <f>OBV!H107</f>
        <v>CONFIRMED BULLISH</v>
      </c>
    </row>
    <row r="108" spans="1:12" ht="13.5" x14ac:dyDescent="0.25">
      <c r="A108" s="3">
        <f>RSI!A108</f>
        <v>45075</v>
      </c>
      <c r="B108" s="2">
        <f>RSI!B108</f>
        <v>5.8689999999999998</v>
      </c>
      <c r="C108" s="2">
        <f>RSI!I108</f>
        <v>88.122723238713803</v>
      </c>
      <c r="D108" s="2">
        <f>MACD!E108</f>
        <v>-5.1995581375075872E-2</v>
      </c>
      <c r="E108" s="2">
        <f>MACD!F108</f>
        <v>-3.7530743241272861E-2</v>
      </c>
      <c r="F108" s="2">
        <f>'Moving Avg'!D108</f>
        <v>5.6890000000000001</v>
      </c>
      <c r="G108" s="2">
        <f>'Moving Avg'!F108</f>
        <v>5.5788499999999992</v>
      </c>
      <c r="H108" s="2">
        <f>'Moving Avg'!G108</f>
        <v>5.4779399999999985</v>
      </c>
      <c r="I108" s="2">
        <f>'Moving Avg'!H108</f>
        <v>0</v>
      </c>
      <c r="J108" s="5" t="str">
        <f>OBV!F108</f>
        <v>BULLISH</v>
      </c>
      <c r="K108" s="5" t="str">
        <f>OBV!G108</f>
        <v>WEAK</v>
      </c>
      <c r="L108" s="5" t="str">
        <f>OBV!H108</f>
        <v>CONFIRMED BULLISH</v>
      </c>
    </row>
    <row r="109" spans="1:12" ht="13.5" x14ac:dyDescent="0.25">
      <c r="A109" s="3">
        <f>RSI!A109</f>
        <v>45076</v>
      </c>
      <c r="B109" s="2">
        <f>RSI!B109</f>
        <v>5.827</v>
      </c>
      <c r="C109" s="2">
        <f>RSI!I109</f>
        <v>79.790206203304621</v>
      </c>
      <c r="D109" s="2">
        <f>MACD!E109</f>
        <v>-6.0185066847362911E-2</v>
      </c>
      <c r="E109" s="2">
        <f>MACD!F109</f>
        <v>-4.2061607962490873E-2</v>
      </c>
      <c r="F109" s="2">
        <f>'Moving Avg'!D109</f>
        <v>5.7331999999999992</v>
      </c>
      <c r="G109" s="2">
        <f>'Moving Avg'!F109</f>
        <v>5.5983999999999998</v>
      </c>
      <c r="H109" s="2">
        <f>'Moving Avg'!G109</f>
        <v>5.48576</v>
      </c>
      <c r="I109" s="2">
        <f>'Moving Avg'!H109</f>
        <v>0</v>
      </c>
      <c r="J109" s="5" t="str">
        <f>OBV!F109</f>
        <v>BULLISH</v>
      </c>
      <c r="K109" s="5" t="str">
        <f>OBV!G109</f>
        <v>WEAK</v>
      </c>
      <c r="L109" s="5" t="str">
        <f>OBV!H109</f>
        <v>CONFIRMED BULLISH</v>
      </c>
    </row>
    <row r="110" spans="1:12" ht="13.5" x14ac:dyDescent="0.25">
      <c r="A110" s="3">
        <f>RSI!A110</f>
        <v>45077</v>
      </c>
      <c r="B110" s="2">
        <f>RSI!B110</f>
        <v>5.9429999999999996</v>
      </c>
      <c r="C110" s="2">
        <f>RSI!I110</f>
        <v>84.226415913610907</v>
      </c>
      <c r="D110" s="2">
        <f>MACD!E110</f>
        <v>-7.5835688606591845E-2</v>
      </c>
      <c r="E110" s="2">
        <f>MACD!F110</f>
        <v>-4.8816424091311067E-2</v>
      </c>
      <c r="F110" s="2">
        <f>'Moving Avg'!D110</f>
        <v>5.7904</v>
      </c>
      <c r="G110" s="2">
        <f>'Moving Avg'!F110</f>
        <v>5.6245999999999992</v>
      </c>
      <c r="H110" s="2">
        <f>'Moving Avg'!G110</f>
        <v>5.4967399999999973</v>
      </c>
      <c r="I110" s="2">
        <f>'Moving Avg'!H110</f>
        <v>0</v>
      </c>
      <c r="J110" s="5" t="str">
        <f>OBV!F110</f>
        <v>BEARISH</v>
      </c>
      <c r="K110" s="5" t="str">
        <f>OBV!G110</f>
        <v>STRONG</v>
      </c>
      <c r="L110" s="5" t="str">
        <f>OBV!H110</f>
        <v>BEARISH DIVERGENCE</v>
      </c>
    </row>
    <row r="111" spans="1:12" ht="13.5" x14ac:dyDescent="0.25">
      <c r="A111" s="3">
        <f>RSI!A111</f>
        <v>45078</v>
      </c>
      <c r="B111" s="2">
        <f>RSI!B111</f>
        <v>5.8540000000000001</v>
      </c>
      <c r="C111" s="2">
        <f>RSI!I111</f>
        <v>71.295507107139287</v>
      </c>
      <c r="D111" s="2">
        <f>MACD!E111</f>
        <v>-8.5956994103349338E-2</v>
      </c>
      <c r="E111" s="2">
        <f>MACD!F111</f>
        <v>-5.6244538093718724E-2</v>
      </c>
      <c r="F111" s="2">
        <f>'Moving Avg'!D111</f>
        <v>5.8281999999999998</v>
      </c>
      <c r="G111" s="2">
        <f>'Moving Avg'!F111</f>
        <v>5.6412499999999994</v>
      </c>
      <c r="H111" s="2">
        <f>'Moving Avg'!G111</f>
        <v>5.5059399999999981</v>
      </c>
      <c r="I111" s="2">
        <f>'Moving Avg'!H111</f>
        <v>0</v>
      </c>
      <c r="J111" s="5" t="str">
        <f>OBV!F111</f>
        <v>BEARISH</v>
      </c>
      <c r="K111" s="5" t="str">
        <f>OBV!G111</f>
        <v>STRONG</v>
      </c>
      <c r="L111" s="5" t="str">
        <f>OBV!H111</f>
        <v>CONFIRMED BEARISH</v>
      </c>
    </row>
    <row r="112" spans="1:12" ht="13.5" x14ac:dyDescent="0.25">
      <c r="A112" s="3">
        <f>RSI!A112</f>
        <v>45079</v>
      </c>
      <c r="B112" s="2">
        <f>RSI!B112</f>
        <v>5.9249999999999998</v>
      </c>
      <c r="C112" s="2">
        <f>RSI!I112</f>
        <v>74.640358746118352</v>
      </c>
      <c r="D112" s="2">
        <f>MACD!E112</f>
        <v>-0.1024171964828211</v>
      </c>
      <c r="E112" s="2">
        <f>MACD!F112</f>
        <v>-6.5479069771539208E-2</v>
      </c>
      <c r="F112" s="2">
        <f>'Moving Avg'!D112</f>
        <v>5.8835999999999995</v>
      </c>
      <c r="G112" s="2">
        <f>'Moving Avg'!F112</f>
        <v>5.6614499999999994</v>
      </c>
      <c r="H112" s="2">
        <f>'Moving Avg'!G112</f>
        <v>5.5167399999999986</v>
      </c>
      <c r="I112" s="2">
        <f>'Moving Avg'!H112</f>
        <v>0</v>
      </c>
      <c r="J112" s="5" t="str">
        <f>OBV!F112</f>
        <v>BEARISH</v>
      </c>
      <c r="K112" s="5" t="str">
        <f>OBV!G112</f>
        <v>STRONG</v>
      </c>
      <c r="L112" s="5" t="str">
        <f>OBV!H112</f>
        <v>BEARISH DIVERGENCE</v>
      </c>
    </row>
    <row r="113" spans="1:12" ht="13.5" x14ac:dyDescent="0.25">
      <c r="A113" s="3">
        <f>RSI!A113</f>
        <v>45082</v>
      </c>
      <c r="B113" s="2">
        <f>RSI!B113</f>
        <v>5.899</v>
      </c>
      <c r="C113" s="2">
        <f>RSI!I113</f>
        <v>71.36100966312506</v>
      </c>
      <c r="D113" s="2">
        <f>MACD!E113</f>
        <v>-0.11229436704813089</v>
      </c>
      <c r="E113" s="2">
        <f>MACD!F113</f>
        <v>-7.4842129226857554E-2</v>
      </c>
      <c r="F113" s="2">
        <f>'Moving Avg'!D113</f>
        <v>5.8895999999999997</v>
      </c>
      <c r="G113" s="2">
        <f>'Moving Avg'!F113</f>
        <v>5.6803499999999998</v>
      </c>
      <c r="H113" s="2">
        <f>'Moving Avg'!G113</f>
        <v>5.5270199999999985</v>
      </c>
      <c r="I113" s="2">
        <f>'Moving Avg'!H113</f>
        <v>0</v>
      </c>
      <c r="J113" s="5" t="str">
        <f>OBV!F113</f>
        <v>BEARISH</v>
      </c>
      <c r="K113" s="5" t="str">
        <f>OBV!G113</f>
        <v>STRONG</v>
      </c>
      <c r="L113" s="5" t="str">
        <f>OBV!H113</f>
        <v>CONFIRMED BEARISH</v>
      </c>
    </row>
    <row r="114" spans="1:12" ht="13.5" x14ac:dyDescent="0.25">
      <c r="A114" s="3">
        <f>RSI!A114</f>
        <v>45083</v>
      </c>
      <c r="B114" s="2">
        <f>RSI!B114</f>
        <v>5.97</v>
      </c>
      <c r="C114" s="2">
        <f>RSI!I114</f>
        <v>74.637946227513936</v>
      </c>
      <c r="D114" s="2">
        <f>MACD!E114</f>
        <v>-0.12735147370701316</v>
      </c>
      <c r="E114" s="2">
        <f>MACD!F114</f>
        <v>-8.5343998122888676E-2</v>
      </c>
      <c r="F114" s="2">
        <f>'Moving Avg'!D114</f>
        <v>5.9182000000000006</v>
      </c>
      <c r="G114" s="2">
        <f>'Moving Avg'!F114</f>
        <v>5.7027999999999999</v>
      </c>
      <c r="H114" s="2">
        <f>'Moving Avg'!G114</f>
        <v>5.5393999999999997</v>
      </c>
      <c r="I114" s="2">
        <f>'Moving Avg'!H114</f>
        <v>0</v>
      </c>
      <c r="J114" s="5" t="str">
        <f>OBV!F114</f>
        <v>BEARISH</v>
      </c>
      <c r="K114" s="5" t="str">
        <f>OBV!G114</f>
        <v>STRONG</v>
      </c>
      <c r="L114" s="5" t="str">
        <f>OBV!H114</f>
        <v>CONFIRMED BEARISH</v>
      </c>
    </row>
    <row r="115" spans="1:12" ht="13.5" x14ac:dyDescent="0.25">
      <c r="A115" s="3">
        <f>RSI!A115</f>
        <v>45084</v>
      </c>
      <c r="B115" s="2">
        <f>RSI!B115</f>
        <v>5.9610000000000003</v>
      </c>
      <c r="C115" s="2">
        <f>RSI!I115</f>
        <v>73.490036754027074</v>
      </c>
      <c r="D115" s="2">
        <f>MACD!E115</f>
        <v>-0.13333238093312261</v>
      </c>
      <c r="E115" s="2">
        <f>MACD!F115</f>
        <v>-9.4941674684935473E-2</v>
      </c>
      <c r="F115" s="2">
        <f>'Moving Avg'!D115</f>
        <v>5.9218000000000002</v>
      </c>
      <c r="G115" s="2">
        <f>'Moving Avg'!F115</f>
        <v>5.7234999999999996</v>
      </c>
      <c r="H115" s="2">
        <f>'Moving Avg'!G115</f>
        <v>5.5521000000000003</v>
      </c>
      <c r="I115" s="2">
        <f>'Moving Avg'!H115</f>
        <v>0</v>
      </c>
      <c r="J115" s="5" t="str">
        <f>OBV!F115</f>
        <v>BEARISH</v>
      </c>
      <c r="K115" s="5" t="str">
        <f>OBV!G115</f>
        <v>STRONG</v>
      </c>
      <c r="L115" s="5" t="str">
        <f>OBV!H115</f>
        <v>BEARISH DIVERGENCE</v>
      </c>
    </row>
    <row r="116" spans="1:12" ht="13.5" x14ac:dyDescent="0.25">
      <c r="A116" s="3">
        <f>RSI!A116</f>
        <v>45085</v>
      </c>
      <c r="B116" s="2">
        <f>RSI!B116</f>
        <v>5.952</v>
      </c>
      <c r="C116" s="2">
        <f>RSI!I116</f>
        <v>72.292670780268281</v>
      </c>
      <c r="D116" s="2">
        <f>MACD!E116</f>
        <v>-0.13806577114237495</v>
      </c>
      <c r="E116" s="2">
        <f>MACD!F116</f>
        <v>-0.10356649397642337</v>
      </c>
      <c r="F116" s="2">
        <f>'Moving Avg'!D116</f>
        <v>5.9413999999999998</v>
      </c>
      <c r="G116" s="2">
        <f>'Moving Avg'!F116</f>
        <v>5.7433499999999995</v>
      </c>
      <c r="H116" s="2">
        <f>'Moving Avg'!G116</f>
        <v>5.5651400000000004</v>
      </c>
      <c r="I116" s="2">
        <f>'Moving Avg'!H116</f>
        <v>0</v>
      </c>
      <c r="J116" s="5" t="str">
        <f>OBV!F116</f>
        <v>BEARISH</v>
      </c>
      <c r="K116" s="5" t="str">
        <f>OBV!G116</f>
        <v>STRONG</v>
      </c>
      <c r="L116" s="5" t="str">
        <f>OBV!H116</f>
        <v>BEARISH DIVERGENCE</v>
      </c>
    </row>
    <row r="117" spans="1:12" ht="13.5" x14ac:dyDescent="0.25">
      <c r="A117" s="3">
        <f>RSI!A117</f>
        <v>45086</v>
      </c>
      <c r="B117" s="2">
        <f>RSI!B117</f>
        <v>5.952</v>
      </c>
      <c r="C117" s="2">
        <f>RSI!I117</f>
        <v>72.292670780268281</v>
      </c>
      <c r="D117" s="2">
        <f>MACD!E117</f>
        <v>-0.14608690852976824</v>
      </c>
      <c r="E117" s="2">
        <f>MACD!F117</f>
        <v>-0.11207057688709235</v>
      </c>
      <c r="F117" s="2">
        <f>'Moving Avg'!D117</f>
        <v>5.9467999999999988</v>
      </c>
      <c r="G117" s="2">
        <f>'Moving Avg'!F117</f>
        <v>5.7627499999999996</v>
      </c>
      <c r="H117" s="2">
        <f>'Moving Avg'!G117</f>
        <v>5.5785200000000001</v>
      </c>
      <c r="I117" s="2">
        <f>'Moving Avg'!H117</f>
        <v>0</v>
      </c>
      <c r="J117" s="5" t="str">
        <f>OBV!F117</f>
        <v>BEARISH</v>
      </c>
      <c r="K117" s="5" t="str">
        <f>OBV!G117</f>
        <v>STRONG</v>
      </c>
      <c r="L117" s="5" t="str">
        <f>OBV!H117</f>
        <v>BEARISH DIVERGENCE</v>
      </c>
    </row>
    <row r="118" spans="1:12" ht="13.5" x14ac:dyDescent="0.25">
      <c r="A118" s="3">
        <f>RSI!A118</f>
        <v>45089</v>
      </c>
      <c r="B118" s="2">
        <f>RSI!B118</f>
        <v>5.9340000000000002</v>
      </c>
      <c r="C118" s="2">
        <f>RSI!I118</f>
        <v>69.660089210706246</v>
      </c>
      <c r="D118" s="2">
        <f>MACD!E118</f>
        <v>-0.11883752148536342</v>
      </c>
      <c r="E118" s="2">
        <f>MACD!F118</f>
        <v>-0.11342396580674656</v>
      </c>
      <c r="F118" s="2">
        <f>'Moving Avg'!D118</f>
        <v>5.9538000000000002</v>
      </c>
      <c r="G118" s="2">
        <f>'Moving Avg'!F118</f>
        <v>5.7812499999999991</v>
      </c>
      <c r="H118" s="2">
        <f>'Moving Avg'!G118</f>
        <v>5.5908600000000002</v>
      </c>
      <c r="I118" s="2">
        <f>'Moving Avg'!H118</f>
        <v>0</v>
      </c>
      <c r="J118" s="5" t="str">
        <f>OBV!F118</f>
        <v>BEARISH</v>
      </c>
      <c r="K118" s="5" t="str">
        <f>OBV!G118</f>
        <v>STRONG</v>
      </c>
      <c r="L118" s="5" t="str">
        <f>OBV!H118</f>
        <v>BEARISH DIVERGENCE</v>
      </c>
    </row>
    <row r="119" spans="1:12" ht="13.5" x14ac:dyDescent="0.25">
      <c r="A119" s="3">
        <f>RSI!A119</f>
        <v>45090</v>
      </c>
      <c r="B119" s="2">
        <f>RSI!B119</f>
        <v>5.952</v>
      </c>
      <c r="C119" s="2">
        <f>RSI!I119</f>
        <v>70.805023038709237</v>
      </c>
      <c r="D119" s="2">
        <f>MACD!E119</f>
        <v>-0.10466962540800573</v>
      </c>
      <c r="E119" s="2">
        <f>MACD!F119</f>
        <v>-0.1116730977269984</v>
      </c>
      <c r="F119" s="2">
        <f>'Moving Avg'!D119</f>
        <v>5.9502000000000006</v>
      </c>
      <c r="G119" s="2">
        <f>'Moving Avg'!F119</f>
        <v>5.7993999999999994</v>
      </c>
      <c r="H119" s="2">
        <f>'Moving Avg'!G119</f>
        <v>5.6028800000000016</v>
      </c>
      <c r="I119" s="2">
        <f>'Moving Avg'!H119</f>
        <v>0</v>
      </c>
      <c r="J119" s="5" t="str">
        <f>OBV!F119</f>
        <v>BEARISH</v>
      </c>
      <c r="K119" s="5" t="str">
        <f>OBV!G119</f>
        <v>STRONG</v>
      </c>
      <c r="L119" s="5" t="str">
        <f>OBV!H119</f>
        <v>CONFIRMED BEARISH</v>
      </c>
    </row>
    <row r="120" spans="1:12" ht="13.5" x14ac:dyDescent="0.25">
      <c r="A120" s="3">
        <f>RSI!A120</f>
        <v>45091</v>
      </c>
      <c r="B120" s="2">
        <f>RSI!B120</f>
        <v>5.9610000000000003</v>
      </c>
      <c r="C120" s="2">
        <f>RSI!I120</f>
        <v>71.386446525067342</v>
      </c>
      <c r="D120" s="2">
        <f>MACD!E120</f>
        <v>-7.6621619929643003E-2</v>
      </c>
      <c r="E120" s="2">
        <f>MACD!F120</f>
        <v>-0.10466280216752734</v>
      </c>
      <c r="F120" s="2">
        <f>'Moving Avg'!D120</f>
        <v>5.9501999999999997</v>
      </c>
      <c r="G120" s="2">
        <f>'Moving Avg'!F120</f>
        <v>5.8175499999999989</v>
      </c>
      <c r="H120" s="2">
        <f>'Moving Avg'!G120</f>
        <v>5.6150800000000016</v>
      </c>
      <c r="I120" s="2">
        <f>'Moving Avg'!H120</f>
        <v>0</v>
      </c>
      <c r="J120" s="5" t="str">
        <f>OBV!F120</f>
        <v>BULLISH</v>
      </c>
      <c r="K120" s="5" t="str">
        <f>OBV!G120</f>
        <v>NEUTRAL</v>
      </c>
      <c r="L120" s="5" t="str">
        <f>OBV!H120</f>
        <v>NEUTRAL</v>
      </c>
    </row>
    <row r="121" spans="1:12" ht="13.5" x14ac:dyDescent="0.25">
      <c r="A121" s="3">
        <f>RSI!A121</f>
        <v>45092</v>
      </c>
      <c r="B121" s="2">
        <f>RSI!B121</f>
        <v>5.9610000000000003</v>
      </c>
      <c r="C121" s="2">
        <f>RSI!I121</f>
        <v>71.386446525067342</v>
      </c>
      <c r="D121" s="2">
        <f>MACD!E121</f>
        <v>-6.7670941906086135E-2</v>
      </c>
      <c r="E121" s="2">
        <f>MACD!F121</f>
        <v>-9.7264430115239109E-2</v>
      </c>
      <c r="F121" s="2">
        <f>'Moving Avg'!D121</f>
        <v>5.952</v>
      </c>
      <c r="G121" s="2">
        <f>'Moving Avg'!F121</f>
        <v>5.8361499999999982</v>
      </c>
      <c r="H121" s="2">
        <f>'Moving Avg'!G121</f>
        <v>5.6272800000000025</v>
      </c>
      <c r="I121" s="2">
        <f>'Moving Avg'!H121</f>
        <v>0</v>
      </c>
      <c r="J121" s="5" t="str">
        <f>OBV!F121</f>
        <v>BULLISH</v>
      </c>
      <c r="K121" s="5" t="str">
        <f>OBV!G121</f>
        <v>WEAK</v>
      </c>
      <c r="L121" s="5" t="str">
        <f>OBV!H121</f>
        <v>CONFIRMED BULLISH</v>
      </c>
    </row>
    <row r="122" spans="1:12" ht="13.5" x14ac:dyDescent="0.25">
      <c r="A122" s="3">
        <f>RSI!A122</f>
        <v>45093</v>
      </c>
      <c r="B122" s="2">
        <f>RSI!B122</f>
        <v>5.9429999999999996</v>
      </c>
      <c r="C122" s="2">
        <f>RSI!I122</f>
        <v>68.234437778339213</v>
      </c>
      <c r="D122" s="2">
        <f>MACD!E122</f>
        <v>-4.8850086566762485E-2</v>
      </c>
      <c r="E122" s="2">
        <f>MACD!F122</f>
        <v>-8.7581561405543795E-2</v>
      </c>
      <c r="F122" s="2">
        <f>'Moving Avg'!D122</f>
        <v>5.9501999999999997</v>
      </c>
      <c r="G122" s="2">
        <f>'Moving Avg'!F122</f>
        <v>5.8542499999999986</v>
      </c>
      <c r="H122" s="2">
        <f>'Moving Avg'!G122</f>
        <v>5.6391200000000001</v>
      </c>
      <c r="I122" s="2">
        <f>'Moving Avg'!H122</f>
        <v>0</v>
      </c>
      <c r="J122" s="5" t="str">
        <f>OBV!F122</f>
        <v>BULLISH</v>
      </c>
      <c r="K122" s="5" t="str">
        <f>OBV!G122</f>
        <v>NEUTRAL</v>
      </c>
      <c r="L122" s="5" t="str">
        <f>OBV!H122</f>
        <v>BULLISH DIVERGENCE</v>
      </c>
    </row>
    <row r="123" spans="1:12" ht="13.5" x14ac:dyDescent="0.25">
      <c r="A123" s="3">
        <f>RSI!A123</f>
        <v>45096</v>
      </c>
      <c r="B123" s="2">
        <f>RSI!B123</f>
        <v>5.9429999999999996</v>
      </c>
      <c r="C123" s="2">
        <f>RSI!I123</f>
        <v>68.234437778339213</v>
      </c>
      <c r="D123" s="2">
        <f>MACD!E123</f>
        <v>-3.7752834246019162E-2</v>
      </c>
      <c r="E123" s="2">
        <f>MACD!F123</f>
        <v>-7.7615815973638869E-2</v>
      </c>
      <c r="F123" s="2">
        <f>'Moving Avg'!D123</f>
        <v>5.952</v>
      </c>
      <c r="G123" s="2">
        <f>'Moving Avg'!F123</f>
        <v>5.8710999999999993</v>
      </c>
      <c r="H123" s="2">
        <f>'Moving Avg'!G123</f>
        <v>5.6501000000000001</v>
      </c>
      <c r="I123" s="2">
        <f>'Moving Avg'!H123</f>
        <v>0</v>
      </c>
      <c r="J123" s="5" t="str">
        <f>OBV!F123</f>
        <v>BULLISH</v>
      </c>
      <c r="K123" s="5" t="str">
        <f>OBV!G123</f>
        <v>WEAK</v>
      </c>
      <c r="L123" s="5" t="str">
        <f>OBV!H123</f>
        <v>CONFIRMED BULLISH</v>
      </c>
    </row>
    <row r="124" spans="1:12" ht="13.5" x14ac:dyDescent="0.25">
      <c r="A124" s="3">
        <f>RSI!A124</f>
        <v>45097</v>
      </c>
      <c r="B124" s="2">
        <f>RSI!B124</f>
        <v>5.9249999999999998</v>
      </c>
      <c r="C124" s="2">
        <f>RSI!I124</f>
        <v>64.910477535026288</v>
      </c>
      <c r="D124" s="2">
        <f>MACD!E124</f>
        <v>-1.687318830531126E-2</v>
      </c>
      <c r="E124" s="2">
        <f>MACD!F124</f>
        <v>-6.5467290439973347E-2</v>
      </c>
      <c r="F124" s="2">
        <f>'Moving Avg'!D124</f>
        <v>5.9466000000000001</v>
      </c>
      <c r="G124" s="2">
        <f>'Moving Avg'!F124</f>
        <v>5.8870499999999986</v>
      </c>
      <c r="H124" s="2">
        <f>'Moving Avg'!G124</f>
        <v>5.6607200000000004</v>
      </c>
      <c r="I124" s="2">
        <f>'Moving Avg'!H124</f>
        <v>0</v>
      </c>
      <c r="J124" s="5" t="str">
        <f>OBV!F124</f>
        <v>BEARISH</v>
      </c>
      <c r="K124" s="5" t="str">
        <f>OBV!G124</f>
        <v>STRONG</v>
      </c>
      <c r="L124" s="5" t="str">
        <f>OBV!H124</f>
        <v>CONFIRMED BEARISH</v>
      </c>
    </row>
    <row r="125" spans="1:12" ht="13.5" x14ac:dyDescent="0.25">
      <c r="A125" s="3">
        <f>RSI!A125</f>
        <v>45098</v>
      </c>
      <c r="B125" s="2">
        <f>RSI!B125</f>
        <v>5.9340000000000002</v>
      </c>
      <c r="C125" s="2">
        <f>RSI!I125</f>
        <v>65.807368032444344</v>
      </c>
      <c r="D125" s="2">
        <f>MACD!E125</f>
        <v>-1.8606658354656247E-3</v>
      </c>
      <c r="E125" s="2">
        <f>MACD!F125</f>
        <v>-5.2745965519071805E-2</v>
      </c>
      <c r="F125" s="2">
        <f>'Moving Avg'!D125</f>
        <v>5.9412000000000003</v>
      </c>
      <c r="G125" s="2">
        <f>'Moving Avg'!F125</f>
        <v>5.9008999999999983</v>
      </c>
      <c r="H125" s="2">
        <f>'Moving Avg'!G125</f>
        <v>5.6706800000000008</v>
      </c>
      <c r="I125" s="2">
        <f>'Moving Avg'!H125</f>
        <v>0</v>
      </c>
      <c r="J125" s="5" t="str">
        <f>OBV!F125</f>
        <v>BEARISH</v>
      </c>
      <c r="K125" s="5" t="str">
        <f>OBV!G125</f>
        <v>STRONG</v>
      </c>
      <c r="L125" s="5" t="str">
        <f>OBV!H125</f>
        <v>CONFIRMED BEARISH</v>
      </c>
    </row>
    <row r="126" spans="1:12" ht="13.5" x14ac:dyDescent="0.25">
      <c r="A126" s="3">
        <f>RSI!A126</f>
        <v>45099</v>
      </c>
      <c r="B126" s="2">
        <f>RSI!B126</f>
        <v>5.9429999999999996</v>
      </c>
      <c r="C126" s="2">
        <f>RSI!I126</f>
        <v>66.723348610318112</v>
      </c>
      <c r="D126" s="2">
        <f>MACD!E126</f>
        <v>8.1788963940203629E-3</v>
      </c>
      <c r="E126" s="2">
        <f>MACD!F126</f>
        <v>-4.0560993136453373E-2</v>
      </c>
      <c r="F126" s="2">
        <f>'Moving Avg'!D126</f>
        <v>5.9376000000000007</v>
      </c>
      <c r="G126" s="2">
        <f>'Moving Avg'!F126</f>
        <v>5.9147999999999987</v>
      </c>
      <c r="H126" s="2">
        <f>'Moving Avg'!G126</f>
        <v>5.6792800000000012</v>
      </c>
      <c r="I126" s="2">
        <f>'Moving Avg'!H126</f>
        <v>0</v>
      </c>
      <c r="J126" s="5" t="str">
        <f>OBV!F126</f>
        <v>BULLISH</v>
      </c>
      <c r="K126" s="5" t="str">
        <f>OBV!G126</f>
        <v>NEUTRAL</v>
      </c>
      <c r="L126" s="5" t="str">
        <f>OBV!H126</f>
        <v>BULLISH DIVERGENCE</v>
      </c>
    </row>
    <row r="127" spans="1:12" ht="13.5" x14ac:dyDescent="0.25">
      <c r="A127" s="3">
        <f>RSI!A127</f>
        <v>45100</v>
      </c>
      <c r="B127" s="2">
        <f>RSI!B127</f>
        <v>5.9340000000000002</v>
      </c>
      <c r="C127" s="2">
        <f>RSI!I127</f>
        <v>64.852389068714359</v>
      </c>
      <c r="D127" s="2">
        <f>MACD!E127</f>
        <v>1.6720674250238154E-2</v>
      </c>
      <c r="E127" s="2">
        <f>MACD!F127</f>
        <v>-2.910465965911507E-2</v>
      </c>
      <c r="F127" s="2">
        <f>'Moving Avg'!D127</f>
        <v>5.9357999999999995</v>
      </c>
      <c r="G127" s="2">
        <f>'Moving Avg'!F127</f>
        <v>5.9290999999999991</v>
      </c>
      <c r="H127" s="2">
        <f>'Moving Avg'!G127</f>
        <v>5.6880400000000018</v>
      </c>
      <c r="I127" s="2">
        <f>'Moving Avg'!H127</f>
        <v>0</v>
      </c>
      <c r="J127" s="5" t="str">
        <f>OBV!F127</f>
        <v>BEARISH</v>
      </c>
      <c r="K127" s="5" t="str">
        <f>OBV!G127</f>
        <v>NEUTRAL</v>
      </c>
      <c r="L127" s="5" t="str">
        <f>OBV!H127</f>
        <v>CONFIRMED BEARISH</v>
      </c>
    </row>
    <row r="128" spans="1:12" ht="13.5" x14ac:dyDescent="0.25">
      <c r="A128" s="3">
        <f>RSI!A128</f>
        <v>45103</v>
      </c>
      <c r="B128" s="2">
        <f>RSI!B128</f>
        <v>5.9249999999999998</v>
      </c>
      <c r="C128" s="2">
        <f>RSI!I128</f>
        <v>62.951412665159914</v>
      </c>
      <c r="D128" s="2">
        <f>MACD!E128</f>
        <v>2.1324965456673617E-2</v>
      </c>
      <c r="E128" s="2">
        <f>MACD!F128</f>
        <v>-1.9018734635957334E-2</v>
      </c>
      <c r="F128" s="2">
        <f>'Moving Avg'!D128</f>
        <v>5.9321999999999999</v>
      </c>
      <c r="G128" s="2">
        <f>'Moving Avg'!F128</f>
        <v>5.9318999999999988</v>
      </c>
      <c r="H128" s="2">
        <f>'Moving Avg'!G128</f>
        <v>5.6966200000000029</v>
      </c>
      <c r="I128" s="2">
        <f>'Moving Avg'!H128</f>
        <v>0</v>
      </c>
      <c r="J128" s="5" t="str">
        <f>OBV!F128</f>
        <v>BEARISH</v>
      </c>
      <c r="K128" s="5" t="str">
        <f>OBV!G128</f>
        <v>STRONG</v>
      </c>
      <c r="L128" s="5" t="str">
        <f>OBV!H128</f>
        <v>CONFIRMED BEARISH</v>
      </c>
    </row>
    <row r="129" spans="1:12" ht="13.5" x14ac:dyDescent="0.25">
      <c r="A129" s="3">
        <f>RSI!A129</f>
        <v>45104</v>
      </c>
      <c r="B129" s="2">
        <f>RSI!B129</f>
        <v>5.9249999999999998</v>
      </c>
      <c r="C129" s="2">
        <f>RSI!I129</f>
        <v>62.951412665159914</v>
      </c>
      <c r="D129" s="2">
        <f>MACD!E129</f>
        <v>2.7561091439418206E-2</v>
      </c>
      <c r="E129" s="2">
        <f>MACD!F129</f>
        <v>-9.7027694208822266E-3</v>
      </c>
      <c r="F129" s="2">
        <f>'Moving Avg'!D129</f>
        <v>5.9321999999999999</v>
      </c>
      <c r="G129" s="2">
        <f>'Moving Avg'!F129</f>
        <v>5.936799999999999</v>
      </c>
      <c r="H129" s="2">
        <f>'Moving Avg'!G129</f>
        <v>5.7057200000000021</v>
      </c>
      <c r="I129" s="2">
        <f>'Moving Avg'!H129</f>
        <v>0</v>
      </c>
      <c r="J129" s="5" t="str">
        <f>OBV!F129</f>
        <v>BEARISH</v>
      </c>
      <c r="K129" s="5" t="str">
        <f>OBV!G129</f>
        <v>NEUTRAL</v>
      </c>
      <c r="L129" s="5" t="str">
        <f>OBV!H129</f>
        <v>NEUTRAL</v>
      </c>
    </row>
    <row r="130" spans="1:12" ht="13.5" x14ac:dyDescent="0.25">
      <c r="A130" s="3">
        <f>RSI!A130</f>
        <v>45107</v>
      </c>
      <c r="B130" s="2">
        <f>RSI!B130</f>
        <v>5.89</v>
      </c>
      <c r="C130" s="2">
        <f>RSI!I130</f>
        <v>55.600752909045028</v>
      </c>
      <c r="D130" s="2">
        <f>MACD!E130</f>
        <v>3.6417758902372199E-2</v>
      </c>
      <c r="E130" s="2">
        <f>MACD!F130</f>
        <v>-4.7866375623134127E-4</v>
      </c>
      <c r="F130" s="2">
        <f>'Moving Avg'!D130</f>
        <v>5.9234</v>
      </c>
      <c r="G130" s="2">
        <f>'Moving Avg'!F130</f>
        <v>5.9341499999999989</v>
      </c>
      <c r="H130" s="2">
        <f>'Moving Avg'!G130</f>
        <v>5.7141200000000012</v>
      </c>
      <c r="I130" s="2">
        <f>'Moving Avg'!H130</f>
        <v>0</v>
      </c>
      <c r="J130" s="5" t="str">
        <f>OBV!F130</f>
        <v>BEARISH</v>
      </c>
      <c r="K130" s="5" t="str">
        <f>OBV!G130</f>
        <v>STRONG</v>
      </c>
      <c r="L130" s="5" t="str">
        <f>OBV!H130</f>
        <v>CONFIRMED BEARISH</v>
      </c>
    </row>
    <row r="131" spans="1:12" ht="13.5" x14ac:dyDescent="0.25">
      <c r="A131" s="3">
        <f>RSI!A131</f>
        <v>45110</v>
      </c>
      <c r="B131" s="2">
        <f>RSI!B131</f>
        <v>5.89</v>
      </c>
      <c r="C131" s="2">
        <f>RSI!I131</f>
        <v>55.600752909045028</v>
      </c>
      <c r="D131" s="2">
        <f>MACD!E131</f>
        <v>4.3750842995542882E-2</v>
      </c>
      <c r="E131" s="2">
        <f>MACD!F131</f>
        <v>8.3672375941235035E-3</v>
      </c>
      <c r="F131" s="2">
        <f>'Moving Avg'!D131</f>
        <v>5.9127999999999998</v>
      </c>
      <c r="G131" s="2">
        <f>'Moving Avg'!F131</f>
        <v>5.9359499999999992</v>
      </c>
      <c r="H131" s="2">
        <f>'Moving Avg'!G131</f>
        <v>5.722520000000002</v>
      </c>
      <c r="I131" s="2">
        <f>'Moving Avg'!H131</f>
        <v>0</v>
      </c>
      <c r="J131" s="5" t="str">
        <f>OBV!F131</f>
        <v>BEARISH</v>
      </c>
      <c r="K131" s="5" t="str">
        <f>OBV!G131</f>
        <v>STRONG</v>
      </c>
      <c r="L131" s="5" t="str">
        <f>OBV!H131</f>
        <v>CONFIRMED BEARISH</v>
      </c>
    </row>
    <row r="132" spans="1:12" ht="13.5" x14ac:dyDescent="0.25">
      <c r="A132" s="3">
        <f>RSI!A132</f>
        <v>45111</v>
      </c>
      <c r="B132" s="2">
        <f>RSI!B132</f>
        <v>5.8630000000000004</v>
      </c>
      <c r="C132" s="2">
        <f>RSI!I132</f>
        <v>50.341631319297562</v>
      </c>
      <c r="D132" s="2">
        <f>MACD!E132</f>
        <v>4.903743773525715E-2</v>
      </c>
      <c r="E132" s="2">
        <f>MACD!F132</f>
        <v>1.6501277622350236E-2</v>
      </c>
      <c r="F132" s="2">
        <f>'Moving Avg'!D132</f>
        <v>5.8986000000000001</v>
      </c>
      <c r="G132" s="2">
        <f>'Moving Avg'!F132</f>
        <v>5.9328499999999984</v>
      </c>
      <c r="H132" s="2">
        <f>'Moving Avg'!G132</f>
        <v>5.7303800000000011</v>
      </c>
      <c r="I132" s="2">
        <f>'Moving Avg'!H132</f>
        <v>0</v>
      </c>
      <c r="J132" s="5" t="str">
        <f>OBV!F132</f>
        <v>BEARISH</v>
      </c>
      <c r="K132" s="5" t="str">
        <f>OBV!G132</f>
        <v>STRONG</v>
      </c>
      <c r="L132" s="5" t="str">
        <f>OBV!H132</f>
        <v>CONFIRMED BEARISH</v>
      </c>
    </row>
    <row r="133" spans="1:12" ht="13.5" x14ac:dyDescent="0.25">
      <c r="A133" s="3">
        <f>RSI!A133</f>
        <v>45112</v>
      </c>
      <c r="B133" s="2">
        <f>RSI!B133</f>
        <v>5.766</v>
      </c>
      <c r="C133" s="2">
        <f>RSI!I133</f>
        <v>36.854587982323615</v>
      </c>
      <c r="D133" s="2">
        <f>MACD!E133</f>
        <v>6.0717391588477554E-2</v>
      </c>
      <c r="E133" s="2">
        <f>MACD!F133</f>
        <v>2.5344500415575701E-2</v>
      </c>
      <c r="F133" s="2">
        <f>'Moving Avg'!D133</f>
        <v>5.8667999999999996</v>
      </c>
      <c r="G133" s="2">
        <f>'Moving Avg'!F133</f>
        <v>5.9261999999999997</v>
      </c>
      <c r="H133" s="2">
        <f>'Moving Avg'!G133</f>
        <v>5.7363000000000008</v>
      </c>
      <c r="I133" s="2">
        <f>'Moving Avg'!H133</f>
        <v>0</v>
      </c>
      <c r="J133" s="5" t="str">
        <f>OBV!F133</f>
        <v>BEARISH</v>
      </c>
      <c r="K133" s="5" t="str">
        <f>OBV!G133</f>
        <v>STRONG</v>
      </c>
      <c r="L133" s="5" t="str">
        <f>OBV!H133</f>
        <v>CONFIRMED BEARISH</v>
      </c>
    </row>
    <row r="134" spans="1:12" ht="13.5" x14ac:dyDescent="0.25">
      <c r="A134" s="3">
        <f>RSI!A134</f>
        <v>45113</v>
      </c>
      <c r="B134" s="2">
        <f>RSI!B134</f>
        <v>5.766</v>
      </c>
      <c r="C134" s="2">
        <f>RSI!I134</f>
        <v>36.854587982323615</v>
      </c>
      <c r="D134" s="2">
        <f>MACD!E134</f>
        <v>6.8424279745975092E-2</v>
      </c>
      <c r="E134" s="2">
        <f>MACD!F134</f>
        <v>3.3960456281655581E-2</v>
      </c>
      <c r="F134" s="2">
        <f>'Moving Avg'!D134</f>
        <v>5.8349999999999991</v>
      </c>
      <c r="G134" s="2">
        <f>'Moving Avg'!F134</f>
        <v>5.9159999999999995</v>
      </c>
      <c r="H134" s="2">
        <f>'Moving Avg'!G134</f>
        <v>5.7423800000000016</v>
      </c>
      <c r="I134" s="2">
        <f>'Moving Avg'!H134</f>
        <v>0</v>
      </c>
      <c r="J134" s="5" t="str">
        <f>OBV!F134</f>
        <v>BEARISH</v>
      </c>
      <c r="K134" s="5" t="str">
        <f>OBV!G134</f>
        <v>STRONG</v>
      </c>
      <c r="L134" s="5" t="str">
        <f>OBV!H134</f>
        <v>CONFIRMED BEARISH</v>
      </c>
    </row>
    <row r="135" spans="1:12" ht="13.5" x14ac:dyDescent="0.25">
      <c r="A135" s="3">
        <f>RSI!A135</f>
        <v>45114</v>
      </c>
      <c r="B135" s="2">
        <f>RSI!B135</f>
        <v>5.766</v>
      </c>
      <c r="C135" s="2">
        <f>RSI!I135</f>
        <v>36.854587982323622</v>
      </c>
      <c r="D135" s="2">
        <f>MACD!E135</f>
        <v>7.687925730816314E-2</v>
      </c>
      <c r="E135" s="2">
        <f>MACD!F135</f>
        <v>4.2544216486957095E-2</v>
      </c>
      <c r="F135" s="2">
        <f>'Moving Avg'!D135</f>
        <v>5.8101999999999991</v>
      </c>
      <c r="G135" s="2">
        <f>'Moving Avg'!F135</f>
        <v>5.90625</v>
      </c>
      <c r="H135" s="2">
        <f>'Moving Avg'!G135</f>
        <v>5.7484600000000032</v>
      </c>
      <c r="I135" s="2">
        <f>'Moving Avg'!H135</f>
        <v>0</v>
      </c>
      <c r="J135" s="5" t="str">
        <f>OBV!F135</f>
        <v>BEARISH</v>
      </c>
      <c r="K135" s="5" t="str">
        <f>OBV!G135</f>
        <v>STRONG</v>
      </c>
      <c r="L135" s="5" t="str">
        <f>OBV!H135</f>
        <v>CONFIRMED BEARISH</v>
      </c>
    </row>
    <row r="136" spans="1:12" ht="13.5" x14ac:dyDescent="0.25">
      <c r="A136" s="3">
        <f>RSI!A136</f>
        <v>45117</v>
      </c>
      <c r="B136" s="2">
        <f>RSI!B136</f>
        <v>5.6769999999999996</v>
      </c>
      <c r="C136" s="2">
        <f>RSI!I136</f>
        <v>28.197491386331393</v>
      </c>
      <c r="D136" s="2">
        <f>MACD!E136</f>
        <v>9.2519148477305357E-2</v>
      </c>
      <c r="E136" s="2">
        <f>MACD!F136</f>
        <v>5.2539202885026753E-2</v>
      </c>
      <c r="F136" s="2">
        <f>'Moving Avg'!D136</f>
        <v>5.7675999999999998</v>
      </c>
      <c r="G136" s="2">
        <f>'Moving Avg'!F136</f>
        <v>5.8925000000000001</v>
      </c>
      <c r="H136" s="2">
        <f>'Moving Avg'!G136</f>
        <v>5.7529400000000033</v>
      </c>
      <c r="I136" s="2">
        <f>'Moving Avg'!H136</f>
        <v>0</v>
      </c>
      <c r="J136" s="5" t="str">
        <f>OBV!F136</f>
        <v>BEARISH</v>
      </c>
      <c r="K136" s="5" t="str">
        <f>OBV!G136</f>
        <v>STRONG</v>
      </c>
      <c r="L136" s="5" t="str">
        <f>OBV!H136</f>
        <v>CONFIRMED BEARISH</v>
      </c>
    </row>
    <row r="137" spans="1:12" ht="13.5" x14ac:dyDescent="0.25">
      <c r="A137" s="3">
        <f>RSI!A137</f>
        <v>45118</v>
      </c>
      <c r="B137" s="2">
        <f>RSI!B137</f>
        <v>5.6769999999999996</v>
      </c>
      <c r="C137" s="2">
        <f>RSI!I137</f>
        <v>28.197491386331407</v>
      </c>
      <c r="D137" s="2">
        <f>MACD!E137</f>
        <v>0.10536499884085337</v>
      </c>
      <c r="E137" s="2">
        <f>MACD!F137</f>
        <v>6.3104362076192078E-2</v>
      </c>
      <c r="F137" s="2">
        <f>'Moving Avg'!D137</f>
        <v>5.7304000000000004</v>
      </c>
      <c r="G137" s="2">
        <f>'Moving Avg'!F137</f>
        <v>5.8787499999999993</v>
      </c>
      <c r="H137" s="2">
        <f>'Moving Avg'!G137</f>
        <v>5.7574200000000042</v>
      </c>
      <c r="I137" s="2">
        <f>'Moving Avg'!H137</f>
        <v>0</v>
      </c>
      <c r="J137" s="5" t="str">
        <f>OBV!F137</f>
        <v>BEARISH</v>
      </c>
      <c r="K137" s="5" t="str">
        <f>OBV!G137</f>
        <v>STRONG</v>
      </c>
      <c r="L137" s="5" t="str">
        <f>OBV!H137</f>
        <v>CONFIRMED BEARISH</v>
      </c>
    </row>
    <row r="138" spans="1:12" ht="13.5" x14ac:dyDescent="0.25">
      <c r="A138" s="3">
        <f>RSI!A138</f>
        <v>45119</v>
      </c>
      <c r="B138" s="2">
        <f>RSI!B138</f>
        <v>5.6769999999999996</v>
      </c>
      <c r="C138" s="2">
        <f>RSI!I138</f>
        <v>28.197491386331407</v>
      </c>
      <c r="D138" s="2">
        <f>MACD!E138</f>
        <v>0.11577283033547481</v>
      </c>
      <c r="E138" s="2">
        <f>MACD!F138</f>
        <v>7.3638055728048629E-2</v>
      </c>
      <c r="F138" s="2">
        <f>'Moving Avg'!D138</f>
        <v>5.7126000000000001</v>
      </c>
      <c r="G138" s="2">
        <f>'Moving Avg'!F138</f>
        <v>5.865899999999999</v>
      </c>
      <c r="H138" s="2">
        <f>'Moving Avg'!G138</f>
        <v>5.7622400000000038</v>
      </c>
      <c r="I138" s="2">
        <f>'Moving Avg'!H138</f>
        <v>0</v>
      </c>
      <c r="J138" s="5" t="str">
        <f>OBV!F138</f>
        <v>BEARISH</v>
      </c>
      <c r="K138" s="5" t="str">
        <f>OBV!G138</f>
        <v>STRONG</v>
      </c>
      <c r="L138" s="5" t="str">
        <f>OBV!H138</f>
        <v>CONFIRMED BEARISH</v>
      </c>
    </row>
    <row r="139" spans="1:12" ht="13.5" x14ac:dyDescent="0.25">
      <c r="A139" s="3">
        <f>RSI!A139</f>
        <v>45120</v>
      </c>
      <c r="B139" s="2">
        <f>RSI!B139</f>
        <v>5.6769999999999996</v>
      </c>
      <c r="C139" s="2">
        <f>RSI!I139</f>
        <v>28.197491386331407</v>
      </c>
      <c r="D139" s="2">
        <f>MACD!E139</f>
        <v>0.12543397660236622</v>
      </c>
      <c r="E139" s="2">
        <f>MACD!F139</f>
        <v>8.3997239902912149E-2</v>
      </c>
      <c r="F139" s="2">
        <f>'Moving Avg'!D139</f>
        <v>5.694799999999999</v>
      </c>
      <c r="G139" s="2">
        <f>'Moving Avg'!F139</f>
        <v>5.8521499999999991</v>
      </c>
      <c r="H139" s="2">
        <f>'Moving Avg'!G139</f>
        <v>5.7670600000000034</v>
      </c>
      <c r="I139" s="2">
        <f>'Moving Avg'!H139</f>
        <v>0</v>
      </c>
      <c r="J139" s="5" t="str">
        <f>OBV!F139</f>
        <v>BEARISH</v>
      </c>
      <c r="K139" s="5" t="str">
        <f>OBV!G139</f>
        <v>STRONG</v>
      </c>
      <c r="L139" s="5" t="str">
        <f>OBV!H139</f>
        <v>CONFIRMED BEARISH</v>
      </c>
    </row>
    <row r="140" spans="1:12" ht="13.5" x14ac:dyDescent="0.25">
      <c r="A140" s="3">
        <f>RSI!A140</f>
        <v>45121</v>
      </c>
      <c r="B140" s="2">
        <f>RSI!B140</f>
        <v>5.6769999999999996</v>
      </c>
      <c r="C140" s="2">
        <f>RSI!I140</f>
        <v>28.197491386331407</v>
      </c>
      <c r="D140" s="2">
        <f>MACD!E140</f>
        <v>0.12901539915788085</v>
      </c>
      <c r="E140" s="2">
        <f>MACD!F140</f>
        <v>9.3000871753905895E-2</v>
      </c>
      <c r="F140" s="2">
        <f>'Moving Avg'!D140</f>
        <v>5.6769999999999996</v>
      </c>
      <c r="G140" s="2">
        <f>'Moving Avg'!F140</f>
        <v>5.8379499999999993</v>
      </c>
      <c r="H140" s="2">
        <f>'Moving Avg'!G140</f>
        <v>5.7722200000000017</v>
      </c>
      <c r="I140" s="2">
        <f>'Moving Avg'!H140</f>
        <v>0</v>
      </c>
      <c r="J140" s="5" t="str">
        <f>OBV!F140</f>
        <v>BEARISH</v>
      </c>
      <c r="K140" s="5" t="str">
        <f>OBV!G140</f>
        <v>STRONG</v>
      </c>
      <c r="L140" s="5" t="str">
        <f>OBV!H140</f>
        <v>CONFIRMED BEARISH</v>
      </c>
    </row>
    <row r="141" spans="1:12" ht="13.5" x14ac:dyDescent="0.25">
      <c r="A141" s="3">
        <f>RSI!A141</f>
        <v>45124</v>
      </c>
      <c r="B141" s="2">
        <f>RSI!B141</f>
        <v>5.6769999999999996</v>
      </c>
      <c r="C141" s="2">
        <f>RSI!I141</f>
        <v>28.197491386331407</v>
      </c>
      <c r="D141" s="2">
        <f>MACD!E141</f>
        <v>0.13277844646880688</v>
      </c>
      <c r="E141" s="2">
        <f>MACD!F141</f>
        <v>0.10095638669688609</v>
      </c>
      <c r="F141" s="2">
        <f>'Moving Avg'!D141</f>
        <v>5.6769999999999996</v>
      </c>
      <c r="G141" s="2">
        <f>'Moving Avg'!F141</f>
        <v>5.8237499999999986</v>
      </c>
      <c r="H141" s="2">
        <f>'Moving Avg'!G141</f>
        <v>5.7753400000000035</v>
      </c>
      <c r="I141" s="2">
        <f>'Moving Avg'!H141</f>
        <v>0</v>
      </c>
      <c r="J141" s="5" t="str">
        <f>OBV!F141</f>
        <v>NEUTRAL</v>
      </c>
      <c r="K141" s="5" t="str">
        <f>OBV!G141</f>
        <v>NEUTRAL</v>
      </c>
      <c r="L141" s="5" t="str">
        <f>OBV!H141</f>
        <v>NEUTRAL</v>
      </c>
    </row>
    <row r="142" spans="1:12" ht="13.5" x14ac:dyDescent="0.25">
      <c r="A142" s="3">
        <f>RSI!A142</f>
        <v>45125</v>
      </c>
      <c r="B142" s="2">
        <f>RSI!B142</f>
        <v>5.7210000000000001</v>
      </c>
      <c r="C142" s="2">
        <f>RSI!I142</f>
        <v>39.209943225520334</v>
      </c>
      <c r="D142" s="2">
        <f>MACD!E142</f>
        <v>0.12922780323413363</v>
      </c>
      <c r="E142" s="2">
        <f>MACD!F142</f>
        <v>0.10661067000433561</v>
      </c>
      <c r="F142" s="2">
        <f>'Moving Avg'!D142</f>
        <v>5.6857999999999995</v>
      </c>
      <c r="G142" s="2">
        <f>'Moving Avg'!F142</f>
        <v>5.8126499999999997</v>
      </c>
      <c r="H142" s="2">
        <f>'Moving Avg'!G142</f>
        <v>5.7793400000000021</v>
      </c>
      <c r="I142" s="2">
        <f>'Moving Avg'!H142</f>
        <v>0</v>
      </c>
      <c r="J142" s="5" t="str">
        <f>OBV!F142</f>
        <v>BULLISH</v>
      </c>
      <c r="K142" s="5" t="str">
        <f>OBV!G142</f>
        <v>WEAK</v>
      </c>
      <c r="L142" s="5" t="str">
        <f>OBV!H142</f>
        <v>CONFIRMED BULLISH</v>
      </c>
    </row>
    <row r="143" spans="1:12" ht="13.5" x14ac:dyDescent="0.25">
      <c r="A143" s="3">
        <f>RSI!A143</f>
        <v>45127</v>
      </c>
      <c r="B143" s="2">
        <f>RSI!B143</f>
        <v>5.7210000000000001</v>
      </c>
      <c r="C143" s="2">
        <f>RSI!I143</f>
        <v>39.209943225520334</v>
      </c>
      <c r="D143" s="2">
        <f>MACD!E143</f>
        <v>0.11166843542082283</v>
      </c>
      <c r="E143" s="2">
        <f>MACD!F143</f>
        <v>0.10762222308763306</v>
      </c>
      <c r="F143" s="2">
        <f>'Moving Avg'!D143</f>
        <v>5.6945999999999994</v>
      </c>
      <c r="G143" s="2">
        <f>'Moving Avg'!F143</f>
        <v>5.8015499999999989</v>
      </c>
      <c r="H143" s="2">
        <f>'Moving Avg'!G143</f>
        <v>5.7833400000000017</v>
      </c>
      <c r="I143" s="2">
        <f>'Moving Avg'!H143</f>
        <v>0</v>
      </c>
      <c r="J143" s="5" t="str">
        <f>OBV!F143</f>
        <v>BULLISH</v>
      </c>
      <c r="K143" s="5" t="str">
        <f>OBV!G143</f>
        <v>WEAK</v>
      </c>
      <c r="L143" s="5" t="str">
        <f>OBV!H143</f>
        <v>CONFIRMED BULLISH</v>
      </c>
    </row>
    <row r="144" spans="1:12" ht="13.5" x14ac:dyDescent="0.25">
      <c r="A144" s="3">
        <f>RSI!A144</f>
        <v>45128</v>
      </c>
      <c r="B144" s="2">
        <f>RSI!B144</f>
        <v>5.7210000000000001</v>
      </c>
      <c r="C144" s="2">
        <f>RSI!I144</f>
        <v>39.209943225520334</v>
      </c>
      <c r="D144" s="2">
        <f>MACD!E144</f>
        <v>9.7151341716140038E-2</v>
      </c>
      <c r="E144" s="2">
        <f>MACD!F144</f>
        <v>0.10552804681333447</v>
      </c>
      <c r="F144" s="2">
        <f>'Moving Avg'!D144</f>
        <v>5.7034000000000002</v>
      </c>
      <c r="G144" s="2">
        <f>'Moving Avg'!F144</f>
        <v>5.7913499999999987</v>
      </c>
      <c r="H144" s="2">
        <f>'Moving Avg'!G144</f>
        <v>5.7873400000000013</v>
      </c>
      <c r="I144" s="2">
        <f>'Moving Avg'!H144</f>
        <v>0</v>
      </c>
      <c r="J144" s="5" t="str">
        <f>OBV!F144</f>
        <v>BULLISH</v>
      </c>
      <c r="K144" s="5" t="str">
        <f>OBV!G144</f>
        <v>WEAK</v>
      </c>
      <c r="L144" s="5" t="str">
        <f>OBV!H144</f>
        <v>CONFIRMED BULLISH</v>
      </c>
    </row>
    <row r="145" spans="1:12" ht="13.5" x14ac:dyDescent="0.25">
      <c r="A145" s="3">
        <f>RSI!A145</f>
        <v>45131</v>
      </c>
      <c r="B145" s="2">
        <f>RSI!B145</f>
        <v>5.766</v>
      </c>
      <c r="C145" s="2">
        <f>RSI!I145</f>
        <v>49.168400558698877</v>
      </c>
      <c r="D145" s="2">
        <f>MACD!E145</f>
        <v>8.1849899734224074E-2</v>
      </c>
      <c r="E145" s="2">
        <f>MACD!F145</f>
        <v>0.10079241739751239</v>
      </c>
      <c r="F145" s="2">
        <f>'Moving Avg'!D145</f>
        <v>5.7212000000000005</v>
      </c>
      <c r="G145" s="2">
        <f>'Moving Avg'!F145</f>
        <v>5.7829499999999987</v>
      </c>
      <c r="H145" s="2">
        <f>'Moving Avg'!G145</f>
        <v>5.7917200000000015</v>
      </c>
      <c r="I145" s="2">
        <f>'Moving Avg'!H145</f>
        <v>0</v>
      </c>
      <c r="J145" s="5" t="str">
        <f>OBV!F145</f>
        <v>BULLISH</v>
      </c>
      <c r="K145" s="5" t="str">
        <f>OBV!G145</f>
        <v>WEAK</v>
      </c>
      <c r="L145" s="5" t="str">
        <f>OBV!H145</f>
        <v>CONFIRMED BULLISH</v>
      </c>
    </row>
    <row r="146" spans="1:12" ht="13.5" x14ac:dyDescent="0.25">
      <c r="A146" s="3">
        <f>RSI!A146</f>
        <v>45133</v>
      </c>
      <c r="B146" s="2">
        <f>RSI!B146</f>
        <v>5.766</v>
      </c>
      <c r="C146" s="2">
        <f>RSI!I146</f>
        <v>49.168400558698877</v>
      </c>
      <c r="D146" s="2">
        <f>MACD!E146</f>
        <v>5.5236520406692691E-2</v>
      </c>
      <c r="E146" s="2">
        <f>MACD!F146</f>
        <v>9.1681237999348464E-2</v>
      </c>
      <c r="F146" s="2">
        <f>'Moving Avg'!D146</f>
        <v>5.7389999999999999</v>
      </c>
      <c r="G146" s="2">
        <f>'Moving Avg'!F146</f>
        <v>5.7740999999999998</v>
      </c>
      <c r="H146" s="2">
        <f>'Moving Avg'!G146</f>
        <v>5.7959400000000008</v>
      </c>
      <c r="I146" s="2">
        <f>'Moving Avg'!H146</f>
        <v>0</v>
      </c>
      <c r="J146" s="5" t="str">
        <f>OBV!F146</f>
        <v>BULLISH</v>
      </c>
      <c r="K146" s="5" t="str">
        <f>OBV!G146</f>
        <v>WEAK</v>
      </c>
      <c r="L146" s="5" t="str">
        <f>OBV!H146</f>
        <v>CONFIRMED BULLISH</v>
      </c>
    </row>
    <row r="147" spans="1:12" ht="13.5" x14ac:dyDescent="0.25">
      <c r="A147" s="3">
        <f>RSI!A147</f>
        <v>45134</v>
      </c>
      <c r="B147" s="2">
        <f>RSI!B147</f>
        <v>5.766</v>
      </c>
      <c r="C147" s="2">
        <f>RSI!I147</f>
        <v>49.168400558698877</v>
      </c>
      <c r="D147" s="2">
        <f>MACD!E147</f>
        <v>3.2741861156840635E-2</v>
      </c>
      <c r="E147" s="2">
        <f>MACD!F147</f>
        <v>7.9893362630846898E-2</v>
      </c>
      <c r="F147" s="2">
        <f>'Moving Avg'!D147</f>
        <v>5.7479999999999993</v>
      </c>
      <c r="G147" s="2">
        <f>'Moving Avg'!F147</f>
        <v>5.7657000000000007</v>
      </c>
      <c r="H147" s="2">
        <f>'Moving Avg'!G147</f>
        <v>5.7999800000000006</v>
      </c>
      <c r="I147" s="2">
        <f>'Moving Avg'!H147</f>
        <v>0</v>
      </c>
      <c r="J147" s="5" t="str">
        <f>OBV!F147</f>
        <v>BULLISH</v>
      </c>
      <c r="K147" s="5" t="str">
        <f>OBV!G147</f>
        <v>WEAK</v>
      </c>
      <c r="L147" s="5" t="str">
        <f>OBV!H147</f>
        <v>CONFIRMED BULLISH</v>
      </c>
    </row>
    <row r="148" spans="1:12" ht="13.5" x14ac:dyDescent="0.25">
      <c r="A148" s="3">
        <f>RSI!A148</f>
        <v>45135</v>
      </c>
      <c r="B148" s="2">
        <f>RSI!B148</f>
        <v>5.766</v>
      </c>
      <c r="C148" s="2">
        <f>RSI!I148</f>
        <v>49.168400558698877</v>
      </c>
      <c r="D148" s="2">
        <f>MACD!E148</f>
        <v>1.3730468739926671E-2</v>
      </c>
      <c r="E148" s="2">
        <f>MACD!F148</f>
        <v>6.6660783852662858E-2</v>
      </c>
      <c r="F148" s="2">
        <f>'Moving Avg'!D148</f>
        <v>5.7569999999999997</v>
      </c>
      <c r="G148" s="2">
        <f>'Moving Avg'!F148</f>
        <v>5.7577500000000015</v>
      </c>
      <c r="H148" s="2">
        <f>'Moving Avg'!G148</f>
        <v>5.8040200000000004</v>
      </c>
      <c r="I148" s="2">
        <f>'Moving Avg'!H148</f>
        <v>0</v>
      </c>
      <c r="J148" s="5" t="str">
        <f>OBV!F148</f>
        <v>BULLISH</v>
      </c>
      <c r="K148" s="5" t="str">
        <f>OBV!G148</f>
        <v>WEAK</v>
      </c>
      <c r="L148" s="5" t="str">
        <f>OBV!H148</f>
        <v>CONFIRMED BULLISH</v>
      </c>
    </row>
    <row r="149" spans="1:12" ht="13.5" x14ac:dyDescent="0.25">
      <c r="A149" s="3">
        <f>RSI!A149</f>
        <v>45138</v>
      </c>
      <c r="B149" s="2">
        <f>RSI!B149</f>
        <v>5.766</v>
      </c>
      <c r="C149" s="2">
        <f>RSI!I149</f>
        <v>49.168400558698877</v>
      </c>
      <c r="D149" s="2">
        <f>MACD!E149</f>
        <v>-2.3352144213584225E-3</v>
      </c>
      <c r="E149" s="2">
        <f>MACD!F149</f>
        <v>5.2861584197858608E-2</v>
      </c>
      <c r="F149" s="2">
        <f>'Moving Avg'!D149</f>
        <v>5.766</v>
      </c>
      <c r="G149" s="2">
        <f>'Moving Avg'!F149</f>
        <v>5.7498000000000014</v>
      </c>
      <c r="H149" s="2">
        <f>'Moving Avg'!G149</f>
        <v>5.8075600000000005</v>
      </c>
      <c r="I149" s="2">
        <f>'Moving Avg'!H149</f>
        <v>0</v>
      </c>
      <c r="J149" s="5" t="str">
        <f>OBV!F149</f>
        <v>BULLISH</v>
      </c>
      <c r="K149" s="5" t="str">
        <f>OBV!G149</f>
        <v>WEAK</v>
      </c>
      <c r="L149" s="5" t="str">
        <f>OBV!H149</f>
        <v>CONFIRMED BULLISH</v>
      </c>
    </row>
    <row r="150" spans="1:12" ht="13.5" x14ac:dyDescent="0.25">
      <c r="A150" s="3">
        <f>RSI!A150</f>
        <v>45139</v>
      </c>
      <c r="B150" s="2">
        <f>RSI!B150</f>
        <v>5.766</v>
      </c>
      <c r="C150" s="2">
        <f>RSI!I150</f>
        <v>49.168400558698877</v>
      </c>
      <c r="D150" s="2">
        <f>MACD!E150</f>
        <v>-1.5909921007307481E-2</v>
      </c>
      <c r="E150" s="2">
        <f>MACD!F150</f>
        <v>3.9107283156825393E-2</v>
      </c>
      <c r="F150" s="2">
        <f>'Moving Avg'!D150</f>
        <v>5.766</v>
      </c>
      <c r="G150" s="2">
        <f>'Moving Avg'!F150</f>
        <v>5.7436000000000016</v>
      </c>
      <c r="H150" s="2">
        <f>'Moving Avg'!G150</f>
        <v>5.8109200000000012</v>
      </c>
      <c r="I150" s="2">
        <f>'Moving Avg'!H150</f>
        <v>0</v>
      </c>
      <c r="J150" s="5" t="str">
        <f>OBV!F150</f>
        <v>NEUTRAL</v>
      </c>
      <c r="K150" s="5" t="str">
        <f>OBV!G150</f>
        <v>NEUTRAL</v>
      </c>
      <c r="L150" s="5" t="str">
        <f>OBV!H150</f>
        <v>NEUTRAL</v>
      </c>
    </row>
    <row r="151" spans="1:12" ht="13.5" x14ac:dyDescent="0.25">
      <c r="A151" s="3">
        <f>RSI!A151</f>
        <v>45140</v>
      </c>
      <c r="B151" s="2">
        <f>RSI!B151</f>
        <v>5.766</v>
      </c>
      <c r="C151" s="2">
        <f>RSI!I151</f>
        <v>49.168400558698877</v>
      </c>
      <c r="D151" s="2">
        <f>MACD!E151</f>
        <v>-2.7378310258323602E-2</v>
      </c>
      <c r="E151" s="2">
        <f>MACD!F151</f>
        <v>2.5810164473795597E-2</v>
      </c>
      <c r="F151" s="2">
        <f>'Moving Avg'!D151</f>
        <v>5.766</v>
      </c>
      <c r="G151" s="2">
        <f>'Moving Avg'!F151</f>
        <v>5.7374000000000027</v>
      </c>
      <c r="H151" s="2">
        <f>'Moving Avg'!G151</f>
        <v>5.8144600000000013</v>
      </c>
      <c r="I151" s="2">
        <f>'Moving Avg'!H151</f>
        <v>0</v>
      </c>
      <c r="J151" s="5" t="str">
        <f>OBV!F151</f>
        <v>NEUTRAL</v>
      </c>
      <c r="K151" s="5" t="str">
        <f>OBV!G151</f>
        <v>NEUTRAL</v>
      </c>
      <c r="L151" s="5" t="str">
        <f>OBV!H151</f>
        <v>NEUTRAL</v>
      </c>
    </row>
    <row r="152" spans="1:12" ht="13.5" x14ac:dyDescent="0.25">
      <c r="A152" s="3">
        <f>RSI!A152</f>
        <v>45141</v>
      </c>
      <c r="B152" s="2">
        <f>RSI!B152</f>
        <v>5.7210000000000001</v>
      </c>
      <c r="C152" s="2">
        <f>RSI!I152</f>
        <v>38.557329010611788</v>
      </c>
      <c r="D152" s="2">
        <f>MACD!E152</f>
        <v>-2.6963192887940579E-2</v>
      </c>
      <c r="E152" s="2">
        <f>MACD!F152</f>
        <v>1.5255493001448362E-2</v>
      </c>
      <c r="F152" s="2">
        <f>'Moving Avg'!D152</f>
        <v>5.7569999999999997</v>
      </c>
      <c r="G152" s="2">
        <f>'Moving Avg'!F152</f>
        <v>5.7303000000000024</v>
      </c>
      <c r="H152" s="2">
        <f>'Moving Avg'!G152</f>
        <v>5.8172600000000001</v>
      </c>
      <c r="I152" s="2">
        <f>'Moving Avg'!H152</f>
        <v>0</v>
      </c>
      <c r="J152" s="5" t="str">
        <f>OBV!F152</f>
        <v>BEARISH</v>
      </c>
      <c r="K152" s="5" t="str">
        <f>OBV!G152</f>
        <v>STRONG</v>
      </c>
      <c r="L152" s="5" t="str">
        <f>OBV!H152</f>
        <v>CONFIRMED BEARISH</v>
      </c>
    </row>
    <row r="153" spans="1:12" ht="13.5" x14ac:dyDescent="0.25">
      <c r="A153" s="3">
        <f>RSI!A153</f>
        <v>45142</v>
      </c>
      <c r="B153" s="2">
        <f>RSI!B153</f>
        <v>5.7210000000000001</v>
      </c>
      <c r="C153" s="2">
        <f>RSI!I153</f>
        <v>38.557329010611795</v>
      </c>
      <c r="D153" s="2">
        <f>MACD!E153</f>
        <v>-2.6330685627521611E-2</v>
      </c>
      <c r="E153" s="2">
        <f>MACD!F153</f>
        <v>6.9382572756543671E-3</v>
      </c>
      <c r="F153" s="2">
        <f>'Moving Avg'!D153</f>
        <v>5.7480000000000002</v>
      </c>
      <c r="G153" s="2">
        <f>'Moving Avg'!F153</f>
        <v>5.7280500000000023</v>
      </c>
      <c r="H153" s="2">
        <f>'Moving Avg'!G153</f>
        <v>5.8195600000000001</v>
      </c>
      <c r="I153" s="2">
        <f>'Moving Avg'!H153</f>
        <v>0</v>
      </c>
      <c r="J153" s="5" t="str">
        <f>OBV!F153</f>
        <v>BEARISH</v>
      </c>
      <c r="K153" s="5" t="str">
        <f>OBV!G153</f>
        <v>STRONG</v>
      </c>
      <c r="L153" s="5" t="str">
        <f>OBV!H153</f>
        <v>CONFIRMED BEARISH</v>
      </c>
    </row>
    <row r="154" spans="1:12" ht="13.5" x14ac:dyDescent="0.25">
      <c r="A154" s="3">
        <f>RSI!A154</f>
        <v>45145</v>
      </c>
      <c r="B154" s="2">
        <f>RSI!B154</f>
        <v>5.7210000000000001</v>
      </c>
      <c r="C154" s="2">
        <f>RSI!I154</f>
        <v>38.557329010611788</v>
      </c>
      <c r="D154" s="2">
        <f>MACD!E154</f>
        <v>-2.5535066712635057E-2</v>
      </c>
      <c r="E154" s="2">
        <f>MACD!F154</f>
        <v>4.4359247799648227E-4</v>
      </c>
      <c r="F154" s="2">
        <f>'Moving Avg'!D154</f>
        <v>5.7389999999999999</v>
      </c>
      <c r="G154" s="2">
        <f>'Moving Avg'!F154</f>
        <v>5.7258000000000013</v>
      </c>
      <c r="H154" s="2">
        <f>'Moving Avg'!G154</f>
        <v>5.8218599999999991</v>
      </c>
      <c r="I154" s="2">
        <f>'Moving Avg'!H154</f>
        <v>0</v>
      </c>
      <c r="J154" s="5" t="str">
        <f>OBV!F154</f>
        <v>BEARISH</v>
      </c>
      <c r="K154" s="5" t="str">
        <f>OBV!G154</f>
        <v>STRONG</v>
      </c>
      <c r="L154" s="5" t="str">
        <f>OBV!H154</f>
        <v>CONFIRMED BEARISH</v>
      </c>
    </row>
    <row r="155" spans="1:12" ht="13.5" x14ac:dyDescent="0.25">
      <c r="A155" s="3">
        <f>RSI!A155</f>
        <v>45146</v>
      </c>
      <c r="B155" s="2">
        <f>RSI!B155</f>
        <v>5.766</v>
      </c>
      <c r="C155" s="2">
        <f>RSI!I155</f>
        <v>51.602508625224523</v>
      </c>
      <c r="D155" s="2">
        <f>MACD!E155</f>
        <v>-2.1030977058948075E-2</v>
      </c>
      <c r="E155" s="2">
        <f>MACD!F155</f>
        <v>-3.8513214293924292E-3</v>
      </c>
      <c r="F155" s="2">
        <f>'Moving Avg'!D155</f>
        <v>5.7389999999999999</v>
      </c>
      <c r="G155" s="2">
        <f>'Moving Avg'!F155</f>
        <v>5.7258000000000022</v>
      </c>
      <c r="H155" s="2">
        <f>'Moving Avg'!G155</f>
        <v>5.8240399999999992</v>
      </c>
      <c r="I155" s="2">
        <f>'Moving Avg'!H155</f>
        <v>0</v>
      </c>
      <c r="J155" s="5" t="str">
        <f>OBV!F155</f>
        <v>BULLISH</v>
      </c>
      <c r="K155" s="5" t="str">
        <f>OBV!G155</f>
        <v>NEUTRAL</v>
      </c>
      <c r="L155" s="5" t="str">
        <f>OBV!H155</f>
        <v>NEUTRAL</v>
      </c>
    </row>
    <row r="156" spans="1:12" ht="13.5" x14ac:dyDescent="0.25">
      <c r="A156" s="3">
        <f>RSI!A156</f>
        <v>45147</v>
      </c>
      <c r="B156" s="2">
        <f>RSI!B156</f>
        <v>5.766</v>
      </c>
      <c r="C156" s="2">
        <f>RSI!I156</f>
        <v>51.602508625224523</v>
      </c>
      <c r="D156" s="2">
        <f>MACD!E156</f>
        <v>-1.7262462634447751E-2</v>
      </c>
      <c r="E156" s="2">
        <f>MACD!F156</f>
        <v>-6.5335496704034945E-3</v>
      </c>
      <c r="F156" s="2">
        <f>'Moving Avg'!D156</f>
        <v>5.7389999999999999</v>
      </c>
      <c r="G156" s="2">
        <f>'Moving Avg'!F156</f>
        <v>5.7302500000000016</v>
      </c>
      <c r="H156" s="2">
        <f>'Moving Avg'!G156</f>
        <v>5.8260599999999991</v>
      </c>
      <c r="I156" s="2">
        <f>'Moving Avg'!H156</f>
        <v>0</v>
      </c>
      <c r="J156" s="5" t="str">
        <f>OBV!F156</f>
        <v>BULLISH</v>
      </c>
      <c r="K156" s="5" t="str">
        <f>OBV!G156</f>
        <v>NEUTRAL</v>
      </c>
      <c r="L156" s="5" t="str">
        <f>OBV!H156</f>
        <v>NEUTRAL</v>
      </c>
    </row>
    <row r="157" spans="1:12" ht="13.5" x14ac:dyDescent="0.25">
      <c r="A157" s="3">
        <f>RSI!A157</f>
        <v>45148</v>
      </c>
      <c r="B157" s="2">
        <f>RSI!B157</f>
        <v>5.766</v>
      </c>
      <c r="C157" s="2">
        <f>RSI!I157</f>
        <v>51.602508625224523</v>
      </c>
      <c r="D157" s="2">
        <f>MACD!E157</f>
        <v>-1.4113199622267203E-2</v>
      </c>
      <c r="E157" s="2">
        <f>MACD!F157</f>
        <v>-8.0494796607762376E-3</v>
      </c>
      <c r="F157" s="2">
        <f>'Moving Avg'!D157</f>
        <v>5.7479999999999993</v>
      </c>
      <c r="G157" s="2">
        <f>'Moving Avg'!F157</f>
        <v>5.7347000000000019</v>
      </c>
      <c r="H157" s="2">
        <f>'Moving Avg'!G157</f>
        <v>5.8284199999999986</v>
      </c>
      <c r="I157" s="2">
        <f>'Moving Avg'!H157</f>
        <v>0</v>
      </c>
      <c r="J157" s="5" t="str">
        <f>OBV!F157</f>
        <v>BULLISH</v>
      </c>
      <c r="K157" s="5" t="str">
        <f>OBV!G157</f>
        <v>WEAK</v>
      </c>
      <c r="L157" s="5" t="str">
        <f>OBV!H157</f>
        <v>CONFIRMED BULLISH</v>
      </c>
    </row>
    <row r="158" spans="1:12" ht="13.5" x14ac:dyDescent="0.25">
      <c r="A158" s="3">
        <f>RSI!A158</f>
        <v>45149</v>
      </c>
      <c r="B158" s="2">
        <f>RSI!B158</f>
        <v>5.766</v>
      </c>
      <c r="C158" s="2">
        <f>RSI!I158</f>
        <v>51.602508625224516</v>
      </c>
      <c r="D158" s="2">
        <f>MACD!E158</f>
        <v>-1.1484994132698212E-2</v>
      </c>
      <c r="E158" s="2">
        <f>MACD!F158</f>
        <v>-8.7365825551606324E-3</v>
      </c>
      <c r="F158" s="2">
        <f>'Moving Avg'!D158</f>
        <v>5.7569999999999997</v>
      </c>
      <c r="G158" s="2">
        <f>'Moving Avg'!F158</f>
        <v>5.7391500000000013</v>
      </c>
      <c r="H158" s="2">
        <f>'Moving Avg'!G158</f>
        <v>5.8263599999999984</v>
      </c>
      <c r="I158" s="2">
        <f>'Moving Avg'!H158</f>
        <v>0</v>
      </c>
      <c r="J158" s="5" t="str">
        <f>OBV!F158</f>
        <v>BULLISH</v>
      </c>
      <c r="K158" s="5" t="str">
        <f>OBV!G158</f>
        <v>WEAK</v>
      </c>
      <c r="L158" s="5" t="str">
        <f>OBV!H158</f>
        <v>CONFIRMED BULLISH</v>
      </c>
    </row>
    <row r="159" spans="1:12" ht="13.5" x14ac:dyDescent="0.25">
      <c r="A159" s="3">
        <f>RSI!A159</f>
        <v>45152</v>
      </c>
      <c r="B159" s="2">
        <f>RSI!B159</f>
        <v>5.766</v>
      </c>
      <c r="C159" s="2">
        <f>RSI!I159</f>
        <v>51.602508625224502</v>
      </c>
      <c r="D159" s="2">
        <f>MACD!E159</f>
        <v>-9.2949756536038208E-3</v>
      </c>
      <c r="E159" s="2">
        <f>MACD!F159</f>
        <v>-8.8482611748492701E-3</v>
      </c>
      <c r="F159" s="2">
        <f>'Moving Avg'!D159</f>
        <v>5.766</v>
      </c>
      <c r="G159" s="2">
        <f>'Moving Avg'!F159</f>
        <v>5.7436000000000016</v>
      </c>
      <c r="H159" s="2">
        <f>'Moving Avg'!G159</f>
        <v>5.8251399999999993</v>
      </c>
      <c r="I159" s="2">
        <f>'Moving Avg'!H159</f>
        <v>0</v>
      </c>
      <c r="J159" s="5" t="str">
        <f>OBV!F159</f>
        <v>BULLISH</v>
      </c>
      <c r="K159" s="5" t="str">
        <f>OBV!G159</f>
        <v>WEAK</v>
      </c>
      <c r="L159" s="5" t="str">
        <f>OBV!H159</f>
        <v>CONFIRMED BULLISH</v>
      </c>
    </row>
    <row r="160" spans="1:12" ht="13.5" x14ac:dyDescent="0.25">
      <c r="A160" s="3">
        <f>RSI!A160</f>
        <v>45153</v>
      </c>
      <c r="B160" s="2">
        <f>RSI!B160</f>
        <v>5.766</v>
      </c>
      <c r="C160" s="2">
        <f>RSI!I160</f>
        <v>51.602508625224502</v>
      </c>
      <c r="D160" s="2">
        <f>MACD!E160</f>
        <v>-7.4732235613952369E-3</v>
      </c>
      <c r="E160" s="2">
        <f>MACD!F160</f>
        <v>-8.5732536521584638E-3</v>
      </c>
      <c r="F160" s="2">
        <f>'Moving Avg'!D160</f>
        <v>5.766</v>
      </c>
      <c r="G160" s="2">
        <f>'Moving Avg'!F160</f>
        <v>5.748050000000001</v>
      </c>
      <c r="H160" s="2">
        <f>'Moving Avg'!G160</f>
        <v>5.8216000000000001</v>
      </c>
      <c r="I160" s="2">
        <f>'Moving Avg'!H160</f>
        <v>0</v>
      </c>
      <c r="J160" s="5" t="str">
        <f>OBV!F160</f>
        <v>NEUTRAL</v>
      </c>
      <c r="K160" s="5" t="str">
        <f>OBV!G160</f>
        <v>NEUTRAL</v>
      </c>
      <c r="L160" s="5" t="str">
        <f>OBV!H160</f>
        <v>NEUTRAL</v>
      </c>
    </row>
    <row r="161" spans="1:12" ht="13.5" x14ac:dyDescent="0.25">
      <c r="A161" s="3">
        <f>RSI!A161</f>
        <v>45154</v>
      </c>
      <c r="B161" s="2">
        <f>RSI!B161</f>
        <v>5.766</v>
      </c>
      <c r="C161" s="2">
        <f>RSI!I161</f>
        <v>51.602508625224502</v>
      </c>
      <c r="D161" s="2">
        <f>MACD!E161</f>
        <v>-5.960759972783336E-3</v>
      </c>
      <c r="E161" s="2">
        <f>MACD!F161</f>
        <v>-8.0507549162834383E-3</v>
      </c>
      <c r="F161" s="2">
        <f>'Moving Avg'!D161</f>
        <v>5.766</v>
      </c>
      <c r="G161" s="2">
        <f>'Moving Avg'!F161</f>
        <v>5.7525000000000022</v>
      </c>
      <c r="H161" s="2">
        <f>'Moving Avg'!G161</f>
        <v>5.8198400000000001</v>
      </c>
      <c r="I161" s="2">
        <f>'Moving Avg'!H161</f>
        <v>0</v>
      </c>
      <c r="J161" s="5" t="str">
        <f>OBV!F161</f>
        <v>NEUTRAL</v>
      </c>
      <c r="K161" s="5" t="str">
        <f>OBV!G161</f>
        <v>NEUTRAL</v>
      </c>
      <c r="L161" s="5" t="str">
        <f>OBV!H161</f>
        <v>NEUTRAL</v>
      </c>
    </row>
    <row r="162" spans="1:12" ht="13.5" x14ac:dyDescent="0.25">
      <c r="A162" s="3">
        <f>RSI!A162</f>
        <v>45155</v>
      </c>
      <c r="B162" s="2">
        <f>RSI!B162</f>
        <v>5.7569999999999997</v>
      </c>
      <c r="C162" s="2">
        <f>RSI!I162</f>
        <v>48.166547263658046</v>
      </c>
      <c r="D162" s="2">
        <f>MACD!E162</f>
        <v>-1.0964262745547515E-2</v>
      </c>
      <c r="E162" s="2">
        <f>MACD!F162</f>
        <v>-8.633456482136254E-3</v>
      </c>
      <c r="F162" s="2">
        <f>'Moving Avg'!D162</f>
        <v>5.7641999999999998</v>
      </c>
      <c r="G162" s="2">
        <f>'Moving Avg'!F162</f>
        <v>5.7543000000000024</v>
      </c>
      <c r="H162" s="2">
        <f>'Moving Avg'!G162</f>
        <v>5.8164799999999994</v>
      </c>
      <c r="I162" s="2">
        <f>'Moving Avg'!H162</f>
        <v>0</v>
      </c>
      <c r="J162" s="5" t="str">
        <f>OBV!F162</f>
        <v>BEARISH</v>
      </c>
      <c r="K162" s="5" t="str">
        <f>OBV!G162</f>
        <v>STRONG</v>
      </c>
      <c r="L162" s="5" t="str">
        <f>OBV!H162</f>
        <v>CONFIRMED BEARISH</v>
      </c>
    </row>
    <row r="163" spans="1:12" ht="13.5" x14ac:dyDescent="0.25">
      <c r="A163" s="3">
        <f>RSI!A163</f>
        <v>45156</v>
      </c>
      <c r="B163" s="2">
        <f>RSI!B163</f>
        <v>5.766</v>
      </c>
      <c r="C163" s="2">
        <f>RSI!I163</f>
        <v>51.634683683095972</v>
      </c>
      <c r="D163" s="2">
        <f>MACD!E163</f>
        <v>-1.5836360214287915E-2</v>
      </c>
      <c r="E163" s="2">
        <f>MACD!F163</f>
        <v>-1.0074037228566587E-2</v>
      </c>
      <c r="F163" s="2">
        <f>'Moving Avg'!D163</f>
        <v>5.7641999999999998</v>
      </c>
      <c r="G163" s="2">
        <f>'Moving Avg'!F163</f>
        <v>5.7565500000000025</v>
      </c>
      <c r="H163" s="2">
        <f>'Moving Avg'!G163</f>
        <v>5.8138199999999998</v>
      </c>
      <c r="I163" s="2">
        <f>'Moving Avg'!H163</f>
        <v>0</v>
      </c>
      <c r="J163" s="5" t="str">
        <f>OBV!F163</f>
        <v>BEARISH</v>
      </c>
      <c r="K163" s="5" t="str">
        <f>OBV!G163</f>
        <v>NEUTRAL</v>
      </c>
      <c r="L163" s="5" t="str">
        <f>OBV!H163</f>
        <v>NEUTRAL</v>
      </c>
    </row>
    <row r="164" spans="1:12" ht="13.5" x14ac:dyDescent="0.25">
      <c r="A164" s="3">
        <f>RSI!A164</f>
        <v>45159</v>
      </c>
      <c r="B164" s="2">
        <f>RSI!B164</f>
        <v>5.766</v>
      </c>
      <c r="C164" s="2">
        <f>RSI!I164</f>
        <v>51.634683683095965</v>
      </c>
      <c r="D164" s="2">
        <f>MACD!E164</f>
        <v>-1.9985879767126846E-2</v>
      </c>
      <c r="E164" s="2">
        <f>MACD!F164</f>
        <v>-1.2056405736278638E-2</v>
      </c>
      <c r="F164" s="2">
        <f>'Moving Avg'!D164</f>
        <v>5.7641999999999998</v>
      </c>
      <c r="G164" s="2">
        <f>'Moving Avg'!F164</f>
        <v>5.7588000000000026</v>
      </c>
      <c r="H164" s="2">
        <f>'Moving Avg'!G164</f>
        <v>5.8097399999999997</v>
      </c>
      <c r="I164" s="2">
        <f>'Moving Avg'!H164</f>
        <v>0</v>
      </c>
      <c r="J164" s="5" t="str">
        <f>OBV!F164</f>
        <v>BEARISH</v>
      </c>
      <c r="K164" s="5" t="str">
        <f>OBV!G164</f>
        <v>NEUTRAL</v>
      </c>
      <c r="L164" s="5" t="str">
        <f>OBV!H164</f>
        <v>NEUTRAL</v>
      </c>
    </row>
    <row r="165" spans="1:12" ht="13.5" x14ac:dyDescent="0.25">
      <c r="A165" s="3">
        <f>RSI!A165</f>
        <v>45160</v>
      </c>
      <c r="B165" s="2">
        <f>RSI!B165</f>
        <v>5.766</v>
      </c>
      <c r="C165" s="2">
        <f>RSI!I165</f>
        <v>51.634683683095965</v>
      </c>
      <c r="D165" s="2">
        <f>MACD!E165</f>
        <v>-1.6598912125994403E-2</v>
      </c>
      <c r="E165" s="2">
        <f>MACD!F165</f>
        <v>-1.2964907014221792E-2</v>
      </c>
      <c r="F165" s="2">
        <f>'Moving Avg'!D165</f>
        <v>5.7641999999999998</v>
      </c>
      <c r="G165" s="2">
        <f>'Moving Avg'!F165</f>
        <v>5.7588000000000026</v>
      </c>
      <c r="H165" s="2">
        <f>'Moving Avg'!G165</f>
        <v>5.8058399999999999</v>
      </c>
      <c r="I165" s="2">
        <f>'Moving Avg'!H165</f>
        <v>0</v>
      </c>
      <c r="J165" s="5" t="str">
        <f>OBV!F165</f>
        <v>BEARISH</v>
      </c>
      <c r="K165" s="5" t="str">
        <f>OBV!G165</f>
        <v>NEUTRAL</v>
      </c>
      <c r="L165" s="5" t="str">
        <f>OBV!H165</f>
        <v>NEUTRAL</v>
      </c>
    </row>
    <row r="166" spans="1:12" ht="13.5" x14ac:dyDescent="0.25">
      <c r="A166" s="3">
        <f>RSI!A166</f>
        <v>45161</v>
      </c>
      <c r="B166" s="2">
        <f>RSI!B166</f>
        <v>5.8010000000000002</v>
      </c>
      <c r="C166" s="2">
        <f>RSI!I166</f>
        <v>63.497508696907637</v>
      </c>
      <c r="D166" s="2">
        <f>MACD!E166</f>
        <v>-1.6348736200594516E-2</v>
      </c>
      <c r="E166" s="2">
        <f>MACD!F166</f>
        <v>-1.3641672851496338E-2</v>
      </c>
      <c r="F166" s="2">
        <f>'Moving Avg'!D166</f>
        <v>5.7712000000000003</v>
      </c>
      <c r="G166" s="2">
        <f>'Moving Avg'!F166</f>
        <v>5.7605500000000021</v>
      </c>
      <c r="H166" s="2">
        <f>'Moving Avg'!G166</f>
        <v>5.8028199999999979</v>
      </c>
      <c r="I166" s="2">
        <f>'Moving Avg'!H166</f>
        <v>0</v>
      </c>
      <c r="J166" s="5" t="str">
        <f>OBV!F166</f>
        <v>BULLISH</v>
      </c>
      <c r="K166" s="5" t="str">
        <f>OBV!G166</f>
        <v>WEAK</v>
      </c>
      <c r="L166" s="5" t="str">
        <f>OBV!H166</f>
        <v>CONFIRMED BULLISH</v>
      </c>
    </row>
    <row r="167" spans="1:12" ht="13.5" x14ac:dyDescent="0.25">
      <c r="A167" s="3">
        <f>RSI!A167</f>
        <v>45162</v>
      </c>
      <c r="B167" s="2">
        <f>RSI!B167</f>
        <v>5.8010000000000002</v>
      </c>
      <c r="C167" s="2">
        <f>RSI!I167</f>
        <v>63.497508696907637</v>
      </c>
      <c r="D167" s="2">
        <f>MACD!E167</f>
        <v>-1.6365279436242552E-2</v>
      </c>
      <c r="E167" s="2">
        <f>MACD!F167</f>
        <v>-1.4186394168445582E-2</v>
      </c>
      <c r="F167" s="2">
        <f>'Moving Avg'!D167</f>
        <v>5.7800000000000011</v>
      </c>
      <c r="G167" s="2">
        <f>'Moving Avg'!F167</f>
        <v>5.7623000000000015</v>
      </c>
      <c r="H167" s="2">
        <f>'Moving Avg'!G167</f>
        <v>5.7997999999999976</v>
      </c>
      <c r="I167" s="2">
        <f>'Moving Avg'!H167</f>
        <v>0</v>
      </c>
      <c r="J167" s="5" t="str">
        <f>OBV!F167</f>
        <v>BULLISH</v>
      </c>
      <c r="K167" s="5" t="str">
        <f>OBV!G167</f>
        <v>WEAK</v>
      </c>
      <c r="L167" s="5" t="str">
        <f>OBV!H167</f>
        <v>CONFIRMED BULLISH</v>
      </c>
    </row>
    <row r="168" spans="1:12" ht="13.5" x14ac:dyDescent="0.25">
      <c r="A168" s="3">
        <f>RSI!A168</f>
        <v>45163</v>
      </c>
      <c r="B168" s="2">
        <f>RSI!B168</f>
        <v>5.8010000000000002</v>
      </c>
      <c r="C168" s="2">
        <f>RSI!I168</f>
        <v>63.497508696907637</v>
      </c>
      <c r="D168" s="2">
        <f>MACD!E168</f>
        <v>-1.6590602148658817E-2</v>
      </c>
      <c r="E168" s="2">
        <f>MACD!F168</f>
        <v>-1.4667235764488229E-2</v>
      </c>
      <c r="F168" s="2">
        <f>'Moving Avg'!D168</f>
        <v>5.7870000000000008</v>
      </c>
      <c r="G168" s="2">
        <f>'Moving Avg'!F168</f>
        <v>5.764050000000001</v>
      </c>
      <c r="H168" s="2">
        <f>'Moving Avg'!G168</f>
        <v>5.7971399999999971</v>
      </c>
      <c r="I168" s="2">
        <f>'Moving Avg'!H168</f>
        <v>0</v>
      </c>
      <c r="J168" s="5" t="str">
        <f>OBV!F168</f>
        <v>BULLISH</v>
      </c>
      <c r="K168" s="5" t="str">
        <f>OBV!G168</f>
        <v>WEAK</v>
      </c>
      <c r="L168" s="5" t="str">
        <f>OBV!H168</f>
        <v>CONFIRMED BULLISH</v>
      </c>
    </row>
    <row r="169" spans="1:12" ht="13.5" x14ac:dyDescent="0.25">
      <c r="A169" s="3">
        <f>RSI!A169</f>
        <v>45166</v>
      </c>
      <c r="B169" s="2">
        <f>RSI!B169</f>
        <v>5.8010000000000002</v>
      </c>
      <c r="C169" s="2">
        <f>RSI!I169</f>
        <v>63.497508696907637</v>
      </c>
      <c r="D169" s="2">
        <f>MACD!E169</f>
        <v>-1.6976930745011387E-2</v>
      </c>
      <c r="E169" s="2">
        <f>MACD!F169</f>
        <v>-1.5129174760592862E-2</v>
      </c>
      <c r="F169" s="2">
        <f>'Moving Avg'!D169</f>
        <v>5.7940000000000014</v>
      </c>
      <c r="G169" s="2">
        <f>'Moving Avg'!F169</f>
        <v>5.7658000000000005</v>
      </c>
      <c r="H169" s="2">
        <f>'Moving Avg'!G169</f>
        <v>5.7941199999999968</v>
      </c>
      <c r="I169" s="2">
        <f>'Moving Avg'!H169</f>
        <v>0</v>
      </c>
      <c r="J169" s="5" t="str">
        <f>OBV!F169</f>
        <v>BULLISH</v>
      </c>
      <c r="K169" s="5" t="str">
        <f>OBV!G169</f>
        <v>WEAK</v>
      </c>
      <c r="L169" s="5" t="str">
        <f>OBV!H169</f>
        <v>CONFIRMED BULLISH</v>
      </c>
    </row>
    <row r="170" spans="1:12" ht="13.5" x14ac:dyDescent="0.25">
      <c r="A170" s="3">
        <f>RSI!A170</f>
        <v>45167</v>
      </c>
      <c r="B170" s="2">
        <f>RSI!B170</f>
        <v>5.7830000000000004</v>
      </c>
      <c r="C170" s="2">
        <f>RSI!I170</f>
        <v>54.286827539806559</v>
      </c>
      <c r="D170" s="2">
        <f>MACD!E170</f>
        <v>-1.615166761400566E-2</v>
      </c>
      <c r="E170" s="2">
        <f>MACD!F170</f>
        <v>-1.5333673331275423E-2</v>
      </c>
      <c r="F170" s="2">
        <f>'Moving Avg'!D170</f>
        <v>5.7974000000000006</v>
      </c>
      <c r="G170" s="2">
        <f>'Moving Avg'!F170</f>
        <v>5.7666500000000003</v>
      </c>
      <c r="H170" s="2">
        <f>'Moving Avg'!G170</f>
        <v>5.7905599999999966</v>
      </c>
      <c r="I170" s="2">
        <f>'Moving Avg'!H170</f>
        <v>0</v>
      </c>
      <c r="J170" s="5" t="str">
        <f>OBV!F170</f>
        <v>BULLISH</v>
      </c>
      <c r="K170" s="5" t="str">
        <f>OBV!G170</f>
        <v>NEUTRAL</v>
      </c>
      <c r="L170" s="5" t="str">
        <f>OBV!H170</f>
        <v>CONFIRMED BULLISH</v>
      </c>
    </row>
    <row r="171" spans="1:12" ht="13.5" x14ac:dyDescent="0.25">
      <c r="A171" s="3">
        <f>RSI!A171</f>
        <v>45168</v>
      </c>
      <c r="B171" s="2">
        <f>RSI!B171</f>
        <v>5.7830000000000004</v>
      </c>
      <c r="C171" s="2">
        <f>RSI!I171</f>
        <v>54.286827539806559</v>
      </c>
      <c r="D171" s="2">
        <f>MACD!E171</f>
        <v>-1.5514761541406408E-2</v>
      </c>
      <c r="E171" s="2">
        <f>MACD!F171</f>
        <v>-1.536989097330162E-2</v>
      </c>
      <c r="F171" s="2">
        <f>'Moving Avg'!D171</f>
        <v>5.7938000000000001</v>
      </c>
      <c r="G171" s="2">
        <f>'Moving Avg'!F171</f>
        <v>5.7675000000000001</v>
      </c>
      <c r="H171" s="2">
        <f>'Moving Avg'!G171</f>
        <v>5.7869999999999973</v>
      </c>
      <c r="I171" s="2">
        <f>'Moving Avg'!H171</f>
        <v>0</v>
      </c>
      <c r="J171" s="5" t="str">
        <f>OBV!F171</f>
        <v>BEARISH</v>
      </c>
      <c r="K171" s="5" t="str">
        <f>OBV!G171</f>
        <v>STRONG</v>
      </c>
      <c r="L171" s="5" t="str">
        <f>OBV!H171</f>
        <v>CONFIRMED BEARISH</v>
      </c>
    </row>
    <row r="172" spans="1:12" ht="13.5" x14ac:dyDescent="0.25">
      <c r="A172" s="3">
        <f>RSI!A172</f>
        <v>45169</v>
      </c>
      <c r="B172" s="2">
        <f>RSI!B172</f>
        <v>5.766</v>
      </c>
      <c r="C172" s="2">
        <f>RSI!I172</f>
        <v>46.844046406372158</v>
      </c>
      <c r="D172" s="2">
        <f>MACD!E172</f>
        <v>-1.5158042976932684E-2</v>
      </c>
      <c r="E172" s="2">
        <f>MACD!F172</f>
        <v>-1.5327521374027833E-2</v>
      </c>
      <c r="F172" s="2">
        <f>'Moving Avg'!D172</f>
        <v>5.7868000000000013</v>
      </c>
      <c r="G172" s="2">
        <f>'Moving Avg'!F172</f>
        <v>5.7697500000000002</v>
      </c>
      <c r="H172" s="2">
        <f>'Moving Avg'!G172</f>
        <v>5.783459999999998</v>
      </c>
      <c r="I172" s="2">
        <f>'Moving Avg'!H172</f>
        <v>0</v>
      </c>
      <c r="J172" s="5" t="str">
        <f>OBV!F172</f>
        <v>BEARISH</v>
      </c>
      <c r="K172" s="5" t="str">
        <f>OBV!G172</f>
        <v>STRONG</v>
      </c>
      <c r="L172" s="5" t="str">
        <f>OBV!H172</f>
        <v>CONFIRMED BEARISH</v>
      </c>
    </row>
    <row r="173" spans="1:12" ht="13.5" x14ac:dyDescent="0.25">
      <c r="A173" s="3">
        <f>RSI!A173</f>
        <v>45170</v>
      </c>
      <c r="B173" s="2">
        <f>RSI!B173</f>
        <v>5.766</v>
      </c>
      <c r="C173" s="2">
        <f>RSI!I173</f>
        <v>46.844046406372158</v>
      </c>
      <c r="D173" s="2">
        <f>MACD!E173</f>
        <v>-1.3423770107593214E-2</v>
      </c>
      <c r="E173" s="2">
        <f>MACD!F173</f>
        <v>-1.4946771120740911E-2</v>
      </c>
      <c r="F173" s="2">
        <f>'Moving Avg'!D173</f>
        <v>5.7797999999999998</v>
      </c>
      <c r="G173" s="2">
        <f>'Moving Avg'!F173</f>
        <v>5.7720000000000002</v>
      </c>
      <c r="H173" s="2">
        <f>'Moving Avg'!G173</f>
        <v>5.7799199999999988</v>
      </c>
      <c r="I173" s="2">
        <f>'Moving Avg'!H173</f>
        <v>0</v>
      </c>
      <c r="J173" s="5" t="str">
        <f>OBV!F173</f>
        <v>BEARISH</v>
      </c>
      <c r="K173" s="5" t="str">
        <f>OBV!G173</f>
        <v>STRONG</v>
      </c>
      <c r="L173" s="5" t="str">
        <f>OBV!H173</f>
        <v>CONFIRMED BEARISH</v>
      </c>
    </row>
    <row r="174" spans="1:12" ht="13.5" x14ac:dyDescent="0.25">
      <c r="A174" s="3">
        <f>RSI!A174</f>
        <v>45173</v>
      </c>
      <c r="B174" s="2">
        <f>RSI!B174</f>
        <v>5.7569999999999997</v>
      </c>
      <c r="C174" s="2">
        <f>RSI!I174</f>
        <v>43.206930397597219</v>
      </c>
      <c r="D174" s="2">
        <f>MACD!E174</f>
        <v>-1.1245365208735869E-2</v>
      </c>
      <c r="E174" s="2">
        <f>MACD!F174</f>
        <v>-1.4206489938339903E-2</v>
      </c>
      <c r="F174" s="2">
        <f>'Moving Avg'!D174</f>
        <v>5.770999999999999</v>
      </c>
      <c r="G174" s="2">
        <f>'Moving Avg'!F174</f>
        <v>5.7738000000000005</v>
      </c>
      <c r="H174" s="2">
        <f>'Moving Avg'!G174</f>
        <v>5.7765599999999981</v>
      </c>
      <c r="I174" s="2">
        <f>'Moving Avg'!H174</f>
        <v>0</v>
      </c>
      <c r="J174" s="5" t="str">
        <f>OBV!F174</f>
        <v>BEARISH</v>
      </c>
      <c r="K174" s="5" t="str">
        <f>OBV!G174</f>
        <v>STRONG</v>
      </c>
      <c r="L174" s="5" t="str">
        <f>OBV!H174</f>
        <v>CONFIRMED BEARISH</v>
      </c>
    </row>
    <row r="175" spans="1:12" ht="13.5" x14ac:dyDescent="0.25">
      <c r="A175" s="3">
        <f>RSI!A175</f>
        <v>45174</v>
      </c>
      <c r="B175" s="2">
        <f>RSI!B175</f>
        <v>5.7569999999999997</v>
      </c>
      <c r="C175" s="2">
        <f>RSI!I175</f>
        <v>43.206930397597219</v>
      </c>
      <c r="D175" s="2">
        <f>MACD!E175</f>
        <v>-9.3079213112412518E-3</v>
      </c>
      <c r="E175" s="2">
        <f>MACD!F175</f>
        <v>-1.3226776212920174E-2</v>
      </c>
      <c r="F175" s="2">
        <f>'Moving Avg'!D175</f>
        <v>5.7657999999999987</v>
      </c>
      <c r="G175" s="2">
        <f>'Moving Avg'!F175</f>
        <v>5.7733500000000006</v>
      </c>
      <c r="H175" s="2">
        <f>'Moving Avg'!G175</f>
        <v>5.773019999999998</v>
      </c>
      <c r="I175" s="2">
        <f>'Moving Avg'!H175</f>
        <v>0</v>
      </c>
      <c r="J175" s="5" t="str">
        <f>OBV!F175</f>
        <v>BEARISH</v>
      </c>
      <c r="K175" s="5" t="str">
        <f>OBV!G175</f>
        <v>STRONG</v>
      </c>
      <c r="L175" s="5" t="str">
        <f>OBV!H175</f>
        <v>CONFIRMED BEARISH</v>
      </c>
    </row>
    <row r="176" spans="1:12" ht="13.5" x14ac:dyDescent="0.25">
      <c r="A176" s="3">
        <f>RSI!A176</f>
        <v>45175</v>
      </c>
      <c r="B176" s="2">
        <f>RSI!B176</f>
        <v>5.7569999999999997</v>
      </c>
      <c r="C176" s="2">
        <f>RSI!I176</f>
        <v>43.206930397597219</v>
      </c>
      <c r="D176" s="2">
        <f>MACD!E176</f>
        <v>-2.1967282711958802E-3</v>
      </c>
      <c r="E176" s="2">
        <f>MACD!F176</f>
        <v>-1.1020766624575315E-2</v>
      </c>
      <c r="F176" s="2">
        <f>'Moving Avg'!D176</f>
        <v>5.7605999999999993</v>
      </c>
      <c r="G176" s="2">
        <f>'Moving Avg'!F176</f>
        <v>5.7729000000000017</v>
      </c>
      <c r="H176" s="2">
        <f>'Moving Avg'!G176</f>
        <v>5.7692999999999985</v>
      </c>
      <c r="I176" s="2">
        <f>'Moving Avg'!H176</f>
        <v>0</v>
      </c>
      <c r="J176" s="5" t="str">
        <f>OBV!F176</f>
        <v>BEARISH</v>
      </c>
      <c r="K176" s="5" t="str">
        <f>OBV!G176</f>
        <v>STRONG</v>
      </c>
      <c r="L176" s="5" t="str">
        <f>OBV!H176</f>
        <v>CONFIRMED BEARISH</v>
      </c>
    </row>
    <row r="177" spans="1:12" ht="13.5" x14ac:dyDescent="0.25">
      <c r="A177" s="3">
        <f>RSI!A177</f>
        <v>45176</v>
      </c>
      <c r="B177" s="2">
        <f>RSI!B177</f>
        <v>5.7569999999999997</v>
      </c>
      <c r="C177" s="2">
        <f>RSI!I177</f>
        <v>43.206930397597212</v>
      </c>
      <c r="D177" s="2">
        <f>MACD!E177</f>
        <v>3.9011777091388922E-3</v>
      </c>
      <c r="E177" s="2">
        <f>MACD!F177</f>
        <v>-8.0363777578324747E-3</v>
      </c>
      <c r="F177" s="2">
        <f>'Moving Avg'!D177</f>
        <v>5.758799999999999</v>
      </c>
      <c r="G177" s="2">
        <f>'Moving Avg'!F177</f>
        <v>5.772450000000001</v>
      </c>
      <c r="H177" s="2">
        <f>'Moving Avg'!G177</f>
        <v>5.7657599999999976</v>
      </c>
      <c r="I177" s="2">
        <f>'Moving Avg'!H177</f>
        <v>0</v>
      </c>
      <c r="J177" s="5" t="str">
        <f>OBV!F177</f>
        <v>BEARISH</v>
      </c>
      <c r="K177" s="5" t="str">
        <f>OBV!G177</f>
        <v>STRONG</v>
      </c>
      <c r="L177" s="5" t="str">
        <f>OBV!H177</f>
        <v>CONFIRMED BEARISH</v>
      </c>
    </row>
    <row r="178" spans="1:12" ht="13.5" x14ac:dyDescent="0.25">
      <c r="A178" s="3">
        <f>RSI!A178</f>
        <v>45177</v>
      </c>
      <c r="B178" s="2">
        <f>RSI!B178</f>
        <v>5.7569999999999997</v>
      </c>
      <c r="C178" s="2">
        <f>RSI!I178</f>
        <v>43.206930397597212</v>
      </c>
      <c r="D178" s="2">
        <f>MACD!E178</f>
        <v>9.1357060104364507E-3</v>
      </c>
      <c r="E178" s="2">
        <f>MACD!F178</f>
        <v>-4.6019610041786894E-3</v>
      </c>
      <c r="F178" s="2">
        <f>'Moving Avg'!D178</f>
        <v>5.7569999999999997</v>
      </c>
      <c r="G178" s="2">
        <f>'Moving Avg'!F178</f>
        <v>5.772000000000002</v>
      </c>
      <c r="H178" s="2">
        <f>'Moving Avg'!G178</f>
        <v>5.7623999999999977</v>
      </c>
      <c r="I178" s="2">
        <f>'Moving Avg'!H178</f>
        <v>0</v>
      </c>
      <c r="J178" s="5" t="str">
        <f>OBV!F178</f>
        <v>BEARISH</v>
      </c>
      <c r="K178" s="5" t="str">
        <f>OBV!G178</f>
        <v>STRONG</v>
      </c>
      <c r="L178" s="5" t="str">
        <f>OBV!H178</f>
        <v>CONFIRMED BEARISH</v>
      </c>
    </row>
    <row r="179" spans="1:12" ht="13.5" x14ac:dyDescent="0.25">
      <c r="A179" s="3">
        <f>RSI!A179</f>
        <v>45180</v>
      </c>
      <c r="B179" s="2">
        <f>RSI!B179</f>
        <v>5.7569999999999997</v>
      </c>
      <c r="C179" s="2">
        <f>RSI!I179</f>
        <v>43.206930397597212</v>
      </c>
      <c r="D179" s="2">
        <f>MACD!E179</f>
        <v>1.3634146064040564E-2</v>
      </c>
      <c r="E179" s="2">
        <f>MACD!F179</f>
        <v>-9.547395905348385E-4</v>
      </c>
      <c r="F179" s="2">
        <f>'Moving Avg'!D179</f>
        <v>5.7569999999999997</v>
      </c>
      <c r="G179" s="2">
        <f>'Moving Avg'!F179</f>
        <v>5.7715500000000022</v>
      </c>
      <c r="H179" s="2">
        <f>'Moving Avg'!G179</f>
        <v>5.7590399999999979</v>
      </c>
      <c r="I179" s="2">
        <f>'Moving Avg'!H179</f>
        <v>0</v>
      </c>
      <c r="J179" s="5" t="str">
        <f>OBV!F179</f>
        <v>NEUTRAL</v>
      </c>
      <c r="K179" s="5" t="str">
        <f>OBV!G179</f>
        <v>NEUTRAL</v>
      </c>
      <c r="L179" s="5" t="str">
        <f>OBV!H179</f>
        <v>NEUTRAL</v>
      </c>
    </row>
    <row r="180" spans="1:12" ht="13.5" x14ac:dyDescent="0.25">
      <c r="A180" s="3">
        <f>RSI!A180</f>
        <v>45181</v>
      </c>
      <c r="B180" s="2">
        <f>RSI!B180</f>
        <v>5.7569999999999997</v>
      </c>
      <c r="C180" s="2">
        <f>RSI!I180</f>
        <v>43.206930397597205</v>
      </c>
      <c r="D180" s="2">
        <f>MACD!E180</f>
        <v>1.4735383757729537E-2</v>
      </c>
      <c r="E180" s="2">
        <f>MACD!F180</f>
        <v>2.1832850791180364E-3</v>
      </c>
      <c r="F180" s="2">
        <f>'Moving Avg'!D180</f>
        <v>5.7569999999999997</v>
      </c>
      <c r="G180" s="2">
        <f>'Moving Avg'!F180</f>
        <v>5.7711000000000023</v>
      </c>
      <c r="H180" s="2">
        <f>'Moving Avg'!G180</f>
        <v>5.7563799999999983</v>
      </c>
      <c r="I180" s="2">
        <f>'Moving Avg'!H180</f>
        <v>0</v>
      </c>
      <c r="J180" s="5" t="str">
        <f>OBV!F180</f>
        <v>NEUTRAL</v>
      </c>
      <c r="K180" s="5" t="str">
        <f>OBV!G180</f>
        <v>NEUTRAL</v>
      </c>
      <c r="L180" s="5" t="str">
        <f>OBV!H180</f>
        <v>NEUTRAL</v>
      </c>
    </row>
    <row r="181" spans="1:12" ht="13.5" x14ac:dyDescent="0.25">
      <c r="A181" s="3">
        <f>RSI!A181</f>
        <v>45182</v>
      </c>
      <c r="B181" s="2">
        <f>RSI!B181</f>
        <v>5.7480000000000002</v>
      </c>
      <c r="C181" s="2">
        <f>RSI!I181</f>
        <v>38.221493866070766</v>
      </c>
      <c r="D181" s="2">
        <f>MACD!E181</f>
        <v>1.6393215184321797E-2</v>
      </c>
      <c r="E181" s="2">
        <f>MACD!F181</f>
        <v>5.0252711001587888E-3</v>
      </c>
      <c r="F181" s="2">
        <f>'Moving Avg'!D181</f>
        <v>5.7552000000000003</v>
      </c>
      <c r="G181" s="2">
        <f>'Moving Avg'!F181</f>
        <v>5.7702000000000027</v>
      </c>
      <c r="H181" s="2">
        <f>'Moving Avg'!G181</f>
        <v>5.7535399999999983</v>
      </c>
      <c r="I181" s="2">
        <f>'Moving Avg'!H181</f>
        <v>0</v>
      </c>
      <c r="J181" s="5" t="str">
        <f>OBV!F181</f>
        <v>BEARISH</v>
      </c>
      <c r="K181" s="5" t="str">
        <f>OBV!G181</f>
        <v>STRONG</v>
      </c>
      <c r="L181" s="5" t="str">
        <f>OBV!H181</f>
        <v>CONFIRMED BEARISH</v>
      </c>
    </row>
    <row r="182" spans="1:12" ht="13.5" x14ac:dyDescent="0.25">
      <c r="A182" s="3">
        <f>RSI!A182</f>
        <v>45183</v>
      </c>
      <c r="B182" s="2">
        <f>RSI!B182</f>
        <v>5.7389999999999999</v>
      </c>
      <c r="C182" s="2">
        <f>RSI!I182</f>
        <v>33.996996771110233</v>
      </c>
      <c r="D182" s="2">
        <f>MACD!E182</f>
        <v>1.5955411143226073E-2</v>
      </c>
      <c r="E182" s="2">
        <f>MACD!F182</f>
        <v>7.2112991087722456E-3</v>
      </c>
      <c r="F182" s="2">
        <f>'Moving Avg'!D182</f>
        <v>5.7516000000000007</v>
      </c>
      <c r="G182" s="2">
        <f>'Moving Avg'!F182</f>
        <v>5.769300000000003</v>
      </c>
      <c r="H182" s="2">
        <f>'Moving Avg'!G182</f>
        <v>5.7510599999999981</v>
      </c>
      <c r="I182" s="2">
        <f>'Moving Avg'!H182</f>
        <v>0</v>
      </c>
      <c r="J182" s="5" t="str">
        <f>OBV!F182</f>
        <v>BEARISH</v>
      </c>
      <c r="K182" s="5" t="str">
        <f>OBV!G182</f>
        <v>STRONG</v>
      </c>
      <c r="L182" s="5" t="str">
        <f>OBV!H182</f>
        <v>CONFIRMED BEARISH</v>
      </c>
    </row>
    <row r="183" spans="1:12" ht="13.5" x14ac:dyDescent="0.25">
      <c r="A183" s="3">
        <f>RSI!A183</f>
        <v>45184</v>
      </c>
      <c r="B183" s="2">
        <f>RSI!B183</f>
        <v>5.7389999999999999</v>
      </c>
      <c r="C183" s="2">
        <f>RSI!I183</f>
        <v>33.996996771110233</v>
      </c>
      <c r="D183" s="2">
        <f>MACD!E183</f>
        <v>1.5738266539596424E-2</v>
      </c>
      <c r="E183" s="2">
        <f>MACD!F183</f>
        <v>8.9166925949370826E-3</v>
      </c>
      <c r="F183" s="2">
        <f>'Moving Avg'!D183</f>
        <v>5.7480000000000002</v>
      </c>
      <c r="G183" s="2">
        <f>'Moving Avg'!F183</f>
        <v>5.7679500000000017</v>
      </c>
      <c r="H183" s="2">
        <f>'Moving Avg'!G183</f>
        <v>5.7505199999999972</v>
      </c>
      <c r="I183" s="2">
        <f>'Moving Avg'!H183</f>
        <v>0</v>
      </c>
      <c r="J183" s="5" t="str">
        <f>OBV!F183</f>
        <v>BEARISH</v>
      </c>
      <c r="K183" s="5" t="str">
        <f>OBV!G183</f>
        <v>STRONG</v>
      </c>
      <c r="L183" s="5" t="str">
        <f>OBV!H183</f>
        <v>CONFIRMED BEARISH</v>
      </c>
    </row>
    <row r="184" spans="1:12" ht="13.5" x14ac:dyDescent="0.25">
      <c r="A184" s="3">
        <f>RSI!A184</f>
        <v>45187</v>
      </c>
      <c r="B184" s="2">
        <f>RSI!B184</f>
        <v>5.7119999999999997</v>
      </c>
      <c r="C184" s="2">
        <f>RSI!I184</f>
        <v>24.55446497930545</v>
      </c>
      <c r="D184" s="2">
        <f>MACD!E184</f>
        <v>1.6311862459377657E-2</v>
      </c>
      <c r="E184" s="2">
        <f>MACD!F184</f>
        <v>1.0395726567825198E-2</v>
      </c>
      <c r="F184" s="2">
        <f>'Moving Avg'!D184</f>
        <v>5.7389999999999999</v>
      </c>
      <c r="G184" s="2">
        <f>'Moving Avg'!F184</f>
        <v>5.7652500000000018</v>
      </c>
      <c r="H184" s="2">
        <f>'Moving Avg'!G184</f>
        <v>5.7494399999999972</v>
      </c>
      <c r="I184" s="2">
        <f>'Moving Avg'!H184</f>
        <v>0</v>
      </c>
      <c r="J184" s="5" t="str">
        <f>OBV!F184</f>
        <v>BEARISH</v>
      </c>
      <c r="K184" s="5" t="str">
        <f>OBV!G184</f>
        <v>STRONG</v>
      </c>
      <c r="L184" s="5" t="str">
        <f>OBV!H184</f>
        <v>CONFIRMED BEARISH</v>
      </c>
    </row>
    <row r="185" spans="1:12" ht="13.5" x14ac:dyDescent="0.25">
      <c r="A185" s="3">
        <f>RSI!A185</f>
        <v>45188</v>
      </c>
      <c r="B185" s="2">
        <f>RSI!B185</f>
        <v>5.7210000000000001</v>
      </c>
      <c r="C185" s="2">
        <f>RSI!I185</f>
        <v>31.394670989304061</v>
      </c>
      <c r="D185" s="2">
        <f>MACD!E185</f>
        <v>1.6421524647703301E-2</v>
      </c>
      <c r="E185" s="2">
        <f>MACD!F185</f>
        <v>1.1600886183800818E-2</v>
      </c>
      <c r="F185" s="2">
        <f>'Moving Avg'!D185</f>
        <v>5.7317999999999998</v>
      </c>
      <c r="G185" s="2">
        <f>'Moving Avg'!F185</f>
        <v>5.7630000000000017</v>
      </c>
      <c r="H185" s="2">
        <f>'Moving Avg'!G185</f>
        <v>5.7485399999999967</v>
      </c>
      <c r="I185" s="2">
        <f>'Moving Avg'!H185</f>
        <v>0</v>
      </c>
      <c r="J185" s="5" t="str">
        <f>OBV!F185</f>
        <v>BEARISH</v>
      </c>
      <c r="K185" s="5" t="str">
        <f>OBV!G185</f>
        <v>STRONG</v>
      </c>
      <c r="L185" s="5" t="str">
        <f>OBV!H185</f>
        <v>CONFIRMED BEARISH</v>
      </c>
    </row>
    <row r="186" spans="1:12" ht="13.5" x14ac:dyDescent="0.25">
      <c r="A186" s="3">
        <f>RSI!A186</f>
        <v>45189</v>
      </c>
      <c r="B186" s="2">
        <f>RSI!B186</f>
        <v>5.7210000000000001</v>
      </c>
      <c r="C186" s="2">
        <f>RSI!I186</f>
        <v>31.394670989304061</v>
      </c>
      <c r="D186" s="2">
        <f>MACD!E186</f>
        <v>1.6730558844850307E-2</v>
      </c>
      <c r="E186" s="2">
        <f>MACD!F186</f>
        <v>1.2626820716010716E-2</v>
      </c>
      <c r="F186" s="2">
        <f>'Moving Avg'!D186</f>
        <v>5.7263999999999999</v>
      </c>
      <c r="G186" s="2">
        <f>'Moving Avg'!F186</f>
        <v>5.7590000000000012</v>
      </c>
      <c r="H186" s="2">
        <f>'Moving Avg'!G186</f>
        <v>5.749419999999998</v>
      </c>
      <c r="I186" s="2">
        <f>'Moving Avg'!H186</f>
        <v>0</v>
      </c>
      <c r="J186" s="5" t="str">
        <f>OBV!F186</f>
        <v>BEARISH</v>
      </c>
      <c r="K186" s="5" t="str">
        <f>OBV!G186</f>
        <v>STRONG</v>
      </c>
      <c r="L186" s="5" t="str">
        <f>OBV!H186</f>
        <v>CONFIRMED BEARISH</v>
      </c>
    </row>
    <row r="187" spans="1:12" ht="13.5" x14ac:dyDescent="0.25">
      <c r="A187" s="3">
        <f>RSI!A187</f>
        <v>45190</v>
      </c>
      <c r="B187" s="2">
        <f>RSI!B187</f>
        <v>5.7389999999999999</v>
      </c>
      <c r="C187" s="2">
        <f>RSI!I187</f>
        <v>43.315338141102309</v>
      </c>
      <c r="D187" s="2">
        <f>MACD!E187</f>
        <v>1.5858941092247392E-2</v>
      </c>
      <c r="E187" s="2">
        <f>MACD!F187</f>
        <v>1.3273244791258052E-2</v>
      </c>
      <c r="F187" s="2">
        <f>'Moving Avg'!D187</f>
        <v>5.7263999999999999</v>
      </c>
      <c r="G187" s="2">
        <f>'Moving Avg'!F187</f>
        <v>5.7559000000000013</v>
      </c>
      <c r="H187" s="2">
        <f>'Moving Avg'!G187</f>
        <v>5.7506599999999981</v>
      </c>
      <c r="I187" s="2">
        <f>'Moving Avg'!H187</f>
        <v>0</v>
      </c>
      <c r="J187" s="5" t="str">
        <f>OBV!F187</f>
        <v>BULLISH</v>
      </c>
      <c r="K187" s="5" t="str">
        <f>OBV!G187</f>
        <v>WEAK</v>
      </c>
      <c r="L187" s="5" t="str">
        <f>OBV!H187</f>
        <v>NEUTRAL</v>
      </c>
    </row>
    <row r="188" spans="1:12" ht="13.5" x14ac:dyDescent="0.25">
      <c r="A188" s="3">
        <f>RSI!A188</f>
        <v>45191</v>
      </c>
      <c r="B188" s="2">
        <f>RSI!B188</f>
        <v>5.7389999999999999</v>
      </c>
      <c r="C188" s="2">
        <f>RSI!I188</f>
        <v>43.315338141102309</v>
      </c>
      <c r="D188" s="2">
        <f>MACD!E188</f>
        <v>1.5200449222348311E-2</v>
      </c>
      <c r="E188" s="2">
        <f>MACD!F188</f>
        <v>1.3658685677476105E-2</v>
      </c>
      <c r="F188" s="2">
        <f>'Moving Avg'!D188</f>
        <v>5.7263999999999999</v>
      </c>
      <c r="G188" s="2">
        <f>'Moving Avg'!F188</f>
        <v>5.7528000000000015</v>
      </c>
      <c r="H188" s="2">
        <f>'Moving Avg'!G188</f>
        <v>5.7518999999999982</v>
      </c>
      <c r="I188" s="2">
        <f>'Moving Avg'!H188</f>
        <v>0</v>
      </c>
      <c r="J188" s="5" t="str">
        <f>OBV!F188</f>
        <v>BULLISH</v>
      </c>
      <c r="K188" s="5" t="str">
        <f>OBV!G188</f>
        <v>WEAK</v>
      </c>
      <c r="L188" s="5" t="str">
        <f>OBV!H188</f>
        <v>NEUTRAL</v>
      </c>
    </row>
    <row r="189" spans="1:12" ht="13.5" x14ac:dyDescent="0.25">
      <c r="A189" s="3">
        <f>RSI!A189</f>
        <v>45194</v>
      </c>
      <c r="B189" s="2">
        <f>RSI!B189</f>
        <v>5.73</v>
      </c>
      <c r="C189" s="2">
        <f>RSI!I189</f>
        <v>39.350442989283501</v>
      </c>
      <c r="D189" s="2">
        <f>MACD!E189</f>
        <v>1.538310716789848E-2</v>
      </c>
      <c r="E189" s="2">
        <f>MACD!F189</f>
        <v>1.4003569975560581E-2</v>
      </c>
      <c r="F189" s="2">
        <f>'Moving Avg'!D189</f>
        <v>5.73</v>
      </c>
      <c r="G189" s="2">
        <f>'Moving Avg'!F189</f>
        <v>5.7492500000000009</v>
      </c>
      <c r="H189" s="2">
        <f>'Moving Avg'!G189</f>
        <v>5.7529599999999981</v>
      </c>
      <c r="I189" s="2">
        <f>'Moving Avg'!H189</f>
        <v>0</v>
      </c>
      <c r="J189" s="5" t="str">
        <f>OBV!F189</f>
        <v>BULLISH</v>
      </c>
      <c r="K189" s="5" t="str">
        <f>OBV!G189</f>
        <v>WEAK</v>
      </c>
      <c r="L189" s="5" t="str">
        <f>OBV!H189</f>
        <v>CONFIRMED BULLISH</v>
      </c>
    </row>
    <row r="190" spans="1:12" ht="13.5" x14ac:dyDescent="0.25">
      <c r="A190" s="3">
        <f>RSI!A190</f>
        <v>45195</v>
      </c>
      <c r="B190" s="2">
        <f>RSI!B190</f>
        <v>5.73</v>
      </c>
      <c r="C190" s="2">
        <f>RSI!I190</f>
        <v>39.350442989283501</v>
      </c>
      <c r="D190" s="2">
        <f>MACD!E190</f>
        <v>1.5658601487997359E-2</v>
      </c>
      <c r="E190" s="2">
        <f>MACD!F190</f>
        <v>1.4334576278047937E-2</v>
      </c>
      <c r="F190" s="2">
        <f>'Moving Avg'!D190</f>
        <v>5.7318000000000007</v>
      </c>
      <c r="G190" s="2">
        <f>'Moving Avg'!F190</f>
        <v>5.7466000000000008</v>
      </c>
      <c r="H190" s="2">
        <f>'Moving Avg'!G190</f>
        <v>5.7540199999999979</v>
      </c>
      <c r="I190" s="2">
        <f>'Moving Avg'!H190</f>
        <v>0</v>
      </c>
      <c r="J190" s="5" t="str">
        <f>OBV!F190</f>
        <v>BULLISH</v>
      </c>
      <c r="K190" s="5" t="str">
        <f>OBV!G190</f>
        <v>NEUTRAL</v>
      </c>
      <c r="L190" s="5" t="str">
        <f>OBV!H190</f>
        <v>CONFIRMED BULLISH</v>
      </c>
    </row>
    <row r="191" spans="1:12" ht="13.5" x14ac:dyDescent="0.25">
      <c r="A191" s="3">
        <f>RSI!A191</f>
        <v>45197</v>
      </c>
      <c r="B191" s="2">
        <f>RSI!B191</f>
        <v>5.7210000000000001</v>
      </c>
      <c r="C191" s="2">
        <f>RSI!I191</f>
        <v>35.573928205211658</v>
      </c>
      <c r="D191" s="2">
        <f>MACD!E191</f>
        <v>1.528574260502058E-2</v>
      </c>
      <c r="E191" s="2">
        <f>MACD!F191</f>
        <v>1.4524809543442466E-2</v>
      </c>
      <c r="F191" s="2">
        <f>'Moving Avg'!D191</f>
        <v>5.7317999999999998</v>
      </c>
      <c r="G191" s="2">
        <f>'Moving Avg'!F191</f>
        <v>5.7435000000000009</v>
      </c>
      <c r="H191" s="2">
        <f>'Moving Avg'!G191</f>
        <v>5.7548999999999992</v>
      </c>
      <c r="I191" s="2">
        <f>'Moving Avg'!H191</f>
        <v>0</v>
      </c>
      <c r="J191" s="5" t="str">
        <f>OBV!F191</f>
        <v>BEARISH</v>
      </c>
      <c r="K191" s="5" t="str">
        <f>OBV!G191</f>
        <v>STRONG</v>
      </c>
      <c r="L191" s="5" t="str">
        <f>OBV!H191</f>
        <v>NEUTRAL</v>
      </c>
    </row>
    <row r="192" spans="1:12" ht="13.5" x14ac:dyDescent="0.25">
      <c r="A192" s="3">
        <f>RSI!A192</f>
        <v>45198</v>
      </c>
      <c r="B192" s="2">
        <f>RSI!B192</f>
        <v>5.7039999999999997</v>
      </c>
      <c r="C192" s="2">
        <f>RSI!I192</f>
        <v>29.763404633815398</v>
      </c>
      <c r="D192" s="2">
        <f>MACD!E192</f>
        <v>1.5001756384966924E-2</v>
      </c>
      <c r="E192" s="2">
        <f>MACD!F192</f>
        <v>1.4620198911747359E-2</v>
      </c>
      <c r="F192" s="2">
        <f>'Moving Avg'!D192</f>
        <v>5.7248000000000001</v>
      </c>
      <c r="G192" s="2">
        <f>'Moving Avg'!F192</f>
        <v>5.7404000000000002</v>
      </c>
      <c r="H192" s="2">
        <f>'Moving Avg'!G192</f>
        <v>5.7545600000000006</v>
      </c>
      <c r="I192" s="2">
        <f>'Moving Avg'!H192</f>
        <v>0</v>
      </c>
      <c r="J192" s="5" t="str">
        <f>OBV!F192</f>
        <v>BEARISH</v>
      </c>
      <c r="K192" s="5" t="str">
        <f>OBV!G192</f>
        <v>STRONG</v>
      </c>
      <c r="L192" s="5" t="str">
        <f>OBV!H192</f>
        <v>CONFIRMED BEARISH</v>
      </c>
    </row>
    <row r="193" spans="1:12" ht="13.5" x14ac:dyDescent="0.25">
      <c r="A193" s="3">
        <f>RSI!A193</f>
        <v>45201</v>
      </c>
      <c r="B193" s="2">
        <f>RSI!B193</f>
        <v>5.7119999999999997</v>
      </c>
      <c r="C193" s="2">
        <f>RSI!I193</f>
        <v>35.132902313246703</v>
      </c>
      <c r="D193" s="2">
        <f>MACD!E193</f>
        <v>1.441456767825855E-2</v>
      </c>
      <c r="E193" s="2">
        <f>MACD!F193</f>
        <v>1.4579072665049597E-2</v>
      </c>
      <c r="F193" s="2">
        <f>'Moving Avg'!D193</f>
        <v>5.7194000000000003</v>
      </c>
      <c r="G193" s="2">
        <f>'Moving Avg'!F193</f>
        <v>5.7377000000000002</v>
      </c>
      <c r="H193" s="2">
        <f>'Moving Avg'!G193</f>
        <v>5.7543800000000012</v>
      </c>
      <c r="I193" s="2">
        <f>'Moving Avg'!H193</f>
        <v>0</v>
      </c>
      <c r="J193" s="5" t="str">
        <f>OBV!F193</f>
        <v>BEARISH</v>
      </c>
      <c r="K193" s="5" t="str">
        <f>OBV!G193</f>
        <v>STRONG</v>
      </c>
      <c r="L193" s="5" t="str">
        <f>OBV!H193</f>
        <v>CONFIRMED BEARISH</v>
      </c>
    </row>
    <row r="194" spans="1:12" ht="13.5" x14ac:dyDescent="0.25">
      <c r="A194" s="3">
        <f>RSI!A194</f>
        <v>45202</v>
      </c>
      <c r="B194" s="2">
        <f>RSI!B194</f>
        <v>5.7039999999999997</v>
      </c>
      <c r="C194" s="2">
        <f>RSI!I194</f>
        <v>32.460453055522322</v>
      </c>
      <c r="D194" s="2">
        <f>MACD!E194</f>
        <v>1.0536689715131331E-2</v>
      </c>
      <c r="E194" s="2">
        <f>MACD!F194</f>
        <v>1.3770596075065946E-2</v>
      </c>
      <c r="F194" s="2">
        <f>'Moving Avg'!D194</f>
        <v>5.7141999999999999</v>
      </c>
      <c r="G194" s="2">
        <f>'Moving Avg'!F194</f>
        <v>5.7350500000000002</v>
      </c>
      <c r="H194" s="2">
        <f>'Moving Avg'!G194</f>
        <v>5.7540400000000007</v>
      </c>
      <c r="I194" s="2">
        <f>'Moving Avg'!H194</f>
        <v>0</v>
      </c>
      <c r="J194" s="5" t="str">
        <f>OBV!F194</f>
        <v>BEARISH</v>
      </c>
      <c r="K194" s="5" t="str">
        <f>OBV!G194</f>
        <v>STRONG</v>
      </c>
      <c r="L194" s="5" t="str">
        <f>OBV!H194</f>
        <v>CONFIRMED BEARISH</v>
      </c>
    </row>
    <row r="195" spans="1:12" ht="13.5" x14ac:dyDescent="0.25">
      <c r="A195" s="3">
        <f>RSI!A195</f>
        <v>45203</v>
      </c>
      <c r="B195" s="2">
        <f>RSI!B195</f>
        <v>5.7039999999999997</v>
      </c>
      <c r="C195" s="2">
        <f>RSI!I195</f>
        <v>32.460453055522322</v>
      </c>
      <c r="D195" s="2">
        <f>MACD!E195</f>
        <v>8.854173479460492E-3</v>
      </c>
      <c r="E195" s="2">
        <f>MACD!F195</f>
        <v>1.2787311555944855E-2</v>
      </c>
      <c r="F195" s="2">
        <f>'Moving Avg'!D195</f>
        <v>5.7090000000000005</v>
      </c>
      <c r="G195" s="2">
        <f>'Moving Avg'!F195</f>
        <v>5.7324000000000002</v>
      </c>
      <c r="H195" s="2">
        <f>'Moving Avg'!G195</f>
        <v>5.7528000000000006</v>
      </c>
      <c r="I195" s="2">
        <f>'Moving Avg'!H195</f>
        <v>0</v>
      </c>
      <c r="J195" s="5" t="str">
        <f>OBV!F195</f>
        <v>BEARISH</v>
      </c>
      <c r="K195" s="5" t="str">
        <f>OBV!G195</f>
        <v>STRONG</v>
      </c>
      <c r="L195" s="5" t="str">
        <f>OBV!H195</f>
        <v>CONFIRMED BEARISH</v>
      </c>
    </row>
    <row r="196" spans="1:12" ht="13.5" x14ac:dyDescent="0.25">
      <c r="A196" s="3">
        <f>RSI!A196</f>
        <v>45204</v>
      </c>
      <c r="B196" s="2">
        <f>RSI!B196</f>
        <v>5.7039999999999997</v>
      </c>
      <c r="C196" s="2">
        <f>RSI!I196</f>
        <v>32.460453055522322</v>
      </c>
      <c r="D196" s="2">
        <f>MACD!E196</f>
        <v>7.6287926853657595E-3</v>
      </c>
      <c r="E196" s="2">
        <f>MACD!F196</f>
        <v>1.1755607781829037E-2</v>
      </c>
      <c r="F196" s="2">
        <f>'Moving Avg'!D196</f>
        <v>5.7056000000000004</v>
      </c>
      <c r="G196" s="2">
        <f>'Moving Avg'!F196</f>
        <v>5.7297499999999992</v>
      </c>
      <c r="H196" s="2">
        <f>'Moving Avg'!G196</f>
        <v>5.7515600000000004</v>
      </c>
      <c r="I196" s="2">
        <f>'Moving Avg'!H196</f>
        <v>0</v>
      </c>
      <c r="J196" s="5" t="str">
        <f>OBV!F196</f>
        <v>BEARISH</v>
      </c>
      <c r="K196" s="5" t="str">
        <f>OBV!G196</f>
        <v>STRONG</v>
      </c>
      <c r="L196" s="5" t="str">
        <f>OBV!H196</f>
        <v>CONFIRMED BEARISH</v>
      </c>
    </row>
    <row r="197" spans="1:12" ht="13.5" x14ac:dyDescent="0.25">
      <c r="A197" s="3">
        <f>RSI!A197</f>
        <v>45205</v>
      </c>
      <c r="B197" s="2">
        <f>RSI!B197</f>
        <v>5.7039999999999997</v>
      </c>
      <c r="C197" s="2">
        <f>RSI!I197</f>
        <v>32.460453055522322</v>
      </c>
      <c r="D197" s="2">
        <f>MACD!E197</f>
        <v>9.5447616622381659E-3</v>
      </c>
      <c r="E197" s="2">
        <f>MACD!F197</f>
        <v>1.1313438557910864E-2</v>
      </c>
      <c r="F197" s="2">
        <f>'Moving Avg'!D197</f>
        <v>5.7056000000000004</v>
      </c>
      <c r="G197" s="2">
        <f>'Moving Avg'!F197</f>
        <v>5.7270999999999992</v>
      </c>
      <c r="H197" s="2">
        <f>'Moving Avg'!G197</f>
        <v>5.7503200000000003</v>
      </c>
      <c r="I197" s="2">
        <f>'Moving Avg'!H197</f>
        <v>0</v>
      </c>
      <c r="J197" s="5" t="str">
        <f>OBV!F197</f>
        <v>BULLISH</v>
      </c>
      <c r="K197" s="5" t="str">
        <f>OBV!G197</f>
        <v>NEUTRAL</v>
      </c>
      <c r="L197" s="5" t="str">
        <f>OBV!H197</f>
        <v>NEUTRAL</v>
      </c>
    </row>
    <row r="198" spans="1:12" ht="13.5" x14ac:dyDescent="0.25">
      <c r="A198" s="3">
        <f>RSI!A198</f>
        <v>45208</v>
      </c>
      <c r="B198" s="2">
        <f>RSI!B198</f>
        <v>5.7210000000000001</v>
      </c>
      <c r="C198" s="2">
        <f>RSI!I198</f>
        <v>44.522248489738026</v>
      </c>
      <c r="D198" s="2">
        <f>MACD!E198</f>
        <v>1.0076705884434212E-2</v>
      </c>
      <c r="E198" s="2">
        <f>MACD!F198</f>
        <v>1.1066092023215533E-2</v>
      </c>
      <c r="F198" s="2">
        <f>'Moving Avg'!D198</f>
        <v>5.7073999999999998</v>
      </c>
      <c r="G198" s="2">
        <f>'Moving Avg'!F198</f>
        <v>5.7252999999999989</v>
      </c>
      <c r="H198" s="2">
        <f>'Moving Avg'!G198</f>
        <v>5.7494200000000015</v>
      </c>
      <c r="I198" s="2">
        <f>'Moving Avg'!H198</f>
        <v>0</v>
      </c>
      <c r="J198" s="5" t="str">
        <f>OBV!F198</f>
        <v>BULLISH</v>
      </c>
      <c r="K198" s="5" t="str">
        <f>OBV!G198</f>
        <v>NEUTRAL</v>
      </c>
      <c r="L198" s="5" t="str">
        <f>OBV!H198</f>
        <v>CONFIRMED BULLISH</v>
      </c>
    </row>
    <row r="199" spans="1:12" ht="13.5" x14ac:dyDescent="0.25">
      <c r="A199" s="3">
        <f>RSI!A199</f>
        <v>45209</v>
      </c>
      <c r="B199" s="2">
        <f>RSI!B199</f>
        <v>5.6859999999999999</v>
      </c>
      <c r="C199" s="2">
        <f>RSI!I199</f>
        <v>31.893510638134288</v>
      </c>
      <c r="D199" s="2">
        <f>MACD!E199</f>
        <v>1.179174245869774E-2</v>
      </c>
      <c r="E199" s="2">
        <f>MACD!F199</f>
        <v>1.1211222110311975E-2</v>
      </c>
      <c r="F199" s="2">
        <f>'Moving Avg'!D199</f>
        <v>5.7037999999999993</v>
      </c>
      <c r="G199" s="2">
        <f>'Moving Avg'!F199</f>
        <v>5.7217499999999983</v>
      </c>
      <c r="H199" s="2">
        <f>'Moving Avg'!G199</f>
        <v>5.7478200000000008</v>
      </c>
      <c r="I199" s="2">
        <f>'Moving Avg'!H199</f>
        <v>0</v>
      </c>
      <c r="J199" s="5" t="str">
        <f>OBV!F199</f>
        <v>BULLISH</v>
      </c>
      <c r="K199" s="5" t="str">
        <f>OBV!G199</f>
        <v>NEUTRAL</v>
      </c>
      <c r="L199" s="5" t="str">
        <f>OBV!H199</f>
        <v>BULLISH DIVERGENCE</v>
      </c>
    </row>
    <row r="200" spans="1:12" ht="13.5" x14ac:dyDescent="0.25">
      <c r="A200" s="3">
        <f>RSI!A200</f>
        <v>45210</v>
      </c>
      <c r="B200" s="2">
        <f>RSI!B200</f>
        <v>5.6859999999999999</v>
      </c>
      <c r="C200" s="2">
        <f>RSI!I200</f>
        <v>31.893510638134288</v>
      </c>
      <c r="D200" s="2">
        <f>MACD!E200</f>
        <v>1.3502477752394881E-2</v>
      </c>
      <c r="E200" s="2">
        <f>MACD!F200</f>
        <v>1.1669473238728557E-2</v>
      </c>
      <c r="F200" s="2">
        <f>'Moving Avg'!D200</f>
        <v>5.7001999999999997</v>
      </c>
      <c r="G200" s="2">
        <f>'Moving Avg'!F200</f>
        <v>5.7181999999999986</v>
      </c>
      <c r="H200" s="2">
        <f>'Moving Avg'!G200</f>
        <v>5.746220000000001</v>
      </c>
      <c r="I200" s="2">
        <f>'Moving Avg'!H200</f>
        <v>0</v>
      </c>
      <c r="J200" s="5" t="str">
        <f>OBV!F200</f>
        <v>BULLISH</v>
      </c>
      <c r="K200" s="5" t="str">
        <f>OBV!G200</f>
        <v>NEUTRAL</v>
      </c>
      <c r="L200" s="5" t="str">
        <f>OBV!H200</f>
        <v>BULLISH DIVERGENCE</v>
      </c>
    </row>
    <row r="201" spans="1:12" ht="13.5" x14ac:dyDescent="0.25">
      <c r="A201" s="3">
        <f>RSI!A201</f>
        <v>45211</v>
      </c>
      <c r="B201" s="2">
        <f>RSI!B201</f>
        <v>5.6859999999999999</v>
      </c>
      <c r="C201" s="2">
        <f>RSI!I201</f>
        <v>31.893510638134288</v>
      </c>
      <c r="D201" s="2">
        <f>MACD!E201</f>
        <v>1.3805732153412187E-2</v>
      </c>
      <c r="E201" s="2">
        <f>MACD!F201</f>
        <v>1.2096725021665283E-2</v>
      </c>
      <c r="F201" s="2">
        <f>'Moving Avg'!D201</f>
        <v>5.6966000000000001</v>
      </c>
      <c r="G201" s="2">
        <f>'Moving Avg'!F201</f>
        <v>5.7150999999999996</v>
      </c>
      <c r="H201" s="2">
        <f>'Moving Avg'!G201</f>
        <v>5.7446200000000003</v>
      </c>
      <c r="I201" s="2">
        <f>'Moving Avg'!H201</f>
        <v>5.5155449999999941</v>
      </c>
      <c r="J201" s="5" t="str">
        <f>OBV!F201</f>
        <v>BULLISH</v>
      </c>
      <c r="K201" s="5" t="str">
        <f>OBV!G201</f>
        <v>NEUTRAL</v>
      </c>
      <c r="L201" s="5" t="str">
        <f>OBV!H201</f>
        <v>BULLISH DIVERGENCE</v>
      </c>
    </row>
    <row r="202" spans="1:12" ht="13.5" x14ac:dyDescent="0.25">
      <c r="A202" s="3">
        <f>RSI!A202</f>
        <v>45212</v>
      </c>
      <c r="B202" s="2">
        <f>RSI!B202</f>
        <v>5.6950000000000003</v>
      </c>
      <c r="C202" s="2">
        <f>RSI!I202</f>
        <v>37.579890887649697</v>
      </c>
      <c r="D202" s="2">
        <f>MACD!E202</f>
        <v>1.1002803468699973E-2</v>
      </c>
      <c r="E202" s="2">
        <f>MACD!F202</f>
        <v>1.1877940711072222E-2</v>
      </c>
      <c r="F202" s="2">
        <f>'Moving Avg'!D202</f>
        <v>5.6947999999999999</v>
      </c>
      <c r="G202" s="2">
        <f>'Moving Avg'!F202</f>
        <v>5.7128999999999994</v>
      </c>
      <c r="H202" s="2">
        <f>'Moving Avg'!G202</f>
        <v>5.7440999999999995</v>
      </c>
      <c r="I202" s="2">
        <f>'Moving Avg'!H202</f>
        <v>5.5440199999999935</v>
      </c>
      <c r="J202" s="5" t="str">
        <f>OBV!F202</f>
        <v>BULLISH</v>
      </c>
      <c r="K202" s="5" t="str">
        <f>OBV!G202</f>
        <v>WEAK</v>
      </c>
      <c r="L202" s="5" t="str">
        <f>OBV!H202</f>
        <v>BULLISH DIVERGENCE</v>
      </c>
    </row>
    <row r="203" spans="1:12" ht="13.5" x14ac:dyDescent="0.25">
      <c r="A203" s="3">
        <f>RSI!A203</f>
        <v>45215</v>
      </c>
      <c r="B203" s="2">
        <f>RSI!B203</f>
        <v>5.6950000000000003</v>
      </c>
      <c r="C203" s="2">
        <f>RSI!I203</f>
        <v>37.579890887649697</v>
      </c>
      <c r="D203" s="2">
        <f>MACD!E203</f>
        <v>1.0014721981034036E-2</v>
      </c>
      <c r="E203" s="2">
        <f>MACD!F203</f>
        <v>1.1505296965064585E-2</v>
      </c>
      <c r="F203" s="2">
        <f>'Moving Avg'!D203</f>
        <v>5.6896000000000004</v>
      </c>
      <c r="G203" s="2">
        <f>'Moving Avg'!F203</f>
        <v>5.7107000000000001</v>
      </c>
      <c r="H203" s="2">
        <f>'Moving Avg'!G203</f>
        <v>5.7435799999999997</v>
      </c>
      <c r="I203" s="2">
        <f>'Moving Avg'!H203</f>
        <v>5.5724949999999929</v>
      </c>
      <c r="J203" s="5" t="str">
        <f>OBV!F203</f>
        <v>BULLISH</v>
      </c>
      <c r="K203" s="5" t="str">
        <f>OBV!G203</f>
        <v>NEUTRAL</v>
      </c>
      <c r="L203" s="5" t="str">
        <f>OBV!H203</f>
        <v>BULLISH DIVERGENCE</v>
      </c>
    </row>
    <row r="204" spans="1:12" ht="13.5" x14ac:dyDescent="0.25">
      <c r="A204" s="3">
        <f>RSI!A204</f>
        <v>45216</v>
      </c>
      <c r="B204" s="2">
        <f>RSI!B204</f>
        <v>5.6950000000000003</v>
      </c>
      <c r="C204" s="2">
        <f>RSI!I204</f>
        <v>37.579890887649697</v>
      </c>
      <c r="D204" s="2">
        <f>MACD!E204</f>
        <v>8.0894191404867755E-3</v>
      </c>
      <c r="E204" s="2">
        <f>MACD!F204</f>
        <v>1.0822121400149024E-2</v>
      </c>
      <c r="F204" s="2">
        <f>'Moving Avg'!D204</f>
        <v>5.6913999999999998</v>
      </c>
      <c r="G204" s="2">
        <f>'Moving Avg'!F204</f>
        <v>5.7098499999999985</v>
      </c>
      <c r="H204" s="2">
        <f>'Moving Avg'!G204</f>
        <v>5.7430599999999989</v>
      </c>
      <c r="I204" s="2">
        <f>'Moving Avg'!H204</f>
        <v>5.5746399999999925</v>
      </c>
      <c r="J204" s="5" t="str">
        <f>OBV!F204</f>
        <v>BULLISH</v>
      </c>
      <c r="K204" s="5" t="str">
        <f>OBV!G204</f>
        <v>WEAK</v>
      </c>
      <c r="L204" s="5" t="str">
        <f>OBV!H204</f>
        <v>CONFIRMED BULLISH</v>
      </c>
    </row>
    <row r="205" spans="1:12" ht="13.5" x14ac:dyDescent="0.25">
      <c r="A205" s="3">
        <f>RSI!A205</f>
        <v>45217</v>
      </c>
      <c r="B205" s="2">
        <f>RSI!B205</f>
        <v>5.6769999999999996</v>
      </c>
      <c r="C205" s="2">
        <f>RSI!I205</f>
        <v>31.094761084056515</v>
      </c>
      <c r="D205" s="2">
        <f>MACD!E205</f>
        <v>7.9247013122465404E-3</v>
      </c>
      <c r="E205" s="2">
        <f>MACD!F205</f>
        <v>1.0242637382568528E-2</v>
      </c>
      <c r="F205" s="2">
        <f>'Moving Avg'!D205</f>
        <v>5.6896000000000004</v>
      </c>
      <c r="G205" s="2">
        <f>'Moving Avg'!F205</f>
        <v>5.7076499999999992</v>
      </c>
      <c r="H205" s="2">
        <f>'Moving Avg'!G205</f>
        <v>5.7412800000000006</v>
      </c>
      <c r="I205" s="2">
        <f>'Moving Avg'!H205</f>
        <v>5.576014999999992</v>
      </c>
      <c r="J205" s="5" t="str">
        <f>OBV!F205</f>
        <v>BEARISH</v>
      </c>
      <c r="K205" s="5" t="str">
        <f>OBV!G205</f>
        <v>NEUTRAL</v>
      </c>
      <c r="L205" s="5" t="str">
        <f>OBV!H205</f>
        <v>CONFIRMED BEARISH</v>
      </c>
    </row>
    <row r="206" spans="1:12" ht="13.5" x14ac:dyDescent="0.25">
      <c r="A206" s="3">
        <f>RSI!A206</f>
        <v>45218</v>
      </c>
      <c r="B206" s="2">
        <f>RSI!B206</f>
        <v>5.6769999999999996</v>
      </c>
      <c r="C206" s="2">
        <f>RSI!I206</f>
        <v>31.094761084056515</v>
      </c>
      <c r="D206" s="2">
        <f>MACD!E206</f>
        <v>8.0130312039417007E-3</v>
      </c>
      <c r="E206" s="2">
        <f>MACD!F206</f>
        <v>9.7967161468431631E-3</v>
      </c>
      <c r="F206" s="2">
        <f>'Moving Avg'!D206</f>
        <v>5.6878000000000002</v>
      </c>
      <c r="G206" s="2">
        <f>'Moving Avg'!F206</f>
        <v>5.705449999999999</v>
      </c>
      <c r="H206" s="2">
        <f>'Moving Avg'!G206</f>
        <v>5.7395000000000014</v>
      </c>
      <c r="I206" s="2">
        <f>'Moving Avg'!H206</f>
        <v>5.5775599999999921</v>
      </c>
      <c r="J206" s="5" t="str">
        <f>OBV!F206</f>
        <v>BEARISH</v>
      </c>
      <c r="K206" s="5" t="str">
        <f>OBV!G206</f>
        <v>NEUTRAL</v>
      </c>
      <c r="L206" s="5" t="str">
        <f>OBV!H206</f>
        <v>CONFIRMED BEARISH</v>
      </c>
    </row>
    <row r="207" spans="1:12" ht="13.5" x14ac:dyDescent="0.25">
      <c r="A207" s="3">
        <f>RSI!A207</f>
        <v>45219</v>
      </c>
      <c r="B207" s="2">
        <f>RSI!B207</f>
        <v>5.6950000000000003</v>
      </c>
      <c r="C207" s="2">
        <f>RSI!I207</f>
        <v>42.58563569779372</v>
      </c>
      <c r="D207" s="2">
        <f>MACD!E207</f>
        <v>6.9652779144844246E-3</v>
      </c>
      <c r="E207" s="2">
        <f>MACD!F207</f>
        <v>9.2304285003714168E-3</v>
      </c>
      <c r="F207" s="2">
        <f>'Moving Avg'!D207</f>
        <v>5.6878000000000002</v>
      </c>
      <c r="G207" s="2">
        <f>'Moving Avg'!F207</f>
        <v>5.7032499999999988</v>
      </c>
      <c r="H207" s="2">
        <f>'Moving Avg'!G207</f>
        <v>5.7380800000000018</v>
      </c>
      <c r="I207" s="2">
        <f>'Moving Avg'!H207</f>
        <v>5.5790649999999911</v>
      </c>
      <c r="J207" s="5" t="str">
        <f>OBV!F207</f>
        <v>BEARISH</v>
      </c>
      <c r="K207" s="5" t="str">
        <f>OBV!G207</f>
        <v>NEUTRAL</v>
      </c>
      <c r="L207" s="5" t="str">
        <f>OBV!H207</f>
        <v>NEUTRAL</v>
      </c>
    </row>
    <row r="208" spans="1:12" ht="13.5" x14ac:dyDescent="0.25">
      <c r="A208" s="3">
        <f>RSI!A208</f>
        <v>45222</v>
      </c>
      <c r="B208" s="2">
        <f>RSI!B208</f>
        <v>5.6769999999999996</v>
      </c>
      <c r="C208" s="2">
        <f>RSI!I208</f>
        <v>36.102022991866086</v>
      </c>
      <c r="D208" s="2">
        <f>MACD!E208</f>
        <v>1.0116294249929325E-2</v>
      </c>
      <c r="E208" s="2">
        <f>MACD!F208</f>
        <v>9.4076016502829991E-3</v>
      </c>
      <c r="F208" s="2">
        <f>'Moving Avg'!D208</f>
        <v>5.6841999999999997</v>
      </c>
      <c r="G208" s="2">
        <f>'Moving Avg'!F208</f>
        <v>5.7001499999999981</v>
      </c>
      <c r="H208" s="2">
        <f>'Moving Avg'!G208</f>
        <v>5.7363000000000035</v>
      </c>
      <c r="I208" s="2">
        <f>'Moving Avg'!H208</f>
        <v>5.5811199999999914</v>
      </c>
      <c r="J208" s="5" t="str">
        <f>OBV!F208</f>
        <v>BEARISH</v>
      </c>
      <c r="K208" s="5" t="str">
        <f>OBV!G208</f>
        <v>STRONG</v>
      </c>
      <c r="L208" s="5" t="str">
        <f>OBV!H208</f>
        <v>CONFIRMED BEARISH</v>
      </c>
    </row>
    <row r="209" spans="1:12" ht="13.5" x14ac:dyDescent="0.25">
      <c r="A209" s="3">
        <f>RSI!A209</f>
        <v>45223</v>
      </c>
      <c r="B209" s="2">
        <f>RSI!B209</f>
        <v>5.6769999999999996</v>
      </c>
      <c r="C209" s="2">
        <f>RSI!I209</f>
        <v>36.102022991866086</v>
      </c>
      <c r="D209" s="2">
        <f>MACD!E209</f>
        <v>7.5865629543390156E-3</v>
      </c>
      <c r="E209" s="2">
        <f>MACD!F209</f>
        <v>9.0433939110942038E-3</v>
      </c>
      <c r="F209" s="2">
        <f>'Moving Avg'!D209</f>
        <v>5.6806000000000001</v>
      </c>
      <c r="G209" s="2">
        <f>'Moving Avg'!F209</f>
        <v>5.6974999999999962</v>
      </c>
      <c r="H209" s="2">
        <f>'Moving Avg'!G209</f>
        <v>5.7345200000000034</v>
      </c>
      <c r="I209" s="2">
        <f>'Moving Avg'!H209</f>
        <v>5.582749999999991</v>
      </c>
      <c r="J209" s="5" t="str">
        <f>OBV!F209</f>
        <v>BEARISH</v>
      </c>
      <c r="K209" s="5" t="str">
        <f>OBV!G209</f>
        <v>STRONG</v>
      </c>
      <c r="L209" s="5" t="str">
        <f>OBV!H209</f>
        <v>CONFIRMED BEARISH</v>
      </c>
    </row>
    <row r="210" spans="1:12" ht="13.5" x14ac:dyDescent="0.25">
      <c r="A210" s="3">
        <f>RSI!A210</f>
        <v>45224</v>
      </c>
      <c r="B210" s="2">
        <f>RSI!B210</f>
        <v>5.6769999999999996</v>
      </c>
      <c r="C210" s="2">
        <f>RSI!I210</f>
        <v>36.102022991866086</v>
      </c>
      <c r="D210" s="2">
        <f>MACD!E210</f>
        <v>5.6206872902233584E-3</v>
      </c>
      <c r="E210" s="2">
        <f>MACD!F210</f>
        <v>8.3588525869200351E-3</v>
      </c>
      <c r="F210" s="2">
        <f>'Moving Avg'!D210</f>
        <v>5.6806000000000001</v>
      </c>
      <c r="G210" s="2">
        <f>'Moving Avg'!F210</f>
        <v>5.694849999999998</v>
      </c>
      <c r="H210" s="2">
        <f>'Moving Avg'!G210</f>
        <v>5.7327400000000033</v>
      </c>
      <c r="I210" s="2">
        <f>'Moving Avg'!H210</f>
        <v>5.5843799999999906</v>
      </c>
      <c r="J210" s="5" t="str">
        <f>OBV!F210</f>
        <v>BULLISH</v>
      </c>
      <c r="K210" s="5" t="str">
        <f>OBV!G210</f>
        <v>NEUTRAL</v>
      </c>
      <c r="L210" s="5" t="str">
        <f>OBV!H210</f>
        <v>NEUTRAL</v>
      </c>
    </row>
    <row r="211" spans="1:12" ht="13.5" x14ac:dyDescent="0.25">
      <c r="A211" s="3">
        <f>RSI!A211</f>
        <v>45225</v>
      </c>
      <c r="B211" s="2">
        <f>RSI!B211</f>
        <v>5.6769999999999996</v>
      </c>
      <c r="C211" s="2">
        <f>RSI!I211</f>
        <v>36.102022991866086</v>
      </c>
      <c r="D211" s="2">
        <f>MACD!E211</f>
        <v>4.118982000215432E-3</v>
      </c>
      <c r="E211" s="2">
        <f>MACD!F211</f>
        <v>7.5108784695791147E-3</v>
      </c>
      <c r="F211" s="2">
        <f>'Moving Avg'!D211</f>
        <v>5.6806000000000001</v>
      </c>
      <c r="G211" s="2">
        <f>'Moving Avg'!F211</f>
        <v>5.6926499999999978</v>
      </c>
      <c r="H211" s="2">
        <f>'Moving Avg'!G211</f>
        <v>5.7309600000000032</v>
      </c>
      <c r="I211" s="2">
        <f>'Moving Avg'!H211</f>
        <v>5.5861799999999899</v>
      </c>
      <c r="J211" s="5" t="str">
        <f>OBV!F211</f>
        <v>BULLISH</v>
      </c>
      <c r="K211" s="5" t="str">
        <f>OBV!G211</f>
        <v>NEUTRAL</v>
      </c>
      <c r="L211" s="5" t="str">
        <f>OBV!H211</f>
        <v>NEUTRAL</v>
      </c>
    </row>
    <row r="212" spans="1:12" ht="13.5" x14ac:dyDescent="0.25">
      <c r="A212" s="3">
        <f>RSI!A212</f>
        <v>45226</v>
      </c>
      <c r="B212" s="2">
        <f>RSI!B212</f>
        <v>5.6769999999999996</v>
      </c>
      <c r="C212" s="2">
        <f>RSI!I212</f>
        <v>36.102022991866086</v>
      </c>
      <c r="D212" s="2">
        <f>MACD!E212</f>
        <v>4.3826717929409398E-3</v>
      </c>
      <c r="E212" s="2">
        <f>MACD!F212</f>
        <v>6.8852371342514795E-3</v>
      </c>
      <c r="F212" s="2">
        <f>'Moving Avg'!D212</f>
        <v>5.6769999999999996</v>
      </c>
      <c r="G212" s="2">
        <f>'Moving Avg'!F212</f>
        <v>5.6912999999999965</v>
      </c>
      <c r="H212" s="2">
        <f>'Moving Avg'!G212</f>
        <v>5.7293600000000033</v>
      </c>
      <c r="I212" s="2">
        <f>'Moving Avg'!H212</f>
        <v>5.5882349999999894</v>
      </c>
      <c r="J212" s="5" t="str">
        <f>OBV!F212</f>
        <v>BEARISH</v>
      </c>
      <c r="K212" s="5" t="str">
        <f>OBV!G212</f>
        <v>STRONG</v>
      </c>
      <c r="L212" s="5" t="str">
        <f>OBV!H212</f>
        <v>CONFIRMED BEARISH</v>
      </c>
    </row>
    <row r="213" spans="1:12" ht="13.5" x14ac:dyDescent="0.25">
      <c r="A213" s="3">
        <f>RSI!A213</f>
        <v>45229</v>
      </c>
      <c r="B213" s="2">
        <f>RSI!B213</f>
        <v>5.6769999999999996</v>
      </c>
      <c r="C213" s="2">
        <f>RSI!I213</f>
        <v>36.102022991866086</v>
      </c>
      <c r="D213" s="2">
        <f>MACD!E213</f>
        <v>4.7444495873225634E-3</v>
      </c>
      <c r="E213" s="2">
        <f>MACD!F213</f>
        <v>6.4570796248656966E-3</v>
      </c>
      <c r="F213" s="2">
        <f>'Moving Avg'!D213</f>
        <v>5.6769999999999996</v>
      </c>
      <c r="G213" s="2">
        <f>'Moving Avg'!F213</f>
        <v>5.689549999999997</v>
      </c>
      <c r="H213" s="2">
        <f>'Moving Avg'!G213</f>
        <v>5.7275800000000023</v>
      </c>
      <c r="I213" s="2">
        <f>'Moving Avg'!H213</f>
        <v>5.590074999999989</v>
      </c>
      <c r="J213" s="5" t="str">
        <f>OBV!F213</f>
        <v>NEUTRAL</v>
      </c>
      <c r="K213" s="5" t="str">
        <f>OBV!G213</f>
        <v>NEUTRAL</v>
      </c>
      <c r="L213" s="5" t="str">
        <f>OBV!H213</f>
        <v>NEUTRAL</v>
      </c>
    </row>
    <row r="214" spans="1:12" ht="13.5" x14ac:dyDescent="0.25">
      <c r="A214" s="3">
        <f>RSI!A214</f>
        <v>45230</v>
      </c>
      <c r="B214" s="2">
        <f>RSI!B214</f>
        <v>5.6769999999999996</v>
      </c>
      <c r="C214" s="2">
        <f>RSI!I214</f>
        <v>36.102022991866086</v>
      </c>
      <c r="D214" s="2">
        <f>MACD!E214</f>
        <v>5.1789541317823762E-3</v>
      </c>
      <c r="E214" s="2">
        <f>MACD!F214</f>
        <v>6.2014545262490334E-3</v>
      </c>
      <c r="F214" s="2">
        <f>'Moving Avg'!D214</f>
        <v>5.6769999999999996</v>
      </c>
      <c r="G214" s="2">
        <f>'Moving Avg'!F214</f>
        <v>5.6881999999999975</v>
      </c>
      <c r="H214" s="2">
        <f>'Moving Avg'!G214</f>
        <v>5.7258000000000031</v>
      </c>
      <c r="I214" s="2">
        <f>'Moving Avg'!H214</f>
        <v>5.5925549999999884</v>
      </c>
      <c r="J214" s="5" t="str">
        <f>OBV!F214</f>
        <v>NEUTRAL</v>
      </c>
      <c r="K214" s="5" t="str">
        <f>OBV!G214</f>
        <v>NEUTRAL</v>
      </c>
      <c r="L214" s="5" t="str">
        <f>OBV!H214</f>
        <v>NEUTRAL</v>
      </c>
    </row>
    <row r="215" spans="1:12" ht="13.5" x14ac:dyDescent="0.25">
      <c r="A215" s="3">
        <f>RSI!A215</f>
        <v>45231</v>
      </c>
      <c r="B215" s="2">
        <f>RSI!B215</f>
        <v>5.6239999999999997</v>
      </c>
      <c r="C215" s="2">
        <f>RSI!I215</f>
        <v>20.593300294188282</v>
      </c>
      <c r="D215" s="2">
        <f>MACD!E215</f>
        <v>6.8221818616951424E-3</v>
      </c>
      <c r="E215" s="2">
        <f>MACD!F215</f>
        <v>6.3255999933382557E-3</v>
      </c>
      <c r="F215" s="2">
        <f>'Moving Avg'!D215</f>
        <v>5.6663999999999994</v>
      </c>
      <c r="G215" s="2">
        <f>'Moving Avg'!F215</f>
        <v>5.684199999999997</v>
      </c>
      <c r="H215" s="2">
        <f>'Moving Avg'!G215</f>
        <v>5.7229600000000032</v>
      </c>
      <c r="I215" s="2">
        <f>'Moving Avg'!H215</f>
        <v>5.5935799999999896</v>
      </c>
      <c r="J215" s="5" t="str">
        <f>OBV!F215</f>
        <v>BEARISH</v>
      </c>
      <c r="K215" s="5" t="str">
        <f>OBV!G215</f>
        <v>STRONG</v>
      </c>
      <c r="L215" s="5" t="str">
        <f>OBV!H215</f>
        <v>CONFIRMED BEARISH</v>
      </c>
    </row>
    <row r="216" spans="1:12" ht="13.5" x14ac:dyDescent="0.25">
      <c r="A216" s="3">
        <f>RSI!A216</f>
        <v>45232</v>
      </c>
      <c r="B216" s="2">
        <f>RSI!B216</f>
        <v>5.633</v>
      </c>
      <c r="C216" s="2">
        <f>RSI!I216</f>
        <v>26.37704432299833</v>
      </c>
      <c r="D216" s="2">
        <f>MACD!E216</f>
        <v>7.9691872698983701E-3</v>
      </c>
      <c r="E216" s="2">
        <f>MACD!F216</f>
        <v>6.6543174486502791E-3</v>
      </c>
      <c r="F216" s="2">
        <f>'Moving Avg'!D216</f>
        <v>5.6575999999999995</v>
      </c>
      <c r="G216" s="2">
        <f>'Moving Avg'!F216</f>
        <v>5.6806499999999982</v>
      </c>
      <c r="H216" s="2">
        <f>'Moving Avg'!G216</f>
        <v>5.7196000000000016</v>
      </c>
      <c r="I216" s="2">
        <f>'Moving Avg'!H216</f>
        <v>5.5943949999999889</v>
      </c>
      <c r="J216" s="5" t="str">
        <f>OBV!F216</f>
        <v>BEARISH</v>
      </c>
      <c r="K216" s="5" t="str">
        <f>OBV!G216</f>
        <v>NEUTRAL</v>
      </c>
      <c r="L216" s="5" t="str">
        <f>OBV!H216</f>
        <v>CONFIRMED BEARISH</v>
      </c>
    </row>
    <row r="217" spans="1:12" ht="13.5" x14ac:dyDescent="0.25">
      <c r="A217" s="3">
        <f>RSI!A217</f>
        <v>45233</v>
      </c>
      <c r="B217" s="2">
        <f>RSI!B217</f>
        <v>5.6150000000000002</v>
      </c>
      <c r="C217" s="2">
        <f>RSI!I217</f>
        <v>22.800162873795557</v>
      </c>
      <c r="D217" s="2">
        <f>MACD!E217</f>
        <v>1.3381009885785389E-2</v>
      </c>
      <c r="E217" s="2">
        <f>MACD!F217</f>
        <v>7.9996559360773004E-3</v>
      </c>
      <c r="F217" s="2">
        <f>'Moving Avg'!D217</f>
        <v>5.6452</v>
      </c>
      <c r="G217" s="2">
        <f>'Moving Avg'!F217</f>
        <v>5.676199999999997</v>
      </c>
      <c r="H217" s="2">
        <f>'Moving Avg'!G217</f>
        <v>5.7158800000000021</v>
      </c>
      <c r="I217" s="2">
        <f>'Moving Avg'!H217</f>
        <v>5.5952899999999897</v>
      </c>
      <c r="J217" s="5" t="str">
        <f>OBV!F217</f>
        <v>BEARISH</v>
      </c>
      <c r="K217" s="5" t="str">
        <f>OBV!G217</f>
        <v>STRONG</v>
      </c>
      <c r="L217" s="5" t="str">
        <f>OBV!H217</f>
        <v>CONFIRMED BEARISH</v>
      </c>
    </row>
    <row r="218" spans="1:12" ht="13.5" x14ac:dyDescent="0.25">
      <c r="A218" s="3">
        <f>RSI!A218</f>
        <v>45236</v>
      </c>
      <c r="B218" s="2">
        <f>RSI!B218</f>
        <v>5.6150000000000002</v>
      </c>
      <c r="C218" s="2">
        <f>RSI!I218</f>
        <v>22.800162873795557</v>
      </c>
      <c r="D218" s="2">
        <f>MACD!E218</f>
        <v>1.5611001851100426E-2</v>
      </c>
      <c r="E218" s="2">
        <f>MACD!F218</f>
        <v>9.5219251190819254E-3</v>
      </c>
      <c r="F218" s="2">
        <f>'Moving Avg'!D218</f>
        <v>5.6328000000000005</v>
      </c>
      <c r="G218" s="2">
        <f>'Moving Avg'!F218</f>
        <v>5.6708999999999978</v>
      </c>
      <c r="H218" s="2">
        <f>'Moving Avg'!G218</f>
        <v>5.7121600000000008</v>
      </c>
      <c r="I218" s="2">
        <f>'Moving Avg'!H218</f>
        <v>5.5960549999999909</v>
      </c>
      <c r="J218" s="5" t="str">
        <f>OBV!F218</f>
        <v>BEARISH</v>
      </c>
      <c r="K218" s="5" t="str">
        <f>OBV!G218</f>
        <v>STRONG</v>
      </c>
      <c r="L218" s="5" t="str">
        <f>OBV!H218</f>
        <v>CONFIRMED BEARISH</v>
      </c>
    </row>
    <row r="219" spans="1:12" ht="13.5" x14ac:dyDescent="0.25">
      <c r="A219" s="3">
        <f>RSI!A219</f>
        <v>45237</v>
      </c>
      <c r="B219" s="2">
        <f>RSI!B219</f>
        <v>5.5880000000000001</v>
      </c>
      <c r="C219" s="2">
        <f>RSI!I219</f>
        <v>18.448136274853297</v>
      </c>
      <c r="D219" s="2">
        <f>MACD!E219</f>
        <v>1.9886796104825244E-2</v>
      </c>
      <c r="E219" s="2">
        <f>MACD!F219</f>
        <v>1.1594899316230589E-2</v>
      </c>
      <c r="F219" s="2">
        <f>'Moving Avg'!D219</f>
        <v>5.6150000000000002</v>
      </c>
      <c r="G219" s="2">
        <f>'Moving Avg'!F219</f>
        <v>5.6659999999999977</v>
      </c>
      <c r="H219" s="2">
        <f>'Moving Avg'!G219</f>
        <v>5.7079000000000004</v>
      </c>
      <c r="I219" s="2">
        <f>'Moving Avg'!H219</f>
        <v>5.596684999999991</v>
      </c>
      <c r="J219" s="5" t="str">
        <f>OBV!F219</f>
        <v>BEARISH</v>
      </c>
      <c r="K219" s="5" t="str">
        <f>OBV!G219</f>
        <v>STRONG</v>
      </c>
      <c r="L219" s="5" t="str">
        <f>OBV!H219</f>
        <v>CONFIRMED BEARISH</v>
      </c>
    </row>
    <row r="220" spans="1:12" ht="13.5" x14ac:dyDescent="0.25">
      <c r="A220" s="3">
        <f>RSI!A220</f>
        <v>45238</v>
      </c>
      <c r="B220" s="2">
        <f>RSI!B220</f>
        <v>5.5880000000000001</v>
      </c>
      <c r="C220" s="2">
        <f>RSI!I220</f>
        <v>18.448136274853297</v>
      </c>
      <c r="D220" s="2">
        <f>MACD!E220</f>
        <v>2.402439221694852E-2</v>
      </c>
      <c r="E220" s="2">
        <f>MACD!F220</f>
        <v>1.4080797896374175E-2</v>
      </c>
      <c r="F220" s="2">
        <f>'Moving Avg'!D220</f>
        <v>5.6078000000000001</v>
      </c>
      <c r="G220" s="2">
        <f>'Moving Avg'!F220</f>
        <v>5.6610999999999985</v>
      </c>
      <c r="H220" s="2">
        <f>'Moving Avg'!G220</f>
        <v>5.7040000000000006</v>
      </c>
      <c r="I220" s="2">
        <f>'Moving Avg'!H220</f>
        <v>5.5974449999999907</v>
      </c>
      <c r="J220" s="5" t="str">
        <f>OBV!F220</f>
        <v>BEARISH</v>
      </c>
      <c r="K220" s="5" t="str">
        <f>OBV!G220</f>
        <v>STRONG</v>
      </c>
      <c r="L220" s="5" t="str">
        <f>OBV!H220</f>
        <v>CONFIRMED BEARISH</v>
      </c>
    </row>
    <row r="221" spans="1:12" ht="13.5" x14ac:dyDescent="0.25">
      <c r="A221" s="3">
        <f>RSI!A221</f>
        <v>45239</v>
      </c>
      <c r="B221" s="2">
        <f>RSI!B221</f>
        <v>5.5880000000000001</v>
      </c>
      <c r="C221" s="2">
        <f>RSI!I221</f>
        <v>18.448136274853297</v>
      </c>
      <c r="D221" s="2">
        <f>MACD!E221</f>
        <v>2.8006561339357638E-2</v>
      </c>
      <c r="E221" s="2">
        <f>MACD!F221</f>
        <v>1.6865950584970868E-2</v>
      </c>
      <c r="F221" s="2">
        <f>'Moving Avg'!D221</f>
        <v>5.5988000000000007</v>
      </c>
      <c r="G221" s="2">
        <f>'Moving Avg'!F221</f>
        <v>5.6561999999999975</v>
      </c>
      <c r="H221" s="2">
        <f>'Moving Avg'!G221</f>
        <v>5.7001000000000008</v>
      </c>
      <c r="I221" s="2">
        <f>'Moving Avg'!H221</f>
        <v>5.5984149999999921</v>
      </c>
      <c r="J221" s="5" t="str">
        <f>OBV!F221</f>
        <v>BEARISH</v>
      </c>
      <c r="K221" s="5" t="str">
        <f>OBV!G221</f>
        <v>STRONG</v>
      </c>
      <c r="L221" s="5" t="str">
        <f>OBV!H221</f>
        <v>CONFIRMED BEARISH</v>
      </c>
    </row>
    <row r="222" spans="1:12" ht="13.5" x14ac:dyDescent="0.25">
      <c r="A222" s="3">
        <f>RSI!A222</f>
        <v>45240</v>
      </c>
      <c r="B222" s="2">
        <f>RSI!B222</f>
        <v>5.5880000000000001</v>
      </c>
      <c r="C222" s="2">
        <f>RSI!I222</f>
        <v>18.448136274853297</v>
      </c>
      <c r="D222" s="2">
        <f>MACD!E222</f>
        <v>3.1821576334529311E-2</v>
      </c>
      <c r="E222" s="2">
        <f>MACD!F222</f>
        <v>1.9857075734882559E-2</v>
      </c>
      <c r="F222" s="2">
        <f>'Moving Avg'!D222</f>
        <v>5.5934000000000008</v>
      </c>
      <c r="G222" s="2">
        <f>'Moving Avg'!F222</f>
        <v>5.6508499999999975</v>
      </c>
      <c r="H222" s="2">
        <f>'Moving Avg'!G222</f>
        <v>5.6965400000000015</v>
      </c>
      <c r="I222" s="2">
        <f>'Moving Avg'!H222</f>
        <v>5.5992599999999921</v>
      </c>
      <c r="J222" s="5" t="str">
        <f>OBV!F222</f>
        <v>BEARISH</v>
      </c>
      <c r="K222" s="5" t="str">
        <f>OBV!G222</f>
        <v>STRONG</v>
      </c>
      <c r="L222" s="5" t="str">
        <f>OBV!H222</f>
        <v>CONFIRMED BEARISH</v>
      </c>
    </row>
    <row r="223" spans="1:12" ht="13.5" x14ac:dyDescent="0.25">
      <c r="A223" s="3">
        <f>RSI!A223</f>
        <v>45243</v>
      </c>
      <c r="B223" s="2">
        <f>RSI!B223</f>
        <v>5.5789999999999997</v>
      </c>
      <c r="C223" s="2">
        <f>RSI!I223</f>
        <v>16.993810067114964</v>
      </c>
      <c r="D223" s="2">
        <f>MACD!E223</f>
        <v>3.6128820831208053E-2</v>
      </c>
      <c r="E223" s="2">
        <f>MACD!F223</f>
        <v>2.3111424754147659E-2</v>
      </c>
      <c r="F223" s="2">
        <f>'Moving Avg'!D223</f>
        <v>5.5861999999999998</v>
      </c>
      <c r="G223" s="2">
        <f>'Moving Avg'!F223</f>
        <v>5.6450499999999977</v>
      </c>
      <c r="H223" s="2">
        <f>'Moving Avg'!G223</f>
        <v>5.692800000000001</v>
      </c>
      <c r="I223" s="2">
        <f>'Moving Avg'!H223</f>
        <v>5.6005249999999922</v>
      </c>
      <c r="J223" s="5" t="str">
        <f>OBV!F223</f>
        <v>BEARISH</v>
      </c>
      <c r="K223" s="5" t="str">
        <f>OBV!G223</f>
        <v>STRONG</v>
      </c>
      <c r="L223" s="5" t="str">
        <f>OBV!H223</f>
        <v>CONFIRMED BEARISH</v>
      </c>
    </row>
    <row r="224" spans="1:12" ht="13.5" x14ac:dyDescent="0.25">
      <c r="A224" s="3">
        <f>RSI!A224</f>
        <v>45244</v>
      </c>
      <c r="B224" s="2">
        <f>RSI!B224</f>
        <v>5.5789999999999997</v>
      </c>
      <c r="C224" s="2">
        <f>RSI!I224</f>
        <v>16.993810067114964</v>
      </c>
      <c r="D224" s="2">
        <f>MACD!E224</f>
        <v>4.020852725075752E-2</v>
      </c>
      <c r="E224" s="2">
        <f>MACD!F224</f>
        <v>2.6530845253469632E-2</v>
      </c>
      <c r="F224" s="2">
        <f>'Moving Avg'!D224</f>
        <v>5.5844000000000005</v>
      </c>
      <c r="G224" s="2">
        <f>'Moving Avg'!F224</f>
        <v>5.6392499999999979</v>
      </c>
      <c r="H224" s="2">
        <f>'Moving Avg'!G224</f>
        <v>5.6892400000000007</v>
      </c>
      <c r="I224" s="2">
        <f>'Moving Avg'!H224</f>
        <v>5.6016649999999926</v>
      </c>
      <c r="J224" s="5" t="str">
        <f>OBV!F224</f>
        <v>BEARISH</v>
      </c>
      <c r="K224" s="5" t="str">
        <f>OBV!G224</f>
        <v>STRONG</v>
      </c>
      <c r="L224" s="5" t="str">
        <f>OBV!H224</f>
        <v>CONFIRMED BEARISH</v>
      </c>
    </row>
    <row r="225" spans="1:12" ht="13.5" x14ac:dyDescent="0.25">
      <c r="A225" s="3">
        <f>RSI!A225</f>
        <v>45245</v>
      </c>
      <c r="B225" s="2">
        <f>RSI!B225</f>
        <v>5.5789999999999997</v>
      </c>
      <c r="C225" s="2">
        <f>RSI!I225</f>
        <v>16.993810067114964</v>
      </c>
      <c r="D225" s="2">
        <f>MACD!E225</f>
        <v>3.5909624562361131E-2</v>
      </c>
      <c r="E225" s="2">
        <f>MACD!F225</f>
        <v>2.8406601115247933E-2</v>
      </c>
      <c r="F225" s="2">
        <f>'Moving Avg'!D225</f>
        <v>5.5826000000000002</v>
      </c>
      <c r="G225" s="2">
        <f>'Moving Avg'!F225</f>
        <v>5.6343499999999977</v>
      </c>
      <c r="H225" s="2">
        <f>'Moving Avg'!G225</f>
        <v>5.6856799999999996</v>
      </c>
      <c r="I225" s="2">
        <f>'Moving Avg'!H225</f>
        <v>5.6025499999999928</v>
      </c>
      <c r="J225" s="5" t="str">
        <f>OBV!F225</f>
        <v>BEARISH</v>
      </c>
      <c r="K225" s="5" t="str">
        <f>OBV!G225</f>
        <v>STRONG</v>
      </c>
      <c r="L225" s="5" t="str">
        <f>OBV!H225</f>
        <v>CONFIRMED BEARISH</v>
      </c>
    </row>
    <row r="226" spans="1:12" ht="13.5" x14ac:dyDescent="0.25">
      <c r="A226" s="3">
        <f>RSI!A226</f>
        <v>45246</v>
      </c>
      <c r="B226" s="2">
        <f>RSI!B226</f>
        <v>5.5880000000000001</v>
      </c>
      <c r="C226" s="2">
        <f>RSI!I226</f>
        <v>24.434090365269469</v>
      </c>
      <c r="D226" s="2">
        <f>MACD!E226</f>
        <v>3.3363081150513452E-2</v>
      </c>
      <c r="E226" s="2">
        <f>MACD!F226</f>
        <v>2.9397897122301037E-2</v>
      </c>
      <c r="F226" s="2">
        <f>'Moving Avg'!D226</f>
        <v>5.5826000000000002</v>
      </c>
      <c r="G226" s="2">
        <f>'Moving Avg'!F226</f>
        <v>5.6298999999999975</v>
      </c>
      <c r="H226" s="2">
        <f>'Moving Avg'!G226</f>
        <v>5.6823000000000006</v>
      </c>
      <c r="I226" s="2">
        <f>'Moving Avg'!H226</f>
        <v>5.6033499999999936</v>
      </c>
      <c r="J226" s="5" t="str">
        <f>OBV!F226</f>
        <v>BULLISH</v>
      </c>
      <c r="K226" s="5" t="str">
        <f>OBV!G226</f>
        <v>NEUTRAL</v>
      </c>
      <c r="L226" s="5" t="str">
        <f>OBV!H226</f>
        <v>NEUTRAL</v>
      </c>
    </row>
    <row r="227" spans="1:12" ht="13.5" x14ac:dyDescent="0.25">
      <c r="A227" s="3">
        <f>RSI!A227</f>
        <v>45247</v>
      </c>
      <c r="B227" s="2">
        <f>RSI!B227</f>
        <v>5.5880000000000001</v>
      </c>
      <c r="C227" s="2">
        <f>RSI!I227</f>
        <v>24.434090365269469</v>
      </c>
      <c r="D227" s="2">
        <f>MACD!E227</f>
        <v>2.8731309746354405E-2</v>
      </c>
      <c r="E227" s="2">
        <f>MACD!F227</f>
        <v>2.926457964711171E-2</v>
      </c>
      <c r="F227" s="2">
        <f>'Moving Avg'!D227</f>
        <v>5.5826000000000002</v>
      </c>
      <c r="G227" s="2">
        <f>'Moving Avg'!F227</f>
        <v>5.6245499999999975</v>
      </c>
      <c r="H227" s="2">
        <f>'Moving Avg'!G227</f>
        <v>5.6789199999999997</v>
      </c>
      <c r="I227" s="2">
        <f>'Moving Avg'!H227</f>
        <v>5.6041499999999935</v>
      </c>
      <c r="J227" s="5" t="str">
        <f>OBV!F227</f>
        <v>BULLISH</v>
      </c>
      <c r="K227" s="5" t="str">
        <f>OBV!G227</f>
        <v>NEUTRAL</v>
      </c>
      <c r="L227" s="5" t="str">
        <f>OBV!H227</f>
        <v>NEUTRAL</v>
      </c>
    </row>
    <row r="228" spans="1:12" ht="13.5" x14ac:dyDescent="0.25">
      <c r="A228" s="3">
        <f>RSI!A228</f>
        <v>45250</v>
      </c>
      <c r="B228" s="2">
        <f>RSI!B228</f>
        <v>5.5880000000000001</v>
      </c>
      <c r="C228" s="2">
        <f>RSI!I228</f>
        <v>24.434090365269469</v>
      </c>
      <c r="D228" s="2">
        <f>MACD!E228</f>
        <v>2.5082698991000463E-2</v>
      </c>
      <c r="E228" s="2">
        <f>MACD!F228</f>
        <v>2.8428203515889462E-2</v>
      </c>
      <c r="F228" s="2">
        <f>'Moving Avg'!D228</f>
        <v>5.5844000000000005</v>
      </c>
      <c r="G228" s="2">
        <f>'Moving Avg'!F228</f>
        <v>5.6200999999999981</v>
      </c>
      <c r="H228" s="2">
        <f>'Moving Avg'!G228</f>
        <v>5.6755399999999998</v>
      </c>
      <c r="I228" s="2">
        <f>'Moving Avg'!H228</f>
        <v>5.6049499999999943</v>
      </c>
      <c r="J228" s="5" t="str">
        <f>OBV!F228</f>
        <v>BULLISH</v>
      </c>
      <c r="K228" s="5" t="str">
        <f>OBV!G228</f>
        <v>WEAK</v>
      </c>
      <c r="L228" s="5" t="str">
        <f>OBV!H228</f>
        <v>CONFIRMED BULLISH</v>
      </c>
    </row>
    <row r="229" spans="1:12" ht="13.5" x14ac:dyDescent="0.25">
      <c r="A229" s="3">
        <f>RSI!A229</f>
        <v>45251</v>
      </c>
      <c r="B229" s="2">
        <f>RSI!B229</f>
        <v>5.5709999999999997</v>
      </c>
      <c r="C229" s="2">
        <f>RSI!I229</f>
        <v>20.169037222877265</v>
      </c>
      <c r="D229" s="2">
        <f>MACD!E229</f>
        <v>1.9351363510413222E-2</v>
      </c>
      <c r="E229" s="2">
        <f>MACD!F229</f>
        <v>2.6612835514794216E-2</v>
      </c>
      <c r="F229" s="2">
        <f>'Moving Avg'!D229</f>
        <v>5.5828000000000007</v>
      </c>
      <c r="G229" s="2">
        <f>'Moving Avg'!F229</f>
        <v>5.614799999999998</v>
      </c>
      <c r="H229" s="2">
        <f>'Moving Avg'!G229</f>
        <v>5.6718200000000003</v>
      </c>
      <c r="I229" s="2">
        <f>'Moving Avg'!H229</f>
        <v>5.6056649999999957</v>
      </c>
      <c r="J229" s="5" t="str">
        <f>OBV!F229</f>
        <v>BULLISH</v>
      </c>
      <c r="K229" s="5" t="str">
        <f>OBV!G229</f>
        <v>NEUTRAL</v>
      </c>
      <c r="L229" s="5" t="str">
        <f>OBV!H229</f>
        <v>BULLISH DIVERGENCE</v>
      </c>
    </row>
    <row r="230" spans="1:12" ht="13.5" x14ac:dyDescent="0.25">
      <c r="A230" s="3">
        <f>RSI!A230</f>
        <v>45252</v>
      </c>
      <c r="B230" s="2">
        <f>RSI!B230</f>
        <v>5.5789999999999997</v>
      </c>
      <c r="C230" s="2">
        <f>RSI!I230</f>
        <v>26.657059577301567</v>
      </c>
      <c r="D230" s="2">
        <f>MACD!E230</f>
        <v>1.4241612196443931E-2</v>
      </c>
      <c r="E230" s="2">
        <f>MACD!F230</f>
        <v>2.4138590851124159E-2</v>
      </c>
      <c r="F230" s="2">
        <f>'Moving Avg'!D230</f>
        <v>5.5828000000000007</v>
      </c>
      <c r="G230" s="2">
        <f>'Moving Avg'!F230</f>
        <v>5.6098999999999979</v>
      </c>
      <c r="H230" s="2">
        <f>'Moving Avg'!G230</f>
        <v>5.6682600000000001</v>
      </c>
      <c r="I230" s="2">
        <f>'Moving Avg'!H230</f>
        <v>5.6065899999999953</v>
      </c>
      <c r="J230" s="5" t="str">
        <f>OBV!F230</f>
        <v>BULLISH</v>
      </c>
      <c r="K230" s="5" t="str">
        <f>OBV!G230</f>
        <v>WEAK</v>
      </c>
      <c r="L230" s="5" t="str">
        <f>OBV!H230</f>
        <v>NEUTRAL</v>
      </c>
    </row>
    <row r="231" spans="1:12" ht="13.5" x14ac:dyDescent="0.25">
      <c r="A231" s="3">
        <f>RSI!A231</f>
        <v>45253</v>
      </c>
      <c r="B231" s="2">
        <f>RSI!B231</f>
        <v>5.5709999999999997</v>
      </c>
      <c r="C231" s="2">
        <f>RSI!I231</f>
        <v>24.511704573347416</v>
      </c>
      <c r="D231" s="2">
        <f>MACD!E231</f>
        <v>1.0771104902633333E-2</v>
      </c>
      <c r="E231" s="2">
        <f>MACD!F231</f>
        <v>2.1465093661425995E-2</v>
      </c>
      <c r="F231" s="2">
        <f>'Moving Avg'!D231</f>
        <v>5.5793999999999997</v>
      </c>
      <c r="G231" s="2">
        <f>'Moving Avg'!F231</f>
        <v>5.6045999999999978</v>
      </c>
      <c r="H231" s="2">
        <f>'Moving Avg'!G231</f>
        <v>5.66472</v>
      </c>
      <c r="I231" s="2">
        <f>'Moving Avg'!H231</f>
        <v>5.6075199999999947</v>
      </c>
      <c r="J231" s="5" t="str">
        <f>OBV!F231</f>
        <v>BEARISH</v>
      </c>
      <c r="K231" s="5" t="str">
        <f>OBV!G231</f>
        <v>STRONG</v>
      </c>
      <c r="L231" s="5" t="str">
        <f>OBV!H231</f>
        <v>CONFIRMED BEARISH</v>
      </c>
    </row>
    <row r="232" spans="1:12" ht="13.5" x14ac:dyDescent="0.25">
      <c r="A232" s="3">
        <f>RSI!A232</f>
        <v>45254</v>
      </c>
      <c r="B232" s="2">
        <f>RSI!B232</f>
        <v>5.5620000000000003</v>
      </c>
      <c r="C232" s="2">
        <f>RSI!I232</f>
        <v>22.334038015104014</v>
      </c>
      <c r="D232" s="2">
        <f>MACD!E232</f>
        <v>8.7896977077379645E-3</v>
      </c>
      <c r="E232" s="2">
        <f>MACD!F232</f>
        <v>1.893001447068839E-2</v>
      </c>
      <c r="F232" s="2">
        <f>'Moving Avg'!D232</f>
        <v>5.5741999999999994</v>
      </c>
      <c r="G232" s="2">
        <f>'Moving Avg'!F232</f>
        <v>5.5988499999999979</v>
      </c>
      <c r="H232" s="2">
        <f>'Moving Avg'!G232</f>
        <v>5.661179999999999</v>
      </c>
      <c r="I232" s="2">
        <f>'Moving Avg'!H232</f>
        <v>5.6088299999999958</v>
      </c>
      <c r="J232" s="5" t="str">
        <f>OBV!F232</f>
        <v>BEARISH</v>
      </c>
      <c r="K232" s="5" t="str">
        <f>OBV!G232</f>
        <v>STRONG</v>
      </c>
      <c r="L232" s="5" t="str">
        <f>OBV!H232</f>
        <v>CONFIRMED BEARISH</v>
      </c>
    </row>
    <row r="233" spans="1:12" ht="13.5" x14ac:dyDescent="0.25">
      <c r="A233" s="3">
        <f>RSI!A233</f>
        <v>45257</v>
      </c>
      <c r="B233" s="2">
        <f>RSI!B233</f>
        <v>5.5620000000000003</v>
      </c>
      <c r="C233" s="2">
        <f>RSI!I233</f>
        <v>22.334038015104014</v>
      </c>
      <c r="D233" s="2">
        <f>MACD!E233</f>
        <v>6.0488265697680177E-3</v>
      </c>
      <c r="E233" s="2">
        <f>MACD!F233</f>
        <v>1.6353776890504317E-2</v>
      </c>
      <c r="F233" s="2">
        <f>'Moving Avg'!D233</f>
        <v>5.569</v>
      </c>
      <c r="G233" s="2">
        <f>'Moving Avg'!F233</f>
        <v>5.593099999999998</v>
      </c>
      <c r="H233" s="2">
        <f>'Moving Avg'!G233</f>
        <v>5.6576399999999998</v>
      </c>
      <c r="I233" s="2">
        <f>'Moving Avg'!H233</f>
        <v>5.6107349999999947</v>
      </c>
      <c r="J233" s="5" t="str">
        <f>OBV!F233</f>
        <v>BEARISH</v>
      </c>
      <c r="K233" s="5" t="str">
        <f>OBV!G233</f>
        <v>STRONG</v>
      </c>
      <c r="L233" s="5" t="str">
        <f>OBV!H233</f>
        <v>CONFIRMED BEARISH</v>
      </c>
    </row>
    <row r="234" spans="1:12" ht="13.5" x14ac:dyDescent="0.25">
      <c r="A234" s="3">
        <f>RSI!A234</f>
        <v>45258</v>
      </c>
      <c r="B234" s="2">
        <f>RSI!B234</f>
        <v>5.5529999999999999</v>
      </c>
      <c r="C234" s="2">
        <f>RSI!I234</f>
        <v>20.247794675894482</v>
      </c>
      <c r="D234" s="2">
        <f>MACD!E234</f>
        <v>4.6928867714175482E-3</v>
      </c>
      <c r="E234" s="2">
        <f>MACD!F234</f>
        <v>1.4021598866686963E-2</v>
      </c>
      <c r="F234" s="2">
        <f>'Moving Avg'!D234</f>
        <v>5.5654000000000003</v>
      </c>
      <c r="G234" s="2">
        <f>'Moving Avg'!F234</f>
        <v>5.5868999999999982</v>
      </c>
      <c r="H234" s="2">
        <f>'Moving Avg'!G234</f>
        <v>5.6544599999999994</v>
      </c>
      <c r="I234" s="2">
        <f>'Moving Avg'!H234</f>
        <v>5.6124249999999947</v>
      </c>
      <c r="J234" s="5" t="str">
        <f>OBV!F234</f>
        <v>BEARISH</v>
      </c>
      <c r="K234" s="5" t="str">
        <f>OBV!G234</f>
        <v>STRONG</v>
      </c>
      <c r="L234" s="5" t="str">
        <f>OBV!H234</f>
        <v>CONFIRMED BEARISH</v>
      </c>
    </row>
    <row r="235" spans="1:12" ht="13.5" x14ac:dyDescent="0.25">
      <c r="A235" s="3">
        <f>RSI!A235</f>
        <v>45259</v>
      </c>
      <c r="B235" s="2">
        <f>RSI!B235</f>
        <v>5.5620000000000003</v>
      </c>
      <c r="C235" s="2">
        <f>RSI!I235</f>
        <v>27.537282462105523</v>
      </c>
      <c r="D235" s="2">
        <f>MACD!E235</f>
        <v>3.206690214062391E-3</v>
      </c>
      <c r="E235" s="2">
        <f>MACD!F235</f>
        <v>1.1858617136162049E-2</v>
      </c>
      <c r="F235" s="2">
        <f>'Moving Avg'!D235</f>
        <v>5.5620000000000003</v>
      </c>
      <c r="G235" s="2">
        <f>'Moving Avg'!F235</f>
        <v>5.5837999999999983</v>
      </c>
      <c r="H235" s="2">
        <f>'Moving Avg'!G235</f>
        <v>5.651279999999999</v>
      </c>
      <c r="I235" s="2">
        <f>'Moving Avg'!H235</f>
        <v>5.614199999999995</v>
      </c>
      <c r="J235" s="5" t="str">
        <f>OBV!F235</f>
        <v>BEARISH</v>
      </c>
      <c r="K235" s="5" t="str">
        <f>OBV!G235</f>
        <v>STRONG</v>
      </c>
      <c r="L235" s="5" t="str">
        <f>OBV!H235</f>
        <v>CONFIRMED BEARISH</v>
      </c>
    </row>
    <row r="236" spans="1:12" ht="13.5" x14ac:dyDescent="0.25">
      <c r="A236" s="3">
        <f>RSI!A236</f>
        <v>45260</v>
      </c>
      <c r="B236" s="2">
        <f>RSI!B236</f>
        <v>5.5439999999999996</v>
      </c>
      <c r="C236" s="2">
        <f>RSI!I236</f>
        <v>23.007839198524451</v>
      </c>
      <c r="D236" s="2">
        <f>MACD!E236</f>
        <v>4.9174286353474983E-3</v>
      </c>
      <c r="E236" s="2">
        <f>MACD!F236</f>
        <v>1.047037943599914E-2</v>
      </c>
      <c r="F236" s="2">
        <f>'Moving Avg'!D236</f>
        <v>5.5566000000000004</v>
      </c>
      <c r="G236" s="2">
        <f>'Moving Avg'!F236</f>
        <v>5.5793499999999989</v>
      </c>
      <c r="H236" s="2">
        <f>'Moving Avg'!G236</f>
        <v>5.6477399999999989</v>
      </c>
      <c r="I236" s="2">
        <f>'Moving Avg'!H236</f>
        <v>5.6160149999999964</v>
      </c>
      <c r="J236" s="5" t="str">
        <f>OBV!F236</f>
        <v>BEARISH</v>
      </c>
      <c r="K236" s="5" t="str">
        <f>OBV!G236</f>
        <v>STRONG</v>
      </c>
      <c r="L236" s="5" t="str">
        <f>OBV!H236</f>
        <v>CONFIRMED BEARISH</v>
      </c>
    </row>
    <row r="237" spans="1:12" ht="13.5" x14ac:dyDescent="0.25">
      <c r="A237" s="3">
        <f>RSI!A237</f>
        <v>45261</v>
      </c>
      <c r="B237" s="2">
        <f>RSI!B237</f>
        <v>5.5350000000000001</v>
      </c>
      <c r="C237" s="2">
        <f>RSI!I237</f>
        <v>21.135870542999186</v>
      </c>
      <c r="D237" s="2">
        <f>MACD!E237</f>
        <v>7.3698028556092865E-3</v>
      </c>
      <c r="E237" s="2">
        <f>MACD!F237</f>
        <v>9.8502641199211694E-3</v>
      </c>
      <c r="F237" s="2">
        <f>'Moving Avg'!D237</f>
        <v>5.5511999999999997</v>
      </c>
      <c r="G237" s="2">
        <f>'Moving Avg'!F237</f>
        <v>5.5753499999999985</v>
      </c>
      <c r="H237" s="2">
        <f>'Moving Avg'!G237</f>
        <v>5.6436599999999988</v>
      </c>
      <c r="I237" s="2">
        <f>'Moving Avg'!H237</f>
        <v>5.6178249999999972</v>
      </c>
      <c r="J237" s="5" t="str">
        <f>OBV!F237</f>
        <v>BEARISH</v>
      </c>
      <c r="K237" s="5" t="str">
        <f>OBV!G237</f>
        <v>STRONG</v>
      </c>
      <c r="L237" s="5" t="str">
        <f>OBV!H237</f>
        <v>CONFIRMED BEARISH</v>
      </c>
    </row>
    <row r="238" spans="1:12" ht="13.5" x14ac:dyDescent="0.25">
      <c r="A238" s="3">
        <f>RSI!A238</f>
        <v>45264</v>
      </c>
      <c r="B238" s="2">
        <f>RSI!B238</f>
        <v>5.5350000000000001</v>
      </c>
      <c r="C238" s="2">
        <f>RSI!I238</f>
        <v>21.135870542999186</v>
      </c>
      <c r="D238" s="2">
        <f>MACD!E238</f>
        <v>9.8111809158645258E-3</v>
      </c>
      <c r="E238" s="2">
        <f>MACD!F238</f>
        <v>9.842447479109841E-3</v>
      </c>
      <c r="F238" s="2">
        <f>'Moving Avg'!D238</f>
        <v>5.5457999999999998</v>
      </c>
      <c r="G238" s="2">
        <f>'Moving Avg'!F238</f>
        <v>5.5713499999999989</v>
      </c>
      <c r="H238" s="2">
        <f>'Moving Avg'!G238</f>
        <v>5.6395799999999996</v>
      </c>
      <c r="I238" s="2">
        <f>'Moving Avg'!H238</f>
        <v>5.6196799999999971</v>
      </c>
      <c r="J238" s="5" t="str">
        <f>OBV!F238</f>
        <v>BEARISH</v>
      </c>
      <c r="K238" s="5" t="str">
        <f>OBV!G238</f>
        <v>STRONG</v>
      </c>
      <c r="L238" s="5" t="str">
        <f>OBV!H238</f>
        <v>CONFIRMED BEARISH</v>
      </c>
    </row>
    <row r="239" spans="1:12" ht="13.5" x14ac:dyDescent="0.25">
      <c r="A239" s="3">
        <f>RSI!A239</f>
        <v>45265</v>
      </c>
      <c r="B239" s="2">
        <f>RSI!B239</f>
        <v>5.5259999999999998</v>
      </c>
      <c r="C239" s="2">
        <f>RSI!I239</f>
        <v>19.313437103924386</v>
      </c>
      <c r="D239" s="2">
        <f>MACD!E239</f>
        <v>1.0267403830128252E-2</v>
      </c>
      <c r="E239" s="2">
        <f>MACD!F239</f>
        <v>9.9274387493135247E-3</v>
      </c>
      <c r="F239" s="2">
        <f>'Moving Avg'!D239</f>
        <v>5.5404</v>
      </c>
      <c r="G239" s="2">
        <f>'Moving Avg'!F239</f>
        <v>5.568249999999999</v>
      </c>
      <c r="H239" s="2">
        <f>'Moving Avg'!G239</f>
        <v>5.6354999999999995</v>
      </c>
      <c r="I239" s="2">
        <f>'Moving Avg'!H239</f>
        <v>5.6214049999999975</v>
      </c>
      <c r="J239" s="5" t="str">
        <f>OBV!F239</f>
        <v>BEARISH</v>
      </c>
      <c r="K239" s="5" t="str">
        <f>OBV!G239</f>
        <v>STRONG</v>
      </c>
      <c r="L239" s="5" t="str">
        <f>OBV!H239</f>
        <v>CONFIRMED BEARISH</v>
      </c>
    </row>
    <row r="240" spans="1:12" ht="13.5" x14ac:dyDescent="0.25">
      <c r="A240" s="3">
        <f>RSI!A240</f>
        <v>45266</v>
      </c>
      <c r="B240" s="2">
        <f>RSI!B240</f>
        <v>5.5259999999999998</v>
      </c>
      <c r="C240" s="2">
        <f>RSI!I240</f>
        <v>19.313437103924386</v>
      </c>
      <c r="D240" s="2">
        <f>MACD!E240</f>
        <v>1.2251425727854759E-2</v>
      </c>
      <c r="E240" s="2">
        <f>MACD!F240</f>
        <v>1.0392236145021772E-2</v>
      </c>
      <c r="F240" s="2">
        <f>'Moving Avg'!D240</f>
        <v>5.5331999999999999</v>
      </c>
      <c r="G240" s="2">
        <f>'Moving Avg'!F240</f>
        <v>5.5651499999999983</v>
      </c>
      <c r="H240" s="2">
        <f>'Moving Avg'!G240</f>
        <v>5.6314200000000003</v>
      </c>
      <c r="I240" s="2">
        <f>'Moving Avg'!H240</f>
        <v>5.6232149999999983</v>
      </c>
      <c r="J240" s="5" t="str">
        <f>OBV!F240</f>
        <v>BEARISH</v>
      </c>
      <c r="K240" s="5" t="str">
        <f>OBV!G240</f>
        <v>STRONG</v>
      </c>
      <c r="L240" s="5" t="str">
        <f>OBV!H240</f>
        <v>CONFIRMED BEARISH</v>
      </c>
    </row>
    <row r="241" spans="1:12" ht="13.5" x14ac:dyDescent="0.25">
      <c r="A241" s="3">
        <f>RSI!A241</f>
        <v>45267</v>
      </c>
      <c r="B241" s="2">
        <f>RSI!B241</f>
        <v>5.5259999999999998</v>
      </c>
      <c r="C241" s="2">
        <f>RSI!I241</f>
        <v>19.313437103924386</v>
      </c>
      <c r="D241" s="2">
        <f>MACD!E241</f>
        <v>1.3039460824616711E-2</v>
      </c>
      <c r="E241" s="2">
        <f>MACD!F241</f>
        <v>1.092168108094076E-2</v>
      </c>
      <c r="F241" s="2">
        <f>'Moving Avg'!D241</f>
        <v>5.5296000000000003</v>
      </c>
      <c r="G241" s="2">
        <f>'Moving Avg'!F241</f>
        <v>5.5620499999999984</v>
      </c>
      <c r="H241" s="2">
        <f>'Moving Avg'!G241</f>
        <v>5.6275200000000005</v>
      </c>
      <c r="I241" s="2">
        <f>'Moving Avg'!H241</f>
        <v>5.6250249999999982</v>
      </c>
      <c r="J241" s="5" t="str">
        <f>OBV!F241</f>
        <v>BEARISH</v>
      </c>
      <c r="K241" s="5" t="str">
        <f>OBV!G241</f>
        <v>STRONG</v>
      </c>
      <c r="L241" s="5" t="str">
        <f>OBV!H241</f>
        <v>CONFIRMED BEARISH</v>
      </c>
    </row>
    <row r="242" spans="1:12" ht="13.5" x14ac:dyDescent="0.25">
      <c r="A242" s="3">
        <f>RSI!A242</f>
        <v>45268</v>
      </c>
      <c r="B242" s="2">
        <f>RSI!B242</f>
        <v>5.5259999999999998</v>
      </c>
      <c r="C242" s="2">
        <f>RSI!I242</f>
        <v>19.313437103924386</v>
      </c>
      <c r="D242" s="2">
        <f>MACD!E242</f>
        <v>1.2636474523508134E-2</v>
      </c>
      <c r="E242" s="2">
        <f>MACD!F242</f>
        <v>1.1264639769454236E-2</v>
      </c>
      <c r="F242" s="2">
        <f>'Moving Avg'!D242</f>
        <v>5.5278</v>
      </c>
      <c r="G242" s="2">
        <f>'Moving Avg'!F242</f>
        <v>5.5589499999999976</v>
      </c>
      <c r="H242" s="2">
        <f>'Moving Avg'!G242</f>
        <v>5.6239600000000003</v>
      </c>
      <c r="I242" s="2">
        <f>'Moving Avg'!H242</f>
        <v>5.6268349999999998</v>
      </c>
      <c r="J242" s="5" t="str">
        <f>OBV!F242</f>
        <v>BEARISH</v>
      </c>
      <c r="K242" s="5" t="str">
        <f>OBV!G242</f>
        <v>STRONG</v>
      </c>
      <c r="L242" s="5" t="str">
        <f>OBV!H242</f>
        <v>CONFIRMED BEARISH</v>
      </c>
    </row>
    <row r="243" spans="1:12" ht="13.5" x14ac:dyDescent="0.25">
      <c r="A243" s="3">
        <f>RSI!A243</f>
        <v>45271</v>
      </c>
      <c r="B243" s="2">
        <f>RSI!B243</f>
        <v>5.5</v>
      </c>
      <c r="C243" s="2">
        <f>RSI!I243</f>
        <v>14.466523452887941</v>
      </c>
      <c r="D243" s="2">
        <f>MACD!E243</f>
        <v>1.4512921444024052E-2</v>
      </c>
      <c r="E243" s="2">
        <f>MACD!F243</f>
        <v>1.1914296104368199E-2</v>
      </c>
      <c r="F243" s="2">
        <f>'Moving Avg'!D243</f>
        <v>5.5207999999999995</v>
      </c>
      <c r="G243" s="2">
        <f>'Moving Avg'!F243</f>
        <v>5.5549999999999979</v>
      </c>
      <c r="H243" s="2">
        <f>'Moving Avg'!G243</f>
        <v>5.61972</v>
      </c>
      <c r="I243" s="2">
        <f>'Moving Avg'!H243</f>
        <v>5.6285150000000002</v>
      </c>
      <c r="J243" s="5" t="str">
        <f>OBV!F243</f>
        <v>BEARISH</v>
      </c>
      <c r="K243" s="5" t="str">
        <f>OBV!G243</f>
        <v>STRONG</v>
      </c>
      <c r="L243" s="5" t="str">
        <f>OBV!H243</f>
        <v>CONFIRMED BEARISH</v>
      </c>
    </row>
    <row r="244" spans="1:12" ht="13.5" x14ac:dyDescent="0.25">
      <c r="A244" s="3">
        <f>RSI!A244</f>
        <v>45272</v>
      </c>
      <c r="B244" s="2">
        <f>RSI!B244</f>
        <v>5.4109999999999996</v>
      </c>
      <c r="C244" s="2">
        <f>RSI!I244</f>
        <v>7.5145339634650838</v>
      </c>
      <c r="D244" s="2">
        <f>MACD!E244</f>
        <v>2.1732212661591532E-2</v>
      </c>
      <c r="E244" s="2">
        <f>MACD!F244</f>
        <v>1.3877879415812866E-2</v>
      </c>
      <c r="F244" s="2">
        <f>'Moving Avg'!D244</f>
        <v>5.4977999999999998</v>
      </c>
      <c r="G244" s="2">
        <f>'Moving Avg'!F244</f>
        <v>5.5465999999999989</v>
      </c>
      <c r="H244" s="2">
        <f>'Moving Avg'!G244</f>
        <v>5.6138599999999999</v>
      </c>
      <c r="I244" s="2">
        <f>'Moving Avg'!H244</f>
        <v>5.629789999999999</v>
      </c>
      <c r="J244" s="5" t="str">
        <f>OBV!F244</f>
        <v>BEARISH</v>
      </c>
      <c r="K244" s="5" t="str">
        <f>OBV!G244</f>
        <v>STRONG</v>
      </c>
      <c r="L244" s="5" t="str">
        <f>OBV!H244</f>
        <v>CONFIRMED BEARISH</v>
      </c>
    </row>
    <row r="245" spans="1:12" ht="13.5" x14ac:dyDescent="0.25">
      <c r="A245" s="3">
        <f>RSI!A245</f>
        <v>45273</v>
      </c>
      <c r="B245" s="2">
        <f>RSI!B245</f>
        <v>5.4020000000000001</v>
      </c>
      <c r="C245" s="2">
        <f>RSI!I245</f>
        <v>7.140827458880068</v>
      </c>
      <c r="D245" s="2">
        <f>MACD!E245</f>
        <v>3.0810207630779018E-2</v>
      </c>
      <c r="E245" s="2">
        <f>MACD!F245</f>
        <v>1.7264345058806096E-2</v>
      </c>
      <c r="F245" s="2">
        <f>'Moving Avg'!D245</f>
        <v>5.4730000000000008</v>
      </c>
      <c r="G245" s="2">
        <f>'Moving Avg'!F245</f>
        <v>5.5377499999999982</v>
      </c>
      <c r="H245" s="2">
        <f>'Moving Avg'!G245</f>
        <v>5.6078199999999994</v>
      </c>
      <c r="I245" s="2">
        <f>'Moving Avg'!H245</f>
        <v>5.6310199999999995</v>
      </c>
      <c r="J245" s="5" t="str">
        <f>OBV!F245</f>
        <v>BEARISH</v>
      </c>
      <c r="K245" s="5" t="str">
        <f>OBV!G245</f>
        <v>STRONG</v>
      </c>
      <c r="L245" s="5" t="str">
        <f>OBV!H245</f>
        <v>CONFIRMED BEARISH</v>
      </c>
    </row>
    <row r="246" spans="1:12" ht="13.5" x14ac:dyDescent="0.25">
      <c r="A246" s="3">
        <f>RSI!A246</f>
        <v>45274</v>
      </c>
      <c r="B246" s="2">
        <f>RSI!B246</f>
        <v>5.4459999999999997</v>
      </c>
      <c r="C246" s="2">
        <f>RSI!I246</f>
        <v>26.409268403145902</v>
      </c>
      <c r="D246" s="2">
        <f>MACD!E246</f>
        <v>3.3366355169250461E-2</v>
      </c>
      <c r="E246" s="2">
        <f>MACD!F246</f>
        <v>2.0484747080894969E-2</v>
      </c>
      <c r="F246" s="2">
        <f>'Moving Avg'!D246</f>
        <v>5.456999999999999</v>
      </c>
      <c r="G246" s="2">
        <f>'Moving Avg'!F246</f>
        <v>5.5306499999999987</v>
      </c>
      <c r="H246" s="2">
        <f>'Moving Avg'!G246</f>
        <v>5.6026600000000011</v>
      </c>
      <c r="I246" s="2">
        <f>'Moving Avg'!H246</f>
        <v>5.6324699999999996</v>
      </c>
      <c r="J246" s="5" t="str">
        <f>OBV!F246</f>
        <v>BEARISH</v>
      </c>
      <c r="K246" s="5" t="str">
        <f>OBV!G246</f>
        <v>STRONG</v>
      </c>
      <c r="L246" s="5" t="str">
        <f>OBV!H246</f>
        <v>CONFIRMED BEARISH</v>
      </c>
    </row>
    <row r="247" spans="1:12" ht="13.5" x14ac:dyDescent="0.25">
      <c r="A247" s="3">
        <f>RSI!A247</f>
        <v>45275</v>
      </c>
      <c r="B247" s="2">
        <f>RSI!B247</f>
        <v>5.4290000000000003</v>
      </c>
      <c r="C247" s="2">
        <f>RSI!I247</f>
        <v>24.310357335163019</v>
      </c>
      <c r="D247" s="2">
        <f>MACD!E247</f>
        <v>3.5980244492333391E-2</v>
      </c>
      <c r="E247" s="2">
        <f>MACD!F247</f>
        <v>2.3583846563182655E-2</v>
      </c>
      <c r="F247" s="2">
        <f>'Moving Avg'!D247</f>
        <v>5.4376000000000007</v>
      </c>
      <c r="G247" s="2">
        <f>'Moving Avg'!F247</f>
        <v>5.5226999999999986</v>
      </c>
      <c r="H247" s="2">
        <f>'Moving Avg'!G247</f>
        <v>5.5971599999999997</v>
      </c>
      <c r="I247" s="2">
        <f>'Moving Avg'!H247</f>
        <v>5.6338799999999996</v>
      </c>
      <c r="J247" s="5" t="str">
        <f>OBV!F247</f>
        <v>BEARISH</v>
      </c>
      <c r="K247" s="5" t="str">
        <f>OBV!G247</f>
        <v>STRONG</v>
      </c>
      <c r="L247" s="5" t="str">
        <f>OBV!H247</f>
        <v>CONFIRMED BEARISH</v>
      </c>
    </row>
    <row r="248" spans="1:12" ht="13.5" x14ac:dyDescent="0.25">
      <c r="A248" s="3">
        <f>RSI!A248</f>
        <v>45278</v>
      </c>
      <c r="B248" s="2">
        <f>RSI!B248</f>
        <v>5.4109999999999996</v>
      </c>
      <c r="C248" s="2">
        <f>RSI!I248</f>
        <v>22.290307882463139</v>
      </c>
      <c r="D248" s="2">
        <f>MACD!E248</f>
        <v>4.0159442742700335E-2</v>
      </c>
      <c r="E248" s="2">
        <f>MACD!F248</f>
        <v>2.689896579908619E-2</v>
      </c>
      <c r="F248" s="2">
        <f>'Moving Avg'!D248</f>
        <v>5.4198000000000004</v>
      </c>
      <c r="G248" s="2">
        <f>'Moving Avg'!F248</f>
        <v>5.5138499999999988</v>
      </c>
      <c r="H248" s="2">
        <f>'Moving Avg'!G248</f>
        <v>5.5909599999999999</v>
      </c>
      <c r="I248" s="2">
        <f>'Moving Avg'!H248</f>
        <v>5.6352399999999996</v>
      </c>
      <c r="J248" s="5" t="str">
        <f>OBV!F248</f>
        <v>BEARISH</v>
      </c>
      <c r="K248" s="5" t="str">
        <f>OBV!G248</f>
        <v>STRONG</v>
      </c>
      <c r="L248" s="5" t="str">
        <f>OBV!H248</f>
        <v>CONFIRMED BEARISH</v>
      </c>
    </row>
    <row r="249" spans="1:12" ht="13.5" x14ac:dyDescent="0.25">
      <c r="A249" s="3">
        <f>RSI!A249</f>
        <v>45279</v>
      </c>
      <c r="B249" s="2">
        <f>RSI!B249</f>
        <v>5.42</v>
      </c>
      <c r="C249" s="2">
        <f>RSI!I249</f>
        <v>25.618367170484518</v>
      </c>
      <c r="D249" s="2">
        <f>MACD!E249</f>
        <v>4.2337909260877105E-2</v>
      </c>
      <c r="E249" s="2">
        <f>MACD!F249</f>
        <v>2.9986754491444376E-2</v>
      </c>
      <c r="F249" s="2">
        <f>'Moving Avg'!D249</f>
        <v>5.4216000000000006</v>
      </c>
      <c r="G249" s="2">
        <f>'Moving Avg'!F249</f>
        <v>5.5062999999999995</v>
      </c>
      <c r="H249" s="2">
        <f>'Moving Avg'!G249</f>
        <v>5.5856400000000006</v>
      </c>
      <c r="I249" s="2">
        <f>'Moving Avg'!H249</f>
        <v>5.6366450000000006</v>
      </c>
      <c r="J249" s="5" t="str">
        <f>OBV!F249</f>
        <v>BEARISH</v>
      </c>
      <c r="K249" s="5" t="str">
        <f>OBV!G249</f>
        <v>STRONG</v>
      </c>
      <c r="L249" s="5" t="str">
        <f>OBV!H249</f>
        <v>BEARISH DIVERGENCE</v>
      </c>
    </row>
    <row r="250" spans="1:12" ht="13.5" x14ac:dyDescent="0.25">
      <c r="A250" s="3">
        <f>RSI!A250</f>
        <v>45280</v>
      </c>
      <c r="B250" s="2">
        <f>RSI!B250</f>
        <v>5.4020000000000001</v>
      </c>
      <c r="C250" s="2">
        <f>RSI!I250</f>
        <v>23.454836961127057</v>
      </c>
      <c r="D250" s="2">
        <f>MACD!E250</f>
        <v>4.6103512267871238E-2</v>
      </c>
      <c r="E250" s="2">
        <f>MACD!F250</f>
        <v>3.3210106046729748E-2</v>
      </c>
      <c r="F250" s="2">
        <f>'Moving Avg'!D250</f>
        <v>5.4216000000000006</v>
      </c>
      <c r="G250" s="2">
        <f>'Moving Avg'!F250</f>
        <v>5.4974499999999988</v>
      </c>
      <c r="H250" s="2">
        <f>'Moving Avg'!G250</f>
        <v>5.5799599999999998</v>
      </c>
      <c r="I250" s="2">
        <f>'Moving Avg'!H250</f>
        <v>5.6380050000000006</v>
      </c>
      <c r="J250" s="5" t="str">
        <f>OBV!F250</f>
        <v>BEARISH</v>
      </c>
      <c r="K250" s="5" t="str">
        <f>OBV!G250</f>
        <v>STRONG</v>
      </c>
      <c r="L250" s="5" t="str">
        <f>OBV!H250</f>
        <v>NEUTRAL</v>
      </c>
    </row>
    <row r="251" spans="1:12" ht="13.5" x14ac:dyDescent="0.25">
      <c r="A251" s="3">
        <f>RSI!A251</f>
        <v>45281</v>
      </c>
      <c r="B251" s="2">
        <f>RSI!B251</f>
        <v>5.3929999999999998</v>
      </c>
      <c r="C251" s="2">
        <f>RSI!I251</f>
        <v>22.434637112845024</v>
      </c>
      <c r="D251" s="2">
        <f>MACD!E251</f>
        <v>5.0608146962606959E-2</v>
      </c>
      <c r="E251" s="2">
        <f>MACD!F251</f>
        <v>3.668971422990519E-2</v>
      </c>
      <c r="F251" s="2">
        <f>'Moving Avg'!D251</f>
        <v>5.4109999999999996</v>
      </c>
      <c r="G251" s="2">
        <f>'Moving Avg'!F251</f>
        <v>5.4885499999999992</v>
      </c>
      <c r="H251" s="2">
        <f>'Moving Avg'!G251</f>
        <v>5.5740999999999996</v>
      </c>
      <c r="I251" s="2">
        <f>'Moving Avg'!H251</f>
        <v>5.6394900000000021</v>
      </c>
      <c r="J251" s="5" t="str">
        <f>OBV!F251</f>
        <v>BEARISH</v>
      </c>
      <c r="K251" s="5" t="str">
        <f>OBV!G251</f>
        <v>STRONG</v>
      </c>
      <c r="L251" s="5" t="str">
        <f>OBV!H251</f>
        <v>CONFIRMED BEARISH</v>
      </c>
    </row>
    <row r="252" spans="1:12" ht="13.5" x14ac:dyDescent="0.25">
      <c r="A252" s="3">
        <f>RSI!A252</f>
        <v>45282</v>
      </c>
      <c r="B252" s="2">
        <f>RSI!B252</f>
        <v>5.3929999999999998</v>
      </c>
      <c r="C252" s="2">
        <f>RSI!I252</f>
        <v>22.434637112845024</v>
      </c>
      <c r="D252" s="2">
        <f>MACD!E252</f>
        <v>5.5076357655488906E-2</v>
      </c>
      <c r="E252" s="2">
        <f>MACD!F252</f>
        <v>4.0367042915021939E-2</v>
      </c>
      <c r="F252" s="2">
        <f>'Moving Avg'!D252</f>
        <v>5.4038000000000004</v>
      </c>
      <c r="G252" s="2">
        <f>'Moving Avg'!F252</f>
        <v>5.4800999999999993</v>
      </c>
      <c r="H252" s="2">
        <f>'Moving Avg'!G252</f>
        <v>5.5680599999999982</v>
      </c>
      <c r="I252" s="2">
        <f>'Moving Avg'!H252</f>
        <v>5.6409750000000018</v>
      </c>
      <c r="J252" s="5" t="str">
        <f>OBV!F252</f>
        <v>BEARISH</v>
      </c>
      <c r="K252" s="5" t="str">
        <f>OBV!G252</f>
        <v>STRONG</v>
      </c>
      <c r="L252" s="5" t="str">
        <f>OBV!H252</f>
        <v>CONFIRMED BEARISH</v>
      </c>
    </row>
    <row r="253" spans="1:12" ht="13.5" x14ac:dyDescent="0.25">
      <c r="A253" s="3">
        <f>RSI!A253</f>
        <v>45285</v>
      </c>
      <c r="B253" s="2">
        <f>RSI!B253</f>
        <v>5.3929999999999998</v>
      </c>
      <c r="C253" s="2">
        <f>RSI!I253</f>
        <v>22.434637112845024</v>
      </c>
      <c r="D253" s="2">
        <f>MACD!E253</f>
        <v>5.546511124500686E-2</v>
      </c>
      <c r="E253" s="2">
        <f>MACD!F253</f>
        <v>4.3386656581018923E-2</v>
      </c>
      <c r="F253" s="2">
        <f>'Moving Avg'!D253</f>
        <v>5.4001999999999999</v>
      </c>
      <c r="G253" s="2">
        <f>'Moving Avg'!F253</f>
        <v>5.4716499999999995</v>
      </c>
      <c r="H253" s="2">
        <f>'Moving Avg'!G253</f>
        <v>5.5620199999999977</v>
      </c>
      <c r="I253" s="2">
        <f>'Moving Avg'!H253</f>
        <v>5.6425000000000018</v>
      </c>
      <c r="J253" s="5" t="str">
        <f>OBV!F253</f>
        <v>BEARISH</v>
      </c>
      <c r="K253" s="5" t="str">
        <f>OBV!G253</f>
        <v>STRONG</v>
      </c>
      <c r="L253" s="5" t="str">
        <f>OBV!H253</f>
        <v>CONFIRMED BEARISH</v>
      </c>
    </row>
    <row r="254" spans="1:12" ht="13.5" x14ac:dyDescent="0.25">
      <c r="A254" s="3">
        <f>RSI!A254</f>
        <v>45286</v>
      </c>
      <c r="B254" s="2">
        <f>RSI!B254</f>
        <v>5.3929999999999998</v>
      </c>
      <c r="C254" s="2">
        <f>RSI!I254</f>
        <v>22.434637112845024</v>
      </c>
      <c r="D254" s="2">
        <f>MACD!E254</f>
        <v>4.2664674755370058E-2</v>
      </c>
      <c r="E254" s="2">
        <f>MACD!F254</f>
        <v>4.3242260215889151E-2</v>
      </c>
      <c r="F254" s="2">
        <f>'Moving Avg'!D254</f>
        <v>5.3948</v>
      </c>
      <c r="G254" s="2">
        <f>'Moving Avg'!F254</f>
        <v>5.4636499999999995</v>
      </c>
      <c r="H254" s="2">
        <f>'Moving Avg'!G254</f>
        <v>5.5559799999999973</v>
      </c>
      <c r="I254" s="2">
        <f>'Moving Avg'!H254</f>
        <v>5.6429200000000028</v>
      </c>
      <c r="J254" s="5" t="str">
        <f>OBV!F254</f>
        <v>BEARISH</v>
      </c>
      <c r="K254" s="5" t="str">
        <f>OBV!G254</f>
        <v>STRONG</v>
      </c>
      <c r="L254" s="5" t="str">
        <f>OBV!H254</f>
        <v>CONFIRMED BEARISH</v>
      </c>
    </row>
    <row r="255" spans="1:12" ht="13.5" x14ac:dyDescent="0.25">
      <c r="A255" s="3">
        <f>RSI!A255</f>
        <v>45287</v>
      </c>
      <c r="B255" s="2">
        <f>RSI!B255</f>
        <v>5.3220000000000001</v>
      </c>
      <c r="C255" s="2">
        <f>RSI!I255</f>
        <v>15.350020326157662</v>
      </c>
      <c r="D255" s="2">
        <f>MACD!E255</f>
        <v>3.6229407707872419E-2</v>
      </c>
      <c r="E255" s="2">
        <f>MACD!F255</f>
        <v>4.1839689714285803E-2</v>
      </c>
      <c r="F255" s="2">
        <f>'Moving Avg'!D255</f>
        <v>5.3788</v>
      </c>
      <c r="G255" s="2">
        <f>'Moving Avg'!F255</f>
        <v>5.4516500000000008</v>
      </c>
      <c r="H255" s="2">
        <f>'Moving Avg'!G255</f>
        <v>5.5488799999999978</v>
      </c>
      <c r="I255" s="2">
        <f>'Moving Avg'!H255</f>
        <v>5.6428600000000015</v>
      </c>
      <c r="J255" s="5" t="str">
        <f>OBV!F255</f>
        <v>BEARISH</v>
      </c>
      <c r="K255" s="5" t="str">
        <f>OBV!G255</f>
        <v>STRONG</v>
      </c>
      <c r="L255" s="5" t="str">
        <f>OBV!H255</f>
        <v>CONFIRMED BEARISH</v>
      </c>
    </row>
    <row r="256" spans="1:12" ht="13.5" x14ac:dyDescent="0.25">
      <c r="A256" s="3">
        <f>RSI!A256</f>
        <v>45288</v>
      </c>
      <c r="B256" s="2">
        <f>RSI!B256</f>
        <v>5.3579999999999997</v>
      </c>
      <c r="C256" s="2">
        <f>RSI!I256</f>
        <v>27.799870541816333</v>
      </c>
      <c r="D256" s="2">
        <f>MACD!E256</f>
        <v>3.578890608709262E-2</v>
      </c>
      <c r="E256" s="2">
        <f>MACD!F256</f>
        <v>4.0629532988847167E-2</v>
      </c>
      <c r="F256" s="2">
        <f>'Moving Avg'!D256</f>
        <v>5.3717999999999995</v>
      </c>
      <c r="G256" s="2">
        <f>'Moving Avg'!F256</f>
        <v>5.4423500000000002</v>
      </c>
      <c r="H256" s="2">
        <f>'Moving Avg'!G256</f>
        <v>5.5424999999999986</v>
      </c>
      <c r="I256" s="2">
        <f>'Moving Avg'!H256</f>
        <v>5.6430200000000017</v>
      </c>
      <c r="J256" s="5" t="str">
        <f>OBV!F256</f>
        <v>BULLISH</v>
      </c>
      <c r="K256" s="5" t="str">
        <f>OBV!G256</f>
        <v>NEUTRAL</v>
      </c>
      <c r="L256" s="5" t="str">
        <f>OBV!H256</f>
        <v>BULLISH DIVERGENCE</v>
      </c>
    </row>
    <row r="257" spans="1:12" ht="13.5" x14ac:dyDescent="0.25">
      <c r="A257" s="3">
        <f>RSI!A257</f>
        <v>45289</v>
      </c>
      <c r="B257" s="2">
        <f>RSI!B257</f>
        <v>5.3579999999999997</v>
      </c>
      <c r="C257" s="2">
        <f>RSI!I257</f>
        <v>27.799870541816333</v>
      </c>
      <c r="D257" s="2">
        <f>MACD!E257</f>
        <v>3.3423397340475169E-2</v>
      </c>
      <c r="E257" s="2">
        <f>MACD!F257</f>
        <v>3.9188305859172767E-2</v>
      </c>
      <c r="F257" s="2">
        <f>'Moving Avg'!D257</f>
        <v>5.3648000000000007</v>
      </c>
      <c r="G257" s="2">
        <f>'Moving Avg'!F257</f>
        <v>5.4335000000000004</v>
      </c>
      <c r="H257" s="2">
        <f>'Moving Avg'!G257</f>
        <v>5.5357599999999998</v>
      </c>
      <c r="I257" s="2">
        <f>'Moving Avg'!H257</f>
        <v>5.6428850000000015</v>
      </c>
      <c r="J257" s="5" t="str">
        <f>OBV!F257</f>
        <v>BULLISH</v>
      </c>
      <c r="K257" s="5" t="str">
        <f>OBV!G257</f>
        <v>NEUTRAL</v>
      </c>
      <c r="L257" s="5" t="str">
        <f>OBV!H257</f>
        <v>BULLISH DIVERGENCE</v>
      </c>
    </row>
    <row r="258" spans="1:12" ht="13.5" x14ac:dyDescent="0.25">
      <c r="A258" s="3">
        <f>RSI!A258</f>
        <v>45293</v>
      </c>
      <c r="B258" s="2">
        <f>RSI!B258</f>
        <v>5.1449999999999996</v>
      </c>
      <c r="C258" s="2">
        <f>RSI!I258</f>
        <v>13.836184394063693</v>
      </c>
      <c r="D258" s="2">
        <f>MACD!E258</f>
        <v>4.5006848922579223E-2</v>
      </c>
      <c r="E258" s="2">
        <f>MACD!F258</f>
        <v>4.0352014471854061E-2</v>
      </c>
      <c r="F258" s="2">
        <f>'Moving Avg'!D258</f>
        <v>5.3151999999999999</v>
      </c>
      <c r="G258" s="2">
        <f>'Moving Avg'!F258</f>
        <v>5.4140000000000006</v>
      </c>
      <c r="H258" s="2">
        <f>'Moving Avg'!G258</f>
        <v>5.5251199999999994</v>
      </c>
      <c r="I258" s="2">
        <f>'Moving Avg'!H258</f>
        <v>5.6414300000000006</v>
      </c>
      <c r="J258" s="5" t="str">
        <f>OBV!F258</f>
        <v>BEARISH</v>
      </c>
      <c r="K258" s="5" t="str">
        <f>OBV!G258</f>
        <v>STRONG</v>
      </c>
      <c r="L258" s="5" t="str">
        <f>OBV!H258</f>
        <v>CONFIRMED BEARISH</v>
      </c>
    </row>
    <row r="259" spans="1:12" ht="13.5" x14ac:dyDescent="0.25">
      <c r="A259" s="3">
        <f>RSI!A259</f>
        <v>45294</v>
      </c>
      <c r="B259" s="2">
        <f>RSI!B259</f>
        <v>5.0919999999999996</v>
      </c>
      <c r="C259" s="2">
        <f>RSI!I259</f>
        <v>12.194791215589063</v>
      </c>
      <c r="D259" s="2">
        <f>MACD!E259</f>
        <v>6.1911184504881867E-2</v>
      </c>
      <c r="E259" s="2">
        <f>MACD!F259</f>
        <v>4.4663848478459625E-2</v>
      </c>
      <c r="F259" s="2">
        <f>'Moving Avg'!D259</f>
        <v>5.2549999999999999</v>
      </c>
      <c r="G259" s="2">
        <f>'Moving Avg'!F259</f>
        <v>5.3923000000000005</v>
      </c>
      <c r="H259" s="2">
        <f>'Moving Avg'!G259</f>
        <v>5.5134199999999991</v>
      </c>
      <c r="I259" s="2">
        <f>'Moving Avg'!H259</f>
        <v>5.6397100000000009</v>
      </c>
      <c r="J259" s="5" t="str">
        <f>OBV!F259</f>
        <v>BEARISH</v>
      </c>
      <c r="K259" s="5" t="str">
        <f>OBV!G259</f>
        <v>STRONG</v>
      </c>
      <c r="L259" s="5" t="str">
        <f>OBV!H259</f>
        <v>CONFIRMED BEARISH</v>
      </c>
    </row>
    <row r="260" spans="1:12" ht="13.5" x14ac:dyDescent="0.25">
      <c r="A260" s="3">
        <f>RSI!A260</f>
        <v>45295</v>
      </c>
      <c r="B260" s="2">
        <f>RSI!B260</f>
        <v>5.056</v>
      </c>
      <c r="C260" s="2">
        <f>RSI!I260</f>
        <v>11.221055070484155</v>
      </c>
      <c r="D260" s="2">
        <f>MACD!E260</f>
        <v>7.8085109140532794E-2</v>
      </c>
      <c r="E260" s="2">
        <f>MACD!F260</f>
        <v>5.1348100610874262E-2</v>
      </c>
      <c r="F260" s="2">
        <f>'Moving Avg'!D260</f>
        <v>5.2018000000000004</v>
      </c>
      <c r="G260" s="2">
        <f>'Moving Avg'!F260</f>
        <v>5.3688000000000002</v>
      </c>
      <c r="H260" s="2">
        <f>'Moving Avg'!G260</f>
        <v>5.5009999999999977</v>
      </c>
      <c r="I260" s="2">
        <f>'Moving Avg'!H260</f>
        <v>5.63802</v>
      </c>
      <c r="J260" s="5" t="str">
        <f>OBV!F260</f>
        <v>BEARISH</v>
      </c>
      <c r="K260" s="5" t="str">
        <f>OBV!G260</f>
        <v>STRONG</v>
      </c>
      <c r="L260" s="5" t="str">
        <f>OBV!H260</f>
        <v>CONFIRMED BEARISH</v>
      </c>
    </row>
    <row r="261" spans="1:12" ht="13.5" x14ac:dyDescent="0.25">
      <c r="A261" s="3">
        <f>RSI!A261</f>
        <v>45296</v>
      </c>
      <c r="B261" s="2">
        <f>RSI!B261</f>
        <v>5.056</v>
      </c>
      <c r="C261" s="2">
        <f>RSI!I261</f>
        <v>11.221055070484155</v>
      </c>
      <c r="D261" s="2">
        <f>MACD!E261</f>
        <v>9.2425533181108577E-2</v>
      </c>
      <c r="E261" s="2">
        <f>MACD!F261</f>
        <v>5.956358712492113E-2</v>
      </c>
      <c r="F261" s="2">
        <f>'Moving Avg'!D261</f>
        <v>5.1414</v>
      </c>
      <c r="G261" s="2">
        <f>'Moving Avg'!F261</f>
        <v>5.3452999999999999</v>
      </c>
      <c r="H261" s="2">
        <f>'Moving Avg'!G261</f>
        <v>5.488579999999998</v>
      </c>
      <c r="I261" s="2">
        <f>'Moving Avg'!H261</f>
        <v>5.6363300000000001</v>
      </c>
      <c r="J261" s="5" t="str">
        <f>OBV!F261</f>
        <v>BEARISH</v>
      </c>
      <c r="K261" s="5" t="str">
        <f>OBV!G261</f>
        <v>STRONG</v>
      </c>
      <c r="L261" s="5" t="str">
        <f>OBV!H261</f>
        <v>CONFIRMED BEARISH</v>
      </c>
    </row>
    <row r="262" spans="1:12" ht="13.5" x14ac:dyDescent="0.25">
      <c r="A262" s="3">
        <f>RSI!A262</f>
        <v>45299</v>
      </c>
      <c r="B262" s="2">
        <f>RSI!B262</f>
        <v>5.0469999999999997</v>
      </c>
      <c r="C262" s="2">
        <f>RSI!I262</f>
        <v>10.967150738764943</v>
      </c>
      <c r="D262" s="2">
        <f>MACD!E262</f>
        <v>0.10711474821938172</v>
      </c>
      <c r="E262" s="2">
        <f>MACD!F262</f>
        <v>6.907381934381325E-2</v>
      </c>
      <c r="F262" s="2">
        <f>'Moving Avg'!D262</f>
        <v>5.0792000000000002</v>
      </c>
      <c r="G262" s="2">
        <f>'Moving Avg'!F262</f>
        <v>5.3213500000000007</v>
      </c>
      <c r="H262" s="2">
        <f>'Moving Avg'!G262</f>
        <v>5.4759799999999998</v>
      </c>
      <c r="I262" s="2">
        <f>'Moving Avg'!H262</f>
        <v>5.634640000000001</v>
      </c>
      <c r="J262" s="5" t="str">
        <f>OBV!F262</f>
        <v>BEARISH</v>
      </c>
      <c r="K262" s="5" t="str">
        <f>OBV!G262</f>
        <v>STRONG</v>
      </c>
      <c r="L262" s="5" t="str">
        <f>OBV!H262</f>
        <v>CONFIRMED BEARISH</v>
      </c>
    </row>
    <row r="263" spans="1:12" ht="13.5" x14ac:dyDescent="0.25">
      <c r="A263" s="3">
        <f>RSI!A263</f>
        <v>45300</v>
      </c>
      <c r="B263" s="2">
        <f>RSI!B263</f>
        <v>4.8789999999999996</v>
      </c>
      <c r="C263" s="2">
        <f>RSI!I263</f>
        <v>7.5382310316760197</v>
      </c>
      <c r="D263" s="2">
        <f>MACD!E263</f>
        <v>0.13379017597621257</v>
      </c>
      <c r="E263" s="2">
        <f>MACD!F263</f>
        <v>8.2017090670293114E-2</v>
      </c>
      <c r="F263" s="2">
        <f>'Moving Avg'!D263</f>
        <v>5.0260000000000007</v>
      </c>
      <c r="G263" s="2">
        <f>'Moving Avg'!F263</f>
        <v>5.2903000000000002</v>
      </c>
      <c r="H263" s="2">
        <f>'Moving Avg'!G263</f>
        <v>5.460020000000001</v>
      </c>
      <c r="I263" s="2">
        <f>'Moving Avg'!H263</f>
        <v>5.6321099999999991</v>
      </c>
      <c r="J263" s="5" t="str">
        <f>OBV!F263</f>
        <v>BEARISH</v>
      </c>
      <c r="K263" s="5" t="str">
        <f>OBV!G263</f>
        <v>STRONG</v>
      </c>
      <c r="L263" s="5" t="str">
        <f>OBV!H263</f>
        <v>CONFIRMED BEARISH</v>
      </c>
    </row>
    <row r="264" spans="1:12" ht="13.5" x14ac:dyDescent="0.25">
      <c r="A264" s="3">
        <f>RSI!A264</f>
        <v>45301</v>
      </c>
      <c r="B264" s="2">
        <f>RSI!B264</f>
        <v>4.9669999999999996</v>
      </c>
      <c r="C264" s="2">
        <f>RSI!I264</f>
        <v>21.400690991722882</v>
      </c>
      <c r="D264" s="2">
        <f>MACD!E264</f>
        <v>0.15250408460647957</v>
      </c>
      <c r="E264" s="2">
        <f>MACD!F264</f>
        <v>9.6114489457530414E-2</v>
      </c>
      <c r="F264" s="2">
        <f>'Moving Avg'!D264</f>
        <v>5.0009999999999994</v>
      </c>
      <c r="G264" s="2">
        <f>'Moving Avg'!F264</f>
        <v>5.2681000000000004</v>
      </c>
      <c r="H264" s="2">
        <f>'Moving Avg'!G264</f>
        <v>5.4458200000000012</v>
      </c>
      <c r="I264" s="2">
        <f>'Moving Avg'!H264</f>
        <v>5.6301899999999989</v>
      </c>
      <c r="J264" s="5" t="str">
        <f>OBV!F264</f>
        <v>BEARISH</v>
      </c>
      <c r="K264" s="5" t="str">
        <f>OBV!G264</f>
        <v>STRONG</v>
      </c>
      <c r="L264" s="5" t="str">
        <f>OBV!H264</f>
        <v>CONFIRMED BEARISH</v>
      </c>
    </row>
    <row r="265" spans="1:12" ht="13.5" x14ac:dyDescent="0.25">
      <c r="A265" s="3">
        <f>RSI!A265</f>
        <v>45302</v>
      </c>
      <c r="B265" s="2">
        <f>RSI!B265</f>
        <v>5.0469999999999997</v>
      </c>
      <c r="C265" s="2">
        <f>RSI!I265</f>
        <v>31.460930271887463</v>
      </c>
      <c r="D265" s="2">
        <f>MACD!E265</f>
        <v>0.15343373855205655</v>
      </c>
      <c r="E265" s="2">
        <f>MACD!F265</f>
        <v>0.10757833927643565</v>
      </c>
      <c r="F265" s="2">
        <f>'Moving Avg'!D265</f>
        <v>4.9992000000000001</v>
      </c>
      <c r="G265" s="2">
        <f>'Moving Avg'!F265</f>
        <v>5.2503499999999992</v>
      </c>
      <c r="H265" s="2">
        <f>'Moving Avg'!G265</f>
        <v>5.4342800000000011</v>
      </c>
      <c r="I265" s="2">
        <f>'Moving Avg'!H265</f>
        <v>5.6287950000000002</v>
      </c>
      <c r="J265" s="5" t="str">
        <f>OBV!F265</f>
        <v>BULLISH</v>
      </c>
      <c r="K265" s="5" t="str">
        <f>OBV!G265</f>
        <v>NEUTRAL</v>
      </c>
      <c r="L265" s="5" t="str">
        <f>OBV!H265</f>
        <v>BULLISH DIVERGENCE</v>
      </c>
    </row>
    <row r="266" spans="1:12" ht="13.5" x14ac:dyDescent="0.25">
      <c r="A266" s="3">
        <f>RSI!A266</f>
        <v>45303</v>
      </c>
      <c r="B266" s="2">
        <f>RSI!B266</f>
        <v>4.9320000000000004</v>
      </c>
      <c r="C266" s="2">
        <f>RSI!I266</f>
        <v>26.258042420716308</v>
      </c>
      <c r="D266" s="2">
        <f>MACD!E266</f>
        <v>0.16960445046324057</v>
      </c>
      <c r="E266" s="2">
        <f>MACD!F266</f>
        <v>0.11998356151379663</v>
      </c>
      <c r="F266" s="2">
        <f>'Moving Avg'!D266</f>
        <v>4.9744000000000002</v>
      </c>
      <c r="G266" s="2">
        <f>'Moving Avg'!F266</f>
        <v>5.2246499999999996</v>
      </c>
      <c r="H266" s="2">
        <f>'Moving Avg'!G266</f>
        <v>5.4202600000000007</v>
      </c>
      <c r="I266" s="2">
        <f>'Moving Avg'!H266</f>
        <v>5.6269550000000006</v>
      </c>
      <c r="J266" s="5" t="str">
        <f>OBV!F266</f>
        <v>BEARISH</v>
      </c>
      <c r="K266" s="5" t="str">
        <f>OBV!G266</f>
        <v>STRONG</v>
      </c>
      <c r="L266" s="5" t="str">
        <f>OBV!H266</f>
        <v>CONFIRMED BEARISH</v>
      </c>
    </row>
    <row r="267" spans="1:12" ht="13.5" x14ac:dyDescent="0.25">
      <c r="A267" s="3">
        <f>RSI!A267</f>
        <v>45306</v>
      </c>
      <c r="B267" s="2">
        <f>RSI!B267</f>
        <v>4.9669999999999996</v>
      </c>
      <c r="C267" s="2">
        <f>RSI!I267</f>
        <v>30.049602803682674</v>
      </c>
      <c r="D267" s="2">
        <f>MACD!E267</f>
        <v>0.18260310565903115</v>
      </c>
      <c r="E267" s="2">
        <f>MACD!F267</f>
        <v>0.13250747034284355</v>
      </c>
      <c r="F267" s="2">
        <f>'Moving Avg'!D267</f>
        <v>4.9584000000000001</v>
      </c>
      <c r="G267" s="2">
        <f>'Moving Avg'!F267</f>
        <v>5.2015499999999992</v>
      </c>
      <c r="H267" s="2">
        <f>'Moving Avg'!G267</f>
        <v>5.4073000000000002</v>
      </c>
      <c r="I267" s="2">
        <f>'Moving Avg'!H267</f>
        <v>5.6253750000000018</v>
      </c>
      <c r="J267" s="5" t="str">
        <f>OBV!F267</f>
        <v>BULLISH</v>
      </c>
      <c r="K267" s="5" t="str">
        <f>OBV!G267</f>
        <v>WEAK</v>
      </c>
      <c r="L267" s="5" t="str">
        <f>OBV!H267</f>
        <v>BULLISH DIVERGENCE</v>
      </c>
    </row>
    <row r="268" spans="1:12" ht="13.5" x14ac:dyDescent="0.25">
      <c r="A268" s="3">
        <f>RSI!A268</f>
        <v>45307</v>
      </c>
      <c r="B268" s="2">
        <f>RSI!B268</f>
        <v>4.9669999999999996</v>
      </c>
      <c r="C268" s="2">
        <f>RSI!I268</f>
        <v>30.049602803682674</v>
      </c>
      <c r="D268" s="2">
        <f>MACD!E268</f>
        <v>0.16239289983625671</v>
      </c>
      <c r="E268" s="2">
        <f>MACD!F268</f>
        <v>0.13848455624152617</v>
      </c>
      <c r="F268" s="2">
        <f>'Moving Avg'!D268</f>
        <v>4.976</v>
      </c>
      <c r="G268" s="2">
        <f>'Moving Avg'!F268</f>
        <v>5.1793499999999995</v>
      </c>
      <c r="H268" s="2">
        <f>'Moving Avg'!G268</f>
        <v>5.3943399999999997</v>
      </c>
      <c r="I268" s="2">
        <f>'Moving Avg'!H268</f>
        <v>5.6236250000000005</v>
      </c>
      <c r="J268" s="5" t="str">
        <f>OBV!F268</f>
        <v>BULLISH</v>
      </c>
      <c r="K268" s="5" t="str">
        <f>OBV!G268</f>
        <v>WEAK</v>
      </c>
      <c r="L268" s="5" t="str">
        <f>OBV!H268</f>
        <v>CONFIRMED BULLISH</v>
      </c>
    </row>
    <row r="269" spans="1:12" ht="13.5" x14ac:dyDescent="0.25">
      <c r="A269" s="3">
        <f>RSI!A269</f>
        <v>45308</v>
      </c>
      <c r="B269" s="2">
        <f>RSI!B269</f>
        <v>4.9320000000000004</v>
      </c>
      <c r="C269" s="2">
        <f>RSI!I269</f>
        <v>28.358551714000782</v>
      </c>
      <c r="D269" s="2">
        <f>MACD!E269</f>
        <v>0.14117529812512331</v>
      </c>
      <c r="E269" s="2">
        <f>MACD!F269</f>
        <v>0.13902270461824562</v>
      </c>
      <c r="F269" s="2">
        <f>'Moving Avg'!D269</f>
        <v>4.9689999999999994</v>
      </c>
      <c r="G269" s="2">
        <f>'Moving Avg'!F269</f>
        <v>5.1549499999999995</v>
      </c>
      <c r="H269" s="2">
        <f>'Moving Avg'!G269</f>
        <v>5.3812199999999999</v>
      </c>
      <c r="I269" s="2">
        <f>'Moving Avg'!H269</f>
        <v>5.6215300000000017</v>
      </c>
      <c r="J269" s="5" t="str">
        <f>OBV!F269</f>
        <v>BEARISH</v>
      </c>
      <c r="K269" s="5" t="str">
        <f>OBV!G269</f>
        <v>NEUTRAL</v>
      </c>
      <c r="L269" s="5" t="str">
        <f>OBV!H269</f>
        <v>CONFIRMED BEARISH</v>
      </c>
    </row>
    <row r="270" spans="1:12" ht="13.5" x14ac:dyDescent="0.25">
      <c r="A270" s="3">
        <f>RSI!A270</f>
        <v>45309</v>
      </c>
      <c r="B270" s="2">
        <f>RSI!B270</f>
        <v>4.9669999999999996</v>
      </c>
      <c r="C270" s="2">
        <f>RSI!I270</f>
        <v>32.45222984647782</v>
      </c>
      <c r="D270" s="2">
        <f>MACD!E270</f>
        <v>0.11663529338705381</v>
      </c>
      <c r="E270" s="2">
        <f>MACD!F270</f>
        <v>0.13454522237200728</v>
      </c>
      <c r="F270" s="2">
        <f>'Moving Avg'!D270</f>
        <v>4.9530000000000003</v>
      </c>
      <c r="G270" s="2">
        <f>'Moving Avg'!F270</f>
        <v>5.1331999999999995</v>
      </c>
      <c r="H270" s="2">
        <f>'Moving Avg'!G270</f>
        <v>5.3688000000000002</v>
      </c>
      <c r="I270" s="2">
        <f>'Moving Avg'!H270</f>
        <v>5.6196100000000015</v>
      </c>
      <c r="J270" s="5" t="str">
        <f>OBV!F270</f>
        <v>BEARISH</v>
      </c>
      <c r="K270" s="5" t="str">
        <f>OBV!G270</f>
        <v>NEUTRAL</v>
      </c>
      <c r="L270" s="5" t="str">
        <f>OBV!H270</f>
        <v>CONFIRMED BEARISH</v>
      </c>
    </row>
    <row r="271" spans="1:12" ht="13.5" x14ac:dyDescent="0.25">
      <c r="A271" s="3">
        <f>RSI!A271</f>
        <v>45310</v>
      </c>
      <c r="B271" s="2">
        <f>RSI!B271</f>
        <v>4.9669999999999996</v>
      </c>
      <c r="C271" s="2">
        <f>RSI!I271</f>
        <v>32.45222984647782</v>
      </c>
      <c r="D271" s="2">
        <f>MACD!E271</f>
        <v>9.7093861830024331E-2</v>
      </c>
      <c r="E271" s="2">
        <f>MACD!F271</f>
        <v>0.12705495026361069</v>
      </c>
      <c r="F271" s="2">
        <f>'Moving Avg'!D271</f>
        <v>4.9599999999999991</v>
      </c>
      <c r="G271" s="2">
        <f>'Moving Avg'!F271</f>
        <v>5.1118999999999994</v>
      </c>
      <c r="H271" s="2">
        <f>'Moving Avg'!G271</f>
        <v>5.3563799999999988</v>
      </c>
      <c r="I271" s="2">
        <f>'Moving Avg'!H271</f>
        <v>5.6176900000000023</v>
      </c>
      <c r="J271" s="5" t="str">
        <f>OBV!F271</f>
        <v>BULLISH</v>
      </c>
      <c r="K271" s="5" t="str">
        <f>OBV!G271</f>
        <v>WEAK</v>
      </c>
      <c r="L271" s="5" t="str">
        <f>OBV!H271</f>
        <v>CONFIRMED BULLISH</v>
      </c>
    </row>
    <row r="272" spans="1:12" ht="13.5" x14ac:dyDescent="0.25">
      <c r="A272" s="3">
        <f>RSI!A272</f>
        <v>45313</v>
      </c>
      <c r="B272" s="2">
        <f>RSI!B272</f>
        <v>5.0380000000000003</v>
      </c>
      <c r="C272" s="2">
        <f>RSI!I272</f>
        <v>40.456851391147254</v>
      </c>
      <c r="D272" s="2">
        <f>MACD!E272</f>
        <v>7.5047511045116089E-2</v>
      </c>
      <c r="E272" s="2">
        <f>MACD!F272</f>
        <v>0.11665346241991179</v>
      </c>
      <c r="F272" s="2">
        <f>'Moving Avg'!D272</f>
        <v>4.9741999999999997</v>
      </c>
      <c r="G272" s="2">
        <f>'Moving Avg'!F272</f>
        <v>5.0941499999999991</v>
      </c>
      <c r="H272" s="2">
        <f>'Moving Avg'!G272</f>
        <v>5.3453800000000005</v>
      </c>
      <c r="I272" s="2">
        <f>'Moving Avg'!H272</f>
        <v>5.6161250000000029</v>
      </c>
      <c r="J272" s="5" t="str">
        <f>OBV!F272</f>
        <v>BULLISH</v>
      </c>
      <c r="K272" s="5" t="str">
        <f>OBV!G272</f>
        <v>WEAK</v>
      </c>
      <c r="L272" s="5" t="str">
        <f>OBV!H272</f>
        <v>CONFIRMED BULLISH</v>
      </c>
    </row>
    <row r="273" spans="1:12" ht="13.5" x14ac:dyDescent="0.25">
      <c r="A273" s="3">
        <f>RSI!A273</f>
        <v>45314</v>
      </c>
      <c r="B273" s="2">
        <f>RSI!B273</f>
        <v>4.9669999999999996</v>
      </c>
      <c r="C273" s="2">
        <f>RSI!I273</f>
        <v>35.878129523639544</v>
      </c>
      <c r="D273" s="2">
        <f>MACD!E273</f>
        <v>3.6435156315684836E-2</v>
      </c>
      <c r="E273" s="2">
        <f>MACD!F273</f>
        <v>0.1006098011990664</v>
      </c>
      <c r="F273" s="2">
        <f>'Moving Avg'!D273</f>
        <v>4.9741999999999997</v>
      </c>
      <c r="G273" s="2">
        <f>'Moving Avg'!F273</f>
        <v>5.072849999999999</v>
      </c>
      <c r="H273" s="2">
        <f>'Moving Avg'!G273</f>
        <v>5.3331399999999993</v>
      </c>
      <c r="I273" s="2">
        <f>'Moving Avg'!H273</f>
        <v>5.6139900000000038</v>
      </c>
      <c r="J273" s="5" t="str">
        <f>OBV!F273</f>
        <v>BEARISH</v>
      </c>
      <c r="K273" s="5" t="str">
        <f>OBV!G273</f>
        <v>NEUTRAL</v>
      </c>
      <c r="L273" s="5" t="str">
        <f>OBV!H273</f>
        <v>NEUTRAL</v>
      </c>
    </row>
    <row r="274" spans="1:12" ht="13.5" x14ac:dyDescent="0.25">
      <c r="A274" s="3">
        <f>RSI!A274</f>
        <v>45315</v>
      </c>
      <c r="B274" s="2">
        <f>RSI!B274</f>
        <v>4.8789999999999996</v>
      </c>
      <c r="C274" s="2">
        <f>RSI!I274</f>
        <v>31.169532927183667</v>
      </c>
      <c r="D274" s="2">
        <f>MACD!E274</f>
        <v>2.4822227039740241E-2</v>
      </c>
      <c r="E274" s="2">
        <f>MACD!F274</f>
        <v>8.5452286367201175E-2</v>
      </c>
      <c r="F274" s="2">
        <f>'Moving Avg'!D274</f>
        <v>4.9635999999999996</v>
      </c>
      <c r="G274" s="2">
        <f>'Moving Avg'!F274</f>
        <v>5.0471500000000002</v>
      </c>
      <c r="H274" s="2">
        <f>'Moving Avg'!G274</f>
        <v>5.3191400000000009</v>
      </c>
      <c r="I274" s="2">
        <f>'Moving Avg'!H274</f>
        <v>5.6114150000000045</v>
      </c>
      <c r="J274" s="5" t="str">
        <f>OBV!F274</f>
        <v>BULLISH</v>
      </c>
      <c r="K274" s="5" t="str">
        <f>OBV!G274</f>
        <v>NEUTRAL</v>
      </c>
      <c r="L274" s="5" t="str">
        <f>OBV!H274</f>
        <v>BULLISH DIVERGENCE</v>
      </c>
    </row>
    <row r="275" spans="1:12" ht="13.5" x14ac:dyDescent="0.25">
      <c r="A275" s="3">
        <f>RSI!A275</f>
        <v>45316</v>
      </c>
      <c r="B275" s="2">
        <f>RSI!B275</f>
        <v>4.9669999999999996</v>
      </c>
      <c r="C275" s="2">
        <f>RSI!I275</f>
        <v>39.692962365910084</v>
      </c>
      <c r="D275" s="2">
        <f>MACD!E275</f>
        <v>2.2232926586625013E-2</v>
      </c>
      <c r="E275" s="2">
        <f>MACD!F275</f>
        <v>7.2808414411085945E-2</v>
      </c>
      <c r="F275" s="2">
        <f>'Moving Avg'!D275</f>
        <v>4.9635999999999996</v>
      </c>
      <c r="G275" s="2">
        <f>'Moving Avg'!F275</f>
        <v>5.0293999999999999</v>
      </c>
      <c r="H275" s="2">
        <f>'Moving Avg'!G275</f>
        <v>5.3069000000000006</v>
      </c>
      <c r="I275" s="2">
        <f>'Moving Avg'!H275</f>
        <v>5.6090700000000053</v>
      </c>
      <c r="J275" s="5" t="str">
        <f>OBV!F275</f>
        <v>BEARISH</v>
      </c>
      <c r="K275" s="5" t="str">
        <f>OBV!G275</f>
        <v>NEUTRAL</v>
      </c>
      <c r="L275" s="5" t="str">
        <f>OBV!H275</f>
        <v>NEUTRAL</v>
      </c>
    </row>
    <row r="276" spans="1:12" ht="13.5" x14ac:dyDescent="0.25">
      <c r="A276" s="3">
        <f>RSI!A276</f>
        <v>45317</v>
      </c>
      <c r="B276" s="2">
        <f>RSI!B276</f>
        <v>4.7720000000000002</v>
      </c>
      <c r="C276" s="2">
        <f>RSI!I276</f>
        <v>30.638900584711934</v>
      </c>
      <c r="D276" s="2">
        <f>MACD!E276</f>
        <v>1.7614723364535401E-2</v>
      </c>
      <c r="E276" s="2">
        <f>MACD!F276</f>
        <v>6.1769676201775835E-2</v>
      </c>
      <c r="F276" s="2">
        <f>'Moving Avg'!D276</f>
        <v>4.9245999999999999</v>
      </c>
      <c r="G276" s="2">
        <f>'Moving Avg'!F276</f>
        <v>5.0000999999999998</v>
      </c>
      <c r="H276" s="2">
        <f>'Moving Avg'!G276</f>
        <v>5.2905800000000012</v>
      </c>
      <c r="I276" s="2">
        <f>'Moving Avg'!H276</f>
        <v>5.6053650000000053</v>
      </c>
      <c r="J276" s="5" t="str">
        <f>OBV!F276</f>
        <v>BEARISH</v>
      </c>
      <c r="K276" s="5" t="str">
        <f>OBV!G276</f>
        <v>STRONG</v>
      </c>
      <c r="L276" s="5" t="str">
        <f>OBV!H276</f>
        <v>CONFIRMED BEARISH</v>
      </c>
    </row>
    <row r="277" spans="1:12" ht="13.5" x14ac:dyDescent="0.25">
      <c r="A277" s="3">
        <f>RSI!A277</f>
        <v>45320</v>
      </c>
      <c r="B277" s="2">
        <f>RSI!B277</f>
        <v>4.923</v>
      </c>
      <c r="C277" s="2">
        <f>RSI!I277</f>
        <v>41.724152320912289</v>
      </c>
      <c r="D277" s="2">
        <f>MACD!E277</f>
        <v>9.8185274114506171E-3</v>
      </c>
      <c r="E277" s="2">
        <f>MACD!F277</f>
        <v>5.1379446443710793E-2</v>
      </c>
      <c r="F277" s="2">
        <f>'Moving Avg'!D277</f>
        <v>4.9016000000000002</v>
      </c>
      <c r="G277" s="2">
        <f>'Moving Avg'!F277</f>
        <v>4.9783500000000007</v>
      </c>
      <c r="H277" s="2">
        <f>'Moving Avg'!G277</f>
        <v>5.277280000000002</v>
      </c>
      <c r="I277" s="2">
        <f>'Moving Avg'!H277</f>
        <v>5.6025000000000045</v>
      </c>
      <c r="J277" s="5" t="str">
        <f>OBV!F277</f>
        <v>BEARISH</v>
      </c>
      <c r="K277" s="5" t="str">
        <f>OBV!G277</f>
        <v>STRONG</v>
      </c>
      <c r="L277" s="5" t="str">
        <f>OBV!H277</f>
        <v>CONFIRMED BEARISH</v>
      </c>
    </row>
    <row r="278" spans="1:12" ht="13.5" x14ac:dyDescent="0.25">
      <c r="A278" s="3">
        <f>RSI!A278</f>
        <v>45321</v>
      </c>
      <c r="B278" s="2">
        <f>RSI!B278</f>
        <v>4.9669999999999996</v>
      </c>
      <c r="C278" s="2">
        <f>RSI!I278</f>
        <v>44.507236589213051</v>
      </c>
      <c r="D278" s="2">
        <f>MACD!E278</f>
        <v>8.4066987086917067E-4</v>
      </c>
      <c r="E278" s="2">
        <f>MACD!F278</f>
        <v>4.1271691129142467E-2</v>
      </c>
      <c r="F278" s="2">
        <f>'Moving Avg'!D278</f>
        <v>4.9016000000000002</v>
      </c>
      <c r="G278" s="2">
        <f>'Moving Avg'!F278</f>
        <v>4.9694500000000001</v>
      </c>
      <c r="H278" s="2">
        <f>'Moving Avg'!G278</f>
        <v>5.2648600000000014</v>
      </c>
      <c r="I278" s="2">
        <f>'Moving Avg'!H278</f>
        <v>5.5998550000000042</v>
      </c>
      <c r="J278" s="5" t="str">
        <f>OBV!F278</f>
        <v>BULLISH</v>
      </c>
      <c r="K278" s="5" t="str">
        <f>OBV!G278</f>
        <v>WEAK</v>
      </c>
      <c r="L278" s="5" t="str">
        <f>OBV!H278</f>
        <v>NEUTRAL</v>
      </c>
    </row>
    <row r="279" spans="1:12" ht="13.5" x14ac:dyDescent="0.25">
      <c r="A279" s="3">
        <f>RSI!A279</f>
        <v>45322</v>
      </c>
      <c r="B279" s="2">
        <f>RSI!B279</f>
        <v>4.8339999999999996</v>
      </c>
      <c r="C279" s="2">
        <f>RSI!I279</f>
        <v>38.519030333798213</v>
      </c>
      <c r="D279" s="2">
        <f>MACD!E279</f>
        <v>-1.7356079158643567E-3</v>
      </c>
      <c r="E279" s="2">
        <f>MACD!F279</f>
        <v>3.2670231320141102E-2</v>
      </c>
      <c r="F279" s="2">
        <f>'Moving Avg'!D279</f>
        <v>4.8925999999999998</v>
      </c>
      <c r="G279" s="2">
        <f>'Moving Avg'!F279</f>
        <v>4.95655</v>
      </c>
      <c r="H279" s="2">
        <f>'Moving Avg'!G279</f>
        <v>5.2501200000000017</v>
      </c>
      <c r="I279" s="2">
        <f>'Moving Avg'!H279</f>
        <v>5.5966750000000038</v>
      </c>
      <c r="J279" s="5" t="str">
        <f>OBV!F279</f>
        <v>BULLISH</v>
      </c>
      <c r="K279" s="5" t="str">
        <f>OBV!G279</f>
        <v>WEAK</v>
      </c>
      <c r="L279" s="5" t="str">
        <f>OBV!H279</f>
        <v>BULLISH DIVERGENCE</v>
      </c>
    </row>
    <row r="280" spans="1:12" ht="13.5" x14ac:dyDescent="0.25">
      <c r="A280" s="3">
        <f>RSI!A280</f>
        <v>45323</v>
      </c>
      <c r="B280" s="2">
        <f>RSI!B280</f>
        <v>4.8789999999999996</v>
      </c>
      <c r="C280" s="2">
        <f>RSI!I280</f>
        <v>41.392236724435037</v>
      </c>
      <c r="D280" s="2">
        <f>MACD!E280</f>
        <v>-5.6618899759719454E-4</v>
      </c>
      <c r="E280" s="2">
        <f>MACD!F280</f>
        <v>2.6022947256593446E-2</v>
      </c>
      <c r="F280" s="2">
        <f>'Moving Avg'!D280</f>
        <v>4.875</v>
      </c>
      <c r="G280" s="2">
        <f>'Moving Avg'!F280</f>
        <v>4.9477000000000002</v>
      </c>
      <c r="H280" s="2">
        <f>'Moving Avg'!G280</f>
        <v>5.2361200000000023</v>
      </c>
      <c r="I280" s="2">
        <f>'Moving Avg'!H280</f>
        <v>5.5937200000000029</v>
      </c>
      <c r="J280" s="5" t="str">
        <f>OBV!F280</f>
        <v>BULLISH</v>
      </c>
      <c r="K280" s="5" t="str">
        <f>OBV!G280</f>
        <v>WEAK</v>
      </c>
      <c r="L280" s="5" t="str">
        <f>OBV!H280</f>
        <v>BULLISH DIVERGENCE</v>
      </c>
    </row>
    <row r="281" spans="1:12" ht="13.5" x14ac:dyDescent="0.25">
      <c r="A281" s="3">
        <f>RSI!A281</f>
        <v>45324</v>
      </c>
      <c r="B281" s="2">
        <f>RSI!B281</f>
        <v>4.87</v>
      </c>
      <c r="C281" s="2">
        <f>RSI!I281</f>
        <v>40.97974988413489</v>
      </c>
      <c r="D281" s="2">
        <f>MACD!E281</f>
        <v>2.0259903713881755E-3</v>
      </c>
      <c r="E281" s="2">
        <f>MACD!F281</f>
        <v>2.1223555879552394E-2</v>
      </c>
      <c r="F281" s="2">
        <f>'Moving Avg'!D281</f>
        <v>4.8946000000000005</v>
      </c>
      <c r="G281" s="2">
        <f>'Moving Avg'!F281</f>
        <v>4.9384000000000006</v>
      </c>
      <c r="H281" s="2">
        <f>'Moving Avg'!G281</f>
        <v>5.2221000000000029</v>
      </c>
      <c r="I281" s="2">
        <f>'Moving Avg'!H281</f>
        <v>5.5907200000000019</v>
      </c>
      <c r="J281" s="5" t="str">
        <f>OBV!F281</f>
        <v>BULLISH</v>
      </c>
      <c r="K281" s="5" t="str">
        <f>OBV!G281</f>
        <v>WEAK</v>
      </c>
      <c r="L281" s="5" t="str">
        <f>OBV!H281</f>
        <v>CONFIRMED BULLISH</v>
      </c>
    </row>
    <row r="282" spans="1:12" ht="13.5" x14ac:dyDescent="0.25">
      <c r="A282" s="3">
        <f>RSI!A282</f>
        <v>45327</v>
      </c>
      <c r="B282" s="2">
        <f>RSI!B282</f>
        <v>4.6920000000000002</v>
      </c>
      <c r="C282" s="2">
        <f>RSI!I282</f>
        <v>33.804624496451012</v>
      </c>
      <c r="D282" s="2">
        <f>MACD!E282</f>
        <v>2.9247487137729067E-2</v>
      </c>
      <c r="E282" s="2">
        <f>MACD!F282</f>
        <v>2.2828342131187729E-2</v>
      </c>
      <c r="F282" s="2">
        <f>'Moving Avg'!D282</f>
        <v>4.8483999999999998</v>
      </c>
      <c r="G282" s="2">
        <f>'Moving Avg'!F282</f>
        <v>4.9206500000000002</v>
      </c>
      <c r="H282" s="2">
        <f>'Moving Avg'!G282</f>
        <v>5.2047000000000017</v>
      </c>
      <c r="I282" s="2">
        <f>'Moving Avg'!H282</f>
        <v>5.5868300000000035</v>
      </c>
      <c r="J282" s="5" t="str">
        <f>OBV!F282</f>
        <v>BEARISH</v>
      </c>
      <c r="K282" s="5" t="str">
        <f>OBV!G282</f>
        <v>STRONG</v>
      </c>
      <c r="L282" s="5" t="str">
        <f>OBV!H282</f>
        <v>CONFIRMED BEARISH</v>
      </c>
    </row>
    <row r="283" spans="1:12" ht="13.5" x14ac:dyDescent="0.25">
      <c r="A283" s="3">
        <f>RSI!A283</f>
        <v>45328</v>
      </c>
      <c r="B283" s="2">
        <f>RSI!B283</f>
        <v>4.7720000000000002</v>
      </c>
      <c r="C283" s="2">
        <f>RSI!I283</f>
        <v>38.976103813709273</v>
      </c>
      <c r="D283" s="2">
        <f>MACD!E283</f>
        <v>3.7335583041412157E-2</v>
      </c>
      <c r="E283" s="2">
        <f>MACD!F283</f>
        <v>2.5729790313232616E-2</v>
      </c>
      <c r="F283" s="2">
        <f>'Moving Avg'!D283</f>
        <v>4.8093999999999992</v>
      </c>
      <c r="G283" s="2">
        <f>'Moving Avg'!F283</f>
        <v>4.9153000000000002</v>
      </c>
      <c r="H283" s="2">
        <f>'Moving Avg'!G283</f>
        <v>5.1889000000000021</v>
      </c>
      <c r="I283" s="2">
        <f>'Moving Avg'!H283</f>
        <v>5.5833400000000033</v>
      </c>
      <c r="J283" s="5" t="str">
        <f>OBV!F283</f>
        <v>BEARISH</v>
      </c>
      <c r="K283" s="5" t="str">
        <f>OBV!G283</f>
        <v>STRONG</v>
      </c>
      <c r="L283" s="5" t="str">
        <f>OBV!H283</f>
        <v>CONFIRMED BEARISH</v>
      </c>
    </row>
    <row r="284" spans="1:12" ht="13.5" x14ac:dyDescent="0.25">
      <c r="A284" s="3">
        <f>RSI!A284</f>
        <v>45329</v>
      </c>
      <c r="B284" s="2">
        <f>RSI!B284</f>
        <v>4.7009999999999996</v>
      </c>
      <c r="C284" s="2">
        <f>RSI!I284</f>
        <v>36.268008788403208</v>
      </c>
      <c r="D284" s="2">
        <f>MACD!E284</f>
        <v>3.718995352958121E-2</v>
      </c>
      <c r="E284" s="2">
        <f>MACD!F284</f>
        <v>2.8021822956502337E-2</v>
      </c>
      <c r="F284" s="2">
        <f>'Moving Avg'!D284</f>
        <v>4.7827999999999999</v>
      </c>
      <c r="G284" s="2">
        <f>'Moving Avg'!F284</f>
        <v>4.9020000000000001</v>
      </c>
      <c r="H284" s="2">
        <f>'Moving Avg'!G284</f>
        <v>5.1718600000000023</v>
      </c>
      <c r="I284" s="2">
        <f>'Moving Avg'!H284</f>
        <v>5.5795350000000035</v>
      </c>
      <c r="J284" s="5" t="str">
        <f>OBV!F284</f>
        <v>BEARISH</v>
      </c>
      <c r="K284" s="5" t="str">
        <f>OBV!G284</f>
        <v>STRONG</v>
      </c>
      <c r="L284" s="5" t="str">
        <f>OBV!H284</f>
        <v>CONFIRMED BEARISH</v>
      </c>
    </row>
    <row r="285" spans="1:12" ht="13.5" x14ac:dyDescent="0.25">
      <c r="A285" s="3">
        <f>RSI!A285</f>
        <v>45330</v>
      </c>
      <c r="B285" s="2">
        <f>RSI!B285</f>
        <v>4.7809999999999997</v>
      </c>
      <c r="C285" s="2">
        <f>RSI!I285</f>
        <v>41.223487463793397</v>
      </c>
      <c r="D285" s="2">
        <f>MACD!E285</f>
        <v>4.6293064840487119E-2</v>
      </c>
      <c r="E285" s="2">
        <f>MACD!F285</f>
        <v>3.1676071333299291E-2</v>
      </c>
      <c r="F285" s="2">
        <f>'Moving Avg'!D285</f>
        <v>4.7631999999999994</v>
      </c>
      <c r="G285" s="2">
        <f>'Moving Avg'!F285</f>
        <v>4.8887000000000009</v>
      </c>
      <c r="H285" s="2">
        <f>'Moving Avg'!G285</f>
        <v>5.1562400000000013</v>
      </c>
      <c r="I285" s="2">
        <f>'Moving Avg'!H285</f>
        <v>5.5761300000000027</v>
      </c>
      <c r="J285" s="5" t="str">
        <f>OBV!F285</f>
        <v>BEARISH</v>
      </c>
      <c r="K285" s="5" t="str">
        <f>OBV!G285</f>
        <v>STRONG</v>
      </c>
      <c r="L285" s="5" t="str">
        <f>OBV!H285</f>
        <v>CONFIRMED BEARISH</v>
      </c>
    </row>
    <row r="286" spans="1:12" ht="13.5" x14ac:dyDescent="0.25">
      <c r="A286" s="3">
        <f>RSI!A286</f>
        <v>45331</v>
      </c>
      <c r="B286" s="2">
        <f>RSI!B286</f>
        <v>4.7809999999999997</v>
      </c>
      <c r="C286" s="2">
        <f>RSI!I286</f>
        <v>41.223487463793397</v>
      </c>
      <c r="D286" s="2">
        <f>MACD!E286</f>
        <v>2.5017233932046246E-2</v>
      </c>
      <c r="E286" s="2">
        <f>MACD!F286</f>
        <v>3.0344303853048683E-2</v>
      </c>
      <c r="F286" s="2">
        <f>'Moving Avg'!D286</f>
        <v>4.7453999999999992</v>
      </c>
      <c r="G286" s="2">
        <f>'Moving Avg'!F286</f>
        <v>4.8811499999999999</v>
      </c>
      <c r="H286" s="2">
        <f>'Moving Avg'!G286</f>
        <v>5.1409800000000017</v>
      </c>
      <c r="I286" s="2">
        <f>'Moving Avg'!H286</f>
        <v>5.5727700000000029</v>
      </c>
      <c r="J286" s="5" t="str">
        <f>OBV!F286</f>
        <v>BEARISH</v>
      </c>
      <c r="K286" s="5" t="str">
        <f>OBV!G286</f>
        <v>NEUTRAL</v>
      </c>
      <c r="L286" s="5" t="str">
        <f>OBV!H286</f>
        <v>CONFIRMED BEARISH</v>
      </c>
    </row>
    <row r="287" spans="1:12" ht="13.5" x14ac:dyDescent="0.25">
      <c r="A287" s="3">
        <f>RSI!A287</f>
        <v>45334</v>
      </c>
      <c r="B287" s="2">
        <f>RSI!B287</f>
        <v>4.7009999999999996</v>
      </c>
      <c r="C287" s="2">
        <f>RSI!I287</f>
        <v>37.813560601764166</v>
      </c>
      <c r="D287" s="2">
        <f>MACD!E287</f>
        <v>3.7117170013102552E-2</v>
      </c>
      <c r="E287" s="2">
        <f>MACD!F287</f>
        <v>3.169887708505946E-2</v>
      </c>
      <c r="F287" s="2">
        <f>'Moving Avg'!D287</f>
        <v>4.7471999999999994</v>
      </c>
      <c r="G287" s="2">
        <f>'Moving Avg'!F287</f>
        <v>4.8678500000000007</v>
      </c>
      <c r="H287" s="2">
        <f>'Moving Avg'!G287</f>
        <v>5.1243000000000016</v>
      </c>
      <c r="I287" s="2">
        <f>'Moving Avg'!H287</f>
        <v>5.5690100000000022</v>
      </c>
      <c r="J287" s="5" t="str">
        <f>OBV!F287</f>
        <v>BULLISH</v>
      </c>
      <c r="K287" s="5" t="str">
        <f>OBV!G287</f>
        <v>NEUTRAL</v>
      </c>
      <c r="L287" s="5" t="str">
        <f>OBV!H287</f>
        <v>CONFIRMED BULLISH</v>
      </c>
    </row>
    <row r="288" spans="1:12" ht="13.5" x14ac:dyDescent="0.25">
      <c r="A288" s="3">
        <f>RSI!A288</f>
        <v>45335</v>
      </c>
      <c r="B288" s="2">
        <f>RSI!B288</f>
        <v>4.7009999999999996</v>
      </c>
      <c r="C288" s="2">
        <f>RSI!I288</f>
        <v>37.813560601764166</v>
      </c>
      <c r="D288" s="2">
        <f>MACD!E288</f>
        <v>5.547333452090264E-2</v>
      </c>
      <c r="E288" s="2">
        <f>MACD!F288</f>
        <v>3.6453768572228096E-2</v>
      </c>
      <c r="F288" s="2">
        <f>'Moving Avg'!D288</f>
        <v>4.7329999999999997</v>
      </c>
      <c r="G288" s="2">
        <f>'Moving Avg'!F288</f>
        <v>4.8545499999999997</v>
      </c>
      <c r="H288" s="2">
        <f>'Moving Avg'!G288</f>
        <v>5.1076200000000007</v>
      </c>
      <c r="I288" s="2">
        <f>'Moving Avg'!H288</f>
        <v>5.5653350000000019</v>
      </c>
      <c r="J288" s="5" t="str">
        <f>OBV!F288</f>
        <v>BEARISH</v>
      </c>
      <c r="K288" s="5" t="str">
        <f>OBV!G288</f>
        <v>STRONG</v>
      </c>
      <c r="L288" s="5" t="str">
        <f>OBV!H288</f>
        <v>CONFIRMED BEARISH</v>
      </c>
    </row>
    <row r="289" spans="1:12" ht="13.5" x14ac:dyDescent="0.25">
      <c r="A289" s="3">
        <f>RSI!A289</f>
        <v>45336</v>
      </c>
      <c r="B289" s="2">
        <f>RSI!B289</f>
        <v>4.6920000000000002</v>
      </c>
      <c r="C289" s="2">
        <f>RSI!I289</f>
        <v>37.409815018744709</v>
      </c>
      <c r="D289" s="2">
        <f>MACD!E289</f>
        <v>5.2459237374353762E-2</v>
      </c>
      <c r="E289" s="2">
        <f>MACD!F289</f>
        <v>3.965486233265323E-2</v>
      </c>
      <c r="F289" s="2">
        <f>'Moving Avg'!D289</f>
        <v>4.7311999999999994</v>
      </c>
      <c r="G289" s="2">
        <f>'Moving Avg'!F289</f>
        <v>4.8425499999999984</v>
      </c>
      <c r="H289" s="2">
        <f>'Moving Avg'!G289</f>
        <v>5.0909400000000007</v>
      </c>
      <c r="I289" s="2">
        <f>'Moving Avg'!H289</f>
        <v>5.5616150000000015</v>
      </c>
      <c r="J289" s="5" t="str">
        <f>OBV!F289</f>
        <v>BEARISH</v>
      </c>
      <c r="K289" s="5" t="str">
        <f>OBV!G289</f>
        <v>STRONG</v>
      </c>
      <c r="L289" s="5" t="str">
        <f>OBV!H289</f>
        <v>CONFIRMED BEARISH</v>
      </c>
    </row>
    <row r="290" spans="1:12" ht="13.5" x14ac:dyDescent="0.25">
      <c r="A290" s="3">
        <f>RSI!A290</f>
        <v>45337</v>
      </c>
      <c r="B290" s="2">
        <f>RSI!B290</f>
        <v>4.6920000000000002</v>
      </c>
      <c r="C290" s="2">
        <f>RSI!I290</f>
        <v>37.409815018744709</v>
      </c>
      <c r="D290" s="2">
        <f>MACD!E290</f>
        <v>5.8041249725356181E-2</v>
      </c>
      <c r="E290" s="2">
        <f>MACD!F290</f>
        <v>4.3332139811193826E-2</v>
      </c>
      <c r="F290" s="2">
        <f>'Moving Avg'!D290</f>
        <v>4.7134</v>
      </c>
      <c r="G290" s="2">
        <f>'Moving Avg'!F290</f>
        <v>4.8287999999999993</v>
      </c>
      <c r="H290" s="2">
        <f>'Moving Avg'!G290</f>
        <v>5.0742600000000015</v>
      </c>
      <c r="I290" s="2">
        <f>'Moving Avg'!H290</f>
        <v>5.5579800000000015</v>
      </c>
      <c r="J290" s="5" t="str">
        <f>OBV!F290</f>
        <v>BEARISH</v>
      </c>
      <c r="K290" s="5" t="str">
        <f>OBV!G290</f>
        <v>STRONG</v>
      </c>
      <c r="L290" s="5" t="str">
        <f>OBV!H290</f>
        <v>CONFIRMED BEARISH</v>
      </c>
    </row>
    <row r="291" spans="1:12" ht="13.5" x14ac:dyDescent="0.25">
      <c r="A291" s="3">
        <f>RSI!A291</f>
        <v>45338</v>
      </c>
      <c r="B291" s="2">
        <f>RSI!B291</f>
        <v>4.7009999999999996</v>
      </c>
      <c r="C291" s="2">
        <f>RSI!I291</f>
        <v>38.17539562531443</v>
      </c>
      <c r="D291" s="2">
        <f>MACD!E291</f>
        <v>6.1832954561893416E-2</v>
      </c>
      <c r="E291" s="2">
        <f>MACD!F291</f>
        <v>4.7032302761333744E-2</v>
      </c>
      <c r="F291" s="2">
        <f>'Moving Avg'!D291</f>
        <v>4.6974</v>
      </c>
      <c r="G291" s="2">
        <f>'Moving Avg'!F291</f>
        <v>4.8154999999999983</v>
      </c>
      <c r="H291" s="2">
        <f>'Moving Avg'!G291</f>
        <v>5.0577600000000009</v>
      </c>
      <c r="I291" s="2">
        <f>'Moving Avg'!H291</f>
        <v>5.5538800000000013</v>
      </c>
      <c r="J291" s="5" t="str">
        <f>OBV!F291</f>
        <v>BEARISH</v>
      </c>
      <c r="K291" s="5" t="str">
        <f>OBV!G291</f>
        <v>STRONG</v>
      </c>
      <c r="L291" s="5" t="str">
        <f>OBV!H291</f>
        <v>CONFIRMED BEARISH</v>
      </c>
    </row>
    <row r="292" spans="1:12" ht="13.5" x14ac:dyDescent="0.25">
      <c r="A292" s="3">
        <f>RSI!A292</f>
        <v>45341</v>
      </c>
      <c r="B292" s="2">
        <f>RSI!B292</f>
        <v>4.95</v>
      </c>
      <c r="C292" s="2">
        <f>RSI!I292</f>
        <v>54.688665053561124</v>
      </c>
      <c r="D292" s="2">
        <f>MACD!E292</f>
        <v>2.0195880521437282E-2</v>
      </c>
      <c r="E292" s="2">
        <f>MACD!F292</f>
        <v>4.1665018313354459E-2</v>
      </c>
      <c r="F292" s="2">
        <f>'Moving Avg'!D292</f>
        <v>4.7472000000000003</v>
      </c>
      <c r="G292" s="2">
        <f>'Moving Avg'!F292</f>
        <v>4.8110999999999997</v>
      </c>
      <c r="H292" s="2">
        <f>'Moving Avg'!G292</f>
        <v>5.0462400000000009</v>
      </c>
      <c r="I292" s="2">
        <f>'Moving Avg'!H292</f>
        <v>5.5510250000000019</v>
      </c>
      <c r="J292" s="5" t="str">
        <f>OBV!F292</f>
        <v>BULLISH</v>
      </c>
      <c r="K292" s="5" t="str">
        <f>OBV!G292</f>
        <v>WEAK</v>
      </c>
      <c r="L292" s="5" t="str">
        <f>OBV!H292</f>
        <v>CONFIRMED BULLISH</v>
      </c>
    </row>
    <row r="293" spans="1:12" ht="13.5" x14ac:dyDescent="0.25">
      <c r="A293" s="3">
        <f>RSI!A293</f>
        <v>45342</v>
      </c>
      <c r="B293" s="2">
        <f>RSI!B293</f>
        <v>4.95</v>
      </c>
      <c r="C293" s="2">
        <f>RSI!I293</f>
        <v>54.688665053561124</v>
      </c>
      <c r="D293" s="2">
        <f>MACD!E293</f>
        <v>-3.2883898011011325E-3</v>
      </c>
      <c r="E293" s="2">
        <f>MACD!F293</f>
        <v>3.2674336690463344E-2</v>
      </c>
      <c r="F293" s="2">
        <f>'Moving Avg'!D293</f>
        <v>4.7969999999999997</v>
      </c>
      <c r="G293" s="2">
        <f>'Moving Avg'!F293</f>
        <v>4.810249999999999</v>
      </c>
      <c r="H293" s="2">
        <f>'Moving Avg'!G293</f>
        <v>5.0352400000000008</v>
      </c>
      <c r="I293" s="2">
        <f>'Moving Avg'!H293</f>
        <v>5.5481700000000016</v>
      </c>
      <c r="J293" s="5" t="str">
        <f>OBV!F293</f>
        <v>BULLISH</v>
      </c>
      <c r="K293" s="5" t="str">
        <f>OBV!G293</f>
        <v>WEAK</v>
      </c>
      <c r="L293" s="5" t="str">
        <f>OBV!H293</f>
        <v>CONFIRMED BULLISH</v>
      </c>
    </row>
    <row r="294" spans="1:12" ht="13.5" x14ac:dyDescent="0.25">
      <c r="A294" s="3">
        <f>RSI!A294</f>
        <v>45343</v>
      </c>
      <c r="B294" s="2">
        <f>RSI!B294</f>
        <v>4.923</v>
      </c>
      <c r="C294" s="2">
        <f>RSI!I294</f>
        <v>52.911389879446688</v>
      </c>
      <c r="D294" s="2">
        <f>MACD!E294</f>
        <v>-3.2601839315329784E-2</v>
      </c>
      <c r="E294" s="2">
        <f>MACD!F294</f>
        <v>1.9619101489304718E-2</v>
      </c>
      <c r="F294" s="2">
        <f>'Moving Avg'!D294</f>
        <v>4.8432000000000004</v>
      </c>
      <c r="G294" s="2">
        <f>'Moving Avg'!F294</f>
        <v>4.8124500000000001</v>
      </c>
      <c r="H294" s="2">
        <f>'Moving Avg'!G294</f>
        <v>5.0254800000000008</v>
      </c>
      <c r="I294" s="2">
        <f>'Moving Avg'!H294</f>
        <v>5.5451800000000011</v>
      </c>
      <c r="J294" s="5" t="str">
        <f>OBV!F294</f>
        <v>BULLISH</v>
      </c>
      <c r="K294" s="5" t="str">
        <f>OBV!G294</f>
        <v>WEAK</v>
      </c>
      <c r="L294" s="5" t="str">
        <f>OBV!H294</f>
        <v>CONFIRMED BULLISH</v>
      </c>
    </row>
    <row r="295" spans="1:12" ht="13.5" x14ac:dyDescent="0.25">
      <c r="A295" s="3">
        <f>RSI!A295</f>
        <v>45344</v>
      </c>
      <c r="B295" s="2">
        <f>RSI!B295</f>
        <v>4.95</v>
      </c>
      <c r="C295" s="2">
        <f>RSI!I295</f>
        <v>54.503666201748423</v>
      </c>
      <c r="D295" s="2">
        <f>MACD!E295</f>
        <v>-4.7418908429720297E-2</v>
      </c>
      <c r="E295" s="2">
        <f>MACD!F295</f>
        <v>6.2114995054997155E-3</v>
      </c>
      <c r="F295" s="2">
        <f>'Moving Avg'!D295</f>
        <v>4.8948</v>
      </c>
      <c r="G295" s="2">
        <f>'Moving Avg'!F295</f>
        <v>4.8116000000000003</v>
      </c>
      <c r="H295" s="2">
        <f>'Moving Avg'!G295</f>
        <v>5.0164400000000002</v>
      </c>
      <c r="I295" s="2">
        <f>'Moving Avg'!H295</f>
        <v>5.5421950000000013</v>
      </c>
      <c r="J295" s="5" t="str">
        <f>OBV!F295</f>
        <v>BULLISH</v>
      </c>
      <c r="K295" s="5" t="str">
        <f>OBV!G295</f>
        <v>WEAK</v>
      </c>
      <c r="L295" s="5" t="str">
        <f>OBV!H295</f>
        <v>CONFIRMED BULLISH</v>
      </c>
    </row>
    <row r="296" spans="1:12" ht="13.5" x14ac:dyDescent="0.25">
      <c r="A296" s="3">
        <f>RSI!A296</f>
        <v>45345</v>
      </c>
      <c r="B296" s="2">
        <f>RSI!B296</f>
        <v>4.95</v>
      </c>
      <c r="C296" s="2">
        <f>RSI!I296</f>
        <v>54.503666201748423</v>
      </c>
      <c r="D296" s="2">
        <f>MACD!E296</f>
        <v>-6.0413262768006959E-2</v>
      </c>
      <c r="E296" s="2">
        <f>MACD!F296</f>
        <v>-7.1134529492016202E-3</v>
      </c>
      <c r="F296" s="2">
        <f>'Moving Avg'!D296</f>
        <v>4.9445999999999994</v>
      </c>
      <c r="G296" s="2">
        <f>'Moving Avg'!F296</f>
        <v>4.8205000000000009</v>
      </c>
      <c r="H296" s="2">
        <f>'Moving Avg'!G296</f>
        <v>5.0065200000000001</v>
      </c>
      <c r="I296" s="2">
        <f>'Moving Avg'!H296</f>
        <v>5.5391700000000004</v>
      </c>
      <c r="J296" s="5" t="str">
        <f>OBV!F296</f>
        <v>BULLISH</v>
      </c>
      <c r="K296" s="5" t="str">
        <f>OBV!G296</f>
        <v>WEAK</v>
      </c>
      <c r="L296" s="5" t="str">
        <f>OBV!H296</f>
        <v>CONFIRMED BULLISH</v>
      </c>
    </row>
    <row r="297" spans="1:12" ht="13.5" x14ac:dyDescent="0.25">
      <c r="A297" s="3">
        <f>RSI!A297</f>
        <v>45348</v>
      </c>
      <c r="B297" s="2">
        <f>RSI!B297</f>
        <v>4.9409999999999998</v>
      </c>
      <c r="C297" s="2">
        <f>RSI!I297</f>
        <v>53.800373728225942</v>
      </c>
      <c r="D297" s="2">
        <f>MACD!E297</f>
        <v>-8.3472506049934836E-2</v>
      </c>
      <c r="E297" s="2">
        <f>MACD!F297</f>
        <v>-2.2385263569348265E-2</v>
      </c>
      <c r="F297" s="2">
        <f>'Moving Avg'!D297</f>
        <v>4.9428000000000001</v>
      </c>
      <c r="G297" s="2">
        <f>'Moving Avg'!F297</f>
        <v>4.8214000000000006</v>
      </c>
      <c r="H297" s="2">
        <f>'Moving Avg'!G297</f>
        <v>4.9967599999999992</v>
      </c>
      <c r="I297" s="2">
        <f>'Moving Avg'!H297</f>
        <v>5.5360550000000002</v>
      </c>
      <c r="J297" s="5" t="str">
        <f>OBV!F297</f>
        <v>BEARISH</v>
      </c>
      <c r="K297" s="5" t="str">
        <f>OBV!G297</f>
        <v>STRONG</v>
      </c>
      <c r="L297" s="5" t="str">
        <f>OBV!H297</f>
        <v>CONFIRMED BEARISH</v>
      </c>
    </row>
    <row r="298" spans="1:12" ht="13.5" x14ac:dyDescent="0.25">
      <c r="A298" s="3">
        <f>RSI!A298</f>
        <v>45349</v>
      </c>
      <c r="B298" s="2">
        <f>RSI!B298</f>
        <v>5.0380000000000003</v>
      </c>
      <c r="C298" s="2">
        <f>RSI!I298</f>
        <v>59.818367561371097</v>
      </c>
      <c r="D298" s="2">
        <f>MACD!E298</f>
        <v>-0.11050783903663142</v>
      </c>
      <c r="E298" s="2">
        <f>MACD!F298</f>
        <v>-4.0009778662804897E-2</v>
      </c>
      <c r="F298" s="2">
        <f>'Moving Avg'!D298</f>
        <v>4.9603999999999999</v>
      </c>
      <c r="G298" s="2">
        <f>'Moving Avg'!F298</f>
        <v>4.8249500000000003</v>
      </c>
      <c r="H298" s="2">
        <f>'Moving Avg'!G298</f>
        <v>4.9892999999999992</v>
      </c>
      <c r="I298" s="2">
        <f>'Moving Avg'!H298</f>
        <v>5.5334250000000011</v>
      </c>
      <c r="J298" s="5" t="str">
        <f>OBV!F298</f>
        <v>BEARISH</v>
      </c>
      <c r="K298" s="5" t="str">
        <f>OBV!G298</f>
        <v>NEUTRAL</v>
      </c>
      <c r="L298" s="5" t="str">
        <f>OBV!H298</f>
        <v>BEARISH DIVERGENCE</v>
      </c>
    </row>
    <row r="299" spans="1:12" ht="13.5" x14ac:dyDescent="0.25">
      <c r="A299" s="3">
        <f>RSI!A299</f>
        <v>45350</v>
      </c>
      <c r="B299" s="2">
        <f>RSI!B299</f>
        <v>5.0380000000000003</v>
      </c>
      <c r="C299" s="2">
        <f>RSI!I299</f>
        <v>59.818367561371105</v>
      </c>
      <c r="D299" s="2">
        <f>MACD!E299</f>
        <v>-0.13565509036197287</v>
      </c>
      <c r="E299" s="2">
        <f>MACD!F299</f>
        <v>-5.9138841002638498E-2</v>
      </c>
      <c r="F299" s="2">
        <f>'Moving Avg'!D299</f>
        <v>4.9834000000000005</v>
      </c>
      <c r="G299" s="2">
        <f>'Moving Avg'!F299</f>
        <v>4.8351500000000005</v>
      </c>
      <c r="H299" s="2">
        <f>'Moving Avg'!G299</f>
        <v>4.9816599999999998</v>
      </c>
      <c r="I299" s="2">
        <f>'Moving Avg'!H299</f>
        <v>5.5306700000000015</v>
      </c>
      <c r="J299" s="5" t="str">
        <f>OBV!F299</f>
        <v>BULLISH</v>
      </c>
      <c r="K299" s="5" t="str">
        <f>OBV!G299</f>
        <v>WEAK</v>
      </c>
      <c r="L299" s="5" t="str">
        <f>OBV!H299</f>
        <v>CONFIRMED BULLISH</v>
      </c>
    </row>
    <row r="300" spans="1:12" ht="13.5" x14ac:dyDescent="0.25">
      <c r="A300" s="3">
        <f>RSI!A300</f>
        <v>45351</v>
      </c>
      <c r="B300" s="2">
        <f>RSI!B300</f>
        <v>5.0999999999999996</v>
      </c>
      <c r="C300" s="2">
        <f>RSI!I300</f>
        <v>63.356689168607211</v>
      </c>
      <c r="D300" s="2">
        <f>MACD!E300</f>
        <v>-0.16234703837627862</v>
      </c>
      <c r="E300" s="2">
        <f>MACD!F300</f>
        <v>-7.9780480477366522E-2</v>
      </c>
      <c r="F300" s="2">
        <f>'Moving Avg'!D300</f>
        <v>5.0133999999999999</v>
      </c>
      <c r="G300" s="2">
        <f>'Moving Avg'!F300</f>
        <v>4.8461999999999996</v>
      </c>
      <c r="H300" s="2">
        <f>'Moving Avg'!G300</f>
        <v>4.9756199999999993</v>
      </c>
      <c r="I300" s="2">
        <f>'Moving Avg'!H300</f>
        <v>5.5281800000000008</v>
      </c>
      <c r="J300" s="5" t="str">
        <f>OBV!F300</f>
        <v>BULLISH</v>
      </c>
      <c r="K300" s="5" t="str">
        <f>OBV!G300</f>
        <v>WEAK</v>
      </c>
      <c r="L300" s="5" t="str">
        <f>OBV!H300</f>
        <v>CONFIRMED BULLISH</v>
      </c>
    </row>
    <row r="301" spans="1:12" ht="13.5" x14ac:dyDescent="0.25">
      <c r="A301" s="3">
        <f>RSI!A301</f>
        <v>45352</v>
      </c>
      <c r="B301" s="2">
        <f>RSI!B301</f>
        <v>5.0119999999999996</v>
      </c>
      <c r="C301" s="2">
        <f>RSI!I301</f>
        <v>55.840545908493048</v>
      </c>
      <c r="D301" s="2">
        <f>MACD!E301</f>
        <v>-0.17815586330627564</v>
      </c>
      <c r="E301" s="2">
        <f>MACD!F301</f>
        <v>-9.9455557043148346E-2</v>
      </c>
      <c r="F301" s="2">
        <f>'Moving Avg'!D301</f>
        <v>5.0257999999999994</v>
      </c>
      <c r="G301" s="2">
        <f>'Moving Avg'!F301</f>
        <v>4.8532999999999999</v>
      </c>
      <c r="H301" s="2">
        <f>'Moving Avg'!G301</f>
        <v>4.968</v>
      </c>
      <c r="I301" s="2">
        <f>'Moving Avg'!H301</f>
        <v>5.5252950000000007</v>
      </c>
      <c r="J301" s="5" t="str">
        <f>OBV!F301</f>
        <v>BULLISH</v>
      </c>
      <c r="K301" s="5" t="str">
        <f>OBV!G301</f>
        <v>NEUTRAL</v>
      </c>
      <c r="L301" s="5" t="str">
        <f>OBV!H301</f>
        <v>CONFIRMED BULLISH</v>
      </c>
    </row>
    <row r="302" spans="1:12" ht="13.5" x14ac:dyDescent="0.25">
      <c r="A302" s="3">
        <f>RSI!A302</f>
        <v>45355</v>
      </c>
      <c r="B302" s="2">
        <f>RSI!B302</f>
        <v>5.1710000000000003</v>
      </c>
      <c r="C302" s="2">
        <f>RSI!I302</f>
        <v>64.122361566011506</v>
      </c>
      <c r="D302" s="2">
        <f>MACD!E302</f>
        <v>-0.16552567356987691</v>
      </c>
      <c r="E302" s="2">
        <f>MACD!F302</f>
        <v>-0.11266958034849406</v>
      </c>
      <c r="F302" s="2">
        <f>'Moving Avg'!D302</f>
        <v>5.0717999999999996</v>
      </c>
      <c r="G302" s="2">
        <f>'Moving Avg'!F302</f>
        <v>4.8772500000000001</v>
      </c>
      <c r="H302" s="2">
        <f>'Moving Avg'!G302</f>
        <v>4.9635599999999993</v>
      </c>
      <c r="I302" s="2">
        <f>'Moving Avg'!H302</f>
        <v>5.5232450000000002</v>
      </c>
      <c r="J302" s="5" t="str">
        <f>OBV!F302</f>
        <v>BULLISH</v>
      </c>
      <c r="K302" s="5" t="str">
        <f>OBV!G302</f>
        <v>WEAK</v>
      </c>
      <c r="L302" s="5" t="str">
        <f>OBV!H302</f>
        <v>CONFIRMED BULLISH</v>
      </c>
    </row>
    <row r="303" spans="1:12" ht="13.5" x14ac:dyDescent="0.25">
      <c r="A303" s="3">
        <f>RSI!A303</f>
        <v>45356</v>
      </c>
      <c r="B303" s="2">
        <f>RSI!B303</f>
        <v>5.3220000000000001</v>
      </c>
      <c r="C303" s="2">
        <f>RSI!I303</f>
        <v>69.896457274790592</v>
      </c>
      <c r="D303" s="2">
        <f>MACD!E303</f>
        <v>-0.16744759701207279</v>
      </c>
      <c r="E303" s="2">
        <f>MACD!F303</f>
        <v>-0.12362518368120981</v>
      </c>
      <c r="F303" s="2">
        <f>'Moving Avg'!D303</f>
        <v>5.1285999999999996</v>
      </c>
      <c r="G303" s="2">
        <f>'Moving Avg'!F303</f>
        <v>4.9047500000000008</v>
      </c>
      <c r="H303" s="2">
        <f>'Moving Avg'!G303</f>
        <v>4.9621399999999989</v>
      </c>
      <c r="I303" s="2">
        <f>'Moving Avg'!H303</f>
        <v>5.5218249999999998</v>
      </c>
      <c r="J303" s="5" t="str">
        <f>OBV!F303</f>
        <v>BULLISH</v>
      </c>
      <c r="K303" s="5" t="str">
        <f>OBV!G303</f>
        <v>WEAK</v>
      </c>
      <c r="L303" s="5" t="str">
        <f>OBV!H303</f>
        <v>CONFIRMED BULLISH</v>
      </c>
    </row>
    <row r="304" spans="1:12" ht="13.5" x14ac:dyDescent="0.25">
      <c r="A304" s="3">
        <f>RSI!A304</f>
        <v>45357</v>
      </c>
      <c r="B304" s="2">
        <f>RSI!B304</f>
        <v>5.3659999999999997</v>
      </c>
      <c r="C304" s="2">
        <f>RSI!I304</f>
        <v>71.34369772209584</v>
      </c>
      <c r="D304" s="2">
        <f>MACD!E304</f>
        <v>-0.17869756441536566</v>
      </c>
      <c r="E304" s="2">
        <f>MACD!F304</f>
        <v>-0.13463965982804099</v>
      </c>
      <c r="F304" s="2">
        <f>'Moving Avg'!D304</f>
        <v>5.1941999999999995</v>
      </c>
      <c r="G304" s="2">
        <f>'Moving Avg'!F304</f>
        <v>4.9380000000000006</v>
      </c>
      <c r="H304" s="2">
        <f>'Moving Avg'!G304</f>
        <v>4.9615999999999998</v>
      </c>
      <c r="I304" s="2">
        <f>'Moving Avg'!H304</f>
        <v>5.5206249999999999</v>
      </c>
      <c r="J304" s="5" t="str">
        <f>OBV!F304</f>
        <v>BULLISH</v>
      </c>
      <c r="K304" s="5" t="str">
        <f>OBV!G304</f>
        <v>WEAK</v>
      </c>
      <c r="L304" s="5" t="str">
        <f>OBV!H304</f>
        <v>CONFIRMED BULLISH</v>
      </c>
    </row>
    <row r="305" spans="1:12" ht="13.5" x14ac:dyDescent="0.25">
      <c r="A305" s="3">
        <f>RSI!A305</f>
        <v>45358</v>
      </c>
      <c r="B305" s="2">
        <f>RSI!B305</f>
        <v>5.3220000000000001</v>
      </c>
      <c r="C305" s="2">
        <f>RSI!I305</f>
        <v>67.831805773896221</v>
      </c>
      <c r="D305" s="2">
        <f>MACD!E305</f>
        <v>-0.18311052959554797</v>
      </c>
      <c r="E305" s="2">
        <f>MACD!F305</f>
        <v>-0.14433383378154241</v>
      </c>
      <c r="F305" s="2">
        <f>'Moving Avg'!D305</f>
        <v>5.2385999999999999</v>
      </c>
      <c r="G305" s="2">
        <f>'Moving Avg'!F305</f>
        <v>4.9650500000000006</v>
      </c>
      <c r="H305" s="2">
        <f>'Moving Avg'!G305</f>
        <v>4.9615999999999998</v>
      </c>
      <c r="I305" s="2">
        <f>'Moving Avg'!H305</f>
        <v>5.5189499999999985</v>
      </c>
      <c r="J305" s="5" t="str">
        <f>OBV!F305</f>
        <v>BULLISH</v>
      </c>
      <c r="K305" s="5" t="str">
        <f>OBV!G305</f>
        <v>WEAK</v>
      </c>
      <c r="L305" s="5" t="str">
        <f>OBV!H305</f>
        <v>CONFIRMED BULLISH</v>
      </c>
    </row>
    <row r="306" spans="1:12" ht="13.5" x14ac:dyDescent="0.25">
      <c r="A306" s="3">
        <f>RSI!A306</f>
        <v>45359</v>
      </c>
      <c r="B306" s="2">
        <f>RSI!B306</f>
        <v>5.3129999999999997</v>
      </c>
      <c r="C306" s="2">
        <f>RSI!I306</f>
        <v>67.104177437173377</v>
      </c>
      <c r="D306" s="2">
        <f>MACD!E306</f>
        <v>-0.18805390083819162</v>
      </c>
      <c r="E306" s="2">
        <f>MACD!F306</f>
        <v>-0.15307784719287226</v>
      </c>
      <c r="F306" s="2">
        <f>'Moving Avg'!D306</f>
        <v>5.2988</v>
      </c>
      <c r="G306" s="2">
        <f>'Moving Avg'!F306</f>
        <v>4.9916500000000008</v>
      </c>
      <c r="H306" s="2">
        <f>'Moving Avg'!G306</f>
        <v>4.9606999999999992</v>
      </c>
      <c r="I306" s="2">
        <f>'Moving Avg'!H306</f>
        <v>5.5171899999999994</v>
      </c>
      <c r="J306" s="5" t="str">
        <f>OBV!F306</f>
        <v>BULLISH</v>
      </c>
      <c r="K306" s="5" t="str">
        <f>OBV!G306</f>
        <v>WEAK</v>
      </c>
      <c r="L306" s="5" t="str">
        <f>OBV!H306</f>
        <v>CONFIRMED BULLISH</v>
      </c>
    </row>
    <row r="307" spans="1:12" ht="13.5" x14ac:dyDescent="0.25">
      <c r="A307" s="3">
        <f>RSI!A307</f>
        <v>45362</v>
      </c>
      <c r="B307" s="2">
        <f>RSI!B307</f>
        <v>5.2960000000000003</v>
      </c>
      <c r="C307" s="2">
        <f>RSI!I307</f>
        <v>65.671190570029921</v>
      </c>
      <c r="D307" s="2">
        <f>MACD!E307</f>
        <v>-0.19404595636062449</v>
      </c>
      <c r="E307" s="2">
        <f>MACD!F307</f>
        <v>-0.1612714690264227</v>
      </c>
      <c r="F307" s="2">
        <f>'Moving Avg'!D307</f>
        <v>5.3237999999999994</v>
      </c>
      <c r="G307" s="2">
        <f>'Moving Avg'!F307</f>
        <v>5.0214000000000016</v>
      </c>
      <c r="H307" s="2">
        <f>'Moving Avg'!G307</f>
        <v>4.9594599999999991</v>
      </c>
      <c r="I307" s="2">
        <f>'Moving Avg'!H307</f>
        <v>5.5154300000000003</v>
      </c>
      <c r="J307" s="5" t="str">
        <f>OBV!F307</f>
        <v>BEARISH</v>
      </c>
      <c r="K307" s="5" t="str">
        <f>OBV!G307</f>
        <v>STRONG</v>
      </c>
      <c r="L307" s="5" t="str">
        <f>OBV!H307</f>
        <v>BEARISH DIVERGENCE</v>
      </c>
    </row>
    <row r="308" spans="1:12" ht="13.5" x14ac:dyDescent="0.25">
      <c r="A308" s="3">
        <f>RSI!A308</f>
        <v>45363</v>
      </c>
      <c r="B308" s="2">
        <f>RSI!B308</f>
        <v>5.3579999999999997</v>
      </c>
      <c r="C308" s="2">
        <f>RSI!I308</f>
        <v>68.327634226415711</v>
      </c>
      <c r="D308" s="2">
        <f>MACD!E308</f>
        <v>-0.19024433654075779</v>
      </c>
      <c r="E308" s="2">
        <f>MACD!F308</f>
        <v>-0.16706604252928975</v>
      </c>
      <c r="F308" s="2">
        <f>'Moving Avg'!D308</f>
        <v>5.3309999999999995</v>
      </c>
      <c r="G308" s="2">
        <f>'Moving Avg'!F308</f>
        <v>5.0542500000000015</v>
      </c>
      <c r="H308" s="2">
        <f>'Moving Avg'!G308</f>
        <v>4.9637199999999995</v>
      </c>
      <c r="I308" s="2">
        <f>'Moving Avg'!H308</f>
        <v>5.5128750000000002</v>
      </c>
      <c r="J308" s="5" t="str">
        <f>OBV!F308</f>
        <v>BEARISH</v>
      </c>
      <c r="K308" s="5" t="str">
        <f>OBV!G308</f>
        <v>STRONG</v>
      </c>
      <c r="L308" s="5" t="str">
        <f>OBV!H308</f>
        <v>BEARISH DIVERGENCE</v>
      </c>
    </row>
    <row r="309" spans="1:12" ht="13.5" x14ac:dyDescent="0.25">
      <c r="A309" s="3">
        <f>RSI!A309</f>
        <v>45364</v>
      </c>
      <c r="B309" s="2">
        <f>RSI!B309</f>
        <v>5.3579999999999997</v>
      </c>
      <c r="C309" s="2">
        <f>RSI!I309</f>
        <v>68.327634226415711</v>
      </c>
      <c r="D309" s="2">
        <f>MACD!E309</f>
        <v>-0.18874455649338984</v>
      </c>
      <c r="E309" s="2">
        <f>MACD!F309</f>
        <v>-0.17140174532210978</v>
      </c>
      <c r="F309" s="2">
        <f>'Moving Avg'!D309</f>
        <v>5.3294000000000006</v>
      </c>
      <c r="G309" s="2">
        <f>'Moving Avg'!F309</f>
        <v>5.0875500000000011</v>
      </c>
      <c r="H309" s="2">
        <f>'Moving Avg'!G309</f>
        <v>4.9690399999999988</v>
      </c>
      <c r="I309" s="2">
        <f>'Moving Avg'!H309</f>
        <v>5.5105300000000002</v>
      </c>
      <c r="J309" s="5" t="str">
        <f>OBV!F309</f>
        <v>BEARISH</v>
      </c>
      <c r="K309" s="5" t="str">
        <f>OBV!G309</f>
        <v>STRONG</v>
      </c>
      <c r="L309" s="5" t="str">
        <f>OBV!H309</f>
        <v>CONFIRMED BEARISH</v>
      </c>
    </row>
    <row r="310" spans="1:12" ht="13.5" x14ac:dyDescent="0.25">
      <c r="A310" s="3">
        <f>RSI!A310</f>
        <v>45365</v>
      </c>
      <c r="B310" s="2">
        <f>RSI!B310</f>
        <v>5.3579999999999997</v>
      </c>
      <c r="C310" s="2">
        <f>RSI!I310</f>
        <v>68.327634226415711</v>
      </c>
      <c r="D310" s="2">
        <f>MACD!E310</f>
        <v>-0.17952684213726489</v>
      </c>
      <c r="E310" s="2">
        <f>MACD!F310</f>
        <v>-0.1730267646851408</v>
      </c>
      <c r="F310" s="2">
        <f>'Moving Avg'!D310</f>
        <v>5.3365999999999998</v>
      </c>
      <c r="G310" s="2">
        <f>'Moving Avg'!F310</f>
        <v>5.1208500000000017</v>
      </c>
      <c r="H310" s="2">
        <f>'Moving Avg'!G310</f>
        <v>4.9750800000000002</v>
      </c>
      <c r="I310" s="2">
        <f>'Moving Avg'!H310</f>
        <v>5.5076049999999999</v>
      </c>
      <c r="J310" s="5" t="str">
        <f>OBV!F310</f>
        <v>BEARISH</v>
      </c>
      <c r="K310" s="5" t="str">
        <f>OBV!G310</f>
        <v>STRONG</v>
      </c>
      <c r="L310" s="5" t="str">
        <f>OBV!H310</f>
        <v>BEARISH DIVERGENCE</v>
      </c>
    </row>
    <row r="311" spans="1:12" ht="13.5" x14ac:dyDescent="0.25">
      <c r="A311" s="3">
        <f>RSI!A311</f>
        <v>45366</v>
      </c>
      <c r="B311" s="2">
        <f>RSI!B311</f>
        <v>5.3579999999999997</v>
      </c>
      <c r="C311" s="2">
        <f>RSI!I311</f>
        <v>68.327634226415711</v>
      </c>
      <c r="D311" s="2">
        <f>MACD!E311</f>
        <v>-0.18673772869998917</v>
      </c>
      <c r="E311" s="2">
        <f>MACD!F311</f>
        <v>-0.1757689574881105</v>
      </c>
      <c r="F311" s="2">
        <f>'Moving Avg'!D311</f>
        <v>5.3456000000000001</v>
      </c>
      <c r="G311" s="2">
        <f>'Moving Avg'!F311</f>
        <v>5.1537000000000015</v>
      </c>
      <c r="H311" s="2">
        <f>'Moving Avg'!G311</f>
        <v>4.9811199999999998</v>
      </c>
      <c r="I311" s="2">
        <f>'Moving Avg'!H311</f>
        <v>5.5051249999999996</v>
      </c>
      <c r="J311" s="5" t="str">
        <f>OBV!F311</f>
        <v>BEARISH</v>
      </c>
      <c r="K311" s="5" t="str">
        <f>OBV!G311</f>
        <v>NEUTRAL</v>
      </c>
      <c r="L311" s="5" t="str">
        <f>OBV!H311</f>
        <v>BEARISH DIVERGENCE</v>
      </c>
    </row>
    <row r="312" spans="1:12" ht="13.5" x14ac:dyDescent="0.25">
      <c r="A312" s="3">
        <f>RSI!A312</f>
        <v>45369</v>
      </c>
      <c r="B312" s="2">
        <f>RSI!B312</f>
        <v>5.3579999999999997</v>
      </c>
      <c r="C312" s="2">
        <f>RSI!I312</f>
        <v>68.327634226415711</v>
      </c>
      <c r="D312" s="2">
        <f>MACD!E312</f>
        <v>-0.16974069989642615</v>
      </c>
      <c r="E312" s="2">
        <f>MACD!F312</f>
        <v>-0.17456330596977362</v>
      </c>
      <c r="F312" s="2">
        <f>'Moving Avg'!D312</f>
        <v>5.3579999999999997</v>
      </c>
      <c r="G312" s="2">
        <f>'Moving Avg'!F312</f>
        <v>5.174100000000001</v>
      </c>
      <c r="H312" s="2">
        <f>'Moving Avg'!G312</f>
        <v>4.9873399999999997</v>
      </c>
      <c r="I312" s="2">
        <f>'Moving Avg'!H312</f>
        <v>5.5022899999999986</v>
      </c>
      <c r="J312" s="5" t="str">
        <f>OBV!F312</f>
        <v>BULLISH</v>
      </c>
      <c r="K312" s="5" t="str">
        <f>OBV!G312</f>
        <v>WEAK</v>
      </c>
      <c r="L312" s="5" t="str">
        <f>OBV!H312</f>
        <v>CONFIRMED BULLISH</v>
      </c>
    </row>
    <row r="313" spans="1:12" ht="13.5" x14ac:dyDescent="0.25">
      <c r="A313" s="3">
        <f>RSI!A313</f>
        <v>45370</v>
      </c>
      <c r="B313" s="2">
        <f>RSI!B313</f>
        <v>5.3579999999999997</v>
      </c>
      <c r="C313" s="2">
        <f>RSI!I313</f>
        <v>68.327634226415711</v>
      </c>
      <c r="D313" s="2">
        <f>MACD!E313</f>
        <v>-0.1333898573876926</v>
      </c>
      <c r="E313" s="2">
        <f>MACD!F313</f>
        <v>-0.16632861625335743</v>
      </c>
      <c r="F313" s="2">
        <f>'Moving Avg'!D313</f>
        <v>5.3579999999999997</v>
      </c>
      <c r="G313" s="2">
        <f>'Moving Avg'!F313</f>
        <v>5.1945000000000014</v>
      </c>
      <c r="H313" s="2">
        <f>'Moving Avg'!G313</f>
        <v>4.9969199999999994</v>
      </c>
      <c r="I313" s="2">
        <f>'Moving Avg'!H313</f>
        <v>5.4995849999999971</v>
      </c>
      <c r="J313" s="5" t="str">
        <f>OBV!F313</f>
        <v>NEUTRAL</v>
      </c>
      <c r="K313" s="5" t="str">
        <f>OBV!G313</f>
        <v>NEUTRAL</v>
      </c>
      <c r="L313" s="5" t="str">
        <f>OBV!H313</f>
        <v>NEUTRAL</v>
      </c>
    </row>
    <row r="314" spans="1:12" ht="13.5" x14ac:dyDescent="0.25">
      <c r="A314" s="3">
        <f>RSI!A314</f>
        <v>45372</v>
      </c>
      <c r="B314" s="2">
        <f>RSI!B314</f>
        <v>5.3129999999999997</v>
      </c>
      <c r="C314" s="2">
        <f>RSI!I314</f>
        <v>62.823454514790029</v>
      </c>
      <c r="D314" s="2">
        <f>MACD!E314</f>
        <v>-9.3697432545947201E-2</v>
      </c>
      <c r="E314" s="2">
        <f>MACD!F314</f>
        <v>-0.15180237951187539</v>
      </c>
      <c r="F314" s="2">
        <f>'Moving Avg'!D314</f>
        <v>5.3489999999999993</v>
      </c>
      <c r="G314" s="2">
        <f>'Moving Avg'!F314</f>
        <v>5.2140000000000022</v>
      </c>
      <c r="H314" s="2">
        <f>'Moving Avg'!G314</f>
        <v>5.0038399999999994</v>
      </c>
      <c r="I314" s="2">
        <f>'Moving Avg'!H314</f>
        <v>5.4962999999999989</v>
      </c>
      <c r="J314" s="5" t="str">
        <f>OBV!F314</f>
        <v>BEARISH</v>
      </c>
      <c r="K314" s="5" t="str">
        <f>OBV!G314</f>
        <v>STRONG</v>
      </c>
      <c r="L314" s="5" t="str">
        <f>OBV!H314</f>
        <v>CONFIRMED BEARISH</v>
      </c>
    </row>
    <row r="315" spans="1:12" ht="13.5" x14ac:dyDescent="0.25">
      <c r="A315" s="3">
        <f>RSI!A315</f>
        <v>45373</v>
      </c>
      <c r="B315" s="2">
        <f>RSI!B315</f>
        <v>5.34</v>
      </c>
      <c r="C315" s="2">
        <f>RSI!I315</f>
        <v>64.662803940403563</v>
      </c>
      <c r="D315" s="2">
        <f>MACD!E315</f>
        <v>-6.9696844051178708E-2</v>
      </c>
      <c r="E315" s="2">
        <f>MACD!F315</f>
        <v>-0.13538127241973605</v>
      </c>
      <c r="F315" s="2">
        <f>'Moving Avg'!D315</f>
        <v>5.3453999999999997</v>
      </c>
      <c r="G315" s="2">
        <f>'Moving Avg'!F315</f>
        <v>5.2335000000000012</v>
      </c>
      <c r="H315" s="2">
        <f>'Moving Avg'!G315</f>
        <v>5.0096999999999996</v>
      </c>
      <c r="I315" s="2">
        <f>'Moving Avg'!H315</f>
        <v>5.4931949999999983</v>
      </c>
      <c r="J315" s="5" t="str">
        <f>OBV!F315</f>
        <v>BEARISH</v>
      </c>
      <c r="K315" s="5" t="str">
        <f>OBV!G315</f>
        <v>NEUTRAL</v>
      </c>
      <c r="L315" s="5" t="str">
        <f>OBV!H315</f>
        <v>CONFIRMED BEARISH</v>
      </c>
    </row>
    <row r="316" spans="1:12" ht="13.5" x14ac:dyDescent="0.25">
      <c r="A316" s="3">
        <f>RSI!A316</f>
        <v>45376</v>
      </c>
      <c r="B316" s="2">
        <f>RSI!B316</f>
        <v>5.34</v>
      </c>
      <c r="C316" s="2">
        <f>RSI!I316</f>
        <v>64.662803940403563</v>
      </c>
      <c r="D316" s="2">
        <f>MACD!E316</f>
        <v>-5.1688441737031354E-2</v>
      </c>
      <c r="E316" s="2">
        <f>MACD!F316</f>
        <v>-0.11864270628319511</v>
      </c>
      <c r="F316" s="2">
        <f>'Moving Avg'!D316</f>
        <v>5.3418000000000001</v>
      </c>
      <c r="G316" s="2">
        <f>'Moving Avg'!F316</f>
        <v>5.2530000000000019</v>
      </c>
      <c r="H316" s="2">
        <f>'Moving Avg'!G316</f>
        <v>5.0178599999999998</v>
      </c>
      <c r="I316" s="2">
        <f>'Moving Avg'!H316</f>
        <v>5.4901349999999969</v>
      </c>
      <c r="J316" s="5" t="str">
        <f>OBV!F316</f>
        <v>BEARISH</v>
      </c>
      <c r="K316" s="5" t="str">
        <f>OBV!G316</f>
        <v>NEUTRAL</v>
      </c>
      <c r="L316" s="5" t="str">
        <f>OBV!H316</f>
        <v>CONFIRMED BEARISH</v>
      </c>
    </row>
    <row r="317" spans="1:12" ht="13.5" x14ac:dyDescent="0.25">
      <c r="A317" s="3">
        <f>RSI!A317</f>
        <v>45377</v>
      </c>
      <c r="B317" s="2">
        <f>RSI!B317</f>
        <v>5.34</v>
      </c>
      <c r="C317" s="2">
        <f>RSI!I317</f>
        <v>64.662803940403563</v>
      </c>
      <c r="D317" s="2">
        <f>MACD!E317</f>
        <v>-3.9913329476807036E-2</v>
      </c>
      <c r="E317" s="2">
        <f>MACD!F317</f>
        <v>-0.1028968309219175</v>
      </c>
      <c r="F317" s="2">
        <f>'Moving Avg'!D317</f>
        <v>5.3381999999999996</v>
      </c>
      <c r="G317" s="2">
        <f>'Moving Avg'!F317</f>
        <v>5.2729500000000007</v>
      </c>
      <c r="H317" s="2">
        <f>'Moving Avg'!G317</f>
        <v>5.0253199999999998</v>
      </c>
      <c r="I317" s="2">
        <f>'Moving Avg'!H317</f>
        <v>5.4870749999999973</v>
      </c>
      <c r="J317" s="5" t="str">
        <f>OBV!F317</f>
        <v>BEARISH</v>
      </c>
      <c r="K317" s="5" t="str">
        <f>OBV!G317</f>
        <v>NEUTRAL</v>
      </c>
      <c r="L317" s="5" t="str">
        <f>OBV!H317</f>
        <v>CONFIRMED BEARISH</v>
      </c>
    </row>
    <row r="318" spans="1:12" ht="13.5" x14ac:dyDescent="0.25">
      <c r="A318" s="3">
        <f>RSI!A318</f>
        <v>45378</v>
      </c>
      <c r="B318" s="2">
        <f>RSI!B318</f>
        <v>5.34</v>
      </c>
      <c r="C318" s="2">
        <f>RSI!I318</f>
        <v>64.662803940403563</v>
      </c>
      <c r="D318" s="2">
        <f>MACD!E318</f>
        <v>-2.1195924378604403E-2</v>
      </c>
      <c r="E318" s="2">
        <f>MACD!F318</f>
        <v>-8.6556649613254877E-2</v>
      </c>
      <c r="F318" s="2">
        <f>'Moving Avg'!D318</f>
        <v>5.3346</v>
      </c>
      <c r="G318" s="2">
        <f>'Moving Avg'!F318</f>
        <v>5.2880500000000001</v>
      </c>
      <c r="H318" s="2">
        <f>'Moving Avg'!G318</f>
        <v>5.0327799999999998</v>
      </c>
      <c r="I318" s="2">
        <f>'Moving Avg'!H318</f>
        <v>5.4841049999999969</v>
      </c>
      <c r="J318" s="5" t="str">
        <f>OBV!F318</f>
        <v>BEARISH</v>
      </c>
      <c r="K318" s="5" t="str">
        <f>OBV!G318</f>
        <v>NEUTRAL</v>
      </c>
      <c r="L318" s="5" t="str">
        <f>OBV!H318</f>
        <v>CONFIRMED BEARISH</v>
      </c>
    </row>
    <row r="319" spans="1:12" ht="13.5" x14ac:dyDescent="0.25">
      <c r="A319" s="3">
        <f>RSI!A319</f>
        <v>45379</v>
      </c>
      <c r="B319" s="2">
        <f>RSI!B319</f>
        <v>5.3310000000000004</v>
      </c>
      <c r="C319" s="2">
        <f>RSI!I319</f>
        <v>63.259542047682835</v>
      </c>
      <c r="D319" s="2">
        <f>MACD!E319</f>
        <v>-5.4179468870936276E-3</v>
      </c>
      <c r="E319" s="2">
        <f>MACD!F319</f>
        <v>-7.0328909068022638E-2</v>
      </c>
      <c r="F319" s="2">
        <f>'Moving Avg'!D319</f>
        <v>5.3381999999999996</v>
      </c>
      <c r="G319" s="2">
        <f>'Moving Avg'!F319</f>
        <v>5.3026999999999997</v>
      </c>
      <c r="H319" s="2">
        <f>'Moving Avg'!G319</f>
        <v>5.0407599999999997</v>
      </c>
      <c r="I319" s="2">
        <f>'Moving Avg'!H319</f>
        <v>5.4809999999999954</v>
      </c>
      <c r="J319" s="5" t="str">
        <f>OBV!F319</f>
        <v>BEARISH</v>
      </c>
      <c r="K319" s="5" t="str">
        <f>OBV!G319</f>
        <v>NEUTRAL</v>
      </c>
      <c r="L319" s="5" t="str">
        <f>OBV!H319</f>
        <v>BEARISH DIVERGENCE</v>
      </c>
    </row>
    <row r="320" spans="1:12" ht="13.5" x14ac:dyDescent="0.25">
      <c r="A320" s="3">
        <f>RSI!A320</f>
        <v>45380</v>
      </c>
      <c r="B320" s="2">
        <f>RSI!B320</f>
        <v>5.3220000000000001</v>
      </c>
      <c r="C320" s="2">
        <f>RSI!I320</f>
        <v>61.814894142949122</v>
      </c>
      <c r="D320" s="2">
        <f>MACD!E320</f>
        <v>7.9798183485584318E-3</v>
      </c>
      <c r="E320" s="2">
        <f>MACD!F320</f>
        <v>-5.4667163584706427E-2</v>
      </c>
      <c r="F320" s="2">
        <f>'Moving Avg'!D320</f>
        <v>5.3346</v>
      </c>
      <c r="G320" s="2">
        <f>'Moving Avg'!F320</f>
        <v>5.3138000000000005</v>
      </c>
      <c r="H320" s="2">
        <f>'Moving Avg'!G320</f>
        <v>5.04786</v>
      </c>
      <c r="I320" s="2">
        <f>'Moving Avg'!H320</f>
        <v>5.4778049999999947</v>
      </c>
      <c r="J320" s="5" t="str">
        <f>OBV!F320</f>
        <v>BEARISH</v>
      </c>
      <c r="K320" s="5" t="str">
        <f>OBV!G320</f>
        <v>STRONG</v>
      </c>
      <c r="L320" s="5" t="str">
        <f>OBV!H320</f>
        <v>CONFIRMED BEARISH</v>
      </c>
    </row>
    <row r="321" spans="1:12" ht="13.5" x14ac:dyDescent="0.25">
      <c r="A321" s="3">
        <f>RSI!A321</f>
        <v>45383</v>
      </c>
      <c r="B321" s="2">
        <f>RSI!B321</f>
        <v>5.3310000000000004</v>
      </c>
      <c r="C321" s="2">
        <f>RSI!I321</f>
        <v>62.731458673476219</v>
      </c>
      <c r="D321" s="2">
        <f>MACD!E321</f>
        <v>1.8129294606136881E-2</v>
      </c>
      <c r="E321" s="2">
        <f>MACD!F321</f>
        <v>-4.0107871946537768E-2</v>
      </c>
      <c r="F321" s="2">
        <f>'Moving Avg'!D321</f>
        <v>5.3327999999999998</v>
      </c>
      <c r="G321" s="2">
        <f>'Moving Avg'!F321</f>
        <v>5.3297499999999998</v>
      </c>
      <c r="H321" s="2">
        <f>'Moving Avg'!G321</f>
        <v>5.0551399999999997</v>
      </c>
      <c r="I321" s="2">
        <f>'Moving Avg'!H321</f>
        <v>5.4746549999999949</v>
      </c>
      <c r="J321" s="5" t="str">
        <f>OBV!F321</f>
        <v>BEARISH</v>
      </c>
      <c r="K321" s="5" t="str">
        <f>OBV!G321</f>
        <v>STRONG</v>
      </c>
      <c r="L321" s="5" t="str">
        <f>OBV!H321</f>
        <v>CONFIRMED BEARISH</v>
      </c>
    </row>
    <row r="322" spans="1:12" ht="13.5" x14ac:dyDescent="0.25">
      <c r="A322" s="3">
        <f>RSI!A322</f>
        <v>45384</v>
      </c>
      <c r="B322" s="2">
        <f>RSI!B322</f>
        <v>5.3310000000000004</v>
      </c>
      <c r="C322" s="2">
        <f>RSI!I322</f>
        <v>62.731458673476226</v>
      </c>
      <c r="D322" s="2">
        <f>MACD!E322</f>
        <v>2.6182254128670479E-2</v>
      </c>
      <c r="E322" s="2">
        <f>MACD!F322</f>
        <v>-2.6849846731496117E-2</v>
      </c>
      <c r="F322" s="2">
        <f>'Moving Avg'!D322</f>
        <v>5.3309999999999995</v>
      </c>
      <c r="G322" s="2">
        <f>'Moving Avg'!F322</f>
        <v>5.3377500000000007</v>
      </c>
      <c r="H322" s="2">
        <f>'Moving Avg'!G322</f>
        <v>5.0609999999999999</v>
      </c>
      <c r="I322" s="2">
        <f>'Moving Avg'!H322</f>
        <v>5.4715949999999944</v>
      </c>
      <c r="J322" s="5" t="str">
        <f>OBV!F322</f>
        <v>BEARISH</v>
      </c>
      <c r="K322" s="5" t="str">
        <f>OBV!G322</f>
        <v>STRONG</v>
      </c>
      <c r="L322" s="5" t="str">
        <f>OBV!H322</f>
        <v>CONFIRMED BEARISH</v>
      </c>
    </row>
    <row r="323" spans="1:12" ht="13.5" x14ac:dyDescent="0.25">
      <c r="A323" s="3">
        <f>RSI!A323</f>
        <v>45385</v>
      </c>
      <c r="B323" s="2">
        <f>RSI!B323</f>
        <v>5.3579999999999997</v>
      </c>
      <c r="C323" s="2">
        <f>RSI!I323</f>
        <v>65.604008083163734</v>
      </c>
      <c r="D323" s="2">
        <f>MACD!E323</f>
        <v>3.0500871941155694E-2</v>
      </c>
      <c r="E323" s="2">
        <f>MACD!F323</f>
        <v>-1.5379702996965759E-2</v>
      </c>
      <c r="F323" s="2">
        <f>'Moving Avg'!D323</f>
        <v>5.3346</v>
      </c>
      <c r="G323" s="2">
        <f>'Moving Avg'!F323</f>
        <v>5.3395500000000009</v>
      </c>
      <c r="H323" s="2">
        <f>'Moving Avg'!G323</f>
        <v>5.0688199999999988</v>
      </c>
      <c r="I323" s="2">
        <f>'Moving Avg'!H323</f>
        <v>5.4686699999999941</v>
      </c>
      <c r="J323" s="5" t="str">
        <f>OBV!F323</f>
        <v>BULLISH</v>
      </c>
      <c r="K323" s="5" t="str">
        <f>OBV!G323</f>
        <v>NEUTRAL</v>
      </c>
      <c r="L323" s="5" t="str">
        <f>OBV!H323</f>
        <v>CONFIRMED BULLISH</v>
      </c>
    </row>
    <row r="324" spans="1:12" ht="13.5" x14ac:dyDescent="0.25">
      <c r="A324" s="3">
        <f>RSI!A324</f>
        <v>45386</v>
      </c>
      <c r="B324" s="2">
        <f>RSI!B324</f>
        <v>5.3579999999999997</v>
      </c>
      <c r="C324" s="2">
        <f>RSI!I324</f>
        <v>65.604008083163734</v>
      </c>
      <c r="D324" s="2">
        <f>MACD!E324</f>
        <v>2.6613739208018572E-2</v>
      </c>
      <c r="E324" s="2">
        <f>MACD!F324</f>
        <v>-6.9810145559688931E-3</v>
      </c>
      <c r="F324" s="2">
        <f>'Moving Avg'!D324</f>
        <v>5.3400000000000007</v>
      </c>
      <c r="G324" s="2">
        <f>'Moving Avg'!F324</f>
        <v>5.3391500000000018</v>
      </c>
      <c r="H324" s="2">
        <f>'Moving Avg'!G324</f>
        <v>5.0783999999999994</v>
      </c>
      <c r="I324" s="2">
        <f>'Moving Avg'!H324</f>
        <v>5.465834999999994</v>
      </c>
      <c r="J324" s="5" t="str">
        <f>OBV!F324</f>
        <v>BULLISH</v>
      </c>
      <c r="K324" s="5" t="str">
        <f>OBV!G324</f>
        <v>WEAK</v>
      </c>
      <c r="L324" s="5" t="str">
        <f>OBV!H324</f>
        <v>CONFIRMED BULLISH</v>
      </c>
    </row>
    <row r="325" spans="1:12" ht="13.5" x14ac:dyDescent="0.25">
      <c r="A325" s="3">
        <f>RSI!A325</f>
        <v>45387</v>
      </c>
      <c r="B325" s="2">
        <f>RSI!B325</f>
        <v>5.3220000000000001</v>
      </c>
      <c r="C325" s="2">
        <f>RSI!I325</f>
        <v>58.617495081709713</v>
      </c>
      <c r="D325" s="2">
        <f>MACD!E325</f>
        <v>2.9572666676837223E-2</v>
      </c>
      <c r="E325" s="2">
        <f>MACD!F325</f>
        <v>3.2972169059233055E-4</v>
      </c>
      <c r="F325" s="2">
        <f>'Moving Avg'!D325</f>
        <v>5.34</v>
      </c>
      <c r="G325" s="2">
        <f>'Moving Avg'!F325</f>
        <v>5.3391500000000018</v>
      </c>
      <c r="H325" s="2">
        <f>'Moving Avg'!G325</f>
        <v>5.0854999999999997</v>
      </c>
      <c r="I325" s="2">
        <f>'Moving Avg'!H325</f>
        <v>5.4627749999999935</v>
      </c>
      <c r="J325" s="5" t="str">
        <f>OBV!F325</f>
        <v>BULLISH</v>
      </c>
      <c r="K325" s="5" t="str">
        <f>OBV!G325</f>
        <v>WEAK</v>
      </c>
      <c r="L325" s="5" t="str">
        <f>OBV!H325</f>
        <v>NEUTRAL</v>
      </c>
    </row>
    <row r="326" spans="1:12" ht="13.5" x14ac:dyDescent="0.25">
      <c r="A326" s="3">
        <f>RSI!A326</f>
        <v>45390</v>
      </c>
      <c r="B326" s="2">
        <f>RSI!B326</f>
        <v>5.3220000000000001</v>
      </c>
      <c r="C326" s="2">
        <f>RSI!I326</f>
        <v>58.617495081709713</v>
      </c>
      <c r="D326" s="2">
        <f>MACD!E326</f>
        <v>3.175903245238576E-2</v>
      </c>
      <c r="E326" s="2">
        <f>MACD!F326</f>
        <v>6.6155838429510167E-3</v>
      </c>
      <c r="F326" s="2">
        <f>'Moving Avg'!D326</f>
        <v>5.3381999999999996</v>
      </c>
      <c r="G326" s="2">
        <f>'Moving Avg'!F326</f>
        <v>5.3396000000000017</v>
      </c>
      <c r="H326" s="2">
        <f>'Moving Avg'!G326</f>
        <v>5.0965000000000007</v>
      </c>
      <c r="I326" s="2">
        <f>'Moving Avg'!H326</f>
        <v>5.459669999999992</v>
      </c>
      <c r="J326" s="5" t="str">
        <f>OBV!F326</f>
        <v>BULLISH</v>
      </c>
      <c r="K326" s="5" t="str">
        <f>OBV!G326</f>
        <v>NEUTRAL</v>
      </c>
      <c r="L326" s="5" t="str">
        <f>OBV!H326</f>
        <v>BULLISH DIVERGENCE</v>
      </c>
    </row>
    <row r="327" spans="1:12" ht="13.5" x14ac:dyDescent="0.25">
      <c r="A327" s="3">
        <f>RSI!A327</f>
        <v>45394</v>
      </c>
      <c r="B327" s="2">
        <f>RSI!B327</f>
        <v>5.3129999999999997</v>
      </c>
      <c r="C327" s="2">
        <f>RSI!I327</f>
        <v>56.861756923242638</v>
      </c>
      <c r="D327" s="2">
        <f>MACD!E327</f>
        <v>3.3981865667389144E-2</v>
      </c>
      <c r="E327" s="2">
        <f>MACD!F327</f>
        <v>1.2088840207838642E-2</v>
      </c>
      <c r="F327" s="2">
        <f>'Moving Avg'!D327</f>
        <v>5.3346</v>
      </c>
      <c r="G327" s="2">
        <f>'Moving Avg'!F327</f>
        <v>5.3404500000000024</v>
      </c>
      <c r="H327" s="2">
        <f>'Moving Avg'!G327</f>
        <v>5.1043000000000003</v>
      </c>
      <c r="I327" s="2">
        <f>'Moving Avg'!H327</f>
        <v>5.4565649999999923</v>
      </c>
      <c r="J327" s="5" t="str">
        <f>OBV!F327</f>
        <v>BEARISH</v>
      </c>
      <c r="K327" s="5" t="str">
        <f>OBV!G327</f>
        <v>STRONG</v>
      </c>
      <c r="L327" s="5" t="str">
        <f>OBV!H327</f>
        <v>CONFIRMED BEARISH</v>
      </c>
    </row>
    <row r="328" spans="1:12" ht="13.5" x14ac:dyDescent="0.25">
      <c r="A328" s="3">
        <f>RSI!A328</f>
        <v>45397</v>
      </c>
      <c r="B328" s="2">
        <f>RSI!B328</f>
        <v>5.3129999999999997</v>
      </c>
      <c r="C328" s="2">
        <f>RSI!I328</f>
        <v>56.861756923242638</v>
      </c>
      <c r="D328" s="2">
        <f>MACD!E328</f>
        <v>3.5643836241339599E-2</v>
      </c>
      <c r="E328" s="2">
        <f>MACD!F328</f>
        <v>1.6799839414538834E-2</v>
      </c>
      <c r="F328" s="2">
        <f>'Moving Avg'!D328</f>
        <v>5.3255999999999997</v>
      </c>
      <c r="G328" s="2">
        <f>'Moving Avg'!F328</f>
        <v>5.3382000000000023</v>
      </c>
      <c r="H328" s="2">
        <f>'Moving Avg'!G328</f>
        <v>5.1112199999999994</v>
      </c>
      <c r="I328" s="2">
        <f>'Moving Avg'!H328</f>
        <v>5.4535049999999936</v>
      </c>
      <c r="J328" s="5" t="str">
        <f>OBV!F328</f>
        <v>BEARISH</v>
      </c>
      <c r="K328" s="5" t="str">
        <f>OBV!G328</f>
        <v>STRONG</v>
      </c>
      <c r="L328" s="5" t="str">
        <f>OBV!H328</f>
        <v>CONFIRMED BEARISH</v>
      </c>
    </row>
    <row r="329" spans="1:12" ht="13.5" x14ac:dyDescent="0.25">
      <c r="A329" s="3">
        <f>RSI!A329</f>
        <v>45398</v>
      </c>
      <c r="B329" s="2">
        <f>RSI!B329</f>
        <v>5.3129999999999997</v>
      </c>
      <c r="C329" s="2">
        <f>RSI!I329</f>
        <v>56.861756923242645</v>
      </c>
      <c r="D329" s="2">
        <f>MACD!E329</f>
        <v>3.546282929795197E-2</v>
      </c>
      <c r="E329" s="2">
        <f>MACD!F329</f>
        <v>2.0532437391221462E-2</v>
      </c>
      <c r="F329" s="2">
        <f>'Moving Avg'!D329</f>
        <v>5.3165999999999993</v>
      </c>
      <c r="G329" s="2">
        <f>'Moving Avg'!F329</f>
        <v>5.3359500000000022</v>
      </c>
      <c r="H329" s="2">
        <f>'Moving Avg'!G329</f>
        <v>5.1207999999999991</v>
      </c>
      <c r="I329" s="2">
        <f>'Moving Avg'!H329</f>
        <v>5.4504449999999949</v>
      </c>
      <c r="J329" s="5" t="str">
        <f>OBV!F329</f>
        <v>BEARISH</v>
      </c>
      <c r="K329" s="5" t="str">
        <f>OBV!G329</f>
        <v>STRONG</v>
      </c>
      <c r="L329" s="5" t="str">
        <f>OBV!H329</f>
        <v>CONFIRMED BEARISH</v>
      </c>
    </row>
    <row r="330" spans="1:12" ht="13.5" x14ac:dyDescent="0.25">
      <c r="A330" s="3">
        <f>RSI!A330</f>
        <v>45399</v>
      </c>
      <c r="B330" s="2">
        <f>RSI!B330</f>
        <v>5.3129999999999997</v>
      </c>
      <c r="C330" s="2">
        <f>RSI!I330</f>
        <v>56.861756923242645</v>
      </c>
      <c r="D330" s="2">
        <f>MACD!E330</f>
        <v>3.3737392754865425E-2</v>
      </c>
      <c r="E330" s="2">
        <f>MACD!F330</f>
        <v>2.3173428463950256E-2</v>
      </c>
      <c r="F330" s="2">
        <f>'Moving Avg'!D330</f>
        <v>5.3148</v>
      </c>
      <c r="G330" s="2">
        <f>'Moving Avg'!F330</f>
        <v>5.3337000000000021</v>
      </c>
      <c r="H330" s="2">
        <f>'Moving Avg'!G330</f>
        <v>5.12948</v>
      </c>
      <c r="I330" s="2">
        <f>'Moving Avg'!H330</f>
        <v>5.4475599999999966</v>
      </c>
      <c r="J330" s="5" t="str">
        <f>OBV!F330</f>
        <v>BEARISH</v>
      </c>
      <c r="K330" s="5" t="str">
        <f>OBV!G330</f>
        <v>STRONG</v>
      </c>
      <c r="L330" s="5" t="str">
        <f>OBV!H330</f>
        <v>CONFIRMED BEARISH</v>
      </c>
    </row>
    <row r="331" spans="1:12" ht="13.5" x14ac:dyDescent="0.25">
      <c r="A331" s="3">
        <f>RSI!A331</f>
        <v>45400</v>
      </c>
      <c r="B331" s="2">
        <f>RSI!B331</f>
        <v>5.2329999999999997</v>
      </c>
      <c r="C331" s="2">
        <f>RSI!I331</f>
        <v>41.86824268967824</v>
      </c>
      <c r="D331" s="2">
        <f>MACD!E331</f>
        <v>3.9414188708231102E-2</v>
      </c>
      <c r="E331" s="2">
        <f>MACD!F331</f>
        <v>2.6421580512806426E-2</v>
      </c>
      <c r="F331" s="2">
        <f>'Moving Avg'!D331</f>
        <v>5.2969999999999997</v>
      </c>
      <c r="G331" s="2">
        <f>'Moving Avg'!F331</f>
        <v>5.3274500000000016</v>
      </c>
      <c r="H331" s="2">
        <f>'Moving Avg'!G331</f>
        <v>5.1367399999999996</v>
      </c>
      <c r="I331" s="2">
        <f>'Moving Avg'!H331</f>
        <v>5.4442749999999966</v>
      </c>
      <c r="J331" s="5" t="str">
        <f>OBV!F331</f>
        <v>BEARISH</v>
      </c>
      <c r="K331" s="5" t="str">
        <f>OBV!G331</f>
        <v>STRONG</v>
      </c>
      <c r="L331" s="5" t="str">
        <f>OBV!H331</f>
        <v>CONFIRMED BEARISH</v>
      </c>
    </row>
    <row r="332" spans="1:12" ht="13.5" x14ac:dyDescent="0.25">
      <c r="A332" s="3">
        <f>RSI!A332</f>
        <v>45401</v>
      </c>
      <c r="B332" s="2">
        <f>RSI!B332</f>
        <v>5.2329999999999997</v>
      </c>
      <c r="C332" s="2">
        <f>RSI!I332</f>
        <v>41.86824268967824</v>
      </c>
      <c r="D332" s="2">
        <f>MACD!E332</f>
        <v>4.4529465438552407E-2</v>
      </c>
      <c r="E332" s="2">
        <f>MACD!F332</f>
        <v>3.0043157497955622E-2</v>
      </c>
      <c r="F332" s="2">
        <f>'Moving Avg'!D332</f>
        <v>5.2810000000000006</v>
      </c>
      <c r="G332" s="2">
        <f>'Moving Avg'!F332</f>
        <v>5.3212000000000019</v>
      </c>
      <c r="H332" s="2">
        <f>'Moving Avg'!G332</f>
        <v>5.1475599999999995</v>
      </c>
      <c r="I332" s="2">
        <f>'Moving Avg'!H332</f>
        <v>5.4411249999999969</v>
      </c>
      <c r="J332" s="5" t="str">
        <f>OBV!F332</f>
        <v>BEARISH</v>
      </c>
      <c r="K332" s="5" t="str">
        <f>OBV!G332</f>
        <v>STRONG</v>
      </c>
      <c r="L332" s="5" t="str">
        <f>OBV!H332</f>
        <v>CONFIRMED BEARISH</v>
      </c>
    </row>
    <row r="333" spans="1:12" ht="13.5" x14ac:dyDescent="0.25">
      <c r="A333" s="3">
        <f>RSI!A333</f>
        <v>45404</v>
      </c>
      <c r="B333" s="2">
        <f>RSI!B333</f>
        <v>5.2329999999999997</v>
      </c>
      <c r="C333" s="2">
        <f>RSI!I333</f>
        <v>41.868242689678233</v>
      </c>
      <c r="D333" s="2">
        <f>MACD!E333</f>
        <v>5.3300357857595237E-2</v>
      </c>
      <c r="E333" s="2">
        <f>MACD!F333</f>
        <v>3.4694597569883551E-2</v>
      </c>
      <c r="F333" s="2">
        <f>'Moving Avg'!D333</f>
        <v>5.2649999999999997</v>
      </c>
      <c r="G333" s="2">
        <f>'Moving Avg'!F333</f>
        <v>5.3149500000000014</v>
      </c>
      <c r="H333" s="2">
        <f>'Moving Avg'!G333</f>
        <v>5.1567800000000004</v>
      </c>
      <c r="I333" s="2">
        <f>'Moving Avg'!H333</f>
        <v>5.4384599999999974</v>
      </c>
      <c r="J333" s="5" t="str">
        <f>OBV!F333</f>
        <v>BEARISH</v>
      </c>
      <c r="K333" s="5" t="str">
        <f>OBV!G333</f>
        <v>STRONG</v>
      </c>
      <c r="L333" s="5" t="str">
        <f>OBV!H333</f>
        <v>CONFIRMED BEARISH</v>
      </c>
    </row>
    <row r="334" spans="1:12" ht="13.5" x14ac:dyDescent="0.25">
      <c r="A334" s="3">
        <f>RSI!A334</f>
        <v>45405</v>
      </c>
      <c r="B334" s="2">
        <f>RSI!B334</f>
        <v>5.2329999999999997</v>
      </c>
      <c r="C334" s="2">
        <f>RSI!I334</f>
        <v>41.868242689678233</v>
      </c>
      <c r="D334" s="2">
        <f>MACD!E334</f>
        <v>6.0989229606331463E-2</v>
      </c>
      <c r="E334" s="2">
        <f>MACD!F334</f>
        <v>3.9953523977173132E-2</v>
      </c>
      <c r="F334" s="2">
        <f>'Moving Avg'!D334</f>
        <v>5.2490000000000006</v>
      </c>
      <c r="G334" s="2">
        <f>'Moving Avg'!F334</f>
        <v>5.3109500000000009</v>
      </c>
      <c r="H334" s="2">
        <f>'Moving Avg'!G334</f>
        <v>5.1674199999999999</v>
      </c>
      <c r="I334" s="2">
        <f>'Moving Avg'!H334</f>
        <v>5.4357949999999997</v>
      </c>
      <c r="J334" s="5" t="str">
        <f>OBV!F334</f>
        <v>BEARISH</v>
      </c>
      <c r="K334" s="5" t="str">
        <f>OBV!G334</f>
        <v>STRONG</v>
      </c>
      <c r="L334" s="5" t="str">
        <f>OBV!H334</f>
        <v>CONFIRMED BEARISH</v>
      </c>
    </row>
    <row r="335" spans="1:12" ht="13.5" x14ac:dyDescent="0.25">
      <c r="A335" s="3">
        <f>RSI!A335</f>
        <v>45406</v>
      </c>
      <c r="B335" s="2">
        <f>RSI!B335</f>
        <v>5.2329999999999997</v>
      </c>
      <c r="C335" s="2">
        <f>RSI!I335</f>
        <v>41.868242689678233</v>
      </c>
      <c r="D335" s="2">
        <f>MACD!E335</f>
        <v>6.2204280354129615E-2</v>
      </c>
      <c r="E335" s="2">
        <f>MACD!F335</f>
        <v>4.4403675252564431E-2</v>
      </c>
      <c r="F335" s="2">
        <f>'Moving Avg'!D335</f>
        <v>5.2329999999999997</v>
      </c>
      <c r="G335" s="2">
        <f>'Moving Avg'!F335</f>
        <v>5.305600000000001</v>
      </c>
      <c r="H335" s="2">
        <f>'Moving Avg'!G335</f>
        <v>5.1764599999999996</v>
      </c>
      <c r="I335" s="2">
        <f>'Moving Avg'!H335</f>
        <v>5.4331299999999985</v>
      </c>
      <c r="J335" s="5" t="str">
        <f>OBV!F335</f>
        <v>BEARISH</v>
      </c>
      <c r="K335" s="5" t="str">
        <f>OBV!G335</f>
        <v>STRONG</v>
      </c>
      <c r="L335" s="5" t="str">
        <f>OBV!H335</f>
        <v>CONFIRMED BEARISH</v>
      </c>
    </row>
    <row r="336" spans="1:12" ht="13.5" x14ac:dyDescent="0.25">
      <c r="A336" s="3">
        <f>RSI!A336</f>
        <v>45407</v>
      </c>
      <c r="B336" s="2">
        <f>RSI!B336</f>
        <v>5.1890000000000001</v>
      </c>
      <c r="C336" s="2">
        <f>RSI!I336</f>
        <v>34.599779445755757</v>
      </c>
      <c r="D336" s="2">
        <f>MACD!E336</f>
        <v>6.6720866776431187E-2</v>
      </c>
      <c r="E336" s="2">
        <f>MACD!F336</f>
        <v>4.8867113557337784E-2</v>
      </c>
      <c r="F336" s="2">
        <f>'Moving Avg'!D336</f>
        <v>5.2241999999999997</v>
      </c>
      <c r="G336" s="2">
        <f>'Moving Avg'!F336</f>
        <v>5.2980500000000008</v>
      </c>
      <c r="H336" s="2">
        <f>'Moving Avg'!G336</f>
        <v>5.1846199999999998</v>
      </c>
      <c r="I336" s="2">
        <f>'Moving Avg'!H336</f>
        <v>5.4306899999999994</v>
      </c>
      <c r="J336" s="5" t="str">
        <f>OBV!F336</f>
        <v>BEARISH</v>
      </c>
      <c r="K336" s="5" t="str">
        <f>OBV!G336</f>
        <v>STRONG</v>
      </c>
      <c r="L336" s="5" t="str">
        <f>OBV!H336</f>
        <v>CONFIRMED BEARISH</v>
      </c>
    </row>
    <row r="337" spans="1:12" ht="13.5" x14ac:dyDescent="0.25">
      <c r="A337" s="3">
        <f>RSI!A337</f>
        <v>45408</v>
      </c>
      <c r="B337" s="2">
        <f>RSI!B337</f>
        <v>5.3220000000000001</v>
      </c>
      <c r="C337" s="2">
        <f>RSI!I337</f>
        <v>58.213954777280811</v>
      </c>
      <c r="D337" s="2">
        <f>MACD!E337</f>
        <v>5.977835338334625E-2</v>
      </c>
      <c r="E337" s="2">
        <f>MACD!F337</f>
        <v>5.1049361522539478E-2</v>
      </c>
      <c r="F337" s="2">
        <f>'Moving Avg'!D337</f>
        <v>5.2419999999999991</v>
      </c>
      <c r="G337" s="2">
        <f>'Moving Avg'!F337</f>
        <v>5.297150000000002</v>
      </c>
      <c r="H337" s="2">
        <f>'Moving Avg'!G337</f>
        <v>5.1970399999999994</v>
      </c>
      <c r="I337" s="2">
        <f>'Moving Avg'!H337</f>
        <v>5.4289150000000008</v>
      </c>
      <c r="J337" s="5" t="str">
        <f>OBV!F337</f>
        <v>BULLISH</v>
      </c>
      <c r="K337" s="5" t="str">
        <f>OBV!G337</f>
        <v>NEUTRAL</v>
      </c>
      <c r="L337" s="5" t="str">
        <f>OBV!H337</f>
        <v>CONFIRMED BULLISH</v>
      </c>
    </row>
    <row r="338" spans="1:12" ht="13.5" x14ac:dyDescent="0.25">
      <c r="A338" s="3">
        <f>RSI!A338</f>
        <v>45411</v>
      </c>
      <c r="B338" s="2">
        <f>RSI!B338</f>
        <v>5.3220000000000001</v>
      </c>
      <c r="C338" s="2">
        <f>RSI!I338</f>
        <v>58.213954777280819</v>
      </c>
      <c r="D338" s="2">
        <f>MACD!E338</f>
        <v>5.3555263364454042E-2</v>
      </c>
      <c r="E338" s="2">
        <f>MACD!F338</f>
        <v>5.1550541890922397E-2</v>
      </c>
      <c r="F338" s="2">
        <f>'Moving Avg'!D338</f>
        <v>5.2598000000000003</v>
      </c>
      <c r="G338" s="2">
        <f>'Moving Avg'!F338</f>
        <v>5.2962500000000023</v>
      </c>
      <c r="H338" s="2">
        <f>'Moving Avg'!G338</f>
        <v>5.20946</v>
      </c>
      <c r="I338" s="2">
        <f>'Moving Avg'!H338</f>
        <v>5.4271400000000005</v>
      </c>
      <c r="J338" s="5" t="str">
        <f>OBV!F338</f>
        <v>BULLISH</v>
      </c>
      <c r="K338" s="5" t="str">
        <f>OBV!G338</f>
        <v>NEUTRAL</v>
      </c>
      <c r="L338" s="5" t="str">
        <f>OBV!H338</f>
        <v>CONFIRMED BULLISH</v>
      </c>
    </row>
    <row r="339" spans="1:12" ht="13.5" x14ac:dyDescent="0.25">
      <c r="A339" s="3">
        <f>RSI!A339</f>
        <v>45412</v>
      </c>
      <c r="B339" s="2">
        <f>RSI!B339</f>
        <v>5.3220000000000001</v>
      </c>
      <c r="C339" s="2">
        <f>RSI!I339</f>
        <v>58.213954777280819</v>
      </c>
      <c r="D339" s="2">
        <f>MACD!E339</f>
        <v>4.7966742542079999E-2</v>
      </c>
      <c r="E339" s="2">
        <f>MACD!F339</f>
        <v>5.083378202115392E-2</v>
      </c>
      <c r="F339" s="2">
        <f>'Moving Avg'!D339</f>
        <v>5.2775999999999996</v>
      </c>
      <c r="G339" s="2">
        <f>'Moving Avg'!F339</f>
        <v>5.2958000000000016</v>
      </c>
      <c r="H339" s="2">
        <f>'Moving Avg'!G339</f>
        <v>5.2220599999999999</v>
      </c>
      <c r="I339" s="2">
        <f>'Moving Avg'!H339</f>
        <v>5.4253649999999993</v>
      </c>
      <c r="J339" s="5" t="str">
        <f>OBV!F339</f>
        <v>BULLISH</v>
      </c>
      <c r="K339" s="5" t="str">
        <f>OBV!G339</f>
        <v>NEUTRAL</v>
      </c>
      <c r="L339" s="5" t="str">
        <f>OBV!H339</f>
        <v>CONFIRMED BULLISH</v>
      </c>
    </row>
    <row r="340" spans="1:12" ht="13.5" x14ac:dyDescent="0.25">
      <c r="A340" s="3">
        <f>RSI!A340</f>
        <v>45414</v>
      </c>
      <c r="B340" s="2">
        <f>RSI!B340</f>
        <v>5.3220000000000001</v>
      </c>
      <c r="C340" s="2">
        <f>RSI!I340</f>
        <v>58.213954777280819</v>
      </c>
      <c r="D340" s="2">
        <f>MACD!E340</f>
        <v>4.2939078165095346E-2</v>
      </c>
      <c r="E340" s="2">
        <f>MACD!F340</f>
        <v>4.9254841249942213E-2</v>
      </c>
      <c r="F340" s="2">
        <f>'Moving Avg'!D340</f>
        <v>5.295399999999999</v>
      </c>
      <c r="G340" s="2">
        <f>'Moving Avg'!F340</f>
        <v>5.2958000000000016</v>
      </c>
      <c r="H340" s="2">
        <f>'Moving Avg'!G340</f>
        <v>5.2346599999999999</v>
      </c>
      <c r="I340" s="2">
        <f>'Moving Avg'!H340</f>
        <v>5.4235899999999981</v>
      </c>
      <c r="J340" s="5" t="str">
        <f>OBV!F340</f>
        <v>BULLISH</v>
      </c>
      <c r="K340" s="5" t="str">
        <f>OBV!G340</f>
        <v>NEUTRAL</v>
      </c>
      <c r="L340" s="5" t="str">
        <f>OBV!H340</f>
        <v>CONFIRMED BULLISH</v>
      </c>
    </row>
    <row r="341" spans="1:12" ht="13.5" x14ac:dyDescent="0.25">
      <c r="A341" s="3">
        <f>RSI!A341</f>
        <v>45415</v>
      </c>
      <c r="B341" s="2">
        <f>RSI!B341</f>
        <v>5.3490000000000002</v>
      </c>
      <c r="C341" s="2">
        <f>RSI!I341</f>
        <v>61.964021700645048</v>
      </c>
      <c r="D341" s="2">
        <f>MACD!E341</f>
        <v>2.4100434243925051E-2</v>
      </c>
      <c r="E341" s="2">
        <f>MACD!F341</f>
        <v>4.4223959848738781E-2</v>
      </c>
      <c r="F341" s="2">
        <f>'Moving Avg'!D341</f>
        <v>5.3273999999999999</v>
      </c>
      <c r="G341" s="2">
        <f>'Moving Avg'!F341</f>
        <v>5.2967000000000004</v>
      </c>
      <c r="H341" s="2">
        <f>'Moving Avg'!G341</f>
        <v>5.2476199999999995</v>
      </c>
      <c r="I341" s="2">
        <f>'Moving Avg'!H341</f>
        <v>5.4219499999999972</v>
      </c>
      <c r="J341" s="5" t="str">
        <f>OBV!F341</f>
        <v>BULLISH</v>
      </c>
      <c r="K341" s="5" t="str">
        <f>OBV!G341</f>
        <v>WEAK</v>
      </c>
      <c r="L341" s="5" t="str">
        <f>OBV!H341</f>
        <v>CONFIRMED BULLISH</v>
      </c>
    </row>
    <row r="342" spans="1:12" ht="13.5" x14ac:dyDescent="0.25">
      <c r="A342" s="3">
        <f>RSI!A342</f>
        <v>45418</v>
      </c>
      <c r="B342" s="2">
        <f>RSI!B342</f>
        <v>5.3490000000000002</v>
      </c>
      <c r="C342" s="2">
        <f>RSI!I342</f>
        <v>61.964021700645048</v>
      </c>
      <c r="D342" s="2">
        <f>MACD!E342</f>
        <v>7.7442267929344055E-3</v>
      </c>
      <c r="E342" s="2">
        <f>MACD!F342</f>
        <v>3.6928013237577911E-2</v>
      </c>
      <c r="F342" s="2">
        <f>'Moving Avg'!D342</f>
        <v>5.3328000000000007</v>
      </c>
      <c r="G342" s="2">
        <f>'Moving Avg'!F342</f>
        <v>5.2976000000000001</v>
      </c>
      <c r="H342" s="2">
        <f>'Moving Avg'!G342</f>
        <v>5.2555999999999994</v>
      </c>
      <c r="I342" s="2">
        <f>'Moving Avg'!H342</f>
        <v>5.4200899999999983</v>
      </c>
      <c r="J342" s="5" t="str">
        <f>OBV!F342</f>
        <v>BULLISH</v>
      </c>
      <c r="K342" s="5" t="str">
        <f>OBV!G342</f>
        <v>WEAK</v>
      </c>
      <c r="L342" s="5" t="str">
        <f>OBV!H342</f>
        <v>CONFIRMED BULLISH</v>
      </c>
    </row>
    <row r="343" spans="1:12" ht="13.5" x14ac:dyDescent="0.25">
      <c r="A343" s="3">
        <f>RSI!A343</f>
        <v>45419</v>
      </c>
      <c r="B343" s="2">
        <f>RSI!B343</f>
        <v>5.3129999999999997</v>
      </c>
      <c r="C343" s="2">
        <f>RSI!I343</f>
        <v>54.412804503475641</v>
      </c>
      <c r="D343" s="2">
        <f>MACD!E343</f>
        <v>-3.8139896064786072E-3</v>
      </c>
      <c r="E343" s="2">
        <f>MACD!F343</f>
        <v>2.8779612668766608E-2</v>
      </c>
      <c r="F343" s="2">
        <f>'Moving Avg'!D343</f>
        <v>5.3309999999999995</v>
      </c>
      <c r="G343" s="2">
        <f>'Moving Avg'!F343</f>
        <v>5.29535</v>
      </c>
      <c r="H343" s="2">
        <f>'Moving Avg'!G343</f>
        <v>5.2628599999999999</v>
      </c>
      <c r="I343" s="2">
        <f>'Moving Avg'!H343</f>
        <v>5.4180499999999983</v>
      </c>
      <c r="J343" s="5" t="str">
        <f>OBV!F343</f>
        <v>BULLISH</v>
      </c>
      <c r="K343" s="5" t="str">
        <f>OBV!G343</f>
        <v>NEUTRAL</v>
      </c>
      <c r="L343" s="5" t="str">
        <f>OBV!H343</f>
        <v>BULLISH DIVERGENCE</v>
      </c>
    </row>
    <row r="344" spans="1:12" ht="13.5" x14ac:dyDescent="0.25">
      <c r="A344" s="3">
        <f>RSI!A344</f>
        <v>45420</v>
      </c>
      <c r="B344" s="2">
        <f>RSI!B344</f>
        <v>5.3129999999999997</v>
      </c>
      <c r="C344" s="2">
        <f>RSI!I344</f>
        <v>54.412804503475641</v>
      </c>
      <c r="D344" s="2">
        <f>MACD!E344</f>
        <v>-1.3737788898253278E-2</v>
      </c>
      <c r="E344" s="2">
        <f>MACD!F344</f>
        <v>2.027613235536263E-2</v>
      </c>
      <c r="F344" s="2">
        <f>'Moving Avg'!D344</f>
        <v>5.3291999999999993</v>
      </c>
      <c r="G344" s="2">
        <f>'Moving Avg'!F344</f>
        <v>5.2931000000000008</v>
      </c>
      <c r="H344" s="2">
        <f>'Moving Avg'!G344</f>
        <v>5.2706600000000003</v>
      </c>
      <c r="I344" s="2">
        <f>'Moving Avg'!H344</f>
        <v>5.4160099999999991</v>
      </c>
      <c r="J344" s="5" t="str">
        <f>OBV!F344</f>
        <v>BULLISH</v>
      </c>
      <c r="K344" s="5" t="str">
        <f>OBV!G344</f>
        <v>NEUTRAL</v>
      </c>
      <c r="L344" s="5" t="str">
        <f>OBV!H344</f>
        <v>BULLISH DIVERGENCE</v>
      </c>
    </row>
    <row r="345" spans="1:12" ht="13.5" x14ac:dyDescent="0.25">
      <c r="A345" s="3">
        <f>RSI!A345</f>
        <v>45421</v>
      </c>
      <c r="B345" s="2">
        <f>RSI!B345</f>
        <v>5.3129999999999997</v>
      </c>
      <c r="C345" s="2">
        <f>RSI!I345</f>
        <v>54.412804503475641</v>
      </c>
      <c r="D345" s="2">
        <f>MACD!E345</f>
        <v>-2.2267970236272916E-2</v>
      </c>
      <c r="E345" s="2">
        <f>MACD!F345</f>
        <v>1.176731183703552E-2</v>
      </c>
      <c r="F345" s="2">
        <f>'Moving Avg'!D345</f>
        <v>5.327399999999999</v>
      </c>
      <c r="G345" s="2">
        <f>'Moving Avg'!F345</f>
        <v>5.2926500000000001</v>
      </c>
      <c r="H345" s="2">
        <f>'Moving Avg'!G345</f>
        <v>5.2779199999999991</v>
      </c>
      <c r="I345" s="2">
        <f>'Moving Avg'!H345</f>
        <v>5.4137449999999987</v>
      </c>
      <c r="J345" s="5" t="str">
        <f>OBV!F345</f>
        <v>BULLISH</v>
      </c>
      <c r="K345" s="5" t="str">
        <f>OBV!G345</f>
        <v>NEUTRAL</v>
      </c>
      <c r="L345" s="5" t="str">
        <f>OBV!H345</f>
        <v>BULLISH DIVERGENCE</v>
      </c>
    </row>
    <row r="346" spans="1:12" ht="13.5" x14ac:dyDescent="0.25">
      <c r="A346" s="3">
        <f>RSI!A346</f>
        <v>45422</v>
      </c>
      <c r="B346" s="2">
        <f>RSI!B346</f>
        <v>5.3129999999999997</v>
      </c>
      <c r="C346" s="2">
        <f>RSI!I346</f>
        <v>54.412804503475641</v>
      </c>
      <c r="D346" s="2">
        <f>MACD!E346</f>
        <v>-3.6378306381601E-2</v>
      </c>
      <c r="E346" s="2">
        <f>MACD!F346</f>
        <v>2.1381881933082159E-3</v>
      </c>
      <c r="F346" s="2">
        <f>'Moving Avg'!D346</f>
        <v>5.3201999999999989</v>
      </c>
      <c r="G346" s="2">
        <f>'Moving Avg'!F346</f>
        <v>5.2922000000000011</v>
      </c>
      <c r="H346" s="2">
        <f>'Moving Avg'!G346</f>
        <v>5.2851799999999995</v>
      </c>
      <c r="I346" s="2">
        <f>'Moving Avg'!H346</f>
        <v>5.4114799999999992</v>
      </c>
      <c r="J346" s="5" t="str">
        <f>OBV!F346</f>
        <v>BEARISH</v>
      </c>
      <c r="K346" s="5" t="str">
        <f>OBV!G346</f>
        <v>STRONG</v>
      </c>
      <c r="L346" s="5" t="str">
        <f>OBV!H346</f>
        <v>CONFIRMED BEARISH</v>
      </c>
    </row>
    <row r="347" spans="1:12" ht="13.5" x14ac:dyDescent="0.25">
      <c r="A347" s="3">
        <f>RSI!A347</f>
        <v>45425</v>
      </c>
      <c r="B347" s="2">
        <f>RSI!B347</f>
        <v>5.3129999999999997</v>
      </c>
      <c r="C347" s="2">
        <f>RSI!I347</f>
        <v>54.412804503475641</v>
      </c>
      <c r="D347" s="2">
        <f>MACD!E347</f>
        <v>-2.7970412405643685E-2</v>
      </c>
      <c r="E347" s="2">
        <f>MACD!F347</f>
        <v>-3.8835319264821653E-3</v>
      </c>
      <c r="F347" s="2">
        <f>'Moving Avg'!D347</f>
        <v>5.3129999999999997</v>
      </c>
      <c r="G347" s="2">
        <f>'Moving Avg'!F347</f>
        <v>5.2922000000000011</v>
      </c>
      <c r="H347" s="2">
        <f>'Moving Avg'!G347</f>
        <v>5.2926199999999994</v>
      </c>
      <c r="I347" s="2">
        <f>'Moving Avg'!H347</f>
        <v>5.4092149999999997</v>
      </c>
      <c r="J347" s="5" t="str">
        <f>OBV!F347</f>
        <v>BEARISH</v>
      </c>
      <c r="K347" s="5" t="str">
        <f>OBV!G347</f>
        <v>STRONG</v>
      </c>
      <c r="L347" s="5" t="str">
        <f>OBV!H347</f>
        <v>CONFIRMED BEARISH</v>
      </c>
    </row>
    <row r="348" spans="1:12" ht="13.5" x14ac:dyDescent="0.25">
      <c r="A348" s="3">
        <f>RSI!A348</f>
        <v>45426</v>
      </c>
      <c r="B348" s="2">
        <f>RSI!B348</f>
        <v>5.1980000000000004</v>
      </c>
      <c r="C348" s="2">
        <f>RSI!I348</f>
        <v>34.793192887631619</v>
      </c>
      <c r="D348" s="2">
        <f>MACD!E348</f>
        <v>-1.2443197325841204E-2</v>
      </c>
      <c r="E348" s="2">
        <f>MACD!F348</f>
        <v>-5.5954650063539738E-3</v>
      </c>
      <c r="F348" s="2">
        <f>'Moving Avg'!D348</f>
        <v>5.29</v>
      </c>
      <c r="G348" s="2">
        <f>'Moving Avg'!F348</f>
        <v>5.2864500000000003</v>
      </c>
      <c r="H348" s="2">
        <f>'Moving Avg'!G348</f>
        <v>5.2958199999999991</v>
      </c>
      <c r="I348" s="2">
        <f>'Moving Avg'!H348</f>
        <v>5.4063750000000015</v>
      </c>
      <c r="J348" s="5" t="str">
        <f>OBV!F348</f>
        <v>BEARISH</v>
      </c>
      <c r="K348" s="5" t="str">
        <f>OBV!G348</f>
        <v>STRONG</v>
      </c>
      <c r="L348" s="5" t="str">
        <f>OBV!H348</f>
        <v>CONFIRMED BEARISH</v>
      </c>
    </row>
    <row r="349" spans="1:12" ht="13.5" x14ac:dyDescent="0.25">
      <c r="A349" s="3">
        <f>RSI!A349</f>
        <v>45427</v>
      </c>
      <c r="B349" s="2">
        <f>RSI!B349</f>
        <v>5.0999999999999996</v>
      </c>
      <c r="C349" s="2">
        <f>RSI!I349</f>
        <v>26.14252339845406</v>
      </c>
      <c r="D349" s="2">
        <f>MACD!E349</f>
        <v>8.5361671648973569E-3</v>
      </c>
      <c r="E349" s="2">
        <f>MACD!F349</f>
        <v>-2.7691385721037073E-3</v>
      </c>
      <c r="F349" s="2">
        <f>'Moving Avg'!D349</f>
        <v>5.2474000000000007</v>
      </c>
      <c r="G349" s="2">
        <f>'Moving Avg'!F349</f>
        <v>5.2758000000000012</v>
      </c>
      <c r="H349" s="2">
        <f>'Moving Avg'!G349</f>
        <v>5.2970599999999992</v>
      </c>
      <c r="I349" s="2">
        <f>'Moving Avg'!H349</f>
        <v>5.4030450000000023</v>
      </c>
      <c r="J349" s="5" t="str">
        <f>OBV!F349</f>
        <v>BEARISH</v>
      </c>
      <c r="K349" s="5" t="str">
        <f>OBV!G349</f>
        <v>STRONG</v>
      </c>
      <c r="L349" s="5" t="str">
        <f>OBV!H349</f>
        <v>CONFIRMED BEARISH</v>
      </c>
    </row>
    <row r="350" spans="1:12" ht="13.5" x14ac:dyDescent="0.25">
      <c r="A350" s="3">
        <f>RSI!A350</f>
        <v>45428</v>
      </c>
      <c r="B350" s="2">
        <f>RSI!B350</f>
        <v>5.3220000000000001</v>
      </c>
      <c r="C350" s="2">
        <f>RSI!I350</f>
        <v>54.027294334499331</v>
      </c>
      <c r="D350" s="2">
        <f>MACD!E350</f>
        <v>1.0961183023283638E-2</v>
      </c>
      <c r="E350" s="2">
        <f>MACD!F350</f>
        <v>-2.3074253026238081E-5</v>
      </c>
      <c r="F350" s="2">
        <f>'Moving Avg'!D350</f>
        <v>5.2492000000000001</v>
      </c>
      <c r="G350" s="2">
        <f>'Moving Avg'!F350</f>
        <v>5.2762500000000019</v>
      </c>
      <c r="H350" s="2">
        <f>'Moving Avg'!G350</f>
        <v>5.301499999999999</v>
      </c>
      <c r="I350" s="2">
        <f>'Moving Avg'!H350</f>
        <v>5.400825000000002</v>
      </c>
      <c r="J350" s="5" t="str">
        <f>OBV!F350</f>
        <v>BEARISH</v>
      </c>
      <c r="K350" s="5" t="str">
        <f>OBV!G350</f>
        <v>STRONG</v>
      </c>
      <c r="L350" s="5" t="str">
        <f>OBV!H350</f>
        <v>BEARISH DIVERGENCE</v>
      </c>
    </row>
    <row r="351" spans="1:12" ht="13.5" x14ac:dyDescent="0.25">
      <c r="A351" s="3">
        <f>RSI!A351</f>
        <v>45429</v>
      </c>
      <c r="B351" s="2">
        <f>RSI!B351</f>
        <v>5.3490000000000002</v>
      </c>
      <c r="C351" s="2">
        <f>RSI!I351</f>
        <v>56.193533066958366</v>
      </c>
      <c r="D351" s="2">
        <f>MACD!E351</f>
        <v>1.4890056610073366E-2</v>
      </c>
      <c r="E351" s="2">
        <f>MACD!F351</f>
        <v>2.9595519195936828E-3</v>
      </c>
      <c r="F351" s="2">
        <f>'Moving Avg'!D351</f>
        <v>5.2564000000000002</v>
      </c>
      <c r="G351" s="2">
        <f>'Moving Avg'!F351</f>
        <v>5.2820500000000017</v>
      </c>
      <c r="H351" s="2">
        <f>'Moving Avg'!G351</f>
        <v>5.308239999999997</v>
      </c>
      <c r="I351" s="2">
        <f>'Moving Avg'!H351</f>
        <v>5.3987400000000028</v>
      </c>
      <c r="J351" s="5" t="str">
        <f>OBV!F351</f>
        <v>BULLISH</v>
      </c>
      <c r="K351" s="5" t="str">
        <f>OBV!G351</f>
        <v>NEUTRAL</v>
      </c>
      <c r="L351" s="5" t="str">
        <f>OBV!H351</f>
        <v>CONFIRMED BULLISH</v>
      </c>
    </row>
    <row r="352" spans="1:12" ht="13.5" x14ac:dyDescent="0.25">
      <c r="A352" s="3">
        <f>RSI!A352</f>
        <v>45432</v>
      </c>
      <c r="B352" s="2">
        <f>RSI!B352</f>
        <v>5.34</v>
      </c>
      <c r="C352" s="2">
        <f>RSI!I352</f>
        <v>55.258834870556917</v>
      </c>
      <c r="D352" s="2">
        <f>MACD!E352</f>
        <v>1.8465213333512587E-2</v>
      </c>
      <c r="E352" s="2">
        <f>MACD!F352</f>
        <v>6.060684202377464E-3</v>
      </c>
      <c r="F352" s="2">
        <f>'Moving Avg'!D352</f>
        <v>5.2618</v>
      </c>
      <c r="G352" s="2">
        <f>'Moving Avg'!F352</f>
        <v>5.2874000000000017</v>
      </c>
      <c r="H352" s="2">
        <f>'Moving Avg'!G352</f>
        <v>5.3116199999999978</v>
      </c>
      <c r="I352" s="2">
        <f>'Moving Avg'!H352</f>
        <v>5.3968350000000029</v>
      </c>
      <c r="J352" s="5" t="str">
        <f>OBV!F352</f>
        <v>BEARISH</v>
      </c>
      <c r="K352" s="5" t="str">
        <f>OBV!G352</f>
        <v>STRONG</v>
      </c>
      <c r="L352" s="5" t="str">
        <f>OBV!H352</f>
        <v>BEARISH DIVERGENCE</v>
      </c>
    </row>
    <row r="353" spans="1:12" ht="13.5" x14ac:dyDescent="0.25">
      <c r="A353" s="3">
        <f>RSI!A353</f>
        <v>45433</v>
      </c>
      <c r="B353" s="2">
        <f>RSI!B353</f>
        <v>5.34</v>
      </c>
      <c r="C353" s="2">
        <f>RSI!I353</f>
        <v>55.258834870556917</v>
      </c>
      <c r="D353" s="2">
        <f>MACD!E353</f>
        <v>1.5619934830980675E-2</v>
      </c>
      <c r="E353" s="2">
        <f>MACD!F353</f>
        <v>7.9725343280981076E-3</v>
      </c>
      <c r="F353" s="2">
        <f>'Moving Avg'!D353</f>
        <v>5.2902000000000005</v>
      </c>
      <c r="G353" s="2">
        <f>'Moving Avg'!F353</f>
        <v>5.2927500000000016</v>
      </c>
      <c r="H353" s="2">
        <f>'Moving Avg'!G353</f>
        <v>5.3119799999999975</v>
      </c>
      <c r="I353" s="2">
        <f>'Moving Avg'!H353</f>
        <v>5.3949300000000031</v>
      </c>
      <c r="J353" s="5" t="str">
        <f>OBV!F353</f>
        <v>BULLISH</v>
      </c>
      <c r="K353" s="5" t="str">
        <f>OBV!G353</f>
        <v>NEUTRAL</v>
      </c>
      <c r="L353" s="5" t="str">
        <f>OBV!H353</f>
        <v>CONFIRMED BULLISH</v>
      </c>
    </row>
    <row r="354" spans="1:12" ht="13.5" x14ac:dyDescent="0.25">
      <c r="A354" s="3">
        <f>RSI!A354</f>
        <v>45434</v>
      </c>
      <c r="B354" s="2">
        <f>RSI!B354</f>
        <v>5.3220000000000001</v>
      </c>
      <c r="C354" s="2">
        <f>RSI!I354</f>
        <v>53.206040858230182</v>
      </c>
      <c r="D354" s="2">
        <f>MACD!E354</f>
        <v>1.4238364097304945E-2</v>
      </c>
      <c r="E354" s="2">
        <f>MACD!F354</f>
        <v>9.2257002819394751E-3</v>
      </c>
      <c r="F354" s="2">
        <f>'Moving Avg'!D354</f>
        <v>5.3346</v>
      </c>
      <c r="G354" s="2">
        <f>'Moving Avg'!F354</f>
        <v>5.2972000000000019</v>
      </c>
      <c r="H354" s="2">
        <f>'Moving Avg'!G354</f>
        <v>5.3110999999999988</v>
      </c>
      <c r="I354" s="2">
        <f>'Moving Avg'!H354</f>
        <v>5.3929350000000014</v>
      </c>
      <c r="J354" s="5" t="str">
        <f>OBV!F354</f>
        <v>BEARISH</v>
      </c>
      <c r="K354" s="5" t="str">
        <f>OBV!G354</f>
        <v>NEUTRAL</v>
      </c>
      <c r="L354" s="5" t="str">
        <f>OBV!H354</f>
        <v>BEARISH DIVERGENCE</v>
      </c>
    </row>
    <row r="355" spans="1:12" ht="13.5" x14ac:dyDescent="0.25">
      <c r="A355" s="3">
        <f>RSI!A355</f>
        <v>45435</v>
      </c>
      <c r="B355" s="2">
        <f>RSI!B355</f>
        <v>5.3220000000000001</v>
      </c>
      <c r="C355" s="2">
        <f>RSI!I355</f>
        <v>53.206040858230182</v>
      </c>
      <c r="D355" s="2">
        <f>MACD!E355</f>
        <v>1.2891112222234824E-2</v>
      </c>
      <c r="E355" s="2">
        <f>MACD!F355</f>
        <v>9.9587826699985456E-3</v>
      </c>
      <c r="F355" s="2">
        <f>'Moving Avg'!D355</f>
        <v>5.3346</v>
      </c>
      <c r="G355" s="2">
        <f>'Moving Avg'!F355</f>
        <v>5.3016500000000013</v>
      </c>
      <c r="H355" s="2">
        <f>'Moving Avg'!G355</f>
        <v>5.3110999999999988</v>
      </c>
      <c r="I355" s="2">
        <f>'Moving Avg'!H355</f>
        <v>5.3907150000000001</v>
      </c>
      <c r="J355" s="5" t="str">
        <f>OBV!F355</f>
        <v>BEARISH</v>
      </c>
      <c r="K355" s="5" t="str">
        <f>OBV!G355</f>
        <v>STRONG</v>
      </c>
      <c r="L355" s="5" t="str">
        <f>OBV!H355</f>
        <v>NEUTRAL</v>
      </c>
    </row>
    <row r="356" spans="1:12" ht="13.5" x14ac:dyDescent="0.25">
      <c r="A356" s="3">
        <f>RSI!A356</f>
        <v>45436</v>
      </c>
      <c r="B356" s="2">
        <f>RSI!B356</f>
        <v>5.2329999999999997</v>
      </c>
      <c r="C356" s="2">
        <f>RSI!I356</f>
        <v>43.862279907871255</v>
      </c>
      <c r="D356" s="2">
        <f>MACD!E356</f>
        <v>1.8178694232109827E-2</v>
      </c>
      <c r="E356" s="2">
        <f>MACD!F356</f>
        <v>1.1602764982420802E-2</v>
      </c>
      <c r="F356" s="2">
        <f>'Moving Avg'!D356</f>
        <v>5.3113999999999999</v>
      </c>
      <c r="G356" s="2">
        <f>'Moving Avg'!F356</f>
        <v>5.3038500000000015</v>
      </c>
      <c r="H356" s="2">
        <f>'Moving Avg'!G356</f>
        <v>5.309499999999999</v>
      </c>
      <c r="I356" s="2">
        <f>'Moving Avg'!H356</f>
        <v>5.3880499999999998</v>
      </c>
      <c r="J356" s="5" t="str">
        <f>OBV!F356</f>
        <v>BEARISH</v>
      </c>
      <c r="K356" s="5" t="str">
        <f>OBV!G356</f>
        <v>STRONG</v>
      </c>
      <c r="L356" s="5" t="str">
        <f>OBV!H356</f>
        <v>CONFIRMED BEARISH</v>
      </c>
    </row>
    <row r="357" spans="1:12" ht="13.5" x14ac:dyDescent="0.25">
      <c r="A357" s="3">
        <f>RSI!A357</f>
        <v>45439</v>
      </c>
      <c r="B357" s="2">
        <f>RSI!B357</f>
        <v>5.2329999999999997</v>
      </c>
      <c r="C357" s="2">
        <f>RSI!I357</f>
        <v>43.862279907871248</v>
      </c>
      <c r="D357" s="2">
        <f>MACD!E357</f>
        <v>2.3025902995036596E-2</v>
      </c>
      <c r="E357" s="2">
        <f>MACD!F357</f>
        <v>1.388739258494396E-2</v>
      </c>
      <c r="F357" s="2">
        <f>'Moving Avg'!D357</f>
        <v>5.29</v>
      </c>
      <c r="G357" s="2">
        <f>'Moving Avg'!F357</f>
        <v>5.2994000000000012</v>
      </c>
      <c r="H357" s="2">
        <f>'Moving Avg'!G357</f>
        <v>5.3082399999999996</v>
      </c>
      <c r="I357" s="2">
        <f>'Moving Avg'!H357</f>
        <v>5.3853849999999985</v>
      </c>
      <c r="J357" s="5" t="str">
        <f>OBV!F357</f>
        <v>BEARISH</v>
      </c>
      <c r="K357" s="5" t="str">
        <f>OBV!G357</f>
        <v>STRONG</v>
      </c>
      <c r="L357" s="5" t="str">
        <f>OBV!H357</f>
        <v>CONFIRMED BEARISH</v>
      </c>
    </row>
    <row r="358" spans="1:12" ht="13.5" x14ac:dyDescent="0.25">
      <c r="A358" s="3">
        <f>RSI!A358</f>
        <v>45440</v>
      </c>
      <c r="B358" s="2">
        <f>RSI!B358</f>
        <v>5.2329999999999997</v>
      </c>
      <c r="C358" s="2">
        <f>RSI!I358</f>
        <v>43.862279907871248</v>
      </c>
      <c r="D358" s="2">
        <f>MACD!E358</f>
        <v>9.7805434446796014E-3</v>
      </c>
      <c r="E358" s="2">
        <f>MACD!F358</f>
        <v>1.3066022756891088E-2</v>
      </c>
      <c r="F358" s="2">
        <f>'Moving Avg'!D358</f>
        <v>5.2686000000000002</v>
      </c>
      <c r="G358" s="2">
        <f>'Moving Avg'!F358</f>
        <v>5.2949500000000018</v>
      </c>
      <c r="H358" s="2">
        <f>'Moving Avg'!G358</f>
        <v>5.3057399999999992</v>
      </c>
      <c r="I358" s="2">
        <f>'Moving Avg'!H358</f>
        <v>5.3827199999999991</v>
      </c>
      <c r="J358" s="5" t="str">
        <f>OBV!F358</f>
        <v>BEARISH</v>
      </c>
      <c r="K358" s="5" t="str">
        <f>OBV!G358</f>
        <v>STRONG</v>
      </c>
      <c r="L358" s="5" t="str">
        <f>OBV!H358</f>
        <v>CONFIRMED BEARISH</v>
      </c>
    </row>
    <row r="359" spans="1:12" ht="13.5" x14ac:dyDescent="0.25">
      <c r="A359" s="3">
        <f>RSI!A359</f>
        <v>45441</v>
      </c>
      <c r="B359" s="2">
        <f>RSI!B359</f>
        <v>5.056</v>
      </c>
      <c r="C359" s="2">
        <f>RSI!I359</f>
        <v>30.540244260820927</v>
      </c>
      <c r="D359" s="2">
        <f>MACD!E359</f>
        <v>-3.0730065556818786E-3</v>
      </c>
      <c r="E359" s="2">
        <f>MACD!F359</f>
        <v>9.8382168943764951E-3</v>
      </c>
      <c r="F359" s="2">
        <f>'Moving Avg'!D359</f>
        <v>5.2154000000000007</v>
      </c>
      <c r="G359" s="2">
        <f>'Moving Avg'!F359</f>
        <v>5.2816500000000008</v>
      </c>
      <c r="H359" s="2">
        <f>'Moving Avg'!G359</f>
        <v>5.2996999999999987</v>
      </c>
      <c r="I359" s="2">
        <f>'Moving Avg'!H359</f>
        <v>5.3791699999999993</v>
      </c>
      <c r="J359" s="5" t="str">
        <f>OBV!F359</f>
        <v>BEARISH</v>
      </c>
      <c r="K359" s="5" t="str">
        <f>OBV!G359</f>
        <v>STRONG</v>
      </c>
      <c r="L359" s="5" t="str">
        <f>OBV!H359</f>
        <v>CONFIRMED BEARISH</v>
      </c>
    </row>
    <row r="360" spans="1:12" ht="13.5" x14ac:dyDescent="0.25">
      <c r="A360" s="3">
        <f>RSI!A360</f>
        <v>45442</v>
      </c>
      <c r="B360" s="2">
        <f>RSI!B360</f>
        <v>5.1449999999999996</v>
      </c>
      <c r="C360" s="2">
        <f>RSI!I360</f>
        <v>40.350641449601554</v>
      </c>
      <c r="D360" s="2">
        <f>MACD!E360</f>
        <v>1.4954246367747004E-2</v>
      </c>
      <c r="E360" s="2">
        <f>MACD!F360</f>
        <v>1.0861422789050596E-2</v>
      </c>
      <c r="F360" s="2">
        <f>'Moving Avg'!D360</f>
        <v>5.18</v>
      </c>
      <c r="G360" s="2">
        <f>'Moving Avg'!F360</f>
        <v>5.272800000000001</v>
      </c>
      <c r="H360" s="2">
        <f>'Moving Avg'!G360</f>
        <v>5.2954400000000001</v>
      </c>
      <c r="I360" s="2">
        <f>'Moving Avg'!H360</f>
        <v>5.3760649999999996</v>
      </c>
      <c r="J360" s="5" t="str">
        <f>OBV!F360</f>
        <v>BEARISH</v>
      </c>
      <c r="K360" s="5" t="str">
        <f>OBV!G360</f>
        <v>STRONG</v>
      </c>
      <c r="L360" s="5" t="str">
        <f>OBV!H360</f>
        <v>CONFIRMED BEARISH</v>
      </c>
    </row>
    <row r="361" spans="1:12" ht="13.5" x14ac:dyDescent="0.25">
      <c r="A361" s="3">
        <f>RSI!A361</f>
        <v>45443</v>
      </c>
      <c r="B361" s="2">
        <f>RSI!B361</f>
        <v>5.056</v>
      </c>
      <c r="C361" s="2">
        <f>RSI!I361</f>
        <v>35.023464460274823</v>
      </c>
      <c r="D361" s="2">
        <f>MACD!E361</f>
        <v>4.1671276477353025E-2</v>
      </c>
      <c r="E361" s="2">
        <f>MACD!F361</f>
        <v>1.7023393526711082E-2</v>
      </c>
      <c r="F361" s="2">
        <f>'Moving Avg'!D361</f>
        <v>5.1445999999999996</v>
      </c>
      <c r="G361" s="2">
        <f>'Moving Avg'!F361</f>
        <v>5.2581500000000005</v>
      </c>
      <c r="H361" s="2">
        <f>'Moving Avg'!G361</f>
        <v>5.2893999999999997</v>
      </c>
      <c r="I361" s="2">
        <f>'Moving Avg'!H361</f>
        <v>5.3725149999999999</v>
      </c>
      <c r="J361" s="5" t="str">
        <f>OBV!F361</f>
        <v>BEARISH</v>
      </c>
      <c r="K361" s="5" t="str">
        <f>OBV!G361</f>
        <v>STRONG</v>
      </c>
      <c r="L361" s="5" t="str">
        <f>OBV!H361</f>
        <v>CONFIRMED BEARISH</v>
      </c>
    </row>
    <row r="362" spans="1:12" ht="13.5" x14ac:dyDescent="0.25">
      <c r="A362" s="3">
        <f>RSI!A362</f>
        <v>45446</v>
      </c>
      <c r="B362" s="2">
        <f>RSI!B362</f>
        <v>5.056</v>
      </c>
      <c r="C362" s="2">
        <f>RSI!I362</f>
        <v>35.023464460274823</v>
      </c>
      <c r="D362" s="2">
        <f>MACD!E362</f>
        <v>6.4082952187415998E-2</v>
      </c>
      <c r="E362" s="2">
        <f>MACD!F362</f>
        <v>2.6435305258852064E-2</v>
      </c>
      <c r="F362" s="2">
        <f>'Moving Avg'!D362</f>
        <v>5.1091999999999995</v>
      </c>
      <c r="G362" s="2">
        <f>'Moving Avg'!F362</f>
        <v>5.2435000000000009</v>
      </c>
      <c r="H362" s="2">
        <f>'Moving Avg'!G362</f>
        <v>5.2833600000000001</v>
      </c>
      <c r="I362" s="2">
        <f>'Moving Avg'!H362</f>
        <v>5.3690100000000003</v>
      </c>
      <c r="J362" s="5" t="str">
        <f>OBV!F362</f>
        <v>BEARISH</v>
      </c>
      <c r="K362" s="5" t="str">
        <f>OBV!G362</f>
        <v>STRONG</v>
      </c>
      <c r="L362" s="5" t="str">
        <f>OBV!H362</f>
        <v>CONFIRMED BEARISH</v>
      </c>
    </row>
    <row r="363" spans="1:12" ht="13.5" x14ac:dyDescent="0.25">
      <c r="A363" s="3">
        <f>RSI!A363</f>
        <v>45447</v>
      </c>
      <c r="B363" s="2">
        <f>RSI!B363</f>
        <v>4.9669999999999996</v>
      </c>
      <c r="C363" s="2">
        <f>RSI!I363</f>
        <v>30.37293118806106</v>
      </c>
      <c r="D363" s="2">
        <f>MACD!E363</f>
        <v>9.0740727149006162E-2</v>
      </c>
      <c r="E363" s="2">
        <f>MACD!F363</f>
        <v>3.9296389636882888E-2</v>
      </c>
      <c r="F363" s="2">
        <f>'Moving Avg'!D363</f>
        <v>5.056</v>
      </c>
      <c r="G363" s="2">
        <f>'Moving Avg'!F363</f>
        <v>5.2262000000000004</v>
      </c>
      <c r="H363" s="2">
        <f>'Moving Avg'!G363</f>
        <v>5.2755399999999995</v>
      </c>
      <c r="I363" s="2">
        <f>'Moving Avg'!H363</f>
        <v>5.3650150000000005</v>
      </c>
      <c r="J363" s="5" t="str">
        <f>OBV!F363</f>
        <v>BEARISH</v>
      </c>
      <c r="K363" s="5" t="str">
        <f>OBV!G363</f>
        <v>STRONG</v>
      </c>
      <c r="L363" s="5" t="str">
        <f>OBV!H363</f>
        <v>CONFIRMED BEARISH</v>
      </c>
    </row>
    <row r="364" spans="1:12" ht="13.5" x14ac:dyDescent="0.25">
      <c r="A364" s="3">
        <f>RSI!A364</f>
        <v>45448</v>
      </c>
      <c r="B364" s="2">
        <f>RSI!B364</f>
        <v>4.9409999999999998</v>
      </c>
      <c r="C364" s="2">
        <f>RSI!I364</f>
        <v>29.154994694087037</v>
      </c>
      <c r="D364" s="2">
        <f>MACD!E364</f>
        <v>0.11399977331949351</v>
      </c>
      <c r="E364" s="2">
        <f>MACD!F364</f>
        <v>5.4237066373405016E-2</v>
      </c>
      <c r="F364" s="2">
        <f>'Moving Avg'!D364</f>
        <v>5.0329999999999995</v>
      </c>
      <c r="G364" s="2">
        <f>'Moving Avg'!F364</f>
        <v>5.2076000000000002</v>
      </c>
      <c r="H364" s="2">
        <f>'Moving Avg'!G364</f>
        <v>5.2680999999999996</v>
      </c>
      <c r="I364" s="2">
        <f>'Moving Avg'!H364</f>
        <v>5.3608900000000013</v>
      </c>
      <c r="J364" s="5" t="str">
        <f>OBV!F364</f>
        <v>BEARISH</v>
      </c>
      <c r="K364" s="5" t="str">
        <f>OBV!G364</f>
        <v>STRONG</v>
      </c>
      <c r="L364" s="5" t="str">
        <f>OBV!H364</f>
        <v>CONFIRMED BEARISH</v>
      </c>
    </row>
    <row r="365" spans="1:12" ht="13.5" x14ac:dyDescent="0.25">
      <c r="A365" s="3">
        <f>RSI!A365</f>
        <v>45449</v>
      </c>
      <c r="B365" s="2">
        <f>RSI!B365</f>
        <v>4.8789999999999996</v>
      </c>
      <c r="C365" s="2">
        <f>RSI!I365</f>
        <v>26.432999181162188</v>
      </c>
      <c r="D365" s="2">
        <f>MACD!E365</f>
        <v>0.13985800295939654</v>
      </c>
      <c r="E365" s="2">
        <f>MACD!F365</f>
        <v>7.1361253690603324E-2</v>
      </c>
      <c r="F365" s="2">
        <f>'Moving Avg'!D365</f>
        <v>4.9798</v>
      </c>
      <c r="G365" s="2">
        <f>'Moving Avg'!F365</f>
        <v>5.1859000000000002</v>
      </c>
      <c r="H365" s="2">
        <f>'Moving Avg'!G365</f>
        <v>5.2588800000000004</v>
      </c>
      <c r="I365" s="2">
        <f>'Moving Avg'!H365</f>
        <v>5.3564550000000022</v>
      </c>
      <c r="J365" s="5" t="str">
        <f>OBV!F365</f>
        <v>BEARISH</v>
      </c>
      <c r="K365" s="5" t="str">
        <f>OBV!G365</f>
        <v>STRONG</v>
      </c>
      <c r="L365" s="5" t="str">
        <f>OBV!H365</f>
        <v>CONFIRMED BEARISH</v>
      </c>
    </row>
    <row r="366" spans="1:12" ht="13.5" x14ac:dyDescent="0.25">
      <c r="A366" s="3">
        <f>RSI!A366</f>
        <v>45450</v>
      </c>
      <c r="B366" s="2">
        <f>RSI!B366</f>
        <v>5.056</v>
      </c>
      <c r="C366" s="2">
        <f>RSI!I366</f>
        <v>42.840109159172435</v>
      </c>
      <c r="D366" s="2">
        <f>MACD!E366</f>
        <v>0.13676849053528173</v>
      </c>
      <c r="E366" s="2">
        <f>MACD!F366</f>
        <v>8.4442701059539008E-2</v>
      </c>
      <c r="F366" s="2">
        <f>'Moving Avg'!D366</f>
        <v>4.9797999999999991</v>
      </c>
      <c r="G366" s="2">
        <f>'Moving Avg'!F366</f>
        <v>5.1730499999999999</v>
      </c>
      <c r="H366" s="2">
        <f>'Moving Avg'!G366</f>
        <v>5.2532000000000005</v>
      </c>
      <c r="I366" s="2">
        <f>'Moving Avg'!H366</f>
        <v>5.3527300000000029</v>
      </c>
      <c r="J366" s="5" t="str">
        <f>OBV!F366</f>
        <v>BEARISH</v>
      </c>
      <c r="K366" s="5" t="str">
        <f>OBV!G366</f>
        <v>STRONG</v>
      </c>
      <c r="L366" s="5" t="str">
        <f>OBV!H366</f>
        <v>NEUTRAL</v>
      </c>
    </row>
    <row r="367" spans="1:12" ht="13.5" x14ac:dyDescent="0.25">
      <c r="A367" s="3">
        <f>RSI!A367</f>
        <v>45453</v>
      </c>
      <c r="B367" s="2">
        <f>RSI!B367</f>
        <v>5.1449999999999996</v>
      </c>
      <c r="C367" s="2">
        <f>RSI!I367</f>
        <v>48.999337176689778</v>
      </c>
      <c r="D367" s="2">
        <f>MACD!E367</f>
        <v>0.12821381851598623</v>
      </c>
      <c r="E367" s="2">
        <f>MACD!F367</f>
        <v>9.3196924550828453E-2</v>
      </c>
      <c r="F367" s="2">
        <f>'Moving Avg'!D367</f>
        <v>4.9976000000000003</v>
      </c>
      <c r="G367" s="2">
        <f>'Moving Avg'!F367</f>
        <v>5.16465</v>
      </c>
      <c r="H367" s="2">
        <f>'Moving Avg'!G367</f>
        <v>5.2493000000000007</v>
      </c>
      <c r="I367" s="2">
        <f>'Moving Avg'!H367</f>
        <v>5.3494500000000018</v>
      </c>
      <c r="J367" s="5" t="str">
        <f>OBV!F367</f>
        <v>BEARISH</v>
      </c>
      <c r="K367" s="5" t="str">
        <f>OBV!G367</f>
        <v>STRONG</v>
      </c>
      <c r="L367" s="5" t="str">
        <f>OBV!H367</f>
        <v>BEARISH DIVERGENCE</v>
      </c>
    </row>
    <row r="368" spans="1:12" ht="13.5" x14ac:dyDescent="0.25">
      <c r="A368" s="3">
        <f>RSI!A368</f>
        <v>45454</v>
      </c>
      <c r="B368" s="2">
        <f>RSI!B368</f>
        <v>5.1449999999999996</v>
      </c>
      <c r="C368" s="2">
        <f>RSI!I368</f>
        <v>48.999337176689778</v>
      </c>
      <c r="D368" s="2">
        <f>MACD!E368</f>
        <v>0.1210531630192051</v>
      </c>
      <c r="E368" s="2">
        <f>MACD!F368</f>
        <v>9.8768172244503794E-2</v>
      </c>
      <c r="F368" s="2">
        <f>'Moving Avg'!D368</f>
        <v>5.0331999999999999</v>
      </c>
      <c r="G368" s="2">
        <f>'Moving Avg'!F368</f>
        <v>5.161999999999999</v>
      </c>
      <c r="H368" s="2">
        <f>'Moving Avg'!G368</f>
        <v>5.245400000000001</v>
      </c>
      <c r="I368" s="2">
        <f>'Moving Avg'!H368</f>
        <v>5.3461700000000016</v>
      </c>
      <c r="J368" s="5" t="str">
        <f>OBV!F368</f>
        <v>BULLISH</v>
      </c>
      <c r="K368" s="5" t="str">
        <f>OBV!G368</f>
        <v>NEUTRAL</v>
      </c>
      <c r="L368" s="5" t="str">
        <f>OBV!H368</f>
        <v>CONFIRMED BULLISH</v>
      </c>
    </row>
    <row r="369" spans="1:12" ht="13.5" x14ac:dyDescent="0.25">
      <c r="A369" s="3">
        <f>RSI!A369</f>
        <v>45455</v>
      </c>
      <c r="B369" s="2">
        <f>RSI!B369</f>
        <v>5.1449999999999996</v>
      </c>
      <c r="C369" s="2">
        <f>RSI!I369</f>
        <v>48.999337176689778</v>
      </c>
      <c r="D369" s="2">
        <f>MACD!E369</f>
        <v>8.783551939045342E-2</v>
      </c>
      <c r="E369" s="2">
        <f>MACD!F369</f>
        <v>9.6581641673693722E-2</v>
      </c>
      <c r="F369" s="2">
        <f>'Moving Avg'!D369</f>
        <v>5.0739999999999998</v>
      </c>
      <c r="G369" s="2">
        <f>'Moving Avg'!F369</f>
        <v>5.1642499999999982</v>
      </c>
      <c r="H369" s="2">
        <f>'Moving Avg'!G369</f>
        <v>5.2416800000000014</v>
      </c>
      <c r="I369" s="2">
        <f>'Moving Avg'!H369</f>
        <v>5.3428899999999997</v>
      </c>
      <c r="J369" s="5" t="str">
        <f>OBV!F369</f>
        <v>BULLISH</v>
      </c>
      <c r="K369" s="5" t="str">
        <f>OBV!G369</f>
        <v>WEAK</v>
      </c>
      <c r="L369" s="5" t="str">
        <f>OBV!H369</f>
        <v>CONFIRMED BULLISH</v>
      </c>
    </row>
    <row r="370" spans="1:12" ht="13.5" x14ac:dyDescent="0.25">
      <c r="A370" s="3">
        <f>RSI!A370</f>
        <v>45456</v>
      </c>
      <c r="B370" s="2">
        <f>RSI!B370</f>
        <v>5.1449999999999996</v>
      </c>
      <c r="C370" s="2">
        <f>RSI!I370</f>
        <v>48.999337176689785</v>
      </c>
      <c r="D370" s="2">
        <f>MACD!E370</f>
        <v>7.3487388121312947E-2</v>
      </c>
      <c r="E370" s="2">
        <f>MACD!F370</f>
        <v>9.1962790963217564E-2</v>
      </c>
      <c r="F370" s="2">
        <f>'Moving Avg'!D370</f>
        <v>5.1272000000000002</v>
      </c>
      <c r="G370" s="2">
        <f>'Moving Avg'!F370</f>
        <v>5.1553999999999984</v>
      </c>
      <c r="H370" s="2">
        <f>'Moving Avg'!G370</f>
        <v>5.2381400000000022</v>
      </c>
      <c r="I370" s="2">
        <f>'Moving Avg'!H370</f>
        <v>5.3397000000000006</v>
      </c>
      <c r="J370" s="5" t="str">
        <f>OBV!F370</f>
        <v>BULLISH</v>
      </c>
      <c r="K370" s="5" t="str">
        <f>OBV!G370</f>
        <v>WEAK</v>
      </c>
      <c r="L370" s="5" t="str">
        <f>OBV!H370</f>
        <v>CONFIRMED BULLISH</v>
      </c>
    </row>
    <row r="371" spans="1:12" ht="13.5" x14ac:dyDescent="0.25">
      <c r="A371" s="3">
        <f>RSI!A371</f>
        <v>45457</v>
      </c>
      <c r="B371" s="2">
        <f>RSI!B371</f>
        <v>5.0119999999999996</v>
      </c>
      <c r="C371" s="2">
        <f>RSI!I371</f>
        <v>40.276017630280613</v>
      </c>
      <c r="D371" s="2">
        <f>MACD!E371</f>
        <v>5.7568055780859773E-2</v>
      </c>
      <c r="E371" s="2">
        <f>MACD!F371</f>
        <v>8.5083843926746006E-2</v>
      </c>
      <c r="F371" s="2">
        <f>'Moving Avg'!D371</f>
        <v>5.1183999999999994</v>
      </c>
      <c r="G371" s="2">
        <f>'Moving Avg'!F371</f>
        <v>5.1385499999999986</v>
      </c>
      <c r="H371" s="2">
        <f>'Moving Avg'!G371</f>
        <v>5.2317600000000031</v>
      </c>
      <c r="I371" s="2">
        <f>'Moving Avg'!H371</f>
        <v>5.3358449999999991</v>
      </c>
      <c r="J371" s="5" t="str">
        <f>OBV!F371</f>
        <v>BULLISH</v>
      </c>
      <c r="K371" s="5" t="str">
        <f>OBV!G371</f>
        <v>NEUTRAL</v>
      </c>
      <c r="L371" s="5" t="str">
        <f>OBV!H371</f>
        <v>BULLISH DIVERGENCE</v>
      </c>
    </row>
    <row r="372" spans="1:12" ht="13.5" x14ac:dyDescent="0.25">
      <c r="A372" s="3">
        <f>RSI!A372</f>
        <v>45461</v>
      </c>
      <c r="B372" s="2">
        <f>RSI!B372</f>
        <v>4.8789999999999996</v>
      </c>
      <c r="C372" s="2">
        <f>RSI!I372</f>
        <v>33.796433517183075</v>
      </c>
      <c r="D372" s="2">
        <f>MACD!E372</f>
        <v>5.4792874536564007E-2</v>
      </c>
      <c r="E372" s="2">
        <f>MACD!F372</f>
        <v>7.9025650048709609E-2</v>
      </c>
      <c r="F372" s="2">
        <f>'Moving Avg'!D372</f>
        <v>5.0651999999999999</v>
      </c>
      <c r="G372" s="2">
        <f>'Moving Avg'!F372</f>
        <v>5.115499999999999</v>
      </c>
      <c r="H372" s="2">
        <f>'Moving Avg'!G372</f>
        <v>5.2227200000000025</v>
      </c>
      <c r="I372" s="2">
        <f>'Moving Avg'!H372</f>
        <v>5.3314099999999982</v>
      </c>
      <c r="J372" s="5" t="str">
        <f>OBV!F372</f>
        <v>BEARISH</v>
      </c>
      <c r="K372" s="5" t="str">
        <f>OBV!G372</f>
        <v>STRONG</v>
      </c>
      <c r="L372" s="5" t="str">
        <f>OBV!H372</f>
        <v>CONFIRMED BEARISH</v>
      </c>
    </row>
    <row r="373" spans="1:12" ht="13.5" x14ac:dyDescent="0.25">
      <c r="A373" s="3">
        <f>RSI!A373</f>
        <v>45462</v>
      </c>
      <c r="B373" s="2">
        <f>RSI!B373</f>
        <v>4.8339999999999996</v>
      </c>
      <c r="C373" s="2">
        <f>RSI!I373</f>
        <v>31.924989138326737</v>
      </c>
      <c r="D373" s="2">
        <f>MACD!E373</f>
        <v>4.3652286672381635E-2</v>
      </c>
      <c r="E373" s="2">
        <f>MACD!F373</f>
        <v>7.1950977373444025E-2</v>
      </c>
      <c r="F373" s="2">
        <f>'Moving Avg'!D373</f>
        <v>5.0029999999999992</v>
      </c>
      <c r="G373" s="2">
        <f>'Moving Avg'!F373</f>
        <v>5.0901999999999994</v>
      </c>
      <c r="H373" s="2">
        <f>'Moving Avg'!G373</f>
        <v>5.2122400000000013</v>
      </c>
      <c r="I373" s="2">
        <f>'Moving Avg'!H373</f>
        <v>5.3267499999999997</v>
      </c>
      <c r="J373" s="5" t="str">
        <f>OBV!F373</f>
        <v>BEARISH</v>
      </c>
      <c r="K373" s="5" t="str">
        <f>OBV!G373</f>
        <v>STRONG</v>
      </c>
      <c r="L373" s="5" t="str">
        <f>OBV!H373</f>
        <v>CONFIRMED BEARISH</v>
      </c>
    </row>
    <row r="374" spans="1:12" ht="13.5" x14ac:dyDescent="0.25">
      <c r="A374" s="3">
        <f>RSI!A374</f>
        <v>45463</v>
      </c>
      <c r="B374" s="2">
        <f>RSI!B374</f>
        <v>4.8170000000000002</v>
      </c>
      <c r="C374" s="2">
        <f>RSI!I374</f>
        <v>31.221621160404368</v>
      </c>
      <c r="D374" s="2">
        <f>MACD!E374</f>
        <v>3.3201372685660147E-2</v>
      </c>
      <c r="E374" s="2">
        <f>MACD!F374</f>
        <v>6.4201056435887249E-2</v>
      </c>
      <c r="F374" s="2">
        <f>'Moving Avg'!D374</f>
        <v>4.9373999999999993</v>
      </c>
      <c r="G374" s="2">
        <f>'Moving Avg'!F374</f>
        <v>5.0649499999999987</v>
      </c>
      <c r="H374" s="2">
        <f>'Moving Avg'!G374</f>
        <v>5.2014200000000024</v>
      </c>
      <c r="I374" s="2">
        <f>'Moving Avg'!H374</f>
        <v>5.3220499999999991</v>
      </c>
      <c r="J374" s="5" t="str">
        <f>OBV!F374</f>
        <v>BEARISH</v>
      </c>
      <c r="K374" s="5" t="str">
        <f>OBV!G374</f>
        <v>STRONG</v>
      </c>
      <c r="L374" s="5" t="str">
        <f>OBV!H374</f>
        <v>CONFIRMED BEARISH</v>
      </c>
    </row>
    <row r="375" spans="1:12" ht="13.5" x14ac:dyDescent="0.25">
      <c r="A375" s="3">
        <f>RSI!A375</f>
        <v>45464</v>
      </c>
      <c r="B375" s="2">
        <f>RSI!B375</f>
        <v>5.0999999999999996</v>
      </c>
      <c r="C375" s="2">
        <f>RSI!I375</f>
        <v>50.695761239022062</v>
      </c>
      <c r="D375" s="2">
        <f>MACD!E375</f>
        <v>-4.4533476479324818E-3</v>
      </c>
      <c r="E375" s="2">
        <f>MACD!F375</f>
        <v>5.0470175619123307E-2</v>
      </c>
      <c r="F375" s="2">
        <f>'Moving Avg'!D375</f>
        <v>4.928399999999999</v>
      </c>
      <c r="G375" s="2">
        <f>'Moving Avg'!F375</f>
        <v>5.0538499999999997</v>
      </c>
      <c r="H375" s="2">
        <f>'Moving Avg'!G375</f>
        <v>5.1969800000000035</v>
      </c>
      <c r="I375" s="2">
        <f>'Moving Avg'!H375</f>
        <v>5.318765</v>
      </c>
      <c r="J375" s="5" t="str">
        <f>OBV!F375</f>
        <v>BEARISH</v>
      </c>
      <c r="K375" s="5" t="str">
        <f>OBV!G375</f>
        <v>STRONG</v>
      </c>
      <c r="L375" s="5" t="str">
        <f>OBV!H375</f>
        <v>CONFIRMED BEARISH</v>
      </c>
    </row>
    <row r="376" spans="1:12" ht="13.5" x14ac:dyDescent="0.25">
      <c r="A376" s="3">
        <f>RSI!A376</f>
        <v>45467</v>
      </c>
      <c r="B376" s="2">
        <f>RSI!B376</f>
        <v>5.0999999999999996</v>
      </c>
      <c r="C376" s="2">
        <f>RSI!I376</f>
        <v>50.695761239022062</v>
      </c>
      <c r="D376" s="2">
        <f>MACD!E376</f>
        <v>-9.1919080500586503E-3</v>
      </c>
      <c r="E376" s="2">
        <f>MACD!F376</f>
        <v>3.8537758885286919E-2</v>
      </c>
      <c r="F376" s="2">
        <f>'Moving Avg'!D376</f>
        <v>4.9459999999999997</v>
      </c>
      <c r="G376" s="2">
        <f>'Moving Avg'!F376</f>
        <v>5.0471999999999992</v>
      </c>
      <c r="H376" s="2">
        <f>'Moving Avg'!G376</f>
        <v>5.1925400000000028</v>
      </c>
      <c r="I376" s="2">
        <f>'Moving Avg'!H376</f>
        <v>5.3154799999999991</v>
      </c>
      <c r="J376" s="5" t="str">
        <f>OBV!F376</f>
        <v>BEARISH</v>
      </c>
      <c r="K376" s="5" t="str">
        <f>OBV!G376</f>
        <v>STRONG</v>
      </c>
      <c r="L376" s="5" t="str">
        <f>OBV!H376</f>
        <v>BEARISH DIVERGENCE</v>
      </c>
    </row>
    <row r="377" spans="1:12" ht="13.5" x14ac:dyDescent="0.25">
      <c r="A377" s="3">
        <f>RSI!A377</f>
        <v>45468</v>
      </c>
      <c r="B377" s="2">
        <f>RSI!B377</f>
        <v>5.0380000000000003</v>
      </c>
      <c r="C377" s="2">
        <f>RSI!I377</f>
        <v>47.293392029763673</v>
      </c>
      <c r="D377" s="2">
        <f>MACD!E377</f>
        <v>4.9837714987042148E-3</v>
      </c>
      <c r="E377" s="2">
        <f>MACD!F377</f>
        <v>3.1826961407970381E-2</v>
      </c>
      <c r="F377" s="2">
        <f>'Moving Avg'!D377</f>
        <v>4.9778000000000002</v>
      </c>
      <c r="G377" s="2">
        <f>'Moving Avg'!F377</f>
        <v>5.0374499999999989</v>
      </c>
      <c r="H377" s="2">
        <f>'Moving Avg'!G377</f>
        <v>5.1870400000000032</v>
      </c>
      <c r="I377" s="2">
        <f>'Moving Avg'!H377</f>
        <v>5.3118849999999984</v>
      </c>
      <c r="J377" s="5" t="str">
        <f>OBV!F377</f>
        <v>BEARISH</v>
      </c>
      <c r="K377" s="5" t="str">
        <f>OBV!G377</f>
        <v>STRONG</v>
      </c>
      <c r="L377" s="5" t="str">
        <f>OBV!H377</f>
        <v>BEARISH DIVERGENCE</v>
      </c>
    </row>
    <row r="378" spans="1:12" ht="13.5" x14ac:dyDescent="0.25">
      <c r="A378" s="3">
        <f>RSI!A378</f>
        <v>45469</v>
      </c>
      <c r="B378" s="2">
        <f>RSI!B378</f>
        <v>4.8869999999999996</v>
      </c>
      <c r="C378" s="2">
        <f>RSI!I378</f>
        <v>40.214539959786741</v>
      </c>
      <c r="D378" s="2">
        <f>MACD!E378</f>
        <v>2.8437836427236185E-2</v>
      </c>
      <c r="E378" s="2">
        <f>MACD!F378</f>
        <v>3.1149136411823541E-2</v>
      </c>
      <c r="F378" s="2">
        <f>'Moving Avg'!D378</f>
        <v>4.9884000000000004</v>
      </c>
      <c r="G378" s="2">
        <f>'Moving Avg'!F378</f>
        <v>5.0201499999999992</v>
      </c>
      <c r="H378" s="2">
        <f>'Moving Avg'!G378</f>
        <v>5.1785200000000025</v>
      </c>
      <c r="I378" s="2">
        <f>'Moving Avg'!H378</f>
        <v>5.3075349999999979</v>
      </c>
      <c r="J378" s="5" t="str">
        <f>OBV!F378</f>
        <v>BEARISH</v>
      </c>
      <c r="K378" s="5" t="str">
        <f>OBV!G378</f>
        <v>STRONG</v>
      </c>
      <c r="L378" s="5" t="str">
        <f>OBV!H378</f>
        <v>BEARISH DIVERGENCE</v>
      </c>
    </row>
    <row r="379" spans="1:12" ht="13.5" x14ac:dyDescent="0.25">
      <c r="A379" s="3">
        <f>RSI!A379</f>
        <v>45470</v>
      </c>
      <c r="B379" s="2">
        <f>RSI!B379</f>
        <v>4.79</v>
      </c>
      <c r="C379" s="2">
        <f>RSI!I379</f>
        <v>36.441132463403825</v>
      </c>
      <c r="D379" s="2">
        <f>MACD!E379</f>
        <v>5.6614806540163265E-2</v>
      </c>
      <c r="E379" s="2">
        <f>MACD!F379</f>
        <v>3.6242270437491488E-2</v>
      </c>
      <c r="F379" s="2">
        <f>'Moving Avg'!D379</f>
        <v>4.9829999999999997</v>
      </c>
      <c r="G379" s="2">
        <f>'Moving Avg'!F379</f>
        <v>5.0068499999999982</v>
      </c>
      <c r="H379" s="2">
        <f>'Moving Avg'!G379</f>
        <v>5.1680600000000023</v>
      </c>
      <c r="I379" s="2">
        <f>'Moving Avg'!H379</f>
        <v>5.302699999999998</v>
      </c>
      <c r="J379" s="5" t="str">
        <f>OBV!F379</f>
        <v>BEARISH</v>
      </c>
      <c r="K379" s="5" t="str">
        <f>OBV!G379</f>
        <v>STRONG</v>
      </c>
      <c r="L379" s="5" t="str">
        <f>OBV!H379</f>
        <v>CONFIRMED BEARISH</v>
      </c>
    </row>
    <row r="380" spans="1:12" ht="13.5" x14ac:dyDescent="0.25">
      <c r="A380" s="3">
        <f>RSI!A380</f>
        <v>45471</v>
      </c>
      <c r="B380" s="2">
        <f>RSI!B380</f>
        <v>4.79</v>
      </c>
      <c r="C380" s="2">
        <f>RSI!I380</f>
        <v>36.441132463403825</v>
      </c>
      <c r="D380" s="2">
        <f>MACD!E380</f>
        <v>8.2091181340431696E-2</v>
      </c>
      <c r="E380" s="2">
        <f>MACD!F380</f>
        <v>4.5412052618079533E-2</v>
      </c>
      <c r="F380" s="2">
        <f>'Moving Avg'!D380</f>
        <v>4.9209999999999994</v>
      </c>
      <c r="G380" s="2">
        <f>'Moving Avg'!F380</f>
        <v>4.9890999999999996</v>
      </c>
      <c r="H380" s="2">
        <f>'Moving Avg'!G380</f>
        <v>5.1576000000000031</v>
      </c>
      <c r="I380" s="2">
        <f>'Moving Avg'!H380</f>
        <v>5.2978649999999972</v>
      </c>
      <c r="J380" s="5" t="str">
        <f>OBV!F380</f>
        <v>BEARISH</v>
      </c>
      <c r="K380" s="5" t="str">
        <f>OBV!G380</f>
        <v>STRONG</v>
      </c>
      <c r="L380" s="5" t="str">
        <f>OBV!H380</f>
        <v>CONFIRMED BEARISH</v>
      </c>
    </row>
    <row r="381" spans="1:12" ht="13.5" x14ac:dyDescent="0.25">
      <c r="A381" s="3">
        <f>RSI!A381</f>
        <v>45474</v>
      </c>
      <c r="B381" s="2">
        <f>RSI!B381</f>
        <v>4.79</v>
      </c>
      <c r="C381" s="2">
        <f>RSI!I381</f>
        <v>36.441132463403825</v>
      </c>
      <c r="D381" s="2">
        <f>MACD!E381</f>
        <v>8.4699837593173122E-2</v>
      </c>
      <c r="E381" s="2">
        <f>MACD!F381</f>
        <v>5.3269609613098248E-2</v>
      </c>
      <c r="F381" s="2">
        <f>'Moving Avg'!D381</f>
        <v>4.859</v>
      </c>
      <c r="G381" s="2">
        <f>'Moving Avg'!F381</f>
        <v>4.9757999999999996</v>
      </c>
      <c r="H381" s="2">
        <f>'Moving Avg'!G381</f>
        <v>5.1487400000000028</v>
      </c>
      <c r="I381" s="2">
        <f>'Moving Avg'!H381</f>
        <v>5.2930749999999964</v>
      </c>
      <c r="J381" s="5" t="str">
        <f>OBV!F381</f>
        <v>BEARISH</v>
      </c>
      <c r="K381" s="5" t="str">
        <f>OBV!G381</f>
        <v>STRONG</v>
      </c>
      <c r="L381" s="5" t="str">
        <f>OBV!H381</f>
        <v>CONFIRMED BEARISH</v>
      </c>
    </row>
    <row r="382" spans="1:12" ht="13.5" x14ac:dyDescent="0.25">
      <c r="A382" s="3">
        <f>RSI!A382</f>
        <v>45475</v>
      </c>
      <c r="B382" s="2">
        <f>RSI!B382</f>
        <v>5.0469999999999997</v>
      </c>
      <c r="C382" s="2">
        <f>RSI!I382</f>
        <v>51.500409263740941</v>
      </c>
      <c r="D382" s="2">
        <f>MACD!E382</f>
        <v>4.8809755311495451E-2</v>
      </c>
      <c r="E382" s="2">
        <f>MACD!F382</f>
        <v>5.2377638752777692E-2</v>
      </c>
      <c r="F382" s="2">
        <f>'Moving Avg'!D382</f>
        <v>4.8607999999999993</v>
      </c>
      <c r="G382" s="2">
        <f>'Moving Avg'!F382</f>
        <v>4.9753500000000006</v>
      </c>
      <c r="H382" s="2">
        <f>'Moving Avg'!G382</f>
        <v>5.1450200000000033</v>
      </c>
      <c r="I382" s="2">
        <f>'Moving Avg'!H382</f>
        <v>5.2896149999999977</v>
      </c>
      <c r="J382" s="5" t="str">
        <f>OBV!F382</f>
        <v>BEARISH</v>
      </c>
      <c r="K382" s="5" t="str">
        <f>OBV!G382</f>
        <v>NEUTRAL</v>
      </c>
      <c r="L382" s="5" t="str">
        <f>OBV!H382</f>
        <v>BEARISH DIVERGENCE</v>
      </c>
    </row>
    <row r="383" spans="1:12" ht="13.5" x14ac:dyDescent="0.25">
      <c r="A383" s="3">
        <f>RSI!A383</f>
        <v>45476</v>
      </c>
      <c r="B383" s="2">
        <f>RSI!B383</f>
        <v>5.1449999999999996</v>
      </c>
      <c r="C383" s="2">
        <f>RSI!I383</f>
        <v>55.800909122380375</v>
      </c>
      <c r="D383" s="2">
        <f>MACD!E383</f>
        <v>4.0376423522143767E-3</v>
      </c>
      <c r="E383" s="2">
        <f>MACD!F383</f>
        <v>4.2709639472665033E-2</v>
      </c>
      <c r="F383" s="2">
        <f>'Moving Avg'!D383</f>
        <v>4.9123999999999999</v>
      </c>
      <c r="G383" s="2">
        <f>'Moving Avg'!F383</f>
        <v>4.9842500000000003</v>
      </c>
      <c r="H383" s="2">
        <f>'Moving Avg'!G383</f>
        <v>5.1432600000000024</v>
      </c>
      <c r="I383" s="2">
        <f>'Moving Avg'!H383</f>
        <v>5.2866449999999974</v>
      </c>
      <c r="J383" s="5" t="str">
        <f>OBV!F383</f>
        <v>BULLISH</v>
      </c>
      <c r="K383" s="5" t="str">
        <f>OBV!G383</f>
        <v>WEAK</v>
      </c>
      <c r="L383" s="5" t="str">
        <f>OBV!H383</f>
        <v>CONFIRMED BULLISH</v>
      </c>
    </row>
    <row r="384" spans="1:12" ht="13.5" x14ac:dyDescent="0.25">
      <c r="A384" s="3">
        <f>RSI!A384</f>
        <v>45477</v>
      </c>
      <c r="B384" s="2">
        <f>RSI!B384</f>
        <v>5.258</v>
      </c>
      <c r="C384" s="2">
        <f>RSI!I384</f>
        <v>60.18486439205595</v>
      </c>
      <c r="D384" s="2">
        <f>MACD!E384</f>
        <v>-4.5616151474598077E-2</v>
      </c>
      <c r="E384" s="2">
        <f>MACD!F384</f>
        <v>2.5044481283212409E-2</v>
      </c>
      <c r="F384" s="2">
        <f>'Moving Avg'!D384</f>
        <v>5.0059999999999993</v>
      </c>
      <c r="G384" s="2">
        <f>'Moving Avg'!F384</f>
        <v>5.0001000000000007</v>
      </c>
      <c r="H384" s="2">
        <f>'Moving Avg'!G384</f>
        <v>5.1437600000000021</v>
      </c>
      <c r="I384" s="2">
        <f>'Moving Avg'!H384</f>
        <v>5.284374999999998</v>
      </c>
      <c r="J384" s="5" t="str">
        <f>OBV!F384</f>
        <v>BULLISH</v>
      </c>
      <c r="K384" s="5" t="str">
        <f>OBV!G384</f>
        <v>NEUTRAL</v>
      </c>
      <c r="L384" s="5" t="str">
        <f>OBV!H384</f>
        <v>CONFIRMED BULLISH</v>
      </c>
    </row>
    <row r="385" spans="1:12" ht="13.5" x14ac:dyDescent="0.25">
      <c r="A385" s="3">
        <f>RSI!A385</f>
        <v>45478</v>
      </c>
      <c r="B385" s="2">
        <f>RSI!B385</f>
        <v>5.399</v>
      </c>
      <c r="C385" s="2">
        <f>RSI!I385</f>
        <v>64.867469764087815</v>
      </c>
      <c r="D385" s="2">
        <f>MACD!E385</f>
        <v>-5.593047824518127E-2</v>
      </c>
      <c r="E385" s="2">
        <f>MACD!F385</f>
        <v>8.849489377533673E-3</v>
      </c>
      <c r="F385" s="2">
        <f>'Moving Avg'!D385</f>
        <v>5.1277999999999997</v>
      </c>
      <c r="G385" s="2">
        <f>'Moving Avg'!F385</f>
        <v>5.0261000000000013</v>
      </c>
      <c r="H385" s="2">
        <f>'Moving Avg'!G385</f>
        <v>5.1470800000000017</v>
      </c>
      <c r="I385" s="2">
        <f>'Moving Avg'!H385</f>
        <v>5.2827649999999968</v>
      </c>
      <c r="J385" s="5" t="str">
        <f>OBV!F385</f>
        <v>BULLISH</v>
      </c>
      <c r="K385" s="5" t="str">
        <f>OBV!G385</f>
        <v>WEAK</v>
      </c>
      <c r="L385" s="5" t="str">
        <f>OBV!H385</f>
        <v>CONFIRMED BULLISH</v>
      </c>
    </row>
    <row r="386" spans="1:12" ht="13.5" x14ac:dyDescent="0.25">
      <c r="A386" s="3">
        <f>RSI!A386</f>
        <v>45481</v>
      </c>
      <c r="B386" s="2">
        <f>RSI!B386</f>
        <v>5.4459999999999997</v>
      </c>
      <c r="C386" s="2">
        <f>RSI!I386</f>
        <v>66.290628816752289</v>
      </c>
      <c r="D386" s="2">
        <f>MACD!E386</f>
        <v>-7.0263008014212147E-2</v>
      </c>
      <c r="E386" s="2">
        <f>MACD!F386</f>
        <v>-6.9730101008154913E-3</v>
      </c>
      <c r="F386" s="2">
        <f>'Moving Avg'!D386</f>
        <v>5.2590000000000003</v>
      </c>
      <c r="G386" s="2">
        <f>'Moving Avg'!F386</f>
        <v>5.0456000000000003</v>
      </c>
      <c r="H386" s="2">
        <f>'Moving Avg'!G386</f>
        <v>5.1522200000000025</v>
      </c>
      <c r="I386" s="2">
        <f>'Moving Avg'!H386</f>
        <v>5.2813899999999965</v>
      </c>
      <c r="J386" s="5" t="str">
        <f>OBV!F386</f>
        <v>BULLISH</v>
      </c>
      <c r="K386" s="5" t="str">
        <f>OBV!G386</f>
        <v>WEAK</v>
      </c>
      <c r="L386" s="5" t="str">
        <f>OBV!H386</f>
        <v>CONFIRMED BULLISH</v>
      </c>
    </row>
    <row r="387" spans="1:12" ht="13.5" x14ac:dyDescent="0.25">
      <c r="A387" s="3">
        <f>RSI!A387</f>
        <v>45482</v>
      </c>
      <c r="B387" s="2">
        <f>RSI!B387</f>
        <v>5.4459999999999997</v>
      </c>
      <c r="C387" s="2">
        <f>RSI!I387</f>
        <v>66.290628816752289</v>
      </c>
      <c r="D387" s="2">
        <f>MACD!E387</f>
        <v>-9.4172961445626591E-2</v>
      </c>
      <c r="E387" s="2">
        <f>MACD!F387</f>
        <v>-2.4413000369777713E-2</v>
      </c>
      <c r="F387" s="2">
        <f>'Moving Avg'!D387</f>
        <v>5.3387999999999991</v>
      </c>
      <c r="G387" s="2">
        <f>'Moving Avg'!F387</f>
        <v>5.0606499999999999</v>
      </c>
      <c r="H387" s="2">
        <f>'Moving Avg'!G387</f>
        <v>5.1547000000000018</v>
      </c>
      <c r="I387" s="2">
        <f>'Moving Avg'!H387</f>
        <v>5.279924999999996</v>
      </c>
      <c r="J387" s="5" t="str">
        <f>OBV!F387</f>
        <v>BULLISH</v>
      </c>
      <c r="K387" s="5" t="str">
        <f>OBV!G387</f>
        <v>WEAK</v>
      </c>
      <c r="L387" s="5" t="str">
        <f>OBV!H387</f>
        <v>CONFIRMED BULLISH</v>
      </c>
    </row>
    <row r="388" spans="1:12" ht="13.5" x14ac:dyDescent="0.25">
      <c r="A388" s="3">
        <f>RSI!A388</f>
        <v>45483</v>
      </c>
      <c r="B388" s="2">
        <f>RSI!B388</f>
        <v>5.6340000000000003</v>
      </c>
      <c r="C388" s="2">
        <f>RSI!I388</f>
        <v>71.623201311435551</v>
      </c>
      <c r="D388" s="2">
        <f>MACD!E388</f>
        <v>-0.15363890260761082</v>
      </c>
      <c r="E388" s="2">
        <f>MACD!F388</f>
        <v>-5.0258180817344338E-2</v>
      </c>
      <c r="F388" s="2">
        <f>'Moving Avg'!D388</f>
        <v>5.4366000000000003</v>
      </c>
      <c r="G388" s="2">
        <f>'Moving Avg'!F388</f>
        <v>5.0850999999999988</v>
      </c>
      <c r="H388" s="2">
        <f>'Moving Avg'!G388</f>
        <v>5.1609400000000019</v>
      </c>
      <c r="I388" s="2">
        <f>'Moving Avg'!H388</f>
        <v>5.2793999999999972</v>
      </c>
      <c r="J388" s="5" t="str">
        <f>OBV!F388</f>
        <v>BULLISH</v>
      </c>
      <c r="K388" s="5" t="str">
        <f>OBV!G388</f>
        <v>WEAK</v>
      </c>
      <c r="L388" s="5" t="str">
        <f>OBV!H388</f>
        <v>CONFIRMED BULLISH</v>
      </c>
    </row>
    <row r="389" spans="1:12" ht="13.5" x14ac:dyDescent="0.25">
      <c r="A389" s="3">
        <f>RSI!A389</f>
        <v>45484</v>
      </c>
      <c r="B389" s="2">
        <f>RSI!B389</f>
        <v>5.8120000000000003</v>
      </c>
      <c r="C389" s="2">
        <f>RSI!I389</f>
        <v>75.564615929723828</v>
      </c>
      <c r="D389" s="2">
        <f>MACD!E389</f>
        <v>-0.23509923938571742</v>
      </c>
      <c r="E389" s="2">
        <f>MACD!F389</f>
        <v>-8.7226392531018965E-2</v>
      </c>
      <c r="F389" s="2">
        <f>'Moving Avg'!D389</f>
        <v>5.5473999999999997</v>
      </c>
      <c r="G389" s="2">
        <f>'Moving Avg'!F389</f>
        <v>5.1184499999999993</v>
      </c>
      <c r="H389" s="2">
        <f>'Moving Avg'!G389</f>
        <v>5.1707400000000003</v>
      </c>
      <c r="I389" s="2">
        <f>'Moving Avg'!H389</f>
        <v>5.279809999999995</v>
      </c>
      <c r="J389" s="5" t="str">
        <f>OBV!F389</f>
        <v>BULLISH</v>
      </c>
      <c r="K389" s="5" t="str">
        <f>OBV!G389</f>
        <v>WEAK</v>
      </c>
      <c r="L389" s="5" t="str">
        <f>OBV!H389</f>
        <v>CONFIRMED BULLISH</v>
      </c>
    </row>
    <row r="390" spans="1:12" ht="13.5" x14ac:dyDescent="0.25">
      <c r="A390" s="3">
        <f>RSI!A390</f>
        <v>45485</v>
      </c>
      <c r="B390" s="2">
        <f>RSI!B390</f>
        <v>5.8780000000000001</v>
      </c>
      <c r="C390" s="2">
        <f>RSI!I390</f>
        <v>76.848641914767143</v>
      </c>
      <c r="D390" s="2">
        <f>MACD!E390</f>
        <v>-0.31277785948952452</v>
      </c>
      <c r="E390" s="2">
        <f>MACD!F390</f>
        <v>-0.13233668592272008</v>
      </c>
      <c r="F390" s="2">
        <f>'Moving Avg'!D390</f>
        <v>5.6432000000000002</v>
      </c>
      <c r="G390" s="2">
        <f>'Moving Avg'!F390</f>
        <v>5.1550999999999991</v>
      </c>
      <c r="H390" s="2">
        <f>'Moving Avg'!G390</f>
        <v>5.1818600000000012</v>
      </c>
      <c r="I390" s="2">
        <f>'Moving Avg'!H390</f>
        <v>5.2805499999999963</v>
      </c>
      <c r="J390" s="5" t="str">
        <f>OBV!F390</f>
        <v>BULLISH</v>
      </c>
      <c r="K390" s="5" t="str">
        <f>OBV!G390</f>
        <v>WEAK</v>
      </c>
      <c r="L390" s="5" t="str">
        <f>OBV!H390</f>
        <v>CONFIRMED BULLISH</v>
      </c>
    </row>
    <row r="391" spans="1:12" ht="13.5" x14ac:dyDescent="0.25">
      <c r="A391" s="3">
        <f>RSI!A391</f>
        <v>45488</v>
      </c>
      <c r="B391" s="2">
        <f>RSI!B391</f>
        <v>5.9160000000000004</v>
      </c>
      <c r="C391" s="2">
        <f>RSI!I391</f>
        <v>77.579159828867404</v>
      </c>
      <c r="D391" s="2">
        <f>MACD!E391</f>
        <v>-0.38528643239718541</v>
      </c>
      <c r="E391" s="2">
        <f>MACD!F391</f>
        <v>-0.18292663521761315</v>
      </c>
      <c r="F391" s="2">
        <f>'Moving Avg'!D391</f>
        <v>5.7371999999999996</v>
      </c>
      <c r="G391" s="2">
        <f>'Moving Avg'!F391</f>
        <v>5.2002999999999986</v>
      </c>
      <c r="H391" s="2">
        <f>'Moving Avg'!G391</f>
        <v>5.1932000000000009</v>
      </c>
      <c r="I391" s="2">
        <f>'Moving Avg'!H391</f>
        <v>5.2815249999999967</v>
      </c>
      <c r="J391" s="5" t="str">
        <f>OBV!F391</f>
        <v>BULLISH</v>
      </c>
      <c r="K391" s="5" t="str">
        <f>OBV!G391</f>
        <v>WEAK</v>
      </c>
      <c r="L391" s="5" t="str">
        <f>OBV!H391</f>
        <v>CONFIRMED BULLISH</v>
      </c>
    </row>
    <row r="392" spans="1:12" ht="13.5" x14ac:dyDescent="0.25">
      <c r="A392" s="3">
        <f>RSI!A392</f>
        <v>45489</v>
      </c>
      <c r="B392" s="2">
        <f>RSI!B392</f>
        <v>5.9630000000000001</v>
      </c>
      <c r="C392" s="2">
        <f>RSI!I392</f>
        <v>78.483486307155744</v>
      </c>
      <c r="D392" s="2">
        <f>MACD!E392</f>
        <v>-0.41447934356532734</v>
      </c>
      <c r="E392" s="2">
        <f>MACD!F392</f>
        <v>-0.229237176887156</v>
      </c>
      <c r="F392" s="2">
        <f>'Moving Avg'!D392</f>
        <v>5.8406000000000002</v>
      </c>
      <c r="G392" s="2">
        <f>'Moving Avg'!F392</f>
        <v>5.2544999999999984</v>
      </c>
      <c r="H392" s="2">
        <f>'Moving Avg'!G392</f>
        <v>5.2054800000000014</v>
      </c>
      <c r="I392" s="2">
        <f>'Moving Avg'!H392</f>
        <v>5.2828199999999974</v>
      </c>
      <c r="J392" s="5" t="str">
        <f>OBV!F392</f>
        <v>BULLISH</v>
      </c>
      <c r="K392" s="5" t="str">
        <f>OBV!G392</f>
        <v>WEAK</v>
      </c>
      <c r="L392" s="5" t="str">
        <f>OBV!H392</f>
        <v>CONFIRMED BULLISH</v>
      </c>
    </row>
    <row r="393" spans="1:12" ht="13.5" x14ac:dyDescent="0.25">
      <c r="A393" s="3">
        <f>RSI!A393</f>
        <v>45490</v>
      </c>
      <c r="B393" s="2">
        <f>RSI!B393</f>
        <v>5.944</v>
      </c>
      <c r="C393" s="2">
        <f>RSI!I393</f>
        <v>77.12913218004131</v>
      </c>
      <c r="D393" s="2">
        <f>MACD!E393</f>
        <v>-0.42658228714646018</v>
      </c>
      <c r="E393" s="2">
        <f>MACD!F393</f>
        <v>-0.26870619893901687</v>
      </c>
      <c r="F393" s="2">
        <f>'Moving Avg'!D393</f>
        <v>5.9026000000000005</v>
      </c>
      <c r="G393" s="2">
        <f>'Moving Avg'!F393</f>
        <v>5.31</v>
      </c>
      <c r="H393" s="2">
        <f>'Moving Avg'!G393</f>
        <v>5.2181000000000006</v>
      </c>
      <c r="I393" s="2">
        <f>'Moving Avg'!H393</f>
        <v>5.283979999999997</v>
      </c>
      <c r="J393" s="5" t="str">
        <f>OBV!F393</f>
        <v>BULLISH</v>
      </c>
      <c r="K393" s="5" t="str">
        <f>OBV!G393</f>
        <v>WEAK</v>
      </c>
      <c r="L393" s="5" t="str">
        <f>OBV!H393</f>
        <v>CONFIRMED BULLISH</v>
      </c>
    </row>
    <row r="394" spans="1:12" ht="13.5" x14ac:dyDescent="0.25">
      <c r="A394" s="3">
        <f>RSI!A394</f>
        <v>45491</v>
      </c>
      <c r="B394" s="2">
        <f>RSI!B394</f>
        <v>5.8869999999999996</v>
      </c>
      <c r="C394" s="2">
        <f>RSI!I394</f>
        <v>73.056113058660912</v>
      </c>
      <c r="D394" s="2">
        <f>MACD!E394</f>
        <v>-0.41870188924396956</v>
      </c>
      <c r="E394" s="2">
        <f>MACD!F394</f>
        <v>-0.2987053370000074</v>
      </c>
      <c r="F394" s="2">
        <f>'Moving Avg'!D394</f>
        <v>5.9176000000000002</v>
      </c>
      <c r="G394" s="2">
        <f>'Moving Avg'!F394</f>
        <v>5.3635000000000002</v>
      </c>
      <c r="H394" s="2">
        <f>'Moving Avg'!G394</f>
        <v>5.2295799999999995</v>
      </c>
      <c r="I394" s="2">
        <f>'Moving Avg'!H394</f>
        <v>5.284894999999997</v>
      </c>
      <c r="J394" s="5" t="str">
        <f>OBV!F394</f>
        <v>BULLISH</v>
      </c>
      <c r="K394" s="5" t="str">
        <f>OBV!G394</f>
        <v>WEAK</v>
      </c>
      <c r="L394" s="5" t="str">
        <f>OBV!H394</f>
        <v>CONFIRMED BULLISH</v>
      </c>
    </row>
    <row r="395" spans="1:12" ht="13.5" x14ac:dyDescent="0.25">
      <c r="A395" s="3">
        <f>RSI!A395</f>
        <v>45492</v>
      </c>
      <c r="B395" s="2">
        <f>RSI!B395</f>
        <v>5.8869999999999996</v>
      </c>
      <c r="C395" s="2">
        <f>RSI!I395</f>
        <v>73.056113058660912</v>
      </c>
      <c r="D395" s="2">
        <f>MACD!E395</f>
        <v>-0.39323204029764192</v>
      </c>
      <c r="E395" s="2">
        <f>MACD!F395</f>
        <v>-0.31761067765953432</v>
      </c>
      <c r="F395" s="2">
        <f>'Moving Avg'!D395</f>
        <v>5.9194000000000004</v>
      </c>
      <c r="G395" s="2">
        <f>'Moving Avg'!F395</f>
        <v>5.402849999999999</v>
      </c>
      <c r="H395" s="2">
        <f>'Moving Avg'!G395</f>
        <v>5.2410599999999992</v>
      </c>
      <c r="I395" s="2">
        <f>'Moving Avg'!H395</f>
        <v>5.285809999999997</v>
      </c>
      <c r="J395" s="5" t="str">
        <f>OBV!F395</f>
        <v>BULLISH</v>
      </c>
      <c r="K395" s="5" t="str">
        <f>OBV!G395</f>
        <v>NEUTRAL</v>
      </c>
      <c r="L395" s="5" t="str">
        <f>OBV!H395</f>
        <v>CONFIRMED BULLISH</v>
      </c>
    </row>
    <row r="396" spans="1:12" ht="13.5" x14ac:dyDescent="0.25">
      <c r="A396" s="3">
        <f>RSI!A396</f>
        <v>45495</v>
      </c>
      <c r="B396" s="2">
        <f>RSI!B396</f>
        <v>5.859</v>
      </c>
      <c r="C396" s="2">
        <f>RSI!I396</f>
        <v>70.922409754265558</v>
      </c>
      <c r="D396" s="2">
        <f>MACD!E396</f>
        <v>-0.36505216388331085</v>
      </c>
      <c r="E396" s="2">
        <f>MACD!F396</f>
        <v>-0.32709897490428969</v>
      </c>
      <c r="F396" s="2">
        <f>'Moving Avg'!D396</f>
        <v>5.9079999999999995</v>
      </c>
      <c r="G396" s="2">
        <f>'Moving Avg'!F396</f>
        <v>5.4407999999999994</v>
      </c>
      <c r="H396" s="2">
        <f>'Moving Avg'!G396</f>
        <v>5.2519799999999988</v>
      </c>
      <c r="I396" s="2">
        <f>'Moving Avg'!H396</f>
        <v>5.286584999999997</v>
      </c>
      <c r="J396" s="5" t="str">
        <f>OBV!F396</f>
        <v>BEARISH</v>
      </c>
      <c r="K396" s="5" t="str">
        <f>OBV!G396</f>
        <v>STRONG</v>
      </c>
      <c r="L396" s="5" t="str">
        <f>OBV!H396</f>
        <v>CONFIRMED BEARISH</v>
      </c>
    </row>
    <row r="397" spans="1:12" ht="13.5" x14ac:dyDescent="0.25">
      <c r="A397" s="3">
        <f>RSI!A397</f>
        <v>45496</v>
      </c>
      <c r="B397" s="2">
        <f>RSI!B397</f>
        <v>5.859</v>
      </c>
      <c r="C397" s="2">
        <f>RSI!I397</f>
        <v>70.922409754265558</v>
      </c>
      <c r="D397" s="2">
        <f>MACD!E397</f>
        <v>-0.34352032721814219</v>
      </c>
      <c r="E397" s="2">
        <f>MACD!F397</f>
        <v>-0.33038324536706021</v>
      </c>
      <c r="F397" s="2">
        <f>'Moving Avg'!D397</f>
        <v>5.8872</v>
      </c>
      <c r="G397" s="2">
        <f>'Moving Avg'!F397</f>
        <v>5.4818499999999997</v>
      </c>
      <c r="H397" s="2">
        <f>'Moving Avg'!G397</f>
        <v>5.2628999999999984</v>
      </c>
      <c r="I397" s="2">
        <f>'Moving Avg'!H397</f>
        <v>5.2873599999999961</v>
      </c>
      <c r="J397" s="5" t="str">
        <f>OBV!F397</f>
        <v>BEARISH</v>
      </c>
      <c r="K397" s="5" t="str">
        <f>OBV!G397</f>
        <v>STRONG</v>
      </c>
      <c r="L397" s="5" t="str">
        <f>OBV!H397</f>
        <v>CONFIRMED BEARISH</v>
      </c>
    </row>
    <row r="398" spans="1:12" ht="13.5" x14ac:dyDescent="0.25">
      <c r="A398" s="3">
        <f>RSI!A398</f>
        <v>45497</v>
      </c>
      <c r="B398" s="2">
        <f>RSI!B398</f>
        <v>5.9160000000000004</v>
      </c>
      <c r="C398" s="2">
        <f>RSI!I398</f>
        <v>72.798107186760944</v>
      </c>
      <c r="D398" s="2">
        <f>MACD!E398</f>
        <v>-0.30274159105918397</v>
      </c>
      <c r="E398" s="2">
        <f>MACD!F398</f>
        <v>-0.32485491450548498</v>
      </c>
      <c r="F398" s="2">
        <f>'Moving Avg'!D398</f>
        <v>5.8815999999999997</v>
      </c>
      <c r="G398" s="2">
        <f>'Moving Avg'!F398</f>
        <v>5.5332999999999988</v>
      </c>
      <c r="H398" s="2">
        <f>'Moving Avg'!G398</f>
        <v>5.2772599999999992</v>
      </c>
      <c r="I398" s="2">
        <f>'Moving Avg'!H398</f>
        <v>5.2883349999999965</v>
      </c>
      <c r="J398" s="5" t="str">
        <f>OBV!F398</f>
        <v>BEARISH</v>
      </c>
      <c r="K398" s="5" t="str">
        <f>OBV!G398</f>
        <v>STRONG</v>
      </c>
      <c r="L398" s="5" t="str">
        <f>OBV!H398</f>
        <v>CONFIRMED BEARISH</v>
      </c>
    </row>
    <row r="399" spans="1:12" ht="13.5" x14ac:dyDescent="0.25">
      <c r="A399" s="3">
        <f>RSI!A399</f>
        <v>45499</v>
      </c>
      <c r="B399" s="2">
        <f>RSI!B399</f>
        <v>5.8970000000000002</v>
      </c>
      <c r="C399" s="2">
        <f>RSI!I399</f>
        <v>71.150529369875699</v>
      </c>
      <c r="D399" s="2">
        <f>MACD!E399</f>
        <v>-0.24176404459778755</v>
      </c>
      <c r="E399" s="2">
        <f>MACD!F399</f>
        <v>-0.30823674052394551</v>
      </c>
      <c r="F399" s="2">
        <f>'Moving Avg'!D399</f>
        <v>5.8835999999999995</v>
      </c>
      <c r="G399" s="2">
        <f>'Moving Avg'!F399</f>
        <v>5.5886499999999995</v>
      </c>
      <c r="H399" s="2">
        <f>'Moving Avg'!G399</f>
        <v>5.2931999999999997</v>
      </c>
      <c r="I399" s="2">
        <f>'Moving Avg'!H399</f>
        <v>5.2893899999999965</v>
      </c>
      <c r="J399" s="5" t="str">
        <f>OBV!F399</f>
        <v>BEARISH</v>
      </c>
      <c r="K399" s="5" t="str">
        <f>OBV!G399</f>
        <v>STRONG</v>
      </c>
      <c r="L399" s="5" t="str">
        <f>OBV!H399</f>
        <v>BEARISH DIVERGENCE</v>
      </c>
    </row>
    <row r="400" spans="1:12" ht="13.5" x14ac:dyDescent="0.25">
      <c r="A400" s="3">
        <f>RSI!A400</f>
        <v>45502</v>
      </c>
      <c r="B400" s="2">
        <f>RSI!B400</f>
        <v>5.8970000000000002</v>
      </c>
      <c r="C400" s="2">
        <f>RSI!I400</f>
        <v>71.150529369875699</v>
      </c>
      <c r="D400" s="2">
        <f>MACD!E400</f>
        <v>-0.18204928261694686</v>
      </c>
      <c r="E400" s="2">
        <f>MACD!F400</f>
        <v>-0.2829992489425458</v>
      </c>
      <c r="F400" s="2">
        <f>'Moving Avg'!D400</f>
        <v>5.8855999999999993</v>
      </c>
      <c r="G400" s="2">
        <f>'Moving Avg'!F400</f>
        <v>5.6440000000000001</v>
      </c>
      <c r="H400" s="2">
        <f>'Moving Avg'!G400</f>
        <v>5.3046999999999995</v>
      </c>
      <c r="I400" s="2">
        <f>'Moving Avg'!H400</f>
        <v>5.2904449999999947</v>
      </c>
      <c r="J400" s="5" t="str">
        <f>OBV!F400</f>
        <v>BEARISH</v>
      </c>
      <c r="K400" s="5" t="str">
        <f>OBV!G400</f>
        <v>STRONG</v>
      </c>
      <c r="L400" s="5" t="str">
        <f>OBV!H400</f>
        <v>BEARISH DIVERGENCE</v>
      </c>
    </row>
    <row r="401" spans="1:12" ht="13.5" x14ac:dyDescent="0.25">
      <c r="A401" s="3">
        <f>RSI!A401</f>
        <v>45503</v>
      </c>
      <c r="B401" s="2">
        <f>RSI!B401</f>
        <v>5.8220000000000001</v>
      </c>
      <c r="C401" s="2">
        <f>RSI!I401</f>
        <v>64.470701471871507</v>
      </c>
      <c r="D401" s="2">
        <f>MACD!E401</f>
        <v>-0.12200439180441336</v>
      </c>
      <c r="E401" s="2">
        <f>MACD!F401</f>
        <v>-0.25080027751491929</v>
      </c>
      <c r="F401" s="2">
        <f>'Moving Avg'!D401</f>
        <v>5.8782000000000005</v>
      </c>
      <c r="G401" s="2">
        <f>'Moving Avg'!F401</f>
        <v>5.6955999999999998</v>
      </c>
      <c r="H401" s="2">
        <f>'Moving Avg'!G401</f>
        <v>5.3141599999999993</v>
      </c>
      <c r="I401" s="2">
        <f>'Moving Avg'!H401</f>
        <v>5.2911249999999947</v>
      </c>
      <c r="J401" s="5" t="str">
        <f>OBV!F401</f>
        <v>BEARISH</v>
      </c>
      <c r="K401" s="5" t="str">
        <f>OBV!G401</f>
        <v>STRONG</v>
      </c>
      <c r="L401" s="5" t="str">
        <f>OBV!H401</f>
        <v>CONFIRMED BEARISH</v>
      </c>
    </row>
    <row r="402" spans="1:12" ht="13.5" x14ac:dyDescent="0.25">
      <c r="A402" s="3">
        <f>RSI!A402</f>
        <v>45504</v>
      </c>
      <c r="B402" s="2">
        <f>RSI!B402</f>
        <v>5.9160000000000004</v>
      </c>
      <c r="C402" s="2">
        <f>RSI!I402</f>
        <v>68.466557208543151</v>
      </c>
      <c r="D402" s="2">
        <f>MACD!E402</f>
        <v>-7.2231279152949135E-2</v>
      </c>
      <c r="E402" s="2">
        <f>MACD!F402</f>
        <v>-0.21508647784252527</v>
      </c>
      <c r="F402" s="2">
        <f>'Moving Avg'!D402</f>
        <v>5.8895999999999997</v>
      </c>
      <c r="G402" s="2">
        <f>'Moving Avg'!F402</f>
        <v>5.7390499999999998</v>
      </c>
      <c r="H402" s="2">
        <f>'Moving Avg'!G402</f>
        <v>5.3256799999999984</v>
      </c>
      <c r="I402" s="2">
        <f>'Moving Avg'!H402</f>
        <v>5.2922299999999947</v>
      </c>
      <c r="J402" s="5" t="str">
        <f>OBV!F402</f>
        <v>BEARISH</v>
      </c>
      <c r="K402" s="5" t="str">
        <f>OBV!G402</f>
        <v>NEUTRAL</v>
      </c>
      <c r="L402" s="5" t="str">
        <f>OBV!H402</f>
        <v>BEARISH DIVERGENCE</v>
      </c>
    </row>
    <row r="403" spans="1:12" ht="13.5" x14ac:dyDescent="0.25">
      <c r="A403" s="3">
        <f>RSI!A403</f>
        <v>45505</v>
      </c>
      <c r="B403" s="2">
        <f>RSI!B403</f>
        <v>5.9160000000000004</v>
      </c>
      <c r="C403" s="2">
        <f>RSI!I403</f>
        <v>68.466557208543151</v>
      </c>
      <c r="D403" s="2">
        <f>MACD!E403</f>
        <v>-3.4799566629403422E-2</v>
      </c>
      <c r="E403" s="2">
        <f>MACD!F403</f>
        <v>-0.17902909559990093</v>
      </c>
      <c r="F403" s="2">
        <f>'Moving Avg'!D403</f>
        <v>5.8895999999999997</v>
      </c>
      <c r="G403" s="2">
        <f>'Moving Avg'!F403</f>
        <v>5.7775999999999996</v>
      </c>
      <c r="H403" s="2">
        <f>'Moving Avg'!G403</f>
        <v>5.3371999999999993</v>
      </c>
      <c r="I403" s="2">
        <f>'Moving Avg'!H403</f>
        <v>5.2933349999999955</v>
      </c>
      <c r="J403" s="5" t="str">
        <f>OBV!F403</f>
        <v>BEARISH</v>
      </c>
      <c r="K403" s="5" t="str">
        <f>OBV!G403</f>
        <v>STRONG</v>
      </c>
      <c r="L403" s="5" t="str">
        <f>OBV!H403</f>
        <v>NEUTRAL</v>
      </c>
    </row>
    <row r="404" spans="1:12" ht="13.5" x14ac:dyDescent="0.25">
      <c r="A404" s="3">
        <f>RSI!A404</f>
        <v>45506</v>
      </c>
      <c r="B404" s="2">
        <f>RSI!B404</f>
        <v>5.8970000000000002</v>
      </c>
      <c r="C404" s="2">
        <f>RSI!I404</f>
        <v>66.70784336646048</v>
      </c>
      <c r="D404" s="2">
        <f>MACD!E404</f>
        <v>-1.2118885118028722E-2</v>
      </c>
      <c r="E404" s="2">
        <f>MACD!F404</f>
        <v>-0.1456470535035265</v>
      </c>
      <c r="F404" s="2">
        <f>'Moving Avg'!D404</f>
        <v>5.8895999999999997</v>
      </c>
      <c r="G404" s="2">
        <f>'Moving Avg'!F404</f>
        <v>5.8095499999999998</v>
      </c>
      <c r="H404" s="2">
        <f>'Moving Avg'!G404</f>
        <v>5.3486999999999991</v>
      </c>
      <c r="I404" s="2">
        <f>'Moving Avg'!H404</f>
        <v>5.2943449999999954</v>
      </c>
      <c r="J404" s="5" t="str">
        <f>OBV!F404</f>
        <v>BEARISH</v>
      </c>
      <c r="K404" s="5" t="str">
        <f>OBV!G404</f>
        <v>STRONG</v>
      </c>
      <c r="L404" s="5" t="str">
        <f>OBV!H404</f>
        <v>NEUTRAL</v>
      </c>
    </row>
    <row r="405" spans="1:12" ht="13.5" x14ac:dyDescent="0.25">
      <c r="A405" s="3">
        <f>RSI!A405</f>
        <v>45509</v>
      </c>
      <c r="B405" s="2">
        <f>RSI!B405</f>
        <v>5.8780000000000001</v>
      </c>
      <c r="C405" s="2">
        <f>RSI!I405</f>
        <v>64.912169350557662</v>
      </c>
      <c r="D405" s="2">
        <f>MACD!E405</f>
        <v>7.0824338452206703E-3</v>
      </c>
      <c r="E405" s="2">
        <f>MACD!F405</f>
        <v>-0.11510115603377707</v>
      </c>
      <c r="F405" s="2">
        <f>'Moving Avg'!D405</f>
        <v>5.8858000000000006</v>
      </c>
      <c r="G405" s="2">
        <f>'Moving Avg'!F405</f>
        <v>5.8335000000000008</v>
      </c>
      <c r="H405" s="2">
        <f>'Moving Avg'!G405</f>
        <v>5.35982</v>
      </c>
      <c r="I405" s="2">
        <f>'Moving Avg'!H405</f>
        <v>5.2953499999999956</v>
      </c>
      <c r="J405" s="5" t="str">
        <f>OBV!F405</f>
        <v>BEARISH</v>
      </c>
      <c r="K405" s="5" t="str">
        <f>OBV!G405</f>
        <v>STRONG</v>
      </c>
      <c r="L405" s="5" t="str">
        <f>OBV!H405</f>
        <v>CONFIRMED BEARISH</v>
      </c>
    </row>
    <row r="406" spans="1:12" ht="13.5" x14ac:dyDescent="0.25">
      <c r="A406" s="3">
        <f>RSI!A406</f>
        <v>45510</v>
      </c>
      <c r="B406" s="2">
        <f>RSI!B406</f>
        <v>5.8120000000000003</v>
      </c>
      <c r="C406" s="2">
        <f>RSI!I406</f>
        <v>58.973582320010955</v>
      </c>
      <c r="D406" s="2">
        <f>MACD!E406</f>
        <v>2.2729251450670063E-2</v>
      </c>
      <c r="E406" s="2">
        <f>MACD!F406</f>
        <v>-8.753507453688765E-2</v>
      </c>
      <c r="F406" s="2">
        <f>'Moving Avg'!D406</f>
        <v>5.8837999999999999</v>
      </c>
      <c r="G406" s="2">
        <f>'Moving Avg'!F406</f>
        <v>5.8518000000000008</v>
      </c>
      <c r="H406" s="2">
        <f>'Moving Avg'!G406</f>
        <v>5.3713999999999995</v>
      </c>
      <c r="I406" s="2">
        <f>'Moving Avg'!H406</f>
        <v>5.2960249999999967</v>
      </c>
      <c r="J406" s="5" t="str">
        <f>OBV!F406</f>
        <v>BEARISH</v>
      </c>
      <c r="K406" s="5" t="str">
        <f>OBV!G406</f>
        <v>STRONG</v>
      </c>
      <c r="L406" s="5" t="str">
        <f>OBV!H406</f>
        <v>CONFIRMED BEARISH</v>
      </c>
    </row>
    <row r="407" spans="1:12" ht="13.5" x14ac:dyDescent="0.25">
      <c r="A407" s="3">
        <f>RSI!A407</f>
        <v>45511</v>
      </c>
      <c r="B407" s="2">
        <f>RSI!B407</f>
        <v>5.8120000000000003</v>
      </c>
      <c r="C407" s="2">
        <f>RSI!I407</f>
        <v>58.973582320010948</v>
      </c>
      <c r="D407" s="2">
        <f>MACD!E407</f>
        <v>3.5264743860058623E-2</v>
      </c>
      <c r="E407" s="2">
        <f>MACD!F407</f>
        <v>-6.2975110857498406E-2</v>
      </c>
      <c r="F407" s="2">
        <f>'Moving Avg'!D407</f>
        <v>5.8630000000000013</v>
      </c>
      <c r="G407" s="2">
        <f>'Moving Avg'!F407</f>
        <v>5.8701000000000008</v>
      </c>
      <c r="H407" s="2">
        <f>'Moving Avg'!G407</f>
        <v>5.3829799999999999</v>
      </c>
      <c r="I407" s="2">
        <f>'Moving Avg'!H407</f>
        <v>5.2966099999999958</v>
      </c>
      <c r="J407" s="5" t="str">
        <f>OBV!F407</f>
        <v>BEARISH</v>
      </c>
      <c r="K407" s="5" t="str">
        <f>OBV!G407</f>
        <v>STRONG</v>
      </c>
      <c r="L407" s="5" t="str">
        <f>OBV!H407</f>
        <v>CONFIRMED BEARISH</v>
      </c>
    </row>
    <row r="408" spans="1:12" ht="13.5" x14ac:dyDescent="0.25">
      <c r="A408" s="3">
        <f>RSI!A408</f>
        <v>45512</v>
      </c>
      <c r="B408" s="2">
        <f>RSI!B408</f>
        <v>5.8120000000000003</v>
      </c>
      <c r="C408" s="2">
        <f>RSI!I408</f>
        <v>58.973582320010955</v>
      </c>
      <c r="D408" s="2">
        <f>MACD!E408</f>
        <v>5.3988964478698165E-2</v>
      </c>
      <c r="E408" s="2">
        <f>MACD!F408</f>
        <v>-3.9582295790259091E-2</v>
      </c>
      <c r="F408" s="2">
        <f>'Moving Avg'!D408</f>
        <v>5.8422000000000001</v>
      </c>
      <c r="G408" s="2">
        <f>'Moving Avg'!F408</f>
        <v>5.8790000000000004</v>
      </c>
      <c r="H408" s="2">
        <f>'Moving Avg'!G408</f>
        <v>5.3945599999999994</v>
      </c>
      <c r="I408" s="2">
        <f>'Moving Avg'!H408</f>
        <v>5.297284999999996</v>
      </c>
      <c r="J408" s="5" t="str">
        <f>OBV!F408</f>
        <v>BEARISH</v>
      </c>
      <c r="K408" s="5" t="str">
        <f>OBV!G408</f>
        <v>STRONG</v>
      </c>
      <c r="L408" s="5" t="str">
        <f>OBV!H408</f>
        <v>CONFIRMED BEARISH</v>
      </c>
    </row>
    <row r="409" spans="1:12" ht="13.5" x14ac:dyDescent="0.25">
      <c r="A409" s="3">
        <f>RSI!A409</f>
        <v>45513</v>
      </c>
      <c r="B409" s="2">
        <f>RSI!B409</f>
        <v>5.8120000000000003</v>
      </c>
      <c r="C409" s="2">
        <f>RSI!I409</f>
        <v>58.973582320010955</v>
      </c>
      <c r="D409" s="2">
        <f>MACD!E409</f>
        <v>6.6305787305508623E-2</v>
      </c>
      <c r="E409" s="2">
        <f>MACD!F409</f>
        <v>-1.840467917110555E-2</v>
      </c>
      <c r="F409" s="2">
        <f>'Moving Avg'!D409</f>
        <v>5.8252000000000006</v>
      </c>
      <c r="G409" s="2">
        <f>'Moving Avg'!F409</f>
        <v>5.8789999999999996</v>
      </c>
      <c r="H409" s="2">
        <f>'Moving Avg'!G409</f>
        <v>5.4096799999999998</v>
      </c>
      <c r="I409" s="2">
        <f>'Moving Avg'!H409</f>
        <v>5.2979599999999962</v>
      </c>
      <c r="J409" s="5" t="str">
        <f>OBV!F409</f>
        <v>BEARISH</v>
      </c>
      <c r="K409" s="5" t="str">
        <f>OBV!G409</f>
        <v>STRONG</v>
      </c>
      <c r="L409" s="5" t="str">
        <f>OBV!H409</f>
        <v>CONFIRMED BEARISH</v>
      </c>
    </row>
    <row r="410" spans="1:12" ht="13.5" x14ac:dyDescent="0.25">
      <c r="A410" s="3">
        <f>RSI!A410</f>
        <v>45516</v>
      </c>
      <c r="B410" s="2">
        <f>RSI!B410</f>
        <v>5.7839999999999998</v>
      </c>
      <c r="C410" s="2">
        <f>RSI!I410</f>
        <v>56.047631027292624</v>
      </c>
      <c r="D410" s="2">
        <f>MACD!E410</f>
        <v>7.8242833254655864E-2</v>
      </c>
      <c r="E410" s="2">
        <f>MACD!F410</f>
        <v>9.2482331404673129E-4</v>
      </c>
      <c r="F410" s="2">
        <f>'Moving Avg'!D410</f>
        <v>5.8064</v>
      </c>
      <c r="G410" s="2">
        <f>'Moving Avg'!F410</f>
        <v>5.8742999999999999</v>
      </c>
      <c r="H410" s="2">
        <f>'Moving Avg'!G410</f>
        <v>5.4224600000000001</v>
      </c>
      <c r="I410" s="2">
        <f>'Moving Avg'!H410</f>
        <v>5.2984949999999973</v>
      </c>
      <c r="J410" s="5" t="str">
        <f>OBV!F410</f>
        <v>BEARISH</v>
      </c>
      <c r="K410" s="5" t="str">
        <f>OBV!G410</f>
        <v>STRONG</v>
      </c>
      <c r="L410" s="5" t="str">
        <f>OBV!H410</f>
        <v>CONFIRMED BEARISH</v>
      </c>
    </row>
    <row r="411" spans="1:12" ht="13.5" x14ac:dyDescent="0.25">
      <c r="A411" s="3">
        <f>RSI!A411</f>
        <v>45518</v>
      </c>
      <c r="B411" s="2">
        <f>RSI!B411</f>
        <v>5.7279999999999998</v>
      </c>
      <c r="C411" s="2">
        <f>RSI!I411</f>
        <v>50.636501225957417</v>
      </c>
      <c r="D411" s="2">
        <f>MACD!E411</f>
        <v>8.0600999360060932E-2</v>
      </c>
      <c r="E411" s="2">
        <f>MACD!F411</f>
        <v>1.6860058523249573E-2</v>
      </c>
      <c r="F411" s="2">
        <f>'Moving Avg'!D411</f>
        <v>5.7896000000000001</v>
      </c>
      <c r="G411" s="2">
        <f>'Moving Avg'!F411</f>
        <v>5.8648999999999996</v>
      </c>
      <c r="H411" s="2">
        <f>'Moving Avg'!G411</f>
        <v>5.4358999999999993</v>
      </c>
      <c r="I411" s="2">
        <f>'Moving Avg'!H411</f>
        <v>5.2987499999999974</v>
      </c>
      <c r="J411" s="5" t="str">
        <f>OBV!F411</f>
        <v>BEARISH</v>
      </c>
      <c r="K411" s="5" t="str">
        <f>OBV!G411</f>
        <v>STRONG</v>
      </c>
      <c r="L411" s="5" t="str">
        <f>OBV!H411</f>
        <v>CONFIRMED BEARISH</v>
      </c>
    </row>
    <row r="412" spans="1:12" ht="13.5" x14ac:dyDescent="0.25">
      <c r="A412" s="3">
        <f>RSI!A412</f>
        <v>45519</v>
      </c>
      <c r="B412" s="2">
        <f>RSI!B412</f>
        <v>5.718</v>
      </c>
      <c r="C412" s="2">
        <f>RSI!I412</f>
        <v>49.713501232243594</v>
      </c>
      <c r="D412" s="2">
        <f>MACD!E412</f>
        <v>9.7803539763326341E-2</v>
      </c>
      <c r="E412" s="2">
        <f>MACD!F412</f>
        <v>3.3048754771264927E-2</v>
      </c>
      <c r="F412" s="2">
        <f>'Moving Avg'!D412</f>
        <v>5.7708000000000004</v>
      </c>
      <c r="G412" s="2">
        <f>'Moving Avg'!F412</f>
        <v>5.8526499999999997</v>
      </c>
      <c r="H412" s="2">
        <f>'Moving Avg'!G412</f>
        <v>5.4491399999999999</v>
      </c>
      <c r="I412" s="2">
        <f>'Moving Avg'!H412</f>
        <v>5.2989549999999994</v>
      </c>
      <c r="J412" s="5" t="str">
        <f>OBV!F412</f>
        <v>BEARISH</v>
      </c>
      <c r="K412" s="5" t="str">
        <f>OBV!G412</f>
        <v>STRONG</v>
      </c>
      <c r="L412" s="5" t="str">
        <f>OBV!H412</f>
        <v>CONFIRMED BEARISH</v>
      </c>
    </row>
    <row r="413" spans="1:12" ht="13.5" x14ac:dyDescent="0.25">
      <c r="A413" s="3">
        <f>RSI!A413</f>
        <v>45520</v>
      </c>
      <c r="B413" s="2">
        <f>RSI!B413</f>
        <v>5.718</v>
      </c>
      <c r="C413" s="2">
        <f>RSI!I413</f>
        <v>49.713501232243594</v>
      </c>
      <c r="D413" s="2">
        <f>MACD!E413</f>
        <v>0.11242315358624566</v>
      </c>
      <c r="E413" s="2">
        <f>MACD!F413</f>
        <v>4.8923634534261073E-2</v>
      </c>
      <c r="F413" s="2">
        <f>'Moving Avg'!D413</f>
        <v>5.7519999999999998</v>
      </c>
      <c r="G413" s="2">
        <f>'Moving Avg'!F413</f>
        <v>5.8413500000000003</v>
      </c>
      <c r="H413" s="2">
        <f>'Moving Avg'!G413</f>
        <v>5.4641600000000006</v>
      </c>
      <c r="I413" s="2">
        <f>'Moving Avg'!H413</f>
        <v>5.2991600000000005</v>
      </c>
      <c r="J413" s="5" t="str">
        <f>OBV!F413</f>
        <v>BEARISH</v>
      </c>
      <c r="K413" s="5" t="str">
        <f>OBV!G413</f>
        <v>STRONG</v>
      </c>
      <c r="L413" s="5" t="str">
        <f>OBV!H413</f>
        <v>CONFIRMED BEARISH</v>
      </c>
    </row>
    <row r="414" spans="1:12" ht="13.5" x14ac:dyDescent="0.25">
      <c r="A414" s="3">
        <f>RSI!A414</f>
        <v>45523</v>
      </c>
      <c r="B414" s="2">
        <f>RSI!B414</f>
        <v>5.718</v>
      </c>
      <c r="C414" s="2">
        <f>RSI!I414</f>
        <v>49.713501232243594</v>
      </c>
      <c r="D414" s="2">
        <f>MACD!E414</f>
        <v>0.12192942477415869</v>
      </c>
      <c r="E414" s="2">
        <f>MACD!F414</f>
        <v>6.35247925822406E-2</v>
      </c>
      <c r="F414" s="2">
        <f>'Moving Avg'!D414</f>
        <v>5.7332000000000001</v>
      </c>
      <c r="G414" s="2">
        <f>'Moving Avg'!F414</f>
        <v>5.8329000000000004</v>
      </c>
      <c r="H414" s="2">
        <f>'Moving Avg'!G414</f>
        <v>5.4797000000000011</v>
      </c>
      <c r="I414" s="2">
        <f>'Moving Avg'!H414</f>
        <v>5.2993650000000025</v>
      </c>
      <c r="J414" s="5" t="str">
        <f>OBV!F414</f>
        <v>BEARISH</v>
      </c>
      <c r="K414" s="5" t="str">
        <f>OBV!G414</f>
        <v>STRONG</v>
      </c>
      <c r="L414" s="5" t="str">
        <f>OBV!H414</f>
        <v>CONFIRMED BEARISH</v>
      </c>
    </row>
    <row r="415" spans="1:12" ht="13.5" x14ac:dyDescent="0.25">
      <c r="A415" s="3">
        <f>RSI!A415</f>
        <v>45524</v>
      </c>
      <c r="B415" s="2">
        <f>RSI!B415</f>
        <v>5.718</v>
      </c>
      <c r="C415" s="2">
        <f>RSI!I415</f>
        <v>49.713501232243594</v>
      </c>
      <c r="D415" s="2">
        <f>MACD!E415</f>
        <v>0.12710465804361615</v>
      </c>
      <c r="E415" s="2">
        <f>MACD!F415</f>
        <v>7.6240765674515709E-2</v>
      </c>
      <c r="F415" s="2">
        <f>'Moving Avg'!D415</f>
        <v>5.7200000000000006</v>
      </c>
      <c r="G415" s="2">
        <f>'Moving Avg'!F415</f>
        <v>5.8244500000000006</v>
      </c>
      <c r="H415" s="2">
        <f>'Moving Avg'!G415</f>
        <v>5.4964800000000018</v>
      </c>
      <c r="I415" s="2">
        <f>'Moving Avg'!H415</f>
        <v>5.2998350000000043</v>
      </c>
      <c r="J415" s="5" t="str">
        <f>OBV!F415</f>
        <v>BEARISH</v>
      </c>
      <c r="K415" s="5" t="str">
        <f>OBV!G415</f>
        <v>STRONG</v>
      </c>
      <c r="L415" s="5" t="str">
        <f>OBV!H415</f>
        <v>CONFIRMED BEARISH</v>
      </c>
    </row>
    <row r="416" spans="1:12" ht="13.5" x14ac:dyDescent="0.25">
      <c r="A416" s="3">
        <f>RSI!A416</f>
        <v>45525</v>
      </c>
      <c r="B416" s="2">
        <f>RSI!B416</f>
        <v>5.6340000000000003</v>
      </c>
      <c r="C416" s="2">
        <f>RSI!I416</f>
        <v>41.223611264738324</v>
      </c>
      <c r="D416" s="2">
        <f>MACD!E416</f>
        <v>0.12760257974426104</v>
      </c>
      <c r="E416" s="2">
        <f>MACD!F416</f>
        <v>8.6513128488464777E-2</v>
      </c>
      <c r="F416" s="2">
        <f>'Moving Avg'!D416</f>
        <v>5.7012</v>
      </c>
      <c r="G416" s="2">
        <f>'Moving Avg'!F416</f>
        <v>5.8132000000000001</v>
      </c>
      <c r="H416" s="2">
        <f>'Moving Avg'!G416</f>
        <v>5.5080400000000012</v>
      </c>
      <c r="I416" s="2">
        <f>'Moving Avg'!H416</f>
        <v>5.2998400000000023</v>
      </c>
      <c r="J416" s="5" t="str">
        <f>OBV!F416</f>
        <v>BEARISH</v>
      </c>
      <c r="K416" s="5" t="str">
        <f>OBV!G416</f>
        <v>STRONG</v>
      </c>
      <c r="L416" s="5" t="str">
        <f>OBV!H416</f>
        <v>CONFIRMED BEARISH</v>
      </c>
    </row>
    <row r="417" spans="1:12" ht="13.5" x14ac:dyDescent="0.25">
      <c r="A417" s="3">
        <f>RSI!A417</f>
        <v>45526</v>
      </c>
      <c r="B417" s="2">
        <f>RSI!B417</f>
        <v>5.6340000000000003</v>
      </c>
      <c r="C417" s="2">
        <f>RSI!I417</f>
        <v>41.223611264738324</v>
      </c>
      <c r="D417" s="2">
        <f>MACD!E417</f>
        <v>0.12856701891434863</v>
      </c>
      <c r="E417" s="2">
        <f>MACD!F417</f>
        <v>9.4923906573641553E-2</v>
      </c>
      <c r="F417" s="2">
        <f>'Moving Avg'!D417</f>
        <v>5.6844000000000001</v>
      </c>
      <c r="G417" s="2">
        <f>'Moving Avg'!F417</f>
        <v>5.8019500000000006</v>
      </c>
      <c r="H417" s="2">
        <f>'Moving Avg'!G417</f>
        <v>5.5178200000000013</v>
      </c>
      <c r="I417" s="2">
        <f>'Moving Avg'!H417</f>
        <v>5.2999350000000023</v>
      </c>
      <c r="J417" s="5" t="str">
        <f>OBV!F417</f>
        <v>BEARISH</v>
      </c>
      <c r="K417" s="5" t="str">
        <f>OBV!G417</f>
        <v>STRONG</v>
      </c>
      <c r="L417" s="5" t="str">
        <f>OBV!H417</f>
        <v>CONFIRMED BEARISH</v>
      </c>
    </row>
    <row r="418" spans="1:12" ht="13.5" x14ac:dyDescent="0.25">
      <c r="A418" s="3">
        <f>RSI!A418</f>
        <v>45527</v>
      </c>
      <c r="B418" s="2">
        <f>RSI!B418</f>
        <v>5.6340000000000003</v>
      </c>
      <c r="C418" s="2">
        <f>RSI!I418</f>
        <v>41.223611264738324</v>
      </c>
      <c r="D418" s="2">
        <f>MACD!E418</f>
        <v>0.12988597246453804</v>
      </c>
      <c r="E418" s="2">
        <f>MACD!F418</f>
        <v>0.10191631975182086</v>
      </c>
      <c r="F418" s="2">
        <f>'Moving Avg'!D418</f>
        <v>5.6676000000000002</v>
      </c>
      <c r="G418" s="2">
        <f>'Moving Avg'!F418</f>
        <v>5.7878500000000006</v>
      </c>
      <c r="H418" s="2">
        <f>'Moving Avg'!G418</f>
        <v>5.5275999999999996</v>
      </c>
      <c r="I418" s="2">
        <f>'Moving Avg'!H418</f>
        <v>5.3000300000000014</v>
      </c>
      <c r="J418" s="5" t="str">
        <f>OBV!F418</f>
        <v>BEARISH</v>
      </c>
      <c r="K418" s="5" t="str">
        <f>OBV!G418</f>
        <v>STRONG</v>
      </c>
      <c r="L418" s="5" t="str">
        <f>OBV!H418</f>
        <v>CONFIRMED BEARISH</v>
      </c>
    </row>
    <row r="419" spans="1:12" ht="13.5" x14ac:dyDescent="0.25">
      <c r="A419" s="3">
        <f>RSI!A419</f>
        <v>45530</v>
      </c>
      <c r="B419" s="2">
        <f>RSI!B419</f>
        <v>5.6340000000000003</v>
      </c>
      <c r="C419" s="2">
        <f>RSI!I419</f>
        <v>41.223611264738324</v>
      </c>
      <c r="D419" s="2">
        <f>MACD!E419</f>
        <v>0.13146764863674232</v>
      </c>
      <c r="E419" s="2">
        <f>MACD!F419</f>
        <v>0.10782658552880517</v>
      </c>
      <c r="F419" s="2">
        <f>'Moving Avg'!D419</f>
        <v>5.6508000000000003</v>
      </c>
      <c r="G419" s="2">
        <f>'Moving Avg'!F419</f>
        <v>5.7747000000000002</v>
      </c>
      <c r="H419" s="2">
        <f>'Moving Avg'!G419</f>
        <v>5.5373800000000006</v>
      </c>
      <c r="I419" s="2">
        <f>'Moving Avg'!H419</f>
        <v>5.3002600000000006</v>
      </c>
      <c r="J419" s="5" t="str">
        <f>OBV!F419</f>
        <v>BEARISH</v>
      </c>
      <c r="K419" s="5" t="str">
        <f>OBV!G419</f>
        <v>STRONG</v>
      </c>
      <c r="L419" s="5" t="str">
        <f>OBV!H419</f>
        <v>CONFIRMED BEARISH</v>
      </c>
    </row>
    <row r="420" spans="1:12" ht="13.5" x14ac:dyDescent="0.25">
      <c r="A420" s="3">
        <f>RSI!A420</f>
        <v>45531</v>
      </c>
      <c r="B420" s="2">
        <f>RSI!B420</f>
        <v>5.625</v>
      </c>
      <c r="C420" s="2">
        <f>RSI!I420</f>
        <v>40.233425501102303</v>
      </c>
      <c r="D420" s="2">
        <f>MACD!E420</f>
        <v>0.12959611118035852</v>
      </c>
      <c r="E420" s="2">
        <f>MACD!F420</f>
        <v>0.11218049065911585</v>
      </c>
      <c r="F420" s="2">
        <f>'Moving Avg'!D420</f>
        <v>5.6322000000000001</v>
      </c>
      <c r="G420" s="2">
        <f>'Moving Avg'!F420</f>
        <v>5.7611000000000008</v>
      </c>
      <c r="H420" s="2">
        <f>'Moving Avg'!G420</f>
        <v>5.5469800000000014</v>
      </c>
      <c r="I420" s="2">
        <f>'Moving Avg'!H420</f>
        <v>5.3004449999999999</v>
      </c>
      <c r="J420" s="5" t="str">
        <f>OBV!F420</f>
        <v>BEARISH</v>
      </c>
      <c r="K420" s="5" t="str">
        <f>OBV!G420</f>
        <v>STRONG</v>
      </c>
      <c r="L420" s="5" t="str">
        <f>OBV!H420</f>
        <v>CONFIRMED BEARISH</v>
      </c>
    </row>
    <row r="421" spans="1:12" ht="13.5" x14ac:dyDescent="0.25">
      <c r="A421" s="3">
        <f>RSI!A421</f>
        <v>45532</v>
      </c>
      <c r="B421" s="2">
        <f>RSI!B421</f>
        <v>5.6340000000000003</v>
      </c>
      <c r="C421" s="2">
        <f>RSI!I421</f>
        <v>41.740457240606275</v>
      </c>
      <c r="D421" s="2">
        <f>MACD!E421</f>
        <v>0.11918284267543822</v>
      </c>
      <c r="E421" s="2">
        <f>MACD!F421</f>
        <v>0.11358096106238033</v>
      </c>
      <c r="F421" s="2">
        <f>'Moving Avg'!D421</f>
        <v>5.6322000000000001</v>
      </c>
      <c r="G421" s="2">
        <f>'Moving Avg'!F421</f>
        <v>5.7517000000000005</v>
      </c>
      <c r="H421" s="2">
        <f>'Moving Avg'!G421</f>
        <v>5.5594200000000003</v>
      </c>
      <c r="I421" s="2">
        <f>'Moving Avg'!H421</f>
        <v>5.3006749999999991</v>
      </c>
      <c r="J421" s="5" t="str">
        <f>OBV!F421</f>
        <v>BEARISH</v>
      </c>
      <c r="K421" s="5" t="str">
        <f>OBV!G421</f>
        <v>NEUTRAL</v>
      </c>
      <c r="L421" s="5" t="str">
        <f>OBV!H421</f>
        <v>NEUTRAL</v>
      </c>
    </row>
    <row r="422" spans="1:12" ht="13.5" x14ac:dyDescent="0.25">
      <c r="A422" s="3">
        <f>RSI!A422</f>
        <v>45533</v>
      </c>
      <c r="B422" s="2">
        <f>RSI!B422</f>
        <v>5.6340000000000003</v>
      </c>
      <c r="C422" s="2">
        <f>RSI!I422</f>
        <v>41.740457240606275</v>
      </c>
      <c r="D422" s="2">
        <f>MACD!E422</f>
        <v>0.10919885347442726</v>
      </c>
      <c r="E422" s="2">
        <f>MACD!F422</f>
        <v>0.11270453954478972</v>
      </c>
      <c r="F422" s="2">
        <f>'Moving Avg'!D422</f>
        <v>5.6322000000000001</v>
      </c>
      <c r="G422" s="2">
        <f>'Moving Avg'!F422</f>
        <v>5.7376000000000005</v>
      </c>
      <c r="H422" s="2">
        <f>'Moving Avg'!G422</f>
        <v>5.5745200000000015</v>
      </c>
      <c r="I422" s="2">
        <f>'Moving Avg'!H422</f>
        <v>5.3009049999999993</v>
      </c>
      <c r="J422" s="5" t="str">
        <f>OBV!F422</f>
        <v>BEARISH</v>
      </c>
      <c r="K422" s="5" t="str">
        <f>OBV!G422</f>
        <v>NEUTRAL</v>
      </c>
      <c r="L422" s="5" t="str">
        <f>OBV!H422</f>
        <v>NEUTRAL</v>
      </c>
    </row>
    <row r="423" spans="1:12" ht="13.5" x14ac:dyDescent="0.25">
      <c r="A423" s="3">
        <f>RSI!A423</f>
        <v>45534</v>
      </c>
      <c r="B423" s="2">
        <f>RSI!B423</f>
        <v>5.681</v>
      </c>
      <c r="C423" s="2">
        <f>RSI!I423</f>
        <v>49.458957837462748</v>
      </c>
      <c r="D423" s="2">
        <f>MACD!E423</f>
        <v>9.7607991810108707E-2</v>
      </c>
      <c r="E423" s="2">
        <f>MACD!F423</f>
        <v>0.10968522999785353</v>
      </c>
      <c r="F423" s="2">
        <f>'Moving Avg'!D423</f>
        <v>5.6416000000000004</v>
      </c>
      <c r="G423" s="2">
        <f>'Moving Avg'!F423</f>
        <v>5.7258500000000003</v>
      </c>
      <c r="H423" s="2">
        <f>'Moving Avg'!G423</f>
        <v>5.5914600000000005</v>
      </c>
      <c r="I423" s="2">
        <f>'Moving Avg'!H423</f>
        <v>5.3014149999999995</v>
      </c>
      <c r="J423" s="5" t="str">
        <f>OBV!F423</f>
        <v>BULLISH</v>
      </c>
      <c r="K423" s="5" t="str">
        <f>OBV!G423</f>
        <v>WEAK</v>
      </c>
      <c r="L423" s="5" t="str">
        <f>OBV!H423</f>
        <v>CONFIRMED BULLISH</v>
      </c>
    </row>
    <row r="424" spans="1:12" ht="13.5" x14ac:dyDescent="0.25">
      <c r="A424" s="3">
        <f>RSI!A424</f>
        <v>45537</v>
      </c>
      <c r="B424" s="2">
        <f>RSI!B424</f>
        <v>5.6340000000000003</v>
      </c>
      <c r="C424" s="2">
        <f>RSI!I424</f>
        <v>43.283453157613486</v>
      </c>
      <c r="D424" s="2">
        <f>MACD!E424</f>
        <v>9.1317624502621264E-2</v>
      </c>
      <c r="E424" s="2">
        <f>MACD!F424</f>
        <v>0.10601170889880708</v>
      </c>
      <c r="F424" s="2">
        <f>'Moving Avg'!D424</f>
        <v>5.6416000000000004</v>
      </c>
      <c r="G424" s="2">
        <f>'Moving Avg'!F424</f>
        <v>5.7127000000000008</v>
      </c>
      <c r="H424" s="2">
        <f>'Moving Avg'!G424</f>
        <v>5.607800000000001</v>
      </c>
      <c r="I424" s="2">
        <f>'Moving Avg'!H424</f>
        <v>5.3016899999999998</v>
      </c>
      <c r="J424" s="5" t="str">
        <f>OBV!F424</f>
        <v>BULLISH</v>
      </c>
      <c r="K424" s="5" t="str">
        <f>OBV!G424</f>
        <v>NEUTRAL</v>
      </c>
      <c r="L424" s="5" t="str">
        <f>OBV!H424</f>
        <v>NEUTRAL</v>
      </c>
    </row>
    <row r="425" spans="1:12" ht="13.5" x14ac:dyDescent="0.25">
      <c r="A425" s="3">
        <f>RSI!A425</f>
        <v>45538</v>
      </c>
      <c r="B425" s="2">
        <f>RSI!B425</f>
        <v>5.6619999999999999</v>
      </c>
      <c r="C425" s="2">
        <f>RSI!I425</f>
        <v>47.489898128330609</v>
      </c>
      <c r="D425" s="2">
        <f>MACD!E425</f>
        <v>8.4231808241739259E-2</v>
      </c>
      <c r="E425" s="2">
        <f>MACD!F425</f>
        <v>0.10165572876739352</v>
      </c>
      <c r="F425" s="2">
        <f>'Moving Avg'!D425</f>
        <v>5.649</v>
      </c>
      <c r="G425" s="2">
        <f>'Moving Avg'!F425</f>
        <v>5.7019000000000002</v>
      </c>
      <c r="H425" s="2">
        <f>'Moving Avg'!G425</f>
        <v>5.61904</v>
      </c>
      <c r="I425" s="2">
        <f>'Moving Avg'!H425</f>
        <v>5.3021050000000001</v>
      </c>
      <c r="J425" s="5" t="str">
        <f>OBV!F425</f>
        <v>BULLISH</v>
      </c>
      <c r="K425" s="5" t="str">
        <f>OBV!G425</f>
        <v>WEAK</v>
      </c>
      <c r="L425" s="5" t="str">
        <f>OBV!H425</f>
        <v>CONFIRMED BULLISH</v>
      </c>
    </row>
    <row r="426" spans="1:12" ht="13.5" x14ac:dyDescent="0.25">
      <c r="A426" s="3">
        <f>RSI!A426</f>
        <v>45539</v>
      </c>
      <c r="B426" s="2">
        <f>RSI!B426</f>
        <v>5.6340000000000003</v>
      </c>
      <c r="C426" s="2">
        <f>RSI!I426</f>
        <v>43.977373320208201</v>
      </c>
      <c r="D426" s="2">
        <f>MACD!E426</f>
        <v>6.7509509937723422E-2</v>
      </c>
      <c r="E426" s="2">
        <f>MACD!F426</f>
        <v>9.4826485001459501E-2</v>
      </c>
      <c r="F426" s="2">
        <f>'Moving Avg'!D426</f>
        <v>5.649</v>
      </c>
      <c r="G426" s="2">
        <f>'Moving Avg'!F426</f>
        <v>5.6930000000000005</v>
      </c>
      <c r="H426" s="2">
        <f>'Moving Avg'!G426</f>
        <v>5.6297200000000007</v>
      </c>
      <c r="I426" s="2">
        <f>'Moving Avg'!H426</f>
        <v>5.3023350000000002</v>
      </c>
      <c r="J426" s="5" t="str">
        <f>OBV!F426</f>
        <v>BULLISH</v>
      </c>
      <c r="K426" s="5" t="str">
        <f>OBV!G426</f>
        <v>NEUTRAL</v>
      </c>
      <c r="L426" s="5" t="str">
        <f>OBV!H426</f>
        <v>NEUTRAL</v>
      </c>
    </row>
    <row r="427" spans="1:12" ht="13.5" x14ac:dyDescent="0.25">
      <c r="A427" s="3">
        <f>RSI!A427</f>
        <v>45540</v>
      </c>
      <c r="B427" s="2">
        <f>RSI!B427</f>
        <v>5.6340000000000003</v>
      </c>
      <c r="C427" s="2">
        <f>RSI!I427</f>
        <v>43.977373320208201</v>
      </c>
      <c r="D427" s="2">
        <f>MACD!E427</f>
        <v>5.3638655027880233E-2</v>
      </c>
      <c r="E427" s="2">
        <f>MACD!F427</f>
        <v>8.6588919006743648E-2</v>
      </c>
      <c r="F427" s="2">
        <f>'Moving Avg'!D427</f>
        <v>5.649</v>
      </c>
      <c r="G427" s="2">
        <f>'Moving Avg'!F427</f>
        <v>5.6841000000000008</v>
      </c>
      <c r="H427" s="2">
        <f>'Moving Avg'!G427</f>
        <v>5.6416400000000007</v>
      </c>
      <c r="I427" s="2">
        <f>'Moving Avg'!H427</f>
        <v>5.3025650000000004</v>
      </c>
      <c r="J427" s="5" t="str">
        <f>OBV!F427</f>
        <v>BULLISH</v>
      </c>
      <c r="K427" s="5" t="str">
        <f>OBV!G427</f>
        <v>NEUTRAL</v>
      </c>
      <c r="L427" s="5" t="str">
        <f>OBV!H427</f>
        <v>NEUTRAL</v>
      </c>
    </row>
    <row r="428" spans="1:12" ht="13.5" x14ac:dyDescent="0.25">
      <c r="A428" s="3">
        <f>RSI!A428</f>
        <v>45541</v>
      </c>
      <c r="B428" s="2">
        <f>RSI!B428</f>
        <v>5.6340000000000003</v>
      </c>
      <c r="C428" s="2">
        <f>RSI!I428</f>
        <v>43.977373320208201</v>
      </c>
      <c r="D428" s="2">
        <f>MACD!E428</f>
        <v>4.2159909385946825E-2</v>
      </c>
      <c r="E428" s="2">
        <f>MACD!F428</f>
        <v>7.7703117082584289E-2</v>
      </c>
      <c r="F428" s="2">
        <f>'Moving Avg'!D428</f>
        <v>5.6395999999999997</v>
      </c>
      <c r="G428" s="2">
        <f>'Moving Avg'!F428</f>
        <v>5.6752000000000002</v>
      </c>
      <c r="H428" s="2">
        <f>'Moving Avg'!G428</f>
        <v>5.6565800000000017</v>
      </c>
      <c r="I428" s="2">
        <f>'Moving Avg'!H428</f>
        <v>5.3027950000000006</v>
      </c>
      <c r="J428" s="5" t="str">
        <f>OBV!F428</f>
        <v>BEARISH</v>
      </c>
      <c r="K428" s="5" t="str">
        <f>OBV!G428</f>
        <v>STRONG</v>
      </c>
      <c r="L428" s="5" t="str">
        <f>OBV!H428</f>
        <v>CONFIRMED BEARISH</v>
      </c>
    </row>
    <row r="429" spans="1:12" ht="13.5" x14ac:dyDescent="0.25">
      <c r="A429" s="3">
        <f>RSI!A429</f>
        <v>45544</v>
      </c>
      <c r="B429" s="2">
        <f>RSI!B429</f>
        <v>5.6150000000000002</v>
      </c>
      <c r="C429" s="2">
        <f>RSI!I429</f>
        <v>41.383240114188133</v>
      </c>
      <c r="D429" s="2">
        <f>MACD!E429</f>
        <v>3.4093542750404993E-2</v>
      </c>
      <c r="E429" s="2">
        <f>MACD!F429</f>
        <v>6.8981202216148438E-2</v>
      </c>
      <c r="F429" s="2">
        <f>'Moving Avg'!D429</f>
        <v>5.6358000000000006</v>
      </c>
      <c r="G429" s="2">
        <f>'Moving Avg'!F429</f>
        <v>5.6653500000000001</v>
      </c>
      <c r="H429" s="2">
        <f>'Moving Avg'!G429</f>
        <v>5.6730800000000023</v>
      </c>
      <c r="I429" s="2">
        <f>'Moving Avg'!H429</f>
        <v>5.3030150000000011</v>
      </c>
      <c r="J429" s="5" t="str">
        <f>OBV!F429</f>
        <v>BEARISH</v>
      </c>
      <c r="K429" s="5" t="str">
        <f>OBV!G429</f>
        <v>STRONG</v>
      </c>
      <c r="L429" s="5" t="str">
        <f>OBV!H429</f>
        <v>CONFIRMED BEARISH</v>
      </c>
    </row>
    <row r="430" spans="1:12" ht="13.5" x14ac:dyDescent="0.25">
      <c r="A430" s="3">
        <f>RSI!A430</f>
        <v>45545</v>
      </c>
      <c r="B430" s="2">
        <f>RSI!B430</f>
        <v>5.6150000000000002</v>
      </c>
      <c r="C430" s="2">
        <f>RSI!I430</f>
        <v>41.383240114188133</v>
      </c>
      <c r="D430" s="2">
        <f>MACD!E430</f>
        <v>2.6217118261015138E-2</v>
      </c>
      <c r="E430" s="2">
        <f>MACD!F430</f>
        <v>6.0428385425121786E-2</v>
      </c>
      <c r="F430" s="2">
        <f>'Moving Avg'!D430</f>
        <v>5.6264000000000012</v>
      </c>
      <c r="G430" s="2">
        <f>'Moving Avg'!F430</f>
        <v>5.6568999999999994</v>
      </c>
      <c r="H430" s="2">
        <f>'Moving Avg'!G430</f>
        <v>5.6895800000000021</v>
      </c>
      <c r="I430" s="2">
        <f>'Moving Avg'!H430</f>
        <v>5.3031950000000005</v>
      </c>
      <c r="J430" s="5" t="str">
        <f>OBV!F430</f>
        <v>BEARISH</v>
      </c>
      <c r="K430" s="5" t="str">
        <f>OBV!G430</f>
        <v>STRONG</v>
      </c>
      <c r="L430" s="5" t="str">
        <f>OBV!H430</f>
        <v>CONFIRMED BEARISH</v>
      </c>
    </row>
    <row r="431" spans="1:12" ht="13.5" x14ac:dyDescent="0.25">
      <c r="A431" s="3">
        <f>RSI!A431</f>
        <v>45546</v>
      </c>
      <c r="B431" s="2">
        <f>RSI!B431</f>
        <v>5.6150000000000002</v>
      </c>
      <c r="C431" s="2">
        <f>RSI!I431</f>
        <v>41.383240114188133</v>
      </c>
      <c r="D431" s="2">
        <f>MACD!E431</f>
        <v>2.1245935333305432E-2</v>
      </c>
      <c r="E431" s="2">
        <f>MACD!F431</f>
        <v>5.2591895406758522E-2</v>
      </c>
      <c r="F431" s="2">
        <f>'Moving Avg'!D431</f>
        <v>5.6226000000000012</v>
      </c>
      <c r="G431" s="2">
        <f>'Moving Avg'!F431</f>
        <v>5.6512499999999992</v>
      </c>
      <c r="H431" s="2">
        <f>'Moving Avg'!G431</f>
        <v>5.7060800000000027</v>
      </c>
      <c r="I431" s="2">
        <f>'Moving Avg'!H431</f>
        <v>5.3034150000000011</v>
      </c>
      <c r="J431" s="5" t="str">
        <f>OBV!F431</f>
        <v>BEARISH</v>
      </c>
      <c r="K431" s="5" t="str">
        <f>OBV!G431</f>
        <v>STRONG</v>
      </c>
      <c r="L431" s="5" t="str">
        <f>OBV!H431</f>
        <v>CONFIRMED BEARISH</v>
      </c>
    </row>
    <row r="432" spans="1:12" ht="13.5" x14ac:dyDescent="0.25">
      <c r="A432" s="3">
        <f>RSI!A432</f>
        <v>45547</v>
      </c>
      <c r="B432" s="2">
        <f>RSI!B432</f>
        <v>5.6150000000000002</v>
      </c>
      <c r="C432" s="2">
        <f>RSI!I432</f>
        <v>41.383240114188133</v>
      </c>
      <c r="D432" s="2">
        <f>MACD!E432</f>
        <v>1.7325539189563699E-2</v>
      </c>
      <c r="E432" s="2">
        <f>MACD!F432</f>
        <v>4.5538624163319559E-2</v>
      </c>
      <c r="F432" s="2">
        <f>'Moving Avg'!D432</f>
        <v>5.6188000000000002</v>
      </c>
      <c r="G432" s="2">
        <f>'Moving Avg'!F432</f>
        <v>5.6460999999999988</v>
      </c>
      <c r="H432" s="2">
        <f>'Moving Avg'!G432</f>
        <v>5.7174400000000025</v>
      </c>
      <c r="I432" s="2">
        <f>'Moving Avg'!H432</f>
        <v>5.3036800000000008</v>
      </c>
      <c r="J432" s="5" t="str">
        <f>OBV!F432</f>
        <v>BEARISH</v>
      </c>
      <c r="K432" s="5" t="str">
        <f>OBV!G432</f>
        <v>STRONG</v>
      </c>
      <c r="L432" s="5" t="str">
        <f>OBV!H432</f>
        <v>CONFIRMED BEARISH</v>
      </c>
    </row>
    <row r="433" spans="1:12" ht="13.5" x14ac:dyDescent="0.25">
      <c r="A433" s="3">
        <f>RSI!A433</f>
        <v>45548</v>
      </c>
      <c r="B433" s="2">
        <f>RSI!B433</f>
        <v>5.6340000000000003</v>
      </c>
      <c r="C433" s="2">
        <f>RSI!I433</f>
        <v>45.692121672351675</v>
      </c>
      <c r="D433" s="2">
        <f>MACD!E433</f>
        <v>2.0096447747149249E-2</v>
      </c>
      <c r="E433" s="2">
        <f>MACD!F433</f>
        <v>4.0450188880085503E-2</v>
      </c>
      <c r="F433" s="2">
        <f>'Moving Avg'!D433</f>
        <v>5.6188000000000002</v>
      </c>
      <c r="G433" s="2">
        <f>'Moving Avg'!F433</f>
        <v>5.6418999999999988</v>
      </c>
      <c r="H433" s="2">
        <f>'Moving Avg'!G433</f>
        <v>5.7272200000000035</v>
      </c>
      <c r="I433" s="2">
        <f>'Moving Avg'!H433</f>
        <v>5.3040400000000014</v>
      </c>
      <c r="J433" s="5" t="str">
        <f>OBV!F433</f>
        <v>BULLISH</v>
      </c>
      <c r="K433" s="5" t="str">
        <f>OBV!G433</f>
        <v>NEUTRAL</v>
      </c>
      <c r="L433" s="5" t="str">
        <f>OBV!H433</f>
        <v>NEUTRAL</v>
      </c>
    </row>
    <row r="434" spans="1:12" ht="13.5" x14ac:dyDescent="0.25">
      <c r="A434" s="3">
        <f>RSI!A434</f>
        <v>45551</v>
      </c>
      <c r="B434" s="2">
        <f>RSI!B434</f>
        <v>5.6340000000000003</v>
      </c>
      <c r="C434" s="2">
        <f>RSI!I434</f>
        <v>45.692121672351675</v>
      </c>
      <c r="D434" s="2">
        <f>MACD!E434</f>
        <v>1.5343211457540917E-2</v>
      </c>
      <c r="E434" s="2">
        <f>MACD!F434</f>
        <v>3.5428793395576585E-2</v>
      </c>
      <c r="F434" s="2">
        <f>'Moving Avg'!D434</f>
        <v>5.6226000000000003</v>
      </c>
      <c r="G434" s="2">
        <f>'Moving Avg'!F434</f>
        <v>5.6376999999999997</v>
      </c>
      <c r="H434" s="2">
        <f>'Moving Avg'!G434</f>
        <v>5.7347400000000031</v>
      </c>
      <c r="I434" s="2">
        <f>'Moving Avg'!H434</f>
        <v>5.3044450000000021</v>
      </c>
      <c r="J434" s="5" t="str">
        <f>OBV!F434</f>
        <v>BULLISH</v>
      </c>
      <c r="K434" s="5" t="str">
        <f>OBV!G434</f>
        <v>WEAK</v>
      </c>
      <c r="L434" s="5" t="str">
        <f>OBV!H434</f>
        <v>CONFIRMED BULLISH</v>
      </c>
    </row>
    <row r="435" spans="1:12" ht="13.5" x14ac:dyDescent="0.25">
      <c r="A435" s="3">
        <f>RSI!A435</f>
        <v>45552</v>
      </c>
      <c r="B435" s="2">
        <f>RSI!B435</f>
        <v>5.6340000000000003</v>
      </c>
      <c r="C435" s="2">
        <f>RSI!I435</f>
        <v>45.692121672351675</v>
      </c>
      <c r="D435" s="2">
        <f>MACD!E435</f>
        <v>1.5752006826565079E-2</v>
      </c>
      <c r="E435" s="2">
        <f>MACD!F435</f>
        <v>3.1493436081774281E-2</v>
      </c>
      <c r="F435" s="2">
        <f>'Moving Avg'!D435</f>
        <v>5.6264000000000003</v>
      </c>
      <c r="G435" s="2">
        <f>'Moving Avg'!F435</f>
        <v>5.6334999999999997</v>
      </c>
      <c r="H435" s="2">
        <f>'Moving Avg'!G435</f>
        <v>5.7394400000000028</v>
      </c>
      <c r="I435" s="2">
        <f>'Moving Avg'!H435</f>
        <v>5.3048050000000027</v>
      </c>
      <c r="J435" s="5" t="str">
        <f>OBV!F435</f>
        <v>BULLISH</v>
      </c>
      <c r="K435" s="5" t="str">
        <f>OBV!G435</f>
        <v>WEAK</v>
      </c>
      <c r="L435" s="5" t="str">
        <f>OBV!H435</f>
        <v>CONFIRMED BULLISH</v>
      </c>
    </row>
    <row r="436" spans="1:12" ht="13.5" x14ac:dyDescent="0.25">
      <c r="A436" s="3">
        <f>RSI!A436</f>
        <v>45553</v>
      </c>
      <c r="B436" s="2">
        <f>RSI!B436</f>
        <v>5.6340000000000003</v>
      </c>
      <c r="C436" s="2">
        <f>RSI!I436</f>
        <v>45.692121672351689</v>
      </c>
      <c r="D436" s="2">
        <f>MACD!E436</f>
        <v>1.1904174060683559E-2</v>
      </c>
      <c r="E436" s="2">
        <f>MACD!F436</f>
        <v>2.7575583677556137E-2</v>
      </c>
      <c r="F436" s="2">
        <f>'Moving Avg'!D436</f>
        <v>5.6302000000000003</v>
      </c>
      <c r="G436" s="2">
        <f>'Moving Avg'!F436</f>
        <v>5.6334999999999997</v>
      </c>
      <c r="H436" s="2">
        <f>'Moving Avg'!G436</f>
        <v>5.7432000000000043</v>
      </c>
      <c r="I436" s="2">
        <f>'Moving Avg'!H436</f>
        <v>5.3052550000000034</v>
      </c>
      <c r="J436" s="5" t="str">
        <f>OBV!F436</f>
        <v>BULLISH</v>
      </c>
      <c r="K436" s="5" t="str">
        <f>OBV!G436</f>
        <v>WEAK</v>
      </c>
      <c r="L436" s="5" t="str">
        <f>OBV!H436</f>
        <v>CONFIRMED BULLISH</v>
      </c>
    </row>
    <row r="437" spans="1:12" ht="13.5" x14ac:dyDescent="0.25">
      <c r="A437" s="3">
        <f>RSI!A437</f>
        <v>45554</v>
      </c>
      <c r="B437" s="2">
        <f>RSI!B437</f>
        <v>5.7279999999999998</v>
      </c>
      <c r="C437" s="2">
        <f>RSI!I437</f>
        <v>63.53133225492742</v>
      </c>
      <c r="D437" s="2">
        <f>MACD!E437</f>
        <v>1.79086720353272E-3</v>
      </c>
      <c r="E437" s="2">
        <f>MACD!F437</f>
        <v>2.2418640382751456E-2</v>
      </c>
      <c r="F437" s="2">
        <f>'Moving Avg'!D437</f>
        <v>5.6528000000000009</v>
      </c>
      <c r="G437" s="2">
        <f>'Moving Avg'!F437</f>
        <v>5.6381999999999994</v>
      </c>
      <c r="H437" s="2">
        <f>'Moving Avg'!G437</f>
        <v>5.7488400000000039</v>
      </c>
      <c r="I437" s="2">
        <f>'Moving Avg'!H437</f>
        <v>5.3062200000000033</v>
      </c>
      <c r="J437" s="5" t="str">
        <f>OBV!F437</f>
        <v>BULLISH</v>
      </c>
      <c r="K437" s="5" t="str">
        <f>OBV!G437</f>
        <v>WEAK</v>
      </c>
      <c r="L437" s="5" t="str">
        <f>OBV!H437</f>
        <v>CONFIRMED BULLISH</v>
      </c>
    </row>
    <row r="438" spans="1:12" ht="13.5" x14ac:dyDescent="0.25">
      <c r="A438" s="3">
        <f>RSI!A438</f>
        <v>45555</v>
      </c>
      <c r="B438" s="2">
        <f>RSI!B438</f>
        <v>5.7649999999999997</v>
      </c>
      <c r="C438" s="2">
        <f>RSI!I438</f>
        <v>67.988665721621118</v>
      </c>
      <c r="D438" s="2">
        <f>MACD!E438</f>
        <v>-9.9650383649310115E-3</v>
      </c>
      <c r="E438" s="2">
        <f>MACD!F438</f>
        <v>1.5941904633214963E-2</v>
      </c>
      <c r="F438" s="2">
        <f>'Moving Avg'!D438</f>
        <v>5.6790000000000003</v>
      </c>
      <c r="G438" s="2">
        <f>'Moving Avg'!F438</f>
        <v>5.6447499999999993</v>
      </c>
      <c r="H438" s="2">
        <f>'Moving Avg'!G438</f>
        <v>5.7514600000000033</v>
      </c>
      <c r="I438" s="2">
        <f>'Moving Avg'!H438</f>
        <v>5.3073700000000033</v>
      </c>
      <c r="J438" s="5" t="str">
        <f>OBV!F438</f>
        <v>BULLISH</v>
      </c>
      <c r="K438" s="5" t="str">
        <f>OBV!G438</f>
        <v>WEAK</v>
      </c>
      <c r="L438" s="5" t="str">
        <f>OBV!H438</f>
        <v>CONFIRMED BULLISH</v>
      </c>
    </row>
    <row r="439" spans="1:12" ht="13.5" x14ac:dyDescent="0.25">
      <c r="A439" s="3">
        <f>RSI!A439</f>
        <v>45558</v>
      </c>
      <c r="B439" s="2">
        <f>RSI!B439</f>
        <v>5.7750000000000004</v>
      </c>
      <c r="C439" s="2">
        <f>RSI!I439</f>
        <v>69.088331315764449</v>
      </c>
      <c r="D439" s="2">
        <f>MACD!E439</f>
        <v>-2.4218639156577737E-2</v>
      </c>
      <c r="E439" s="2">
        <f>MACD!F439</f>
        <v>7.9097958752564236E-3</v>
      </c>
      <c r="F439" s="2">
        <f>'Moving Avg'!D439</f>
        <v>5.7072000000000003</v>
      </c>
      <c r="G439" s="2">
        <f>'Moving Avg'!F439</f>
        <v>5.6517999999999997</v>
      </c>
      <c r="H439" s="2">
        <f>'Moving Avg'!G439</f>
        <v>5.7507200000000021</v>
      </c>
      <c r="I439" s="2">
        <f>'Moving Avg'!H439</f>
        <v>5.3086150000000032</v>
      </c>
      <c r="J439" s="5" t="str">
        <f>OBV!F439</f>
        <v>BULLISH</v>
      </c>
      <c r="K439" s="5" t="str">
        <f>OBV!G439</f>
        <v>WEAK</v>
      </c>
      <c r="L439" s="5" t="str">
        <f>OBV!H439</f>
        <v>CONFIRMED BULLISH</v>
      </c>
    </row>
    <row r="440" spans="1:12" ht="13.5" x14ac:dyDescent="0.25">
      <c r="A440" s="3">
        <f>RSI!A440</f>
        <v>45559</v>
      </c>
      <c r="B440" s="2">
        <f>RSI!B440</f>
        <v>5.7750000000000004</v>
      </c>
      <c r="C440" s="2">
        <f>RSI!I440</f>
        <v>69.088331315764464</v>
      </c>
      <c r="D440" s="2">
        <f>MACD!E440</f>
        <v>-3.6933356139701168E-2</v>
      </c>
      <c r="E440" s="2">
        <f>MACD!F440</f>
        <v>-1.0588345277350942E-3</v>
      </c>
      <c r="F440" s="2">
        <f>'Moving Avg'!D440</f>
        <v>5.7354000000000003</v>
      </c>
      <c r="G440" s="2">
        <f>'Moving Avg'!F440</f>
        <v>5.6593000000000009</v>
      </c>
      <c r="H440" s="2">
        <f>'Moving Avg'!G440</f>
        <v>5.7486600000000019</v>
      </c>
      <c r="I440" s="2">
        <f>'Moving Avg'!H440</f>
        <v>5.309860000000004</v>
      </c>
      <c r="J440" s="5" t="str">
        <f>OBV!F440</f>
        <v>BULLISH</v>
      </c>
      <c r="K440" s="5" t="str">
        <f>OBV!G440</f>
        <v>WEAK</v>
      </c>
      <c r="L440" s="5" t="str">
        <f>OBV!H440</f>
        <v>CONFIRMED BULLISH</v>
      </c>
    </row>
    <row r="441" spans="1:12" ht="13.5" x14ac:dyDescent="0.25">
      <c r="A441" s="3">
        <f>RSI!A441</f>
        <v>45560</v>
      </c>
      <c r="B441" s="2">
        <f>RSI!B441</f>
        <v>5.7649999999999997</v>
      </c>
      <c r="C441" s="2">
        <f>RSI!I441</f>
        <v>66.441269112561685</v>
      </c>
      <c r="D441" s="2">
        <f>MACD!E441</f>
        <v>-4.7556757124886495E-2</v>
      </c>
      <c r="E441" s="2">
        <f>MACD!F441</f>
        <v>-1.0358419047165375E-2</v>
      </c>
      <c r="F441" s="2">
        <f>'Moving Avg'!D441</f>
        <v>5.7615999999999996</v>
      </c>
      <c r="G441" s="2">
        <f>'Moving Avg'!F441</f>
        <v>5.6658500000000007</v>
      </c>
      <c r="H441" s="2">
        <f>'Moving Avg'!G441</f>
        <v>5.7456400000000016</v>
      </c>
      <c r="I441" s="2">
        <f>'Moving Avg'!H441</f>
        <v>5.311055000000005</v>
      </c>
      <c r="J441" s="5" t="str">
        <f>OBV!F441</f>
        <v>BULLISH</v>
      </c>
      <c r="K441" s="5" t="str">
        <f>OBV!G441</f>
        <v>WEAK</v>
      </c>
      <c r="L441" s="5" t="str">
        <f>OBV!H441</f>
        <v>CONFIRMED BULLISH</v>
      </c>
    </row>
    <row r="442" spans="1:12" ht="13.5" x14ac:dyDescent="0.25">
      <c r="A442" s="3">
        <f>RSI!A442</f>
        <v>45561</v>
      </c>
      <c r="B442" s="2">
        <f>RSI!B442</f>
        <v>5.7750000000000004</v>
      </c>
      <c r="C442" s="2">
        <f>RSI!I442</f>
        <v>67.771079985485784</v>
      </c>
      <c r="D442" s="2">
        <f>MACD!E442</f>
        <v>-5.7788119638922275E-2</v>
      </c>
      <c r="E442" s="2">
        <f>MACD!F442</f>
        <v>-1.9844359165516759E-2</v>
      </c>
      <c r="F442" s="2">
        <f>'Moving Avg'!D442</f>
        <v>5.770999999999999</v>
      </c>
      <c r="G442" s="2">
        <f>'Moving Avg'!F442</f>
        <v>5.6729000000000012</v>
      </c>
      <c r="H442" s="2">
        <f>'Moving Avg'!G442</f>
        <v>5.7418800000000019</v>
      </c>
      <c r="I442" s="2">
        <f>'Moving Avg'!H442</f>
        <v>5.3123000000000049</v>
      </c>
      <c r="J442" s="5" t="str">
        <f>OBV!F442</f>
        <v>BULLISH</v>
      </c>
      <c r="K442" s="5" t="str">
        <f>OBV!G442</f>
        <v>WEAK</v>
      </c>
      <c r="L442" s="5" t="str">
        <f>OBV!H442</f>
        <v>CONFIRMED BULLISH</v>
      </c>
    </row>
    <row r="443" spans="1:12" ht="13.5" x14ac:dyDescent="0.25">
      <c r="A443" s="3">
        <f>RSI!A443</f>
        <v>45562</v>
      </c>
      <c r="B443" s="2">
        <f>RSI!B443</f>
        <v>5.8220000000000001</v>
      </c>
      <c r="C443" s="2">
        <f>RSI!I443</f>
        <v>73.155327357115709</v>
      </c>
      <c r="D443" s="2">
        <f>MACD!E443</f>
        <v>-6.7527356712438369E-2</v>
      </c>
      <c r="E443" s="2">
        <f>MACD!F443</f>
        <v>-2.9380958674901082E-2</v>
      </c>
      <c r="F443" s="2">
        <f>'Moving Avg'!D443</f>
        <v>5.7824000000000009</v>
      </c>
      <c r="G443" s="2">
        <f>'Moving Avg'!F443</f>
        <v>5.6799500000000007</v>
      </c>
      <c r="H443" s="2">
        <f>'Moving Avg'!G443</f>
        <v>5.7394400000000019</v>
      </c>
      <c r="I443" s="2">
        <f>'Moving Avg'!H443</f>
        <v>5.3139100000000044</v>
      </c>
      <c r="J443" s="5" t="str">
        <f>OBV!F443</f>
        <v>BULLISH</v>
      </c>
      <c r="K443" s="5" t="str">
        <f>OBV!G443</f>
        <v>WEAK</v>
      </c>
      <c r="L443" s="5" t="str">
        <f>OBV!H443</f>
        <v>CONFIRMED BULLISH</v>
      </c>
    </row>
    <row r="444" spans="1:12" ht="13.5" x14ac:dyDescent="0.25">
      <c r="A444" s="3">
        <f>RSI!A444</f>
        <v>45565</v>
      </c>
      <c r="B444" s="2">
        <f>RSI!B444</f>
        <v>5.8220000000000001</v>
      </c>
      <c r="C444" s="2">
        <f>RSI!I444</f>
        <v>73.155327357115709</v>
      </c>
      <c r="D444" s="2">
        <f>MACD!E444</f>
        <v>-7.6530720724880652E-2</v>
      </c>
      <c r="E444" s="2">
        <f>MACD!F444</f>
        <v>-3.8810911084896996E-2</v>
      </c>
      <c r="F444" s="2">
        <f>'Moving Avg'!D444</f>
        <v>5.7917999999999994</v>
      </c>
      <c r="G444" s="2">
        <f>'Moving Avg'!F444</f>
        <v>5.689350000000001</v>
      </c>
      <c r="H444" s="2">
        <f>'Moving Avg'!G444</f>
        <v>5.7381400000000022</v>
      </c>
      <c r="I444" s="2">
        <f>'Moving Avg'!H444</f>
        <v>5.3159650000000029</v>
      </c>
      <c r="J444" s="5" t="str">
        <f>OBV!F444</f>
        <v>BULLISH</v>
      </c>
      <c r="K444" s="5" t="str">
        <f>OBV!G444</f>
        <v>WEAK</v>
      </c>
      <c r="L444" s="5" t="str">
        <f>OBV!H444</f>
        <v>CONFIRMED BULLISH</v>
      </c>
    </row>
    <row r="445" spans="1:12" ht="13.5" x14ac:dyDescent="0.25">
      <c r="A445" s="3">
        <f>RSI!A445</f>
        <v>45566</v>
      </c>
      <c r="B445" s="2">
        <f>RSI!B445</f>
        <v>5.8220000000000001</v>
      </c>
      <c r="C445" s="2">
        <f>RSI!I445</f>
        <v>73.155327357115709</v>
      </c>
      <c r="D445" s="2">
        <f>MACD!E445</f>
        <v>-8.4854943575370712E-2</v>
      </c>
      <c r="E445" s="2">
        <f>MACD!F445</f>
        <v>-4.8019717582991742E-2</v>
      </c>
      <c r="F445" s="2">
        <f>'Moving Avg'!D445</f>
        <v>5.8011999999999997</v>
      </c>
      <c r="G445" s="2">
        <f>'Moving Avg'!F445</f>
        <v>5.6973500000000019</v>
      </c>
      <c r="H445" s="2">
        <f>'Moving Avg'!G445</f>
        <v>5.7368400000000035</v>
      </c>
      <c r="I445" s="2">
        <f>'Moving Avg'!H445</f>
        <v>5.3180650000000016</v>
      </c>
      <c r="J445" s="5" t="str">
        <f>OBV!F445</f>
        <v>BULLISH</v>
      </c>
      <c r="K445" s="5" t="str">
        <f>OBV!G445</f>
        <v>WEAK</v>
      </c>
      <c r="L445" s="5" t="str">
        <f>OBV!H445</f>
        <v>CONFIRMED BULLISH</v>
      </c>
    </row>
    <row r="446" spans="1:12" ht="13.5" x14ac:dyDescent="0.25">
      <c r="A446" s="3">
        <f>RSI!A446</f>
        <v>45567</v>
      </c>
      <c r="B446" s="2">
        <f>RSI!B446</f>
        <v>5.8120000000000003</v>
      </c>
      <c r="C446" s="2">
        <f>RSI!I446</f>
        <v>70.045641206257443</v>
      </c>
      <c r="D446" s="2">
        <f>MACD!E446</f>
        <v>-9.1811472092702573E-2</v>
      </c>
      <c r="E446" s="2">
        <f>MACD!F446</f>
        <v>-5.6778068484933913E-2</v>
      </c>
      <c r="F446" s="2">
        <f>'Moving Avg'!D446</f>
        <v>5.8106</v>
      </c>
      <c r="G446" s="2">
        <f>'Moving Avg'!F446</f>
        <v>5.7062500000000016</v>
      </c>
      <c r="H446" s="2">
        <f>'Moving Avg'!G446</f>
        <v>5.7359000000000027</v>
      </c>
      <c r="I446" s="2">
        <f>'Moving Avg'!H446</f>
        <v>5.3198949999999998</v>
      </c>
      <c r="J446" s="5" t="str">
        <f>OBV!F446</f>
        <v>BULLISH</v>
      </c>
      <c r="K446" s="5" t="str">
        <f>OBV!G446</f>
        <v>WEAK</v>
      </c>
      <c r="L446" s="5" t="str">
        <f>OBV!H446</f>
        <v>CONFIRMED BULLISH</v>
      </c>
    </row>
    <row r="447" spans="1:12" ht="13.5" x14ac:dyDescent="0.25">
      <c r="A447" s="3">
        <f>RSI!A447</f>
        <v>45568</v>
      </c>
      <c r="B447" s="2">
        <f>RSI!B447</f>
        <v>5.7750000000000004</v>
      </c>
      <c r="C447" s="2">
        <f>RSI!I447</f>
        <v>59.899913465939257</v>
      </c>
      <c r="D447" s="2">
        <f>MACD!E447</f>
        <v>-8.1041669967048868E-2</v>
      </c>
      <c r="E447" s="2">
        <f>MACD!F447</f>
        <v>-6.1630788781356902E-2</v>
      </c>
      <c r="F447" s="2">
        <f>'Moving Avg'!D447</f>
        <v>5.8106000000000009</v>
      </c>
      <c r="G447" s="2">
        <f>'Moving Avg'!F447</f>
        <v>5.713300000000002</v>
      </c>
      <c r="H447" s="2">
        <f>'Moving Avg'!G447</f>
        <v>5.7342200000000023</v>
      </c>
      <c r="I447" s="2">
        <f>'Moving Avg'!H447</f>
        <v>5.321625</v>
      </c>
      <c r="J447" s="5" t="str">
        <f>OBV!F447</f>
        <v>BEARISH</v>
      </c>
      <c r="K447" s="5" t="str">
        <f>OBV!G447</f>
        <v>STRONG</v>
      </c>
      <c r="L447" s="5" t="str">
        <f>OBV!H447</f>
        <v>NEUTRAL</v>
      </c>
    </row>
    <row r="448" spans="1:12" ht="13.5" x14ac:dyDescent="0.25">
      <c r="A448" s="3">
        <f>RSI!A448</f>
        <v>45569</v>
      </c>
      <c r="B448" s="2">
        <f>RSI!B448</f>
        <v>5.7750000000000004</v>
      </c>
      <c r="C448" s="2">
        <f>RSI!I448</f>
        <v>59.89991346593925</v>
      </c>
      <c r="D448" s="2">
        <f>MACD!E448</f>
        <v>-6.6523543857581302E-2</v>
      </c>
      <c r="E448" s="2">
        <f>MACD!F448</f>
        <v>-6.2609339796601785E-2</v>
      </c>
      <c r="F448" s="2">
        <f>'Moving Avg'!D448</f>
        <v>5.8011999999999997</v>
      </c>
      <c r="G448" s="2">
        <f>'Moving Avg'!F448</f>
        <v>5.7203500000000016</v>
      </c>
      <c r="H448" s="2">
        <f>'Moving Avg'!G448</f>
        <v>5.7314000000000007</v>
      </c>
      <c r="I448" s="2">
        <f>'Moving Avg'!H448</f>
        <v>5.3234450000000004</v>
      </c>
      <c r="J448" s="5" t="str">
        <f>OBV!F448</f>
        <v>BEARISH</v>
      </c>
      <c r="K448" s="5" t="str">
        <f>OBV!G448</f>
        <v>STRONG</v>
      </c>
      <c r="L448" s="5" t="str">
        <f>OBV!H448</f>
        <v>CONFIRMED BEARISH</v>
      </c>
    </row>
    <row r="449" spans="1:12" ht="13.5" x14ac:dyDescent="0.25">
      <c r="A449" s="3">
        <f>RSI!A449</f>
        <v>45572</v>
      </c>
      <c r="B449" s="2">
        <f>RSI!B449</f>
        <v>5.8220000000000001</v>
      </c>
      <c r="C449" s="2">
        <f>RSI!I449</f>
        <v>66.951934941563252</v>
      </c>
      <c r="D449" s="2">
        <f>MACD!E449</f>
        <v>-5.6447820622441469E-2</v>
      </c>
      <c r="E449" s="2">
        <f>MACD!F449</f>
        <v>-6.137703596176973E-2</v>
      </c>
      <c r="F449" s="2">
        <f>'Moving Avg'!D449</f>
        <v>5.8011999999999997</v>
      </c>
      <c r="G449" s="2">
        <f>'Moving Avg'!F449</f>
        <v>5.7307000000000006</v>
      </c>
      <c r="H449" s="2">
        <f>'Moving Avg'!G449</f>
        <v>5.7299000000000015</v>
      </c>
      <c r="I449" s="2">
        <f>'Moving Avg'!H449</f>
        <v>5.3254549999999998</v>
      </c>
      <c r="J449" s="5" t="str">
        <f>OBV!F449</f>
        <v>BEARISH</v>
      </c>
      <c r="K449" s="5" t="str">
        <f>OBV!G449</f>
        <v>STRONG</v>
      </c>
      <c r="L449" s="5" t="str">
        <f>OBV!H449</f>
        <v>NEUTRAL</v>
      </c>
    </row>
    <row r="450" spans="1:12" ht="13.5" x14ac:dyDescent="0.25">
      <c r="A450" s="3">
        <f>RSI!A450</f>
        <v>45573</v>
      </c>
      <c r="B450" s="2">
        <f>RSI!B450</f>
        <v>5.6619999999999999</v>
      </c>
      <c r="C450" s="2">
        <f>RSI!I450</f>
        <v>40.707046988824779</v>
      </c>
      <c r="D450" s="2">
        <f>MACD!E450</f>
        <v>-3.6594216143371661E-2</v>
      </c>
      <c r="E450" s="2">
        <f>MACD!F450</f>
        <v>-5.6420471998090124E-2</v>
      </c>
      <c r="F450" s="2">
        <f>'Moving Avg'!D450</f>
        <v>5.7691999999999997</v>
      </c>
      <c r="G450" s="2">
        <f>'Moving Avg'!F450</f>
        <v>5.7330500000000013</v>
      </c>
      <c r="H450" s="2">
        <f>'Moving Avg'!G450</f>
        <v>5.725200000000001</v>
      </c>
      <c r="I450" s="2">
        <f>'Moving Avg'!H450</f>
        <v>5.3267549999999995</v>
      </c>
      <c r="J450" s="5" t="str">
        <f>OBV!F450</f>
        <v>BEARISH</v>
      </c>
      <c r="K450" s="5" t="str">
        <f>OBV!G450</f>
        <v>STRONG</v>
      </c>
      <c r="L450" s="5" t="str">
        <f>OBV!H450</f>
        <v>CONFIRMED BEARISH</v>
      </c>
    </row>
    <row r="451" spans="1:12" ht="13.5" x14ac:dyDescent="0.25">
      <c r="A451" s="3">
        <f>RSI!A451</f>
        <v>45574</v>
      </c>
      <c r="B451" s="2">
        <f>RSI!B451</f>
        <v>5.7750000000000004</v>
      </c>
      <c r="C451" s="2">
        <f>RSI!I451</f>
        <v>54.324793696390479</v>
      </c>
      <c r="D451" s="2">
        <f>MACD!E451</f>
        <v>-2.9243452336200626E-2</v>
      </c>
      <c r="E451" s="2">
        <f>MACD!F451</f>
        <v>-5.0985068065712229E-2</v>
      </c>
      <c r="F451" s="2">
        <f>'Moving Avg'!D451</f>
        <v>5.7617999999999991</v>
      </c>
      <c r="G451" s="2">
        <f>'Moving Avg'!F451</f>
        <v>5.7410500000000013</v>
      </c>
      <c r="H451" s="2">
        <f>'Moving Avg'!G451</f>
        <v>5.7242600000000001</v>
      </c>
      <c r="I451" s="2">
        <f>'Moving Avg'!H451</f>
        <v>5.3286650000000009</v>
      </c>
      <c r="J451" s="5" t="str">
        <f>OBV!F451</f>
        <v>BULLISH</v>
      </c>
      <c r="K451" s="5" t="str">
        <f>OBV!G451</f>
        <v>NEUTRAL</v>
      </c>
      <c r="L451" s="5" t="str">
        <f>OBV!H451</f>
        <v>BULLISH DIVERGENCE</v>
      </c>
    </row>
    <row r="452" spans="1:12" ht="13.5" x14ac:dyDescent="0.25">
      <c r="A452" s="3">
        <f>RSI!A452</f>
        <v>45575</v>
      </c>
      <c r="B452" s="2">
        <f>RSI!B452</f>
        <v>5.7750000000000004</v>
      </c>
      <c r="C452" s="2">
        <f>RSI!I452</f>
        <v>54.324793696390479</v>
      </c>
      <c r="D452" s="2">
        <f>MACD!E452</f>
        <v>-2.1726546762647736E-2</v>
      </c>
      <c r="E452" s="2">
        <f>MACD!F452</f>
        <v>-4.513336380509933E-2</v>
      </c>
      <c r="F452" s="2">
        <f>'Moving Avg'!D452</f>
        <v>5.7617999999999991</v>
      </c>
      <c r="G452" s="2">
        <f>'Moving Avg'!F452</f>
        <v>5.7490500000000022</v>
      </c>
      <c r="H452" s="2">
        <f>'Moving Avg'!G452</f>
        <v>5.7214400000000012</v>
      </c>
      <c r="I452" s="2">
        <f>'Moving Avg'!H452</f>
        <v>5.3305750000000014</v>
      </c>
      <c r="J452" s="5" t="str">
        <f>OBV!F452</f>
        <v>BULLISH</v>
      </c>
      <c r="K452" s="5" t="str">
        <f>OBV!G452</f>
        <v>WEAK</v>
      </c>
      <c r="L452" s="5" t="str">
        <f>OBV!H452</f>
        <v>NEUTRAL</v>
      </c>
    </row>
    <row r="453" spans="1:12" ht="13.5" x14ac:dyDescent="0.25">
      <c r="A453" s="3">
        <f>RSI!A453</f>
        <v>45576</v>
      </c>
      <c r="B453" s="2">
        <f>RSI!B453</f>
        <v>5.85</v>
      </c>
      <c r="C453" s="2">
        <f>RSI!I453</f>
        <v>61.186567665532785</v>
      </c>
      <c r="D453" s="2">
        <f>MACD!E453</f>
        <v>-1.3914423629378447E-2</v>
      </c>
      <c r="E453" s="2">
        <f>MACD!F453</f>
        <v>-3.8889575769955158E-2</v>
      </c>
      <c r="F453" s="2">
        <f>'Moving Avg'!D453</f>
        <v>5.7767999999999997</v>
      </c>
      <c r="G453" s="2">
        <f>'Moving Avg'!F453</f>
        <v>5.7598500000000019</v>
      </c>
      <c r="H453" s="2">
        <f>'Moving Avg'!G453</f>
        <v>5.7201200000000014</v>
      </c>
      <c r="I453" s="2">
        <f>'Moving Avg'!H453</f>
        <v>5.3328600000000002</v>
      </c>
      <c r="J453" s="5" t="str">
        <f>OBV!F453</f>
        <v>BULLISH</v>
      </c>
      <c r="K453" s="5" t="str">
        <f>OBV!G453</f>
        <v>WEAK</v>
      </c>
      <c r="L453" s="5" t="str">
        <f>OBV!H453</f>
        <v>CONFIRMED BULLISH</v>
      </c>
    </row>
    <row r="454" spans="1:12" ht="13.5" x14ac:dyDescent="0.25">
      <c r="A454" s="3">
        <f>RSI!A454</f>
        <v>45579</v>
      </c>
      <c r="B454" s="2">
        <f>RSI!B454</f>
        <v>5.7089999999999996</v>
      </c>
      <c r="C454" s="2">
        <f>RSI!I454</f>
        <v>46.916550474943769</v>
      </c>
      <c r="D454" s="2">
        <f>MACD!E454</f>
        <v>2.49011071867411E-3</v>
      </c>
      <c r="E454" s="2">
        <f>MACD!F454</f>
        <v>-3.0613638472229303E-2</v>
      </c>
      <c r="F454" s="2">
        <f>'Moving Avg'!D454</f>
        <v>5.7542000000000009</v>
      </c>
      <c r="G454" s="2">
        <f>'Moving Avg'!F454</f>
        <v>5.7636000000000021</v>
      </c>
      <c r="H454" s="2">
        <f>'Moving Avg'!G454</f>
        <v>5.7163600000000017</v>
      </c>
      <c r="I454" s="2">
        <f>'Moving Avg'!H454</f>
        <v>5.3344400000000007</v>
      </c>
      <c r="J454" s="5" t="str">
        <f>OBV!F454</f>
        <v>BULLISH</v>
      </c>
      <c r="K454" s="5" t="str">
        <f>OBV!G454</f>
        <v>NEUTRAL</v>
      </c>
      <c r="L454" s="5" t="str">
        <f>OBV!H454</f>
        <v>BULLISH DIVERGENCE</v>
      </c>
    </row>
    <row r="455" spans="1:12" ht="13.5" x14ac:dyDescent="0.25">
      <c r="A455" s="3">
        <f>RSI!A455</f>
        <v>45581</v>
      </c>
      <c r="B455" s="2">
        <f>RSI!B455</f>
        <v>5.7750000000000004</v>
      </c>
      <c r="C455" s="2">
        <f>RSI!I455</f>
        <v>52.50079298314656</v>
      </c>
      <c r="D455" s="2">
        <f>MACD!E455</f>
        <v>1.1713149188302907E-2</v>
      </c>
      <c r="E455" s="2">
        <f>MACD!F455</f>
        <v>-2.2148280940122861E-2</v>
      </c>
      <c r="F455" s="2">
        <f>'Moving Avg'!D455</f>
        <v>5.7767999999999997</v>
      </c>
      <c r="G455" s="2">
        <f>'Moving Avg'!F455</f>
        <v>5.7706500000000016</v>
      </c>
      <c r="H455" s="2">
        <f>'Moving Avg'!G455</f>
        <v>5.7143000000000015</v>
      </c>
      <c r="I455" s="2">
        <f>'Moving Avg'!H455</f>
        <v>5.3367050000000003</v>
      </c>
      <c r="J455" s="5" t="str">
        <f>OBV!F455</f>
        <v>BULLISH</v>
      </c>
      <c r="K455" s="5" t="str">
        <f>OBV!G455</f>
        <v>WEAK</v>
      </c>
      <c r="L455" s="5" t="str">
        <f>OBV!H455</f>
        <v>CONFIRMED BULLISH</v>
      </c>
    </row>
    <row r="456" spans="1:12" ht="13.5" x14ac:dyDescent="0.25">
      <c r="A456" s="3">
        <f>RSI!A456</f>
        <v>45582</v>
      </c>
      <c r="B456" s="2">
        <f>RSI!B456</f>
        <v>5.7750000000000004</v>
      </c>
      <c r="C456" s="2">
        <f>RSI!I456</f>
        <v>52.50079298314656</v>
      </c>
      <c r="D456" s="2">
        <f>MACD!E456</f>
        <v>1.7802844294841691E-2</v>
      </c>
      <c r="E456" s="2">
        <f>MACD!F456</f>
        <v>-1.4158055893129951E-2</v>
      </c>
      <c r="F456" s="2">
        <f>'Moving Avg'!D456</f>
        <v>5.7767999999999997</v>
      </c>
      <c r="G456" s="2">
        <f>'Moving Avg'!F456</f>
        <v>5.7777000000000012</v>
      </c>
      <c r="H456" s="2">
        <f>'Moving Avg'!G456</f>
        <v>5.7135600000000011</v>
      </c>
      <c r="I456" s="2">
        <f>'Moving Avg'!H456</f>
        <v>5.3387900000000013</v>
      </c>
      <c r="J456" s="5" t="str">
        <f>OBV!F456</f>
        <v>BULLISH</v>
      </c>
      <c r="K456" s="5" t="str">
        <f>OBV!G456</f>
        <v>WEAK</v>
      </c>
      <c r="L456" s="5" t="str">
        <f>OBV!H456</f>
        <v>NEUTRAL</v>
      </c>
    </row>
    <row r="457" spans="1:12" ht="13.5" x14ac:dyDescent="0.25">
      <c r="A457" s="3">
        <f>RSI!A457</f>
        <v>45583</v>
      </c>
      <c r="B457" s="2">
        <f>RSI!B457</f>
        <v>5.85</v>
      </c>
      <c r="C457" s="2">
        <f>RSI!I457</f>
        <v>58.28430113044233</v>
      </c>
      <c r="D457" s="2">
        <f>MACD!E457</f>
        <v>1.1544880696888526E-2</v>
      </c>
      <c r="E457" s="2">
        <f>MACD!F457</f>
        <v>-9.0174685751262564E-3</v>
      </c>
      <c r="F457" s="2">
        <f>'Moving Avg'!D457</f>
        <v>5.7918000000000003</v>
      </c>
      <c r="G457" s="2">
        <f>'Moving Avg'!F457</f>
        <v>5.7838000000000012</v>
      </c>
      <c r="H457" s="2">
        <f>'Moving Avg'!G457</f>
        <v>5.7143200000000025</v>
      </c>
      <c r="I457" s="2">
        <f>'Moving Avg'!H457</f>
        <v>5.3412500000000014</v>
      </c>
      <c r="J457" s="5" t="str">
        <f>OBV!F457</f>
        <v>BULLISH</v>
      </c>
      <c r="K457" s="5" t="str">
        <f>OBV!G457</f>
        <v>WEAK</v>
      </c>
      <c r="L457" s="5" t="str">
        <f>OBV!H457</f>
        <v>CONFIRMED BULLISH</v>
      </c>
    </row>
    <row r="458" spans="1:12" ht="13.5" x14ac:dyDescent="0.25">
      <c r="A458" s="3">
        <f>RSI!A458</f>
        <v>45586</v>
      </c>
      <c r="B458" s="2">
        <f>RSI!B458</f>
        <v>5.8120000000000003</v>
      </c>
      <c r="C458" s="2">
        <f>RSI!I458</f>
        <v>54.653284203105301</v>
      </c>
      <c r="D458" s="2">
        <f>MACD!E458</f>
        <v>8.4704661321461927E-3</v>
      </c>
      <c r="E458" s="2">
        <f>MACD!F458</f>
        <v>-5.5198816336717669E-3</v>
      </c>
      <c r="F458" s="2">
        <f>'Moving Avg'!D458</f>
        <v>5.7842000000000002</v>
      </c>
      <c r="G458" s="2">
        <f>'Moving Avg'!F458</f>
        <v>5.786150000000001</v>
      </c>
      <c r="H458" s="2">
        <f>'Moving Avg'!G458</f>
        <v>5.7143200000000025</v>
      </c>
      <c r="I458" s="2">
        <f>'Moving Avg'!H458</f>
        <v>5.3445850000000021</v>
      </c>
      <c r="J458" s="5" t="str">
        <f>OBV!F458</f>
        <v>BEARISH</v>
      </c>
      <c r="K458" s="5" t="str">
        <f>OBV!G458</f>
        <v>NEUTRAL</v>
      </c>
      <c r="L458" s="5" t="str">
        <f>OBV!H458</f>
        <v>CONFIRMED BEARISH</v>
      </c>
    </row>
    <row r="459" spans="1:12" ht="13.5" x14ac:dyDescent="0.25">
      <c r="A459" s="3">
        <f>RSI!A459</f>
        <v>45587</v>
      </c>
      <c r="B459" s="2">
        <f>RSI!B459</f>
        <v>5.8220000000000001</v>
      </c>
      <c r="C459" s="2">
        <f>RSI!I459</f>
        <v>55.44000903992157</v>
      </c>
      <c r="D459" s="2">
        <f>MACD!E459</f>
        <v>1.2033583312110352E-2</v>
      </c>
      <c r="E459" s="2">
        <f>MACD!F459</f>
        <v>-2.0091886445153429E-3</v>
      </c>
      <c r="F459" s="2">
        <f>'Moving Avg'!D459</f>
        <v>5.8068</v>
      </c>
      <c r="G459" s="2">
        <f>'Moving Avg'!F459</f>
        <v>5.7885000000000009</v>
      </c>
      <c r="H459" s="2">
        <f>'Moving Avg'!G459</f>
        <v>5.7145200000000012</v>
      </c>
      <c r="I459" s="2">
        <f>'Moving Avg'!H459</f>
        <v>5.3482349999999999</v>
      </c>
      <c r="J459" s="5" t="str">
        <f>OBV!F459</f>
        <v>BULLISH</v>
      </c>
      <c r="K459" s="5" t="str">
        <f>OBV!G459</f>
        <v>WEAK</v>
      </c>
      <c r="L459" s="5" t="str">
        <f>OBV!H459</f>
        <v>CONFIRMED BULLISH</v>
      </c>
    </row>
    <row r="460" spans="1:12" ht="13.5" x14ac:dyDescent="0.25">
      <c r="A460" s="3">
        <f>RSI!A460</f>
        <v>45588</v>
      </c>
      <c r="B460" s="2">
        <f>RSI!B460</f>
        <v>5.7750000000000004</v>
      </c>
      <c r="C460" s="2">
        <f>RSI!I460</f>
        <v>50.964643117331676</v>
      </c>
      <c r="D460" s="2">
        <f>MACD!E460</f>
        <v>-6.4458386501646814E-3</v>
      </c>
      <c r="E460" s="2">
        <f>MACD!F460</f>
        <v>-2.8965186456452107E-3</v>
      </c>
      <c r="F460" s="2">
        <f>'Moving Avg'!D460</f>
        <v>5.8068</v>
      </c>
      <c r="G460" s="2">
        <f>'Moving Avg'!F460</f>
        <v>5.7885000000000009</v>
      </c>
      <c r="H460" s="2">
        <f>'Moving Avg'!G460</f>
        <v>5.7143400000000009</v>
      </c>
      <c r="I460" s="2">
        <f>'Moving Avg'!H460</f>
        <v>5.3518300000000014</v>
      </c>
      <c r="J460" s="5" t="str">
        <f>OBV!F460</f>
        <v>NEUTRAL</v>
      </c>
      <c r="K460" s="5" t="str">
        <f>OBV!G460</f>
        <v>NEUTRAL</v>
      </c>
      <c r="L460" s="5" t="str">
        <f>OBV!H460</f>
        <v>NEUTRAL</v>
      </c>
    </row>
    <row r="461" spans="1:12" ht="13.5" x14ac:dyDescent="0.25">
      <c r="A461" s="3">
        <f>RSI!A461</f>
        <v>45589</v>
      </c>
      <c r="B461" s="2">
        <f>RSI!B461</f>
        <v>5.8689999999999998</v>
      </c>
      <c r="C461" s="2">
        <f>RSI!I461</f>
        <v>58.227541580113552</v>
      </c>
      <c r="D461" s="2">
        <f>MACD!E461</f>
        <v>-1.1716658265619628E-2</v>
      </c>
      <c r="E461" s="2">
        <f>MACD!F461</f>
        <v>-4.6605465696400944E-3</v>
      </c>
      <c r="F461" s="2">
        <f>'Moving Avg'!D461</f>
        <v>5.8255999999999997</v>
      </c>
      <c r="G461" s="2">
        <f>'Moving Avg'!F461</f>
        <v>5.7937000000000003</v>
      </c>
      <c r="H461" s="2">
        <f>'Moving Avg'!G461</f>
        <v>5.7171600000000016</v>
      </c>
      <c r="I461" s="2">
        <f>'Moving Avg'!H461</f>
        <v>5.3558950000000003</v>
      </c>
      <c r="J461" s="5" t="str">
        <f>OBV!F461</f>
        <v>NEUTRAL</v>
      </c>
      <c r="K461" s="5" t="str">
        <f>OBV!G461</f>
        <v>NEUTRAL</v>
      </c>
      <c r="L461" s="5" t="str">
        <f>OBV!H461</f>
        <v>NEUTRAL</v>
      </c>
    </row>
    <row r="462" spans="1:12" ht="13.5" x14ac:dyDescent="0.25">
      <c r="A462" s="3">
        <f>RSI!A462</f>
        <v>45590</v>
      </c>
      <c r="B462" s="2">
        <f>RSI!B462</f>
        <v>5.8689999999999998</v>
      </c>
      <c r="C462" s="2">
        <f>RSI!I462</f>
        <v>58.227541580113545</v>
      </c>
      <c r="D462" s="2">
        <f>MACD!E462</f>
        <v>-1.6783919693504679E-2</v>
      </c>
      <c r="E462" s="2">
        <f>MACD!F462</f>
        <v>-7.0852211944130118E-3</v>
      </c>
      <c r="F462" s="2">
        <f>'Moving Avg'!D462</f>
        <v>5.8293999999999997</v>
      </c>
      <c r="G462" s="2">
        <f>'Moving Avg'!F462</f>
        <v>5.7984000000000009</v>
      </c>
      <c r="H462" s="2">
        <f>'Moving Avg'!G462</f>
        <v>5.72018</v>
      </c>
      <c r="I462" s="2">
        <f>'Moving Avg'!H462</f>
        <v>5.3600049999999984</v>
      </c>
      <c r="J462" s="5" t="str">
        <f>OBV!F462</f>
        <v>NEUTRAL</v>
      </c>
      <c r="K462" s="5" t="str">
        <f>OBV!G462</f>
        <v>NEUTRAL</v>
      </c>
      <c r="L462" s="5" t="str">
        <f>OBV!H462</f>
        <v>NEUTRAL</v>
      </c>
    </row>
    <row r="463" spans="1:12" ht="13.5" x14ac:dyDescent="0.25">
      <c r="A463" s="3">
        <f>RSI!A463</f>
        <v>45593</v>
      </c>
      <c r="B463" s="2">
        <f>RSI!B463</f>
        <v>5.8689999999999998</v>
      </c>
      <c r="C463" s="2">
        <f>RSI!I463</f>
        <v>58.227541580113545</v>
      </c>
      <c r="D463" s="2">
        <f>MACD!E463</f>
        <v>-1.0095490103459781E-2</v>
      </c>
      <c r="E463" s="2">
        <f>MACD!F463</f>
        <v>-7.687274976222366E-3</v>
      </c>
      <c r="F463" s="2">
        <f>'Moving Avg'!D463</f>
        <v>5.8407999999999998</v>
      </c>
      <c r="G463" s="2">
        <f>'Moving Avg'!F463</f>
        <v>5.8007500000000007</v>
      </c>
      <c r="H463" s="2">
        <f>'Moving Avg'!G463</f>
        <v>5.7232000000000021</v>
      </c>
      <c r="I463" s="2">
        <f>'Moving Avg'!H463</f>
        <v>5.3649549999999975</v>
      </c>
      <c r="J463" s="5" t="str">
        <f>OBV!F463</f>
        <v>NEUTRAL</v>
      </c>
      <c r="K463" s="5" t="str">
        <f>OBV!G463</f>
        <v>NEUTRAL</v>
      </c>
      <c r="L463" s="5" t="str">
        <f>OBV!H463</f>
        <v>NEUTRAL</v>
      </c>
    </row>
    <row r="464" spans="1:12" ht="13.5" x14ac:dyDescent="0.25">
      <c r="A464" s="3">
        <f>RSI!A464</f>
        <v>45594</v>
      </c>
      <c r="B464" s="2">
        <f>RSI!B464</f>
        <v>5.8689999999999998</v>
      </c>
      <c r="C464" s="2">
        <f>RSI!I464</f>
        <v>58.227541580113545</v>
      </c>
      <c r="D464" s="2">
        <f>MACD!E464</f>
        <v>-2.6649051078742048E-2</v>
      </c>
      <c r="E464" s="2">
        <f>MACD!F464</f>
        <v>-1.1479630196726303E-2</v>
      </c>
      <c r="F464" s="2">
        <f>'Moving Avg'!D464</f>
        <v>5.8501999999999992</v>
      </c>
      <c r="G464" s="2">
        <f>'Moving Avg'!F464</f>
        <v>5.8030999999999997</v>
      </c>
      <c r="H464" s="2">
        <f>'Moving Avg'!G464</f>
        <v>5.7262200000000032</v>
      </c>
      <c r="I464" s="2">
        <f>'Moving Avg'!H464</f>
        <v>5.3694649999999964</v>
      </c>
      <c r="J464" s="5" t="str">
        <f>OBV!F464</f>
        <v>NEUTRAL</v>
      </c>
      <c r="K464" s="5" t="str">
        <f>OBV!G464</f>
        <v>NEUTRAL</v>
      </c>
      <c r="L464" s="5" t="str">
        <f>OBV!H464</f>
        <v>NEUTRAL</v>
      </c>
    </row>
    <row r="465" spans="1:12" ht="13.5" x14ac:dyDescent="0.25">
      <c r="A465" s="3">
        <f>RSI!A465</f>
        <v>45595</v>
      </c>
      <c r="B465" s="2">
        <f>RSI!B465</f>
        <v>5.8220000000000001</v>
      </c>
      <c r="C465" s="2">
        <f>RSI!I465</f>
        <v>52.952831900852686</v>
      </c>
      <c r="D465" s="2">
        <f>MACD!E465</f>
        <v>-2.7502706531413068E-2</v>
      </c>
      <c r="E465" s="2">
        <f>MACD!F465</f>
        <v>-1.4684245463663658E-2</v>
      </c>
      <c r="F465" s="2">
        <f>'Moving Avg'!D465</f>
        <v>5.8595999999999995</v>
      </c>
      <c r="G465" s="2">
        <f>'Moving Avg'!F465</f>
        <v>5.8030999999999997</v>
      </c>
      <c r="H465" s="2">
        <f>'Moving Avg'!G465</f>
        <v>5.7283000000000017</v>
      </c>
      <c r="I465" s="2">
        <f>'Moving Avg'!H465</f>
        <v>5.3733399999999962</v>
      </c>
      <c r="J465" s="5" t="str">
        <f>OBV!F465</f>
        <v>NEUTRAL</v>
      </c>
      <c r="K465" s="5" t="str">
        <f>OBV!G465</f>
        <v>NEUTRAL</v>
      </c>
      <c r="L465" s="5" t="str">
        <f>OBV!H465</f>
        <v>NEUTRAL</v>
      </c>
    </row>
    <row r="466" spans="1:12" ht="13.5" x14ac:dyDescent="0.25">
      <c r="A466" s="3">
        <f>RSI!A466</f>
        <v>45596</v>
      </c>
      <c r="B466" s="2">
        <f>RSI!B466</f>
        <v>5.8220000000000001</v>
      </c>
      <c r="C466" s="2">
        <f>RSI!I466</f>
        <v>52.952831900852679</v>
      </c>
      <c r="D466" s="2">
        <f>MACD!E466</f>
        <v>-2.8393716284572434E-2</v>
      </c>
      <c r="E466" s="2">
        <f>MACD!F466</f>
        <v>-1.7426139627845415E-2</v>
      </c>
      <c r="F466" s="2">
        <f>'Moving Avg'!D466</f>
        <v>5.8501999999999992</v>
      </c>
      <c r="G466" s="2">
        <f>'Moving Avg'!F466</f>
        <v>5.8036000000000012</v>
      </c>
      <c r="H466" s="2">
        <f>'Moving Avg'!G466</f>
        <v>5.7320600000000033</v>
      </c>
      <c r="I466" s="2">
        <f>'Moving Avg'!H466</f>
        <v>5.3777899999999965</v>
      </c>
      <c r="J466" s="5" t="str">
        <f>OBV!F466</f>
        <v>NEUTRAL</v>
      </c>
      <c r="K466" s="5" t="str">
        <f>OBV!G466</f>
        <v>NEUTRAL</v>
      </c>
      <c r="L466" s="5" t="str">
        <f>OBV!H466</f>
        <v>NEUTRAL</v>
      </c>
    </row>
    <row r="467" spans="1:12" ht="13.5" x14ac:dyDescent="0.25">
      <c r="A467" s="3">
        <f>RSI!A467</f>
        <v>45597</v>
      </c>
      <c r="B467" s="2">
        <f>RSI!B467</f>
        <v>5.8220000000000001</v>
      </c>
      <c r="C467" s="2">
        <f>RSI!I467</f>
        <v>52.952831900852686</v>
      </c>
      <c r="D467" s="2">
        <f>MACD!E467</f>
        <v>-1.7765376731810889E-2</v>
      </c>
      <c r="E467" s="2">
        <f>MACD!F467</f>
        <v>-1.7493987048638512E-2</v>
      </c>
      <c r="F467" s="2">
        <f>'Moving Avg'!D467</f>
        <v>5.8407999999999998</v>
      </c>
      <c r="G467" s="2">
        <f>'Moving Avg'!F467</f>
        <v>5.8059500000000002</v>
      </c>
      <c r="H467" s="2">
        <f>'Moving Avg'!G467</f>
        <v>5.7358200000000013</v>
      </c>
      <c r="I467" s="2">
        <f>'Moving Avg'!H467</f>
        <v>5.3820649999999963</v>
      </c>
      <c r="J467" s="5" t="str">
        <f>OBV!F467</f>
        <v>NEUTRAL</v>
      </c>
      <c r="K467" s="5" t="str">
        <f>OBV!G467</f>
        <v>NEUTRAL</v>
      </c>
      <c r="L467" s="5" t="str">
        <f>OBV!H467</f>
        <v>NEUTRAL</v>
      </c>
    </row>
    <row r="468" spans="1:12" ht="13.5" x14ac:dyDescent="0.25">
      <c r="A468" s="3">
        <f>RSI!A468</f>
        <v>45600</v>
      </c>
      <c r="B468" s="2">
        <f>RSI!B468</f>
        <v>5.7750000000000004</v>
      </c>
      <c r="C468" s="2">
        <f>RSI!I468</f>
        <v>47.570595768629779</v>
      </c>
      <c r="D468" s="2">
        <f>MACD!E468</f>
        <v>-1.1281459683557316E-2</v>
      </c>
      <c r="E468" s="2">
        <f>MACD!F468</f>
        <v>-1.6251481575622274E-2</v>
      </c>
      <c r="F468" s="2">
        <f>'Moving Avg'!D468</f>
        <v>5.8220000000000001</v>
      </c>
      <c r="G468" s="2">
        <f>'Moving Avg'!F468</f>
        <v>5.8059500000000011</v>
      </c>
      <c r="H468" s="2">
        <f>'Moving Avg'!G468</f>
        <v>5.7386400000000002</v>
      </c>
      <c r="I468" s="2">
        <f>'Moving Avg'!H468</f>
        <v>5.3861049999999979</v>
      </c>
      <c r="J468" s="5" t="str">
        <f>OBV!F468</f>
        <v>NEUTRAL</v>
      </c>
      <c r="K468" s="5" t="str">
        <f>OBV!G468</f>
        <v>NEUTRAL</v>
      </c>
      <c r="L468" s="5" t="str">
        <f>OBV!H468</f>
        <v>NEUTRAL</v>
      </c>
    </row>
    <row r="469" spans="1:12" ht="13.5" x14ac:dyDescent="0.25">
      <c r="A469" s="3">
        <f>RSI!A469</f>
        <v>45601</v>
      </c>
      <c r="B469" s="2">
        <f>RSI!B469</f>
        <v>5.8120000000000003</v>
      </c>
      <c r="C469" s="2">
        <f>RSI!I469</f>
        <v>51.730072970159895</v>
      </c>
      <c r="D469" s="2">
        <f>MACD!E469</f>
        <v>-6.8535308316945986E-3</v>
      </c>
      <c r="E469" s="2">
        <f>MACD!F469</f>
        <v>-1.4371891426836739E-2</v>
      </c>
      <c r="F469" s="2">
        <f>'Moving Avg'!D469</f>
        <v>5.8106</v>
      </c>
      <c r="G469" s="2">
        <f>'Moving Avg'!F469</f>
        <v>5.8054500000000013</v>
      </c>
      <c r="H469" s="2">
        <f>'Moving Avg'!G469</f>
        <v>5.7422000000000013</v>
      </c>
      <c r="I469" s="2">
        <f>'Moving Avg'!H469</f>
        <v>5.3905049999999957</v>
      </c>
      <c r="J469" s="5" t="str">
        <f>OBV!F469</f>
        <v>NEUTRAL</v>
      </c>
      <c r="K469" s="5" t="str">
        <f>OBV!G469</f>
        <v>NEUTRAL</v>
      </c>
      <c r="L469" s="5" t="str">
        <f>OBV!H469</f>
        <v>NEUTRAL</v>
      </c>
    </row>
    <row r="470" spans="1:12" ht="13.5" x14ac:dyDescent="0.25">
      <c r="A470" s="3">
        <f>RSI!A470</f>
        <v>45602</v>
      </c>
      <c r="B470" s="2">
        <f>RSI!B470</f>
        <v>5.7939999999999996</v>
      </c>
      <c r="C470" s="2">
        <f>RSI!I470</f>
        <v>49.665756193093401</v>
      </c>
      <c r="D470" s="2">
        <f>MACD!E470</f>
        <v>-9.0897286733211402E-3</v>
      </c>
      <c r="E470" s="2">
        <f>MACD!F470</f>
        <v>-1.3315458876133621E-2</v>
      </c>
      <c r="F470" s="2">
        <f>'Moving Avg'!D470</f>
        <v>5.8050000000000006</v>
      </c>
      <c r="G470" s="2">
        <f>'Moving Avg'!F470</f>
        <v>5.812050000000001</v>
      </c>
      <c r="H470" s="2">
        <f>'Moving Avg'!G470</f>
        <v>5.7455800000000012</v>
      </c>
      <c r="I470" s="2">
        <f>'Moving Avg'!H470</f>
        <v>5.3946399999999972</v>
      </c>
      <c r="J470" s="5" t="str">
        <f>OBV!F470</f>
        <v>NEUTRAL</v>
      </c>
      <c r="K470" s="5" t="str">
        <f>OBV!G470</f>
        <v>NEUTRAL</v>
      </c>
      <c r="L470" s="5" t="str">
        <f>OBV!H470</f>
        <v>NEUTRAL</v>
      </c>
    </row>
    <row r="471" spans="1:12" ht="13.5" x14ac:dyDescent="0.25">
      <c r="A471" s="3">
        <f>RSI!A471</f>
        <v>45603</v>
      </c>
      <c r="B471" s="2">
        <f>RSI!B471</f>
        <v>5.718</v>
      </c>
      <c r="C471" s="2">
        <f>RSI!I471</f>
        <v>42.037936605342388</v>
      </c>
      <c r="D471" s="2">
        <f>MACD!E471</f>
        <v>9.1364949968957276E-3</v>
      </c>
      <c r="E471" s="2">
        <f>MACD!F471</f>
        <v>-8.8250681015277516E-3</v>
      </c>
      <c r="F471" s="2">
        <f>'Moving Avg'!D471</f>
        <v>5.7842000000000002</v>
      </c>
      <c r="G471" s="2">
        <f>'Moving Avg'!F471</f>
        <v>5.8092000000000006</v>
      </c>
      <c r="H471" s="2">
        <f>'Moving Avg'!G471</f>
        <v>5.7472600000000007</v>
      </c>
      <c r="I471" s="2">
        <f>'Moving Avg'!H471</f>
        <v>5.3983949999999981</v>
      </c>
      <c r="J471" s="5" t="str">
        <f>OBV!F471</f>
        <v>NEUTRAL</v>
      </c>
      <c r="K471" s="5" t="str">
        <f>OBV!G471</f>
        <v>NEUTRAL</v>
      </c>
      <c r="L471" s="5" t="str">
        <f>OBV!H471</f>
        <v>NEUTRAL</v>
      </c>
    </row>
    <row r="472" spans="1:12" ht="13.5" x14ac:dyDescent="0.25">
      <c r="A472" s="3">
        <f>RSI!A472</f>
        <v>45604</v>
      </c>
      <c r="B472" s="2">
        <f>RSI!B472</f>
        <v>5.8029999999999999</v>
      </c>
      <c r="C472" s="2">
        <f>RSI!I472</f>
        <v>51.08619202156391</v>
      </c>
      <c r="D472" s="2">
        <f>MACD!E472</f>
        <v>1.8736681690120882E-2</v>
      </c>
      <c r="E472" s="2">
        <f>MACD!F472</f>
        <v>-3.3127181431980247E-3</v>
      </c>
      <c r="F472" s="2">
        <f>'Moving Avg'!D472</f>
        <v>5.7804000000000002</v>
      </c>
      <c r="G472" s="2">
        <f>'Moving Avg'!F472</f>
        <v>5.8106</v>
      </c>
      <c r="H472" s="2">
        <f>'Moving Avg'!G472</f>
        <v>5.7506400000000015</v>
      </c>
      <c r="I472" s="2">
        <f>'Moving Avg'!H472</f>
        <v>5.4022199999999989</v>
      </c>
      <c r="J472" s="5" t="str">
        <f>OBV!F472</f>
        <v>NEUTRAL</v>
      </c>
      <c r="K472" s="5" t="str">
        <f>OBV!G472</f>
        <v>NEUTRAL</v>
      </c>
      <c r="L472" s="5" t="str">
        <f>OBV!H472</f>
        <v>NEUTRAL</v>
      </c>
    </row>
    <row r="473" spans="1:12" ht="13.5" x14ac:dyDescent="0.25">
      <c r="A473" s="3">
        <f>RSI!A473</f>
        <v>45607</v>
      </c>
      <c r="B473" s="2">
        <f>RSI!B473</f>
        <v>5.8689999999999998</v>
      </c>
      <c r="C473" s="2">
        <f>RSI!I473</f>
        <v>56.733971593047919</v>
      </c>
      <c r="D473" s="2">
        <f>MACD!E473</f>
        <v>2.1907919906293039E-2</v>
      </c>
      <c r="E473" s="2">
        <f>MACD!F473</f>
        <v>1.7314094667001878E-3</v>
      </c>
      <c r="F473" s="2">
        <f>'Moving Avg'!D473</f>
        <v>5.7991999999999999</v>
      </c>
      <c r="G473" s="2">
        <f>'Moving Avg'!F473</f>
        <v>5.8115500000000004</v>
      </c>
      <c r="H473" s="2">
        <f>'Moving Avg'!G473</f>
        <v>5.7544000000000031</v>
      </c>
      <c r="I473" s="2">
        <f>'Moving Avg'!H473</f>
        <v>5.4067299999999987</v>
      </c>
      <c r="J473" s="5" t="str">
        <f>OBV!F473</f>
        <v>NEUTRAL</v>
      </c>
      <c r="K473" s="5" t="str">
        <f>OBV!G473</f>
        <v>NEUTRAL</v>
      </c>
      <c r="L473" s="5" t="str">
        <f>OBV!H473</f>
        <v>NEUTRAL</v>
      </c>
    </row>
    <row r="474" spans="1:12" ht="13.5" x14ac:dyDescent="0.25">
      <c r="A474" s="3">
        <f>RSI!A474</f>
        <v>45608</v>
      </c>
      <c r="B474" s="2">
        <f>RSI!B474</f>
        <v>5.8410000000000002</v>
      </c>
      <c r="C474" s="2">
        <f>RSI!I474</f>
        <v>53.891069858598989</v>
      </c>
      <c r="D474" s="2">
        <f>MACD!E474</f>
        <v>2.6216919421455209E-2</v>
      </c>
      <c r="E474" s="2">
        <f>MACD!F474</f>
        <v>6.6285114576511922E-3</v>
      </c>
      <c r="F474" s="2">
        <f>'Moving Avg'!D474</f>
        <v>5.8050000000000006</v>
      </c>
      <c r="G474" s="2">
        <f>'Moving Avg'!F474</f>
        <v>5.8181500000000002</v>
      </c>
      <c r="H474" s="2">
        <f>'Moving Avg'!G474</f>
        <v>5.7585400000000027</v>
      </c>
      <c r="I474" s="2">
        <f>'Moving Avg'!H474</f>
        <v>5.4115399999999987</v>
      </c>
      <c r="J474" s="5" t="str">
        <f>OBV!F474</f>
        <v>NEUTRAL</v>
      </c>
      <c r="K474" s="5" t="str">
        <f>OBV!G474</f>
        <v>NEUTRAL</v>
      </c>
      <c r="L474" s="5" t="str">
        <f>OBV!H474</f>
        <v>NEUTRAL</v>
      </c>
    </row>
    <row r="475" spans="1:12" ht="13.5" x14ac:dyDescent="0.25">
      <c r="A475" s="3">
        <f>RSI!A475</f>
        <v>45609</v>
      </c>
      <c r="B475" s="2">
        <f>RSI!B475</f>
        <v>5.8120000000000003</v>
      </c>
      <c r="C475" s="2">
        <f>RSI!I475</f>
        <v>51.038469365169597</v>
      </c>
      <c r="D475" s="2">
        <f>MACD!E475</f>
        <v>2.4530615116566068E-2</v>
      </c>
      <c r="E475" s="2">
        <f>MACD!F475</f>
        <v>1.0208932189434168E-2</v>
      </c>
      <c r="F475" s="2">
        <f>'Moving Avg'!D475</f>
        <v>5.8086000000000002</v>
      </c>
      <c r="G475" s="2">
        <f>'Moving Avg'!F475</f>
        <v>5.8199999999999994</v>
      </c>
      <c r="H475" s="2">
        <f>'Moving Avg'!G475</f>
        <v>5.7615400000000019</v>
      </c>
      <c r="I475" s="2">
        <f>'Moving Avg'!H475</f>
        <v>5.4157649999999986</v>
      </c>
      <c r="J475" s="5" t="str">
        <f>OBV!F475</f>
        <v>NEUTRAL</v>
      </c>
      <c r="K475" s="5" t="str">
        <f>OBV!G475</f>
        <v>NEUTRAL</v>
      </c>
      <c r="L475" s="5" t="str">
        <f>OBV!H475</f>
        <v>NEUTRAL</v>
      </c>
    </row>
    <row r="476" spans="1:12" ht="13.5" x14ac:dyDescent="0.25">
      <c r="A476" s="3">
        <f>RSI!A476</f>
        <v>45610</v>
      </c>
      <c r="B476" s="2">
        <f>RSI!B476</f>
        <v>5.8120000000000003</v>
      </c>
      <c r="C476" s="2">
        <f>RSI!I476</f>
        <v>51.038469365169597</v>
      </c>
      <c r="D476" s="2">
        <f>MACD!E476</f>
        <v>2.3043845474654212E-2</v>
      </c>
      <c r="E476" s="2">
        <f>MACD!F476</f>
        <v>1.2775914846478179E-2</v>
      </c>
      <c r="F476" s="2">
        <f>'Moving Avg'!D476</f>
        <v>5.8274000000000008</v>
      </c>
      <c r="G476" s="2">
        <f>'Moving Avg'!F476</f>
        <v>5.8218499999999995</v>
      </c>
      <c r="H476" s="2">
        <f>'Moving Avg'!G476</f>
        <v>5.7651000000000021</v>
      </c>
      <c r="I476" s="2">
        <f>'Moving Avg'!H476</f>
        <v>5.4209649999999989</v>
      </c>
      <c r="J476" s="5" t="str">
        <f>OBV!F476</f>
        <v>NEUTRAL</v>
      </c>
      <c r="K476" s="5" t="str">
        <f>OBV!G476</f>
        <v>NEUTRAL</v>
      </c>
      <c r="L476" s="5" t="str">
        <f>OBV!H476</f>
        <v>NEUTRAL</v>
      </c>
    </row>
    <row r="477" spans="1:12" ht="13.5" x14ac:dyDescent="0.25">
      <c r="A477" s="3">
        <f>RSI!A477</f>
        <v>45611</v>
      </c>
      <c r="B477" s="2">
        <f>RSI!B477</f>
        <v>5.8220000000000001</v>
      </c>
      <c r="C477" s="2">
        <f>RSI!I477</f>
        <v>52.053438838590345</v>
      </c>
      <c r="D477" s="2">
        <f>MACD!E477</f>
        <v>2.0989608912191926E-2</v>
      </c>
      <c r="E477" s="2">
        <f>MACD!F477</f>
        <v>1.4418653659620929E-2</v>
      </c>
      <c r="F477" s="2">
        <f>'Moving Avg'!D477</f>
        <v>5.8312000000000008</v>
      </c>
      <c r="G477" s="2">
        <f>'Moving Avg'!F477</f>
        <v>5.8204499999999992</v>
      </c>
      <c r="H477" s="2">
        <f>'Moving Avg'!G477</f>
        <v>5.7688600000000019</v>
      </c>
      <c r="I477" s="2">
        <f>'Moving Avg'!H477</f>
        <v>5.4254599999999993</v>
      </c>
      <c r="J477" s="5" t="str">
        <f>OBV!F477</f>
        <v>NEUTRAL</v>
      </c>
      <c r="K477" s="5" t="str">
        <f>OBV!G477</f>
        <v>NEUTRAL</v>
      </c>
      <c r="L477" s="5" t="str">
        <f>OBV!H477</f>
        <v>NEUTRAL</v>
      </c>
    </row>
    <row r="478" spans="1:12" ht="13.5" x14ac:dyDescent="0.25">
      <c r="A478" s="3">
        <f>RSI!A478</f>
        <v>45614</v>
      </c>
      <c r="B478" s="2">
        <f>RSI!B478</f>
        <v>5.8220000000000001</v>
      </c>
      <c r="C478" s="2">
        <f>RSI!I478</f>
        <v>52.053438838590345</v>
      </c>
      <c r="D478" s="2">
        <f>MACD!E478</f>
        <v>1.1910197258842459E-2</v>
      </c>
      <c r="E478" s="2">
        <f>MACD!F478</f>
        <v>1.3916962379465235E-2</v>
      </c>
      <c r="F478" s="2">
        <f>'Moving Avg'!D478</f>
        <v>5.8217999999999996</v>
      </c>
      <c r="G478" s="2">
        <f>'Moving Avg'!F478</f>
        <v>5.8209499999999998</v>
      </c>
      <c r="H478" s="2">
        <f>'Moving Avg'!G478</f>
        <v>5.7726200000000016</v>
      </c>
      <c r="I478" s="2">
        <f>'Moving Avg'!H478</f>
        <v>5.4297349999999982</v>
      </c>
      <c r="J478" s="5" t="str">
        <f>OBV!F478</f>
        <v>NEUTRAL</v>
      </c>
      <c r="K478" s="5" t="str">
        <f>OBV!G478</f>
        <v>NEUTRAL</v>
      </c>
      <c r="L478" s="5" t="str">
        <f>OBV!H478</f>
        <v>NEUTRAL</v>
      </c>
    </row>
    <row r="479" spans="1:12" ht="13.5" x14ac:dyDescent="0.25">
      <c r="A479" s="3">
        <f>RSI!A479</f>
        <v>45615</v>
      </c>
      <c r="B479" s="2">
        <f>RSI!B479</f>
        <v>5.7939999999999996</v>
      </c>
      <c r="C479" s="2">
        <f>RSI!I479</f>
        <v>48.770359703902855</v>
      </c>
      <c r="D479" s="2">
        <f>MACD!E479</f>
        <v>1.1891738587313405E-2</v>
      </c>
      <c r="E479" s="2">
        <f>MACD!F479</f>
        <v>1.3511917621034869E-2</v>
      </c>
      <c r="F479" s="2">
        <f>'Moving Avg'!D479</f>
        <v>5.8124000000000002</v>
      </c>
      <c r="G479" s="2">
        <f>'Moving Avg'!F479</f>
        <v>5.8195499999999996</v>
      </c>
      <c r="H479" s="2">
        <f>'Moving Avg'!G479</f>
        <v>5.7762000000000011</v>
      </c>
      <c r="I479" s="2">
        <f>'Moving Avg'!H479</f>
        <v>5.4345349999999994</v>
      </c>
      <c r="J479" s="5" t="str">
        <f>OBV!F479</f>
        <v>NEUTRAL</v>
      </c>
      <c r="K479" s="5" t="str">
        <f>OBV!G479</f>
        <v>NEUTRAL</v>
      </c>
      <c r="L479" s="5" t="str">
        <f>OBV!H479</f>
        <v>NEUTRAL</v>
      </c>
    </row>
    <row r="480" spans="1:12" ht="13.5" x14ac:dyDescent="0.25">
      <c r="A480" s="3">
        <f>RSI!A480</f>
        <v>45616</v>
      </c>
      <c r="B480" s="2">
        <f>RSI!B480</f>
        <v>5.7939999999999996</v>
      </c>
      <c r="C480" s="2">
        <f>RSI!I480</f>
        <v>48.770359703902855</v>
      </c>
      <c r="D480" s="2">
        <f>MACD!E480</f>
        <v>9.1776557126141967E-3</v>
      </c>
      <c r="E480" s="2">
        <f>MACD!F480</f>
        <v>1.2645065239350734E-2</v>
      </c>
      <c r="F480" s="2">
        <f>'Moving Avg'!D480</f>
        <v>5.8087999999999997</v>
      </c>
      <c r="G480" s="2">
        <f>'Moving Avg'!F480</f>
        <v>5.8204999999999991</v>
      </c>
      <c r="H480" s="2">
        <f>'Moving Avg'!G480</f>
        <v>5.7797800000000015</v>
      </c>
      <c r="I480" s="2">
        <f>'Moving Avg'!H480</f>
        <v>5.4391100000000003</v>
      </c>
      <c r="J480" s="5" t="str">
        <f>OBV!F480</f>
        <v>NEUTRAL</v>
      </c>
      <c r="K480" s="5" t="str">
        <f>OBV!G480</f>
        <v>NEUTRAL</v>
      </c>
      <c r="L480" s="5" t="str">
        <f>OBV!H480</f>
        <v>NEUTRAL</v>
      </c>
    </row>
    <row r="481" spans="1:12" ht="13.5" x14ac:dyDescent="0.25">
      <c r="A481" s="3">
        <f>RSI!A481</f>
        <v>45617</v>
      </c>
      <c r="B481" s="2">
        <f>RSI!B481</f>
        <v>5.7939999999999996</v>
      </c>
      <c r="C481" s="2">
        <f>RSI!I481</f>
        <v>48.770359703902855</v>
      </c>
      <c r="D481" s="2">
        <f>MACD!E481</f>
        <v>-4.74565885545708E-3</v>
      </c>
      <c r="E481" s="2">
        <f>MACD!F481</f>
        <v>9.1669204203891734E-3</v>
      </c>
      <c r="F481" s="2">
        <f>'Moving Avg'!D481</f>
        <v>5.8052000000000001</v>
      </c>
      <c r="G481" s="2">
        <f>'Moving Avg'!F481</f>
        <v>5.816749999999999</v>
      </c>
      <c r="H481" s="2">
        <f>'Moving Avg'!G481</f>
        <v>5.7833600000000009</v>
      </c>
      <c r="I481" s="2">
        <f>'Moving Avg'!H481</f>
        <v>5.4437300000000013</v>
      </c>
      <c r="J481" s="5" t="str">
        <f>OBV!F481</f>
        <v>NEUTRAL</v>
      </c>
      <c r="K481" s="5" t="str">
        <f>OBV!G481</f>
        <v>NEUTRAL</v>
      </c>
      <c r="L481" s="5" t="str">
        <f>OBV!H481</f>
        <v>NEUTRAL</v>
      </c>
    </row>
    <row r="482" spans="1:12" ht="13.5" x14ac:dyDescent="0.25">
      <c r="A482" s="3">
        <f>RSI!A482</f>
        <v>45618</v>
      </c>
      <c r="B482" s="2">
        <f>RSI!B482</f>
        <v>5.7750000000000004</v>
      </c>
      <c r="C482" s="2">
        <f>RSI!I482</f>
        <v>46.295663686966037</v>
      </c>
      <c r="D482" s="2">
        <f>MACD!E482</f>
        <v>-1.9819234446245559E-3</v>
      </c>
      <c r="E482" s="2">
        <f>MACD!F482</f>
        <v>6.9371516473864274E-3</v>
      </c>
      <c r="F482" s="2">
        <f>'Moving Avg'!D482</f>
        <v>5.7957999999999998</v>
      </c>
      <c r="G482" s="2">
        <f>'Moving Avg'!F482</f>
        <v>5.8120499999999993</v>
      </c>
      <c r="H482" s="2">
        <f>'Moving Avg'!G482</f>
        <v>5.7865600000000006</v>
      </c>
      <c r="I482" s="2">
        <f>'Moving Avg'!H482</f>
        <v>5.4491450000000006</v>
      </c>
      <c r="J482" s="5" t="str">
        <f>OBV!F482</f>
        <v>NEUTRAL</v>
      </c>
      <c r="K482" s="5" t="str">
        <f>OBV!G482</f>
        <v>NEUTRAL</v>
      </c>
      <c r="L482" s="5" t="str">
        <f>OBV!H482</f>
        <v>NEUTRAL</v>
      </c>
    </row>
    <row r="483" spans="1:12" ht="13.5" x14ac:dyDescent="0.25">
      <c r="A483" s="3">
        <f>RSI!A483</f>
        <v>45621</v>
      </c>
      <c r="B483" s="2">
        <f>RSI!B483</f>
        <v>5.8029999999999999</v>
      </c>
      <c r="C483" s="2">
        <f>RSI!I483</f>
        <v>50.298130495495869</v>
      </c>
      <c r="D483" s="2">
        <f>MACD!E483</f>
        <v>8.6048427427192209E-3</v>
      </c>
      <c r="E483" s="2">
        <f>MACD!F483</f>
        <v>7.2706898664529861E-3</v>
      </c>
      <c r="F483" s="2">
        <f>'Moving Avg'!D483</f>
        <v>5.7919999999999998</v>
      </c>
      <c r="G483" s="2">
        <f>'Moving Avg'!F483</f>
        <v>5.8087499999999999</v>
      </c>
      <c r="H483" s="2">
        <f>'Moving Avg'!G483</f>
        <v>5.7899400000000005</v>
      </c>
      <c r="I483" s="2">
        <f>'Moving Avg'!H483</f>
        <v>5.4543000000000017</v>
      </c>
      <c r="J483" s="5" t="str">
        <f>OBV!F483</f>
        <v>NEUTRAL</v>
      </c>
      <c r="K483" s="5" t="str">
        <f>OBV!G483</f>
        <v>NEUTRAL</v>
      </c>
      <c r="L483" s="5" t="str">
        <f>OBV!H483</f>
        <v>NEUTRAL</v>
      </c>
    </row>
    <row r="484" spans="1:12" ht="13.5" x14ac:dyDescent="0.25">
      <c r="A484" s="3">
        <f>RSI!A484</f>
        <v>45622</v>
      </c>
      <c r="B484" s="2">
        <f>RSI!B484</f>
        <v>5.7839999999999998</v>
      </c>
      <c r="C484" s="2">
        <f>RSI!I484</f>
        <v>47.700249295907554</v>
      </c>
      <c r="D484" s="2">
        <f>MACD!E484</f>
        <v>1.4653108641716983E-2</v>
      </c>
      <c r="E484" s="2">
        <f>MACD!F484</f>
        <v>8.7471736215057865E-3</v>
      </c>
      <c r="F484" s="2">
        <f>'Moving Avg'!D484</f>
        <v>5.79</v>
      </c>
      <c r="G484" s="2">
        <f>'Moving Avg'!F484</f>
        <v>5.8045</v>
      </c>
      <c r="H484" s="2">
        <f>'Moving Avg'!G484</f>
        <v>5.7929400000000006</v>
      </c>
      <c r="I484" s="2">
        <f>'Moving Avg'!H484</f>
        <v>5.459715000000001</v>
      </c>
      <c r="J484" s="5" t="str">
        <f>OBV!F484</f>
        <v>NEUTRAL</v>
      </c>
      <c r="K484" s="5" t="str">
        <f>OBV!G484</f>
        <v>NEUTRAL</v>
      </c>
      <c r="L484" s="5" t="str">
        <f>OBV!H484</f>
        <v>NEUTRAL</v>
      </c>
    </row>
    <row r="485" spans="1:12" ht="13.5" x14ac:dyDescent="0.25">
      <c r="A485" s="3">
        <f>RSI!A485</f>
        <v>45623</v>
      </c>
      <c r="B485" s="2">
        <f>RSI!B485</f>
        <v>5.7279999999999998</v>
      </c>
      <c r="C485" s="2">
        <f>RSI!I485</f>
        <v>40.981686510752702</v>
      </c>
      <c r="D485" s="2">
        <f>MACD!E485</f>
        <v>1.9560973848719243E-2</v>
      </c>
      <c r="E485" s="2">
        <f>MACD!F485</f>
        <v>1.0909933666948479E-2</v>
      </c>
      <c r="F485" s="2">
        <f>'Moving Avg'!D485</f>
        <v>5.7767999999999997</v>
      </c>
      <c r="G485" s="2">
        <f>'Moving Avg'!F485</f>
        <v>5.7997999999999994</v>
      </c>
      <c r="H485" s="2">
        <f>'Moving Avg'!G485</f>
        <v>5.7948200000000023</v>
      </c>
      <c r="I485" s="2">
        <f>'Moving Avg'!H485</f>
        <v>5.464450000000002</v>
      </c>
      <c r="J485" s="5" t="str">
        <f>OBV!F485</f>
        <v>NEUTRAL</v>
      </c>
      <c r="K485" s="5" t="str">
        <f>OBV!G485</f>
        <v>NEUTRAL</v>
      </c>
      <c r="L485" s="5" t="str">
        <f>OBV!H485</f>
        <v>NEUTRAL</v>
      </c>
    </row>
    <row r="486" spans="1:12" ht="13.5" x14ac:dyDescent="0.25">
      <c r="A486" s="3">
        <f>RSI!A486</f>
        <v>45624</v>
      </c>
      <c r="B486" s="2">
        <f>RSI!B486</f>
        <v>5.6340000000000003</v>
      </c>
      <c r="C486" s="2">
        <f>RSI!I486</f>
        <v>32.664808100310736</v>
      </c>
      <c r="D486" s="2">
        <f>MACD!E486</f>
        <v>3.1103478226298442E-2</v>
      </c>
      <c r="E486" s="2">
        <f>MACD!F486</f>
        <v>1.4948642578818474E-2</v>
      </c>
      <c r="F486" s="2">
        <f>'Moving Avg'!D486</f>
        <v>5.7447999999999997</v>
      </c>
      <c r="G486" s="2">
        <f>'Moving Avg'!F486</f>
        <v>5.7904</v>
      </c>
      <c r="H486" s="2">
        <f>'Moving Avg'!G486</f>
        <v>5.7948200000000023</v>
      </c>
      <c r="I486" s="2">
        <f>'Moving Avg'!H486</f>
        <v>5.4687150000000022</v>
      </c>
      <c r="J486" s="5" t="str">
        <f>OBV!F486</f>
        <v>NEUTRAL</v>
      </c>
      <c r="K486" s="5" t="str">
        <f>OBV!G486</f>
        <v>NEUTRAL</v>
      </c>
      <c r="L486" s="5" t="str">
        <f>OBV!H486</f>
        <v>NEUTRAL</v>
      </c>
    </row>
    <row r="487" spans="1:12" ht="13.5" x14ac:dyDescent="0.25">
      <c r="A487" s="3">
        <f>RSI!A487</f>
        <v>45625</v>
      </c>
      <c r="B487" s="2">
        <f>RSI!B487</f>
        <v>5.7939999999999996</v>
      </c>
      <c r="C487" s="2">
        <f>RSI!I487</f>
        <v>50.922006549266037</v>
      </c>
      <c r="D487" s="2">
        <f>MACD!E487</f>
        <v>3.1507395009573003E-2</v>
      </c>
      <c r="E487" s="2">
        <f>MACD!F487</f>
        <v>1.826039306496938E-2</v>
      </c>
      <c r="F487" s="2">
        <f>'Moving Avg'!D487</f>
        <v>5.7485999999999997</v>
      </c>
      <c r="G487" s="2">
        <f>'Moving Avg'!F487</f>
        <v>5.7889999999999997</v>
      </c>
      <c r="H487" s="2">
        <f>'Moving Avg'!G487</f>
        <v>5.7961400000000012</v>
      </c>
      <c r="I487" s="2">
        <f>'Moving Avg'!H487</f>
        <v>5.4741800000000032</v>
      </c>
      <c r="J487" s="5" t="str">
        <f>OBV!F487</f>
        <v>NEUTRAL</v>
      </c>
      <c r="K487" s="5" t="str">
        <f>OBV!G487</f>
        <v>NEUTRAL</v>
      </c>
      <c r="L487" s="5" t="str">
        <f>OBV!H487</f>
        <v>NEUTRAL</v>
      </c>
    </row>
    <row r="488" spans="1:12" ht="13.5" x14ac:dyDescent="0.25">
      <c r="A488" s="3">
        <f>RSI!A488</f>
        <v>45628</v>
      </c>
      <c r="B488" s="2">
        <f>RSI!B488</f>
        <v>5.7839999999999998</v>
      </c>
      <c r="C488" s="2">
        <f>RSI!I488</f>
        <v>50.009348823824809</v>
      </c>
      <c r="D488" s="2">
        <f>MACD!E488</f>
        <v>3.2524624455049889E-2</v>
      </c>
      <c r="E488" s="2">
        <f>MACD!F488</f>
        <v>2.1113239342985483E-2</v>
      </c>
      <c r="F488" s="2">
        <f>'Moving Avg'!D488</f>
        <v>5.7447999999999997</v>
      </c>
      <c r="G488" s="2">
        <f>'Moving Avg'!F488</f>
        <v>5.7894500000000004</v>
      </c>
      <c r="H488" s="2">
        <f>'Moving Avg'!G488</f>
        <v>5.7965200000000028</v>
      </c>
      <c r="I488" s="2">
        <f>'Moving Avg'!H488</f>
        <v>5.4795950000000042</v>
      </c>
      <c r="J488" s="5" t="str">
        <f>OBV!F488</f>
        <v>NEUTRAL</v>
      </c>
      <c r="K488" s="5" t="str">
        <f>OBV!G488</f>
        <v>NEUTRAL</v>
      </c>
      <c r="L488" s="5" t="str">
        <f>OBV!H488</f>
        <v>NEUTRAL</v>
      </c>
    </row>
    <row r="489" spans="1:12" ht="13.5" x14ac:dyDescent="0.25">
      <c r="A489" s="3">
        <f>RSI!A489</f>
        <v>45629</v>
      </c>
      <c r="B489" s="2">
        <f>RSI!B489</f>
        <v>5.7839999999999998</v>
      </c>
      <c r="C489" s="2">
        <f>RSI!I489</f>
        <v>50.009348823824809</v>
      </c>
      <c r="D489" s="2">
        <f>MACD!E489</f>
        <v>2.9076304226235195E-2</v>
      </c>
      <c r="E489" s="2">
        <f>MACD!F489</f>
        <v>2.2705852319635424E-2</v>
      </c>
      <c r="F489" s="2">
        <f>'Moving Avg'!D489</f>
        <v>5.7447999999999997</v>
      </c>
      <c r="G489" s="2">
        <f>'Moving Avg'!F489</f>
        <v>5.7880500000000001</v>
      </c>
      <c r="H489" s="2">
        <f>'Moving Avg'!G489</f>
        <v>5.7967000000000022</v>
      </c>
      <c r="I489" s="2">
        <f>'Moving Avg'!H489</f>
        <v>5.4850550000000053</v>
      </c>
      <c r="J489" s="5" t="str">
        <f>OBV!F489</f>
        <v>NEUTRAL</v>
      </c>
      <c r="K489" s="5" t="str">
        <f>OBV!G489</f>
        <v>NEUTRAL</v>
      </c>
      <c r="L489" s="5" t="str">
        <f>OBV!H489</f>
        <v>NEUTRAL</v>
      </c>
    </row>
    <row r="490" spans="1:12" ht="13.5" x14ac:dyDescent="0.25">
      <c r="A490" s="3">
        <f>RSI!A490</f>
        <v>45630</v>
      </c>
      <c r="B490" s="2">
        <f>RSI!B490</f>
        <v>5.7839999999999998</v>
      </c>
      <c r="C490" s="2">
        <f>RSI!I490</f>
        <v>50.009348823824809</v>
      </c>
      <c r="D490" s="2">
        <f>MACD!E490</f>
        <v>2.6157235052933103E-2</v>
      </c>
      <c r="E490" s="2">
        <f>MACD!F490</f>
        <v>2.3396128866294962E-2</v>
      </c>
      <c r="F490" s="2">
        <f>'Moving Avg'!D490</f>
        <v>5.7559999999999993</v>
      </c>
      <c r="G490" s="2">
        <f>'Moving Avg'!F490</f>
        <v>5.7875500000000013</v>
      </c>
      <c r="H490" s="2">
        <f>'Moving Avg'!G490</f>
        <v>5.7968800000000007</v>
      </c>
      <c r="I490" s="2">
        <f>'Moving Avg'!H490</f>
        <v>5.4905150000000056</v>
      </c>
      <c r="J490" s="5" t="str">
        <f>OBV!F490</f>
        <v>NEUTRAL</v>
      </c>
      <c r="K490" s="5" t="str">
        <f>OBV!G490</f>
        <v>NEUTRAL</v>
      </c>
      <c r="L490" s="5" t="str">
        <f>OBV!H490</f>
        <v>NEUTRAL</v>
      </c>
    </row>
    <row r="491" spans="1:12" ht="13.5" x14ac:dyDescent="0.25">
      <c r="A491" s="3">
        <f>RSI!A491</f>
        <v>45631</v>
      </c>
      <c r="B491" s="2">
        <f>RSI!B491</f>
        <v>5.7839999999999998</v>
      </c>
      <c r="C491" s="2">
        <f>RSI!I491</f>
        <v>50.009348823824823</v>
      </c>
      <c r="D491" s="2">
        <f>MACD!E491</f>
        <v>2.3686087010569068E-2</v>
      </c>
      <c r="E491" s="2">
        <f>MACD!F491</f>
        <v>2.3454120495149784E-2</v>
      </c>
      <c r="F491" s="2">
        <f>'Moving Avg'!D491</f>
        <v>5.7859999999999996</v>
      </c>
      <c r="G491" s="2">
        <f>'Moving Avg'!F491</f>
        <v>5.7908500000000007</v>
      </c>
      <c r="H491" s="2">
        <f>'Moving Avg'!G491</f>
        <v>5.7972600000000014</v>
      </c>
      <c r="I491" s="2">
        <f>'Moving Avg'!H491</f>
        <v>5.4959300000000066</v>
      </c>
      <c r="J491" s="5" t="str">
        <f>OBV!F491</f>
        <v>NEUTRAL</v>
      </c>
      <c r="K491" s="5" t="str">
        <f>OBV!G491</f>
        <v>NEUTRAL</v>
      </c>
      <c r="L491" s="5" t="str">
        <f>OBV!H491</f>
        <v>NEUTRAL</v>
      </c>
    </row>
    <row r="492" spans="1:12" ht="13.5" x14ac:dyDescent="0.25">
      <c r="A492" s="3">
        <f>RSI!A492</f>
        <v>45632</v>
      </c>
      <c r="B492" s="2">
        <f>RSI!B492</f>
        <v>5.8220000000000001</v>
      </c>
      <c r="C492" s="2">
        <f>RSI!I492</f>
        <v>54.204499517204539</v>
      </c>
      <c r="D492" s="2">
        <f>MACD!E492</f>
        <v>1.5856143820562885E-2</v>
      </c>
      <c r="E492" s="2">
        <f>MACD!F492</f>
        <v>2.1934525160232407E-2</v>
      </c>
      <c r="F492" s="2">
        <f>'Moving Avg'!D492</f>
        <v>5.7915999999999999</v>
      </c>
      <c r="G492" s="2">
        <f>'Moving Avg'!F492</f>
        <v>5.7918000000000003</v>
      </c>
      <c r="H492" s="2">
        <f>'Moving Avg'!G492</f>
        <v>5.7982000000000014</v>
      </c>
      <c r="I492" s="2">
        <f>'Moving Avg'!H492</f>
        <v>5.5002900000000059</v>
      </c>
      <c r="J492" s="5" t="str">
        <f>OBV!F492</f>
        <v>NEUTRAL</v>
      </c>
      <c r="K492" s="5" t="str">
        <f>OBV!G492</f>
        <v>NEUTRAL</v>
      </c>
      <c r="L492" s="5" t="str">
        <f>OBV!H492</f>
        <v>NEUTRAL</v>
      </c>
    </row>
    <row r="493" spans="1:12" ht="13.5" x14ac:dyDescent="0.25">
      <c r="A493" s="3">
        <f>RSI!A493</f>
        <v>45635</v>
      </c>
      <c r="B493" s="2">
        <f>RSI!B493</f>
        <v>5.9160000000000004</v>
      </c>
      <c r="C493" s="2">
        <f>RSI!I493</f>
        <v>62.57182028385261</v>
      </c>
      <c r="D493" s="2">
        <f>MACD!E493</f>
        <v>6.3499929586416926E-3</v>
      </c>
      <c r="E493" s="2">
        <f>MACD!F493</f>
        <v>1.8817618719914265E-2</v>
      </c>
      <c r="F493" s="2">
        <f>'Moving Avg'!D493</f>
        <v>5.8179999999999996</v>
      </c>
      <c r="G493" s="2">
        <f>'Moving Avg'!F493</f>
        <v>5.7941500000000001</v>
      </c>
      <c r="H493" s="2">
        <f>'Moving Avg'!G493</f>
        <v>5.800080000000003</v>
      </c>
      <c r="I493" s="2">
        <f>'Moving Avg'!H493</f>
        <v>5.5051200000000051</v>
      </c>
      <c r="J493" s="5" t="str">
        <f>OBV!F493</f>
        <v>NEUTRAL</v>
      </c>
      <c r="K493" s="5" t="str">
        <f>OBV!G493</f>
        <v>NEUTRAL</v>
      </c>
      <c r="L493" s="5" t="str">
        <f>OBV!H493</f>
        <v>NEUTRAL</v>
      </c>
    </row>
    <row r="494" spans="1:12" ht="13.5" x14ac:dyDescent="0.25">
      <c r="A494" s="3">
        <f>RSI!A494</f>
        <v>45636</v>
      </c>
      <c r="B494" s="2">
        <f>RSI!B494</f>
        <v>5.9059999999999997</v>
      </c>
      <c r="C494" s="2">
        <f>RSI!I494</f>
        <v>61.288892495717796</v>
      </c>
      <c r="D494" s="2">
        <f>MACD!E494</f>
        <v>-4.6402960979481378E-3</v>
      </c>
      <c r="E494" s="2">
        <f>MACD!F494</f>
        <v>1.4126035756341785E-2</v>
      </c>
      <c r="F494" s="2">
        <f>'Moving Avg'!D494</f>
        <v>5.8423999999999996</v>
      </c>
      <c r="G494" s="2">
        <f>'Moving Avg'!F494</f>
        <v>5.7974000000000014</v>
      </c>
      <c r="H494" s="2">
        <f>'Moving Avg'!G494</f>
        <v>5.8017600000000016</v>
      </c>
      <c r="I494" s="2">
        <f>'Moving Avg'!H494</f>
        <v>5.5100350000000047</v>
      </c>
      <c r="J494" s="5" t="str">
        <f>OBV!F494</f>
        <v>NEUTRAL</v>
      </c>
      <c r="K494" s="5" t="str">
        <f>OBV!G494</f>
        <v>NEUTRAL</v>
      </c>
      <c r="L494" s="5" t="str">
        <f>OBV!H494</f>
        <v>NEUTRAL</v>
      </c>
    </row>
    <row r="495" spans="1:12" ht="13.5" x14ac:dyDescent="0.25">
      <c r="A495" s="3">
        <f>RSI!A495</f>
        <v>45637</v>
      </c>
      <c r="B495" s="2">
        <f>RSI!B495</f>
        <v>5.9059999999999997</v>
      </c>
      <c r="C495" s="2">
        <f>RSI!I495</f>
        <v>61.288892495717796</v>
      </c>
      <c r="D495" s="2">
        <f>MACD!E495</f>
        <v>-2.3203738565668708E-2</v>
      </c>
      <c r="E495" s="2">
        <f>MACD!F495</f>
        <v>6.6600808919396858E-3</v>
      </c>
      <c r="F495" s="2">
        <f>'Moving Avg'!D495</f>
        <v>5.8667999999999996</v>
      </c>
      <c r="G495" s="2">
        <f>'Moving Avg'!F495</f>
        <v>5.8021000000000011</v>
      </c>
      <c r="H495" s="2">
        <f>'Moving Avg'!G495</f>
        <v>5.8034400000000019</v>
      </c>
      <c r="I495" s="2">
        <f>'Moving Avg'!H495</f>
        <v>5.514815000000004</v>
      </c>
      <c r="J495" s="5" t="str">
        <f>OBV!F495</f>
        <v>NEUTRAL</v>
      </c>
      <c r="K495" s="5" t="str">
        <f>OBV!G495</f>
        <v>NEUTRAL</v>
      </c>
      <c r="L495" s="5" t="str">
        <f>OBV!H495</f>
        <v>NEUTRAL</v>
      </c>
    </row>
    <row r="496" spans="1:12" ht="13.5" x14ac:dyDescent="0.25">
      <c r="A496" s="3">
        <f>RSI!A496</f>
        <v>45638</v>
      </c>
      <c r="B496" s="2">
        <f>RSI!B496</f>
        <v>5.9340000000000002</v>
      </c>
      <c r="C496" s="2">
        <f>RSI!I496</f>
        <v>63.705424452307277</v>
      </c>
      <c r="D496" s="2">
        <f>MACD!E496</f>
        <v>-5.6047418692052098E-2</v>
      </c>
      <c r="E496" s="2">
        <f>MACD!F496</f>
        <v>-5.8814190248586713E-3</v>
      </c>
      <c r="F496" s="2">
        <f>'Moving Avg'!D496</f>
        <v>5.8967999999999998</v>
      </c>
      <c r="G496" s="2">
        <f>'Moving Avg'!F496</f>
        <v>5.8082000000000011</v>
      </c>
      <c r="H496" s="2">
        <f>'Moving Avg'!G496</f>
        <v>5.8058800000000028</v>
      </c>
      <c r="I496" s="2">
        <f>'Moving Avg'!H496</f>
        <v>5.5197350000000043</v>
      </c>
      <c r="J496" s="5" t="str">
        <f>OBV!F496</f>
        <v>NEUTRAL</v>
      </c>
      <c r="K496" s="5" t="str">
        <f>OBV!G496</f>
        <v>NEUTRAL</v>
      </c>
      <c r="L496" s="5" t="str">
        <f>OBV!H496</f>
        <v>NEUTRAL</v>
      </c>
    </row>
    <row r="497" spans="1:12" ht="13.5" x14ac:dyDescent="0.25">
      <c r="A497" s="3">
        <f>RSI!A497</f>
        <v>45639</v>
      </c>
      <c r="B497" s="2">
        <f>RSI!B497</f>
        <v>5.8970000000000002</v>
      </c>
      <c r="C497" s="2">
        <f>RSI!I497</f>
        <v>58.507863820834935</v>
      </c>
      <c r="D497" s="2">
        <f>MACD!E497</f>
        <v>-5.7203607751844743E-2</v>
      </c>
      <c r="E497" s="2">
        <f>MACD!F497</f>
        <v>-1.6145856770255887E-2</v>
      </c>
      <c r="F497" s="2">
        <f>'Moving Avg'!D497</f>
        <v>5.9117999999999995</v>
      </c>
      <c r="G497" s="2">
        <f>'Moving Avg'!F497</f>
        <v>5.8119500000000013</v>
      </c>
      <c r="H497" s="2">
        <f>'Moving Avg'!G497</f>
        <v>5.808320000000001</v>
      </c>
      <c r="I497" s="2">
        <f>'Moving Avg'!H497</f>
        <v>5.5245150000000036</v>
      </c>
      <c r="J497" s="5" t="str">
        <f>OBV!F497</f>
        <v>NEUTRAL</v>
      </c>
      <c r="K497" s="5" t="str">
        <f>OBV!G497</f>
        <v>NEUTRAL</v>
      </c>
      <c r="L497" s="5" t="str">
        <f>OBV!H497</f>
        <v>NEUTRAL</v>
      </c>
    </row>
    <row r="498" spans="1:12" ht="13.5" x14ac:dyDescent="0.25">
      <c r="A498" s="3">
        <f>RSI!A498</f>
        <v>45642</v>
      </c>
      <c r="B498" s="2">
        <f>RSI!B498</f>
        <v>5.8869999999999996</v>
      </c>
      <c r="C498" s="2">
        <f>RSI!I498</f>
        <v>57.150714071023543</v>
      </c>
      <c r="D498" s="2">
        <f>MACD!E498</f>
        <v>-5.9429070886988455E-2</v>
      </c>
      <c r="E498" s="2">
        <f>MACD!F498</f>
        <v>-2.4802499593602402E-2</v>
      </c>
      <c r="F498" s="2">
        <f>'Moving Avg'!D498</f>
        <v>5.9060000000000006</v>
      </c>
      <c r="G498" s="2">
        <f>'Moving Avg'!F498</f>
        <v>5.8152000000000008</v>
      </c>
      <c r="H498" s="2">
        <f>'Moving Avg'!G498</f>
        <v>5.8105600000000024</v>
      </c>
      <c r="I498" s="2">
        <f>'Moving Avg'!H498</f>
        <v>5.5287600000000028</v>
      </c>
      <c r="J498" s="5" t="str">
        <f>OBV!F498</f>
        <v>NEUTRAL</v>
      </c>
      <c r="K498" s="5" t="str">
        <f>OBV!G498</f>
        <v>NEUTRAL</v>
      </c>
      <c r="L498" s="5" t="str">
        <f>OBV!H498</f>
        <v>NEUTRAL</v>
      </c>
    </row>
    <row r="499" spans="1:12" ht="13.5" x14ac:dyDescent="0.25">
      <c r="A499" s="3">
        <f>RSI!A499</f>
        <v>45644</v>
      </c>
      <c r="B499" s="2">
        <f>RSI!B499</f>
        <v>5.7939999999999996</v>
      </c>
      <c r="C499" s="2">
        <f>RSI!I499</f>
        <v>46.376630241666184</v>
      </c>
      <c r="D499" s="2">
        <f>MACD!E499</f>
        <v>-5.4780313276210357E-2</v>
      </c>
      <c r="E499" s="2">
        <f>MACD!F499</f>
        <v>-3.0798062330123995E-2</v>
      </c>
      <c r="F499" s="2">
        <f>'Moving Avg'!D499</f>
        <v>5.8836000000000004</v>
      </c>
      <c r="G499" s="2">
        <f>'Moving Avg'!F499</f>
        <v>5.8151999999999999</v>
      </c>
      <c r="H499" s="2">
        <f>'Moving Avg'!G499</f>
        <v>5.8100000000000014</v>
      </c>
      <c r="I499" s="2">
        <f>'Moving Avg'!H499</f>
        <v>5.5325400000000027</v>
      </c>
      <c r="J499" s="5" t="str">
        <f>OBV!F499</f>
        <v>NEUTRAL</v>
      </c>
      <c r="K499" s="5" t="str">
        <f>OBV!G499</f>
        <v>NEUTRAL</v>
      </c>
      <c r="L499" s="5" t="str">
        <f>OBV!H499</f>
        <v>NEUTRAL</v>
      </c>
    </row>
    <row r="500" spans="1:12" ht="13.5" x14ac:dyDescent="0.25">
      <c r="A500" s="3">
        <f>RSI!A500</f>
        <v>45645</v>
      </c>
      <c r="B500" s="2">
        <f>RSI!B500</f>
        <v>5.8120000000000003</v>
      </c>
      <c r="C500" s="2">
        <f>RSI!I500</f>
        <v>48.404071865185955</v>
      </c>
      <c r="D500" s="2">
        <f>MACD!E500</f>
        <v>-5.1961140637838632E-2</v>
      </c>
      <c r="E500" s="2">
        <f>MACD!F500</f>
        <v>-3.5030677991666925E-2</v>
      </c>
      <c r="F500" s="2">
        <f>'Moving Avg'!D500</f>
        <v>5.8648000000000007</v>
      </c>
      <c r="G500" s="2">
        <f>'Moving Avg'!F500</f>
        <v>5.8161000000000005</v>
      </c>
      <c r="H500" s="2">
        <f>'Moving Avg'!G500</f>
        <v>5.8130000000000015</v>
      </c>
      <c r="I500" s="2">
        <f>'Moving Avg'!H500</f>
        <v>5.5361000000000011</v>
      </c>
      <c r="J500" s="5" t="str">
        <f>OBV!F500</f>
        <v>NEUTRAL</v>
      </c>
      <c r="K500" s="5" t="str">
        <f>OBV!G500</f>
        <v>NEUTRAL</v>
      </c>
      <c r="L500" s="5" t="str">
        <f>OBV!H500</f>
        <v>NEUTRAL</v>
      </c>
    </row>
    <row r="501" spans="1:12" ht="13.5" x14ac:dyDescent="0.25">
      <c r="A501" s="3">
        <f>RSI!A501</f>
        <v>45646</v>
      </c>
      <c r="B501" s="2">
        <f>RSI!B501</f>
        <v>5.8120000000000003</v>
      </c>
      <c r="C501" s="2">
        <f>RSI!I501</f>
        <v>48.404071865185955</v>
      </c>
      <c r="D501" s="2">
        <f>MACD!E501</f>
        <v>-4.9479325714465006E-2</v>
      </c>
      <c r="E501" s="2">
        <f>MACD!F501</f>
        <v>-3.7920407536226546E-2</v>
      </c>
      <c r="F501" s="2">
        <f>'Moving Avg'!D501</f>
        <v>5.8404000000000007</v>
      </c>
      <c r="G501" s="2">
        <f>'Moving Avg'!F501</f>
        <v>5.8170000000000002</v>
      </c>
      <c r="H501" s="2">
        <f>'Moving Avg'!G501</f>
        <v>5.813740000000001</v>
      </c>
      <c r="I501" s="2">
        <f>'Moving Avg'!H501</f>
        <v>5.5400999999999998</v>
      </c>
      <c r="J501" s="5" t="str">
        <f>OBV!F501</f>
        <v>NEUTRAL</v>
      </c>
      <c r="K501" s="5" t="str">
        <f>OBV!G501</f>
        <v>NEUTRAL</v>
      </c>
      <c r="L501" s="5" t="str">
        <f>OBV!H501</f>
        <v>NEUTRAL</v>
      </c>
    </row>
    <row r="502" spans="1:12" ht="13.5" x14ac:dyDescent="0.25">
      <c r="A502" s="3">
        <f>RSI!A502</f>
        <v>45649</v>
      </c>
      <c r="B502" s="2">
        <f>RSI!B502</f>
        <v>5.8120000000000003</v>
      </c>
      <c r="C502" s="2">
        <f>RSI!I502</f>
        <v>48.404071865185962</v>
      </c>
      <c r="D502" s="2">
        <f>MACD!E502</f>
        <v>-4.1443951336158413E-2</v>
      </c>
      <c r="E502" s="2">
        <f>MACD!F502</f>
        <v>-3.8625116296212923E-2</v>
      </c>
      <c r="F502" s="2">
        <f>'Moving Avg'!D502</f>
        <v>5.8234000000000004</v>
      </c>
      <c r="G502" s="2">
        <f>'Moving Avg'!F502</f>
        <v>5.8188500000000003</v>
      </c>
      <c r="H502" s="2">
        <f>'Moving Avg'!G502</f>
        <v>5.8144800000000005</v>
      </c>
      <c r="I502" s="2">
        <f>'Moving Avg'!H502</f>
        <v>5.5433049999999993</v>
      </c>
      <c r="J502" s="5" t="str">
        <f>OBV!F502</f>
        <v>NEUTRAL</v>
      </c>
      <c r="K502" s="5" t="str">
        <f>OBV!G502</f>
        <v>NEUTRAL</v>
      </c>
      <c r="L502" s="5" t="str">
        <f>OBV!H502</f>
        <v>NEUTRAL</v>
      </c>
    </row>
    <row r="503" spans="1:12" ht="13.5" x14ac:dyDescent="0.25">
      <c r="A503" s="3">
        <f>RSI!A503</f>
        <v>45650</v>
      </c>
      <c r="B503" s="2">
        <f>RSI!B503</f>
        <v>5.7839999999999998</v>
      </c>
      <c r="C503" s="2">
        <f>RSI!I503</f>
        <v>45.091761427386814</v>
      </c>
      <c r="D503" s="2">
        <f>MACD!E503</f>
        <v>-1.8026561708298416E-2</v>
      </c>
      <c r="E503" s="2">
        <f>MACD!F503</f>
        <v>-3.4505405378630026E-2</v>
      </c>
      <c r="F503" s="2">
        <f>'Moving Avg'!D503</f>
        <v>5.8027999999999995</v>
      </c>
      <c r="G503" s="2">
        <f>'Moving Avg'!F503</f>
        <v>5.8178999999999998</v>
      </c>
      <c r="H503" s="2">
        <f>'Moving Avg'!G503</f>
        <v>5.8131599999999999</v>
      </c>
      <c r="I503" s="2">
        <f>'Moving Avg'!H503</f>
        <v>5.5456149999999989</v>
      </c>
      <c r="J503" s="5" t="str">
        <f>OBV!F503</f>
        <v>NEUTRAL</v>
      </c>
      <c r="K503" s="5" t="str">
        <f>OBV!G503</f>
        <v>NEUTRAL</v>
      </c>
      <c r="L503" s="5" t="str">
        <f>OBV!H503</f>
        <v>NEUTRAL</v>
      </c>
    </row>
    <row r="504" spans="1:12" ht="13.5" x14ac:dyDescent="0.25">
      <c r="A504" s="3">
        <f>RSI!A504</f>
        <v>45651</v>
      </c>
      <c r="B504" s="2">
        <f>RSI!B504</f>
        <v>5.7939999999999996</v>
      </c>
      <c r="C504" s="2">
        <f>RSI!I504</f>
        <v>46.499852570934834</v>
      </c>
      <c r="D504" s="2">
        <f>MACD!E504</f>
        <v>-2.4910189492288737E-4</v>
      </c>
      <c r="E504" s="2">
        <f>MACD!F504</f>
        <v>-2.76541446818886E-2</v>
      </c>
      <c r="F504" s="2">
        <f>'Moving Avg'!D504</f>
        <v>5.8027999999999995</v>
      </c>
      <c r="G504" s="2">
        <f>'Moving Avg'!F504</f>
        <v>5.8183999999999996</v>
      </c>
      <c r="H504" s="2">
        <f>'Moving Avg'!G504</f>
        <v>5.8148599999999995</v>
      </c>
      <c r="I504" s="2">
        <f>'Moving Avg'!H504</f>
        <v>5.5477549999999987</v>
      </c>
      <c r="J504" s="5" t="str">
        <f>OBV!F504</f>
        <v>NEUTRAL</v>
      </c>
      <c r="K504" s="5" t="str">
        <f>OBV!G504</f>
        <v>NEUTRAL</v>
      </c>
      <c r="L504" s="5" t="str">
        <f>OBV!H504</f>
        <v>NEUTRAL</v>
      </c>
    </row>
    <row r="505" spans="1:12" ht="13.5" x14ac:dyDescent="0.25">
      <c r="A505" s="3">
        <f>RSI!A505</f>
        <v>45652</v>
      </c>
      <c r="B505" s="2">
        <f>RSI!B505</f>
        <v>5.7839999999999998</v>
      </c>
      <c r="C505" s="2">
        <f>RSI!I505</f>
        <v>45.250174366599147</v>
      </c>
      <c r="D505" s="2">
        <f>MACD!E505</f>
        <v>1.5699040145697118E-2</v>
      </c>
      <c r="E505" s="2">
        <f>MACD!F505</f>
        <v>-1.8983507716371455E-2</v>
      </c>
      <c r="F505" s="2">
        <f>'Moving Avg'!D505</f>
        <v>5.7972000000000001</v>
      </c>
      <c r="G505" s="2">
        <f>'Moving Avg'!F505</f>
        <v>5.8212000000000002</v>
      </c>
      <c r="H505" s="2">
        <f>'Moving Avg'!G505</f>
        <v>5.8150399999999998</v>
      </c>
      <c r="I505" s="2">
        <f>'Moving Avg'!H505</f>
        <v>5.5500649999999982</v>
      </c>
      <c r="J505" s="5" t="str">
        <f>OBV!F505</f>
        <v>BEARISH</v>
      </c>
      <c r="K505" s="5" t="str">
        <f>OBV!G505</f>
        <v>STRONG</v>
      </c>
      <c r="L505" s="5" t="str">
        <f>OBV!H505</f>
        <v>CONFIRMED BEARISH</v>
      </c>
    </row>
    <row r="506" spans="1:12" ht="13.5" x14ac:dyDescent="0.25">
      <c r="A506" s="3">
        <f>RSI!A506</f>
        <v>45653</v>
      </c>
      <c r="B506" s="2">
        <f>RSI!B506</f>
        <v>5.7750000000000004</v>
      </c>
      <c r="C506" s="2">
        <f>RSI!I506</f>
        <v>44.101422035760727</v>
      </c>
      <c r="D506" s="2">
        <f>MACD!E506</f>
        <v>3.4379789150220219E-2</v>
      </c>
      <c r="E506" s="2">
        <f>MACD!F506</f>
        <v>-8.3108483430531215E-3</v>
      </c>
      <c r="F506" s="2">
        <f>'Moving Avg'!D506</f>
        <v>5.7897999999999996</v>
      </c>
      <c r="G506" s="2">
        <f>'Moving Avg'!F506</f>
        <v>5.8282499999999997</v>
      </c>
      <c r="H506" s="2">
        <f>'Moving Avg'!G506</f>
        <v>5.8150399999999989</v>
      </c>
      <c r="I506" s="2">
        <f>'Moving Avg'!H506</f>
        <v>5.5523749999999987</v>
      </c>
      <c r="J506" s="5" t="str">
        <f>OBV!F506</f>
        <v>BEARISH</v>
      </c>
      <c r="K506" s="5" t="str">
        <f>OBV!G506</f>
        <v>STRONG</v>
      </c>
      <c r="L506" s="5" t="str">
        <f>OBV!H506</f>
        <v>CONFIRMED BEARISH</v>
      </c>
    </row>
    <row r="507" spans="1:12" ht="13.5" x14ac:dyDescent="0.25">
      <c r="A507" s="3">
        <f>RSI!A507</f>
        <v>45656</v>
      </c>
      <c r="B507" s="2">
        <f>RSI!B507</f>
        <v>5.7750000000000004</v>
      </c>
      <c r="C507" s="2">
        <f>RSI!I507</f>
        <v>44.101422035760727</v>
      </c>
      <c r="D507" s="2">
        <f>MACD!E507</f>
        <v>4.4743569263163252E-2</v>
      </c>
      <c r="E507" s="2">
        <f>MACD!F507</f>
        <v>2.3000351781901534E-3</v>
      </c>
      <c r="F507" s="2">
        <f>'Moving Avg'!D507</f>
        <v>5.7824</v>
      </c>
      <c r="G507" s="2">
        <f>'Moving Avg'!F507</f>
        <v>5.8272999999999993</v>
      </c>
      <c r="H507" s="2">
        <f>'Moving Avg'!G507</f>
        <v>5.8135399999999997</v>
      </c>
      <c r="I507" s="2">
        <f>'Moving Avg'!H507</f>
        <v>5.5547699999999995</v>
      </c>
      <c r="J507" s="5" t="str">
        <f>OBV!F507</f>
        <v>BEARISH</v>
      </c>
      <c r="K507" s="5" t="str">
        <f>OBV!G507</f>
        <v>STRONG</v>
      </c>
      <c r="L507" s="5" t="str">
        <f>OBV!H507</f>
        <v>CONFIRMED BEARISH</v>
      </c>
    </row>
    <row r="508" spans="1:12" ht="13.5" x14ac:dyDescent="0.25">
      <c r="A508" s="3">
        <f>RSI!A508</f>
        <v>45657</v>
      </c>
      <c r="B508" s="2">
        <f>RSI!B508</f>
        <v>5.7750000000000004</v>
      </c>
      <c r="C508" s="2">
        <f>RSI!I508</f>
        <v>44.101422035760727</v>
      </c>
      <c r="D508" s="2">
        <f>MACD!E508</f>
        <v>5.2205293633552863E-2</v>
      </c>
      <c r="E508" s="2">
        <f>MACD!F508</f>
        <v>1.2281086869262697E-2</v>
      </c>
      <c r="F508" s="2">
        <f>'Moving Avg'!D508</f>
        <v>5.7805999999999997</v>
      </c>
      <c r="G508" s="2">
        <f>'Moving Avg'!F508</f>
        <v>5.8268500000000012</v>
      </c>
      <c r="H508" s="2">
        <f>'Moving Avg'!G508</f>
        <v>5.8127999999999993</v>
      </c>
      <c r="I508" s="2">
        <f>'Moving Avg'!H508</f>
        <v>5.5568550000000005</v>
      </c>
      <c r="J508" s="5" t="str">
        <f>OBV!F508</f>
        <v>BEARISH</v>
      </c>
      <c r="K508" s="5" t="str">
        <f>OBV!G508</f>
        <v>STRONG</v>
      </c>
      <c r="L508" s="5" t="str">
        <f>OBV!H508</f>
        <v>CONFIRMED BEARISH</v>
      </c>
    </row>
    <row r="509" spans="1:12" ht="13.5" x14ac:dyDescent="0.25">
      <c r="A509" s="3">
        <f>RSI!A509</f>
        <v>45659</v>
      </c>
      <c r="B509" s="2">
        <f>RSI!B509</f>
        <v>5.7750000000000004</v>
      </c>
      <c r="C509" s="2">
        <f>RSI!I509</f>
        <v>44.101422035760727</v>
      </c>
      <c r="D509" s="2">
        <f>MACD!E509</f>
        <v>4.4425102828205887E-2</v>
      </c>
      <c r="E509" s="2">
        <f>MACD!F509</f>
        <v>1.8709890061051337E-2</v>
      </c>
      <c r="F509" s="2">
        <f>'Moving Avg'!D509</f>
        <v>5.7767999999999997</v>
      </c>
      <c r="G509" s="2">
        <f>'Moving Avg'!F509</f>
        <v>5.8264000000000014</v>
      </c>
      <c r="H509" s="2">
        <f>'Moving Avg'!G509</f>
        <v>5.8118599999999985</v>
      </c>
      <c r="I509" s="2">
        <f>'Moving Avg'!H509</f>
        <v>5.5589400000000015</v>
      </c>
      <c r="J509" s="5" t="str">
        <f>OBV!F509</f>
        <v>BEARISH</v>
      </c>
      <c r="K509" s="5" t="str">
        <f>OBV!G509</f>
        <v>STRONG</v>
      </c>
      <c r="L509" s="5" t="str">
        <f>OBV!H509</f>
        <v>CONFIRMED BEARISH</v>
      </c>
    </row>
    <row r="510" spans="1:12" ht="13.5" x14ac:dyDescent="0.25">
      <c r="A510" s="3">
        <f>RSI!A510</f>
        <v>45660</v>
      </c>
      <c r="B510" s="2">
        <f>RSI!B510</f>
        <v>5.7750000000000004</v>
      </c>
      <c r="C510" s="2">
        <f>RSI!I510</f>
        <v>44.101422035760727</v>
      </c>
      <c r="D510" s="2">
        <f>MACD!E510</f>
        <v>4.0808997749050668E-2</v>
      </c>
      <c r="E510" s="2">
        <f>MACD!F510</f>
        <v>2.3129711598651202E-2</v>
      </c>
      <c r="F510" s="2">
        <f>'Moving Avg'!D510</f>
        <v>5.7750000000000004</v>
      </c>
      <c r="G510" s="2">
        <f>'Moving Avg'!F510</f>
        <v>5.8259500000000006</v>
      </c>
      <c r="H510" s="2">
        <f>'Moving Avg'!G510</f>
        <v>5.8118599999999985</v>
      </c>
      <c r="I510" s="2">
        <f>'Moving Avg'!H510</f>
        <v>5.5610250000000008</v>
      </c>
      <c r="J510" s="5" t="str">
        <f>OBV!F510</f>
        <v>BEARISH</v>
      </c>
      <c r="K510" s="5" t="str">
        <f>OBV!G510</f>
        <v>STRONG</v>
      </c>
      <c r="L510" s="5" t="str">
        <f>OBV!H510</f>
        <v>CONFIRMED BEARISH</v>
      </c>
    </row>
    <row r="511" spans="1:12" ht="13.5" x14ac:dyDescent="0.25">
      <c r="A511" s="3">
        <f>RSI!A511</f>
        <v>45663</v>
      </c>
      <c r="B511" s="2">
        <f>RSI!B511</f>
        <v>5.718</v>
      </c>
      <c r="C511" s="2">
        <f>RSI!I511</f>
        <v>35.770595653019498</v>
      </c>
      <c r="D511" s="2">
        <f>MACD!E511</f>
        <v>4.2154681829495999E-2</v>
      </c>
      <c r="E511" s="2">
        <f>MACD!F511</f>
        <v>2.6934705644820162E-2</v>
      </c>
      <c r="F511" s="2">
        <f>'Moving Avg'!D511</f>
        <v>5.7636000000000003</v>
      </c>
      <c r="G511" s="2">
        <f>'Moving Avg'!F511</f>
        <v>5.8226500000000012</v>
      </c>
      <c r="H511" s="2">
        <f>'Moving Avg'!G511</f>
        <v>5.8088399999999982</v>
      </c>
      <c r="I511" s="2">
        <f>'Moving Avg'!H511</f>
        <v>5.562825000000001</v>
      </c>
      <c r="J511" s="5" t="str">
        <f>OBV!F511</f>
        <v>NEUTRAL</v>
      </c>
      <c r="K511" s="5" t="str">
        <f>OBV!G511</f>
        <v>NEUTRAL</v>
      </c>
      <c r="L511" s="5" t="str">
        <f>OBV!H511</f>
        <v>NEUTRAL</v>
      </c>
    </row>
    <row r="512" spans="1:12" ht="13.5" x14ac:dyDescent="0.25">
      <c r="A512" s="3">
        <f>RSI!A512</f>
        <v>45664</v>
      </c>
      <c r="B512" s="2">
        <f>RSI!B512</f>
        <v>5.7</v>
      </c>
      <c r="C512" s="2">
        <f>RSI!I512</f>
        <v>33.611341939135656</v>
      </c>
      <c r="D512" s="2">
        <f>MACD!E512</f>
        <v>4.5133155888768428E-2</v>
      </c>
      <c r="E512" s="2">
        <f>MACD!F512</f>
        <v>3.057439569360982E-2</v>
      </c>
      <c r="F512" s="2">
        <f>'Moving Avg'!D512</f>
        <v>5.7486000000000006</v>
      </c>
      <c r="G512" s="2">
        <f>'Moving Avg'!F512</f>
        <v>5.8165500000000012</v>
      </c>
      <c r="H512" s="2">
        <f>'Moving Avg'!G512</f>
        <v>5.8054599999999992</v>
      </c>
      <c r="I512" s="2">
        <f>'Moving Avg'!H512</f>
        <v>5.564535000000002</v>
      </c>
      <c r="J512" s="5" t="str">
        <f>OBV!F512</f>
        <v>BEARISH</v>
      </c>
      <c r="K512" s="5" t="str">
        <f>OBV!G512</f>
        <v>STRONG</v>
      </c>
      <c r="L512" s="5" t="str">
        <f>OBV!H512</f>
        <v>CONFIRMED BEARISH</v>
      </c>
    </row>
    <row r="513" spans="1:12" ht="13.5" x14ac:dyDescent="0.25">
      <c r="A513" s="3">
        <f>RSI!A513</f>
        <v>45665</v>
      </c>
      <c r="B513" s="2">
        <f>RSI!B513</f>
        <v>5.8120000000000003</v>
      </c>
      <c r="C513" s="2">
        <f>RSI!I513</f>
        <v>52.73112531283828</v>
      </c>
      <c r="D513" s="2">
        <f>MACD!E513</f>
        <v>3.5624744899436678E-2</v>
      </c>
      <c r="E513" s="2">
        <f>MACD!F513</f>
        <v>3.1584465534775195E-2</v>
      </c>
      <c r="F513" s="2">
        <f>'Moving Avg'!D513</f>
        <v>5.7560000000000002</v>
      </c>
      <c r="G513" s="2">
        <f>'Moving Avg'!F513</f>
        <v>5.8113500000000018</v>
      </c>
      <c r="H513" s="2">
        <f>'Moving Avg'!G513</f>
        <v>5.8043200000000006</v>
      </c>
      <c r="I513" s="2">
        <f>'Moving Avg'!H513</f>
        <v>5.5668050000000013</v>
      </c>
      <c r="J513" s="5" t="str">
        <f>OBV!F513</f>
        <v>BULLISH</v>
      </c>
      <c r="K513" s="5" t="str">
        <f>OBV!G513</f>
        <v>NEUTRAL</v>
      </c>
      <c r="L513" s="5" t="str">
        <f>OBV!H513</f>
        <v>CONFIRMED BULLISH</v>
      </c>
    </row>
    <row r="514" spans="1:12" ht="13.5" x14ac:dyDescent="0.25">
      <c r="A514" s="3">
        <f>RSI!A514</f>
        <v>45666</v>
      </c>
      <c r="B514" s="2">
        <f>RSI!B514</f>
        <v>5.8120000000000003</v>
      </c>
      <c r="C514" s="2">
        <f>RSI!I514</f>
        <v>52.73112531283828</v>
      </c>
      <c r="D514" s="2">
        <f>MACD!E514</f>
        <v>2.8988528370478939E-2</v>
      </c>
      <c r="E514" s="2">
        <f>MACD!F514</f>
        <v>3.1065278101915943E-2</v>
      </c>
      <c r="F514" s="2">
        <f>'Moving Avg'!D514</f>
        <v>5.7634000000000007</v>
      </c>
      <c r="G514" s="2">
        <f>'Moving Avg'!F514</f>
        <v>5.8066500000000012</v>
      </c>
      <c r="H514" s="2">
        <f>'Moving Avg'!G514</f>
        <v>5.8031800000000011</v>
      </c>
      <c r="I514" s="2">
        <f>'Moving Avg'!H514</f>
        <v>5.5693000000000019</v>
      </c>
      <c r="J514" s="5" t="str">
        <f>OBV!F514</f>
        <v>BULLISH</v>
      </c>
      <c r="K514" s="5" t="str">
        <f>OBV!G514</f>
        <v>NEUTRAL</v>
      </c>
      <c r="L514" s="5" t="str">
        <f>OBV!H514</f>
        <v>CONFIRMED BULLISH</v>
      </c>
    </row>
    <row r="515" spans="1:12" ht="13.5" x14ac:dyDescent="0.25">
      <c r="A515" s="3">
        <f>RSI!A515</f>
        <v>45667</v>
      </c>
      <c r="B515" s="2">
        <f>RSI!B515</f>
        <v>5.8029999999999999</v>
      </c>
      <c r="C515" s="2">
        <f>RSI!I515</f>
        <v>51.352814442574577</v>
      </c>
      <c r="D515" s="2">
        <f>MACD!E515</f>
        <v>2.23819367495528E-2</v>
      </c>
      <c r="E515" s="2">
        <f>MACD!F515</f>
        <v>2.9328609831443316E-2</v>
      </c>
      <c r="F515" s="2">
        <f>'Moving Avg'!D515</f>
        <v>5.7690000000000001</v>
      </c>
      <c r="G515" s="2">
        <f>'Moving Avg'!F515</f>
        <v>5.8015000000000008</v>
      </c>
      <c r="H515" s="2">
        <f>'Moving Avg'!G515</f>
        <v>5.8028000000000013</v>
      </c>
      <c r="I515" s="2">
        <f>'Moving Avg'!H515</f>
        <v>5.5716150000000013</v>
      </c>
      <c r="J515" s="5" t="str">
        <f>OBV!F515</f>
        <v>BULLISH</v>
      </c>
      <c r="K515" s="5" t="str">
        <f>OBV!G515</f>
        <v>NEUTRAL</v>
      </c>
      <c r="L515" s="5" t="str">
        <f>OBV!H515</f>
        <v>CONFIRMED BULLISH</v>
      </c>
    </row>
    <row r="516" spans="1:12" ht="13.5" x14ac:dyDescent="0.25">
      <c r="A516" s="3">
        <f>RSI!A516</f>
        <v>45670</v>
      </c>
      <c r="B516" s="2">
        <f>RSI!B516</f>
        <v>5.8029999999999999</v>
      </c>
      <c r="C516" s="2">
        <f>RSI!I516</f>
        <v>51.352814442574577</v>
      </c>
      <c r="D516" s="2">
        <f>MACD!E516</f>
        <v>1.5349627795841592E-2</v>
      </c>
      <c r="E516" s="2">
        <f>MACD!F516</f>
        <v>2.6532813424322975E-2</v>
      </c>
      <c r="F516" s="2">
        <f>'Moving Avg'!D516</f>
        <v>5.7860000000000005</v>
      </c>
      <c r="G516" s="2">
        <f>'Moving Avg'!F516</f>
        <v>5.79495</v>
      </c>
      <c r="H516" s="2">
        <f>'Moving Avg'!G516</f>
        <v>5.8024200000000006</v>
      </c>
      <c r="I516" s="2">
        <f>'Moving Avg'!H516</f>
        <v>5.5739300000000034</v>
      </c>
      <c r="J516" s="5" t="str">
        <f>OBV!F516</f>
        <v>BULLISH</v>
      </c>
      <c r="K516" s="5" t="str">
        <f>OBV!G516</f>
        <v>NEUTRAL</v>
      </c>
      <c r="L516" s="5" t="str">
        <f>OBV!H516</f>
        <v>CONFIRMED BULLISH</v>
      </c>
    </row>
    <row r="517" spans="1:12" ht="13.5" x14ac:dyDescent="0.25">
      <c r="A517" s="3">
        <f>RSI!A517</f>
        <v>45671</v>
      </c>
      <c r="B517" s="2">
        <f>RSI!B517</f>
        <v>5.8029999999999999</v>
      </c>
      <c r="C517" s="2">
        <f>RSI!I517</f>
        <v>51.352814442574577</v>
      </c>
      <c r="D517" s="2">
        <f>MACD!E517</f>
        <v>9.3459711763150821E-3</v>
      </c>
      <c r="E517" s="2">
        <f>MACD!F517</f>
        <v>2.3095444974721397E-2</v>
      </c>
      <c r="F517" s="2">
        <f>'Moving Avg'!D517</f>
        <v>5.8066000000000004</v>
      </c>
      <c r="G517" s="2">
        <f>'Moving Avg'!F517</f>
        <v>5.7902499999999995</v>
      </c>
      <c r="H517" s="2">
        <f>'Moving Avg'!G517</f>
        <v>5.8020400000000016</v>
      </c>
      <c r="I517" s="2">
        <f>'Moving Avg'!H517</f>
        <v>5.5762450000000046</v>
      </c>
      <c r="J517" s="5" t="str">
        <f>OBV!F517</f>
        <v>BULLISH</v>
      </c>
      <c r="K517" s="5" t="str">
        <f>OBV!G517</f>
        <v>WEAK</v>
      </c>
      <c r="L517" s="5" t="str">
        <f>OBV!H517</f>
        <v>CONFIRMED BULLISH</v>
      </c>
    </row>
    <row r="518" spans="1:12" ht="13.5" x14ac:dyDescent="0.25">
      <c r="A518" s="3">
        <f>RSI!A518</f>
        <v>45672</v>
      </c>
      <c r="B518" s="2">
        <f>RSI!B518</f>
        <v>5.7939999999999996</v>
      </c>
      <c r="C518" s="2">
        <f>RSI!I518</f>
        <v>49.729334819400158</v>
      </c>
      <c r="D518" s="2">
        <f>MACD!E518</f>
        <v>4.883323156158248E-3</v>
      </c>
      <c r="E518" s="2">
        <f>MACD!F518</f>
        <v>1.9453020611008766E-2</v>
      </c>
      <c r="F518" s="2">
        <f>'Moving Avg'!D518</f>
        <v>5.8029999999999999</v>
      </c>
      <c r="G518" s="2">
        <f>'Moving Avg'!F518</f>
        <v>5.7855999999999996</v>
      </c>
      <c r="H518" s="2">
        <f>'Moving Avg'!G518</f>
        <v>5.8024200000000006</v>
      </c>
      <c r="I518" s="2">
        <f>'Moving Avg'!H518</f>
        <v>5.5785150000000057</v>
      </c>
      <c r="J518" s="5" t="str">
        <f>OBV!F518</f>
        <v>BEARISH</v>
      </c>
      <c r="K518" s="5" t="str">
        <f>OBV!G518</f>
        <v>STRONG</v>
      </c>
      <c r="L518" s="5" t="str">
        <f>OBV!H518</f>
        <v>CONFIRMED BEARISH</v>
      </c>
    </row>
    <row r="519" spans="1:12" ht="13.5" x14ac:dyDescent="0.25">
      <c r="A519" s="3">
        <f>RSI!A519</f>
        <v>45673</v>
      </c>
      <c r="B519" s="2">
        <f>RSI!B519</f>
        <v>5.7939999999999996</v>
      </c>
      <c r="C519" s="2">
        <f>RSI!I519</f>
        <v>49.729334819400158</v>
      </c>
      <c r="D519" s="2">
        <f>MACD!E519</f>
        <v>1.1147718793260708E-3</v>
      </c>
      <c r="E519" s="2">
        <f>MACD!F519</f>
        <v>1.5785370864672226E-2</v>
      </c>
      <c r="F519" s="2">
        <f>'Moving Avg'!D519</f>
        <v>5.7994000000000003</v>
      </c>
      <c r="G519" s="2">
        <f>'Moving Avg'!F519</f>
        <v>5.7855999999999987</v>
      </c>
      <c r="H519" s="2">
        <f>'Moving Avg'!G519</f>
        <v>5.80206</v>
      </c>
      <c r="I519" s="2">
        <f>'Moving Avg'!H519</f>
        <v>5.5808300000000068</v>
      </c>
      <c r="J519" s="5" t="str">
        <f>OBV!F519</f>
        <v>BEARISH</v>
      </c>
      <c r="K519" s="5" t="str">
        <f>OBV!G519</f>
        <v>STRONG</v>
      </c>
      <c r="L519" s="5" t="str">
        <f>OBV!H519</f>
        <v>CONFIRMED BEARISH</v>
      </c>
    </row>
    <row r="520" spans="1:12" ht="13.5" x14ac:dyDescent="0.25">
      <c r="A520" s="3">
        <f>RSI!A520</f>
        <v>45674</v>
      </c>
      <c r="B520" s="2">
        <f>RSI!B520</f>
        <v>5.7839999999999998</v>
      </c>
      <c r="C520" s="2">
        <f>RSI!I520</f>
        <v>47.782718744370129</v>
      </c>
      <c r="D520" s="2">
        <f>MACD!E520</f>
        <v>-1.326284213682527E-3</v>
      </c>
      <c r="E520" s="2">
        <f>MACD!F520</f>
        <v>1.2363039849001277E-2</v>
      </c>
      <c r="F520" s="2">
        <f>'Moving Avg'!D520</f>
        <v>5.7955999999999994</v>
      </c>
      <c r="G520" s="2">
        <f>'Moving Avg'!F520</f>
        <v>5.7841999999999993</v>
      </c>
      <c r="H520" s="2">
        <f>'Moving Avg'!G520</f>
        <v>5.8018600000000013</v>
      </c>
      <c r="I520" s="2">
        <f>'Moving Avg'!H520</f>
        <v>5.5831400000000073</v>
      </c>
      <c r="J520" s="5" t="str">
        <f>OBV!F520</f>
        <v>BEARISH</v>
      </c>
      <c r="K520" s="5" t="str">
        <f>OBV!G520</f>
        <v>STRONG</v>
      </c>
      <c r="L520" s="5" t="str">
        <f>OBV!H520</f>
        <v>CONFIRMED BEARISH</v>
      </c>
    </row>
    <row r="521" spans="1:12" ht="13.5" x14ac:dyDescent="0.25">
      <c r="A521" s="3">
        <f>RSI!A521</f>
        <v>45677</v>
      </c>
      <c r="B521" s="2">
        <f>RSI!B521</f>
        <v>5.7839999999999998</v>
      </c>
      <c r="C521" s="2">
        <f>RSI!I521</f>
        <v>47.782718744370129</v>
      </c>
      <c r="D521" s="2">
        <f>MACD!E521</f>
        <v>-1.2095473070442786E-2</v>
      </c>
      <c r="E521" s="2">
        <f>MACD!F521</f>
        <v>7.4713372651124647E-3</v>
      </c>
      <c r="F521" s="2">
        <f>'Moving Avg'!D521</f>
        <v>5.7917999999999994</v>
      </c>
      <c r="G521" s="2">
        <f>'Moving Avg'!F521</f>
        <v>5.7827999999999999</v>
      </c>
      <c r="H521" s="2">
        <f>'Moving Avg'!G521</f>
        <v>5.8031800000000011</v>
      </c>
      <c r="I521" s="2">
        <f>'Moving Avg'!H521</f>
        <v>5.5854050000000077</v>
      </c>
      <c r="J521" s="5" t="str">
        <f>OBV!F521</f>
        <v>BEARISH</v>
      </c>
      <c r="K521" s="5" t="str">
        <f>OBV!G521</f>
        <v>STRONG</v>
      </c>
      <c r="L521" s="5" t="str">
        <f>OBV!H521</f>
        <v>CONFIRMED BEARISH</v>
      </c>
    </row>
    <row r="522" spans="1:12" ht="13.5" x14ac:dyDescent="0.25">
      <c r="A522" s="3">
        <f>RSI!A522</f>
        <v>45678</v>
      </c>
      <c r="B522" s="2">
        <f>RSI!B522</f>
        <v>5.7560000000000002</v>
      </c>
      <c r="C522" s="2">
        <f>RSI!I522</f>
        <v>42.393846625587841</v>
      </c>
      <c r="D522" s="2">
        <f>MACD!E522</f>
        <v>-2.1842325045733801E-2</v>
      </c>
      <c r="E522" s="2">
        <f>MACD!F522</f>
        <v>1.6086048029432115E-3</v>
      </c>
      <c r="F522" s="2">
        <f>'Moving Avg'!D522</f>
        <v>5.7824</v>
      </c>
      <c r="G522" s="2">
        <f>'Moving Avg'!F522</f>
        <v>5.7799999999999994</v>
      </c>
      <c r="H522" s="2">
        <f>'Moving Avg'!G522</f>
        <v>5.8022400000000012</v>
      </c>
      <c r="I522" s="2">
        <f>'Moving Avg'!H522</f>
        <v>5.5875300000000072</v>
      </c>
      <c r="J522" s="5" t="str">
        <f>OBV!F522</f>
        <v>BEARISH</v>
      </c>
      <c r="K522" s="5" t="str">
        <f>OBV!G522</f>
        <v>STRONG</v>
      </c>
      <c r="L522" s="5" t="str">
        <f>OBV!H522</f>
        <v>CONFIRMED BEARISH</v>
      </c>
    </row>
    <row r="523" spans="1:12" ht="13.5" x14ac:dyDescent="0.25">
      <c r="A523" s="3">
        <f>RSI!A523</f>
        <v>45679</v>
      </c>
      <c r="B523" s="2">
        <f>RSI!B523</f>
        <v>5.7560000000000002</v>
      </c>
      <c r="C523" s="2">
        <f>RSI!I523</f>
        <v>42.393846625587841</v>
      </c>
      <c r="D523" s="2">
        <f>MACD!E523</f>
        <v>-1.2637239555767898E-2</v>
      </c>
      <c r="E523" s="2">
        <f>MACD!F523</f>
        <v>-1.2405640687990107E-3</v>
      </c>
      <c r="F523" s="2">
        <f>'Moving Avg'!D523</f>
        <v>5.7747999999999999</v>
      </c>
      <c r="G523" s="2">
        <f>'Moving Avg'!F523</f>
        <v>5.7785999999999991</v>
      </c>
      <c r="H523" s="2">
        <f>'Moving Avg'!G523</f>
        <v>5.7999800000000006</v>
      </c>
      <c r="I523" s="2">
        <f>'Moving Avg'!H523</f>
        <v>5.5895200000000065</v>
      </c>
      <c r="J523" s="5" t="str">
        <f>OBV!F523</f>
        <v>BEARISH</v>
      </c>
      <c r="K523" s="5" t="str">
        <f>OBV!G523</f>
        <v>STRONG</v>
      </c>
      <c r="L523" s="5" t="str">
        <f>OBV!H523</f>
        <v>CONFIRMED BEARISH</v>
      </c>
    </row>
    <row r="524" spans="1:12" ht="13.5" x14ac:dyDescent="0.25">
      <c r="A524" s="3">
        <f>RSI!A524</f>
        <v>45680</v>
      </c>
      <c r="B524" s="2">
        <f>RSI!B524</f>
        <v>5.7279999999999998</v>
      </c>
      <c r="C524" s="2">
        <f>RSI!I524</f>
        <v>37.490250132567908</v>
      </c>
      <c r="D524" s="2">
        <f>MACD!E524</f>
        <v>-2.5690131513131931E-3</v>
      </c>
      <c r="E524" s="2">
        <f>MACD!F524</f>
        <v>-1.5062538853018474E-3</v>
      </c>
      <c r="F524" s="2">
        <f>'Moving Avg'!D524</f>
        <v>5.7615999999999996</v>
      </c>
      <c r="G524" s="2">
        <f>'Moving Avg'!F524</f>
        <v>5.7752999999999997</v>
      </c>
      <c r="H524" s="2">
        <f>'Moving Avg'!G524</f>
        <v>5.7977200000000009</v>
      </c>
      <c r="I524" s="2">
        <f>'Moving Avg'!H524</f>
        <v>5.5913700000000066</v>
      </c>
      <c r="J524" s="5" t="str">
        <f>OBV!F524</f>
        <v>BEARISH</v>
      </c>
      <c r="K524" s="5" t="str">
        <f>OBV!G524</f>
        <v>STRONG</v>
      </c>
      <c r="L524" s="5" t="str">
        <f>OBV!H524</f>
        <v>CONFIRMED BEARISH</v>
      </c>
    </row>
    <row r="525" spans="1:12" ht="13.5" x14ac:dyDescent="0.25">
      <c r="A525" s="3">
        <f>RSI!A525</f>
        <v>45681</v>
      </c>
      <c r="B525" s="2">
        <f>RSI!B525</f>
        <v>5.7279999999999998</v>
      </c>
      <c r="C525" s="2">
        <f>RSI!I525</f>
        <v>37.490250132567908</v>
      </c>
      <c r="D525" s="2">
        <f>MACD!E525</f>
        <v>4.9211244949267652E-3</v>
      </c>
      <c r="E525" s="2">
        <f>MACD!F525</f>
        <v>-2.2077820925612483E-4</v>
      </c>
      <c r="F525" s="2">
        <f>'Moving Avg'!D525</f>
        <v>5.7504000000000008</v>
      </c>
      <c r="G525" s="2">
        <f>'Moving Avg'!F525</f>
        <v>5.7724999999999991</v>
      </c>
      <c r="H525" s="2">
        <f>'Moving Avg'!G525</f>
        <v>5.7960400000000023</v>
      </c>
      <c r="I525" s="2">
        <f>'Moving Avg'!H525</f>
        <v>5.593400000000007</v>
      </c>
      <c r="J525" s="5" t="str">
        <f>OBV!F525</f>
        <v>BEARISH</v>
      </c>
      <c r="K525" s="5" t="str">
        <f>OBV!G525</f>
        <v>STRONG</v>
      </c>
      <c r="L525" s="5" t="str">
        <f>OBV!H525</f>
        <v>CONFIRMED BEARISH</v>
      </c>
    </row>
    <row r="526" spans="1:12" ht="13.5" x14ac:dyDescent="0.25">
      <c r="A526" s="3">
        <f>RSI!A526</f>
        <v>45684</v>
      </c>
      <c r="B526" s="2">
        <f>RSI!B526</f>
        <v>5.7560000000000002</v>
      </c>
      <c r="C526" s="2">
        <f>RSI!I526</f>
        <v>44.883913019420362</v>
      </c>
      <c r="D526" s="2">
        <f>MACD!E526</f>
        <v>9.5140115454581675E-3</v>
      </c>
      <c r="E526" s="2">
        <f>MACD!F526</f>
        <v>1.7261797416867337E-3</v>
      </c>
      <c r="F526" s="2">
        <f>'Moving Avg'!D526</f>
        <v>5.7448000000000006</v>
      </c>
      <c r="G526" s="2">
        <f>'Moving Avg'!F526</f>
        <v>5.7715499999999995</v>
      </c>
      <c r="H526" s="2">
        <f>'Moving Avg'!G526</f>
        <v>5.7949200000000021</v>
      </c>
      <c r="I526" s="2">
        <f>'Moving Avg'!H526</f>
        <v>5.5955700000000057</v>
      </c>
      <c r="J526" s="5" t="str">
        <f>OBV!F526</f>
        <v>BULLISH</v>
      </c>
      <c r="K526" s="5" t="str">
        <f>OBV!G526</f>
        <v>NEUTRAL</v>
      </c>
      <c r="L526" s="5" t="str">
        <f>OBV!H526</f>
        <v>BULLISH DIVERGENCE</v>
      </c>
    </row>
    <row r="527" spans="1:12" ht="13.5" x14ac:dyDescent="0.25">
      <c r="A527" s="3">
        <f>RSI!A527</f>
        <v>45685</v>
      </c>
      <c r="B527" s="2">
        <f>RSI!B527</f>
        <v>5.7560000000000002</v>
      </c>
      <c r="C527" s="2">
        <f>RSI!I527</f>
        <v>44.883913019420355</v>
      </c>
      <c r="D527" s="2">
        <f>MACD!E527</f>
        <v>1.3539618077406779E-2</v>
      </c>
      <c r="E527" s="2">
        <f>MACD!F527</f>
        <v>4.0888674088307431E-3</v>
      </c>
      <c r="F527" s="2">
        <f>'Moving Avg'!D527</f>
        <v>5.7447999999999997</v>
      </c>
      <c r="G527" s="2">
        <f>'Moving Avg'!F527</f>
        <v>5.7706</v>
      </c>
      <c r="H527" s="2">
        <f>'Moving Avg'!G527</f>
        <v>5.7936000000000014</v>
      </c>
      <c r="I527" s="2">
        <f>'Moving Avg'!H527</f>
        <v>5.5977850000000053</v>
      </c>
      <c r="J527" s="5" t="str">
        <f>OBV!F527</f>
        <v>BULLISH</v>
      </c>
      <c r="K527" s="5" t="str">
        <f>OBV!G527</f>
        <v>WEAK</v>
      </c>
      <c r="L527" s="5" t="str">
        <f>OBV!H527</f>
        <v>NEUTRAL</v>
      </c>
    </row>
    <row r="528" spans="1:12" ht="13.5" x14ac:dyDescent="0.25">
      <c r="A528" s="3">
        <f>RSI!A528</f>
        <v>45686</v>
      </c>
      <c r="B528" s="2">
        <f>RSI!B528</f>
        <v>5.7560000000000002</v>
      </c>
      <c r="C528" s="2">
        <f>RSI!I528</f>
        <v>44.883913019420362</v>
      </c>
      <c r="D528" s="2">
        <f>MACD!E528</f>
        <v>1.569028281808027E-2</v>
      </c>
      <c r="E528" s="2">
        <f>MACD!F528</f>
        <v>6.4091504906806486E-3</v>
      </c>
      <c r="F528" s="2">
        <f>'Moving Avg'!D528</f>
        <v>5.7447999999999997</v>
      </c>
      <c r="G528" s="2">
        <f>'Moving Avg'!F528</f>
        <v>5.7696499999999995</v>
      </c>
      <c r="H528" s="2">
        <f>'Moving Avg'!G528</f>
        <v>5.7922800000000008</v>
      </c>
      <c r="I528" s="2">
        <f>'Moving Avg'!H528</f>
        <v>5.6000000000000059</v>
      </c>
      <c r="J528" s="5" t="str">
        <f>OBV!F528</f>
        <v>BULLISH</v>
      </c>
      <c r="K528" s="5" t="str">
        <f>OBV!G528</f>
        <v>WEAK</v>
      </c>
      <c r="L528" s="5" t="str">
        <f>OBV!H528</f>
        <v>NEUTRAL</v>
      </c>
    </row>
    <row r="529" spans="1:12" ht="13.5" x14ac:dyDescent="0.25">
      <c r="A529" s="3">
        <f>RSI!A529</f>
        <v>45687</v>
      </c>
      <c r="B529" s="2">
        <f>RSI!B529</f>
        <v>5.7469999999999999</v>
      </c>
      <c r="C529" s="2">
        <f>RSI!I529</f>
        <v>42.849244877698112</v>
      </c>
      <c r="D529" s="2">
        <f>MACD!E529</f>
        <v>1.8296185018686906E-2</v>
      </c>
      <c r="E529" s="2">
        <f>MACD!F529</f>
        <v>8.7865573962819001E-3</v>
      </c>
      <c r="F529" s="2">
        <f>'Moving Avg'!D529</f>
        <v>5.7486000000000006</v>
      </c>
      <c r="G529" s="2">
        <f>'Moving Avg'!F529</f>
        <v>5.7682499999999992</v>
      </c>
      <c r="H529" s="2">
        <f>'Moving Avg'!G529</f>
        <v>5.791339999999999</v>
      </c>
      <c r="I529" s="2">
        <f>'Moving Avg'!H529</f>
        <v>5.6021700000000063</v>
      </c>
      <c r="J529" s="5" t="str">
        <f>OBV!F529</f>
        <v>BULLISH</v>
      </c>
      <c r="K529" s="5" t="str">
        <f>OBV!G529</f>
        <v>NEUTRAL</v>
      </c>
      <c r="L529" s="5" t="str">
        <f>OBV!H529</f>
        <v>CONFIRMED BULLISH</v>
      </c>
    </row>
    <row r="530" spans="1:12" ht="13.5" x14ac:dyDescent="0.25">
      <c r="A530" s="3">
        <f>RSI!A530</f>
        <v>45688</v>
      </c>
      <c r="B530" s="2">
        <f>RSI!B530</f>
        <v>5.7469999999999999</v>
      </c>
      <c r="C530" s="2">
        <f>RSI!I530</f>
        <v>42.849244877698112</v>
      </c>
      <c r="D530" s="2">
        <f>MACD!E530</f>
        <v>1.9126493751143059E-2</v>
      </c>
      <c r="E530" s="2">
        <f>MACD!F530</f>
        <v>1.0854544667254133E-2</v>
      </c>
      <c r="F530" s="2">
        <f>'Moving Avg'!D530</f>
        <v>5.7523999999999997</v>
      </c>
      <c r="G530" s="2">
        <f>'Moving Avg'!F530</f>
        <v>5.7668499999999998</v>
      </c>
      <c r="H530" s="2">
        <f>'Moving Avg'!G530</f>
        <v>5.7904</v>
      </c>
      <c r="I530" s="2">
        <f>'Moving Avg'!H530</f>
        <v>5.6043400000000076</v>
      </c>
      <c r="J530" s="5" t="str">
        <f>OBV!F530</f>
        <v>BULLISH</v>
      </c>
      <c r="K530" s="5" t="str">
        <f>OBV!G530</f>
        <v>NEUTRAL</v>
      </c>
      <c r="L530" s="5" t="str">
        <f>OBV!H530</f>
        <v>CONFIRMED BULLISH</v>
      </c>
    </row>
    <row r="531" spans="1:12" ht="13.5" x14ac:dyDescent="0.25">
      <c r="A531" s="3">
        <f>RSI!A531</f>
        <v>45691</v>
      </c>
      <c r="B531" s="2">
        <f>RSI!B531</f>
        <v>5.8120000000000003</v>
      </c>
      <c r="C531" s="2">
        <f>RSI!I531</f>
        <v>58.577469773929053</v>
      </c>
      <c r="D531" s="2">
        <f>MACD!E531</f>
        <v>1.5165892401914682E-2</v>
      </c>
      <c r="E531" s="2">
        <f>MACD!F531</f>
        <v>1.1716814214186244E-2</v>
      </c>
      <c r="F531" s="2">
        <f>'Moving Avg'!D531</f>
        <v>5.7636000000000003</v>
      </c>
      <c r="G531" s="2">
        <f>'Moving Avg'!F531</f>
        <v>5.7715499999999995</v>
      </c>
      <c r="H531" s="2">
        <f>'Moving Avg'!G531</f>
        <v>5.7907600000000006</v>
      </c>
      <c r="I531" s="2">
        <f>'Moving Avg'!H531</f>
        <v>5.6072350000000064</v>
      </c>
      <c r="J531" s="5" t="str">
        <f>OBV!F531</f>
        <v>BEARISH</v>
      </c>
      <c r="K531" s="5" t="str">
        <f>OBV!G531</f>
        <v>NEUTRAL</v>
      </c>
      <c r="L531" s="5" t="str">
        <f>OBV!H531</f>
        <v>BEARISH DIVERGENCE</v>
      </c>
    </row>
    <row r="532" spans="1:12" ht="13.5" x14ac:dyDescent="0.25">
      <c r="A532" s="3">
        <f>RSI!A532</f>
        <v>45692</v>
      </c>
      <c r="B532" s="2">
        <f>RSI!B532</f>
        <v>5.8120000000000003</v>
      </c>
      <c r="C532" s="2">
        <f>RSI!I532</f>
        <v>58.577469773929039</v>
      </c>
      <c r="D532" s="2">
        <f>MACD!E532</f>
        <v>7.2632458473691486E-3</v>
      </c>
      <c r="E532" s="2">
        <f>MACD!F532</f>
        <v>1.0826100540822826E-2</v>
      </c>
      <c r="F532" s="2">
        <f>'Moving Avg'!D532</f>
        <v>5.7748000000000008</v>
      </c>
      <c r="G532" s="2">
        <f>'Moving Avg'!F532</f>
        <v>5.7771499999999989</v>
      </c>
      <c r="H532" s="2">
        <f>'Moving Avg'!G532</f>
        <v>5.791500000000001</v>
      </c>
      <c r="I532" s="2">
        <f>'Moving Avg'!H532</f>
        <v>5.6101300000000052</v>
      </c>
      <c r="J532" s="5" t="str">
        <f>OBV!F532</f>
        <v>BEARISH</v>
      </c>
      <c r="K532" s="5" t="str">
        <f>OBV!G532</f>
        <v>NEUTRAL</v>
      </c>
      <c r="L532" s="5" t="str">
        <f>OBV!H532</f>
        <v>BEARISH DIVERGENCE</v>
      </c>
    </row>
    <row r="533" spans="1:12" ht="13.5" x14ac:dyDescent="0.25">
      <c r="A533" s="3">
        <f>RSI!A533</f>
        <v>45693</v>
      </c>
      <c r="B533" s="2">
        <f>RSI!B533</f>
        <v>5.8120000000000003</v>
      </c>
      <c r="C533" s="2">
        <f>RSI!I533</f>
        <v>58.577469773929039</v>
      </c>
      <c r="D533" s="2">
        <f>MACD!E533</f>
        <v>3.5076497588981681E-4</v>
      </c>
      <c r="E533" s="2">
        <f>MACD!F533</f>
        <v>8.7310334278362239E-3</v>
      </c>
      <c r="F533" s="2">
        <f>'Moving Avg'!D533</f>
        <v>5.7860000000000005</v>
      </c>
      <c r="G533" s="2">
        <f>'Moving Avg'!F533</f>
        <v>5.7771499999999998</v>
      </c>
      <c r="H533" s="2">
        <f>'Moving Avg'!G533</f>
        <v>5.7916800000000022</v>
      </c>
      <c r="I533" s="2">
        <f>'Moving Avg'!H533</f>
        <v>5.6130250000000048</v>
      </c>
      <c r="J533" s="5" t="str">
        <f>OBV!F533</f>
        <v>BEARISH</v>
      </c>
      <c r="K533" s="5" t="str">
        <f>OBV!G533</f>
        <v>NEUTRAL</v>
      </c>
      <c r="L533" s="5" t="str">
        <f>OBV!H533</f>
        <v>BEARISH DIVERGENCE</v>
      </c>
    </row>
    <row r="534" spans="1:12" ht="13.5" x14ac:dyDescent="0.25">
      <c r="A534" s="3">
        <f>RSI!A534</f>
        <v>45694</v>
      </c>
      <c r="B534" s="2">
        <f>RSI!B534</f>
        <v>5.8120000000000003</v>
      </c>
      <c r="C534" s="2">
        <f>RSI!I534</f>
        <v>58.577469773929039</v>
      </c>
      <c r="D534" s="2">
        <f>MACD!E534</f>
        <v>-1.001486265818663E-2</v>
      </c>
      <c r="E534" s="2">
        <f>MACD!F534</f>
        <v>4.9818542106316536E-3</v>
      </c>
      <c r="F534" s="2">
        <f>'Moving Avg'!D534</f>
        <v>5.7990000000000013</v>
      </c>
      <c r="G534" s="2">
        <f>'Moving Avg'!F534</f>
        <v>5.7771499999999998</v>
      </c>
      <c r="H534" s="2">
        <f>'Moving Avg'!G534</f>
        <v>5.7922400000000014</v>
      </c>
      <c r="I534" s="2">
        <f>'Moving Avg'!H534</f>
        <v>5.6159200000000036</v>
      </c>
      <c r="J534" s="5" t="str">
        <f>OBV!F534</f>
        <v>BULLISH</v>
      </c>
      <c r="K534" s="5" t="str">
        <f>OBV!G534</f>
        <v>WEAK</v>
      </c>
      <c r="L534" s="5" t="str">
        <f>OBV!H534</f>
        <v>CONFIRMED BULLISH</v>
      </c>
    </row>
    <row r="535" spans="1:12" ht="13.5" x14ac:dyDescent="0.25">
      <c r="A535" s="3">
        <f>RSI!A535</f>
        <v>45695</v>
      </c>
      <c r="B535" s="2">
        <f>RSI!B535</f>
        <v>5.7469999999999999</v>
      </c>
      <c r="C535" s="2">
        <f>RSI!I535</f>
        <v>42.752098490887903</v>
      </c>
      <c r="D535" s="2">
        <f>MACD!E535</f>
        <v>-1.4164401543480309E-2</v>
      </c>
      <c r="E535" s="2">
        <f>MACD!F535</f>
        <v>1.1526030598092612E-3</v>
      </c>
      <c r="F535" s="2">
        <f>'Moving Avg'!D535</f>
        <v>5.7990000000000004</v>
      </c>
      <c r="G535" s="2">
        <f>'Moving Avg'!F535</f>
        <v>5.7743500000000001</v>
      </c>
      <c r="H535" s="2">
        <f>'Moving Avg'!G535</f>
        <v>5.792620000000003</v>
      </c>
      <c r="I535" s="2">
        <f>'Moving Avg'!H535</f>
        <v>5.6184900000000031</v>
      </c>
      <c r="J535" s="5" t="str">
        <f>OBV!F535</f>
        <v>BULLISH</v>
      </c>
      <c r="K535" s="5" t="str">
        <f>OBV!G535</f>
        <v>WEAK</v>
      </c>
      <c r="L535" s="5" t="str">
        <f>OBV!H535</f>
        <v>NEUTRAL</v>
      </c>
    </row>
    <row r="536" spans="1:12" ht="13.5" x14ac:dyDescent="0.25">
      <c r="A536" s="3">
        <f>RSI!A536</f>
        <v>45698</v>
      </c>
      <c r="B536" s="2">
        <f>RSI!B536</f>
        <v>5.681</v>
      </c>
      <c r="C536" s="2">
        <f>RSI!I536</f>
        <v>33.002523041689173</v>
      </c>
      <c r="D536" s="2">
        <f>MACD!E536</f>
        <v>-8.2739901112356407E-3</v>
      </c>
      <c r="E536" s="2">
        <f>MACD!F536</f>
        <v>-7.327155743997193E-4</v>
      </c>
      <c r="F536" s="2">
        <f>'Moving Avg'!D536</f>
        <v>5.7728000000000002</v>
      </c>
      <c r="G536" s="2">
        <f>'Moving Avg'!F536</f>
        <v>5.7682499999999992</v>
      </c>
      <c r="H536" s="2">
        <f>'Moving Avg'!G536</f>
        <v>5.793560000000002</v>
      </c>
      <c r="I536" s="2">
        <f>'Moving Avg'!H536</f>
        <v>5.6209500000000023</v>
      </c>
      <c r="J536" s="5" t="str">
        <f>OBV!F536</f>
        <v>BEARISH</v>
      </c>
      <c r="K536" s="5" t="str">
        <f>OBV!G536</f>
        <v>STRONG</v>
      </c>
      <c r="L536" s="5" t="str">
        <f>OBV!H536</f>
        <v>CONFIRMED BEARISH</v>
      </c>
    </row>
    <row r="537" spans="1:12" ht="13.5" x14ac:dyDescent="0.25">
      <c r="A537" s="3">
        <f>RSI!A537</f>
        <v>45699</v>
      </c>
      <c r="B537" s="2">
        <f>RSI!B537</f>
        <v>5.718</v>
      </c>
      <c r="C537" s="2">
        <f>RSI!I537</f>
        <v>41.110436010868106</v>
      </c>
      <c r="D537" s="2">
        <f>MACD!E537</f>
        <v>-5.4507447998046743E-3</v>
      </c>
      <c r="E537" s="2">
        <f>MACD!F537</f>
        <v>-1.6763214194807103E-3</v>
      </c>
      <c r="F537" s="2">
        <f>'Moving Avg'!D537</f>
        <v>5.7540000000000004</v>
      </c>
      <c r="G537" s="2">
        <f>'Moving Avg'!F537</f>
        <v>5.7640000000000002</v>
      </c>
      <c r="H537" s="2">
        <f>'Moving Avg'!G537</f>
        <v>5.7920400000000019</v>
      </c>
      <c r="I537" s="2">
        <f>'Moving Avg'!H537</f>
        <v>5.622930000000002</v>
      </c>
      <c r="J537" s="5" t="str">
        <f>OBV!F537</f>
        <v>NEUTRAL</v>
      </c>
      <c r="K537" s="5" t="str">
        <f>OBV!G537</f>
        <v>NEUTRAL</v>
      </c>
      <c r="L537" s="5" t="str">
        <f>OBV!H537</f>
        <v>NEUTRAL</v>
      </c>
    </row>
    <row r="538" spans="1:12" ht="13.5" x14ac:dyDescent="0.25">
      <c r="A538" s="3">
        <f>RSI!A538</f>
        <v>45700</v>
      </c>
      <c r="B538" s="2">
        <f>RSI!B538</f>
        <v>5.718</v>
      </c>
      <c r="C538" s="2">
        <f>RSI!I538</f>
        <v>41.110436010868106</v>
      </c>
      <c r="D538" s="2">
        <f>MACD!E538</f>
        <v>-2.7436352845828793E-3</v>
      </c>
      <c r="E538" s="2">
        <f>MACD!F538</f>
        <v>-1.8897841925011442E-3</v>
      </c>
      <c r="F538" s="2">
        <f>'Moving Avg'!D538</f>
        <v>5.7352000000000007</v>
      </c>
      <c r="G538" s="2">
        <f>'Moving Avg'!F538</f>
        <v>5.7601999999999993</v>
      </c>
      <c r="H538" s="2">
        <f>'Moving Avg'!G538</f>
        <v>5.7907200000000021</v>
      </c>
      <c r="I538" s="2">
        <f>'Moving Avg'!H538</f>
        <v>5.6249100000000025</v>
      </c>
      <c r="J538" s="5" t="str">
        <f>OBV!F538</f>
        <v>NEUTRAL</v>
      </c>
      <c r="K538" s="5" t="str">
        <f>OBV!G538</f>
        <v>NEUTRAL</v>
      </c>
      <c r="L538" s="5" t="str">
        <f>OBV!H538</f>
        <v>NEUTRAL</v>
      </c>
    </row>
    <row r="539" spans="1:12" ht="13.5" x14ac:dyDescent="0.25">
      <c r="A539" s="3">
        <f>RSI!A539</f>
        <v>45701</v>
      </c>
      <c r="B539" s="2">
        <f>RSI!B539</f>
        <v>5.681</v>
      </c>
      <c r="C539" s="2">
        <f>RSI!I539</f>
        <v>36.050640329153687</v>
      </c>
      <c r="D539" s="2">
        <f>MACD!E539</f>
        <v>1.1977597519541305E-3</v>
      </c>
      <c r="E539" s="2">
        <f>MACD!F539</f>
        <v>-1.2722754036100894E-3</v>
      </c>
      <c r="F539" s="2">
        <f>'Moving Avg'!D539</f>
        <v>5.7090000000000005</v>
      </c>
      <c r="G539" s="2">
        <f>'Moving Avg'!F539</f>
        <v>5.7545500000000001</v>
      </c>
      <c r="H539" s="2">
        <f>'Moving Avg'!G539</f>
        <v>5.7886600000000019</v>
      </c>
      <c r="I539" s="2">
        <f>'Moving Avg'!H539</f>
        <v>5.6267050000000021</v>
      </c>
      <c r="J539" s="5" t="str">
        <f>OBV!F539</f>
        <v>BEARISH</v>
      </c>
      <c r="K539" s="5" t="str">
        <f>OBV!G539</f>
        <v>STRONG</v>
      </c>
      <c r="L539" s="5" t="str">
        <f>OBV!H539</f>
        <v>CONFIRMED BEARISH</v>
      </c>
    </row>
    <row r="540" spans="1:12" ht="13.5" x14ac:dyDescent="0.25">
      <c r="A540" s="3">
        <f>RSI!A540</f>
        <v>45702</v>
      </c>
      <c r="B540" s="2">
        <f>RSI!B540</f>
        <v>5.681</v>
      </c>
      <c r="C540" s="2">
        <f>RSI!I540</f>
        <v>36.050640329153687</v>
      </c>
      <c r="D540" s="2">
        <f>MACD!E540</f>
        <v>5.0242343845452453E-3</v>
      </c>
      <c r="E540" s="2">
        <f>MACD!F540</f>
        <v>-1.2973445979022483E-5</v>
      </c>
      <c r="F540" s="2">
        <f>'Moving Avg'!D540</f>
        <v>5.6958000000000002</v>
      </c>
      <c r="G540" s="2">
        <f>'Moving Avg'!F540</f>
        <v>5.7493999999999996</v>
      </c>
      <c r="H540" s="2">
        <f>'Moving Avg'!G540</f>
        <v>5.7866000000000017</v>
      </c>
      <c r="I540" s="2">
        <f>'Moving Avg'!H540</f>
        <v>5.6285000000000016</v>
      </c>
      <c r="J540" s="5" t="str">
        <f>OBV!F540</f>
        <v>BEARISH</v>
      </c>
      <c r="K540" s="5" t="str">
        <f>OBV!G540</f>
        <v>STRONG</v>
      </c>
      <c r="L540" s="5" t="str">
        <f>OBV!H540</f>
        <v>CONFIRMED BEARISH</v>
      </c>
    </row>
    <row r="541" spans="1:12" ht="13.5" x14ac:dyDescent="0.25">
      <c r="A541" s="3">
        <f>RSI!A541</f>
        <v>45705</v>
      </c>
      <c r="B541" s="2">
        <f>RSI!B541</f>
        <v>5.681</v>
      </c>
      <c r="C541" s="2">
        <f>RSI!I541</f>
        <v>36.050640329153687</v>
      </c>
      <c r="D541" s="2">
        <f>MACD!E541</f>
        <v>1.8717065115099629E-2</v>
      </c>
      <c r="E541" s="2">
        <f>MACD!F541</f>
        <v>3.7330342662367081E-3</v>
      </c>
      <c r="F541" s="2">
        <f>'Moving Avg'!D541</f>
        <v>5.6958000000000002</v>
      </c>
      <c r="G541" s="2">
        <f>'Moving Avg'!F541</f>
        <v>5.7442499999999992</v>
      </c>
      <c r="H541" s="2">
        <f>'Moving Avg'!G541</f>
        <v>5.7845400000000016</v>
      </c>
      <c r="I541" s="2">
        <f>'Moving Avg'!H541</f>
        <v>5.6301600000000009</v>
      </c>
      <c r="J541" s="5" t="str">
        <f>OBV!F541</f>
        <v>BULLISH</v>
      </c>
      <c r="K541" s="5" t="str">
        <f>OBV!G541</f>
        <v>NEUTRAL</v>
      </c>
      <c r="L541" s="5" t="str">
        <f>OBV!H541</f>
        <v>NEUTRAL</v>
      </c>
    </row>
    <row r="542" spans="1:12" ht="13.5" x14ac:dyDescent="0.25">
      <c r="A542" s="3">
        <f>RSI!A542</f>
        <v>45706</v>
      </c>
      <c r="B542" s="2">
        <f>RSI!B542</f>
        <v>5.681</v>
      </c>
      <c r="C542" s="2">
        <f>RSI!I542</f>
        <v>36.050640329153687</v>
      </c>
      <c r="D542" s="2">
        <f>MACD!E542</f>
        <v>3.0724644005248436E-2</v>
      </c>
      <c r="E542" s="2">
        <f>MACD!F542</f>
        <v>9.131356214039054E-3</v>
      </c>
      <c r="F542" s="2">
        <f>'Moving Avg'!D542</f>
        <v>5.6884000000000006</v>
      </c>
      <c r="G542" s="2">
        <f>'Moving Avg'!F542</f>
        <v>5.740499999999999</v>
      </c>
      <c r="H542" s="2">
        <f>'Moving Avg'!G542</f>
        <v>5.7817200000000017</v>
      </c>
      <c r="I542" s="2">
        <f>'Moving Avg'!H542</f>
        <v>5.6318200000000003</v>
      </c>
      <c r="J542" s="5" t="str">
        <f>OBV!F542</f>
        <v>BEARISH</v>
      </c>
      <c r="K542" s="5" t="str">
        <f>OBV!G542</f>
        <v>STRONG</v>
      </c>
      <c r="L542" s="5" t="str">
        <f>OBV!H542</f>
        <v>CONFIRMED BEARISH</v>
      </c>
    </row>
    <row r="543" spans="1:12" ht="13.5" x14ac:dyDescent="0.25">
      <c r="A543" s="3">
        <f>RSI!A543</f>
        <v>45707</v>
      </c>
      <c r="B543" s="2">
        <f>RSI!B543</f>
        <v>5.681</v>
      </c>
      <c r="C543" s="2">
        <f>RSI!I543</f>
        <v>36.050640329153687</v>
      </c>
      <c r="D543" s="2">
        <f>MACD!E543</f>
        <v>4.1275030383509659E-2</v>
      </c>
      <c r="E543" s="2">
        <f>MACD!F543</f>
        <v>1.5560091047933176E-2</v>
      </c>
      <c r="F543" s="2">
        <f>'Moving Avg'!D543</f>
        <v>5.681</v>
      </c>
      <c r="G543" s="2">
        <f>'Moving Avg'!F543</f>
        <v>5.7367499999999989</v>
      </c>
      <c r="H543" s="2">
        <f>'Moving Avg'!G543</f>
        <v>5.7770200000000012</v>
      </c>
      <c r="I543" s="2">
        <f>'Moving Avg'!H543</f>
        <v>5.6336599999999999</v>
      </c>
      <c r="J543" s="5" t="str">
        <f>OBV!F543</f>
        <v>BEARISH</v>
      </c>
      <c r="K543" s="5" t="str">
        <f>OBV!G543</f>
        <v>STRONG</v>
      </c>
      <c r="L543" s="5" t="str">
        <f>OBV!H543</f>
        <v>CONFIRMED BEARISH</v>
      </c>
    </row>
    <row r="544" spans="1:12" ht="13.5" x14ac:dyDescent="0.25">
      <c r="A544" s="3">
        <f>RSI!A544</f>
        <v>45708</v>
      </c>
      <c r="B544" s="2">
        <f>RSI!B544</f>
        <v>5.6719999999999997</v>
      </c>
      <c r="C544" s="2">
        <f>RSI!I544</f>
        <v>34.552261668196053</v>
      </c>
      <c r="D544" s="2">
        <f>MACD!E544</f>
        <v>5.1230176060112598E-2</v>
      </c>
      <c r="E544" s="2">
        <f>MACD!F544</f>
        <v>2.2694108050369061E-2</v>
      </c>
      <c r="F544" s="2">
        <f>'Moving Avg'!D544</f>
        <v>5.6791999999999998</v>
      </c>
      <c r="G544" s="2">
        <f>'Moving Avg'!F544</f>
        <v>5.7339499999999992</v>
      </c>
      <c r="H544" s="2">
        <f>'Moving Avg'!G544</f>
        <v>5.7723400000000016</v>
      </c>
      <c r="I544" s="2">
        <f>'Moving Avg'!H544</f>
        <v>5.6354549999999994</v>
      </c>
      <c r="J544" s="5" t="str">
        <f>OBV!F544</f>
        <v>BEARISH</v>
      </c>
      <c r="K544" s="5" t="str">
        <f>OBV!G544</f>
        <v>STRONG</v>
      </c>
      <c r="L544" s="5" t="str">
        <f>OBV!H544</f>
        <v>CONFIRMED BEARISH</v>
      </c>
    </row>
    <row r="545" spans="1:12" ht="13.5" x14ac:dyDescent="0.25">
      <c r="A545" s="3">
        <f>RSI!A545</f>
        <v>45709</v>
      </c>
      <c r="B545" s="2">
        <f>RSI!B545</f>
        <v>5.6340000000000003</v>
      </c>
      <c r="C545" s="2">
        <f>RSI!I545</f>
        <v>29.060225943582182</v>
      </c>
      <c r="D545" s="2">
        <f>MACD!E545</f>
        <v>5.2856228358760582E-2</v>
      </c>
      <c r="E545" s="2">
        <f>MACD!F545</f>
        <v>2.8726532112047364E-2</v>
      </c>
      <c r="F545" s="2">
        <f>'Moving Avg'!D545</f>
        <v>5.6698000000000004</v>
      </c>
      <c r="G545" s="2">
        <f>'Moving Avg'!F545</f>
        <v>5.7292499999999986</v>
      </c>
      <c r="H545" s="2">
        <f>'Moving Avg'!G545</f>
        <v>5.7669000000000015</v>
      </c>
      <c r="I545" s="2">
        <f>'Moving Avg'!H545</f>
        <v>5.6370599999999991</v>
      </c>
      <c r="J545" s="5" t="str">
        <f>OBV!F545</f>
        <v>BEARISH</v>
      </c>
      <c r="K545" s="5" t="str">
        <f>OBV!G545</f>
        <v>STRONG</v>
      </c>
      <c r="L545" s="5" t="str">
        <f>OBV!H545</f>
        <v>CONFIRMED BEARISH</v>
      </c>
    </row>
    <row r="546" spans="1:12" ht="13.5" x14ac:dyDescent="0.25">
      <c r="A546" s="3">
        <f>RSI!A546</f>
        <v>45712</v>
      </c>
      <c r="B546" s="2">
        <f>RSI!B546</f>
        <v>5.625</v>
      </c>
      <c r="C546" s="2">
        <f>RSI!I546</f>
        <v>27.92798195152065</v>
      </c>
      <c r="D546" s="2">
        <f>MACD!E546</f>
        <v>4.532842057725972E-2</v>
      </c>
      <c r="E546" s="2">
        <f>MACD!F546</f>
        <v>3.204690980508984E-2</v>
      </c>
      <c r="F546" s="2">
        <f>'Moving Avg'!D546</f>
        <v>5.6585999999999999</v>
      </c>
      <c r="G546" s="2">
        <f>'Moving Avg'!F546</f>
        <v>5.7226999999999988</v>
      </c>
      <c r="H546" s="2">
        <f>'Moving Avg'!G546</f>
        <v>5.7607200000000027</v>
      </c>
      <c r="I546" s="2">
        <f>'Moving Avg'!H546</f>
        <v>5.6386199999999986</v>
      </c>
      <c r="J546" s="5" t="str">
        <f>OBV!F546</f>
        <v>BEARISH</v>
      </c>
      <c r="K546" s="5" t="str">
        <f>OBV!G546</f>
        <v>STRONG</v>
      </c>
      <c r="L546" s="5" t="str">
        <f>OBV!H546</f>
        <v>CONFIRMED BEARISH</v>
      </c>
    </row>
    <row r="547" spans="1:12" ht="13.5" x14ac:dyDescent="0.25">
      <c r="A547" s="3">
        <f>RSI!A547</f>
        <v>45713</v>
      </c>
      <c r="B547" s="2">
        <f>RSI!B547</f>
        <v>5.6340000000000003</v>
      </c>
      <c r="C547" s="2">
        <f>RSI!I547</f>
        <v>30.830278265035915</v>
      </c>
      <c r="D547" s="2">
        <f>MACD!E547</f>
        <v>4.4577819944148445E-2</v>
      </c>
      <c r="E547" s="2">
        <f>MACD!F547</f>
        <v>3.4553091832901561E-2</v>
      </c>
      <c r="F547" s="2">
        <f>'Moving Avg'!D547</f>
        <v>5.6492000000000004</v>
      </c>
      <c r="G547" s="2">
        <f>'Moving Avg'!F547</f>
        <v>5.7165999999999988</v>
      </c>
      <c r="H547" s="2">
        <f>'Moving Avg'!G547</f>
        <v>5.7554600000000029</v>
      </c>
      <c r="I547" s="2">
        <f>'Moving Avg'!H547</f>
        <v>5.6402249999999983</v>
      </c>
      <c r="J547" s="5" t="str">
        <f>OBV!F547</f>
        <v>BEARISH</v>
      </c>
      <c r="K547" s="5" t="str">
        <f>OBV!G547</f>
        <v>STRONG</v>
      </c>
      <c r="L547" s="5" t="str">
        <f>OBV!H547</f>
        <v>CONFIRMED BEARISH</v>
      </c>
    </row>
    <row r="548" spans="1:12" ht="13.5" x14ac:dyDescent="0.25">
      <c r="A548" s="3">
        <f>RSI!A548</f>
        <v>45714</v>
      </c>
      <c r="B548" s="2">
        <f>RSI!B548</f>
        <v>5.6340000000000003</v>
      </c>
      <c r="C548" s="2">
        <f>RSI!I548</f>
        <v>30.830278265035901</v>
      </c>
      <c r="D548" s="2">
        <f>MACD!E548</f>
        <v>4.4438998138216945E-2</v>
      </c>
      <c r="E548" s="2">
        <f>MACD!F548</f>
        <v>3.6530273093964637E-2</v>
      </c>
      <c r="F548" s="2">
        <f>'Moving Avg'!D548</f>
        <v>5.6398000000000001</v>
      </c>
      <c r="G548" s="2">
        <f>'Moving Avg'!F548</f>
        <v>5.7104999999999997</v>
      </c>
      <c r="H548" s="2">
        <f>'Moving Avg'!G548</f>
        <v>5.7504000000000044</v>
      </c>
      <c r="I548" s="2">
        <f>'Moving Avg'!H548</f>
        <v>5.6424049999999975</v>
      </c>
      <c r="J548" s="5" t="str">
        <f>OBV!F548</f>
        <v>BEARISH</v>
      </c>
      <c r="K548" s="5" t="str">
        <f>OBV!G548</f>
        <v>STRONG</v>
      </c>
      <c r="L548" s="5" t="str">
        <f>OBV!H548</f>
        <v>CONFIRMED BEARISH</v>
      </c>
    </row>
    <row r="549" spans="1:12" ht="13.5" x14ac:dyDescent="0.25">
      <c r="A549" s="3">
        <f>RSI!A549</f>
        <v>45715</v>
      </c>
      <c r="B549" s="2">
        <f>RSI!B549</f>
        <v>5.5309999999999997</v>
      </c>
      <c r="C549" s="2">
        <f>RSI!I549</f>
        <v>20.091554205911621</v>
      </c>
      <c r="D549" s="2">
        <f>MACD!E549</f>
        <v>4.6718394180429001E-2</v>
      </c>
      <c r="E549" s="2">
        <f>MACD!F549</f>
        <v>3.856789731125751E-2</v>
      </c>
      <c r="F549" s="2">
        <f>'Moving Avg'!D549</f>
        <v>5.6116000000000001</v>
      </c>
      <c r="G549" s="2">
        <f>'Moving Avg'!F549</f>
        <v>5.6997</v>
      </c>
      <c r="H549" s="2">
        <f>'Moving Avg'!G549</f>
        <v>5.7451400000000046</v>
      </c>
      <c r="I549" s="2">
        <f>'Moving Avg'!H549</f>
        <v>5.6445599999999976</v>
      </c>
      <c r="J549" s="5" t="str">
        <f>OBV!F549</f>
        <v>BEARISH</v>
      </c>
      <c r="K549" s="5" t="str">
        <f>OBV!G549</f>
        <v>STRONG</v>
      </c>
      <c r="L549" s="5" t="str">
        <f>OBV!H549</f>
        <v>CONFIRMED BEARISH</v>
      </c>
    </row>
    <row r="550" spans="1:12" ht="13.5" x14ac:dyDescent="0.25">
      <c r="A550" s="3">
        <f>RSI!A550</f>
        <v>45716</v>
      </c>
      <c r="B550" s="2">
        <f>RSI!B550</f>
        <v>5.5309999999999997</v>
      </c>
      <c r="C550" s="2">
        <f>RSI!I550</f>
        <v>20.091554205911621</v>
      </c>
      <c r="D550" s="2">
        <f>MACD!E550</f>
        <v>4.9681244137370406E-2</v>
      </c>
      <c r="E550" s="2">
        <f>MACD!F550</f>
        <v>4.0790566676480094E-2</v>
      </c>
      <c r="F550" s="2">
        <f>'Moving Avg'!D550</f>
        <v>5.5909999999999993</v>
      </c>
      <c r="G550" s="2">
        <f>'Moving Avg'!F550</f>
        <v>5.6889000000000003</v>
      </c>
      <c r="H550" s="2">
        <f>'Moving Avg'!G550</f>
        <v>5.7395200000000033</v>
      </c>
      <c r="I550" s="2">
        <f>'Moving Avg'!H550</f>
        <v>5.645604999999998</v>
      </c>
      <c r="J550" s="5" t="str">
        <f>OBV!F550</f>
        <v>BEARISH</v>
      </c>
      <c r="K550" s="5" t="str">
        <f>OBV!G550</f>
        <v>NEUTRAL</v>
      </c>
      <c r="L550" s="5" t="str">
        <f>OBV!H550</f>
        <v>CONFIRMED BEARISH</v>
      </c>
    </row>
    <row r="551" spans="1:12" ht="13.5" x14ac:dyDescent="0.25">
      <c r="A551" s="3">
        <f>RSI!A551</f>
        <v>45719</v>
      </c>
      <c r="B551" s="2">
        <f>RSI!B551</f>
        <v>5.4459999999999997</v>
      </c>
      <c r="C551" s="2">
        <f>RSI!I551</f>
        <v>15.068253089723399</v>
      </c>
      <c r="D551" s="2">
        <f>MACD!E551</f>
        <v>5.944209531004585E-2</v>
      </c>
      <c r="E551" s="2">
        <f>MACD!F551</f>
        <v>4.4520872403193253E-2</v>
      </c>
      <c r="F551" s="2">
        <f>'Moving Avg'!D551</f>
        <v>5.5551999999999992</v>
      </c>
      <c r="G551" s="2">
        <f>'Moving Avg'!F551</f>
        <v>5.6705999999999994</v>
      </c>
      <c r="H551" s="2">
        <f>'Moving Avg'!G551</f>
        <v>5.7322000000000033</v>
      </c>
      <c r="I551" s="2">
        <f>'Moving Avg'!H551</f>
        <v>5.6460899999999983</v>
      </c>
      <c r="J551" s="5" t="str">
        <f>OBV!F551</f>
        <v>BEARISH</v>
      </c>
      <c r="K551" s="5" t="str">
        <f>OBV!G551</f>
        <v>NEUTRAL</v>
      </c>
      <c r="L551" s="5" t="str">
        <f>OBV!H551</f>
        <v>CONFIRMED BEARISH</v>
      </c>
    </row>
    <row r="552" spans="1:12" ht="13.5" x14ac:dyDescent="0.25">
      <c r="A552" s="3">
        <f>RSI!A552</f>
        <v>45720</v>
      </c>
      <c r="B552" s="2">
        <f>RSI!B552</f>
        <v>5.4459999999999997</v>
      </c>
      <c r="C552" s="2">
        <f>RSI!I552</f>
        <v>15.068253089723399</v>
      </c>
      <c r="D552" s="2">
        <f>MACD!E552</f>
        <v>6.9090145712456419E-2</v>
      </c>
      <c r="E552" s="2">
        <f>MACD!F552</f>
        <v>4.943472706504589E-2</v>
      </c>
      <c r="F552" s="2">
        <f>'Moving Avg'!D552</f>
        <v>5.5175999999999989</v>
      </c>
      <c r="G552" s="2">
        <f>'Moving Avg'!F552</f>
        <v>5.6522999999999994</v>
      </c>
      <c r="H552" s="2">
        <f>'Moving Avg'!G552</f>
        <v>5.7248800000000042</v>
      </c>
      <c r="I552" s="2">
        <f>'Moving Avg'!H552</f>
        <v>5.6466199999999978</v>
      </c>
      <c r="J552" s="5" t="str">
        <f>OBV!F552</f>
        <v>BEARISH</v>
      </c>
      <c r="K552" s="5" t="str">
        <f>OBV!G552</f>
        <v>STRONG</v>
      </c>
      <c r="L552" s="5" t="str">
        <f>OBV!H552</f>
        <v>CONFIRMED BEARISH</v>
      </c>
    </row>
    <row r="553" spans="1:12" ht="13.5" x14ac:dyDescent="0.25">
      <c r="A553" s="3">
        <f>RSI!A553</f>
        <v>45721</v>
      </c>
      <c r="B553" s="2">
        <f>RSI!B553</f>
        <v>5.5869999999999997</v>
      </c>
      <c r="C553" s="2">
        <f>RSI!I553</f>
        <v>42.65243957247413</v>
      </c>
      <c r="D553" s="2">
        <f>MACD!E553</f>
        <v>6.8095425706225399E-2</v>
      </c>
      <c r="E553" s="2">
        <f>MACD!F553</f>
        <v>5.3166866793281795E-2</v>
      </c>
      <c r="F553" s="2">
        <f>'Moving Avg'!D553</f>
        <v>5.5082000000000004</v>
      </c>
      <c r="G553" s="2">
        <f>'Moving Avg'!F553</f>
        <v>5.6410499999999999</v>
      </c>
      <c r="H553" s="2">
        <f>'Moving Avg'!G553</f>
        <v>5.7209400000000041</v>
      </c>
      <c r="I553" s="2">
        <f>'Moving Avg'!H553</f>
        <v>5.6478549999999981</v>
      </c>
      <c r="J553" s="5" t="str">
        <f>OBV!F553</f>
        <v>BEARISH</v>
      </c>
      <c r="K553" s="5" t="str">
        <f>OBV!G553</f>
        <v>NEUTRAL</v>
      </c>
      <c r="L553" s="5" t="str">
        <f>OBV!H553</f>
        <v>CONFIRMED BEARISH</v>
      </c>
    </row>
    <row r="554" spans="1:12" ht="13.5" x14ac:dyDescent="0.25">
      <c r="A554" s="3">
        <f>RSI!A554</f>
        <v>45722</v>
      </c>
      <c r="B554" s="2">
        <f>RSI!B554</f>
        <v>5.5960000000000001</v>
      </c>
      <c r="C554" s="2">
        <f>RSI!I554</f>
        <v>43.904784678162621</v>
      </c>
      <c r="D554" s="2">
        <f>MACD!E554</f>
        <v>6.5560013442583553E-2</v>
      </c>
      <c r="E554" s="2">
        <f>MACD!F554</f>
        <v>5.5645496123142152E-2</v>
      </c>
      <c r="F554" s="2">
        <f>'Moving Avg'!D554</f>
        <v>5.5212000000000003</v>
      </c>
      <c r="G554" s="2">
        <f>'Moving Avg'!F554</f>
        <v>5.6302500000000002</v>
      </c>
      <c r="H554" s="2">
        <f>'Moving Avg'!G554</f>
        <v>5.7169800000000031</v>
      </c>
      <c r="I554" s="2">
        <f>'Moving Avg'!H554</f>
        <v>5.6492249999999977</v>
      </c>
      <c r="J554" s="5" t="str">
        <f>OBV!F554</f>
        <v>BULLISH</v>
      </c>
      <c r="K554" s="5" t="str">
        <f>OBV!G554</f>
        <v>NEUTRAL</v>
      </c>
      <c r="L554" s="5" t="str">
        <f>OBV!H554</f>
        <v>CONFIRMED BULLISH</v>
      </c>
    </row>
    <row r="555" spans="1:12" ht="13.5" x14ac:dyDescent="0.25">
      <c r="A555" s="3">
        <f>RSI!A555</f>
        <v>45723</v>
      </c>
      <c r="B555" s="2">
        <f>RSI!B555</f>
        <v>5.5869999999999997</v>
      </c>
      <c r="C555" s="2">
        <f>RSI!I555</f>
        <v>42.895972589792073</v>
      </c>
      <c r="D555" s="2">
        <f>MACD!E555</f>
        <v>5.851306635918796E-2</v>
      </c>
      <c r="E555" s="2">
        <f>MACD!F555</f>
        <v>5.6219010170351316E-2</v>
      </c>
      <c r="F555" s="2">
        <f>'Moving Avg'!D555</f>
        <v>5.5324</v>
      </c>
      <c r="G555" s="2">
        <f>'Moving Avg'!F555</f>
        <v>5.6222500000000002</v>
      </c>
      <c r="H555" s="2">
        <f>'Moving Avg'!G555</f>
        <v>5.713040000000003</v>
      </c>
      <c r="I555" s="2">
        <f>'Moving Avg'!H555</f>
        <v>5.6505499999999982</v>
      </c>
      <c r="J555" s="5" t="str">
        <f>OBV!F555</f>
        <v>BEARISH</v>
      </c>
      <c r="K555" s="5" t="str">
        <f>OBV!G555</f>
        <v>NEUTRAL</v>
      </c>
      <c r="L555" s="5" t="str">
        <f>OBV!H555</f>
        <v>BEARISH DIVERGENCE</v>
      </c>
    </row>
    <row r="556" spans="1:12" ht="13.5" x14ac:dyDescent="0.25">
      <c r="A556" s="3">
        <f>RSI!A556</f>
        <v>45726</v>
      </c>
      <c r="B556" s="2">
        <f>RSI!B556</f>
        <v>5.5869999999999997</v>
      </c>
      <c r="C556" s="2">
        <f>RSI!I556</f>
        <v>42.895972589792073</v>
      </c>
      <c r="D556" s="2">
        <f>MACD!E556</f>
        <v>5.1476135551864921E-2</v>
      </c>
      <c r="E556" s="2">
        <f>MACD!F556</f>
        <v>5.5270435246654044E-2</v>
      </c>
      <c r="F556" s="2">
        <f>'Moving Avg'!D556</f>
        <v>5.5605999999999991</v>
      </c>
      <c r="G556" s="2">
        <f>'Moving Avg'!F556</f>
        <v>5.6175500000000005</v>
      </c>
      <c r="H556" s="2">
        <f>'Moving Avg'!G556</f>
        <v>5.7092800000000032</v>
      </c>
      <c r="I556" s="2">
        <f>'Moving Avg'!H556</f>
        <v>5.6523199999999978</v>
      </c>
      <c r="J556" s="5" t="str">
        <f>OBV!F556</f>
        <v>BULLISH</v>
      </c>
      <c r="K556" s="5" t="str">
        <f>OBV!G556</f>
        <v>NEUTRAL</v>
      </c>
      <c r="L556" s="5" t="str">
        <f>OBV!H556</f>
        <v>CONFIRMED BULLISH</v>
      </c>
    </row>
    <row r="557" spans="1:12" ht="13.5" x14ac:dyDescent="0.25">
      <c r="A557" s="3">
        <f>RSI!A557</f>
        <v>45727</v>
      </c>
      <c r="B557" s="2">
        <f>RSI!B557</f>
        <v>5.4930000000000003</v>
      </c>
      <c r="C557" s="2">
        <f>RSI!I557</f>
        <v>33.556374804282598</v>
      </c>
      <c r="D557" s="2">
        <f>MACD!E557</f>
        <v>5.4156874827586243E-2</v>
      </c>
      <c r="E557" s="2">
        <f>MACD!F557</f>
        <v>5.5047723162840484E-2</v>
      </c>
      <c r="F557" s="2">
        <f>'Moving Avg'!D557</f>
        <v>5.57</v>
      </c>
      <c r="G557" s="2">
        <f>'Moving Avg'!F557</f>
        <v>5.6063000000000009</v>
      </c>
      <c r="H557" s="2">
        <f>'Moving Avg'!G557</f>
        <v>5.7036400000000018</v>
      </c>
      <c r="I557" s="2">
        <f>'Moving Avg'!H557</f>
        <v>5.6536199999999974</v>
      </c>
      <c r="J557" s="5" t="str">
        <f>OBV!F557</f>
        <v>BEARISH</v>
      </c>
      <c r="K557" s="5" t="str">
        <f>OBV!G557</f>
        <v>NEUTRAL</v>
      </c>
      <c r="L557" s="5" t="str">
        <f>OBV!H557</f>
        <v>BEARISH DIVERGENCE</v>
      </c>
    </row>
    <row r="558" spans="1:12" ht="13.5" x14ac:dyDescent="0.25">
      <c r="A558" s="3">
        <f>RSI!A558</f>
        <v>45728</v>
      </c>
      <c r="B558" s="2">
        <f>RSI!B558</f>
        <v>5.4649999999999999</v>
      </c>
      <c r="C558" s="2">
        <f>RSI!I558</f>
        <v>31.365683089921021</v>
      </c>
      <c r="D558" s="2">
        <f>MACD!E558</f>
        <v>5.9320908450131604E-2</v>
      </c>
      <c r="E558" s="2">
        <f>MACD!F558</f>
        <v>5.5902360220298715E-2</v>
      </c>
      <c r="F558" s="2">
        <f>'Moving Avg'!D558</f>
        <v>5.5455999999999994</v>
      </c>
      <c r="G558" s="2">
        <f>'Moving Avg'!F558</f>
        <v>5.5936500000000002</v>
      </c>
      <c r="H558" s="2">
        <f>'Moving Avg'!G558</f>
        <v>5.6974400000000003</v>
      </c>
      <c r="I558" s="2">
        <f>'Moving Avg'!H558</f>
        <v>5.6547799999999961</v>
      </c>
      <c r="J558" s="5" t="str">
        <f>OBV!F558</f>
        <v>BEARISH</v>
      </c>
      <c r="K558" s="5" t="str">
        <f>OBV!G558</f>
        <v>STRONG</v>
      </c>
      <c r="L558" s="5" t="str">
        <f>OBV!H558</f>
        <v>CONFIRMED BEARISH</v>
      </c>
    </row>
    <row r="559" spans="1:12" ht="13.5" x14ac:dyDescent="0.25">
      <c r="A559" s="3">
        <f>RSI!A559</f>
        <v>45729</v>
      </c>
      <c r="B559" s="2">
        <f>RSI!B559</f>
        <v>5.4180000000000001</v>
      </c>
      <c r="C559" s="2">
        <f>RSI!I559</f>
        <v>28.054840433197242</v>
      </c>
      <c r="D559" s="2">
        <f>MACD!E559</f>
        <v>5.2252035550983678E-2</v>
      </c>
      <c r="E559" s="2">
        <f>MACD!F559</f>
        <v>5.5172295286435712E-2</v>
      </c>
      <c r="F559" s="2">
        <f>'Moving Avg'!D559</f>
        <v>5.51</v>
      </c>
      <c r="G559" s="2">
        <f>'Moving Avg'!F559</f>
        <v>5.5805000000000007</v>
      </c>
      <c r="H559" s="2">
        <f>'Moving Avg'!G559</f>
        <v>5.6903000000000006</v>
      </c>
      <c r="I559" s="2">
        <f>'Moving Avg'!H559</f>
        <v>5.6565899999999951</v>
      </c>
      <c r="J559" s="5" t="str">
        <f>OBV!F559</f>
        <v>BEARISH</v>
      </c>
      <c r="K559" s="5" t="str">
        <f>OBV!G559</f>
        <v>STRONG</v>
      </c>
      <c r="L559" s="5" t="str">
        <f>OBV!H559</f>
        <v>CONFIRMED BEARISH</v>
      </c>
    </row>
    <row r="560" spans="1:12" ht="13.5" x14ac:dyDescent="0.25">
      <c r="A560" s="3">
        <f>RSI!A560</f>
        <v>45730</v>
      </c>
      <c r="B560" s="2">
        <f>RSI!B560</f>
        <v>5.4180000000000001</v>
      </c>
      <c r="C560" s="2">
        <f>RSI!I560</f>
        <v>28.054840433197242</v>
      </c>
      <c r="D560" s="2">
        <f>MACD!E560</f>
        <v>4.7406029313178166E-2</v>
      </c>
      <c r="E560" s="2">
        <f>MACD!F560</f>
        <v>5.3619042091784211E-2</v>
      </c>
      <c r="F560" s="2">
        <f>'Moving Avg'!D560</f>
        <v>5.4762000000000004</v>
      </c>
      <c r="G560" s="2">
        <f>'Moving Avg'!F560</f>
        <v>5.5673500000000011</v>
      </c>
      <c r="H560" s="2">
        <f>'Moving Avg'!G560</f>
        <v>5.68316</v>
      </c>
      <c r="I560" s="2">
        <f>'Moving Avg'!H560</f>
        <v>5.657954999999995</v>
      </c>
      <c r="J560" s="5" t="str">
        <f>OBV!F560</f>
        <v>BEARISH</v>
      </c>
      <c r="K560" s="5" t="str">
        <f>OBV!G560</f>
        <v>STRONG</v>
      </c>
      <c r="L560" s="5" t="str">
        <f>OBV!H560</f>
        <v>CONFIRMED BEARISH</v>
      </c>
    </row>
    <row r="561" spans="1:12" ht="13.5" x14ac:dyDescent="0.25">
      <c r="A561" s="3">
        <f>RSI!A561</f>
        <v>45733</v>
      </c>
      <c r="B561" s="2">
        <f>RSI!B561</f>
        <v>5.4180000000000001</v>
      </c>
      <c r="C561" s="2">
        <f>RSI!I561</f>
        <v>28.054840433197242</v>
      </c>
      <c r="D561" s="2">
        <f>MACD!E561</f>
        <v>3.1279887339819012E-2</v>
      </c>
      <c r="E561" s="2">
        <f>MACD!F561</f>
        <v>4.9151211141391177E-2</v>
      </c>
      <c r="F561" s="2">
        <f>'Moving Avg'!D561</f>
        <v>5.4424000000000001</v>
      </c>
      <c r="G561" s="2">
        <f>'Moving Avg'!F561</f>
        <v>5.5542000000000007</v>
      </c>
      <c r="H561" s="2">
        <f>'Moving Avg'!G561</f>
        <v>5.6771599999999998</v>
      </c>
      <c r="I561" s="2">
        <f>'Moving Avg'!H561</f>
        <v>5.6597649999999939</v>
      </c>
      <c r="J561" s="5" t="str">
        <f>OBV!F561</f>
        <v>BEARISH</v>
      </c>
      <c r="K561" s="5" t="str">
        <f>OBV!G561</f>
        <v>STRONG</v>
      </c>
      <c r="L561" s="5" t="str">
        <f>OBV!H561</f>
        <v>CONFIRMED BEARISH</v>
      </c>
    </row>
    <row r="562" spans="1:12" ht="13.5" x14ac:dyDescent="0.25">
      <c r="A562" s="3">
        <f>RSI!A562</f>
        <v>45734</v>
      </c>
      <c r="B562" s="2">
        <f>RSI!B562</f>
        <v>5.54</v>
      </c>
      <c r="C562" s="2">
        <f>RSI!I562</f>
        <v>46.398209738248738</v>
      </c>
      <c r="D562" s="2">
        <f>MACD!E562</f>
        <v>9.5710309522605286E-3</v>
      </c>
      <c r="E562" s="2">
        <f>MACD!F562</f>
        <v>4.1235175103565051E-2</v>
      </c>
      <c r="F562" s="2">
        <f>'Moving Avg'!D562</f>
        <v>5.4517999999999995</v>
      </c>
      <c r="G562" s="2">
        <f>'Moving Avg'!F562</f>
        <v>5.5471500000000011</v>
      </c>
      <c r="H562" s="2">
        <f>'Moving Avg'!G562</f>
        <v>5.673960000000001</v>
      </c>
      <c r="I562" s="2">
        <f>'Moving Avg'!H562</f>
        <v>5.6621849999999938</v>
      </c>
      <c r="J562" s="5" t="str">
        <f>OBV!F562</f>
        <v>BEARISH</v>
      </c>
      <c r="K562" s="5" t="str">
        <f>OBV!G562</f>
        <v>NEUTRAL</v>
      </c>
      <c r="L562" s="5" t="str">
        <f>OBV!H562</f>
        <v>BEARISH DIVERGENCE</v>
      </c>
    </row>
    <row r="563" spans="1:12" ht="13.5" x14ac:dyDescent="0.25">
      <c r="A563" s="3">
        <f>RSI!A563</f>
        <v>45735</v>
      </c>
      <c r="B563" s="2">
        <f>RSI!B563</f>
        <v>5.4180000000000001</v>
      </c>
      <c r="C563" s="2">
        <f>RSI!I563</f>
        <v>36.402864989215232</v>
      </c>
      <c r="D563" s="2">
        <f>MACD!E563</f>
        <v>2.2111715765970708E-2</v>
      </c>
      <c r="E563" s="2">
        <f>MACD!F563</f>
        <v>3.7410483236046184E-2</v>
      </c>
      <c r="F563" s="2">
        <f>'Moving Avg'!D563</f>
        <v>5.4424000000000001</v>
      </c>
      <c r="G563" s="2">
        <f>'Moving Avg'!F563</f>
        <v>5.5340000000000016</v>
      </c>
      <c r="H563" s="2">
        <f>'Moving Avg'!G563</f>
        <v>5.6660800000000009</v>
      </c>
      <c r="I563" s="2">
        <f>'Moving Avg'!H563</f>
        <v>5.6644399999999937</v>
      </c>
      <c r="J563" s="5" t="str">
        <f>OBV!F563</f>
        <v>BEARISH</v>
      </c>
      <c r="K563" s="5" t="str">
        <f>OBV!G563</f>
        <v>NEUTRAL</v>
      </c>
      <c r="L563" s="5" t="str">
        <f>OBV!H563</f>
        <v>CONFIRMED BEARISH</v>
      </c>
    </row>
    <row r="564" spans="1:12" ht="13.5" x14ac:dyDescent="0.25">
      <c r="A564" s="3">
        <f>RSI!A564</f>
        <v>45737</v>
      </c>
      <c r="B564" s="2">
        <f>RSI!B564</f>
        <v>5.4459999999999997</v>
      </c>
      <c r="C564" s="2">
        <f>RSI!I564</f>
        <v>39.617913668503199</v>
      </c>
      <c r="D564" s="2">
        <f>MACD!E564</f>
        <v>3.2921520497328771E-2</v>
      </c>
      <c r="E564" s="2">
        <f>MACD!F564</f>
        <v>3.6512690688302707E-2</v>
      </c>
      <c r="F564" s="2">
        <f>'Moving Avg'!D564</f>
        <v>5.4480000000000004</v>
      </c>
      <c r="G564" s="2">
        <f>'Moving Avg'!F564</f>
        <v>5.5227000000000022</v>
      </c>
      <c r="H564" s="2">
        <f>'Moving Avg'!G564</f>
        <v>5.6587600000000018</v>
      </c>
      <c r="I564" s="2">
        <f>'Moving Avg'!H564</f>
        <v>5.6669649999999931</v>
      </c>
      <c r="J564" s="5" t="str">
        <f>OBV!F564</f>
        <v>BULLISH</v>
      </c>
      <c r="K564" s="5" t="str">
        <f>OBV!G564</f>
        <v>NEUTRAL</v>
      </c>
      <c r="L564" s="5" t="str">
        <f>OBV!H564</f>
        <v>CONFIRMED BULLISH</v>
      </c>
    </row>
    <row r="565" spans="1:12" ht="13.5" x14ac:dyDescent="0.25">
      <c r="A565" s="3">
        <f>RSI!A565</f>
        <v>45740</v>
      </c>
      <c r="B565" s="2">
        <f>RSI!B565</f>
        <v>5.399</v>
      </c>
      <c r="C565" s="2">
        <f>RSI!I565</f>
        <v>36.300587565540134</v>
      </c>
      <c r="D565" s="2">
        <f>MACD!E565</f>
        <v>4.4821834511956204E-2</v>
      </c>
      <c r="E565" s="2">
        <f>MACD!F565</f>
        <v>3.8174519453033406E-2</v>
      </c>
      <c r="F565" s="2">
        <f>'Moving Avg'!D565</f>
        <v>5.4442000000000004</v>
      </c>
      <c r="G565" s="2">
        <f>'Moving Avg'!F565</f>
        <v>5.510950000000002</v>
      </c>
      <c r="H565" s="2">
        <f>'Moving Avg'!G565</f>
        <v>5.6506800000000021</v>
      </c>
      <c r="I565" s="2">
        <f>'Moving Avg'!H565</f>
        <v>5.6695649999999924</v>
      </c>
      <c r="J565" s="5" t="str">
        <f>OBV!F565</f>
        <v>BULLISH</v>
      </c>
      <c r="K565" s="5" t="str">
        <f>OBV!G565</f>
        <v>NEUTRAL</v>
      </c>
      <c r="L565" s="5" t="str">
        <f>OBV!H565</f>
        <v>BULLISH DIVERGENCE</v>
      </c>
    </row>
    <row r="566" spans="1:12" ht="13.5" x14ac:dyDescent="0.25">
      <c r="A566" s="3">
        <f>RSI!A566</f>
        <v>45741</v>
      </c>
      <c r="B566" s="2">
        <f>RSI!B566</f>
        <v>5.39</v>
      </c>
      <c r="C566" s="2">
        <f>RSI!I566</f>
        <v>35.684412038747141</v>
      </c>
      <c r="D566" s="2">
        <f>MACD!E566</f>
        <v>5.6443769030402713E-2</v>
      </c>
      <c r="E566" s="2">
        <f>MACD!F566</f>
        <v>4.182836936850727E-2</v>
      </c>
      <c r="F566" s="2">
        <f>'Moving Avg'!D566</f>
        <v>5.4386000000000001</v>
      </c>
      <c r="G566" s="2">
        <f>'Moving Avg'!F566</f>
        <v>5.4992000000000019</v>
      </c>
      <c r="H566" s="2">
        <f>'Moving Avg'!G566</f>
        <v>5.6424200000000022</v>
      </c>
      <c r="I566" s="2">
        <f>'Moving Avg'!H566</f>
        <v>5.6712349999999923</v>
      </c>
      <c r="J566" s="5" t="str">
        <f>OBV!F566</f>
        <v>BEARISH</v>
      </c>
      <c r="K566" s="5" t="str">
        <f>OBV!G566</f>
        <v>NEUTRAL</v>
      </c>
      <c r="L566" s="5" t="str">
        <f>OBV!H566</f>
        <v>CONFIRMED BEARISH</v>
      </c>
    </row>
    <row r="567" spans="1:12" ht="13.5" x14ac:dyDescent="0.25">
      <c r="A567" s="3">
        <f>RSI!A567</f>
        <v>45742</v>
      </c>
      <c r="B567" s="2">
        <f>RSI!B567</f>
        <v>5.4089999999999998</v>
      </c>
      <c r="C567" s="2">
        <f>RSI!I567</f>
        <v>38.07419375925997</v>
      </c>
      <c r="D567" s="2">
        <f>MACD!E567</f>
        <v>5.1282107823710454E-2</v>
      </c>
      <c r="E567" s="2">
        <f>MACD!F567</f>
        <v>4.371911705954791E-2</v>
      </c>
      <c r="F567" s="2">
        <f>'Moving Avg'!D567</f>
        <v>5.4123999999999999</v>
      </c>
      <c r="G567" s="2">
        <f>'Moving Avg'!F567</f>
        <v>5.4879500000000023</v>
      </c>
      <c r="H567" s="2">
        <f>'Moving Avg'!G567</f>
        <v>5.6345400000000021</v>
      </c>
      <c r="I567" s="2">
        <f>'Moving Avg'!H567</f>
        <v>5.6725549999999929</v>
      </c>
      <c r="J567" s="5" t="str">
        <f>OBV!F567</f>
        <v>BEARISH</v>
      </c>
      <c r="K567" s="5" t="str">
        <f>OBV!G567</f>
        <v>NEUTRAL</v>
      </c>
      <c r="L567" s="5" t="str">
        <f>OBV!H567</f>
        <v>CONFIRMED BEARISH</v>
      </c>
    </row>
    <row r="568" spans="1:12" ht="13.5" x14ac:dyDescent="0.25">
      <c r="A568" s="3">
        <f>RSI!A568</f>
        <v>45743</v>
      </c>
      <c r="B568" s="2">
        <f>RSI!B568</f>
        <v>5.54</v>
      </c>
      <c r="C568" s="2">
        <f>RSI!I568</f>
        <v>51.464823024359028</v>
      </c>
      <c r="D568" s="2">
        <f>MACD!E568</f>
        <v>3.359952872645966E-2</v>
      </c>
      <c r="E568" s="2">
        <f>MACD!F568</f>
        <v>4.169519939293026E-2</v>
      </c>
      <c r="F568" s="2">
        <f>'Moving Avg'!D568</f>
        <v>5.4367999999999999</v>
      </c>
      <c r="G568" s="2">
        <f>'Moving Avg'!F568</f>
        <v>5.4832500000000017</v>
      </c>
      <c r="H568" s="2">
        <f>'Moving Avg'!G568</f>
        <v>5.6294600000000017</v>
      </c>
      <c r="I568" s="2">
        <f>'Moving Avg'!H568</f>
        <v>5.6745299999999927</v>
      </c>
      <c r="J568" s="5" t="str">
        <f>OBV!F568</f>
        <v>BEARISH</v>
      </c>
      <c r="K568" s="5" t="str">
        <f>OBV!G568</f>
        <v>NEUTRAL</v>
      </c>
      <c r="L568" s="5" t="str">
        <f>OBV!H568</f>
        <v>BEARISH DIVERGENCE</v>
      </c>
    </row>
    <row r="569" spans="1:12" ht="13.5" x14ac:dyDescent="0.25">
      <c r="A569" s="3">
        <f>RSI!A569</f>
        <v>45744</v>
      </c>
      <c r="B569" s="2">
        <f>RSI!B569</f>
        <v>5.4459999999999997</v>
      </c>
      <c r="C569" s="2">
        <f>RSI!I569</f>
        <v>44.096412466009077</v>
      </c>
      <c r="D569" s="2">
        <f>MACD!E569</f>
        <v>1.8240248479593824E-2</v>
      </c>
      <c r="E569" s="2">
        <f>MACD!F569</f>
        <v>3.7004209210262977E-2</v>
      </c>
      <c r="F569" s="2">
        <f>'Moving Avg'!D569</f>
        <v>5.4367999999999999</v>
      </c>
      <c r="G569" s="2">
        <f>'Moving Avg'!F569</f>
        <v>5.479000000000001</v>
      </c>
      <c r="H569" s="2">
        <f>'Moving Avg'!G569</f>
        <v>5.6224999999999996</v>
      </c>
      <c r="I569" s="2">
        <f>'Moving Avg'!H569</f>
        <v>5.6760349999999926</v>
      </c>
      <c r="J569" s="5" t="str">
        <f>OBV!F569</f>
        <v>BEARISH</v>
      </c>
      <c r="K569" s="5" t="str">
        <f>OBV!G569</f>
        <v>STRONG</v>
      </c>
      <c r="L569" s="5" t="str">
        <f>OBV!H569</f>
        <v>NEUTRAL</v>
      </c>
    </row>
    <row r="570" spans="1:12" ht="13.5" x14ac:dyDescent="0.25">
      <c r="A570" s="3">
        <f>RSI!A570</f>
        <v>45749</v>
      </c>
      <c r="B570" s="2">
        <f>RSI!B570</f>
        <v>5.4089999999999998</v>
      </c>
      <c r="C570" s="2">
        <f>RSI!I570</f>
        <v>41.573301225413772</v>
      </c>
      <c r="D570" s="2">
        <f>MACD!E570</f>
        <v>8.4204106966687675E-3</v>
      </c>
      <c r="E570" s="2">
        <f>MACD!F570</f>
        <v>3.1287449507544141E-2</v>
      </c>
      <c r="F570" s="2">
        <f>'Moving Avg'!D570</f>
        <v>5.4387999999999987</v>
      </c>
      <c r="G570" s="2">
        <f>'Moving Avg'!F570</f>
        <v>5.472900000000001</v>
      </c>
      <c r="H570" s="2">
        <f>'Moving Avg'!G570</f>
        <v>5.6150000000000011</v>
      </c>
      <c r="I570" s="2">
        <f>'Moving Avg'!H570</f>
        <v>5.6773549999999933</v>
      </c>
      <c r="J570" s="5" t="str">
        <f>OBV!F570</f>
        <v>BEARISH</v>
      </c>
      <c r="K570" s="5" t="str">
        <f>OBV!G570</f>
        <v>STRONG</v>
      </c>
      <c r="L570" s="5" t="str">
        <f>OBV!H570</f>
        <v>BEARISH DIVERGENCE</v>
      </c>
    </row>
    <row r="571" spans="1:12" ht="13.5" x14ac:dyDescent="0.25">
      <c r="A571" s="3">
        <f>RSI!A571</f>
        <v>45750</v>
      </c>
      <c r="B571" s="2">
        <f>RSI!B571</f>
        <v>5.4459999999999997</v>
      </c>
      <c r="C571" s="2">
        <f>RSI!I571</f>
        <v>44.964555116460986</v>
      </c>
      <c r="D571" s="2">
        <f>MACD!E571</f>
        <v>-2.0073301383476405E-3</v>
      </c>
      <c r="E571" s="2">
        <f>MACD!F571</f>
        <v>2.4628493578365784E-2</v>
      </c>
      <c r="F571" s="2">
        <f>'Moving Avg'!D571</f>
        <v>5.45</v>
      </c>
      <c r="G571" s="2">
        <f>'Moving Avg'!F571</f>
        <v>5.472900000000001</v>
      </c>
      <c r="H571" s="2">
        <f>'Moving Avg'!G571</f>
        <v>5.6082400000000021</v>
      </c>
      <c r="I571" s="2">
        <f>'Moving Avg'!H571</f>
        <v>5.6795249999999928</v>
      </c>
      <c r="J571" s="5" t="str">
        <f>OBV!F571</f>
        <v>BULLISH</v>
      </c>
      <c r="K571" s="5" t="str">
        <f>OBV!G571</f>
        <v>NEUTRAL</v>
      </c>
      <c r="L571" s="5" t="str">
        <f>OBV!H571</f>
        <v>CONFIRMED BULLISH</v>
      </c>
    </row>
    <row r="572" spans="1:12" ht="13.5" x14ac:dyDescent="0.25">
      <c r="A572" s="3">
        <f>RSI!A572</f>
        <v>45751</v>
      </c>
      <c r="B572" s="2">
        <f>RSI!B572</f>
        <v>5.4269999999999996</v>
      </c>
      <c r="C572" s="2">
        <f>RSI!I572</f>
        <v>43.566144711966601</v>
      </c>
      <c r="D572" s="2">
        <f>MACD!E572</f>
        <v>9.7032128557374975E-3</v>
      </c>
      <c r="E572" s="2">
        <f>MACD!F572</f>
        <v>2.1643437433840128E-2</v>
      </c>
      <c r="F572" s="2">
        <f>'Moving Avg'!D572</f>
        <v>5.4535999999999998</v>
      </c>
      <c r="G572" s="2">
        <f>'Moving Avg'!F572</f>
        <v>5.4719500000000014</v>
      </c>
      <c r="H572" s="2">
        <f>'Moving Avg'!G572</f>
        <v>5.6016600000000007</v>
      </c>
      <c r="I572" s="2">
        <f>'Moving Avg'!H572</f>
        <v>5.682264999999993</v>
      </c>
      <c r="J572" s="5" t="str">
        <f>OBV!F572</f>
        <v>BEARISH</v>
      </c>
      <c r="K572" s="5" t="str">
        <f>OBV!G572</f>
        <v>STRONG</v>
      </c>
      <c r="L572" s="5" t="str">
        <f>OBV!H572</f>
        <v>BEARISH DIVERGENCE</v>
      </c>
    </row>
    <row r="573" spans="1:12" ht="13.5" x14ac:dyDescent="0.25">
      <c r="A573" s="3">
        <f>RSI!A573</f>
        <v>45754</v>
      </c>
      <c r="B573" s="2">
        <f>RSI!B573</f>
        <v>5.4930000000000003</v>
      </c>
      <c r="C573" s="2">
        <f>RSI!I573</f>
        <v>49.447555632542453</v>
      </c>
      <c r="D573" s="2">
        <f>MACD!E573</f>
        <v>-3.6028085916974817E-3</v>
      </c>
      <c r="E573" s="2">
        <f>MACD!F573</f>
        <v>1.6594188228732605E-2</v>
      </c>
      <c r="F573" s="2">
        <f>'Moving Avg'!D573</f>
        <v>5.4442000000000004</v>
      </c>
      <c r="G573" s="2">
        <f>'Moving Avg'!F573</f>
        <v>5.4672499999999999</v>
      </c>
      <c r="H573" s="2">
        <f>'Moving Avg'!G573</f>
        <v>5.5964000000000009</v>
      </c>
      <c r="I573" s="2">
        <f>'Moving Avg'!H573</f>
        <v>5.6855599999999935</v>
      </c>
      <c r="J573" s="5" t="str">
        <f>OBV!F573</f>
        <v>BEARISH</v>
      </c>
      <c r="K573" s="5" t="str">
        <f>OBV!G573</f>
        <v>NEUTRAL</v>
      </c>
      <c r="L573" s="5" t="str">
        <f>OBV!H573</f>
        <v>CONFIRMED BEARISH</v>
      </c>
    </row>
    <row r="574" spans="1:12" ht="13.5" x14ac:dyDescent="0.25">
      <c r="A574" s="3">
        <f>RSI!A574</f>
        <v>45755</v>
      </c>
      <c r="B574" s="2">
        <f>RSI!B574</f>
        <v>5.4930000000000003</v>
      </c>
      <c r="C574" s="2">
        <f>RSI!I574</f>
        <v>49.447555632542446</v>
      </c>
      <c r="D574" s="2">
        <f>MACD!E574</f>
        <v>-1.0533705069413202E-2</v>
      </c>
      <c r="E574" s="2">
        <f>MACD!F574</f>
        <v>1.1168609569103444E-2</v>
      </c>
      <c r="F574" s="2">
        <f>'Moving Avg'!D574</f>
        <v>5.4535999999999998</v>
      </c>
      <c r="G574" s="2">
        <f>'Moving Avg'!F574</f>
        <v>5.4620999999999995</v>
      </c>
      <c r="H574" s="2">
        <f>'Moving Avg'!G574</f>
        <v>5.5917000000000003</v>
      </c>
      <c r="I574" s="2">
        <f>'Moving Avg'!H574</f>
        <v>5.6889399999999917</v>
      </c>
      <c r="J574" s="5" t="str">
        <f>OBV!F574</f>
        <v>BULLISH</v>
      </c>
      <c r="K574" s="5" t="str">
        <f>OBV!G574</f>
        <v>NEUTRAL</v>
      </c>
      <c r="L574" s="5" t="str">
        <f>OBV!H574</f>
        <v>CONFIRMED BULLISH</v>
      </c>
    </row>
    <row r="575" spans="1:12" ht="13.5" x14ac:dyDescent="0.25">
      <c r="A575" s="3">
        <f>RSI!A575</f>
        <v>45757</v>
      </c>
      <c r="B575" s="2">
        <f>RSI!B575</f>
        <v>5.399</v>
      </c>
      <c r="C575" s="2">
        <f>RSI!I575</f>
        <v>42.185518295091697</v>
      </c>
      <c r="D575" s="2">
        <f>MACD!E575</f>
        <v>-1.6647271197885338E-2</v>
      </c>
      <c r="E575" s="2">
        <f>MACD!F575</f>
        <v>5.6054334157056886E-3</v>
      </c>
      <c r="F575" s="2">
        <f>'Moving Avg'!D575</f>
        <v>5.4516000000000009</v>
      </c>
      <c r="G575" s="2">
        <f>'Moving Avg'!F575</f>
        <v>5.4527000000000001</v>
      </c>
      <c r="H575" s="2">
        <f>'Moving Avg'!G575</f>
        <v>5.5851199999999999</v>
      </c>
      <c r="I575" s="2">
        <f>'Moving Avg'!H575</f>
        <v>5.6904349999999919</v>
      </c>
      <c r="J575" s="5" t="str">
        <f>OBV!F575</f>
        <v>BULLISH</v>
      </c>
      <c r="K575" s="5" t="str">
        <f>OBV!G575</f>
        <v>NEUTRAL</v>
      </c>
      <c r="L575" s="5" t="str">
        <f>OBV!H575</f>
        <v>BULLISH DIVERGENCE</v>
      </c>
    </row>
    <row r="576" spans="1:12" ht="13.5" x14ac:dyDescent="0.25">
      <c r="A576" s="3">
        <f>RSI!A576</f>
        <v>45758</v>
      </c>
      <c r="B576" s="2">
        <f>RSI!B576</f>
        <v>5.4269999999999996</v>
      </c>
      <c r="C576" s="2">
        <f>RSI!I576</f>
        <v>44.786708722844196</v>
      </c>
      <c r="D576" s="2">
        <f>MACD!E576</f>
        <v>-2.4706079176627149E-2</v>
      </c>
      <c r="E576" s="2">
        <f>MACD!F576</f>
        <v>-4.5686910276087917E-4</v>
      </c>
      <c r="F576" s="2">
        <f>'Moving Avg'!D576</f>
        <v>5.4478</v>
      </c>
      <c r="G576" s="2">
        <f>'Moving Avg'!F576</f>
        <v>5.4446999999999992</v>
      </c>
      <c r="H576" s="2">
        <f>'Moving Avg'!G576</f>
        <v>5.5785399999999994</v>
      </c>
      <c r="I576" s="2">
        <f>'Moving Avg'!H576</f>
        <v>5.6920699999999922</v>
      </c>
      <c r="J576" s="5" t="str">
        <f>OBV!F576</f>
        <v>BULLISH</v>
      </c>
      <c r="K576" s="5" t="str">
        <f>OBV!G576</f>
        <v>NEUTRAL</v>
      </c>
      <c r="L576" s="5" t="str">
        <f>OBV!H576</f>
        <v>BULLISH DIVERGENCE</v>
      </c>
    </row>
    <row r="577" spans="1:12" ht="13.5" x14ac:dyDescent="0.25">
      <c r="A577" s="3">
        <f>RSI!A577</f>
        <v>45761</v>
      </c>
      <c r="B577" s="2">
        <f>RSI!B577</f>
        <v>5.4269999999999996</v>
      </c>
      <c r="C577" s="2">
        <f>RSI!I577</f>
        <v>44.786708722844196</v>
      </c>
      <c r="D577" s="2">
        <f>MACD!E577</f>
        <v>-2.8236984810380505E-2</v>
      </c>
      <c r="E577" s="2">
        <f>MACD!F577</f>
        <v>-6.0128922442848048E-3</v>
      </c>
      <c r="F577" s="2">
        <f>'Moving Avg'!D577</f>
        <v>5.4478</v>
      </c>
      <c r="G577" s="2">
        <f>'Moving Avg'!F577</f>
        <v>5.4413999999999989</v>
      </c>
      <c r="H577" s="2">
        <f>'Moving Avg'!G577</f>
        <v>5.5719599999999989</v>
      </c>
      <c r="I577" s="2">
        <f>'Moving Avg'!H577</f>
        <v>5.6940149999999914</v>
      </c>
      <c r="J577" s="5" t="str">
        <f>OBV!F577</f>
        <v>BULLISH</v>
      </c>
      <c r="K577" s="5" t="str">
        <f>OBV!G577</f>
        <v>NEUTRAL</v>
      </c>
      <c r="L577" s="5" t="str">
        <f>OBV!H577</f>
        <v>NEUTRAL</v>
      </c>
    </row>
    <row r="578" spans="1:12" ht="13.5" x14ac:dyDescent="0.25">
      <c r="A578" s="3">
        <f>RSI!A578</f>
        <v>45762</v>
      </c>
      <c r="B578" s="2">
        <f>RSI!B578</f>
        <v>5.4269999999999996</v>
      </c>
      <c r="C578" s="2">
        <f>RSI!I578</f>
        <v>44.786708722844196</v>
      </c>
      <c r="D578" s="2">
        <f>MACD!E578</f>
        <v>-1.0732856918758138E-2</v>
      </c>
      <c r="E578" s="2">
        <f>MACD!F578</f>
        <v>-6.9568851791794719E-3</v>
      </c>
      <c r="F578" s="2">
        <f>'Moving Avg'!D578</f>
        <v>5.4345999999999997</v>
      </c>
      <c r="G578" s="2">
        <f>'Moving Avg'!F578</f>
        <v>5.439499999999998</v>
      </c>
      <c r="H578" s="2">
        <f>'Moving Avg'!G578</f>
        <v>5.5653800000000002</v>
      </c>
      <c r="I578" s="2">
        <f>'Moving Avg'!H578</f>
        <v>5.6967149999999913</v>
      </c>
      <c r="J578" s="5" t="str">
        <f>OBV!F578</f>
        <v>BULLISH</v>
      </c>
      <c r="K578" s="5" t="str">
        <f>OBV!G578</f>
        <v>NEUTRAL</v>
      </c>
      <c r="L578" s="5" t="str">
        <f>OBV!H578</f>
        <v>BULLISH DIVERGENCE</v>
      </c>
    </row>
    <row r="579" spans="1:12" ht="13.5" x14ac:dyDescent="0.25">
      <c r="A579" s="3">
        <f>RSI!A579</f>
        <v>45763</v>
      </c>
      <c r="B579" s="2">
        <f>RSI!B579</f>
        <v>5.4269999999999996</v>
      </c>
      <c r="C579" s="2">
        <f>RSI!I579</f>
        <v>44.786708722844196</v>
      </c>
      <c r="D579" s="2">
        <f>MACD!E579</f>
        <v>-1.0070274018841197E-2</v>
      </c>
      <c r="E579" s="2">
        <f>MACD!F579</f>
        <v>-7.5795629471118176E-3</v>
      </c>
      <c r="F579" s="2">
        <f>'Moving Avg'!D579</f>
        <v>5.4214000000000002</v>
      </c>
      <c r="G579" s="2">
        <f>'Moving Avg'!F579</f>
        <v>5.4399499999999978</v>
      </c>
      <c r="H579" s="2">
        <f>'Moving Avg'!G579</f>
        <v>5.55898</v>
      </c>
      <c r="I579" s="2">
        <f>'Moving Avg'!H579</f>
        <v>5.6998999999999906</v>
      </c>
      <c r="J579" s="5" t="str">
        <f>OBV!F579</f>
        <v>BULLISH</v>
      </c>
      <c r="K579" s="5" t="str">
        <f>OBV!G579</f>
        <v>NEUTRAL</v>
      </c>
      <c r="L579" s="5" t="str">
        <f>OBV!H579</f>
        <v>BULLISH DIVERGENCE</v>
      </c>
    </row>
    <row r="580" spans="1:12" ht="13.5" x14ac:dyDescent="0.25">
      <c r="A580" s="3">
        <f>RSI!A580</f>
        <v>45764</v>
      </c>
      <c r="B580" s="2">
        <f>RSI!B580</f>
        <v>5.4459999999999997</v>
      </c>
      <c r="C580" s="2">
        <f>RSI!I580</f>
        <v>46.964597431813537</v>
      </c>
      <c r="D580" s="2">
        <f>MACD!E580</f>
        <v>-1.6319586287921517E-2</v>
      </c>
      <c r="E580" s="2">
        <f>MACD!F580</f>
        <v>-9.3275676152737574E-3</v>
      </c>
      <c r="F580" s="2">
        <f>'Moving Avg'!D580</f>
        <v>5.4307999999999996</v>
      </c>
      <c r="G580" s="2">
        <f>'Moving Avg'!F580</f>
        <v>5.4413499999999981</v>
      </c>
      <c r="H580" s="2">
        <f>'Moving Avg'!G580</f>
        <v>5.5529600000000006</v>
      </c>
      <c r="I580" s="2">
        <f>'Moving Avg'!H580</f>
        <v>5.7031799999999917</v>
      </c>
      <c r="J580" s="5" t="str">
        <f>OBV!F580</f>
        <v>BULLISH</v>
      </c>
      <c r="K580" s="5" t="str">
        <f>OBV!G580</f>
        <v>WEAK</v>
      </c>
      <c r="L580" s="5" t="str">
        <f>OBV!H580</f>
        <v>CONFIRMED BULLISH</v>
      </c>
    </row>
    <row r="581" spans="1:12" ht="13.5" x14ac:dyDescent="0.25">
      <c r="A581" s="3">
        <f>RSI!A581</f>
        <v>45765</v>
      </c>
      <c r="B581" s="2">
        <f>RSI!B581</f>
        <v>5.4459999999999997</v>
      </c>
      <c r="C581" s="2">
        <f>RSI!I581</f>
        <v>46.964597431813537</v>
      </c>
      <c r="D581" s="2">
        <f>MACD!E581</f>
        <v>-1.5759137652153754E-2</v>
      </c>
      <c r="E581" s="2">
        <f>MACD!F581</f>
        <v>-1.0613881622649757E-2</v>
      </c>
      <c r="F581" s="2">
        <f>'Moving Avg'!D581</f>
        <v>5.4345999999999988</v>
      </c>
      <c r="G581" s="2">
        <f>'Moving Avg'!F581</f>
        <v>5.4427499999999984</v>
      </c>
      <c r="H581" s="2">
        <f>'Moving Avg'!G581</f>
        <v>5.5456399999999997</v>
      </c>
      <c r="I581" s="2">
        <f>'Moving Avg'!H581</f>
        <v>5.7064599999999919</v>
      </c>
      <c r="J581" s="5" t="str">
        <f>OBV!F581</f>
        <v>BULLISH</v>
      </c>
      <c r="K581" s="5" t="str">
        <f>OBV!G581</f>
        <v>NEUTRAL</v>
      </c>
      <c r="L581" s="5" t="str">
        <f>OBV!H581</f>
        <v>CONFIRMED BULLISH</v>
      </c>
    </row>
    <row r="582" spans="1:12" ht="13.5" x14ac:dyDescent="0.25">
      <c r="A582" s="3">
        <f>RSI!A582</f>
        <v>45768</v>
      </c>
      <c r="B582" s="2">
        <f>RSI!B582</f>
        <v>5.4930000000000003</v>
      </c>
      <c r="C582" s="2">
        <f>RSI!I582</f>
        <v>52.356135228049929</v>
      </c>
      <c r="D582" s="2">
        <f>MACD!E582</f>
        <v>-2.1545006810431033E-2</v>
      </c>
      <c r="E582" s="2">
        <f>MACD!F582</f>
        <v>-1.2800106660206013E-2</v>
      </c>
      <c r="F582" s="2">
        <f>'Moving Avg'!D582</f>
        <v>5.4477999999999991</v>
      </c>
      <c r="G582" s="2">
        <f>'Moving Avg'!F582</f>
        <v>5.4403999999999986</v>
      </c>
      <c r="H582" s="2">
        <f>'Moving Avg'!G582</f>
        <v>5.5392599999999996</v>
      </c>
      <c r="I582" s="2">
        <f>'Moving Avg'!H582</f>
        <v>5.7086899999999927</v>
      </c>
      <c r="J582" s="5" t="str">
        <f>OBV!F582</f>
        <v>BULLISH</v>
      </c>
      <c r="K582" s="5" t="str">
        <f>OBV!G582</f>
        <v>WEAK</v>
      </c>
      <c r="L582" s="5" t="str">
        <f>OBV!H582</f>
        <v>CONFIRMED BULLISH</v>
      </c>
    </row>
    <row r="583" spans="1:12" ht="13.5" x14ac:dyDescent="0.25">
      <c r="A583" s="3">
        <f>RSI!A583</f>
        <v>45769</v>
      </c>
      <c r="B583" s="2">
        <f>RSI!B583</f>
        <v>5.6340000000000003</v>
      </c>
      <c r="C583" s="2">
        <f>RSI!I583</f>
        <v>64.135410822063932</v>
      </c>
      <c r="D583" s="2">
        <f>MACD!E583</f>
        <v>-2.6875303081897783E-2</v>
      </c>
      <c r="E583" s="2">
        <f>MACD!F583</f>
        <v>-1.5615145944544367E-2</v>
      </c>
      <c r="F583" s="2">
        <f>'Moving Avg'!D583</f>
        <v>5.4891999999999994</v>
      </c>
      <c r="G583" s="2">
        <f>'Moving Avg'!F583</f>
        <v>5.4511999999999983</v>
      </c>
      <c r="H583" s="2">
        <f>'Moving Avg'!G583</f>
        <v>5.5356999999999994</v>
      </c>
      <c r="I583" s="2">
        <f>'Moving Avg'!H583</f>
        <v>5.7111349999999925</v>
      </c>
      <c r="J583" s="5" t="str">
        <f>OBV!F583</f>
        <v>BULLISH</v>
      </c>
      <c r="K583" s="5" t="str">
        <f>OBV!G583</f>
        <v>WEAK</v>
      </c>
      <c r="L583" s="5" t="str">
        <f>OBV!H583</f>
        <v>CONFIRMED BULLISH</v>
      </c>
    </row>
    <row r="584" spans="1:12" ht="13.5" x14ac:dyDescent="0.25">
      <c r="A584" s="3">
        <f>RSI!A584</f>
        <v>45770</v>
      </c>
      <c r="B584" s="2">
        <f>RSI!B584</f>
        <v>5.4180000000000001</v>
      </c>
      <c r="C584" s="2">
        <f>RSI!I584</f>
        <v>45.554645662714741</v>
      </c>
      <c r="D584" s="2">
        <f>MACD!E584</f>
        <v>-1.6352027475987185E-2</v>
      </c>
      <c r="E584" s="2">
        <f>MACD!F584</f>
        <v>-1.5762522250832932E-2</v>
      </c>
      <c r="F584" s="2">
        <f>'Moving Avg'!D584</f>
        <v>5.4873999999999992</v>
      </c>
      <c r="G584" s="2">
        <f>'Moving Avg'!F584</f>
        <v>5.449799999999998</v>
      </c>
      <c r="H584" s="2">
        <f>'Moving Avg'!G584</f>
        <v>5.5278199999999993</v>
      </c>
      <c r="I584" s="2">
        <f>'Moving Avg'!H584</f>
        <v>5.7119349999999915</v>
      </c>
      <c r="J584" s="5" t="str">
        <f>OBV!F584</f>
        <v>BULLISH</v>
      </c>
      <c r="K584" s="5" t="str">
        <f>OBV!G584</f>
        <v>WEAK</v>
      </c>
      <c r="L584" s="5" t="str">
        <f>OBV!H584</f>
        <v>BULLISH DIVERGENCE</v>
      </c>
    </row>
    <row r="585" spans="1:12" ht="13.5" x14ac:dyDescent="0.25">
      <c r="A585" s="3">
        <f>RSI!A585</f>
        <v>45771</v>
      </c>
      <c r="B585" s="2">
        <f>RSI!B585</f>
        <v>5.625</v>
      </c>
      <c r="C585" s="2">
        <f>RSI!I585</f>
        <v>58.086623976873412</v>
      </c>
      <c r="D585" s="2">
        <f>MACD!E585</f>
        <v>-3.6861118924622183E-2</v>
      </c>
      <c r="E585" s="2">
        <f>MACD!F585</f>
        <v>-1.9982241585590782E-2</v>
      </c>
      <c r="F585" s="2">
        <f>'Moving Avg'!D585</f>
        <v>5.5232000000000001</v>
      </c>
      <c r="G585" s="2">
        <f>'Moving Avg'!F585</f>
        <v>5.4611000000000001</v>
      </c>
      <c r="H585" s="2">
        <f>'Moving Avg'!G585</f>
        <v>5.5253799999999993</v>
      </c>
      <c r="I585" s="2">
        <f>'Moving Avg'!H585</f>
        <v>5.7130649999999923</v>
      </c>
      <c r="J585" s="5" t="str">
        <f>OBV!F585</f>
        <v>BULLISH</v>
      </c>
      <c r="K585" s="5" t="str">
        <f>OBV!G585</f>
        <v>WEAK</v>
      </c>
      <c r="L585" s="5" t="str">
        <f>OBV!H585</f>
        <v>CONFIRMED BULLISH</v>
      </c>
    </row>
    <row r="586" spans="1:12" ht="13.5" x14ac:dyDescent="0.25">
      <c r="A586" s="3">
        <f>RSI!A586</f>
        <v>45772</v>
      </c>
      <c r="B586" s="2">
        <f>RSI!B586</f>
        <v>5.5590000000000002</v>
      </c>
      <c r="C586" s="2">
        <f>RSI!I586</f>
        <v>53.832032579036856</v>
      </c>
      <c r="D586" s="2">
        <f>MACD!E586</f>
        <v>-4.5888343063301029E-2</v>
      </c>
      <c r="E586" s="2">
        <f>MACD!F586</f>
        <v>-2.5163461881132831E-2</v>
      </c>
      <c r="F586" s="2">
        <f>'Moving Avg'!D586</f>
        <v>5.5458000000000007</v>
      </c>
      <c r="G586" s="2">
        <f>'Moving Avg'!F586</f>
        <v>5.4695499999999999</v>
      </c>
      <c r="H586" s="2">
        <f>'Moving Avg'!G586</f>
        <v>5.5229399999999984</v>
      </c>
      <c r="I586" s="2">
        <f>'Moving Avg'!H586</f>
        <v>5.7136299999999922</v>
      </c>
      <c r="J586" s="5" t="str">
        <f>OBV!F586</f>
        <v>BULLISH</v>
      </c>
      <c r="K586" s="5" t="str">
        <f>OBV!G586</f>
        <v>NEUTRAL</v>
      </c>
      <c r="L586" s="5" t="str">
        <f>OBV!H586</f>
        <v>CONFIRMED BULLISH</v>
      </c>
    </row>
    <row r="587" spans="1:12" ht="13.5" x14ac:dyDescent="0.25">
      <c r="A587" s="3">
        <f>RSI!A587</f>
        <v>45775</v>
      </c>
      <c r="B587" s="2">
        <f>RSI!B587</f>
        <v>5.4459999999999997</v>
      </c>
      <c r="C587" s="2">
        <f>RSI!I587</f>
        <v>47.42693211902079</v>
      </c>
      <c r="D587" s="2">
        <f>MACD!E587</f>
        <v>-4.5571913621373028E-2</v>
      </c>
      <c r="E587" s="2">
        <f>MACD!F587</f>
        <v>-2.9245152229180872E-2</v>
      </c>
      <c r="F587" s="2">
        <f>'Moving Avg'!D587</f>
        <v>5.5364000000000004</v>
      </c>
      <c r="G587" s="2">
        <f>'Moving Avg'!F587</f>
        <v>5.4714</v>
      </c>
      <c r="H587" s="2">
        <f>'Moving Avg'!G587</f>
        <v>5.5175000000000001</v>
      </c>
      <c r="I587" s="2">
        <f>'Moving Avg'!H587</f>
        <v>5.7136299999999922</v>
      </c>
      <c r="J587" s="5" t="str">
        <f>OBV!F587</f>
        <v>BEARISH</v>
      </c>
      <c r="K587" s="5" t="str">
        <f>OBV!G587</f>
        <v>NEUTRAL</v>
      </c>
      <c r="L587" s="5" t="str">
        <f>OBV!H587</f>
        <v>CONFIRMED BEARISH</v>
      </c>
    </row>
    <row r="588" spans="1:12" ht="13.5" x14ac:dyDescent="0.25">
      <c r="A588" s="3">
        <f>RSI!A588</f>
        <v>45776</v>
      </c>
      <c r="B588" s="2">
        <f>RSI!B588</f>
        <v>5.4459999999999997</v>
      </c>
      <c r="C588" s="2">
        <f>RSI!I588</f>
        <v>47.42693211902079</v>
      </c>
      <c r="D588" s="2">
        <f>MACD!E588</f>
        <v>-4.5021184986000051E-2</v>
      </c>
      <c r="E588" s="2">
        <f>MACD!F588</f>
        <v>-3.2400358780544709E-2</v>
      </c>
      <c r="F588" s="2">
        <f>'Moving Avg'!D588</f>
        <v>5.4988000000000001</v>
      </c>
      <c r="G588" s="2">
        <f>'Moving Avg'!F588</f>
        <v>5.4667000000000003</v>
      </c>
      <c r="H588" s="2">
        <f>'Moving Avg'!G588</f>
        <v>5.51206</v>
      </c>
      <c r="I588" s="2">
        <f>'Moving Avg'!H588</f>
        <v>5.7126899999999914</v>
      </c>
      <c r="J588" s="5" t="str">
        <f>OBV!F588</f>
        <v>BEARISH</v>
      </c>
      <c r="K588" s="5" t="str">
        <f>OBV!G588</f>
        <v>STRONG</v>
      </c>
      <c r="L588" s="5" t="str">
        <f>OBV!H588</f>
        <v>CONFIRMED BEARISH</v>
      </c>
    </row>
    <row r="589" spans="1:12" ht="13.5" x14ac:dyDescent="0.25">
      <c r="A589" s="3">
        <f>RSI!A589</f>
        <v>45777</v>
      </c>
      <c r="B589" s="2">
        <f>RSI!B589</f>
        <v>5.6340000000000003</v>
      </c>
      <c r="C589" s="2">
        <f>RSI!I589</f>
        <v>57.243066414164325</v>
      </c>
      <c r="D589" s="2">
        <f>MACD!E589</f>
        <v>-5.8219090642206872E-2</v>
      </c>
      <c r="E589" s="2">
        <f>MACD!F589</f>
        <v>-3.7564105152877142E-2</v>
      </c>
      <c r="F589" s="2">
        <f>'Moving Avg'!D589</f>
        <v>5.5419999999999998</v>
      </c>
      <c r="G589" s="2">
        <f>'Moving Avg'!F589</f>
        <v>5.4760999999999997</v>
      </c>
      <c r="H589" s="2">
        <f>'Moving Avg'!G589</f>
        <v>5.5111200000000009</v>
      </c>
      <c r="I589" s="2">
        <f>'Moving Avg'!H589</f>
        <v>5.7117999999999913</v>
      </c>
      <c r="J589" s="5" t="str">
        <f>OBV!F589</f>
        <v>BEARISH</v>
      </c>
      <c r="K589" s="5" t="str">
        <f>OBV!G589</f>
        <v>NEUTRAL</v>
      </c>
      <c r="L589" s="5" t="str">
        <f>OBV!H589</f>
        <v>BEARISH DIVERGENCE</v>
      </c>
    </row>
    <row r="590" spans="1:12" ht="13.5" x14ac:dyDescent="0.25">
      <c r="A590" s="3">
        <f>RSI!A590</f>
        <v>45779</v>
      </c>
      <c r="B590" s="2">
        <f>RSI!B590</f>
        <v>5.6340000000000003</v>
      </c>
      <c r="C590" s="2">
        <f>RSI!I590</f>
        <v>57.243066414164325</v>
      </c>
      <c r="D590" s="2">
        <f>MACD!E590</f>
        <v>-6.7331762131916939E-2</v>
      </c>
      <c r="E590" s="2">
        <f>MACD!F590</f>
        <v>-4.3517636548685103E-2</v>
      </c>
      <c r="F590" s="2">
        <f>'Moving Avg'!D590</f>
        <v>5.5438000000000001</v>
      </c>
      <c r="G590" s="2">
        <f>'Moving Avg'!F590</f>
        <v>5.4873500000000002</v>
      </c>
      <c r="H590" s="2">
        <f>'Moving Avg'!G590</f>
        <v>5.5101800000000001</v>
      </c>
      <c r="I590" s="2">
        <f>'Moving Avg'!H590</f>
        <v>5.7105799999999922</v>
      </c>
      <c r="J590" s="5" t="str">
        <f>OBV!F590</f>
        <v>BEARISH</v>
      </c>
      <c r="K590" s="5" t="str">
        <f>OBV!G590</f>
        <v>NEUTRAL</v>
      </c>
      <c r="L590" s="5" t="str">
        <f>OBV!H590</f>
        <v>BEARISH DIVERGENCE</v>
      </c>
    </row>
    <row r="591" spans="1:12" ht="13.5" x14ac:dyDescent="0.25">
      <c r="A591" s="3">
        <f>RSI!A591</f>
        <v>45782</v>
      </c>
      <c r="B591" s="2">
        <f>RSI!B591</f>
        <v>5.6340000000000003</v>
      </c>
      <c r="C591" s="2">
        <f>RSI!I591</f>
        <v>57.243066414164325</v>
      </c>
      <c r="D591" s="2">
        <f>MACD!E591</f>
        <v>-7.5846456180756583E-2</v>
      </c>
      <c r="E591" s="2">
        <f>MACD!F591</f>
        <v>-4.9983400475099402E-2</v>
      </c>
      <c r="F591" s="2">
        <f>'Moving Avg'!D591</f>
        <v>5.5587999999999997</v>
      </c>
      <c r="G591" s="2">
        <f>'Moving Avg'!F591</f>
        <v>5.4967499999999996</v>
      </c>
      <c r="H591" s="2">
        <f>'Moving Avg'!G591</f>
        <v>5.5092400000000001</v>
      </c>
      <c r="I591" s="2">
        <f>'Moving Avg'!H591</f>
        <v>5.7091699999999914</v>
      </c>
      <c r="J591" s="5" t="str">
        <f>OBV!F591</f>
        <v>BEARISH</v>
      </c>
      <c r="K591" s="5" t="str">
        <f>OBV!G591</f>
        <v>NEUTRAL</v>
      </c>
      <c r="L591" s="5" t="str">
        <f>OBV!H591</f>
        <v>BEARISH DIVERGENCE</v>
      </c>
    </row>
    <row r="592" spans="1:12" ht="13.5" x14ac:dyDescent="0.25">
      <c r="A592" s="3">
        <f>RSI!A592</f>
        <v>45783</v>
      </c>
      <c r="B592" s="2">
        <f>RSI!B592</f>
        <v>5.6340000000000003</v>
      </c>
      <c r="C592" s="2">
        <f>RSI!I592</f>
        <v>57.243066414164325</v>
      </c>
      <c r="D592" s="2">
        <f>MACD!E592</f>
        <v>-7.6564846604425085E-2</v>
      </c>
      <c r="E592" s="2">
        <f>MACD!F592</f>
        <v>-5.5299689700964542E-2</v>
      </c>
      <c r="F592" s="2">
        <f>'Moving Avg'!D592</f>
        <v>5.5964</v>
      </c>
      <c r="G592" s="2">
        <f>'Moving Avg'!F592</f>
        <v>5.5070999999999994</v>
      </c>
      <c r="H592" s="2">
        <f>'Moving Avg'!G592</f>
        <v>5.5082999999999993</v>
      </c>
      <c r="I592" s="2">
        <f>'Moving Avg'!H592</f>
        <v>5.7075249999999915</v>
      </c>
      <c r="J592" s="5" t="str">
        <f>OBV!F592</f>
        <v>BULLISH</v>
      </c>
      <c r="K592" s="5" t="str">
        <f>OBV!G592</f>
        <v>NEUTRAL</v>
      </c>
      <c r="L592" s="5" t="str">
        <f>OBV!H592</f>
        <v>CONFIRMED BULLISH</v>
      </c>
    </row>
    <row r="593" spans="1:12" ht="13.5" x14ac:dyDescent="0.25">
      <c r="A593" s="3">
        <f>RSI!A593</f>
        <v>45784</v>
      </c>
      <c r="B593" s="2">
        <f>RSI!B593</f>
        <v>5.5209999999999999</v>
      </c>
      <c r="C593" s="2">
        <f>RSI!I593</f>
        <v>49.735442868463487</v>
      </c>
      <c r="D593" s="2">
        <f>MACD!E593</f>
        <v>-4.779931378417146E-2</v>
      </c>
      <c r="E593" s="2">
        <f>MACD!F593</f>
        <v>-5.3799614517605926E-2</v>
      </c>
      <c r="F593" s="2">
        <f>'Moving Avg'!D593</f>
        <v>5.6114000000000006</v>
      </c>
      <c r="G593" s="2">
        <f>'Moving Avg'!F593</f>
        <v>5.5084999999999997</v>
      </c>
      <c r="H593" s="2">
        <f>'Moving Avg'!G593</f>
        <v>5.5050999999999997</v>
      </c>
      <c r="I593" s="2">
        <f>'Moving Avg'!H593</f>
        <v>5.7054099999999925</v>
      </c>
      <c r="J593" s="5" t="str">
        <f>OBV!F593</f>
        <v>BEARISH</v>
      </c>
      <c r="K593" s="5" t="str">
        <f>OBV!G593</f>
        <v>NEUTRAL</v>
      </c>
      <c r="L593" s="5" t="str">
        <f>OBV!H593</f>
        <v>BEARISH DIVERGENCE</v>
      </c>
    </row>
    <row r="594" spans="1:12" ht="13.5" x14ac:dyDescent="0.25">
      <c r="A594" s="3">
        <f>RSI!A594</f>
        <v>45785</v>
      </c>
      <c r="B594" s="2">
        <f>RSI!B594</f>
        <v>5.5209999999999999</v>
      </c>
      <c r="C594" s="2">
        <f>RSI!I594</f>
        <v>49.735442868463487</v>
      </c>
      <c r="D594" s="2">
        <f>MACD!E594</f>
        <v>-5.666051383913917E-2</v>
      </c>
      <c r="E594" s="2">
        <f>MACD!F594</f>
        <v>-5.4371794381912579E-2</v>
      </c>
      <c r="F594" s="2">
        <f>'Moving Avg'!D594</f>
        <v>5.5888000000000009</v>
      </c>
      <c r="G594" s="2">
        <f>'Moving Avg'!F594</f>
        <v>5.5099</v>
      </c>
      <c r="H594" s="2">
        <f>'Moving Avg'!G594</f>
        <v>5.5020800000000012</v>
      </c>
      <c r="I594" s="2">
        <f>'Moving Avg'!H594</f>
        <v>5.7035799999999925</v>
      </c>
      <c r="J594" s="5" t="str">
        <f>OBV!F594</f>
        <v>BEARISH</v>
      </c>
      <c r="K594" s="5" t="str">
        <f>OBV!G594</f>
        <v>NEUTRAL</v>
      </c>
      <c r="L594" s="5" t="str">
        <f>OBV!H594</f>
        <v>CONFIRMED BEARISH</v>
      </c>
    </row>
    <row r="595" spans="1:12" ht="13.5" x14ac:dyDescent="0.25">
      <c r="A595" s="3">
        <f>RSI!A595</f>
        <v>45786</v>
      </c>
      <c r="B595" s="2">
        <f>RSI!B595</f>
        <v>5.54</v>
      </c>
      <c r="C595" s="2">
        <f>RSI!I595</f>
        <v>50.988925570408824</v>
      </c>
      <c r="D595" s="2">
        <f>MACD!E595</f>
        <v>-3.3692388368369741E-2</v>
      </c>
      <c r="E595" s="2">
        <f>MACD!F595</f>
        <v>-5.0235913179204013E-2</v>
      </c>
      <c r="F595" s="2">
        <f>'Moving Avg'!D595</f>
        <v>5.57</v>
      </c>
      <c r="G595" s="2">
        <f>'Moving Avg'!F595</f>
        <v>5.5169499999999996</v>
      </c>
      <c r="H595" s="2">
        <f>'Moving Avg'!G595</f>
        <v>5.5002000000000013</v>
      </c>
      <c r="I595" s="2">
        <f>'Moving Avg'!H595</f>
        <v>5.7018449999999925</v>
      </c>
      <c r="J595" s="5" t="str">
        <f>OBV!F595</f>
        <v>BULLISH</v>
      </c>
      <c r="K595" s="5" t="str">
        <f>OBV!G595</f>
        <v>NEUTRAL</v>
      </c>
      <c r="L595" s="5" t="str">
        <f>OBV!H595</f>
        <v>BULLISH DIVERGENCE</v>
      </c>
    </row>
    <row r="596" spans="1:12" ht="13.5" x14ac:dyDescent="0.25">
      <c r="A596" s="3">
        <f>RSI!A596</f>
        <v>45789</v>
      </c>
      <c r="B596" s="2">
        <f>RSI!B596</f>
        <v>5.625</v>
      </c>
      <c r="C596" s="2">
        <f>RSI!I596</f>
        <v>56.245785273376704</v>
      </c>
      <c r="D596" s="2">
        <f>MACD!E596</f>
        <v>-3.079494090986401E-2</v>
      </c>
      <c r="E596" s="2">
        <f>MACD!F596</f>
        <v>-4.6347718725336016E-2</v>
      </c>
      <c r="F596" s="2">
        <f>'Moving Avg'!D596</f>
        <v>5.5682</v>
      </c>
      <c r="G596" s="2">
        <f>'Moving Avg'!F596</f>
        <v>5.5268500000000005</v>
      </c>
      <c r="H596" s="2">
        <f>'Moving Avg'!G596</f>
        <v>5.5002000000000013</v>
      </c>
      <c r="I596" s="2">
        <f>'Moving Avg'!H596</f>
        <v>5.7006749999999933</v>
      </c>
      <c r="J596" s="5" t="str">
        <f>OBV!F596</f>
        <v>BULLISH</v>
      </c>
      <c r="K596" s="5" t="str">
        <f>OBV!G596</f>
        <v>NEUTRAL</v>
      </c>
      <c r="L596" s="5" t="str">
        <f>OBV!H596</f>
        <v>BULLISH DIVERGENCE</v>
      </c>
    </row>
    <row r="597" spans="1:12" ht="13.5" x14ac:dyDescent="0.25">
      <c r="A597" s="3">
        <f>RSI!A597</f>
        <v>45790</v>
      </c>
      <c r="B597" s="2">
        <f>RSI!B597</f>
        <v>5.625</v>
      </c>
      <c r="C597" s="2">
        <f>RSI!I597</f>
        <v>56.245785273376718</v>
      </c>
      <c r="D597" s="2">
        <f>MACD!E597</f>
        <v>-4.6310673631436039E-2</v>
      </c>
      <c r="E597" s="2">
        <f>MACD!F597</f>
        <v>-4.6340309706556025E-2</v>
      </c>
      <c r="F597" s="2">
        <f>'Moving Avg'!D597</f>
        <v>5.5663999999999998</v>
      </c>
      <c r="G597" s="2">
        <f>'Moving Avg'!F597</f>
        <v>5.5367499999999996</v>
      </c>
      <c r="H597" s="2">
        <f>'Moving Avg'!G597</f>
        <v>5.500020000000001</v>
      </c>
      <c r="I597" s="2">
        <f>'Moving Avg'!H597</f>
        <v>5.6995049999999949</v>
      </c>
      <c r="J597" s="5" t="str">
        <f>OBV!F597</f>
        <v>BULLISH</v>
      </c>
      <c r="K597" s="5" t="str">
        <f>OBV!G597</f>
        <v>NEUTRAL</v>
      </c>
      <c r="L597" s="5" t="str">
        <f>OBV!H597</f>
        <v>BULLISH DIVERGENCE</v>
      </c>
    </row>
    <row r="598" spans="1:12" ht="13.5" x14ac:dyDescent="0.25">
      <c r="A598" s="3">
        <f>RSI!A598</f>
        <v>45791</v>
      </c>
      <c r="B598" s="2">
        <f>RSI!B598</f>
        <v>5.625</v>
      </c>
      <c r="C598" s="2">
        <f>RSI!I598</f>
        <v>56.245785273376704</v>
      </c>
      <c r="D598" s="2">
        <f>MACD!E598</f>
        <v>-5.997900355709529E-2</v>
      </c>
      <c r="E598" s="2">
        <f>MACD!F598</f>
        <v>-4.9068048476663878E-2</v>
      </c>
      <c r="F598" s="2">
        <f>'Moving Avg'!D598</f>
        <v>5.5872000000000002</v>
      </c>
      <c r="G598" s="2">
        <f>'Moving Avg'!F598</f>
        <v>5.5466500000000005</v>
      </c>
      <c r="H598" s="2">
        <f>'Moving Avg'!G598</f>
        <v>5.4998400000000007</v>
      </c>
      <c r="I598" s="2">
        <f>'Moving Avg'!H598</f>
        <v>5.6980499999999958</v>
      </c>
      <c r="J598" s="5" t="str">
        <f>OBV!F598</f>
        <v>BULLISH</v>
      </c>
      <c r="K598" s="5" t="str">
        <f>OBV!G598</f>
        <v>WEAK</v>
      </c>
      <c r="L598" s="5" t="str">
        <f>OBV!H598</f>
        <v>CONFIRMED BULLISH</v>
      </c>
    </row>
    <row r="599" spans="1:12" ht="13.5" x14ac:dyDescent="0.25">
      <c r="A599" s="3">
        <f>RSI!A599</f>
        <v>45792</v>
      </c>
      <c r="B599" s="2">
        <f>RSI!B599</f>
        <v>5.4930000000000003</v>
      </c>
      <c r="C599" s="2">
        <f>RSI!I599</f>
        <v>46.559642691524083</v>
      </c>
      <c r="D599" s="2">
        <f>MACD!E599</f>
        <v>-3.3343318985380677E-2</v>
      </c>
      <c r="E599" s="2">
        <f>MACD!F599</f>
        <v>-4.5923102578407246E-2</v>
      </c>
      <c r="F599" s="2">
        <f>'Moving Avg'!D599</f>
        <v>5.5815999999999999</v>
      </c>
      <c r="G599" s="2">
        <f>'Moving Avg'!F599</f>
        <v>5.5499499999999999</v>
      </c>
      <c r="H599" s="2">
        <f>'Moving Avg'!G599</f>
        <v>5.4990800000000002</v>
      </c>
      <c r="I599" s="2">
        <f>'Moving Avg'!H599</f>
        <v>5.6960299999999959</v>
      </c>
      <c r="J599" s="5" t="str">
        <f>OBV!F599</f>
        <v>BULLISH</v>
      </c>
      <c r="K599" s="5" t="str">
        <f>OBV!G599</f>
        <v>NEUTRAL</v>
      </c>
      <c r="L599" s="5" t="str">
        <f>OBV!H599</f>
        <v>BULLISH DIVERGENCE</v>
      </c>
    </row>
    <row r="600" spans="1:12" ht="13.5" x14ac:dyDescent="0.25">
      <c r="A600" s="3">
        <f>RSI!A600</f>
        <v>45793</v>
      </c>
      <c r="B600" s="2">
        <f>RSI!B600</f>
        <v>5.4649999999999999</v>
      </c>
      <c r="C600" s="2">
        <f>RSI!I600</f>
        <v>44.797334615602416</v>
      </c>
      <c r="D600" s="2">
        <f>MACD!E600</f>
        <v>-8.4140126230920487E-3</v>
      </c>
      <c r="E600" s="2">
        <f>MACD!F600</f>
        <v>-3.8421284587344208E-2</v>
      </c>
      <c r="F600" s="2">
        <f>'Moving Avg'!D600</f>
        <v>5.5666000000000002</v>
      </c>
      <c r="G600" s="2">
        <f>'Moving Avg'!F600</f>
        <v>5.5509000000000004</v>
      </c>
      <c r="H600" s="2">
        <f>'Moving Avg'!G600</f>
        <v>5.4977599999999986</v>
      </c>
      <c r="I600" s="2">
        <f>'Moving Avg'!H600</f>
        <v>5.693869999999996</v>
      </c>
      <c r="J600" s="5" t="str">
        <f>OBV!F600</f>
        <v>BEARISH</v>
      </c>
      <c r="K600" s="5" t="str">
        <f>OBV!G600</f>
        <v>NEUTRAL</v>
      </c>
      <c r="L600" s="5" t="str">
        <f>OBV!H600</f>
        <v>CONFIRMED BEARISH</v>
      </c>
    </row>
    <row r="601" spans="1:12" ht="13.5" x14ac:dyDescent="0.25">
      <c r="A601" s="3">
        <f>RSI!A601</f>
        <v>45796</v>
      </c>
      <c r="B601" s="2">
        <f>RSI!B601</f>
        <v>5.5960000000000001</v>
      </c>
      <c r="C601" s="2">
        <f>RSI!I601</f>
        <v>53.638809539840686</v>
      </c>
      <c r="D601" s="2">
        <f>MACD!E601</f>
        <v>3.4356036165714698E-3</v>
      </c>
      <c r="E601" s="2">
        <f>MACD!F601</f>
        <v>-3.0049906946561074E-2</v>
      </c>
      <c r="F601" s="2">
        <f>'Moving Avg'!D601</f>
        <v>5.5608000000000004</v>
      </c>
      <c r="G601" s="2">
        <f>'Moving Avg'!F601</f>
        <v>5.5584000000000007</v>
      </c>
      <c r="H601" s="2">
        <f>'Moving Avg'!G601</f>
        <v>5.5007599999999979</v>
      </c>
      <c r="I601" s="2">
        <f>'Moving Avg'!H601</f>
        <v>5.692739999999997</v>
      </c>
      <c r="J601" s="5" t="str">
        <f>OBV!F601</f>
        <v>BEARISH</v>
      </c>
      <c r="K601" s="5" t="str">
        <f>OBV!G601</f>
        <v>NEUTRAL</v>
      </c>
      <c r="L601" s="5" t="str">
        <f>OBV!H601</f>
        <v>CONFIRMED BEARISH</v>
      </c>
    </row>
    <row r="602" spans="1:12" ht="13.5" x14ac:dyDescent="0.25">
      <c r="A602" s="3">
        <f>RSI!A602</f>
        <v>45797</v>
      </c>
      <c r="B602" s="2">
        <f>RSI!B602</f>
        <v>5.5679999999999996</v>
      </c>
      <c r="C602" s="2">
        <f>RSI!I602</f>
        <v>51.731627142119379</v>
      </c>
      <c r="D602" s="2">
        <f>MACD!E602</f>
        <v>1.5187461312985207E-2</v>
      </c>
      <c r="E602" s="2">
        <f>MACD!F602</f>
        <v>-2.1002433294651821E-2</v>
      </c>
      <c r="F602" s="2">
        <f>'Moving Avg'!D602</f>
        <v>5.5494000000000003</v>
      </c>
      <c r="G602" s="2">
        <f>'Moving Avg'!F602</f>
        <v>5.5621500000000008</v>
      </c>
      <c r="H602" s="2">
        <f>'Moving Avg'!G602</f>
        <v>5.5031999999999996</v>
      </c>
      <c r="I602" s="2">
        <f>'Moving Avg'!H602</f>
        <v>5.6909999999999981</v>
      </c>
      <c r="J602" s="5" t="str">
        <f>OBV!F602</f>
        <v>BEARISH</v>
      </c>
      <c r="K602" s="5" t="str">
        <f>OBV!G602</f>
        <v>STRONG</v>
      </c>
      <c r="L602" s="5" t="str">
        <f>OBV!H602</f>
        <v>CONFIRMED BEARISH</v>
      </c>
    </row>
    <row r="603" spans="1:12" ht="13.5" x14ac:dyDescent="0.25">
      <c r="A603" s="3">
        <f>RSI!A603</f>
        <v>45798</v>
      </c>
      <c r="B603" s="2">
        <f>RSI!B603</f>
        <v>5.5679999999999996</v>
      </c>
      <c r="C603" s="2">
        <f>RSI!I603</f>
        <v>51.731627142119379</v>
      </c>
      <c r="D603" s="2">
        <f>MACD!E603</f>
        <v>7.589202114299809E-3</v>
      </c>
      <c r="E603" s="2">
        <f>MACD!F603</f>
        <v>-1.5284106212861494E-2</v>
      </c>
      <c r="F603" s="2">
        <f>'Moving Avg'!D603</f>
        <v>5.5379999999999994</v>
      </c>
      <c r="G603" s="2">
        <f>'Moving Avg'!F603</f>
        <v>5.5588500000000005</v>
      </c>
      <c r="H603" s="2">
        <f>'Moving Avg'!G603</f>
        <v>5.502819999999998</v>
      </c>
      <c r="I603" s="2">
        <f>'Moving Avg'!H603</f>
        <v>5.6892599999999973</v>
      </c>
      <c r="J603" s="5" t="str">
        <f>OBV!F603</f>
        <v>BEARISH</v>
      </c>
      <c r="K603" s="5" t="str">
        <f>OBV!G603</f>
        <v>STRONG</v>
      </c>
      <c r="L603" s="5" t="str">
        <f>OBV!H603</f>
        <v>CONFIRMED BEARISH</v>
      </c>
    </row>
    <row r="604" spans="1:12" ht="13.5" x14ac:dyDescent="0.25">
      <c r="A604" s="3">
        <f>RSI!A604</f>
        <v>45799</v>
      </c>
      <c r="B604" s="2">
        <f>RSI!B604</f>
        <v>5.5019999999999998</v>
      </c>
      <c r="C604" s="2">
        <f>RSI!I604</f>
        <v>47.148746743277762</v>
      </c>
      <c r="D604" s="2">
        <f>MACD!E604</f>
        <v>5.9029397550531826E-3</v>
      </c>
      <c r="E604" s="2">
        <f>MACD!F604</f>
        <v>-1.1046697019278559E-2</v>
      </c>
      <c r="F604" s="2">
        <f>'Moving Avg'!D604</f>
        <v>5.5397999999999987</v>
      </c>
      <c r="G604" s="2">
        <f>'Moving Avg'!F604</f>
        <v>5.5630499999999996</v>
      </c>
      <c r="H604" s="2">
        <f>'Moving Avg'!G604</f>
        <v>5.5009399999999982</v>
      </c>
      <c r="I604" s="2">
        <f>'Moving Avg'!H604</f>
        <v>5.6872849999999975</v>
      </c>
      <c r="J604" s="5" t="str">
        <f>OBV!F604</f>
        <v>BEARISH</v>
      </c>
      <c r="K604" s="5" t="str">
        <f>OBV!G604</f>
        <v>STRONG</v>
      </c>
      <c r="L604" s="5" t="str">
        <f>OBV!H604</f>
        <v>BEARISH DIVERGENCE</v>
      </c>
    </row>
    <row r="605" spans="1:12" ht="13.5" x14ac:dyDescent="0.25">
      <c r="A605" s="3">
        <f>RSI!A605</f>
        <v>45800</v>
      </c>
      <c r="B605" s="2">
        <f>RSI!B605</f>
        <v>5.5869999999999997</v>
      </c>
      <c r="C605" s="2">
        <f>RSI!I605</f>
        <v>52.931947724182244</v>
      </c>
      <c r="D605" s="2">
        <f>MACD!E605</f>
        <v>1.3578289065838689E-3</v>
      </c>
      <c r="E605" s="2">
        <f>MACD!F605</f>
        <v>-8.5657918341060738E-3</v>
      </c>
      <c r="F605" s="2">
        <f>'Moving Avg'!D605</f>
        <v>5.5641999999999996</v>
      </c>
      <c r="G605" s="2">
        <f>'Moving Avg'!F605</f>
        <v>5.5611499999999996</v>
      </c>
      <c r="H605" s="2">
        <f>'Moving Avg'!G605</f>
        <v>5.5009399999999982</v>
      </c>
      <c r="I605" s="2">
        <f>'Moving Avg'!H605</f>
        <v>5.6858299999999975</v>
      </c>
      <c r="J605" s="5" t="str">
        <f>OBV!F605</f>
        <v>BULLISH</v>
      </c>
      <c r="K605" s="5" t="str">
        <f>OBV!G605</f>
        <v>NEUTRAL</v>
      </c>
      <c r="L605" s="5" t="str">
        <f>OBV!H605</f>
        <v>CONFIRMED BULLISH</v>
      </c>
    </row>
    <row r="606" spans="1:12" ht="13.5" x14ac:dyDescent="0.25">
      <c r="A606" s="3">
        <f>RSI!A606</f>
        <v>45803</v>
      </c>
      <c r="B606" s="2">
        <f>RSI!B606</f>
        <v>5.5869999999999997</v>
      </c>
      <c r="C606" s="2">
        <f>RSI!I606</f>
        <v>52.931947724182244</v>
      </c>
      <c r="D606" s="2">
        <f>MACD!E606</f>
        <v>1.0322681331213168E-2</v>
      </c>
      <c r="E606" s="2">
        <f>MACD!F606</f>
        <v>-4.7880972010422261E-3</v>
      </c>
      <c r="F606" s="2">
        <f>'Moving Avg'!D606</f>
        <v>5.5623999999999993</v>
      </c>
      <c r="G606" s="2">
        <f>'Moving Avg'!F606</f>
        <v>5.5625499999999999</v>
      </c>
      <c r="H606" s="2">
        <f>'Moving Avg'!G606</f>
        <v>5.5009399999999991</v>
      </c>
      <c r="I606" s="2">
        <f>'Moving Avg'!H606</f>
        <v>5.6847049999999975</v>
      </c>
      <c r="J606" s="5" t="str">
        <f>OBV!F606</f>
        <v>BEARISH</v>
      </c>
      <c r="K606" s="5" t="str">
        <f>OBV!G606</f>
        <v>NEUTRAL</v>
      </c>
      <c r="L606" s="5" t="str">
        <f>OBV!H606</f>
        <v>CONFIRMED BEARISH</v>
      </c>
    </row>
    <row r="607" spans="1:12" ht="13.5" x14ac:dyDescent="0.25">
      <c r="A607" s="3">
        <f>RSI!A607</f>
        <v>45804</v>
      </c>
      <c r="B607" s="2">
        <f>RSI!B607</f>
        <v>5.625</v>
      </c>
      <c r="C607" s="2">
        <f>RSI!I607</f>
        <v>55.458960190007325</v>
      </c>
      <c r="D607" s="2">
        <f>MACD!E607</f>
        <v>1.4847022332489246E-2</v>
      </c>
      <c r="E607" s="2">
        <f>MACD!F607</f>
        <v>-8.6107329433593189E-4</v>
      </c>
      <c r="F607" s="2">
        <f>'Moving Avg'!D607</f>
        <v>5.5738000000000003</v>
      </c>
      <c r="G607" s="2">
        <f>'Moving Avg'!F607</f>
        <v>5.5715000000000003</v>
      </c>
      <c r="H607" s="2">
        <f>'Moving Avg'!G607</f>
        <v>5.5035799999999995</v>
      </c>
      <c r="I607" s="2">
        <f>'Moving Avg'!H607</f>
        <v>5.6837699999999982</v>
      </c>
      <c r="J607" s="5" t="str">
        <f>OBV!F607</f>
        <v>BULLISH</v>
      </c>
      <c r="K607" s="5" t="str">
        <f>OBV!G607</f>
        <v>NEUTRAL</v>
      </c>
      <c r="L607" s="5" t="str">
        <f>OBV!H607</f>
        <v>CONFIRMED BULLISH</v>
      </c>
    </row>
    <row r="608" spans="1:12" ht="13.5" x14ac:dyDescent="0.25">
      <c r="A608" s="3">
        <f>RSI!A608</f>
        <v>45805</v>
      </c>
      <c r="B608" s="2">
        <f>RSI!B608</f>
        <v>5.6340000000000003</v>
      </c>
      <c r="C608" s="2">
        <f>RSI!I608</f>
        <v>56.0606578244848</v>
      </c>
      <c r="D608" s="2">
        <f>MACD!E608</f>
        <v>1.7555870440809862E-2</v>
      </c>
      <c r="E608" s="2">
        <f>MACD!F608</f>
        <v>2.8223154526932272E-3</v>
      </c>
      <c r="F608" s="2">
        <f>'Moving Avg'!D608</f>
        <v>5.5869999999999997</v>
      </c>
      <c r="G608" s="2">
        <f>'Moving Avg'!F608</f>
        <v>5.5809000000000006</v>
      </c>
      <c r="H608" s="2">
        <f>'Moving Avg'!G608</f>
        <v>5.5069599999999994</v>
      </c>
      <c r="I608" s="2">
        <f>'Moving Avg'!H608</f>
        <v>5.682879999999999</v>
      </c>
      <c r="J608" s="5" t="str">
        <f>OBV!F608</f>
        <v>BULLISH</v>
      </c>
      <c r="K608" s="5" t="str">
        <f>OBV!G608</f>
        <v>WEAK</v>
      </c>
      <c r="L608" s="5" t="str">
        <f>OBV!H608</f>
        <v>CONFIRMED BULLISH</v>
      </c>
    </row>
    <row r="609" spans="1:12" ht="13.5" x14ac:dyDescent="0.25">
      <c r="A609" s="3">
        <f>RSI!A609</f>
        <v>45806</v>
      </c>
      <c r="B609" s="2">
        <f>RSI!B609</f>
        <v>5.6340000000000003</v>
      </c>
      <c r="C609" s="2">
        <f>RSI!I609</f>
        <v>56.0606578244848</v>
      </c>
      <c r="D609" s="2">
        <f>MACD!E609</f>
        <v>-9.3213597507268986E-4</v>
      </c>
      <c r="E609" s="2">
        <f>MACD!F609</f>
        <v>2.071425167140044E-3</v>
      </c>
      <c r="F609" s="2">
        <f>'Moving Avg'!D609</f>
        <v>5.6134000000000004</v>
      </c>
      <c r="G609" s="2">
        <f>'Moving Avg'!F609</f>
        <v>5.5809000000000006</v>
      </c>
      <c r="H609" s="2">
        <f>'Moving Avg'!G609</f>
        <v>5.5112799999999993</v>
      </c>
      <c r="I609" s="2">
        <f>'Moving Avg'!H609</f>
        <v>5.6819899999999981</v>
      </c>
      <c r="J609" s="5" t="str">
        <f>OBV!F609</f>
        <v>BULLISH</v>
      </c>
      <c r="K609" s="5" t="str">
        <f>OBV!G609</f>
        <v>WEAK</v>
      </c>
      <c r="L609" s="5" t="str">
        <f>OBV!H609</f>
        <v>CONFIRMED BULLISH</v>
      </c>
    </row>
    <row r="610" spans="1:12" ht="13.5" x14ac:dyDescent="0.25">
      <c r="A610" s="3">
        <f>RSI!A610</f>
        <v>45807</v>
      </c>
      <c r="B610" s="2">
        <f>RSI!B610</f>
        <v>5.625</v>
      </c>
      <c r="C610" s="2">
        <f>RSI!I610</f>
        <v>55.195900709093159</v>
      </c>
      <c r="D610" s="2">
        <f>MACD!E610</f>
        <v>-2.0654281902330318E-2</v>
      </c>
      <c r="E610" s="2">
        <f>MACD!F610</f>
        <v>-2.4737162467540286E-3</v>
      </c>
      <c r="F610" s="2">
        <f>'Moving Avg'!D610</f>
        <v>5.6210000000000004</v>
      </c>
      <c r="G610" s="2">
        <f>'Moving Avg'!F610</f>
        <v>5.5804500000000008</v>
      </c>
      <c r="H610" s="2">
        <f>'Moving Avg'!G610</f>
        <v>5.5154200000000007</v>
      </c>
      <c r="I610" s="2">
        <f>'Moving Avg'!H610</f>
        <v>5.6811949999999989</v>
      </c>
      <c r="J610" s="5" t="str">
        <f>OBV!F610</f>
        <v>BULLISH</v>
      </c>
      <c r="K610" s="5" t="str">
        <f>OBV!G610</f>
        <v>NEUTRAL</v>
      </c>
      <c r="L610" s="5" t="str">
        <f>OBV!H610</f>
        <v>CONFIRMED BULLISH</v>
      </c>
    </row>
    <row r="611" spans="1:12" ht="13.5" x14ac:dyDescent="0.25">
      <c r="A611" s="3">
        <f>RSI!A611</f>
        <v>45810</v>
      </c>
      <c r="B611" s="2">
        <f>RSI!B611</f>
        <v>5.6150000000000002</v>
      </c>
      <c r="C611" s="2">
        <f>RSI!I611</f>
        <v>54.195573809674386</v>
      </c>
      <c r="D611" s="2">
        <f>MACD!E611</f>
        <v>-1.6799504131351561E-2</v>
      </c>
      <c r="E611" s="2">
        <f>MACD!F611</f>
        <v>-5.3388738236735348E-3</v>
      </c>
      <c r="F611" s="2">
        <f>'Moving Avg'!D611</f>
        <v>5.6266000000000007</v>
      </c>
      <c r="G611" s="2">
        <f>'Moving Avg'!F611</f>
        <v>5.5795000000000003</v>
      </c>
      <c r="H611" s="2">
        <f>'Moving Avg'!G611</f>
        <v>5.5193600000000007</v>
      </c>
      <c r="I611" s="2">
        <f>'Moving Avg'!H611</f>
        <v>5.680629999999999</v>
      </c>
      <c r="J611" s="5" t="str">
        <f>OBV!F611</f>
        <v>BEARISH</v>
      </c>
      <c r="K611" s="5" t="str">
        <f>OBV!G611</f>
        <v>NEUTRAL</v>
      </c>
      <c r="L611" s="5" t="str">
        <f>OBV!H611</f>
        <v>BEARISH DIVERGENCE</v>
      </c>
    </row>
    <row r="612" spans="1:12" ht="13.5" x14ac:dyDescent="0.25">
      <c r="A612" s="3">
        <f>RSI!A612</f>
        <v>45811</v>
      </c>
      <c r="B612" s="2">
        <f>RSI!B612</f>
        <v>5.6150000000000002</v>
      </c>
      <c r="C612" s="2">
        <f>RSI!I612</f>
        <v>54.195573809674379</v>
      </c>
      <c r="D612" s="2">
        <f>MACD!E612</f>
        <v>-1.8112148280797769E-2</v>
      </c>
      <c r="E612" s="2">
        <f>MACD!F612</f>
        <v>-7.8935287150983819E-3</v>
      </c>
      <c r="F612" s="2">
        <f>'Moving Avg'!D612</f>
        <v>5.6246000000000009</v>
      </c>
      <c r="G612" s="2">
        <f>'Moving Avg'!F612</f>
        <v>5.5785499999999999</v>
      </c>
      <c r="H612" s="2">
        <f>'Moving Avg'!G612</f>
        <v>5.5208600000000017</v>
      </c>
      <c r="I612" s="2">
        <f>'Moving Avg'!H612</f>
        <v>5.680114999999998</v>
      </c>
      <c r="J612" s="5" t="str">
        <f>OBV!F612</f>
        <v>BEARISH</v>
      </c>
      <c r="K612" s="5" t="str">
        <f>OBV!G612</f>
        <v>NEUTRAL</v>
      </c>
      <c r="L612" s="5" t="str">
        <f>OBV!H612</f>
        <v>CONFIRMED BEARISH</v>
      </c>
    </row>
    <row r="613" spans="1:12" ht="13.5" x14ac:dyDescent="0.25">
      <c r="A613" s="3">
        <f>RSI!A613</f>
        <v>45812</v>
      </c>
      <c r="B613" s="2">
        <f>RSI!B613</f>
        <v>5.5209999999999999</v>
      </c>
      <c r="C613" s="2">
        <f>RSI!I613</f>
        <v>45.254423776592894</v>
      </c>
      <c r="D613" s="2">
        <f>MACD!E613</f>
        <v>-1.2506816508644825E-2</v>
      </c>
      <c r="E613" s="2">
        <f>MACD!F613</f>
        <v>-8.8161862738076711E-3</v>
      </c>
      <c r="F613" s="2">
        <f>'Moving Avg'!D613</f>
        <v>5.6020000000000012</v>
      </c>
      <c r="G613" s="2">
        <f>'Moving Avg'!F613</f>
        <v>5.5785499999999999</v>
      </c>
      <c r="H613" s="2">
        <f>'Moving Avg'!G613</f>
        <v>5.5229200000000018</v>
      </c>
      <c r="I613" s="2">
        <f>'Moving Avg'!H613</f>
        <v>5.6791299999999989</v>
      </c>
      <c r="J613" s="5" t="str">
        <f>OBV!F613</f>
        <v>BEARISH</v>
      </c>
      <c r="K613" s="5" t="str">
        <f>OBV!G613</f>
        <v>STRONG</v>
      </c>
      <c r="L613" s="5" t="str">
        <f>OBV!H613</f>
        <v>CONFIRMED BEARISH</v>
      </c>
    </row>
    <row r="614" spans="1:12" ht="13.5" x14ac:dyDescent="0.25">
      <c r="A614" s="3">
        <f>RSI!A614</f>
        <v>45813</v>
      </c>
      <c r="B614" s="2">
        <f>RSI!B614</f>
        <v>5.5209999999999999</v>
      </c>
      <c r="C614" s="2">
        <f>RSI!I614</f>
        <v>45.254423776592894</v>
      </c>
      <c r="D614" s="2">
        <f>MACD!E614</f>
        <v>-1.7590880601589198E-2</v>
      </c>
      <c r="E614" s="2">
        <f>MACD!F614</f>
        <v>-1.0571125139363978E-2</v>
      </c>
      <c r="F614" s="2">
        <f>'Moving Avg'!D614</f>
        <v>5.5794000000000006</v>
      </c>
      <c r="G614" s="2">
        <f>'Moving Avg'!F614</f>
        <v>5.5785499999999999</v>
      </c>
      <c r="H614" s="2">
        <f>'Moving Avg'!G614</f>
        <v>5.524420000000001</v>
      </c>
      <c r="I614" s="2">
        <f>'Moving Avg'!H614</f>
        <v>5.6781449999999998</v>
      </c>
      <c r="J614" s="5" t="str">
        <f>OBV!F614</f>
        <v>BEARISH</v>
      </c>
      <c r="K614" s="5" t="str">
        <f>OBV!G614</f>
        <v>STRONG</v>
      </c>
      <c r="L614" s="5" t="str">
        <f>OBV!H614</f>
        <v>CONFIRMED BEARISH</v>
      </c>
    </row>
    <row r="615" spans="1:12" ht="13.5" x14ac:dyDescent="0.25">
      <c r="A615" s="3">
        <f>RSI!A615</f>
        <v>45817</v>
      </c>
      <c r="B615" s="2">
        <f>RSI!B615</f>
        <v>5.5679999999999996</v>
      </c>
      <c r="C615" s="2">
        <f>RSI!I615</f>
        <v>50.034543702273801</v>
      </c>
      <c r="D615" s="2">
        <f>MACD!E615</f>
        <v>-1.1994738445331166E-2</v>
      </c>
      <c r="E615" s="2">
        <f>MACD!F615</f>
        <v>-1.0855847800557416E-2</v>
      </c>
      <c r="F615" s="2">
        <f>'Moving Avg'!D615</f>
        <v>5.5680000000000005</v>
      </c>
      <c r="G615" s="2">
        <f>'Moving Avg'!F615</f>
        <v>5.5799499999999993</v>
      </c>
      <c r="H615" s="2">
        <f>'Moving Avg'!G615</f>
        <v>5.5278000000000009</v>
      </c>
      <c r="I615" s="2">
        <f>'Moving Avg'!H615</f>
        <v>5.6773949999999989</v>
      </c>
      <c r="J615" s="5" t="str">
        <f>OBV!F615</f>
        <v>BEARISH</v>
      </c>
      <c r="K615" s="5" t="str">
        <f>OBV!G615</f>
        <v>NEUTRAL</v>
      </c>
      <c r="L615" s="5" t="str">
        <f>OBV!H615</f>
        <v>CONFIRMED BEARISH</v>
      </c>
    </row>
    <row r="616" spans="1:12" ht="13.5" x14ac:dyDescent="0.25">
      <c r="A616" s="3">
        <f>RSI!A616</f>
        <v>45818</v>
      </c>
      <c r="B616" s="2">
        <f>RSI!B616</f>
        <v>5.6150000000000002</v>
      </c>
      <c r="C616" s="2">
        <f>RSI!I616</f>
        <v>54.329061262887741</v>
      </c>
      <c r="D616" s="2">
        <f>MACD!E616</f>
        <v>-1.0738561673957037E-2</v>
      </c>
      <c r="E616" s="2">
        <f>MACD!F616</f>
        <v>-1.0832390575237341E-2</v>
      </c>
      <c r="F616" s="2">
        <f>'Moving Avg'!D616</f>
        <v>5.5680000000000005</v>
      </c>
      <c r="G616" s="2">
        <f>'Moving Avg'!F616</f>
        <v>5.5794499999999996</v>
      </c>
      <c r="H616" s="2">
        <f>'Moving Avg'!G616</f>
        <v>5.5323000000000011</v>
      </c>
      <c r="I616" s="2">
        <f>'Moving Avg'!H616</f>
        <v>5.6772999999999989</v>
      </c>
      <c r="J616" s="5" t="str">
        <f>OBV!F616</f>
        <v>BULLISH</v>
      </c>
      <c r="K616" s="5" t="str">
        <f>OBV!G616</f>
        <v>NEUTRAL</v>
      </c>
      <c r="L616" s="5" t="str">
        <f>OBV!H616</f>
        <v>NEUTRAL</v>
      </c>
    </row>
    <row r="617" spans="1:12" ht="13.5" x14ac:dyDescent="0.25">
      <c r="A617" s="3">
        <f>RSI!A617</f>
        <v>45819</v>
      </c>
      <c r="B617" s="2">
        <f>RSI!B617</f>
        <v>5.6150000000000002</v>
      </c>
      <c r="C617" s="2">
        <f>RSI!I617</f>
        <v>54.329061262887741</v>
      </c>
      <c r="D617" s="2">
        <f>MACD!E617</f>
        <v>-4.1049352955422336E-3</v>
      </c>
      <c r="E617" s="2">
        <f>MACD!F617</f>
        <v>-9.4868995192983196E-3</v>
      </c>
      <c r="F617" s="2">
        <f>'Moving Avg'!D617</f>
        <v>5.5680000000000005</v>
      </c>
      <c r="G617" s="2">
        <f>'Moving Avg'!F617</f>
        <v>5.578949999999999</v>
      </c>
      <c r="H617" s="2">
        <f>'Moving Avg'!G617</f>
        <v>5.5364200000000006</v>
      </c>
      <c r="I617" s="2">
        <f>'Moving Avg'!H617</f>
        <v>5.6772049999999989</v>
      </c>
      <c r="J617" s="5" t="str">
        <f>OBV!F617</f>
        <v>BULLISH</v>
      </c>
      <c r="K617" s="5" t="str">
        <f>OBV!G617</f>
        <v>NEUTRAL</v>
      </c>
      <c r="L617" s="5" t="str">
        <f>OBV!H617</f>
        <v>NEUTRAL</v>
      </c>
    </row>
    <row r="618" spans="1:12" ht="13.5" x14ac:dyDescent="0.25">
      <c r="A618" s="3">
        <f>RSI!A618</f>
        <v>45820</v>
      </c>
      <c r="B618" s="2">
        <f>RSI!B618</f>
        <v>5.6150000000000002</v>
      </c>
      <c r="C618" s="2">
        <f>RSI!I618</f>
        <v>54.329061262887748</v>
      </c>
      <c r="D618" s="2">
        <f>MACD!E618</f>
        <v>2.6377057165563045E-3</v>
      </c>
      <c r="E618" s="2">
        <f>MACD!F618</f>
        <v>-7.0619784721273953E-3</v>
      </c>
      <c r="F618" s="2">
        <f>'Moving Avg'!D618</f>
        <v>5.5868000000000011</v>
      </c>
      <c r="G618" s="2">
        <f>'Moving Avg'!F618</f>
        <v>5.5784499999999984</v>
      </c>
      <c r="H618" s="2">
        <f>'Moving Avg'!G618</f>
        <v>5.5379200000000006</v>
      </c>
      <c r="I618" s="2">
        <f>'Moving Avg'!H618</f>
        <v>5.677109999999999</v>
      </c>
      <c r="J618" s="5" t="str">
        <f>OBV!F618</f>
        <v>BULLISH</v>
      </c>
      <c r="K618" s="5" t="str">
        <f>OBV!G618</f>
        <v>WEAK</v>
      </c>
      <c r="L618" s="5" t="str">
        <f>OBV!H618</f>
        <v>CONFIRMED BULLISH</v>
      </c>
    </row>
    <row r="619" spans="1:12" ht="13.5" x14ac:dyDescent="0.25">
      <c r="A619" s="3">
        <f>RSI!A619</f>
        <v>45821</v>
      </c>
      <c r="B619" s="2">
        <f>RSI!B619</f>
        <v>5.54</v>
      </c>
      <c r="C619" s="2">
        <f>RSI!I619</f>
        <v>46.383485683404579</v>
      </c>
      <c r="D619" s="2">
        <f>MACD!E619</f>
        <v>1.3662422113880801E-2</v>
      </c>
      <c r="E619" s="2">
        <f>MACD!F619</f>
        <v>-2.9170983549257567E-3</v>
      </c>
      <c r="F619" s="2">
        <f>'Moving Avg'!D619</f>
        <v>5.5906000000000002</v>
      </c>
      <c r="G619" s="2">
        <f>'Moving Avg'!F619</f>
        <v>5.5807999999999982</v>
      </c>
      <c r="H619" s="2">
        <f>'Moving Avg'!G619</f>
        <v>5.5398000000000005</v>
      </c>
      <c r="I619" s="2">
        <f>'Moving Avg'!H619</f>
        <v>5.6766399999999999</v>
      </c>
      <c r="J619" s="5" t="str">
        <f>OBV!F619</f>
        <v>BULLISH</v>
      </c>
      <c r="K619" s="5" t="str">
        <f>OBV!G619</f>
        <v>NEUTRAL</v>
      </c>
      <c r="L619" s="5" t="str">
        <f>OBV!H619</f>
        <v>CONFIRMED BULLISH</v>
      </c>
    </row>
    <row r="620" spans="1:12" ht="13.5" x14ac:dyDescent="0.25">
      <c r="A620" s="3">
        <f>RSI!A620</f>
        <v>45824</v>
      </c>
      <c r="B620" s="2">
        <f>RSI!B620</f>
        <v>5.54</v>
      </c>
      <c r="C620" s="2">
        <f>RSI!I620</f>
        <v>46.383485683404579</v>
      </c>
      <c r="D620" s="2">
        <f>MACD!E620</f>
        <v>2.1830932999375996E-2</v>
      </c>
      <c r="E620" s="2">
        <f>MACD!F620</f>
        <v>2.0325079159345936E-3</v>
      </c>
      <c r="F620" s="2">
        <f>'Moving Avg'!D620</f>
        <v>5.5849999999999991</v>
      </c>
      <c r="G620" s="2">
        <f>'Moving Avg'!F620</f>
        <v>5.5845500000000001</v>
      </c>
      <c r="H620" s="2">
        <f>'Moving Avg'!G620</f>
        <v>5.5424200000000008</v>
      </c>
      <c r="I620" s="2">
        <f>'Moving Avg'!H620</f>
        <v>5.676215</v>
      </c>
      <c r="J620" s="5" t="str">
        <f>OBV!F620</f>
        <v>BEARISH</v>
      </c>
      <c r="K620" s="5" t="str">
        <f>OBV!G620</f>
        <v>NEUTRAL</v>
      </c>
      <c r="L620" s="5" t="str">
        <f>OBV!H620</f>
        <v>CONFIRMED BEARISH</v>
      </c>
    </row>
    <row r="621" spans="1:12" ht="13.5" x14ac:dyDescent="0.25">
      <c r="A621" s="3">
        <f>RSI!A621</f>
        <v>45825</v>
      </c>
      <c r="B621" s="2">
        <f>RSI!B621</f>
        <v>5.54</v>
      </c>
      <c r="C621" s="2">
        <f>RSI!I621</f>
        <v>46.383485683404579</v>
      </c>
      <c r="D621" s="2">
        <f>MACD!E621</f>
        <v>2.7412177334172227E-2</v>
      </c>
      <c r="E621" s="2">
        <f>MACD!F621</f>
        <v>7.1084417995821211E-3</v>
      </c>
      <c r="F621" s="2">
        <f>'Moving Avg'!D621</f>
        <v>5.5699999999999994</v>
      </c>
      <c r="G621" s="2">
        <f>'Moving Avg'!F621</f>
        <v>5.5817500000000004</v>
      </c>
      <c r="H621" s="2">
        <f>'Moving Avg'!G621</f>
        <v>5.5443000000000016</v>
      </c>
      <c r="I621" s="2">
        <f>'Moving Avg'!H621</f>
        <v>5.6757450000000009</v>
      </c>
      <c r="J621" s="5" t="str">
        <f>OBV!F621</f>
        <v>BEARISH</v>
      </c>
      <c r="K621" s="5" t="str">
        <f>OBV!G621</f>
        <v>NEUTRAL</v>
      </c>
      <c r="L621" s="5" t="str">
        <f>OBV!H621</f>
        <v>CONFIRMED BEARISH</v>
      </c>
    </row>
    <row r="622" spans="1:12" ht="13.5" x14ac:dyDescent="0.25">
      <c r="A622" s="3">
        <f>RSI!A622</f>
        <v>45826</v>
      </c>
      <c r="B622" s="2">
        <f>RSI!B622</f>
        <v>5.5869999999999997</v>
      </c>
      <c r="C622" s="2">
        <f>RSI!I622</f>
        <v>51.890482301652447</v>
      </c>
      <c r="D622" s="2">
        <f>MACD!E622</f>
        <v>2.8845777000076289E-2</v>
      </c>
      <c r="E622" s="2">
        <f>MACD!F622</f>
        <v>1.1455908839680956E-2</v>
      </c>
      <c r="F622" s="2">
        <f>'Moving Avg'!D622</f>
        <v>5.5644</v>
      </c>
      <c r="G622" s="2">
        <f>'Moving Avg'!F622</f>
        <v>5.5827000000000009</v>
      </c>
      <c r="H622" s="2">
        <f>'Moving Avg'!G622</f>
        <v>5.5475000000000012</v>
      </c>
      <c r="I622" s="2">
        <f>'Moving Avg'!H622</f>
        <v>5.6755100000000001</v>
      </c>
      <c r="J622" s="5" t="str">
        <f>OBV!F622</f>
        <v>BEARISH</v>
      </c>
      <c r="K622" s="5" t="str">
        <f>OBV!G622</f>
        <v>NEUTRAL</v>
      </c>
      <c r="L622" s="5" t="str">
        <f>OBV!H622</f>
        <v>CONFIRMED BEARISH</v>
      </c>
    </row>
    <row r="623" spans="1:12" ht="13.5" x14ac:dyDescent="0.25">
      <c r="A623" s="3">
        <f>RSI!A623</f>
        <v>45827</v>
      </c>
      <c r="B623" s="2">
        <f>RSI!B623</f>
        <v>5.54</v>
      </c>
      <c r="C623" s="2">
        <f>RSI!I623</f>
        <v>46.722436015632951</v>
      </c>
      <c r="D623" s="2">
        <f>MACD!E623</f>
        <v>1.8979272157121585E-2</v>
      </c>
      <c r="E623" s="2">
        <f>MACD!F623</f>
        <v>1.2960581503169083E-2</v>
      </c>
      <c r="F623" s="2">
        <f>'Moving Avg'!D623</f>
        <v>5.5494000000000003</v>
      </c>
      <c r="G623" s="2">
        <f>'Moving Avg'!F623</f>
        <v>5.5813000000000006</v>
      </c>
      <c r="H623" s="2">
        <f>'Moving Avg'!G623</f>
        <v>5.548440000000002</v>
      </c>
      <c r="I623" s="2">
        <f>'Moving Avg'!H623</f>
        <v>5.6748050000000001</v>
      </c>
      <c r="J623" s="5" t="str">
        <f>OBV!F623</f>
        <v>BEARISH</v>
      </c>
      <c r="K623" s="5" t="str">
        <f>OBV!G623</f>
        <v>NEUTRAL</v>
      </c>
      <c r="L623" s="5" t="str">
        <f>OBV!H623</f>
        <v>CONFIRMED BEARISH</v>
      </c>
    </row>
    <row r="624" spans="1:12" ht="13.5" x14ac:dyDescent="0.25">
      <c r="A624" s="3">
        <f>RSI!A624</f>
        <v>45828</v>
      </c>
      <c r="B624" s="2">
        <f>RSI!B624</f>
        <v>5.54</v>
      </c>
      <c r="C624" s="2">
        <f>RSI!I624</f>
        <v>46.722436015632951</v>
      </c>
      <c r="D624" s="2">
        <f>MACD!E624</f>
        <v>1.0816292326806476E-2</v>
      </c>
      <c r="E624" s="2">
        <f>MACD!F624</f>
        <v>1.2531723667896563E-2</v>
      </c>
      <c r="F624" s="2">
        <f>'Moving Avg'!D624</f>
        <v>5.5494000000000003</v>
      </c>
      <c r="G624" s="2">
        <f>'Moving Avg'!F624</f>
        <v>5.5832000000000015</v>
      </c>
      <c r="H624" s="2">
        <f>'Moving Avg'!G624</f>
        <v>5.5493800000000011</v>
      </c>
      <c r="I624" s="2">
        <f>'Moving Avg'!H624</f>
        <v>5.6743350000000001</v>
      </c>
      <c r="J624" s="5" t="str">
        <f>OBV!F624</f>
        <v>BEARISH</v>
      </c>
      <c r="K624" s="5" t="str">
        <f>OBV!G624</f>
        <v>NEUTRAL</v>
      </c>
      <c r="L624" s="5" t="str">
        <f>OBV!H624</f>
        <v>NEUTRAL</v>
      </c>
    </row>
    <row r="625" spans="1:12" ht="13.5" x14ac:dyDescent="0.25">
      <c r="A625" s="3">
        <f>RSI!A625</f>
        <v>45831</v>
      </c>
      <c r="B625" s="2">
        <f>RSI!B625</f>
        <v>5.5869999999999997</v>
      </c>
      <c r="C625" s="2">
        <f>RSI!I625</f>
        <v>52.23914582053829</v>
      </c>
      <c r="D625" s="2">
        <f>MACD!E625</f>
        <v>7.8302962508978169E-3</v>
      </c>
      <c r="E625" s="2">
        <f>MACD!F625</f>
        <v>1.1591438184496813E-2</v>
      </c>
      <c r="F625" s="2">
        <f>'Moving Avg'!D625</f>
        <v>5.5587999999999997</v>
      </c>
      <c r="G625" s="2">
        <f>'Moving Avg'!F625</f>
        <v>5.5832000000000015</v>
      </c>
      <c r="H625" s="2">
        <f>'Moving Avg'!G625</f>
        <v>5.5531400000000009</v>
      </c>
      <c r="I625" s="2">
        <f>'Moving Avg'!H625</f>
        <v>5.6739599999999992</v>
      </c>
      <c r="J625" s="5" t="str">
        <f>OBV!F625</f>
        <v>BULLISH</v>
      </c>
      <c r="K625" s="5" t="str">
        <f>OBV!G625</f>
        <v>NEUTRAL</v>
      </c>
      <c r="L625" s="5" t="str">
        <f>OBV!H625</f>
        <v>CONFIRMED BULLISH</v>
      </c>
    </row>
    <row r="626" spans="1:12" ht="13.5" x14ac:dyDescent="0.25">
      <c r="A626" s="3">
        <f>RSI!A626</f>
        <v>45832</v>
      </c>
      <c r="B626" s="2">
        <f>RSI!B626</f>
        <v>5.6340000000000003</v>
      </c>
      <c r="C626" s="2">
        <f>RSI!I626</f>
        <v>57.03072321738987</v>
      </c>
      <c r="D626" s="2">
        <f>MACD!E626</f>
        <v>8.9343700233230905E-3</v>
      </c>
      <c r="E626" s="2">
        <f>MACD!F626</f>
        <v>1.1060024552262069E-2</v>
      </c>
      <c r="F626" s="2">
        <f>'Moving Avg'!D626</f>
        <v>5.5775999999999994</v>
      </c>
      <c r="G626" s="2">
        <f>'Moving Avg'!F626</f>
        <v>5.5855500000000022</v>
      </c>
      <c r="H626" s="2">
        <f>'Moving Avg'!G626</f>
        <v>5.5572800000000022</v>
      </c>
      <c r="I626" s="2">
        <f>'Moving Avg'!H626</f>
        <v>5.6739599999999992</v>
      </c>
      <c r="J626" s="5" t="str">
        <f>OBV!F626</f>
        <v>BULLISH</v>
      </c>
      <c r="K626" s="5" t="str">
        <f>OBV!G626</f>
        <v>WEAK</v>
      </c>
      <c r="L626" s="5" t="str">
        <f>OBV!H626</f>
        <v>CONFIRMED BULLISH</v>
      </c>
    </row>
    <row r="627" spans="1:12" ht="13.5" x14ac:dyDescent="0.25">
      <c r="A627" s="3">
        <f>RSI!A627</f>
        <v>45833</v>
      </c>
      <c r="B627" s="2">
        <f>RSI!B627</f>
        <v>5.5869999999999997</v>
      </c>
      <c r="C627" s="2">
        <f>RSI!I627</f>
        <v>51.469838276709169</v>
      </c>
      <c r="D627" s="2">
        <f>MACD!E627</f>
        <v>1.2962526169545185E-2</v>
      </c>
      <c r="E627" s="2">
        <f>MACD!F627</f>
        <v>1.1440524875718693E-2</v>
      </c>
      <c r="F627" s="2">
        <f>'Moving Avg'!D627</f>
        <v>5.5776000000000003</v>
      </c>
      <c r="G627" s="2">
        <f>'Moving Avg'!F627</f>
        <v>5.5836500000000022</v>
      </c>
      <c r="H627" s="2">
        <f>'Moving Avg'!G627</f>
        <v>5.5604800000000001</v>
      </c>
      <c r="I627" s="2">
        <f>'Moving Avg'!H627</f>
        <v>5.6737249999999992</v>
      </c>
      <c r="J627" s="5" t="str">
        <f>OBV!F627</f>
        <v>BEARISH</v>
      </c>
      <c r="K627" s="5" t="str">
        <f>OBV!G627</f>
        <v>NEUTRAL</v>
      </c>
      <c r="L627" s="5" t="str">
        <f>OBV!H627</f>
        <v>NEUTRAL</v>
      </c>
    </row>
    <row r="628" spans="1:12" ht="13.5" x14ac:dyDescent="0.25">
      <c r="A628" s="3">
        <f>RSI!A628</f>
        <v>45835</v>
      </c>
      <c r="B628" s="2">
        <f>RSI!B628</f>
        <v>5.5209999999999999</v>
      </c>
      <c r="C628" s="2">
        <f>RSI!I628</f>
        <v>44.855565155211394</v>
      </c>
      <c r="D628" s="2">
        <f>MACD!E628</f>
        <v>2.1178745074197813E-2</v>
      </c>
      <c r="E628" s="2">
        <f>MACD!F628</f>
        <v>1.3388168915414517E-2</v>
      </c>
      <c r="F628" s="2">
        <f>'Moving Avg'!D628</f>
        <v>5.5738000000000003</v>
      </c>
      <c r="G628" s="2">
        <f>'Moving Avg'!F628</f>
        <v>5.5780000000000021</v>
      </c>
      <c r="H628" s="2">
        <f>'Moving Avg'!G628</f>
        <v>5.56236</v>
      </c>
      <c r="I628" s="2">
        <f>'Moving Avg'!H628</f>
        <v>5.6731599999999993</v>
      </c>
      <c r="J628" s="5" t="str">
        <f>OBV!F628</f>
        <v>BEARISH</v>
      </c>
      <c r="K628" s="5" t="str">
        <f>OBV!G628</f>
        <v>NEUTRAL</v>
      </c>
      <c r="L628" s="5" t="str">
        <f>OBV!H628</f>
        <v>CONFIRMED BEARISH</v>
      </c>
    </row>
    <row r="629" spans="1:12" ht="13.5" x14ac:dyDescent="0.25">
      <c r="A629" s="3">
        <f>RSI!A629</f>
        <v>45838</v>
      </c>
      <c r="B629" s="2">
        <f>RSI!B629</f>
        <v>5.5209999999999999</v>
      </c>
      <c r="C629" s="2">
        <f>RSI!I629</f>
        <v>44.855565155211401</v>
      </c>
      <c r="D629" s="2">
        <f>MACD!E629</f>
        <v>1.6907363930274144E-2</v>
      </c>
      <c r="E629" s="2">
        <f>MACD!F629</f>
        <v>1.4092007918386443E-2</v>
      </c>
      <c r="F629" s="2">
        <f>'Moving Avg'!D629</f>
        <v>5.57</v>
      </c>
      <c r="G629" s="2">
        <f>'Moving Avg'!F629</f>
        <v>5.5723500000000019</v>
      </c>
      <c r="H629" s="2">
        <f>'Moving Avg'!G629</f>
        <v>5.5642399999999999</v>
      </c>
      <c r="I629" s="2">
        <f>'Moving Avg'!H629</f>
        <v>5.6726899999999993</v>
      </c>
      <c r="J629" s="5" t="str">
        <f>OBV!F629</f>
        <v>BEARISH</v>
      </c>
      <c r="K629" s="5" t="str">
        <f>OBV!G629</f>
        <v>NEUTRAL</v>
      </c>
      <c r="L629" s="5" t="str">
        <f>OBV!H629</f>
        <v>CONFIRMED BEARISH</v>
      </c>
    </row>
    <row r="630" spans="1:12" ht="13.5" x14ac:dyDescent="0.25">
      <c r="A630" s="3">
        <f>RSI!A630</f>
        <v>45839</v>
      </c>
      <c r="B630" s="2">
        <f>RSI!B630</f>
        <v>5.5119999999999996</v>
      </c>
      <c r="C630" s="2">
        <f>RSI!I630</f>
        <v>43.962103889249967</v>
      </c>
      <c r="D630" s="2">
        <f>MACD!E630</f>
        <v>1.4251354613179501E-2</v>
      </c>
      <c r="E630" s="2">
        <f>MACD!F630</f>
        <v>1.4123877257345055E-2</v>
      </c>
      <c r="F630" s="2">
        <f>'Moving Avg'!D630</f>
        <v>5.5550000000000006</v>
      </c>
      <c r="G630" s="2">
        <f>'Moving Avg'!F630</f>
        <v>5.5667000000000018</v>
      </c>
      <c r="H630" s="2">
        <f>'Moving Avg'!G630</f>
        <v>5.5655600000000005</v>
      </c>
      <c r="I630" s="2">
        <f>'Moving Avg'!H630</f>
        <v>5.6721749999999984</v>
      </c>
      <c r="J630" s="5" t="str">
        <f>OBV!F630</f>
        <v>BEARISH</v>
      </c>
      <c r="K630" s="5" t="str">
        <f>OBV!G630</f>
        <v>STRONG</v>
      </c>
      <c r="L630" s="5" t="str">
        <f>OBV!H630</f>
        <v>CONFIRMED BEARISH</v>
      </c>
    </row>
    <row r="631" spans="1:12" ht="13.5" x14ac:dyDescent="0.25">
      <c r="A631" s="3">
        <f>RSI!A631</f>
        <v>45840</v>
      </c>
      <c r="B631" s="2">
        <f>RSI!B631</f>
        <v>5.5119999999999996</v>
      </c>
      <c r="C631" s="2">
        <f>RSI!I631</f>
        <v>43.962103889249967</v>
      </c>
      <c r="D631" s="2">
        <f>MACD!E631</f>
        <v>1.2327115352058549E-2</v>
      </c>
      <c r="E631" s="2">
        <f>MACD!F631</f>
        <v>1.3764524876287754E-2</v>
      </c>
      <c r="F631" s="2">
        <f>'Moving Avg'!D631</f>
        <v>5.5306000000000006</v>
      </c>
      <c r="G631" s="2">
        <f>'Moving Avg'!F631</f>
        <v>5.5615500000000013</v>
      </c>
      <c r="H631" s="2">
        <f>'Moving Avg'!G631</f>
        <v>5.5668800000000003</v>
      </c>
      <c r="I631" s="2">
        <f>'Moving Avg'!H631</f>
        <v>5.6716599999999984</v>
      </c>
      <c r="J631" s="5" t="str">
        <f>OBV!F631</f>
        <v>BEARISH</v>
      </c>
      <c r="K631" s="5" t="str">
        <f>OBV!G631</f>
        <v>STRONG</v>
      </c>
      <c r="L631" s="5" t="str">
        <f>OBV!H631</f>
        <v>CONFIRMED BEARISH</v>
      </c>
    </row>
    <row r="632" spans="1:12" ht="13.5" x14ac:dyDescent="0.25">
      <c r="A632" s="3">
        <f>RSI!A632</f>
        <v>45841</v>
      </c>
      <c r="B632" s="2">
        <f>RSI!B632</f>
        <v>5.5869999999999997</v>
      </c>
      <c r="C632" s="2">
        <f>RSI!I632</f>
        <v>53.008346729133727</v>
      </c>
      <c r="D632" s="2">
        <f>MACD!E632</f>
        <v>1.2673342536626109E-2</v>
      </c>
      <c r="E632" s="2">
        <f>MACD!F632</f>
        <v>1.3546288408355426E-2</v>
      </c>
      <c r="F632" s="2">
        <f>'Moving Avg'!D632</f>
        <v>5.5305999999999997</v>
      </c>
      <c r="G632" s="2">
        <f>'Moving Avg'!F632</f>
        <v>5.560150000000001</v>
      </c>
      <c r="H632" s="2">
        <f>'Moving Avg'!G632</f>
        <v>5.5687600000000002</v>
      </c>
      <c r="I632" s="2">
        <f>'Moving Avg'!H632</f>
        <v>5.6715199999999983</v>
      </c>
      <c r="J632" s="5" t="str">
        <f>OBV!F632</f>
        <v>BEARISH</v>
      </c>
      <c r="K632" s="5" t="str">
        <f>OBV!G632</f>
        <v>NEUTRAL</v>
      </c>
      <c r="L632" s="5" t="str">
        <f>OBV!H632</f>
        <v>NEUTRAL</v>
      </c>
    </row>
    <row r="633" spans="1:12" ht="13.5" x14ac:dyDescent="0.25">
      <c r="A633" s="3">
        <f>RSI!A633</f>
        <v>45842</v>
      </c>
      <c r="B633" s="2">
        <f>RSI!B633</f>
        <v>5.72</v>
      </c>
      <c r="C633" s="2">
        <f>RSI!I633</f>
        <v>64.081662955874322</v>
      </c>
      <c r="D633" s="2">
        <f>MACD!E633</f>
        <v>-4.2824434872787975E-3</v>
      </c>
      <c r="E633" s="2">
        <f>MACD!F633</f>
        <v>9.9805420292285833E-3</v>
      </c>
      <c r="F633" s="2">
        <f>'Moving Avg'!D633</f>
        <v>5.5703999999999994</v>
      </c>
      <c r="G633" s="2">
        <f>'Moving Avg'!F633</f>
        <v>5.5701000000000009</v>
      </c>
      <c r="H633" s="2">
        <f>'Moving Avg'!G633</f>
        <v>5.5704799999999999</v>
      </c>
      <c r="I633" s="2">
        <f>'Moving Avg'!H633</f>
        <v>5.671949999999998</v>
      </c>
      <c r="J633" s="5" t="str">
        <f>OBV!F633</f>
        <v>BEARISH</v>
      </c>
      <c r="K633" s="5" t="str">
        <f>OBV!G633</f>
        <v>NEUTRAL</v>
      </c>
      <c r="L633" s="5" t="str">
        <f>OBV!H633</f>
        <v>CONFIRMED BEARISH</v>
      </c>
    </row>
    <row r="634" spans="1:12" ht="13.5" x14ac:dyDescent="0.25">
      <c r="A634" s="3">
        <f>RSI!A634</f>
        <v>45845</v>
      </c>
      <c r="B634" s="2">
        <f>RSI!B634</f>
        <v>5.72</v>
      </c>
      <c r="C634" s="2">
        <f>RSI!I634</f>
        <v>64.081662955874322</v>
      </c>
      <c r="D634" s="2">
        <f>MACD!E634</f>
        <v>-1.9569370503303318E-2</v>
      </c>
      <c r="E634" s="2">
        <f>MACD!F634</f>
        <v>4.0705595227222028E-3</v>
      </c>
      <c r="F634" s="2">
        <f>'Moving Avg'!D634</f>
        <v>5.610199999999999</v>
      </c>
      <c r="G634" s="2">
        <f>'Moving Avg'!F634</f>
        <v>5.5800500000000008</v>
      </c>
      <c r="H634" s="2">
        <f>'Moving Avg'!G634</f>
        <v>5.5765200000000004</v>
      </c>
      <c r="I634" s="2">
        <f>'Moving Avg'!H634</f>
        <v>5.6723799999999995</v>
      </c>
      <c r="J634" s="5" t="str">
        <f>OBV!F634</f>
        <v>BEARISH</v>
      </c>
      <c r="K634" s="5" t="str">
        <f>OBV!G634</f>
        <v>NEUTRAL</v>
      </c>
      <c r="L634" s="5" t="str">
        <f>OBV!H634</f>
        <v>CONFIRMED BEARISH</v>
      </c>
    </row>
    <row r="635" spans="1:12" ht="13.5" x14ac:dyDescent="0.25">
      <c r="A635" s="3">
        <f>RSI!A635</f>
        <v>45846</v>
      </c>
      <c r="B635" s="2">
        <f>RSI!B635</f>
        <v>5.75</v>
      </c>
      <c r="C635" s="2">
        <f>RSI!I635</f>
        <v>66.167272334748986</v>
      </c>
      <c r="D635" s="2">
        <f>MACD!E635</f>
        <v>-2.8366029897586742E-2</v>
      </c>
      <c r="E635" s="2">
        <f>MACD!F635</f>
        <v>-2.4167583613395865E-3</v>
      </c>
      <c r="F635" s="2">
        <f>'Moving Avg'!D635</f>
        <v>5.6577999999999999</v>
      </c>
      <c r="G635" s="2">
        <f>'Moving Avg'!F635</f>
        <v>5.5891500000000001</v>
      </c>
      <c r="H635" s="2">
        <f>'Moving Avg'!G635</f>
        <v>5.5790200000000008</v>
      </c>
      <c r="I635" s="2">
        <f>'Moving Avg'!H635</f>
        <v>5.672959999999998</v>
      </c>
      <c r="J635" s="5" t="str">
        <f>OBV!F635</f>
        <v>BULLISH</v>
      </c>
      <c r="K635" s="5" t="str">
        <f>OBV!G635</f>
        <v>NEUTRAL</v>
      </c>
      <c r="L635" s="5" t="str">
        <f>OBV!H635</f>
        <v>BULLISH DIVERGENCE</v>
      </c>
    </row>
    <row r="636" spans="1:12" ht="13.5" x14ac:dyDescent="0.25">
      <c r="A636" s="3">
        <f>RSI!A636</f>
        <v>45847</v>
      </c>
      <c r="B636" s="2">
        <f>RSI!B636</f>
        <v>5.7</v>
      </c>
      <c r="C636" s="2">
        <f>RSI!I636</f>
        <v>59.922194015932547</v>
      </c>
      <c r="D636" s="2">
        <f>MACD!E636</f>
        <v>-2.5857816831597269E-2</v>
      </c>
      <c r="E636" s="2">
        <f>MACD!F636</f>
        <v>-7.1049700553911235E-3</v>
      </c>
      <c r="F636" s="2">
        <f>'Moving Avg'!D636</f>
        <v>5.6953999999999994</v>
      </c>
      <c r="G636" s="2">
        <f>'Moving Avg'!F636</f>
        <v>5.5934000000000008</v>
      </c>
      <c r="H636" s="2">
        <f>'Moving Avg'!G636</f>
        <v>5.5818399999999997</v>
      </c>
      <c r="I636" s="2">
        <f>'Moving Avg'!H636</f>
        <v>5.6732899999999997</v>
      </c>
      <c r="J636" s="5" t="str">
        <f>OBV!F636</f>
        <v>BULLISH</v>
      </c>
      <c r="K636" s="5" t="str">
        <f>OBV!G636</f>
        <v>NEUTRAL</v>
      </c>
      <c r="L636" s="5" t="str">
        <f>OBV!H636</f>
        <v>BULLISH DIVERGENCE</v>
      </c>
    </row>
    <row r="637" spans="1:12" ht="13.5" x14ac:dyDescent="0.25">
      <c r="A637" s="3">
        <f>RSI!A637</f>
        <v>45848</v>
      </c>
      <c r="B637" s="2">
        <f>RSI!B637</f>
        <v>5.7</v>
      </c>
      <c r="C637" s="2">
        <f>RSI!I637</f>
        <v>59.922194015932547</v>
      </c>
      <c r="D637" s="2">
        <f>MACD!E637</f>
        <v>-3.1580922642214126E-2</v>
      </c>
      <c r="E637" s="2">
        <f>MACD!F637</f>
        <v>-1.2000160572755724E-2</v>
      </c>
      <c r="F637" s="2">
        <f>'Moving Avg'!D637</f>
        <v>5.7179999999999991</v>
      </c>
      <c r="G637" s="2">
        <f>'Moving Avg'!F637</f>
        <v>5.5976500000000007</v>
      </c>
      <c r="H637" s="2">
        <f>'Moving Avg'!G637</f>
        <v>5.5869199999999992</v>
      </c>
      <c r="I637" s="2">
        <f>'Moving Avg'!H637</f>
        <v>5.6731499999999997</v>
      </c>
      <c r="J637" s="5" t="str">
        <f>OBV!F637</f>
        <v>BEARISH</v>
      </c>
      <c r="K637" s="5" t="str">
        <f>OBV!G637</f>
        <v>NEUTRAL</v>
      </c>
      <c r="L637" s="5" t="str">
        <f>OBV!H637</f>
        <v>CONFIRMED BEARISH</v>
      </c>
    </row>
    <row r="638" spans="1:12" ht="13.5" x14ac:dyDescent="0.25">
      <c r="A638" s="3">
        <f>RSI!A638</f>
        <v>45849</v>
      </c>
      <c r="B638" s="2">
        <f>RSI!B638</f>
        <v>5.68</v>
      </c>
      <c r="C638" s="2">
        <f>RSI!I638</f>
        <v>57.408567629551065</v>
      </c>
      <c r="D638" s="2">
        <f>MACD!E638</f>
        <v>-4.566505485688932E-2</v>
      </c>
      <c r="E638" s="2">
        <f>MACD!F638</f>
        <v>-1.8733139429582442E-2</v>
      </c>
      <c r="F638" s="2">
        <f>'Moving Avg'!D638</f>
        <v>5.7099999999999991</v>
      </c>
      <c r="G638" s="2">
        <f>'Moving Avg'!F638</f>
        <v>5.6009000000000002</v>
      </c>
      <c r="H638" s="2">
        <f>'Moving Avg'!G638</f>
        <v>5.5915999999999988</v>
      </c>
      <c r="I638" s="2">
        <f>'Moving Avg'!H638</f>
        <v>5.6727250000000007</v>
      </c>
      <c r="J638" s="5" t="str">
        <f>OBV!F638</f>
        <v>BEARISH</v>
      </c>
      <c r="K638" s="5" t="str">
        <f>OBV!G638</f>
        <v>NEUTRAL</v>
      </c>
      <c r="L638" s="5" t="str">
        <f>OBV!H638</f>
        <v>CONFIRMED BEARISH</v>
      </c>
    </row>
    <row r="639" spans="1:12" ht="13.5" x14ac:dyDescent="0.25">
      <c r="A639" s="3">
        <f>RSI!A639</f>
        <v>45852</v>
      </c>
      <c r="B639" s="2">
        <f>RSI!B639</f>
        <v>5.69</v>
      </c>
      <c r="C639" s="2">
        <f>RSI!I639</f>
        <v>58.349350679746451</v>
      </c>
      <c r="D639" s="2">
        <f>MACD!E639</f>
        <v>-5.8731938445514942E-2</v>
      </c>
      <c r="E639" s="2">
        <f>MACD!F639</f>
        <v>-2.673289923276894E-2</v>
      </c>
      <c r="F639" s="2">
        <f>'Moving Avg'!D639</f>
        <v>5.7039999999999997</v>
      </c>
      <c r="G639" s="2">
        <f>'Moving Avg'!F639</f>
        <v>5.6084000000000005</v>
      </c>
      <c r="H639" s="2">
        <f>'Moving Avg'!G639</f>
        <v>5.5927199999999981</v>
      </c>
      <c r="I639" s="2">
        <f>'Moving Avg'!H639</f>
        <v>5.6723000000000017</v>
      </c>
      <c r="J639" s="5" t="str">
        <f>OBV!F639</f>
        <v>BULLISH</v>
      </c>
      <c r="K639" s="5" t="str">
        <f>OBV!G639</f>
        <v>NEUTRAL</v>
      </c>
      <c r="L639" s="5" t="str">
        <f>OBV!H639</f>
        <v>BULLISH DIVERGENCE</v>
      </c>
    </row>
    <row r="640" spans="1:12" ht="13.5" x14ac:dyDescent="0.25">
      <c r="A640" s="3">
        <f>RSI!A640</f>
        <v>45853</v>
      </c>
      <c r="B640" s="2">
        <f>RSI!B640</f>
        <v>5.67</v>
      </c>
      <c r="C640" s="2">
        <f>RSI!I640</f>
        <v>55.699431200372977</v>
      </c>
      <c r="D640" s="2">
        <f>MACD!E640</f>
        <v>-7.0129275291925808E-2</v>
      </c>
      <c r="E640" s="2">
        <f>MACD!F640</f>
        <v>-3.5412174444600319E-2</v>
      </c>
      <c r="F640" s="2">
        <f>'Moving Avg'!D640</f>
        <v>5.6879999999999997</v>
      </c>
      <c r="G640" s="2">
        <f>'Moving Avg'!F640</f>
        <v>5.6149000000000004</v>
      </c>
      <c r="H640" s="2">
        <f>'Moving Avg'!G640</f>
        <v>5.5934399999999984</v>
      </c>
      <c r="I640" s="2">
        <f>'Moving Avg'!H640</f>
        <v>5.6717750000000011</v>
      </c>
      <c r="J640" s="5" t="str">
        <f>OBV!F640</f>
        <v>BEARISH</v>
      </c>
      <c r="K640" s="5" t="str">
        <f>OBV!G640</f>
        <v>STRONG</v>
      </c>
      <c r="L640" s="5" t="str">
        <f>OBV!H640</f>
        <v>CONFIRMED BEARISH</v>
      </c>
    </row>
    <row r="641" spans="1:12" ht="13.5" x14ac:dyDescent="0.25">
      <c r="A641" s="3">
        <f>RSI!A641</f>
        <v>45854</v>
      </c>
      <c r="B641" s="2">
        <f>RSI!B641</f>
        <v>5.67</v>
      </c>
      <c r="C641" s="2">
        <f>RSI!I641</f>
        <v>55.699431200372977</v>
      </c>
      <c r="D641" s="2">
        <f>MACD!E641</f>
        <v>-8.0060188487354189E-2</v>
      </c>
      <c r="E641" s="2">
        <f>MACD!F641</f>
        <v>-4.4341777253151096E-2</v>
      </c>
      <c r="F641" s="2">
        <f>'Moving Avg'!D641</f>
        <v>5.6820000000000004</v>
      </c>
      <c r="G641" s="2">
        <f>'Moving Avg'!F641</f>
        <v>5.6213999999999995</v>
      </c>
      <c r="H641" s="2">
        <f>'Moving Avg'!G641</f>
        <v>5.5941599999999987</v>
      </c>
      <c r="I641" s="2">
        <f>'Moving Avg'!H641</f>
        <v>5.6713000000000022</v>
      </c>
      <c r="J641" s="5" t="str">
        <f>OBV!F641</f>
        <v>BEARISH</v>
      </c>
      <c r="K641" s="5" t="str">
        <f>OBV!G641</f>
        <v>NEUTRAL</v>
      </c>
      <c r="L641" s="5" t="str">
        <f>OBV!H641</f>
        <v>CONFIRMED BEARISH</v>
      </c>
    </row>
    <row r="642" spans="1:12" ht="13.5" x14ac:dyDescent="0.25">
      <c r="A642" s="3">
        <f>RSI!A642</f>
        <v>45855</v>
      </c>
      <c r="B642" s="2">
        <f>RSI!B642</f>
        <v>5.66</v>
      </c>
      <c r="C642" s="2">
        <f>RSI!I642</f>
        <v>54.270216176893221</v>
      </c>
      <c r="D642" s="2">
        <f>MACD!E642</f>
        <v>-7.6449819184770895E-2</v>
      </c>
      <c r="E642" s="2">
        <f>MACD!F642</f>
        <v>-5.0763385639475064E-2</v>
      </c>
      <c r="F642" s="2">
        <f>'Moving Avg'!D642</f>
        <v>5.6740000000000004</v>
      </c>
      <c r="G642" s="2">
        <f>'Moving Avg'!F642</f>
        <v>5.6250499999999999</v>
      </c>
      <c r="H642" s="2">
        <f>'Moving Avg'!G642</f>
        <v>5.5946799999999994</v>
      </c>
      <c r="I642" s="2">
        <f>'Moving Avg'!H642</f>
        <v>5.6707250000000018</v>
      </c>
      <c r="J642" s="5" t="str">
        <f>OBV!F642</f>
        <v>BEARISH</v>
      </c>
      <c r="K642" s="5" t="str">
        <f>OBV!G642</f>
        <v>STRONG</v>
      </c>
      <c r="L642" s="5" t="str">
        <f>OBV!H642</f>
        <v>CONFIRMED BEARISH</v>
      </c>
    </row>
    <row r="643" spans="1:12" ht="13.5" x14ac:dyDescent="0.25">
      <c r="A643" s="3">
        <f>RSI!A643</f>
        <v>45856</v>
      </c>
      <c r="B643" s="2">
        <f>RSI!B643</f>
        <v>5.7</v>
      </c>
      <c r="C643" s="2">
        <f>RSI!I643</f>
        <v>58.821765088135507</v>
      </c>
      <c r="D643" s="2">
        <f>MACD!E643</f>
        <v>-5.6083292589473643E-2</v>
      </c>
      <c r="E643" s="2">
        <f>MACD!F643</f>
        <v>-5.1827367029474783E-2</v>
      </c>
      <c r="F643" s="2">
        <f>'Moving Avg'!D643</f>
        <v>5.6779999999999999</v>
      </c>
      <c r="G643" s="2">
        <f>'Moving Avg'!F643</f>
        <v>5.6330500000000008</v>
      </c>
      <c r="H643" s="2">
        <f>'Moving Avg'!G643</f>
        <v>5.5982599999999989</v>
      </c>
      <c r="I643" s="2">
        <f>'Moving Avg'!H643</f>
        <v>5.6701150000000027</v>
      </c>
      <c r="J643" s="5" t="str">
        <f>OBV!F643</f>
        <v>BULLISH</v>
      </c>
      <c r="K643" s="5" t="str">
        <f>OBV!G643</f>
        <v>NEUTRAL</v>
      </c>
      <c r="L643" s="5" t="str">
        <f>OBV!H643</f>
        <v>CONFIRMED BULLISH</v>
      </c>
    </row>
    <row r="644" spans="1:12" ht="13.5" x14ac:dyDescent="0.25">
      <c r="A644" s="3">
        <f>RSI!A644</f>
        <v>45859</v>
      </c>
      <c r="B644" s="2">
        <f>RSI!B644</f>
        <v>5.7</v>
      </c>
      <c r="C644" s="2">
        <f>RSI!I644</f>
        <v>58.821765088135514</v>
      </c>
      <c r="D644" s="2">
        <f>MACD!E644</f>
        <v>-3.9259566139147495E-2</v>
      </c>
      <c r="E644" s="2">
        <f>MACD!F644</f>
        <v>-4.9313806851409327E-2</v>
      </c>
      <c r="F644" s="2">
        <f>'Moving Avg'!D644</f>
        <v>5.68</v>
      </c>
      <c r="G644" s="2">
        <f>'Moving Avg'!F644</f>
        <v>5.6410499999999999</v>
      </c>
      <c r="H644" s="2">
        <f>'Moving Avg'!G644</f>
        <v>5.6018399999999984</v>
      </c>
      <c r="I644" s="2">
        <f>'Moving Avg'!H644</f>
        <v>5.6695050000000027</v>
      </c>
      <c r="J644" s="5" t="str">
        <f>OBV!F644</f>
        <v>BEARISH</v>
      </c>
      <c r="K644" s="5" t="str">
        <f>OBV!G644</f>
        <v>NEUTRAL</v>
      </c>
      <c r="L644" s="5" t="str">
        <f>OBV!H644</f>
        <v>BEARISH DIVERGENCE</v>
      </c>
    </row>
    <row r="645" spans="1:12" ht="13.5" x14ac:dyDescent="0.25">
      <c r="A645" s="3">
        <f>RSI!A645</f>
        <v>45860</v>
      </c>
      <c r="B645" s="2">
        <f>RSI!B645</f>
        <v>5.7</v>
      </c>
      <c r="C645" s="2">
        <f>RSI!I645</f>
        <v>58.821765088135507</v>
      </c>
      <c r="D645" s="2">
        <f>MACD!E645</f>
        <v>-2.0787876571066732E-2</v>
      </c>
      <c r="E645" s="2">
        <f>MACD!F645</f>
        <v>-4.3608620795340808E-2</v>
      </c>
      <c r="F645" s="2">
        <f>'Moving Avg'!D645</f>
        <v>5.6859999999999999</v>
      </c>
      <c r="G645" s="2">
        <f>'Moving Avg'!F645</f>
        <v>5.6467000000000009</v>
      </c>
      <c r="H645" s="2">
        <f>'Moving Avg'!G645</f>
        <v>5.6050399999999971</v>
      </c>
      <c r="I645" s="2">
        <f>'Moving Avg'!H645</f>
        <v>5.6688950000000027</v>
      </c>
      <c r="J645" s="5" t="str">
        <f>OBV!F645</f>
        <v>BEARISH</v>
      </c>
      <c r="K645" s="5" t="str">
        <f>OBV!G645</f>
        <v>NEUTRAL</v>
      </c>
      <c r="L645" s="5" t="str">
        <f>OBV!H645</f>
        <v>BEARISH DIVERGENCE</v>
      </c>
    </row>
    <row r="646" spans="1:12" ht="13.5" x14ac:dyDescent="0.25">
      <c r="A646" s="3">
        <f>RSI!A646</f>
        <v>45861</v>
      </c>
      <c r="B646" s="2">
        <f>RSI!B646</f>
        <v>5.69</v>
      </c>
      <c r="C646" s="2">
        <f>RSI!I646</f>
        <v>57.048798201608527</v>
      </c>
      <c r="D646" s="2">
        <f>MACD!E646</f>
        <v>-1.2460622618055694E-2</v>
      </c>
      <c r="E646" s="2">
        <f>MACD!F646</f>
        <v>-3.7379021159883785E-2</v>
      </c>
      <c r="F646" s="2">
        <f>'Moving Avg'!D646</f>
        <v>5.6899999999999995</v>
      </c>
      <c r="G646" s="2">
        <f>'Moving Avg'!F646</f>
        <v>5.6495000000000006</v>
      </c>
      <c r="H646" s="2">
        <f>'Moving Avg'!G646</f>
        <v>5.6063399999999968</v>
      </c>
      <c r="I646" s="2">
        <f>'Moving Avg'!H646</f>
        <v>5.6682850000000045</v>
      </c>
      <c r="J646" s="5" t="str">
        <f>OBV!F646</f>
        <v>BEARISH</v>
      </c>
      <c r="K646" s="5" t="str">
        <f>OBV!G646</f>
        <v>NEUTRAL</v>
      </c>
      <c r="L646" s="5" t="str">
        <f>OBV!H646</f>
        <v>BEARISH DIVERGENCE</v>
      </c>
    </row>
    <row r="647" spans="1:12" ht="13.5" x14ac:dyDescent="0.25">
      <c r="A647" s="3">
        <f>RSI!A647</f>
        <v>45862</v>
      </c>
      <c r="B647" s="2">
        <f>RSI!B647</f>
        <v>5.66</v>
      </c>
      <c r="C647" s="2">
        <f>RSI!I647</f>
        <v>51.986379276445078</v>
      </c>
      <c r="D647" s="2">
        <f>MACD!E647</f>
        <v>-3.4582370694797859E-3</v>
      </c>
      <c r="E647" s="2">
        <f>MACD!F647</f>
        <v>-3.0594864341802985E-2</v>
      </c>
      <c r="F647" s="2">
        <f>'Moving Avg'!D647</f>
        <v>5.69</v>
      </c>
      <c r="G647" s="2">
        <f>'Moving Avg'!F647</f>
        <v>5.6531500000000001</v>
      </c>
      <c r="H647" s="2">
        <f>'Moving Avg'!G647</f>
        <v>5.6070399999999969</v>
      </c>
      <c r="I647" s="2">
        <f>'Moving Avg'!H647</f>
        <v>5.667710000000004</v>
      </c>
      <c r="J647" s="5" t="str">
        <f>OBV!F647</f>
        <v>BEARISH</v>
      </c>
      <c r="K647" s="5" t="str">
        <f>OBV!G647</f>
        <v>NEUTRAL</v>
      </c>
      <c r="L647" s="5" t="str">
        <f>OBV!H647</f>
        <v>NEUTRAL</v>
      </c>
    </row>
    <row r="648" spans="1:12" ht="13.5" x14ac:dyDescent="0.25">
      <c r="A648" s="3">
        <f>RSI!A648</f>
        <v>45866</v>
      </c>
      <c r="B648" s="2">
        <f>RSI!B648</f>
        <v>5.69</v>
      </c>
      <c r="C648" s="2">
        <f>RSI!I648</f>
        <v>56.174534789111398</v>
      </c>
      <c r="D648" s="2">
        <f>MACD!E648</f>
        <v>-1.2089807329092039E-3</v>
      </c>
      <c r="E648" s="2">
        <f>MACD!F648</f>
        <v>-2.4717687620024228E-2</v>
      </c>
      <c r="F648" s="2">
        <f>'Moving Avg'!D648</f>
        <v>5.6880000000000006</v>
      </c>
      <c r="G648" s="2">
        <f>'Moving Avg'!F648</f>
        <v>5.6616</v>
      </c>
      <c r="H648" s="2">
        <f>'Moving Avg'!G648</f>
        <v>5.6083399999999974</v>
      </c>
      <c r="I648" s="2">
        <f>'Moving Avg'!H648</f>
        <v>5.6672850000000041</v>
      </c>
      <c r="J648" s="5" t="str">
        <f>OBV!F648</f>
        <v>BEARISH</v>
      </c>
      <c r="K648" s="5" t="str">
        <f>OBV!G648</f>
        <v>NEUTRAL</v>
      </c>
      <c r="L648" s="5" t="str">
        <f>OBV!H648</f>
        <v>CONFIRMED BEARISH</v>
      </c>
    </row>
    <row r="649" spans="1:12" ht="13.5" x14ac:dyDescent="0.25">
      <c r="A649" s="3">
        <f>RSI!A649</f>
        <v>45867</v>
      </c>
      <c r="B649" s="2">
        <f>RSI!B649</f>
        <v>5.66</v>
      </c>
      <c r="C649" s="2">
        <f>RSI!I649</f>
        <v>51.350730784477491</v>
      </c>
      <c r="D649" s="2">
        <f>MACD!E649</f>
        <v>4.2137583425567726E-3</v>
      </c>
      <c r="E649" s="2">
        <f>MACD!F649</f>
        <v>-1.8931398427508031E-2</v>
      </c>
      <c r="F649" s="2">
        <f>'Moving Avg'!D649</f>
        <v>5.6800000000000006</v>
      </c>
      <c r="G649" s="2">
        <f>'Moving Avg'!F649</f>
        <v>5.6685499999999998</v>
      </c>
      <c r="H649" s="2">
        <f>'Moving Avg'!G649</f>
        <v>5.611679999999998</v>
      </c>
      <c r="I649" s="2">
        <f>'Moving Avg'!H649</f>
        <v>5.6664750000000046</v>
      </c>
      <c r="J649" s="5" t="str">
        <f>OBV!F649</f>
        <v>BEARISH</v>
      </c>
      <c r="K649" s="5" t="str">
        <f>OBV!G649</f>
        <v>NEUTRAL</v>
      </c>
      <c r="L649" s="5" t="str">
        <f>OBV!H649</f>
        <v>CONFIRMED BEARISH</v>
      </c>
    </row>
    <row r="650" spans="1:12" ht="13.5" x14ac:dyDescent="0.25">
      <c r="A650" s="3">
        <f>RSI!A650</f>
        <v>45868</v>
      </c>
      <c r="B650" s="2">
        <f>RSI!B650</f>
        <v>5.67</v>
      </c>
      <c r="C650" s="2">
        <f>RSI!I650</f>
        <v>52.805535371537154</v>
      </c>
      <c r="D650" s="2">
        <f>MACD!E650</f>
        <v>4.9385395744163674E-3</v>
      </c>
      <c r="E650" s="2">
        <f>MACD!F650</f>
        <v>-1.4157410827123152E-2</v>
      </c>
      <c r="F650" s="2">
        <f>'Moving Avg'!D650</f>
        <v>5.6740000000000013</v>
      </c>
      <c r="G650" s="2">
        <f>'Moving Avg'!F650</f>
        <v>5.67645</v>
      </c>
      <c r="H650" s="2">
        <f>'Moving Avg'!G650</f>
        <v>5.6157799999999982</v>
      </c>
      <c r="I650" s="2">
        <f>'Moving Avg'!H650</f>
        <v>5.6665150000000049</v>
      </c>
      <c r="J650" s="5" t="str">
        <f>OBV!F650</f>
        <v>BEARISH</v>
      </c>
      <c r="K650" s="5" t="str">
        <f>OBV!G650</f>
        <v>NEUTRAL</v>
      </c>
      <c r="L650" s="5" t="str">
        <f>OBV!H650</f>
        <v>CONFIRMED BEARISH</v>
      </c>
    </row>
    <row r="651" spans="1:12" ht="13.5" x14ac:dyDescent="0.25">
      <c r="A651" s="3">
        <f>RSI!A651</f>
        <v>45869</v>
      </c>
      <c r="B651" s="2">
        <f>RSI!B651</f>
        <v>5.67</v>
      </c>
      <c r="C651" s="2">
        <f>RSI!I651</f>
        <v>52.805535371537154</v>
      </c>
      <c r="D651" s="2">
        <f>MACD!E651</f>
        <v>5.4501084646263465E-3</v>
      </c>
      <c r="E651" s="2">
        <f>MACD!F651</f>
        <v>-1.0235906968773252E-2</v>
      </c>
      <c r="F651" s="2">
        <f>'Moving Avg'!D651</f>
        <v>5.67</v>
      </c>
      <c r="G651" s="2">
        <f>'Moving Avg'!F651</f>
        <v>5.6843500000000002</v>
      </c>
      <c r="H651" s="2">
        <f>'Moving Avg'!G651</f>
        <v>5.617259999999999</v>
      </c>
      <c r="I651" s="2">
        <f>'Moving Avg'!H651</f>
        <v>5.6659900000000052</v>
      </c>
      <c r="J651" s="5" t="str">
        <f>OBV!F651</f>
        <v>BULLISH</v>
      </c>
      <c r="K651" s="5" t="str">
        <f>OBV!G651</f>
        <v>NEUTRAL</v>
      </c>
      <c r="L651" s="5" t="str">
        <f>OBV!H651</f>
        <v>BULLISH DIVERGENCE</v>
      </c>
    </row>
    <row r="652" spans="1:12" ht="13.5" x14ac:dyDescent="0.25">
      <c r="A652" s="3">
        <f>RSI!A652</f>
        <v>45870</v>
      </c>
      <c r="B652" s="2">
        <f>RSI!B652</f>
        <v>5.7</v>
      </c>
      <c r="C652" s="2">
        <f>RSI!I652</f>
        <v>57.25311224307891</v>
      </c>
      <c r="D652" s="2">
        <f>MACD!E652</f>
        <v>2.028117042828903E-3</v>
      </c>
      <c r="E652" s="2">
        <f>MACD!F652</f>
        <v>-7.7831021664528204E-3</v>
      </c>
      <c r="F652" s="2">
        <f>'Moving Avg'!D652</f>
        <v>5.6780000000000008</v>
      </c>
      <c r="G652" s="2">
        <f>'Moving Avg'!F652</f>
        <v>5.6899999999999995</v>
      </c>
      <c r="H652" s="2">
        <f>'Moving Avg'!G652</f>
        <v>5.6198999999999986</v>
      </c>
      <c r="I652" s="2">
        <f>'Moving Avg'!H652</f>
        <v>5.6656150000000052</v>
      </c>
      <c r="J652" s="5" t="str">
        <f>OBV!F652</f>
        <v>BULLISH</v>
      </c>
      <c r="K652" s="5" t="str">
        <f>OBV!G652</f>
        <v>WEAK</v>
      </c>
      <c r="L652" s="5" t="str">
        <f>OBV!H652</f>
        <v>CONFIRMED BULLISH</v>
      </c>
    </row>
    <row r="653" spans="1:12" ht="13.5" x14ac:dyDescent="0.25">
      <c r="A653" s="3">
        <f>RSI!A653</f>
        <v>45873</v>
      </c>
      <c r="B653" s="2">
        <f>RSI!B653</f>
        <v>5.7</v>
      </c>
      <c r="C653" s="2">
        <f>RSI!I653</f>
        <v>57.25311224307891</v>
      </c>
      <c r="D653" s="2">
        <f>MACD!E653</f>
        <v>5.0219628856629228E-3</v>
      </c>
      <c r="E653" s="2">
        <f>MACD!F653</f>
        <v>-5.2220891560296719E-3</v>
      </c>
      <c r="F653" s="2">
        <f>'Moving Avg'!D653</f>
        <v>5.68</v>
      </c>
      <c r="G653" s="2">
        <f>'Moving Avg'!F653</f>
        <v>5.6890000000000001</v>
      </c>
      <c r="H653" s="2">
        <f>'Moving Avg'!G653</f>
        <v>5.6225399999999981</v>
      </c>
      <c r="I653" s="2">
        <f>'Moving Avg'!H653</f>
        <v>5.6648650000000043</v>
      </c>
      <c r="J653" s="5" t="str">
        <f>OBV!F653</f>
        <v>BULLISH</v>
      </c>
      <c r="K653" s="5" t="str">
        <f>OBV!G653</f>
        <v>NEUTRAL</v>
      </c>
      <c r="L653" s="5" t="str">
        <f>OBV!H653</f>
        <v>CONFIRMED BULLISH</v>
      </c>
    </row>
    <row r="654" spans="1:12" ht="13.5" x14ac:dyDescent="0.25">
      <c r="A654" s="3">
        <f>RSI!A654</f>
        <v>45874</v>
      </c>
      <c r="B654" s="2">
        <f>RSI!B654</f>
        <v>5.6</v>
      </c>
      <c r="C654" s="2">
        <f>RSI!I654</f>
        <v>41.964641960659321</v>
      </c>
      <c r="D654" s="2">
        <f>MACD!E654</f>
        <v>1.4717745664115434E-2</v>
      </c>
      <c r="E654" s="2">
        <f>MACD!F654</f>
        <v>-1.2341221920006504E-3</v>
      </c>
      <c r="F654" s="2">
        <f>'Moving Avg'!D654</f>
        <v>5.6679999999999993</v>
      </c>
      <c r="G654" s="2">
        <f>'Moving Avg'!F654</f>
        <v>5.6829999999999998</v>
      </c>
      <c r="H654" s="2">
        <f>'Moving Avg'!G654</f>
        <v>5.6244999999999985</v>
      </c>
      <c r="I654" s="2">
        <f>'Moving Avg'!H654</f>
        <v>5.6643200000000036</v>
      </c>
      <c r="J654" s="5" t="str">
        <f>OBV!F654</f>
        <v>BULLISH</v>
      </c>
      <c r="K654" s="5" t="str">
        <f>OBV!G654</f>
        <v>WEAK</v>
      </c>
      <c r="L654" s="5" t="str">
        <f>OBV!H654</f>
        <v>BULLISH DIVERGENCE</v>
      </c>
    </row>
    <row r="655" spans="1:12" ht="13.5" x14ac:dyDescent="0.25">
      <c r="A655" s="3">
        <f>RSI!A655</f>
        <v>45875</v>
      </c>
      <c r="B655" s="2">
        <f>RSI!B655</f>
        <v>5.66</v>
      </c>
      <c r="C655" s="2">
        <f>RSI!I655</f>
        <v>50.504767187297809</v>
      </c>
      <c r="D655" s="2">
        <f>MACD!E655</f>
        <v>1.884158977071948E-2</v>
      </c>
      <c r="E655" s="2">
        <f>MACD!F655</f>
        <v>2.7810202005433757E-3</v>
      </c>
      <c r="F655" s="2">
        <f>'Moving Avg'!D655</f>
        <v>5.6660000000000004</v>
      </c>
      <c r="G655" s="2">
        <f>'Moving Avg'!F655</f>
        <v>5.6784999999999997</v>
      </c>
      <c r="H655" s="2">
        <f>'Moving Avg'!G655</f>
        <v>5.6259599999999992</v>
      </c>
      <c r="I655" s="2">
        <f>'Moving Avg'!H655</f>
        <v>5.6637450000000031</v>
      </c>
      <c r="J655" s="5" t="str">
        <f>OBV!F655</f>
        <v>BULLISH</v>
      </c>
      <c r="K655" s="5" t="str">
        <f>OBV!G655</f>
        <v>WEAK</v>
      </c>
      <c r="L655" s="5" t="str">
        <f>OBV!H655</f>
        <v>BULLISH DIVERGENCE</v>
      </c>
    </row>
    <row r="656" spans="1:12" ht="13.5" x14ac:dyDescent="0.25">
      <c r="A656" s="3">
        <f>RSI!A656</f>
        <v>45876</v>
      </c>
      <c r="B656" s="2">
        <f>RSI!B656</f>
        <v>5.65</v>
      </c>
      <c r="C656" s="2">
        <f>RSI!I656</f>
        <v>49.205149656850494</v>
      </c>
      <c r="D656" s="2">
        <f>MACD!E656</f>
        <v>2.1515922449446556E-2</v>
      </c>
      <c r="E656" s="2">
        <f>MACD!F656</f>
        <v>6.5280006503240125E-3</v>
      </c>
      <c r="F656" s="2">
        <f>'Moving Avg'!D656</f>
        <v>5.6620000000000008</v>
      </c>
      <c r="G656" s="2">
        <f>'Moving Avg'!F656</f>
        <v>5.6760000000000002</v>
      </c>
      <c r="H656" s="2">
        <f>'Moving Avg'!G656</f>
        <v>5.6272199999999986</v>
      </c>
      <c r="I656" s="2">
        <f>'Moving Avg'!H656</f>
        <v>5.6631200000000037</v>
      </c>
      <c r="J656" s="5" t="str">
        <f>OBV!F656</f>
        <v>BULLISH</v>
      </c>
      <c r="K656" s="5" t="str">
        <f>OBV!G656</f>
        <v>NEUTRAL</v>
      </c>
      <c r="L656" s="5" t="str">
        <f>OBV!H656</f>
        <v>BULLISH DIVERGENCE</v>
      </c>
    </row>
    <row r="657" spans="1:12" ht="13.5" x14ac:dyDescent="0.25">
      <c r="A657" s="3">
        <f>RSI!A657</f>
        <v>45877</v>
      </c>
      <c r="B657" s="2">
        <f>RSI!B657</f>
        <v>5.58</v>
      </c>
      <c r="C657" s="2">
        <f>RSI!I657</f>
        <v>41.210895329208995</v>
      </c>
      <c r="D657" s="2">
        <f>MACD!E657</f>
        <v>2.4391642668398106E-2</v>
      </c>
      <c r="E657" s="2">
        <f>MACD!F657</f>
        <v>1.0100729053938832E-2</v>
      </c>
      <c r="F657" s="2">
        <f>'Moving Avg'!D657</f>
        <v>5.6379999999999999</v>
      </c>
      <c r="G657" s="2">
        <f>'Moving Avg'!F657</f>
        <v>5.67</v>
      </c>
      <c r="H657" s="2">
        <f>'Moving Avg'!G657</f>
        <v>5.626319999999998</v>
      </c>
      <c r="I657" s="2">
        <f>'Moving Avg'!H657</f>
        <v>5.6617700000000033</v>
      </c>
      <c r="J657" s="5" t="str">
        <f>OBV!F657</f>
        <v>BEARISH</v>
      </c>
      <c r="K657" s="5" t="str">
        <f>OBV!G657</f>
        <v>NEUTRAL</v>
      </c>
      <c r="L657" s="5" t="str">
        <f>OBV!H657</f>
        <v>CONFIRMED BEARISH</v>
      </c>
    </row>
    <row r="658" spans="1:12" ht="13.5" x14ac:dyDescent="0.25">
      <c r="A658" s="3">
        <f>RSI!A658</f>
        <v>45880</v>
      </c>
      <c r="B658" s="2">
        <f>RSI!B658</f>
        <v>5.64</v>
      </c>
      <c r="C658" s="2">
        <f>RSI!I658</f>
        <v>48.877719698746304</v>
      </c>
      <c r="D658" s="2">
        <f>MACD!E658</f>
        <v>2.7449353464803039E-2</v>
      </c>
      <c r="E658" s="2">
        <f>MACD!F658</f>
        <v>1.3570453936111674E-2</v>
      </c>
      <c r="F658" s="2">
        <f>'Moving Avg'!D658</f>
        <v>5.6260000000000003</v>
      </c>
      <c r="G658" s="2">
        <f>'Moving Avg'!F658</f>
        <v>5.6680000000000001</v>
      </c>
      <c r="H658" s="2">
        <f>'Moving Avg'!G658</f>
        <v>5.6264399999999979</v>
      </c>
      <c r="I658" s="2">
        <f>'Moving Avg'!H658</f>
        <v>5.6609100000000039</v>
      </c>
      <c r="J658" s="5" t="str">
        <f>OBV!F658</f>
        <v>BULLISH</v>
      </c>
      <c r="K658" s="5" t="str">
        <f>OBV!G658</f>
        <v>NEUTRAL</v>
      </c>
      <c r="L658" s="5" t="str">
        <f>OBV!H658</f>
        <v>BULLISH DIVERGENCE</v>
      </c>
    </row>
    <row r="659" spans="1:12" ht="13.5" x14ac:dyDescent="0.25">
      <c r="A659" s="3">
        <f>RSI!A659</f>
        <v>45881</v>
      </c>
      <c r="B659" s="2">
        <f>RSI!B659</f>
        <v>5.64</v>
      </c>
      <c r="C659" s="2">
        <f>RSI!I659</f>
        <v>48.877719698746304</v>
      </c>
      <c r="D659" s="2">
        <f>MACD!E659</f>
        <v>2.5486598636176971E-2</v>
      </c>
      <c r="E659" s="2">
        <f>MACD!F659</f>
        <v>1.5953682876124732E-2</v>
      </c>
      <c r="F659" s="2">
        <f>'Moving Avg'!D659</f>
        <v>5.6340000000000003</v>
      </c>
      <c r="G659" s="2">
        <f>'Moving Avg'!F659</f>
        <v>5.6654999999999998</v>
      </c>
      <c r="H659" s="2">
        <f>'Moving Avg'!G659</f>
        <v>5.626559999999996</v>
      </c>
      <c r="I659" s="2">
        <f>'Moving Avg'!H659</f>
        <v>5.6600000000000046</v>
      </c>
      <c r="J659" s="5" t="str">
        <f>OBV!F659</f>
        <v>BULLISH</v>
      </c>
      <c r="K659" s="5" t="str">
        <f>OBV!G659</f>
        <v>NEUTRAL</v>
      </c>
      <c r="L659" s="5" t="str">
        <f>OBV!H659</f>
        <v>CONFIRMED BULLISH</v>
      </c>
    </row>
    <row r="660" spans="1:12" ht="13.5" x14ac:dyDescent="0.25">
      <c r="A660" s="3">
        <f>RSI!A660</f>
        <v>45883</v>
      </c>
      <c r="B660" s="2">
        <f>RSI!B660</f>
        <v>5.64</v>
      </c>
      <c r="C660" s="2">
        <f>RSI!I660</f>
        <v>48.877719698746304</v>
      </c>
      <c r="D660" s="2">
        <f>MACD!E660</f>
        <v>2.5424763956926277E-2</v>
      </c>
      <c r="E660" s="2">
        <f>MACD!F660</f>
        <v>1.7847899092285041E-2</v>
      </c>
      <c r="F660" s="2">
        <f>'Moving Avg'!D660</f>
        <v>5.6300000000000008</v>
      </c>
      <c r="G660" s="2">
        <f>'Moving Avg'!F660</f>
        <v>5.6639999999999997</v>
      </c>
      <c r="H660" s="2">
        <f>'Moving Avg'!G660</f>
        <v>5.6268599999999971</v>
      </c>
      <c r="I660" s="2">
        <f>'Moving Avg'!H660</f>
        <v>5.6593250000000044</v>
      </c>
      <c r="J660" s="5" t="str">
        <f>OBV!F660</f>
        <v>BEARISH</v>
      </c>
      <c r="K660" s="5" t="str">
        <f>OBV!G660</f>
        <v>NEUTRAL</v>
      </c>
      <c r="L660" s="5" t="str">
        <f>OBV!H660</f>
        <v>CONFIRMED BEARISH</v>
      </c>
    </row>
    <row r="661" spans="1:12" ht="13.5" x14ac:dyDescent="0.25">
      <c r="A661" s="3">
        <f>RSI!A661</f>
        <v>45884</v>
      </c>
      <c r="B661" s="2">
        <f>RSI!B661</f>
        <v>5.52</v>
      </c>
      <c r="C661" s="2">
        <f>RSI!I661</f>
        <v>36.867594882445978</v>
      </c>
      <c r="D661" s="2">
        <f>MACD!E661</f>
        <v>3.4317346314129971E-2</v>
      </c>
      <c r="E661" s="2">
        <f>MACD!F661</f>
        <v>2.1141788536654028E-2</v>
      </c>
      <c r="F661" s="2">
        <f>'Moving Avg'!D661</f>
        <v>5.6040000000000001</v>
      </c>
      <c r="G661" s="2">
        <f>'Moving Avg'!F661</f>
        <v>5.6564999999999994</v>
      </c>
      <c r="H661" s="2">
        <f>'Moving Avg'!G661</f>
        <v>5.6249599999999962</v>
      </c>
      <c r="I661" s="2">
        <f>'Moving Avg'!H661</f>
        <v>5.6575800000000038</v>
      </c>
      <c r="J661" s="5" t="str">
        <f>OBV!F661</f>
        <v>BEARISH</v>
      </c>
      <c r="K661" s="5" t="str">
        <f>OBV!G661</f>
        <v>NEUTRAL</v>
      </c>
      <c r="L661" s="5" t="str">
        <f>OBV!H661</f>
        <v>CONFIRMED BEARISH</v>
      </c>
    </row>
    <row r="662" spans="1:12" ht="13.5" x14ac:dyDescent="0.25">
      <c r="A662" s="3">
        <f>RSI!A662</f>
        <v>45887</v>
      </c>
      <c r="B662" s="2">
        <f>RSI!B662</f>
        <v>5.56</v>
      </c>
      <c r="C662" s="2">
        <f>RSI!I662</f>
        <v>41.984897247563318</v>
      </c>
      <c r="D662" s="2">
        <f>MACD!E662</f>
        <v>4.4255211735710454E-2</v>
      </c>
      <c r="E662" s="2">
        <f>MACD!F662</f>
        <v>2.5764473176465318E-2</v>
      </c>
      <c r="F662" s="2">
        <f>'Moving Avg'!D662</f>
        <v>5.6</v>
      </c>
      <c r="G662" s="2">
        <f>'Moving Avg'!F662</f>
        <v>5.6515000000000004</v>
      </c>
      <c r="H662" s="2">
        <f>'Moving Avg'!G662</f>
        <v>5.623859999999997</v>
      </c>
      <c r="I662" s="2">
        <f>'Moving Avg'!H662</f>
        <v>5.6560350000000037</v>
      </c>
      <c r="J662" s="5" t="str">
        <f>OBV!F662</f>
        <v>BEARISH</v>
      </c>
      <c r="K662" s="5" t="str">
        <f>OBV!G662</f>
        <v>NEUTRAL</v>
      </c>
      <c r="L662" s="5" t="str">
        <f>OBV!H662</f>
        <v>CONFIRMED BEARISH</v>
      </c>
    </row>
    <row r="663" spans="1:12" ht="13.5" x14ac:dyDescent="0.25">
      <c r="A663" s="3">
        <f>RSI!A663</f>
        <v>45888</v>
      </c>
      <c r="B663" s="2">
        <f>RSI!B663</f>
        <v>5.69</v>
      </c>
      <c r="C663" s="2">
        <f>RSI!I663</f>
        <v>54.806280317874979</v>
      </c>
      <c r="D663" s="2">
        <f>MACD!E663</f>
        <v>4.350276770149808E-2</v>
      </c>
      <c r="E663" s="2">
        <f>MACD!F663</f>
        <v>2.9312132081471869E-2</v>
      </c>
      <c r="F663" s="2">
        <f>'Moving Avg'!D663</f>
        <v>5.6099999999999994</v>
      </c>
      <c r="G663" s="2">
        <f>'Moving Avg'!F663</f>
        <v>5.6510000000000007</v>
      </c>
      <c r="H663" s="2">
        <f>'Moving Avg'!G663</f>
        <v>5.6272399999999969</v>
      </c>
      <c r="I663" s="2">
        <f>'Moving Avg'!H663</f>
        <v>5.6551400000000038</v>
      </c>
      <c r="J663" s="5" t="str">
        <f>OBV!F663</f>
        <v>BEARISH</v>
      </c>
      <c r="K663" s="5" t="str">
        <f>OBV!G663</f>
        <v>NEUTRAL</v>
      </c>
      <c r="L663" s="5" t="str">
        <f>OBV!H663</f>
        <v>BEARISH DIVERGENCE</v>
      </c>
    </row>
    <row r="664" spans="1:12" ht="13.5" x14ac:dyDescent="0.25">
      <c r="A664" s="3">
        <f>RSI!A664</f>
        <v>45889</v>
      </c>
      <c r="B664" s="2">
        <f>RSI!B664</f>
        <v>5.74</v>
      </c>
      <c r="C664" s="2">
        <f>RSI!I664</f>
        <v>58.596322653380234</v>
      </c>
      <c r="D664" s="2">
        <f>MACD!E664</f>
        <v>2.3443129011428532E-2</v>
      </c>
      <c r="E664" s="2">
        <f>MACD!F664</f>
        <v>2.8138331467463203E-2</v>
      </c>
      <c r="F664" s="2">
        <f>'Moving Avg'!D664</f>
        <v>5.63</v>
      </c>
      <c r="G664" s="2">
        <f>'Moving Avg'!F664</f>
        <v>5.6530000000000005</v>
      </c>
      <c r="H664" s="2">
        <f>'Moving Avg'!G664</f>
        <v>5.6316199999999972</v>
      </c>
      <c r="I664" s="2">
        <f>'Moving Avg'!H664</f>
        <v>5.6544950000000052</v>
      </c>
      <c r="J664" s="5" t="str">
        <f>OBV!F664</f>
        <v>BULLISH</v>
      </c>
      <c r="K664" s="5" t="str">
        <f>OBV!G664</f>
        <v>NEUTRAL</v>
      </c>
      <c r="L664" s="5" t="str">
        <f>OBV!H664</f>
        <v>CONFIRMED BULLISH</v>
      </c>
    </row>
    <row r="665" spans="1:12" ht="13.5" x14ac:dyDescent="0.25">
      <c r="A665" s="3">
        <f>RSI!A665</f>
        <v>45890</v>
      </c>
      <c r="B665" s="2">
        <f>RSI!B665</f>
        <v>5.74</v>
      </c>
      <c r="C665" s="2">
        <f>RSI!I665</f>
        <v>58.596322653380241</v>
      </c>
      <c r="D665" s="2">
        <f>MACD!E665</f>
        <v>1.5095057342439766E-2</v>
      </c>
      <c r="E665" s="2">
        <f>MACD!F665</f>
        <v>2.5529676642458518E-2</v>
      </c>
      <c r="F665" s="2">
        <f>'Moving Avg'!D665</f>
        <v>5.65</v>
      </c>
      <c r="G665" s="2">
        <f>'Moving Avg'!F665</f>
        <v>5.6550000000000002</v>
      </c>
      <c r="H665" s="2">
        <f>'Moving Avg'!G665</f>
        <v>5.6350599999999975</v>
      </c>
      <c r="I665" s="2">
        <f>'Moving Avg'!H665</f>
        <v>5.6540850000000047</v>
      </c>
      <c r="J665" s="5" t="str">
        <f>OBV!F665</f>
        <v>BULLISH</v>
      </c>
      <c r="K665" s="5" t="str">
        <f>OBV!G665</f>
        <v>NEUTRAL</v>
      </c>
      <c r="L665" s="5" t="str">
        <f>OBV!H665</f>
        <v>CONFIRMED BULLISH</v>
      </c>
    </row>
    <row r="666" spans="1:12" ht="13.5" x14ac:dyDescent="0.25">
      <c r="A666" s="3">
        <f>RSI!A666</f>
        <v>45891</v>
      </c>
      <c r="B666" s="2">
        <f>RSI!B666</f>
        <v>5.74</v>
      </c>
      <c r="C666" s="2">
        <f>RSI!I666</f>
        <v>58.596322653380241</v>
      </c>
      <c r="D666" s="2">
        <f>MACD!E666</f>
        <v>5.9323794554275722E-3</v>
      </c>
      <c r="E666" s="2">
        <f>MACD!F666</f>
        <v>2.161021720505233E-2</v>
      </c>
      <c r="F666" s="2">
        <f>'Moving Avg'!D666</f>
        <v>5.6940000000000008</v>
      </c>
      <c r="G666" s="2">
        <f>'Moving Avg'!F666</f>
        <v>5.6574999999999989</v>
      </c>
      <c r="H666" s="2">
        <f>'Moving Avg'!G666</f>
        <v>5.637559999999997</v>
      </c>
      <c r="I666" s="2">
        <f>'Moving Avg'!H666</f>
        <v>5.6536750000000042</v>
      </c>
      <c r="J666" s="5" t="str">
        <f>OBV!F666</f>
        <v>BULLISH</v>
      </c>
      <c r="K666" s="5" t="str">
        <f>OBV!G666</f>
        <v>WEAK</v>
      </c>
      <c r="L666" s="5" t="str">
        <f>OBV!H666</f>
        <v>CONFIRMED BULLISH</v>
      </c>
    </row>
    <row r="667" spans="1:12" ht="13.5" x14ac:dyDescent="0.25">
      <c r="A667" s="3">
        <f>RSI!A667</f>
        <v>45894</v>
      </c>
      <c r="B667" s="2">
        <f>RSI!B667</f>
        <v>5.7</v>
      </c>
      <c r="C667" s="2">
        <f>RSI!I667</f>
        <v>54.065950750194169</v>
      </c>
      <c r="D667" s="2">
        <f>MACD!E667</f>
        <v>-1.014587107662468E-2</v>
      </c>
      <c r="E667" s="2">
        <f>MACD!F667</f>
        <v>1.5258999548716928E-2</v>
      </c>
      <c r="F667" s="2">
        <f>'Moving Avg'!D667</f>
        <v>5.7220000000000004</v>
      </c>
      <c r="G667" s="2">
        <f>'Moving Avg'!F667</f>
        <v>5.6594999999999995</v>
      </c>
      <c r="H667" s="2">
        <f>'Moving Avg'!G667</f>
        <v>5.6392599999999984</v>
      </c>
      <c r="I667" s="2">
        <f>'Moving Avg'!H667</f>
        <v>5.6530650000000051</v>
      </c>
      <c r="J667" s="5" t="str">
        <f>OBV!F667</f>
        <v>BULLISH</v>
      </c>
      <c r="K667" s="5" t="str">
        <f>OBV!G667</f>
        <v>NEUTRAL</v>
      </c>
      <c r="L667" s="5" t="str">
        <f>OBV!H667</f>
        <v>CONFIRMED BULLISH</v>
      </c>
    </row>
    <row r="668" spans="1:12" ht="13.5" x14ac:dyDescent="0.25">
      <c r="A668" s="3">
        <f>RSI!A668</f>
        <v>45895</v>
      </c>
      <c r="B668" s="2">
        <f>RSI!B668</f>
        <v>5.7</v>
      </c>
      <c r="C668" s="2">
        <f>RSI!I668</f>
        <v>54.065950750194169</v>
      </c>
      <c r="D668" s="2">
        <f>MACD!E668</f>
        <v>-1.4763920683484422E-2</v>
      </c>
      <c r="E668" s="2">
        <f>MACD!F668</f>
        <v>9.254415502276658E-3</v>
      </c>
      <c r="F668" s="2">
        <f>'Moving Avg'!D668</f>
        <v>5.7239999999999993</v>
      </c>
      <c r="G668" s="2">
        <f>'Moving Avg'!F668</f>
        <v>5.6599999999999984</v>
      </c>
      <c r="H668" s="2">
        <f>'Moving Avg'!G668</f>
        <v>5.640959999999998</v>
      </c>
      <c r="I668" s="2">
        <f>'Moving Avg'!H668</f>
        <v>5.6526900000000033</v>
      </c>
      <c r="J668" s="5" t="str">
        <f>OBV!F668</f>
        <v>BEARISH</v>
      </c>
      <c r="K668" s="5" t="str">
        <f>OBV!G668</f>
        <v>NEUTRAL</v>
      </c>
      <c r="L668" s="5" t="str">
        <f>OBV!H668</f>
        <v>BEARISH DIVERGENCE</v>
      </c>
    </row>
    <row r="669" spans="1:12" ht="13.5" x14ac:dyDescent="0.25">
      <c r="A669" s="3">
        <f>RSI!A669</f>
        <v>45896</v>
      </c>
      <c r="B669" s="2">
        <f>RSI!B669</f>
        <v>5.69</v>
      </c>
      <c r="C669" s="2">
        <f>RSI!I669</f>
        <v>52.880540296792887</v>
      </c>
      <c r="D669" s="2">
        <f>MACD!E669</f>
        <v>-1.8156820852009758E-2</v>
      </c>
      <c r="E669" s="2">
        <f>MACD!F669</f>
        <v>3.7721682314193752E-3</v>
      </c>
      <c r="F669" s="2">
        <f>'Moving Avg'!D669</f>
        <v>5.7140000000000004</v>
      </c>
      <c r="G669" s="2">
        <f>'Moving Avg'!F669</f>
        <v>5.6614999999999993</v>
      </c>
      <c r="H669" s="2">
        <f>'Moving Avg'!G669</f>
        <v>5.6439599999999972</v>
      </c>
      <c r="I669" s="2">
        <f>'Moving Avg'!H669</f>
        <v>5.6520800000000033</v>
      </c>
      <c r="J669" s="5" t="str">
        <f>OBV!F669</f>
        <v>BEARISH</v>
      </c>
      <c r="K669" s="5" t="str">
        <f>OBV!G669</f>
        <v>STRONG</v>
      </c>
      <c r="L669" s="5" t="str">
        <f>OBV!H669</f>
        <v>CONFIRMED BEARISH</v>
      </c>
    </row>
    <row r="670" spans="1:12" ht="13.5" x14ac:dyDescent="0.25">
      <c r="A670" s="3">
        <f>RSI!A670</f>
        <v>45897</v>
      </c>
      <c r="B670" s="2">
        <f>RSI!B670</f>
        <v>5.69</v>
      </c>
      <c r="C670" s="2">
        <f>RSI!I670</f>
        <v>52.880540296792887</v>
      </c>
      <c r="D670" s="2">
        <f>MACD!E670</f>
        <v>-2.1177961202256235E-2</v>
      </c>
      <c r="E670" s="2">
        <f>MACD!F670</f>
        <v>-1.2178576553157471E-3</v>
      </c>
      <c r="F670" s="2">
        <f>'Moving Avg'!D670</f>
        <v>5.7040000000000006</v>
      </c>
      <c r="G670" s="2">
        <f>'Moving Avg'!F670</f>
        <v>5.6624999999999996</v>
      </c>
      <c r="H670" s="2">
        <f>'Moving Avg'!G670</f>
        <v>5.6469599999999982</v>
      </c>
      <c r="I670" s="2">
        <f>'Moving Avg'!H670</f>
        <v>5.6515600000000026</v>
      </c>
      <c r="J670" s="5" t="str">
        <f>OBV!F670</f>
        <v>BEARISH</v>
      </c>
      <c r="K670" s="5" t="str">
        <f>OBV!G670</f>
        <v>STRONG</v>
      </c>
      <c r="L670" s="5" t="str">
        <f>OBV!H670</f>
        <v>CONFIRMED BEARISH</v>
      </c>
    </row>
    <row r="671" spans="1:12" ht="13.5" x14ac:dyDescent="0.25">
      <c r="A671" s="3">
        <f>RSI!A671</f>
        <v>45898</v>
      </c>
      <c r="B671" s="2">
        <f>RSI!B671</f>
        <v>5.7</v>
      </c>
      <c r="C671" s="2">
        <f>RSI!I671</f>
        <v>54.048988200016424</v>
      </c>
      <c r="D671" s="2">
        <f>MACD!E671</f>
        <v>-4.3075686990030171E-2</v>
      </c>
      <c r="E671" s="2">
        <f>MACD!F671</f>
        <v>-9.5894235222586319E-3</v>
      </c>
      <c r="F671" s="2">
        <f>'Moving Avg'!D671</f>
        <v>5.6959999999999997</v>
      </c>
      <c r="G671" s="2">
        <f>'Moving Avg'!F671</f>
        <v>5.6639999999999997</v>
      </c>
      <c r="H671" s="2">
        <f>'Moving Avg'!G671</f>
        <v>5.6501599999999987</v>
      </c>
      <c r="I671" s="2">
        <f>'Moving Avg'!H671</f>
        <v>5.6514700000000024</v>
      </c>
      <c r="J671" s="5" t="str">
        <f>OBV!F671</f>
        <v>BEARISH</v>
      </c>
      <c r="K671" s="5" t="str">
        <f>OBV!G671</f>
        <v>NEUTRAL</v>
      </c>
      <c r="L671" s="5" t="str">
        <f>OBV!H671</f>
        <v>CONFIRMED BEARISH</v>
      </c>
    </row>
    <row r="672" spans="1:12" ht="13.5" x14ac:dyDescent="0.25">
      <c r="A672" s="3">
        <f>RSI!A672</f>
        <v>45901</v>
      </c>
      <c r="B672" s="2">
        <f>RSI!B672</f>
        <v>6</v>
      </c>
      <c r="C672" s="2">
        <f>RSI!I672</f>
        <v>74.487989588954036</v>
      </c>
      <c r="D672" s="2">
        <f>MACD!E672</f>
        <v>-7.7860791957773401E-2</v>
      </c>
      <c r="E672" s="2">
        <f>MACD!F672</f>
        <v>-2.3243697209361584E-2</v>
      </c>
      <c r="F672" s="2">
        <f>'Moving Avg'!D672</f>
        <v>5.7560000000000002</v>
      </c>
      <c r="G672" s="2">
        <f>'Moving Avg'!F672</f>
        <v>5.6789999999999994</v>
      </c>
      <c r="H672" s="2">
        <f>'Moving Avg'!G672</f>
        <v>5.6584199999999987</v>
      </c>
      <c r="I672" s="2">
        <f>'Moving Avg'!H672</f>
        <v>5.6524550000000042</v>
      </c>
      <c r="J672" s="5" t="str">
        <f>OBV!F672</f>
        <v>BULLISH</v>
      </c>
      <c r="K672" s="5" t="str">
        <f>OBV!G672</f>
        <v>NEUTRAL</v>
      </c>
      <c r="L672" s="5" t="str">
        <f>OBV!H672</f>
        <v>CONFIRMED BULLISH</v>
      </c>
    </row>
    <row r="673" spans="1:12" ht="13.5" x14ac:dyDescent="0.25">
      <c r="A673" s="3">
        <f>RSI!A673</f>
        <v>45902</v>
      </c>
      <c r="B673" s="2">
        <f>RSI!B673</f>
        <v>6.06</v>
      </c>
      <c r="C673" s="2">
        <f>RSI!I673</f>
        <v>76.718434275903689</v>
      </c>
      <c r="D673" s="2">
        <f>MACD!E673</f>
        <v>-9.3685466311899113E-2</v>
      </c>
      <c r="E673" s="2">
        <f>MACD!F673</f>
        <v>-3.7332051029869091E-2</v>
      </c>
      <c r="F673" s="2">
        <f>'Moving Avg'!D673</f>
        <v>5.8280000000000003</v>
      </c>
      <c r="G673" s="2">
        <f>'Moving Avg'!F673</f>
        <v>5.697000000000001</v>
      </c>
      <c r="H673" s="2">
        <f>'Moving Avg'!G673</f>
        <v>5.6688199999999993</v>
      </c>
      <c r="I673" s="2">
        <f>'Moving Avg'!H673</f>
        <v>5.6534100000000036</v>
      </c>
      <c r="J673" s="5" t="str">
        <f>OBV!F673</f>
        <v>BULLISH</v>
      </c>
      <c r="K673" s="5" t="str">
        <f>OBV!G673</f>
        <v>WEAK</v>
      </c>
      <c r="L673" s="5" t="str">
        <f>OBV!H673</f>
        <v>CONFIRMED BULLISH</v>
      </c>
    </row>
    <row r="674" spans="1:12" ht="13.5" x14ac:dyDescent="0.25">
      <c r="A674" s="3">
        <f>RSI!A674</f>
        <v>45903</v>
      </c>
      <c r="B674" s="2">
        <f>RSI!B674</f>
        <v>6.05</v>
      </c>
      <c r="C674" s="2">
        <f>RSI!I674</f>
        <v>75.533162680765017</v>
      </c>
      <c r="D674" s="2">
        <f>MACD!E674</f>
        <v>-0.10079955059149182</v>
      </c>
      <c r="E674" s="2">
        <f>MACD!F674</f>
        <v>-5.0025550942193638E-2</v>
      </c>
      <c r="F674" s="2">
        <f>'Moving Avg'!D674</f>
        <v>5.9</v>
      </c>
      <c r="G674" s="2">
        <f>'Moving Avg'!F674</f>
        <v>5.7195</v>
      </c>
      <c r="H674" s="2">
        <f>'Moving Avg'!G674</f>
        <v>5.6790199999999995</v>
      </c>
      <c r="I674" s="2">
        <f>'Moving Avg'!H674</f>
        <v>5.6544550000000022</v>
      </c>
      <c r="J674" s="5" t="str">
        <f>OBV!F674</f>
        <v>BULLISH</v>
      </c>
      <c r="K674" s="5" t="str">
        <f>OBV!G674</f>
        <v>WEAK</v>
      </c>
      <c r="L674" s="5" t="str">
        <f>OBV!H674</f>
        <v>CONFIRMED BULLISH</v>
      </c>
    </row>
    <row r="675" spans="1:12" ht="13.5" x14ac:dyDescent="0.25">
      <c r="A675" s="3">
        <f>RSI!A675</f>
        <v>45905</v>
      </c>
      <c r="B675" s="2">
        <f>RSI!B675</f>
        <v>5.95</v>
      </c>
      <c r="C675" s="2">
        <f>RSI!I675</f>
        <v>64.758586631268884</v>
      </c>
      <c r="D675" s="2">
        <f>MACD!E675</f>
        <v>-0.1013499066442618</v>
      </c>
      <c r="E675" s="2">
        <f>MACD!F675</f>
        <v>-6.0290422082607271E-2</v>
      </c>
      <c r="F675" s="2">
        <f>'Moving Avg'!D675</f>
        <v>5.952</v>
      </c>
      <c r="G675" s="2">
        <f>'Moving Avg'!F675</f>
        <v>5.734</v>
      </c>
      <c r="H675" s="2">
        <f>'Moving Avg'!G675</f>
        <v>5.6862799999999991</v>
      </c>
      <c r="I675" s="2">
        <f>'Moving Avg'!H675</f>
        <v>5.6551450000000036</v>
      </c>
      <c r="J675" s="5" t="str">
        <f>OBV!F675</f>
        <v>BULLISH</v>
      </c>
      <c r="K675" s="5" t="str">
        <f>OBV!G675</f>
        <v>NEUTRAL</v>
      </c>
      <c r="L675" s="5" t="str">
        <f>OBV!H675</f>
        <v>CONFIRMED BULLISH</v>
      </c>
    </row>
    <row r="676" spans="1:12" ht="13.5" x14ac:dyDescent="0.25">
      <c r="A676" s="3">
        <f>RSI!A676</f>
        <v>45908</v>
      </c>
      <c r="B676" s="2">
        <f>RSI!B676</f>
        <v>6</v>
      </c>
      <c r="C676" s="2">
        <f>RSI!I676</f>
        <v>67.272391055154614</v>
      </c>
      <c r="D676" s="2">
        <f>MACD!E676</f>
        <v>-0.10672297868965952</v>
      </c>
      <c r="E676" s="2">
        <f>MACD!F676</f>
        <v>-6.9576933404017716E-2</v>
      </c>
      <c r="F676" s="2">
        <f>'Moving Avg'!D676</f>
        <v>6.0119999999999996</v>
      </c>
      <c r="G676" s="2">
        <f>'Moving Avg'!F676</f>
        <v>5.7515000000000001</v>
      </c>
      <c r="H676" s="2">
        <f>'Moving Avg'!G676</f>
        <v>5.6935999999999982</v>
      </c>
      <c r="I676" s="2">
        <f>'Moving Avg'!H676</f>
        <v>5.6560850000000036</v>
      </c>
      <c r="J676" s="5" t="str">
        <f>OBV!F676</f>
        <v>BULLISH</v>
      </c>
      <c r="K676" s="5" t="str">
        <f>OBV!G676</f>
        <v>NEUTRAL</v>
      </c>
      <c r="L676" s="5" t="str">
        <f>OBV!H676</f>
        <v>CONFIRMED BULLISH</v>
      </c>
    </row>
    <row r="677" spans="1:12" ht="13.5" x14ac:dyDescent="0.25">
      <c r="A677" s="3">
        <f>RSI!A677</f>
        <v>45909</v>
      </c>
      <c r="B677" s="2">
        <f>RSI!B677</f>
        <v>5.93</v>
      </c>
      <c r="C677" s="2">
        <f>RSI!I677</f>
        <v>60.740088278180593</v>
      </c>
      <c r="D677" s="2">
        <f>MACD!E677</f>
        <v>-0.11364805817035961</v>
      </c>
      <c r="E677" s="2">
        <f>MACD!F677</f>
        <v>-7.8391158357286106E-2</v>
      </c>
      <c r="F677" s="2">
        <f>'Moving Avg'!D677</f>
        <v>5.9979999999999993</v>
      </c>
      <c r="G677" s="2">
        <f>'Moving Avg'!F677</f>
        <v>5.769000000000001</v>
      </c>
      <c r="H677" s="2">
        <f>'Moving Avg'!G677</f>
        <v>5.7004599999999979</v>
      </c>
      <c r="I677" s="2">
        <f>'Moving Avg'!H677</f>
        <v>5.6566250000000036</v>
      </c>
      <c r="J677" s="5" t="str">
        <f>OBV!F677</f>
        <v>BEARISH</v>
      </c>
      <c r="K677" s="5" t="str">
        <f>OBV!G677</f>
        <v>STRONG</v>
      </c>
      <c r="L677" s="5" t="str">
        <f>OBV!H677</f>
        <v>CONFIRMED BEARISH</v>
      </c>
    </row>
    <row r="678" spans="1:12" ht="13.5" x14ac:dyDescent="0.25">
      <c r="A678" s="3">
        <f>RSI!A678</f>
        <v>45910</v>
      </c>
      <c r="B678" s="2">
        <f>RSI!B678</f>
        <v>5.95</v>
      </c>
      <c r="C678" s="2">
        <f>RSI!I678</f>
        <v>61.879051700590594</v>
      </c>
      <c r="D678" s="2">
        <f>MACD!E678</f>
        <v>-0.1218811197786529</v>
      </c>
      <c r="E678" s="2">
        <f>MACD!F678</f>
        <v>-8.7089150641559462E-2</v>
      </c>
      <c r="F678" s="2">
        <f>'Moving Avg'!D678</f>
        <v>5.976</v>
      </c>
      <c r="G678" s="2">
        <f>'Moving Avg'!F678</f>
        <v>5.7845000000000004</v>
      </c>
      <c r="H678" s="2">
        <f>'Moving Avg'!G678</f>
        <v>5.709039999999999</v>
      </c>
      <c r="I678" s="2">
        <f>'Moving Avg'!H678</f>
        <v>5.6572650000000033</v>
      </c>
      <c r="J678" s="5" t="str">
        <f>OBV!F678</f>
        <v>BEARISH</v>
      </c>
      <c r="K678" s="5" t="str">
        <f>OBV!G678</f>
        <v>STRONG</v>
      </c>
      <c r="L678" s="5" t="str">
        <f>OBV!H678</f>
        <v>CONFIRMED BEARISH</v>
      </c>
    </row>
    <row r="679" spans="1:12" ht="13.5" x14ac:dyDescent="0.25">
      <c r="A679" s="3">
        <f>RSI!A679</f>
        <v>45911</v>
      </c>
      <c r="B679" s="2">
        <f>RSI!B679</f>
        <v>6.14</v>
      </c>
      <c r="C679" s="2">
        <f>RSI!I679</f>
        <v>70.603908962163302</v>
      </c>
      <c r="D679" s="2">
        <f>MACD!E679</f>
        <v>-0.14540410400419734</v>
      </c>
      <c r="E679" s="2">
        <f>MACD!F679</f>
        <v>-9.875214131408705E-2</v>
      </c>
      <c r="F679" s="2">
        <f>'Moving Avg'!D679</f>
        <v>5.9939999999999998</v>
      </c>
      <c r="G679" s="2">
        <f>'Moving Avg'!F679</f>
        <v>5.8094999999999999</v>
      </c>
      <c r="H679" s="2">
        <f>'Moving Avg'!G679</f>
        <v>5.7214199999999984</v>
      </c>
      <c r="I679" s="2">
        <f>'Moving Avg'!H679</f>
        <v>5.6589950000000036</v>
      </c>
      <c r="J679" s="5" t="str">
        <f>OBV!F679</f>
        <v>BULLISH</v>
      </c>
      <c r="K679" s="5" t="str">
        <f>OBV!G679</f>
        <v>NEUTRAL</v>
      </c>
      <c r="L679" s="5" t="str">
        <f>OBV!H679</f>
        <v>CONFIRMED BULLISH</v>
      </c>
    </row>
    <row r="680" spans="1:12" ht="13.5" x14ac:dyDescent="0.25">
      <c r="A680" s="3">
        <f>RSI!A680</f>
        <v>45912</v>
      </c>
      <c r="B680" s="2">
        <f>RSI!B680</f>
        <v>6.2</v>
      </c>
      <c r="C680" s="2">
        <f>RSI!I680</f>
        <v>72.726733613323503</v>
      </c>
      <c r="D680" s="2">
        <f>MACD!E680</f>
        <v>-0.17174941524638498</v>
      </c>
      <c r="E680" s="2">
        <f>MACD!F680</f>
        <v>-0.11335159610054664</v>
      </c>
      <c r="F680" s="2">
        <f>'Moving Avg'!D680</f>
        <v>6.0439999999999996</v>
      </c>
      <c r="G680" s="2">
        <f>'Moving Avg'!F680</f>
        <v>5.8375000000000004</v>
      </c>
      <c r="H680" s="2">
        <f>'Moving Avg'!G680</f>
        <v>5.7351799999999988</v>
      </c>
      <c r="I680" s="2">
        <f>'Moving Avg'!H680</f>
        <v>5.661025000000004</v>
      </c>
      <c r="J680" s="5" t="str">
        <f>OBV!F680</f>
        <v>BULLISH</v>
      </c>
      <c r="K680" s="5" t="str">
        <f>OBV!G680</f>
        <v>NEUTRAL</v>
      </c>
      <c r="L680" s="5" t="str">
        <f>OBV!H680</f>
        <v>CONFIRMED BULLISH</v>
      </c>
    </row>
    <row r="681" spans="1:12" ht="13.5" x14ac:dyDescent="0.25">
      <c r="A681" s="3">
        <f>RSI!A681</f>
        <v>45915</v>
      </c>
      <c r="B681" s="2">
        <f>RSI!B681</f>
        <v>6.1</v>
      </c>
      <c r="C681" s="2">
        <f>RSI!I681</f>
        <v>64.381830617502445</v>
      </c>
      <c r="D681" s="2">
        <f>MACD!E681</f>
        <v>-0.18729916718546225</v>
      </c>
      <c r="E681" s="2">
        <f>MACD!F681</f>
        <v>-0.12814111031752976</v>
      </c>
      <c r="F681" s="2">
        <f>'Moving Avg'!D681</f>
        <v>6.0640000000000001</v>
      </c>
      <c r="G681" s="2">
        <f>'Moving Avg'!F681</f>
        <v>5.8665000000000003</v>
      </c>
      <c r="H681" s="2">
        <f>'Moving Avg'!G681</f>
        <v>5.7469399999999995</v>
      </c>
      <c r="I681" s="2">
        <f>'Moving Avg'!H681</f>
        <v>5.662555000000002</v>
      </c>
      <c r="J681" s="5" t="str">
        <f>OBV!F681</f>
        <v>BULLISH</v>
      </c>
      <c r="K681" s="5" t="str">
        <f>OBV!G681</f>
        <v>NEUTRAL</v>
      </c>
      <c r="L681" s="5" t="str">
        <f>OBV!H681</f>
        <v>CONFIRMED BULLISH</v>
      </c>
    </row>
    <row r="682" spans="1:12" ht="13.5" x14ac:dyDescent="0.25">
      <c r="A682" s="3">
        <f>RSI!A682</f>
        <v>45916</v>
      </c>
      <c r="B682" s="2">
        <f>RSI!B682</f>
        <v>6.12</v>
      </c>
      <c r="C682" s="2">
        <f>RSI!I682</f>
        <v>65.24086558454465</v>
      </c>
      <c r="D682" s="2">
        <f>MACD!E682</f>
        <v>-0.15723359771111589</v>
      </c>
      <c r="E682" s="2">
        <f>MACD!F682</f>
        <v>-0.13395960779624699</v>
      </c>
      <c r="F682" s="2">
        <f>'Moving Avg'!D682</f>
        <v>6.1020000000000003</v>
      </c>
      <c r="G682" s="2">
        <f>'Moving Avg'!F682</f>
        <v>5.8944999999999999</v>
      </c>
      <c r="H682" s="2">
        <f>'Moving Avg'!G682</f>
        <v>5.7575999999999992</v>
      </c>
      <c r="I682" s="2">
        <f>'Moving Avg'!H682</f>
        <v>5.6642800000000024</v>
      </c>
      <c r="J682" s="5" t="str">
        <f>OBV!F682</f>
        <v>BULLISH</v>
      </c>
      <c r="K682" s="5" t="str">
        <f>OBV!G682</f>
        <v>WEAK</v>
      </c>
      <c r="L682" s="5" t="str">
        <f>OBV!H682</f>
        <v>CONFIRMED BULLISH</v>
      </c>
    </row>
    <row r="683" spans="1:12" ht="13.5" x14ac:dyDescent="0.25">
      <c r="A683" s="3">
        <f>RSI!A683</f>
        <v>45917</v>
      </c>
      <c r="B683" s="2">
        <f>RSI!B683</f>
        <v>6.23</v>
      </c>
      <c r="C683" s="2">
        <f>RSI!I683</f>
        <v>69.585623104555253</v>
      </c>
      <c r="D683" s="2">
        <f>MACD!E683</f>
        <v>-0.13217101652510621</v>
      </c>
      <c r="E683" s="2">
        <f>MACD!F683</f>
        <v>-0.13360188954201885</v>
      </c>
      <c r="F683" s="2">
        <f>'Moving Avg'!D683</f>
        <v>6.1579999999999995</v>
      </c>
      <c r="G683" s="2">
        <f>'Moving Avg'!F683</f>
        <v>5.9215</v>
      </c>
      <c r="H683" s="2">
        <f>'Moving Avg'!G683</f>
        <v>5.7677999999999994</v>
      </c>
      <c r="I683" s="2">
        <f>'Moving Avg'!H683</f>
        <v>5.6664150000000015</v>
      </c>
      <c r="J683" s="5" t="str">
        <f>OBV!F683</f>
        <v>BULLISH</v>
      </c>
      <c r="K683" s="5" t="str">
        <f>OBV!G683</f>
        <v>WEAK</v>
      </c>
      <c r="L683" s="5" t="str">
        <f>OBV!H683</f>
        <v>CONFIRMED BULLISH</v>
      </c>
    </row>
    <row r="684" spans="1:12" ht="13.5" x14ac:dyDescent="0.25">
      <c r="A684" s="3">
        <f>RSI!A684</f>
        <v>45918</v>
      </c>
      <c r="B684" s="2">
        <f>RSI!B684</f>
        <v>6.27</v>
      </c>
      <c r="C684" s="2">
        <f>RSI!I684</f>
        <v>71.004918874390015</v>
      </c>
      <c r="D684" s="2">
        <f>MACD!E684</f>
        <v>-0.11746761512267412</v>
      </c>
      <c r="E684" s="2">
        <f>MACD!F684</f>
        <v>-0.13037503465814992</v>
      </c>
      <c r="F684" s="2">
        <f>'Moving Avg'!D684</f>
        <v>6.1840000000000002</v>
      </c>
      <c r="G684" s="2">
        <f>'Moving Avg'!F684</f>
        <v>5.9479999999999995</v>
      </c>
      <c r="H684" s="2">
        <f>'Moving Avg'!G684</f>
        <v>5.7788000000000004</v>
      </c>
      <c r="I684" s="2">
        <f>'Moving Avg'!H684</f>
        <v>5.668845000000001</v>
      </c>
      <c r="J684" s="5" t="str">
        <f>OBV!F684</f>
        <v>BULLISH</v>
      </c>
      <c r="K684" s="5" t="str">
        <f>OBV!G684</f>
        <v>WEAK</v>
      </c>
      <c r="L684" s="5" t="str">
        <f>OBV!H684</f>
        <v>CONFIRMED BULLISH</v>
      </c>
    </row>
    <row r="685" spans="1:12" ht="13.5" x14ac:dyDescent="0.25">
      <c r="A685" s="3">
        <f>RSI!A685</f>
        <v>45919</v>
      </c>
      <c r="B685" s="2">
        <f>RSI!B685</f>
        <v>6.34</v>
      </c>
      <c r="C685" s="2">
        <f>RSI!I685</f>
        <v>73.348789600218197</v>
      </c>
      <c r="D685" s="2">
        <f>MACD!E685</f>
        <v>-0.12768611698546817</v>
      </c>
      <c r="E685" s="2">
        <f>MACD!F685</f>
        <v>-0.12983725112361358</v>
      </c>
      <c r="F685" s="2">
        <f>'Moving Avg'!D685</f>
        <v>6.2119999999999997</v>
      </c>
      <c r="G685" s="2">
        <f>'Moving Avg'!F685</f>
        <v>5.9780000000000006</v>
      </c>
      <c r="H685" s="2">
        <f>'Moving Avg'!G685</f>
        <v>5.7905999999999995</v>
      </c>
      <c r="I685" s="2">
        <f>'Moving Avg'!H685</f>
        <v>5.6719050000000015</v>
      </c>
      <c r="J685" s="5" t="str">
        <f>OBV!F685</f>
        <v>BULLISH</v>
      </c>
      <c r="K685" s="5" t="str">
        <f>OBV!G685</f>
        <v>WEAK</v>
      </c>
      <c r="L685" s="5" t="str">
        <f>OBV!H685</f>
        <v>CONFIRMED BULLISH</v>
      </c>
    </row>
    <row r="686" spans="1:12" ht="13.5" x14ac:dyDescent="0.25">
      <c r="A686" s="3">
        <f>RSI!A686</f>
        <v>45922</v>
      </c>
      <c r="B686" s="2">
        <f>RSI!B686</f>
        <v>6.49</v>
      </c>
      <c r="C686" s="2">
        <f>RSI!I686</f>
        <v>77.538841331144795</v>
      </c>
      <c r="D686" s="2">
        <f>MACD!E686</f>
        <v>-0.14210020115733801</v>
      </c>
      <c r="E686" s="2">
        <f>MACD!F686</f>
        <v>-0.13228984113035847</v>
      </c>
      <c r="F686" s="2">
        <f>'Moving Avg'!D686</f>
        <v>6.2900000000000009</v>
      </c>
      <c r="G686" s="2">
        <f>'Moving Avg'!F686</f>
        <v>6.0155000000000003</v>
      </c>
      <c r="H686" s="2">
        <f>'Moving Avg'!G686</f>
        <v>5.8063999999999991</v>
      </c>
      <c r="I686" s="2">
        <f>'Moving Avg'!H686</f>
        <v>5.6761850000000011</v>
      </c>
      <c r="J686" s="5" t="str">
        <f>OBV!F686</f>
        <v>BULLISH</v>
      </c>
      <c r="K686" s="5" t="str">
        <f>OBV!G686</f>
        <v>WEAK</v>
      </c>
      <c r="L686" s="5" t="str">
        <f>OBV!H686</f>
        <v>CONFIRMED BULLISH</v>
      </c>
    </row>
    <row r="687" spans="1:12" ht="13.5" x14ac:dyDescent="0.25">
      <c r="A687" s="3">
        <f>RSI!A687</f>
        <v>45923</v>
      </c>
      <c r="B687" s="2">
        <f>RSI!B687</f>
        <v>6.48</v>
      </c>
      <c r="C687" s="2">
        <f>RSI!I687</f>
        <v>76.673394164861278</v>
      </c>
      <c r="D687" s="2">
        <f>MACD!E687</f>
        <v>-0.16738644714775219</v>
      </c>
      <c r="E687" s="2">
        <f>MACD!F687</f>
        <v>-0.13930916233383722</v>
      </c>
      <c r="F687" s="2">
        <f>'Moving Avg'!D687</f>
        <v>6.3620000000000001</v>
      </c>
      <c r="G687" s="2">
        <f>'Moving Avg'!F687</f>
        <v>6.0545</v>
      </c>
      <c r="H687" s="2">
        <f>'Moving Avg'!G687</f>
        <v>5.8219999999999992</v>
      </c>
      <c r="I687" s="2">
        <f>'Moving Avg'!H687</f>
        <v>5.679615000000001</v>
      </c>
      <c r="J687" s="5" t="str">
        <f>OBV!F687</f>
        <v>BULLISH</v>
      </c>
      <c r="K687" s="5" t="str">
        <f>OBV!G687</f>
        <v>STRONG</v>
      </c>
      <c r="L687" s="5" t="str">
        <f>OBV!H687</f>
        <v>CONFIRMED BULLISH</v>
      </c>
    </row>
    <row r="688" spans="1:12" ht="13.5" x14ac:dyDescent="0.25">
      <c r="A688" s="3">
        <f>RSI!A688</f>
        <v>45924</v>
      </c>
      <c r="B688" s="2">
        <f>RSI!B688</f>
        <v>6.5</v>
      </c>
      <c r="C688" s="2">
        <f>RSI!I688</f>
        <v>77.221003102488481</v>
      </c>
      <c r="D688" s="2">
        <f>MACD!E688</f>
        <v>-0.18996243534938362</v>
      </c>
      <c r="E688" s="2">
        <f>MACD!F688</f>
        <v>-0.14943981693694652</v>
      </c>
      <c r="F688" s="2">
        <f>'Moving Avg'!D688</f>
        <v>6.4159999999999995</v>
      </c>
      <c r="G688" s="2">
        <f>'Moving Avg'!F688</f>
        <v>6.0945</v>
      </c>
      <c r="H688" s="2">
        <f>'Moving Avg'!G688</f>
        <v>5.8383999999999991</v>
      </c>
      <c r="I688" s="2">
        <f>'Moving Avg'!H688</f>
        <v>5.6831950000000013</v>
      </c>
      <c r="J688" s="5" t="str">
        <f>OBV!F688</f>
        <v>BULLISH</v>
      </c>
      <c r="K688" s="5" t="str">
        <f>OBV!G688</f>
        <v>STRONG</v>
      </c>
      <c r="L688" s="5" t="str">
        <f>OBV!H688</f>
        <v>CONFIRMED BULLISH</v>
      </c>
    </row>
    <row r="689" spans="1:12" ht="13.5" x14ac:dyDescent="0.25">
      <c r="A689" s="3">
        <f>RSI!A689</f>
        <v>45925</v>
      </c>
      <c r="B689" s="2">
        <f>RSI!B689</f>
        <v>6.48</v>
      </c>
      <c r="C689" s="2">
        <f>RSI!I689</f>
        <v>75.316875899046011</v>
      </c>
      <c r="D689" s="2">
        <f>MACD!E689</f>
        <v>-0.18104091687089685</v>
      </c>
      <c r="E689" s="2">
        <f>MACD!F689</f>
        <v>-0.15576003692373658</v>
      </c>
      <c r="F689" s="2">
        <f>'Moving Avg'!D689</f>
        <v>6.4580000000000011</v>
      </c>
      <c r="G689" s="2">
        <f>'Moving Avg'!F689</f>
        <v>6.1340000000000003</v>
      </c>
      <c r="H689" s="2">
        <f>'Moving Avg'!G689</f>
        <v>5.8541999999999996</v>
      </c>
      <c r="I689" s="2">
        <f>'Moving Avg'!H689</f>
        <v>5.686675000000001</v>
      </c>
      <c r="J689" s="5" t="str">
        <f>OBV!F689</f>
        <v>BULLISH</v>
      </c>
      <c r="K689" s="5" t="str">
        <f>OBV!G689</f>
        <v>STRONG</v>
      </c>
      <c r="L689" s="5" t="str">
        <f>OBV!H689</f>
        <v>CONFIRMED BULLISH</v>
      </c>
    </row>
    <row r="690" spans="1:12" ht="13.5" x14ac:dyDescent="0.25">
      <c r="A690" s="3">
        <f>RSI!A690</f>
        <v>45926</v>
      </c>
      <c r="B690" s="2">
        <f>RSI!B690</f>
        <v>6.44</v>
      </c>
      <c r="C690" s="2">
        <f>RSI!I690</f>
        <v>71.518536098494721</v>
      </c>
      <c r="D690" s="2">
        <f>MACD!E690</f>
        <v>-0.16366889052027656</v>
      </c>
      <c r="E690" s="2">
        <f>MACD!F690</f>
        <v>-0.15734180764304456</v>
      </c>
      <c r="F690" s="2">
        <f>'Moving Avg'!D690</f>
        <v>6.4779999999999998</v>
      </c>
      <c r="G690" s="2">
        <f>'Moving Avg'!F690</f>
        <v>6.1715</v>
      </c>
      <c r="H690" s="2">
        <f>'Moving Avg'!G690</f>
        <v>5.8696000000000002</v>
      </c>
      <c r="I690" s="2">
        <f>'Moving Avg'!H690</f>
        <v>5.6899550000000021</v>
      </c>
      <c r="J690" s="5" t="str">
        <f>OBV!F690</f>
        <v>BULLISH</v>
      </c>
      <c r="K690" s="5" t="str">
        <f>OBV!G690</f>
        <v>STRONG</v>
      </c>
      <c r="L690" s="5" t="str">
        <f>OBV!H690</f>
        <v>CONFIRMED BULLISH</v>
      </c>
    </row>
    <row r="691" spans="1:12" ht="13.5" x14ac:dyDescent="0.25">
      <c r="A691" s="3">
        <f>RSI!A691</f>
        <v>45929</v>
      </c>
      <c r="B691" s="2">
        <f>RSI!B691</f>
        <v>6.45</v>
      </c>
      <c r="C691" s="2">
        <f>RSI!I691</f>
        <v>71.900068538057667</v>
      </c>
      <c r="D691" s="2">
        <f>MACD!E691</f>
        <v>-0.16705355488352058</v>
      </c>
      <c r="E691" s="2">
        <f>MACD!F691</f>
        <v>-0.15928415709113977</v>
      </c>
      <c r="F691" s="2">
        <f>'Moving Avg'!D691</f>
        <v>6.4700000000000006</v>
      </c>
      <c r="G691" s="2">
        <f>'Moving Avg'!F691</f>
        <v>6.2090000000000005</v>
      </c>
      <c r="H691" s="2">
        <f>'Moving Avg'!G691</f>
        <v>5.8852000000000002</v>
      </c>
      <c r="I691" s="2">
        <f>'Moving Avg'!H691</f>
        <v>5.693285000000003</v>
      </c>
      <c r="J691" s="5" t="str">
        <f>OBV!F691</f>
        <v>BULLISH</v>
      </c>
      <c r="K691" s="5" t="str">
        <f>OBV!G691</f>
        <v>NEUTRAL</v>
      </c>
      <c r="L691" s="5" t="str">
        <f>OBV!H691</f>
        <v>BULLISH DIVERGENCE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691"/>
  <sheetViews>
    <sheetView tabSelected="1" workbookViewId="0">
      <selection activeCell="J8" sqref="J8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43</v>
      </c>
      <c r="N1" s="6" t="s">
        <v>44</v>
      </c>
      <c r="O1" s="6" t="s">
        <v>45</v>
      </c>
      <c r="P1" s="6" t="s">
        <v>46</v>
      </c>
      <c r="Q1" s="6" t="s">
        <v>47</v>
      </c>
      <c r="R1" s="6" t="s">
        <v>48</v>
      </c>
      <c r="S1" s="6" t="s">
        <v>49</v>
      </c>
      <c r="T1" s="6" t="s">
        <v>50</v>
      </c>
      <c r="U1" s="6" t="s">
        <v>51</v>
      </c>
      <c r="V1" s="6" t="s">
        <v>52</v>
      </c>
    </row>
    <row r="2" spans="1:22" ht="13.5" x14ac:dyDescent="0.25">
      <c r="A2" s="3">
        <f>RSI!A2</f>
        <v>44922</v>
      </c>
      <c r="B2" s="2">
        <f>RSI!B2</f>
        <v>0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>IF(C2&lt;30,100, IF(C2&gt;70, 0, 50))</f>
        <v>100</v>
      </c>
      <c r="N2" s="7">
        <f t="shared" ref="N2:N65" si="0">IF(E2-D2&gt;0.02, 100, IF(E2-D2&lt;0,0,45))</f>
        <v>45</v>
      </c>
      <c r="O2" s="7">
        <f t="shared" ref="O2:O65" si="1">IF(F2-I2&gt;10,100,IF(F2-I2&gt;5,75, IF(F2-I2&gt;0,50,0)))</f>
        <v>0</v>
      </c>
      <c r="P2" s="7">
        <f t="shared" ref="P2:P65" si="2">IF(L2="confirmed bullish", 34, IF(L2="bullish divergence",17, 0))+IF(J2="bullish",33,IF(J2="bearish",0,16.5))+IF(K2="strong",33,IF(K2="weak",0,16.5))</f>
        <v>33</v>
      </c>
      <c r="Q2" s="8">
        <f>0.35*M2+N2*0.35+O2*0.15+P2*0.15</f>
        <v>55.7</v>
      </c>
      <c r="R2" s="8">
        <f>M2*0.2+N2*0.2+O2*0.35+P2*0.25</f>
        <v>37.25</v>
      </c>
      <c r="S2" s="8">
        <f>M2*0.15+N2*0.15+O2*0.25+P2*0.45</f>
        <v>36.6</v>
      </c>
      <c r="T2" s="8">
        <f>0.25*SUM(M2:P2)</f>
        <v>44.5</v>
      </c>
      <c r="U2" s="7">
        <f>SUM(Q2:S2)/3</f>
        <v>43.183333333333337</v>
      </c>
      <c r="V2" s="7">
        <f>SUM(Q2:T2)/4</f>
        <v>43.512500000000003</v>
      </c>
    </row>
    <row r="3" spans="1:22" ht="13.5" x14ac:dyDescent="0.25">
      <c r="A3" s="3">
        <f>RSI!A3</f>
        <v>44923</v>
      </c>
      <c r="B3" s="2">
        <f>RSI!B3</f>
        <v>0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ref="M3:M66" si="3">IF(C3&lt;30,100, IF(C3&gt;70, 0, 50))</f>
        <v>100</v>
      </c>
      <c r="N3" s="7">
        <f t="shared" si="0"/>
        <v>45</v>
      </c>
      <c r="O3" s="7">
        <f t="shared" si="1"/>
        <v>0</v>
      </c>
      <c r="P3" s="7">
        <f t="shared" si="2"/>
        <v>33</v>
      </c>
      <c r="Q3" s="8">
        <f t="shared" ref="Q3:Q66" si="4">0.35*M3+N3*0.35+O3*0.15+P3*0.15</f>
        <v>55.7</v>
      </c>
      <c r="R3" s="8">
        <f t="shared" ref="R3:R66" si="5">M3*0.2+N3*0.2+O3*0.35+P3*0.25</f>
        <v>37.25</v>
      </c>
      <c r="S3" s="8">
        <f t="shared" ref="S3:S66" si="6">M3*0.15+N3*0.15+O3*0.25+P3*0.45</f>
        <v>36.6</v>
      </c>
      <c r="T3" s="8">
        <f t="shared" ref="T3:T66" si="7">0.25*SUM(M3:P3)</f>
        <v>44.5</v>
      </c>
      <c r="U3" s="7">
        <f t="shared" ref="U3:U66" si="8">SUM(Q3:S3)/3</f>
        <v>43.183333333333337</v>
      </c>
      <c r="V3" s="7">
        <f t="shared" ref="V3:V66" si="9">SUM(Q3:T3)/4</f>
        <v>43.512500000000003</v>
      </c>
    </row>
    <row r="4" spans="1:22" ht="13.5" x14ac:dyDescent="0.25">
      <c r="A4" s="3">
        <f>RSI!A4</f>
        <v>44924</v>
      </c>
      <c r="B4" s="2">
        <f>RSI!B4</f>
        <v>5.266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3"/>
        <v>100</v>
      </c>
      <c r="N4" s="7">
        <f t="shared" si="0"/>
        <v>45</v>
      </c>
      <c r="O4" s="7">
        <f t="shared" si="1"/>
        <v>0</v>
      </c>
      <c r="P4" s="7">
        <f t="shared" si="2"/>
        <v>33</v>
      </c>
      <c r="Q4" s="8">
        <f t="shared" si="4"/>
        <v>55.7</v>
      </c>
      <c r="R4" s="8">
        <f t="shared" si="5"/>
        <v>37.25</v>
      </c>
      <c r="S4" s="8">
        <f t="shared" si="6"/>
        <v>36.6</v>
      </c>
      <c r="T4" s="8">
        <f t="shared" si="7"/>
        <v>44.5</v>
      </c>
      <c r="U4" s="7">
        <f t="shared" si="8"/>
        <v>43.183333333333337</v>
      </c>
      <c r="V4" s="7">
        <f t="shared" si="9"/>
        <v>43.512500000000003</v>
      </c>
    </row>
    <row r="5" spans="1:22" ht="13.5" x14ac:dyDescent="0.25">
      <c r="A5" s="3">
        <f>RSI!A5</f>
        <v>44925</v>
      </c>
      <c r="B5" s="2">
        <f>RSI!B5</f>
        <v>5.4020000000000001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2.6669999999999998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3"/>
        <v>100</v>
      </c>
      <c r="N5" s="7">
        <f t="shared" si="0"/>
        <v>45</v>
      </c>
      <c r="O5" s="7">
        <f t="shared" si="1"/>
        <v>50</v>
      </c>
      <c r="P5" s="7">
        <f t="shared" si="2"/>
        <v>33</v>
      </c>
      <c r="Q5" s="8">
        <f t="shared" si="4"/>
        <v>63.2</v>
      </c>
      <c r="R5" s="8">
        <f t="shared" si="5"/>
        <v>54.75</v>
      </c>
      <c r="S5" s="8">
        <f t="shared" si="6"/>
        <v>49.1</v>
      </c>
      <c r="T5" s="8">
        <f t="shared" si="7"/>
        <v>57</v>
      </c>
      <c r="U5" s="7">
        <f t="shared" si="8"/>
        <v>55.683333333333337</v>
      </c>
      <c r="V5" s="7">
        <f t="shared" si="9"/>
        <v>56.012500000000003</v>
      </c>
    </row>
    <row r="6" spans="1:22" ht="13.5" x14ac:dyDescent="0.25">
      <c r="A6" s="3">
        <f>RSI!A6</f>
        <v>44928</v>
      </c>
      <c r="B6" s="2">
        <f>RSI!B6</f>
        <v>5.3680000000000003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3.2072000000000003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3"/>
        <v>100</v>
      </c>
      <c r="N6" s="7">
        <f t="shared" si="0"/>
        <v>45</v>
      </c>
      <c r="O6" s="7">
        <f t="shared" si="1"/>
        <v>50</v>
      </c>
      <c r="P6" s="7">
        <f t="shared" si="2"/>
        <v>33</v>
      </c>
      <c r="Q6" s="8">
        <f t="shared" si="4"/>
        <v>63.2</v>
      </c>
      <c r="R6" s="8">
        <f t="shared" si="5"/>
        <v>54.75</v>
      </c>
      <c r="S6" s="8">
        <f t="shared" si="6"/>
        <v>49.1</v>
      </c>
      <c r="T6" s="8">
        <f t="shared" si="7"/>
        <v>57</v>
      </c>
      <c r="U6" s="7">
        <f t="shared" si="8"/>
        <v>55.683333333333337</v>
      </c>
      <c r="V6" s="7">
        <f t="shared" si="9"/>
        <v>56.012500000000003</v>
      </c>
    </row>
    <row r="7" spans="1:22" ht="13.5" x14ac:dyDescent="0.25">
      <c r="A7" s="3">
        <f>RSI!A7</f>
        <v>44929</v>
      </c>
      <c r="B7" s="2">
        <f>RSI!B7</f>
        <v>5.3940000000000001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4.2859999999999996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BULLISH</v>
      </c>
      <c r="K7" s="5" t="e">
        <f>OBV!G7</f>
        <v>#DIV/0!</v>
      </c>
      <c r="L7" s="5" t="str">
        <f>OBV!H7</f>
        <v>CONFIRMED BULLISH</v>
      </c>
      <c r="M7" s="7">
        <f t="shared" si="3"/>
        <v>100</v>
      </c>
      <c r="N7" s="7">
        <f t="shared" si="0"/>
        <v>45</v>
      </c>
      <c r="O7" s="7">
        <f t="shared" si="1"/>
        <v>50</v>
      </c>
      <c r="P7" s="7" t="e">
        <f t="shared" si="2"/>
        <v>#DIV/0!</v>
      </c>
      <c r="Q7" s="8" t="e">
        <f t="shared" si="4"/>
        <v>#DIV/0!</v>
      </c>
      <c r="R7" s="8" t="e">
        <f t="shared" si="5"/>
        <v>#DIV/0!</v>
      </c>
      <c r="S7" s="8" t="e">
        <f t="shared" si="6"/>
        <v>#DIV/0!</v>
      </c>
      <c r="T7" s="8" t="e">
        <f t="shared" si="7"/>
        <v>#DIV/0!</v>
      </c>
      <c r="U7" s="7" t="e">
        <f t="shared" si="8"/>
        <v>#DIV/0!</v>
      </c>
      <c r="V7" s="7" t="e">
        <f t="shared" si="9"/>
        <v>#DIV/0!</v>
      </c>
    </row>
    <row r="8" spans="1:22" ht="13.5" x14ac:dyDescent="0.25">
      <c r="A8" s="3">
        <f>RSI!A8</f>
        <v>44930</v>
      </c>
      <c r="B8" s="2">
        <f>RSI!B8</f>
        <v>5.266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5.3391999999999999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BULLISH</v>
      </c>
      <c r="K8" s="5" t="e">
        <f>OBV!G8</f>
        <v>#DIV/0!</v>
      </c>
      <c r="L8" s="5" t="str">
        <f>OBV!H8</f>
        <v>CONFIRMED BULLISH</v>
      </c>
      <c r="M8" s="7">
        <f t="shared" si="3"/>
        <v>100</v>
      </c>
      <c r="N8" s="7">
        <f t="shared" si="0"/>
        <v>45</v>
      </c>
      <c r="O8" s="7">
        <f t="shared" si="1"/>
        <v>75</v>
      </c>
      <c r="P8" s="7" t="e">
        <f t="shared" si="2"/>
        <v>#DIV/0!</v>
      </c>
      <c r="Q8" s="8" t="e">
        <f t="shared" si="4"/>
        <v>#DIV/0!</v>
      </c>
      <c r="R8" s="8" t="e">
        <f t="shared" si="5"/>
        <v>#DIV/0!</v>
      </c>
      <c r="S8" s="8" t="e">
        <f t="shared" si="6"/>
        <v>#DIV/0!</v>
      </c>
      <c r="T8" s="8" t="e">
        <f t="shared" si="7"/>
        <v>#DIV/0!</v>
      </c>
      <c r="U8" s="7" t="e">
        <f t="shared" si="8"/>
        <v>#DIV/0!</v>
      </c>
      <c r="V8" s="7" t="e">
        <f t="shared" si="9"/>
        <v>#DIV/0!</v>
      </c>
    </row>
    <row r="9" spans="1:22" ht="13.5" x14ac:dyDescent="0.25">
      <c r="A9" s="3">
        <f>RSI!A9</f>
        <v>44931</v>
      </c>
      <c r="B9" s="2">
        <f>RSI!B9</f>
        <v>5.351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5.3561999999999994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BULLISH</v>
      </c>
      <c r="K9" s="5" t="str">
        <f>OBV!G9</f>
        <v>STRONG</v>
      </c>
      <c r="L9" s="5" t="str">
        <f>OBV!H9</f>
        <v>CONFIRMED BULLISH</v>
      </c>
      <c r="M9" s="7">
        <f t="shared" si="3"/>
        <v>100</v>
      </c>
      <c r="N9" s="7">
        <f t="shared" si="0"/>
        <v>45</v>
      </c>
      <c r="O9" s="7">
        <f t="shared" si="1"/>
        <v>75</v>
      </c>
      <c r="P9" s="7">
        <f t="shared" si="2"/>
        <v>100</v>
      </c>
      <c r="Q9" s="8">
        <f t="shared" si="4"/>
        <v>77</v>
      </c>
      <c r="R9" s="8">
        <f t="shared" si="5"/>
        <v>80.25</v>
      </c>
      <c r="S9" s="8">
        <f t="shared" si="6"/>
        <v>85.5</v>
      </c>
      <c r="T9" s="8">
        <f t="shared" si="7"/>
        <v>80</v>
      </c>
      <c r="U9" s="7">
        <f t="shared" si="8"/>
        <v>80.916666666666671</v>
      </c>
      <c r="V9" s="7">
        <f t="shared" si="9"/>
        <v>80.6875</v>
      </c>
    </row>
    <row r="10" spans="1:22" ht="13.5" x14ac:dyDescent="0.25">
      <c r="A10" s="3">
        <f>RSI!A10</f>
        <v>44932</v>
      </c>
      <c r="B10" s="2">
        <f>RSI!B10</f>
        <v>5.351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5.3459999999999992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NEUTRAL</v>
      </c>
      <c r="L10" s="5" t="str">
        <f>OBV!H10</f>
        <v>CONFIRMED BEARISH</v>
      </c>
      <c r="M10" s="7">
        <f t="shared" si="3"/>
        <v>100</v>
      </c>
      <c r="N10" s="7">
        <f t="shared" si="0"/>
        <v>45</v>
      </c>
      <c r="O10" s="7">
        <f t="shared" si="1"/>
        <v>75</v>
      </c>
      <c r="P10" s="7">
        <f t="shared" si="2"/>
        <v>16.5</v>
      </c>
      <c r="Q10" s="8">
        <f t="shared" si="4"/>
        <v>64.474999999999994</v>
      </c>
      <c r="R10" s="8">
        <f t="shared" si="5"/>
        <v>59.375</v>
      </c>
      <c r="S10" s="8">
        <f t="shared" si="6"/>
        <v>47.924999999999997</v>
      </c>
      <c r="T10" s="8">
        <f t="shared" si="7"/>
        <v>59.125</v>
      </c>
      <c r="U10" s="7">
        <f t="shared" si="8"/>
        <v>57.258333333333326</v>
      </c>
      <c r="V10" s="7">
        <f t="shared" si="9"/>
        <v>57.724999999999994</v>
      </c>
    </row>
    <row r="11" spans="1:22" ht="13.5" x14ac:dyDescent="0.25">
      <c r="A11" s="3">
        <f>RSI!A11</f>
        <v>44935</v>
      </c>
      <c r="B11" s="2">
        <f>RSI!B11</f>
        <v>5.3170000000000002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5.3357999999999999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BULLISH</v>
      </c>
      <c r="K11" s="5" t="str">
        <f>OBV!G11</f>
        <v>NEUTRAL</v>
      </c>
      <c r="L11" s="5" t="str">
        <f>OBV!H11</f>
        <v>BULLISH DIVERGENCE</v>
      </c>
      <c r="M11" s="7">
        <f t="shared" si="3"/>
        <v>100</v>
      </c>
      <c r="N11" s="7">
        <f t="shared" si="0"/>
        <v>45</v>
      </c>
      <c r="O11" s="7">
        <f t="shared" si="1"/>
        <v>75</v>
      </c>
      <c r="P11" s="7">
        <f t="shared" si="2"/>
        <v>66.5</v>
      </c>
      <c r="Q11" s="8">
        <f t="shared" si="4"/>
        <v>71.974999999999994</v>
      </c>
      <c r="R11" s="8">
        <f t="shared" si="5"/>
        <v>71.875</v>
      </c>
      <c r="S11" s="8">
        <f t="shared" si="6"/>
        <v>70.424999999999997</v>
      </c>
      <c r="T11" s="8">
        <f t="shared" si="7"/>
        <v>71.625</v>
      </c>
      <c r="U11" s="7">
        <f t="shared" si="8"/>
        <v>71.424999999999997</v>
      </c>
      <c r="V11" s="7">
        <f t="shared" si="9"/>
        <v>71.474999999999994</v>
      </c>
    </row>
    <row r="12" spans="1:22" ht="13.5" x14ac:dyDescent="0.25">
      <c r="A12" s="3">
        <f>RSI!A12</f>
        <v>44936</v>
      </c>
      <c r="B12" s="2">
        <f>RSI!B12</f>
        <v>5.266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5.3102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BEARISH</v>
      </c>
      <c r="K12" s="5" t="str">
        <f>OBV!G12</f>
        <v>WEAK</v>
      </c>
      <c r="L12" s="5" t="str">
        <f>OBV!H12</f>
        <v>CONFIRMED BEARISH</v>
      </c>
      <c r="M12" s="7">
        <f t="shared" si="3"/>
        <v>100</v>
      </c>
      <c r="N12" s="7">
        <f t="shared" si="0"/>
        <v>45</v>
      </c>
      <c r="O12" s="7">
        <f t="shared" si="1"/>
        <v>75</v>
      </c>
      <c r="P12" s="7">
        <f t="shared" si="2"/>
        <v>0</v>
      </c>
      <c r="Q12" s="8">
        <f t="shared" si="4"/>
        <v>62</v>
      </c>
      <c r="R12" s="8">
        <f t="shared" si="5"/>
        <v>55.25</v>
      </c>
      <c r="S12" s="8">
        <f t="shared" si="6"/>
        <v>40.5</v>
      </c>
      <c r="T12" s="8">
        <f t="shared" si="7"/>
        <v>55</v>
      </c>
      <c r="U12" s="7">
        <f t="shared" si="8"/>
        <v>52.583333333333336</v>
      </c>
      <c r="V12" s="7">
        <f t="shared" si="9"/>
        <v>53.1875</v>
      </c>
    </row>
    <row r="13" spans="1:22" ht="13.5" x14ac:dyDescent="0.25">
      <c r="A13" s="3">
        <f>RSI!A13</f>
        <v>44937</v>
      </c>
      <c r="B13" s="2">
        <f>RSI!B13</f>
        <v>5.3090000000000002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5.3187999999999995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BEARISH</v>
      </c>
      <c r="K13" s="5" t="str">
        <f>OBV!G13</f>
        <v>NEUTRAL</v>
      </c>
      <c r="L13" s="5" t="str">
        <f>OBV!H13</f>
        <v>BEARISH DIVERGENCE</v>
      </c>
      <c r="M13" s="7">
        <f t="shared" si="3"/>
        <v>100</v>
      </c>
      <c r="N13" s="7">
        <f t="shared" si="0"/>
        <v>45</v>
      </c>
      <c r="O13" s="7">
        <f t="shared" si="1"/>
        <v>75</v>
      </c>
      <c r="P13" s="7">
        <f t="shared" si="2"/>
        <v>16.5</v>
      </c>
      <c r="Q13" s="8">
        <f t="shared" si="4"/>
        <v>64.474999999999994</v>
      </c>
      <c r="R13" s="8">
        <f t="shared" si="5"/>
        <v>59.375</v>
      </c>
      <c r="S13" s="8">
        <f t="shared" si="6"/>
        <v>47.924999999999997</v>
      </c>
      <c r="T13" s="8">
        <f t="shared" si="7"/>
        <v>59.125</v>
      </c>
      <c r="U13" s="7">
        <f t="shared" si="8"/>
        <v>57.258333333333326</v>
      </c>
      <c r="V13" s="7">
        <f t="shared" si="9"/>
        <v>57.724999999999994</v>
      </c>
    </row>
    <row r="14" spans="1:22" ht="13.5" x14ac:dyDescent="0.25">
      <c r="A14" s="3">
        <f>RSI!A14</f>
        <v>44938</v>
      </c>
      <c r="B14" s="2">
        <f>RSI!B14</f>
        <v>5.181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5.2847999999999997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BEARISH</v>
      </c>
      <c r="K14" s="5" t="str">
        <f>OBV!G14</f>
        <v>WEAK</v>
      </c>
      <c r="L14" s="5" t="str">
        <f>OBV!H14</f>
        <v>CONFIRMED BEARISH</v>
      </c>
      <c r="M14" s="7">
        <f t="shared" si="3"/>
        <v>100</v>
      </c>
      <c r="N14" s="7">
        <f t="shared" si="0"/>
        <v>45</v>
      </c>
      <c r="O14" s="7">
        <f t="shared" si="1"/>
        <v>75</v>
      </c>
      <c r="P14" s="7">
        <f t="shared" si="2"/>
        <v>0</v>
      </c>
      <c r="Q14" s="8">
        <f t="shared" si="4"/>
        <v>62</v>
      </c>
      <c r="R14" s="8">
        <f t="shared" si="5"/>
        <v>55.25</v>
      </c>
      <c r="S14" s="8">
        <f t="shared" si="6"/>
        <v>40.5</v>
      </c>
      <c r="T14" s="8">
        <f t="shared" si="7"/>
        <v>55</v>
      </c>
      <c r="U14" s="7">
        <f t="shared" si="8"/>
        <v>52.583333333333336</v>
      </c>
      <c r="V14" s="7">
        <f t="shared" si="9"/>
        <v>53.1875</v>
      </c>
    </row>
    <row r="15" spans="1:22" ht="13.5" x14ac:dyDescent="0.25">
      <c r="A15" s="3">
        <f>RSI!A15</f>
        <v>44939</v>
      </c>
      <c r="B15" s="2">
        <f>RSI!B15</f>
        <v>5.4189999999999996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5.2984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BEARISH</v>
      </c>
      <c r="K15" s="5" t="str">
        <f>OBV!G15</f>
        <v>WEAK</v>
      </c>
      <c r="L15" s="5" t="str">
        <f>OBV!H15</f>
        <v>BEARISH DIVERGENCE</v>
      </c>
      <c r="M15" s="7">
        <f t="shared" si="3"/>
        <v>100</v>
      </c>
      <c r="N15" s="7">
        <f t="shared" si="0"/>
        <v>45</v>
      </c>
      <c r="O15" s="7">
        <f t="shared" si="1"/>
        <v>75</v>
      </c>
      <c r="P15" s="7">
        <f t="shared" si="2"/>
        <v>0</v>
      </c>
      <c r="Q15" s="8">
        <f t="shared" si="4"/>
        <v>62</v>
      </c>
      <c r="R15" s="8">
        <f t="shared" si="5"/>
        <v>55.25</v>
      </c>
      <c r="S15" s="8">
        <f t="shared" si="6"/>
        <v>40.5</v>
      </c>
      <c r="T15" s="8">
        <f t="shared" si="7"/>
        <v>55</v>
      </c>
      <c r="U15" s="7">
        <f t="shared" si="8"/>
        <v>52.583333333333336</v>
      </c>
      <c r="V15" s="7">
        <f t="shared" si="9"/>
        <v>53.1875</v>
      </c>
    </row>
    <row r="16" spans="1:22" ht="13.5" x14ac:dyDescent="0.25">
      <c r="A16" s="3">
        <f>RSI!A16</f>
        <v>44942</v>
      </c>
      <c r="B16" s="2">
        <f>RSI!B16</f>
        <v>5.47</v>
      </c>
      <c r="C16" s="2">
        <f>RSI!I16</f>
        <v>93.971061093247584</v>
      </c>
      <c r="D16" s="2">
        <f>MACD!E16</f>
        <v>0</v>
      </c>
      <c r="E16" s="2">
        <f>MACD!F16</f>
        <v>0</v>
      </c>
      <c r="F16" s="2">
        <f>'Moving Avg'!D16</f>
        <v>5.3289999999999997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STRONG</v>
      </c>
      <c r="L16" s="5" t="str">
        <f>OBV!H16</f>
        <v>CONFIRMED BULLISH</v>
      </c>
      <c r="M16" s="7">
        <f t="shared" si="3"/>
        <v>0</v>
      </c>
      <c r="N16" s="7">
        <f t="shared" si="0"/>
        <v>45</v>
      </c>
      <c r="O16" s="7">
        <f t="shared" si="1"/>
        <v>75</v>
      </c>
      <c r="P16" s="7">
        <f t="shared" si="2"/>
        <v>100</v>
      </c>
      <c r="Q16" s="8">
        <f t="shared" si="4"/>
        <v>42</v>
      </c>
      <c r="R16" s="8">
        <f t="shared" si="5"/>
        <v>60.25</v>
      </c>
      <c r="S16" s="8">
        <f t="shared" si="6"/>
        <v>70.5</v>
      </c>
      <c r="T16" s="8">
        <f t="shared" si="7"/>
        <v>55</v>
      </c>
      <c r="U16" s="7">
        <f t="shared" si="8"/>
        <v>57.583333333333336</v>
      </c>
      <c r="V16" s="7">
        <f t="shared" si="9"/>
        <v>56.9375</v>
      </c>
    </row>
    <row r="17" spans="1:22" ht="13.5" x14ac:dyDescent="0.25">
      <c r="A17" s="3">
        <f>RSI!A17</f>
        <v>44943</v>
      </c>
      <c r="B17" s="2">
        <f>RSI!B17</f>
        <v>5.4359999999999999</v>
      </c>
      <c r="C17" s="2">
        <f>RSI!I17</f>
        <v>93.421117340415066</v>
      </c>
      <c r="D17" s="2">
        <f>MACD!E17</f>
        <v>0</v>
      </c>
      <c r="E17" s="2">
        <f>MACD!F17</f>
        <v>0</v>
      </c>
      <c r="F17" s="2">
        <f>'Moving Avg'!D17</f>
        <v>5.3629999999999995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BULLISH</v>
      </c>
      <c r="K17" s="5" t="str">
        <f>OBV!G17</f>
        <v>WEAK</v>
      </c>
      <c r="L17" s="5" t="str">
        <f>OBV!H17</f>
        <v>CONFIRMED BULLISH</v>
      </c>
      <c r="M17" s="7">
        <f t="shared" si="3"/>
        <v>0</v>
      </c>
      <c r="N17" s="7">
        <f t="shared" si="0"/>
        <v>45</v>
      </c>
      <c r="O17" s="7">
        <f t="shared" si="1"/>
        <v>75</v>
      </c>
      <c r="P17" s="7">
        <f t="shared" si="2"/>
        <v>67</v>
      </c>
      <c r="Q17" s="8">
        <f t="shared" si="4"/>
        <v>37.049999999999997</v>
      </c>
      <c r="R17" s="8">
        <f t="shared" si="5"/>
        <v>52</v>
      </c>
      <c r="S17" s="8">
        <f t="shared" si="6"/>
        <v>55.650000000000006</v>
      </c>
      <c r="T17" s="8">
        <f t="shared" si="7"/>
        <v>46.75</v>
      </c>
      <c r="U17" s="7">
        <f t="shared" si="8"/>
        <v>48.233333333333327</v>
      </c>
      <c r="V17" s="7">
        <f t="shared" si="9"/>
        <v>47.862499999999997</v>
      </c>
    </row>
    <row r="18" spans="1:22" ht="13.5" x14ac:dyDescent="0.25">
      <c r="A18" s="3">
        <f>RSI!A18</f>
        <v>44944</v>
      </c>
      <c r="B18" s="2">
        <f>RSI!B18</f>
        <v>5.4619999999999997</v>
      </c>
      <c r="C18" s="2">
        <f>RSI!I18</f>
        <v>93.452672278778394</v>
      </c>
      <c r="D18" s="2">
        <f>MACD!E18</f>
        <v>0</v>
      </c>
      <c r="E18" s="2">
        <f>MACD!F18</f>
        <v>0</v>
      </c>
      <c r="F18" s="2">
        <f>'Moving Avg'!D18</f>
        <v>5.3936000000000002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STRONG</v>
      </c>
      <c r="L18" s="5" t="str">
        <f>OBV!H18</f>
        <v>CONFIRMED BULLISH</v>
      </c>
      <c r="M18" s="7">
        <f t="shared" si="3"/>
        <v>0</v>
      </c>
      <c r="N18" s="7">
        <f t="shared" si="0"/>
        <v>45</v>
      </c>
      <c r="O18" s="7">
        <f t="shared" si="1"/>
        <v>75</v>
      </c>
      <c r="P18" s="7">
        <f t="shared" si="2"/>
        <v>100</v>
      </c>
      <c r="Q18" s="8">
        <f t="shared" si="4"/>
        <v>42</v>
      </c>
      <c r="R18" s="8">
        <f t="shared" si="5"/>
        <v>60.25</v>
      </c>
      <c r="S18" s="8">
        <f t="shared" si="6"/>
        <v>70.5</v>
      </c>
      <c r="T18" s="8">
        <f t="shared" si="7"/>
        <v>55</v>
      </c>
      <c r="U18" s="7">
        <f t="shared" si="8"/>
        <v>57.583333333333336</v>
      </c>
      <c r="V18" s="7">
        <f t="shared" si="9"/>
        <v>56.9375</v>
      </c>
    </row>
    <row r="19" spans="1:22" ht="13.5" x14ac:dyDescent="0.25">
      <c r="A19" s="3">
        <f>RSI!A19</f>
        <v>44945</v>
      </c>
      <c r="B19" s="2">
        <f>RSI!B19</f>
        <v>5.4619999999999997</v>
      </c>
      <c r="C19" s="2">
        <f>RSI!I19</f>
        <v>93.452672278778394</v>
      </c>
      <c r="D19" s="2">
        <f>MACD!E19</f>
        <v>0</v>
      </c>
      <c r="E19" s="2">
        <f>MACD!F19</f>
        <v>0</v>
      </c>
      <c r="F19" s="2">
        <f>'Moving Avg'!D19</f>
        <v>5.4497999999999998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BULLISH</v>
      </c>
      <c r="K19" s="5" t="str">
        <f>OBV!G19</f>
        <v>WEAK</v>
      </c>
      <c r="L19" s="5" t="str">
        <f>OBV!H19</f>
        <v>CONFIRMED BULLISH</v>
      </c>
      <c r="M19" s="7">
        <f t="shared" si="3"/>
        <v>0</v>
      </c>
      <c r="N19" s="7">
        <f t="shared" si="0"/>
        <v>45</v>
      </c>
      <c r="O19" s="7">
        <f t="shared" si="1"/>
        <v>75</v>
      </c>
      <c r="P19" s="7">
        <f t="shared" si="2"/>
        <v>67</v>
      </c>
      <c r="Q19" s="8">
        <f t="shared" si="4"/>
        <v>37.049999999999997</v>
      </c>
      <c r="R19" s="8">
        <f t="shared" si="5"/>
        <v>52</v>
      </c>
      <c r="S19" s="8">
        <f t="shared" si="6"/>
        <v>55.650000000000006</v>
      </c>
      <c r="T19" s="8">
        <f t="shared" si="7"/>
        <v>46.75</v>
      </c>
      <c r="U19" s="7">
        <f t="shared" si="8"/>
        <v>48.233333333333327</v>
      </c>
      <c r="V19" s="7">
        <f t="shared" si="9"/>
        <v>47.862499999999997</v>
      </c>
    </row>
    <row r="20" spans="1:22" ht="13.5" x14ac:dyDescent="0.25">
      <c r="A20" s="3">
        <f>RSI!A20</f>
        <v>44946</v>
      </c>
      <c r="B20" s="2">
        <f>RSI!B20</f>
        <v>5.4359999999999999</v>
      </c>
      <c r="C20" s="2">
        <f>RSI!I20</f>
        <v>92.935700140774657</v>
      </c>
      <c r="D20" s="2">
        <f>MACD!E20</f>
        <v>0</v>
      </c>
      <c r="E20" s="2">
        <f>MACD!F20</f>
        <v>0</v>
      </c>
      <c r="F20" s="2">
        <f>'Moving Avg'!D20</f>
        <v>5.4531999999999998</v>
      </c>
      <c r="G20" s="2">
        <f>'Moving Avg'!F20</f>
        <v>4.7976842105263158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NEUTRAL</v>
      </c>
      <c r="L20" s="5" t="str">
        <f>OBV!H20</f>
        <v>CONFIRMED BULLISH</v>
      </c>
      <c r="M20" s="7">
        <f t="shared" si="3"/>
        <v>0</v>
      </c>
      <c r="N20" s="7">
        <f t="shared" si="0"/>
        <v>45</v>
      </c>
      <c r="O20" s="7">
        <f t="shared" si="1"/>
        <v>75</v>
      </c>
      <c r="P20" s="7">
        <f t="shared" si="2"/>
        <v>83.5</v>
      </c>
      <c r="Q20" s="8">
        <f t="shared" si="4"/>
        <v>39.524999999999999</v>
      </c>
      <c r="R20" s="8">
        <f t="shared" si="5"/>
        <v>56.125</v>
      </c>
      <c r="S20" s="8">
        <f t="shared" si="6"/>
        <v>63.075000000000003</v>
      </c>
      <c r="T20" s="8">
        <f t="shared" si="7"/>
        <v>50.875</v>
      </c>
      <c r="U20" s="7">
        <f t="shared" si="8"/>
        <v>52.908333333333339</v>
      </c>
      <c r="V20" s="7">
        <f t="shared" si="9"/>
        <v>52.400000000000006</v>
      </c>
    </row>
    <row r="21" spans="1:22" ht="13.5" x14ac:dyDescent="0.25">
      <c r="A21" s="3">
        <f>RSI!A21</f>
        <v>44949</v>
      </c>
      <c r="B21" s="2">
        <f>RSI!B21</f>
        <v>5.3940000000000001</v>
      </c>
      <c r="C21" s="2">
        <f>RSI!I21</f>
        <v>92.04985229208306</v>
      </c>
      <c r="D21" s="2">
        <f>MACD!E21</f>
        <v>0</v>
      </c>
      <c r="E21" s="2">
        <f>MACD!F21</f>
        <v>0</v>
      </c>
      <c r="F21" s="2">
        <f>'Moving Avg'!D21</f>
        <v>5.4379999999999997</v>
      </c>
      <c r="G21" s="2">
        <f>'Moving Avg'!F21</f>
        <v>4.8275000000000006</v>
      </c>
      <c r="H21" s="2">
        <f>'Moving Avg'!G21</f>
        <v>0</v>
      </c>
      <c r="I21" s="2">
        <f>'Moving Avg'!H21</f>
        <v>0</v>
      </c>
      <c r="J21" s="5" t="str">
        <f>OBV!F21</f>
        <v>BEARISH</v>
      </c>
      <c r="K21" s="5" t="str">
        <f>OBV!G21</f>
        <v>WEAK</v>
      </c>
      <c r="L21" s="5" t="str">
        <f>OBV!H21</f>
        <v>CONFIRMED BEARISH</v>
      </c>
      <c r="M21" s="7">
        <f t="shared" si="3"/>
        <v>0</v>
      </c>
      <c r="N21" s="7">
        <f t="shared" si="0"/>
        <v>45</v>
      </c>
      <c r="O21" s="7">
        <f t="shared" si="1"/>
        <v>75</v>
      </c>
      <c r="P21" s="7">
        <f t="shared" si="2"/>
        <v>0</v>
      </c>
      <c r="Q21" s="8">
        <f t="shared" si="4"/>
        <v>27</v>
      </c>
      <c r="R21" s="8">
        <f t="shared" si="5"/>
        <v>35.25</v>
      </c>
      <c r="S21" s="8">
        <f t="shared" si="6"/>
        <v>25.5</v>
      </c>
      <c r="T21" s="8">
        <f t="shared" si="7"/>
        <v>30</v>
      </c>
      <c r="U21" s="7">
        <f t="shared" si="8"/>
        <v>29.25</v>
      </c>
      <c r="V21" s="7">
        <f t="shared" si="9"/>
        <v>29.4375</v>
      </c>
    </row>
    <row r="22" spans="1:22" ht="13.5" x14ac:dyDescent="0.25">
      <c r="A22" s="3">
        <f>RSI!A22</f>
        <v>44950</v>
      </c>
      <c r="B22" s="2">
        <f>RSI!B22</f>
        <v>5.4189999999999996</v>
      </c>
      <c r="C22" s="2">
        <f>RSI!I22</f>
        <v>92.09813388923439</v>
      </c>
      <c r="D22" s="2">
        <f>MACD!E22</f>
        <v>0</v>
      </c>
      <c r="E22" s="2">
        <f>MACD!F22</f>
        <v>0</v>
      </c>
      <c r="F22" s="2">
        <f>'Moving Avg'!D22</f>
        <v>5.4345999999999997</v>
      </c>
      <c r="G22" s="2">
        <f>'Moving Avg'!F22</f>
        <v>5.0984500000000006</v>
      </c>
      <c r="H22" s="2">
        <f>'Moving Avg'!G22</f>
        <v>0</v>
      </c>
      <c r="I22" s="2">
        <f>'Moving Avg'!H22</f>
        <v>0</v>
      </c>
      <c r="J22" s="5" t="str">
        <f>OBV!F22</f>
        <v>BEARISH</v>
      </c>
      <c r="K22" s="5" t="str">
        <f>OBV!G22</f>
        <v>NEUTRAL</v>
      </c>
      <c r="L22" s="5" t="str">
        <f>OBV!H22</f>
        <v>CONFIRMED BEARISH</v>
      </c>
      <c r="M22" s="7">
        <f t="shared" si="3"/>
        <v>0</v>
      </c>
      <c r="N22" s="7">
        <f t="shared" si="0"/>
        <v>45</v>
      </c>
      <c r="O22" s="7">
        <f t="shared" si="1"/>
        <v>75</v>
      </c>
      <c r="P22" s="7">
        <f t="shared" si="2"/>
        <v>16.5</v>
      </c>
      <c r="Q22" s="8">
        <f t="shared" si="4"/>
        <v>29.475000000000001</v>
      </c>
      <c r="R22" s="8">
        <f t="shared" si="5"/>
        <v>39.375</v>
      </c>
      <c r="S22" s="8">
        <f t="shared" si="6"/>
        <v>32.924999999999997</v>
      </c>
      <c r="T22" s="8">
        <f t="shared" si="7"/>
        <v>34.125</v>
      </c>
      <c r="U22" s="7">
        <f t="shared" si="8"/>
        <v>33.924999999999997</v>
      </c>
      <c r="V22" s="7">
        <f t="shared" si="9"/>
        <v>33.974999999999994</v>
      </c>
    </row>
    <row r="23" spans="1:22" ht="13.5" x14ac:dyDescent="0.25">
      <c r="A23" s="3">
        <f>RSI!A23</f>
        <v>44951</v>
      </c>
      <c r="B23" s="2">
        <f>RSI!B23</f>
        <v>5.3259999999999996</v>
      </c>
      <c r="C23" s="2">
        <f>RSI!I23</f>
        <v>89.910648387318361</v>
      </c>
      <c r="D23" s="2">
        <f>MACD!E23</f>
        <v>0</v>
      </c>
      <c r="E23" s="2">
        <f>MACD!F23</f>
        <v>0</v>
      </c>
      <c r="F23" s="2">
        <f>'Moving Avg'!D23</f>
        <v>5.4074000000000009</v>
      </c>
      <c r="G23" s="2">
        <f>'Moving Avg'!F23</f>
        <v>5.3647499999999999</v>
      </c>
      <c r="H23" s="2">
        <f>'Moving Avg'!G23</f>
        <v>0</v>
      </c>
      <c r="I23" s="2">
        <f>'Moving Avg'!H23</f>
        <v>0</v>
      </c>
      <c r="J23" s="5" t="str">
        <f>OBV!F23</f>
        <v>BEARISH</v>
      </c>
      <c r="K23" s="5" t="str">
        <f>OBV!G23</f>
        <v>WEAK</v>
      </c>
      <c r="L23" s="5" t="str">
        <f>OBV!H23</f>
        <v>CONFIRMED BEARISH</v>
      </c>
      <c r="M23" s="7">
        <f t="shared" si="3"/>
        <v>0</v>
      </c>
      <c r="N23" s="7">
        <f t="shared" si="0"/>
        <v>45</v>
      </c>
      <c r="O23" s="7">
        <f t="shared" si="1"/>
        <v>75</v>
      </c>
      <c r="P23" s="7">
        <f t="shared" si="2"/>
        <v>0</v>
      </c>
      <c r="Q23" s="8">
        <f t="shared" si="4"/>
        <v>27</v>
      </c>
      <c r="R23" s="8">
        <f t="shared" si="5"/>
        <v>35.25</v>
      </c>
      <c r="S23" s="8">
        <f t="shared" si="6"/>
        <v>25.5</v>
      </c>
      <c r="T23" s="8">
        <f t="shared" si="7"/>
        <v>30</v>
      </c>
      <c r="U23" s="7">
        <f t="shared" si="8"/>
        <v>29.25</v>
      </c>
      <c r="V23" s="7">
        <f t="shared" si="9"/>
        <v>29.4375</v>
      </c>
    </row>
    <row r="24" spans="1:22" ht="13.5" x14ac:dyDescent="0.25">
      <c r="A24" s="3">
        <f>RSI!A24</f>
        <v>44952</v>
      </c>
      <c r="B24" s="2">
        <f>RSI!B24</f>
        <v>5.351</v>
      </c>
      <c r="C24" s="2">
        <f>RSI!I24</f>
        <v>89.979549044303582</v>
      </c>
      <c r="D24" s="2">
        <f>MACD!E24</f>
        <v>0</v>
      </c>
      <c r="E24" s="2">
        <f>MACD!F24</f>
        <v>0</v>
      </c>
      <c r="F24" s="2">
        <f>'Moving Avg'!D24</f>
        <v>5.3851999999999993</v>
      </c>
      <c r="G24" s="2">
        <f>'Moving Avg'!F24</f>
        <v>5.3690000000000007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WEAK</v>
      </c>
      <c r="L24" s="5" t="str">
        <f>OBV!H24</f>
        <v>CONFIRMED BEARISH</v>
      </c>
      <c r="M24" s="7">
        <f t="shared" si="3"/>
        <v>0</v>
      </c>
      <c r="N24" s="7">
        <f t="shared" si="0"/>
        <v>45</v>
      </c>
      <c r="O24" s="7">
        <f t="shared" si="1"/>
        <v>75</v>
      </c>
      <c r="P24" s="7">
        <f t="shared" si="2"/>
        <v>0</v>
      </c>
      <c r="Q24" s="8">
        <f t="shared" si="4"/>
        <v>27</v>
      </c>
      <c r="R24" s="8">
        <f t="shared" si="5"/>
        <v>35.25</v>
      </c>
      <c r="S24" s="8">
        <f t="shared" si="6"/>
        <v>25.5</v>
      </c>
      <c r="T24" s="8">
        <f t="shared" si="7"/>
        <v>30</v>
      </c>
      <c r="U24" s="7">
        <f t="shared" si="8"/>
        <v>29.25</v>
      </c>
      <c r="V24" s="7">
        <f t="shared" si="9"/>
        <v>29.4375</v>
      </c>
    </row>
    <row r="25" spans="1:22" ht="13.5" x14ac:dyDescent="0.25">
      <c r="A25" s="3">
        <f>RSI!A25</f>
        <v>44953</v>
      </c>
      <c r="B25" s="2">
        <f>RSI!B25</f>
        <v>5.4020000000000001</v>
      </c>
      <c r="C25" s="2">
        <f>RSI!I25</f>
        <v>90.127662646357692</v>
      </c>
      <c r="D25" s="2">
        <f>MACD!E25</f>
        <v>0</v>
      </c>
      <c r="E25" s="2">
        <f>MACD!F25</f>
        <v>0</v>
      </c>
      <c r="F25" s="2">
        <f>'Moving Avg'!D25</f>
        <v>5.3784000000000001</v>
      </c>
      <c r="G25" s="2">
        <f>'Moving Avg'!F25</f>
        <v>5.3689999999999998</v>
      </c>
      <c r="H25" s="2">
        <f>'Moving Avg'!G25</f>
        <v>0</v>
      </c>
      <c r="I25" s="2">
        <f>'Moving Avg'!H25</f>
        <v>0</v>
      </c>
      <c r="J25" s="5" t="str">
        <f>OBV!F25</f>
        <v>BULLISH</v>
      </c>
      <c r="K25" s="5" t="str">
        <f>OBV!G25</f>
        <v>STRONG</v>
      </c>
      <c r="L25" s="5" t="str">
        <f>OBV!H25</f>
        <v>BULLISH DIVERGENCE</v>
      </c>
      <c r="M25" s="7">
        <f t="shared" si="3"/>
        <v>0</v>
      </c>
      <c r="N25" s="7">
        <f t="shared" si="0"/>
        <v>45</v>
      </c>
      <c r="O25" s="7">
        <f t="shared" si="1"/>
        <v>75</v>
      </c>
      <c r="P25" s="7">
        <f t="shared" si="2"/>
        <v>83</v>
      </c>
      <c r="Q25" s="8">
        <f t="shared" si="4"/>
        <v>39.450000000000003</v>
      </c>
      <c r="R25" s="8">
        <f t="shared" si="5"/>
        <v>56</v>
      </c>
      <c r="S25" s="8">
        <f t="shared" si="6"/>
        <v>62.85</v>
      </c>
      <c r="T25" s="8">
        <f t="shared" si="7"/>
        <v>50.75</v>
      </c>
      <c r="U25" s="7">
        <f t="shared" si="8"/>
        <v>52.766666666666673</v>
      </c>
      <c r="V25" s="7">
        <f t="shared" si="9"/>
        <v>52.262500000000003</v>
      </c>
    </row>
    <row r="26" spans="1:22" ht="13.5" x14ac:dyDescent="0.25">
      <c r="A26" s="3">
        <f>RSI!A26</f>
        <v>44956</v>
      </c>
      <c r="B26" s="2">
        <f>RSI!B26</f>
        <v>5.4279999999999999</v>
      </c>
      <c r="C26" s="2">
        <f>RSI!I26</f>
        <v>90.207133044112368</v>
      </c>
      <c r="D26" s="2">
        <f>MACD!E26</f>
        <v>0</v>
      </c>
      <c r="E26" s="2">
        <f>MACD!F26</f>
        <v>0</v>
      </c>
      <c r="F26" s="2">
        <f>'Moving Avg'!D26</f>
        <v>5.3852000000000002</v>
      </c>
      <c r="G26" s="2">
        <f>'Moving Avg'!F26</f>
        <v>5.3719999999999999</v>
      </c>
      <c r="H26" s="2">
        <f>'Moving Avg'!G26</f>
        <v>0</v>
      </c>
      <c r="I26" s="2">
        <f>'Moving Avg'!H26</f>
        <v>0</v>
      </c>
      <c r="J26" s="5" t="str">
        <f>OBV!F26</f>
        <v>BULLISH</v>
      </c>
      <c r="K26" s="5" t="str">
        <f>OBV!G26</f>
        <v>WEAK</v>
      </c>
      <c r="L26" s="5" t="str">
        <f>OBV!H26</f>
        <v>CONFIRMED BULLISH</v>
      </c>
      <c r="M26" s="7">
        <f t="shared" si="3"/>
        <v>0</v>
      </c>
      <c r="N26" s="7">
        <f t="shared" si="0"/>
        <v>45</v>
      </c>
      <c r="O26" s="7">
        <f t="shared" si="1"/>
        <v>75</v>
      </c>
      <c r="P26" s="7">
        <f t="shared" si="2"/>
        <v>67</v>
      </c>
      <c r="Q26" s="8">
        <f t="shared" si="4"/>
        <v>37.049999999999997</v>
      </c>
      <c r="R26" s="8">
        <f t="shared" si="5"/>
        <v>52</v>
      </c>
      <c r="S26" s="8">
        <f t="shared" si="6"/>
        <v>55.650000000000006</v>
      </c>
      <c r="T26" s="8">
        <f t="shared" si="7"/>
        <v>46.75</v>
      </c>
      <c r="U26" s="7">
        <f t="shared" si="8"/>
        <v>48.233333333333327</v>
      </c>
      <c r="V26" s="7">
        <f t="shared" si="9"/>
        <v>47.862499999999997</v>
      </c>
    </row>
    <row r="27" spans="1:22" ht="13.5" x14ac:dyDescent="0.25">
      <c r="A27" s="3">
        <f>RSI!A27</f>
        <v>44957</v>
      </c>
      <c r="B27" s="2">
        <f>RSI!B27</f>
        <v>5.4279999999999999</v>
      </c>
      <c r="C27" s="2">
        <f>RSI!I27</f>
        <v>90.207133044112368</v>
      </c>
      <c r="D27" s="2">
        <f>MACD!E27</f>
        <v>0.31299953454358587</v>
      </c>
      <c r="E27" s="2">
        <f>MACD!F27</f>
        <v>0</v>
      </c>
      <c r="F27" s="2">
        <f>'Moving Avg'!D27</f>
        <v>5.3870000000000005</v>
      </c>
      <c r="G27" s="2">
        <f>'Moving Avg'!F27</f>
        <v>5.3736999999999995</v>
      </c>
      <c r="H27" s="2">
        <f>'Moving Avg'!G27</f>
        <v>0</v>
      </c>
      <c r="I27" s="2">
        <f>'Moving Avg'!H27</f>
        <v>0</v>
      </c>
      <c r="J27" s="5" t="str">
        <f>OBV!F27</f>
        <v>BULLISH</v>
      </c>
      <c r="K27" s="5" t="str">
        <f>OBV!G27</f>
        <v>STRONG</v>
      </c>
      <c r="L27" s="5" t="str">
        <f>OBV!H27</f>
        <v>CONFIRMED BULLISH</v>
      </c>
      <c r="M27" s="7">
        <f t="shared" si="3"/>
        <v>0</v>
      </c>
      <c r="N27" s="7">
        <f t="shared" si="0"/>
        <v>0</v>
      </c>
      <c r="O27" s="7">
        <f t="shared" si="1"/>
        <v>75</v>
      </c>
      <c r="P27" s="7">
        <f t="shared" si="2"/>
        <v>100</v>
      </c>
      <c r="Q27" s="8">
        <f t="shared" si="4"/>
        <v>26.25</v>
      </c>
      <c r="R27" s="8">
        <f t="shared" si="5"/>
        <v>51.25</v>
      </c>
      <c r="S27" s="8">
        <f t="shared" si="6"/>
        <v>63.75</v>
      </c>
      <c r="T27" s="8">
        <f t="shared" si="7"/>
        <v>43.75</v>
      </c>
      <c r="U27" s="7">
        <f t="shared" si="8"/>
        <v>47.083333333333336</v>
      </c>
      <c r="V27" s="7">
        <f t="shared" si="9"/>
        <v>46.25</v>
      </c>
    </row>
    <row r="28" spans="1:22" ht="13.5" x14ac:dyDescent="0.25">
      <c r="A28" s="3">
        <f>RSI!A28</f>
        <v>44958</v>
      </c>
      <c r="B28" s="2">
        <f>RSI!B28</f>
        <v>5.4279999999999999</v>
      </c>
      <c r="C28" s="2">
        <f>RSI!I28</f>
        <v>90.207133044112368</v>
      </c>
      <c r="D28" s="2">
        <f>MACD!E28</f>
        <v>0.30758167934972303</v>
      </c>
      <c r="E28" s="2">
        <f>MACD!F28</f>
        <v>0</v>
      </c>
      <c r="F28" s="2">
        <f>'Moving Avg'!D28</f>
        <v>5.4074000000000009</v>
      </c>
      <c r="G28" s="2">
        <f>'Moving Avg'!F28</f>
        <v>5.3818000000000001</v>
      </c>
      <c r="H28" s="2">
        <f>'Moving Avg'!G28</f>
        <v>0</v>
      </c>
      <c r="I28" s="2">
        <f>'Moving Avg'!H28</f>
        <v>0</v>
      </c>
      <c r="J28" s="5" t="str">
        <f>OBV!F28</f>
        <v>BULLISH</v>
      </c>
      <c r="K28" s="5" t="str">
        <f>OBV!G28</f>
        <v>WEAK</v>
      </c>
      <c r="L28" s="5" t="str">
        <f>OBV!H28</f>
        <v>CONFIRMED BULLISH</v>
      </c>
      <c r="M28" s="7">
        <f t="shared" si="3"/>
        <v>0</v>
      </c>
      <c r="N28" s="7">
        <f t="shared" si="0"/>
        <v>0</v>
      </c>
      <c r="O28" s="7">
        <f t="shared" si="1"/>
        <v>75</v>
      </c>
      <c r="P28" s="7">
        <f t="shared" si="2"/>
        <v>67</v>
      </c>
      <c r="Q28" s="8">
        <f t="shared" si="4"/>
        <v>21.299999999999997</v>
      </c>
      <c r="R28" s="8">
        <f t="shared" si="5"/>
        <v>43</v>
      </c>
      <c r="S28" s="8">
        <f t="shared" si="6"/>
        <v>48.900000000000006</v>
      </c>
      <c r="T28" s="8">
        <f t="shared" si="7"/>
        <v>35.5</v>
      </c>
      <c r="U28" s="7">
        <f t="shared" si="8"/>
        <v>37.733333333333334</v>
      </c>
      <c r="V28" s="7">
        <f t="shared" si="9"/>
        <v>37.174999999999997</v>
      </c>
    </row>
    <row r="29" spans="1:22" ht="13.5" x14ac:dyDescent="0.25">
      <c r="A29" s="3">
        <f>RSI!A29</f>
        <v>44959</v>
      </c>
      <c r="B29" s="2">
        <f>RSI!B29</f>
        <v>5.4279999999999999</v>
      </c>
      <c r="C29" s="2">
        <f>RSI!I29</f>
        <v>90.207133044112368</v>
      </c>
      <c r="D29" s="2">
        <f>MACD!E29</f>
        <v>0.30021918107134393</v>
      </c>
      <c r="E29" s="2">
        <f>MACD!F29</f>
        <v>0</v>
      </c>
      <c r="F29" s="2">
        <f>'Moving Avg'!D29</f>
        <v>5.4228000000000005</v>
      </c>
      <c r="G29" s="2">
        <f>'Moving Avg'!F29</f>
        <v>5.3856499999999992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str">
        <f>OBV!G29</f>
        <v>STRONG</v>
      </c>
      <c r="L29" s="5" t="str">
        <f>OBV!H29</f>
        <v>CONFIRMED BULLISH</v>
      </c>
      <c r="M29" s="7">
        <f t="shared" si="3"/>
        <v>0</v>
      </c>
      <c r="N29" s="7">
        <f t="shared" si="0"/>
        <v>0</v>
      </c>
      <c r="O29" s="7">
        <f t="shared" si="1"/>
        <v>75</v>
      </c>
      <c r="P29" s="7">
        <f t="shared" si="2"/>
        <v>100</v>
      </c>
      <c r="Q29" s="8">
        <f t="shared" si="4"/>
        <v>26.25</v>
      </c>
      <c r="R29" s="8">
        <f t="shared" si="5"/>
        <v>51.25</v>
      </c>
      <c r="S29" s="8">
        <f t="shared" si="6"/>
        <v>63.75</v>
      </c>
      <c r="T29" s="8">
        <f t="shared" si="7"/>
        <v>43.75</v>
      </c>
      <c r="U29" s="7">
        <f t="shared" si="8"/>
        <v>47.083333333333336</v>
      </c>
      <c r="V29" s="7">
        <f t="shared" si="9"/>
        <v>46.25</v>
      </c>
    </row>
    <row r="30" spans="1:22" ht="13.5" x14ac:dyDescent="0.25">
      <c r="A30" s="3">
        <f>RSI!A30</f>
        <v>44960</v>
      </c>
      <c r="B30" s="2">
        <f>RSI!B30</f>
        <v>5.3940000000000001</v>
      </c>
      <c r="C30" s="2">
        <f>RSI!I30</f>
        <v>88.947730479898098</v>
      </c>
      <c r="D30" s="2">
        <f>MACD!E30</f>
        <v>0.28993552366154418</v>
      </c>
      <c r="E30" s="2">
        <f>MACD!F30</f>
        <v>0</v>
      </c>
      <c r="F30" s="2">
        <f>'Moving Avg'!D30</f>
        <v>5.4212000000000007</v>
      </c>
      <c r="G30" s="2">
        <f>'Moving Avg'!F30</f>
        <v>5.3877999999999995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NEUTRAL</v>
      </c>
      <c r="L30" s="5" t="str">
        <f>OBV!H30</f>
        <v>BULLISH DIVERGENCE</v>
      </c>
      <c r="M30" s="7">
        <f t="shared" si="3"/>
        <v>0</v>
      </c>
      <c r="N30" s="7">
        <f t="shared" si="0"/>
        <v>0</v>
      </c>
      <c r="O30" s="7">
        <f t="shared" si="1"/>
        <v>75</v>
      </c>
      <c r="P30" s="7">
        <f t="shared" si="2"/>
        <v>66.5</v>
      </c>
      <c r="Q30" s="8">
        <f t="shared" si="4"/>
        <v>21.225000000000001</v>
      </c>
      <c r="R30" s="8">
        <f t="shared" si="5"/>
        <v>42.875</v>
      </c>
      <c r="S30" s="8">
        <f t="shared" si="6"/>
        <v>48.674999999999997</v>
      </c>
      <c r="T30" s="8">
        <f t="shared" si="7"/>
        <v>35.375</v>
      </c>
      <c r="U30" s="7">
        <f t="shared" si="8"/>
        <v>37.591666666666661</v>
      </c>
      <c r="V30" s="7">
        <f t="shared" si="9"/>
        <v>37.037499999999994</v>
      </c>
    </row>
    <row r="31" spans="1:22" ht="13.5" x14ac:dyDescent="0.25">
      <c r="A31" s="3">
        <f>RSI!A31</f>
        <v>44963</v>
      </c>
      <c r="B31" s="2">
        <f>RSI!B31</f>
        <v>5.3849999999999998</v>
      </c>
      <c r="C31" s="2">
        <f>RSI!I31</f>
        <v>88.595130873895386</v>
      </c>
      <c r="D31" s="2">
        <f>MACD!E31</f>
        <v>0.27325817926741003</v>
      </c>
      <c r="E31" s="2">
        <f>MACD!F31</f>
        <v>0</v>
      </c>
      <c r="F31" s="2">
        <f>'Moving Avg'!D31</f>
        <v>5.4125999999999994</v>
      </c>
      <c r="G31" s="2">
        <f>'Moving Avg'!F31</f>
        <v>5.3911999999999995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WEAK</v>
      </c>
      <c r="L31" s="5" t="str">
        <f>OBV!H31</f>
        <v>CONFIRMED BEARISH</v>
      </c>
      <c r="M31" s="7">
        <f t="shared" si="3"/>
        <v>0</v>
      </c>
      <c r="N31" s="7">
        <f t="shared" si="0"/>
        <v>0</v>
      </c>
      <c r="O31" s="7">
        <f t="shared" si="1"/>
        <v>75</v>
      </c>
      <c r="P31" s="7">
        <f t="shared" si="2"/>
        <v>0</v>
      </c>
      <c r="Q31" s="8">
        <f t="shared" si="4"/>
        <v>11.25</v>
      </c>
      <c r="R31" s="8">
        <f t="shared" si="5"/>
        <v>26.25</v>
      </c>
      <c r="S31" s="8">
        <f t="shared" si="6"/>
        <v>18.75</v>
      </c>
      <c r="T31" s="8">
        <f t="shared" si="7"/>
        <v>18.75</v>
      </c>
      <c r="U31" s="7">
        <f t="shared" si="8"/>
        <v>18.75</v>
      </c>
      <c r="V31" s="7">
        <f t="shared" si="9"/>
        <v>18.75</v>
      </c>
    </row>
    <row r="32" spans="1:22" ht="13.5" x14ac:dyDescent="0.25">
      <c r="A32" s="3">
        <f>RSI!A32</f>
        <v>44964</v>
      </c>
      <c r="B32" s="2">
        <f>RSI!B32</f>
        <v>5.3</v>
      </c>
      <c r="C32" s="2">
        <f>RSI!I32</f>
        <v>85.161517115591451</v>
      </c>
      <c r="D32" s="2">
        <f>MACD!E32</f>
        <v>0.26732284472194934</v>
      </c>
      <c r="E32" s="2">
        <f>MACD!F32</f>
        <v>0</v>
      </c>
      <c r="F32" s="2">
        <f>'Moving Avg'!D32</f>
        <v>5.3869999999999996</v>
      </c>
      <c r="G32" s="2">
        <f>'Moving Avg'!F32</f>
        <v>5.3929</v>
      </c>
      <c r="H32" s="2">
        <f>'Moving Avg'!G32</f>
        <v>0</v>
      </c>
      <c r="I32" s="2">
        <f>'Moving Avg'!H32</f>
        <v>0</v>
      </c>
      <c r="J32" s="5" t="str">
        <f>OBV!F32</f>
        <v>BEARISH</v>
      </c>
      <c r="K32" s="5" t="str">
        <f>OBV!G32</f>
        <v>WEAK</v>
      </c>
      <c r="L32" s="5" t="str">
        <f>OBV!H32</f>
        <v>CONFIRMED BEARISH</v>
      </c>
      <c r="M32" s="7">
        <f t="shared" si="3"/>
        <v>0</v>
      </c>
      <c r="N32" s="7">
        <f t="shared" si="0"/>
        <v>0</v>
      </c>
      <c r="O32" s="7">
        <f t="shared" si="1"/>
        <v>75</v>
      </c>
      <c r="P32" s="7">
        <f t="shared" si="2"/>
        <v>0</v>
      </c>
      <c r="Q32" s="8">
        <f t="shared" si="4"/>
        <v>11.25</v>
      </c>
      <c r="R32" s="8">
        <f t="shared" si="5"/>
        <v>26.25</v>
      </c>
      <c r="S32" s="8">
        <f t="shared" si="6"/>
        <v>18.75</v>
      </c>
      <c r="T32" s="8">
        <f t="shared" si="7"/>
        <v>18.75</v>
      </c>
      <c r="U32" s="7">
        <f t="shared" si="8"/>
        <v>18.75</v>
      </c>
      <c r="V32" s="7">
        <f t="shared" si="9"/>
        <v>18.75</v>
      </c>
    </row>
    <row r="33" spans="1:22" ht="13.5" x14ac:dyDescent="0.25">
      <c r="A33" s="3">
        <f>RSI!A33</f>
        <v>44965</v>
      </c>
      <c r="B33" s="2">
        <f>RSI!B33</f>
        <v>5.181</v>
      </c>
      <c r="C33" s="2">
        <f>RSI!I33</f>
        <v>80.460037717880482</v>
      </c>
      <c r="D33" s="2">
        <f>MACD!E33</f>
        <v>0.25548948751713674</v>
      </c>
      <c r="E33" s="2">
        <f>MACD!F33</f>
        <v>0</v>
      </c>
      <c r="F33" s="2">
        <f>'Moving Avg'!D33</f>
        <v>5.3376000000000001</v>
      </c>
      <c r="G33" s="2">
        <f>'Moving Avg'!F33</f>
        <v>5.3864999999999998</v>
      </c>
      <c r="H33" s="2">
        <f>'Moving Avg'!G33</f>
        <v>0</v>
      </c>
      <c r="I33" s="2">
        <f>'Moving Avg'!H33</f>
        <v>0</v>
      </c>
      <c r="J33" s="5" t="str">
        <f>OBV!F33</f>
        <v>BEARISH</v>
      </c>
      <c r="K33" s="5" t="str">
        <f>OBV!G33</f>
        <v>WEAK</v>
      </c>
      <c r="L33" s="5" t="str">
        <f>OBV!H33</f>
        <v>CONFIRMED BEARISH</v>
      </c>
      <c r="M33" s="7">
        <f t="shared" si="3"/>
        <v>0</v>
      </c>
      <c r="N33" s="7">
        <f t="shared" si="0"/>
        <v>0</v>
      </c>
      <c r="O33" s="7">
        <f t="shared" si="1"/>
        <v>75</v>
      </c>
      <c r="P33" s="7">
        <f t="shared" si="2"/>
        <v>0</v>
      </c>
      <c r="Q33" s="8">
        <f t="shared" si="4"/>
        <v>11.25</v>
      </c>
      <c r="R33" s="8">
        <f t="shared" si="5"/>
        <v>26.25</v>
      </c>
      <c r="S33" s="8">
        <f t="shared" si="6"/>
        <v>18.75</v>
      </c>
      <c r="T33" s="8">
        <f t="shared" si="7"/>
        <v>18.75</v>
      </c>
      <c r="U33" s="7">
        <f t="shared" si="8"/>
        <v>18.75</v>
      </c>
      <c r="V33" s="7">
        <f t="shared" si="9"/>
        <v>18.75</v>
      </c>
    </row>
    <row r="34" spans="1:22" ht="13.5" x14ac:dyDescent="0.25">
      <c r="A34" s="3">
        <f>RSI!A34</f>
        <v>44966</v>
      </c>
      <c r="B34" s="2">
        <f>RSI!B34</f>
        <v>5.2149999999999999</v>
      </c>
      <c r="C34" s="2">
        <f>RSI!I34</f>
        <v>80.786412244590565</v>
      </c>
      <c r="D34" s="2">
        <f>MACD!E34</f>
        <v>0.24628683457869727</v>
      </c>
      <c r="E34" s="2">
        <f>MACD!F34</f>
        <v>0</v>
      </c>
      <c r="F34" s="2">
        <f>'Moving Avg'!D34</f>
        <v>5.2949999999999999</v>
      </c>
      <c r="G34" s="2">
        <f>'Moving Avg'!F34</f>
        <v>5.3881999999999994</v>
      </c>
      <c r="H34" s="2">
        <f>'Moving Avg'!G34</f>
        <v>0</v>
      </c>
      <c r="I34" s="2">
        <f>'Moving Avg'!H34</f>
        <v>0</v>
      </c>
      <c r="J34" s="5" t="str">
        <f>OBV!F34</f>
        <v>BEARISH</v>
      </c>
      <c r="K34" s="5" t="str">
        <f>OBV!G34</f>
        <v>WEAK</v>
      </c>
      <c r="L34" s="5" t="str">
        <f>OBV!H34</f>
        <v>CONFIRMED BEARISH</v>
      </c>
      <c r="M34" s="7">
        <f t="shared" si="3"/>
        <v>0</v>
      </c>
      <c r="N34" s="7">
        <f t="shared" si="0"/>
        <v>0</v>
      </c>
      <c r="O34" s="7">
        <f t="shared" si="1"/>
        <v>75</v>
      </c>
      <c r="P34" s="7">
        <f t="shared" si="2"/>
        <v>0</v>
      </c>
      <c r="Q34" s="8">
        <f t="shared" si="4"/>
        <v>11.25</v>
      </c>
      <c r="R34" s="8">
        <f t="shared" si="5"/>
        <v>26.25</v>
      </c>
      <c r="S34" s="8">
        <f t="shared" si="6"/>
        <v>18.75</v>
      </c>
      <c r="T34" s="8">
        <f t="shared" si="7"/>
        <v>18.75</v>
      </c>
      <c r="U34" s="7">
        <f t="shared" si="8"/>
        <v>18.75</v>
      </c>
      <c r="V34" s="7">
        <f t="shared" si="9"/>
        <v>18.75</v>
      </c>
    </row>
    <row r="35" spans="1:22" ht="13.5" x14ac:dyDescent="0.25">
      <c r="A35" s="3">
        <f>RSI!A35</f>
        <v>44967</v>
      </c>
      <c r="B35" s="2">
        <f>RSI!B35</f>
        <v>5.2069999999999999</v>
      </c>
      <c r="C35" s="2">
        <f>RSI!I35</f>
        <v>80.445931643568116</v>
      </c>
      <c r="D35" s="2">
        <f>MACD!E35</f>
        <v>0.24625869527275501</v>
      </c>
      <c r="E35" s="2">
        <f>MACD!F35</f>
        <v>0.2777057733315717</v>
      </c>
      <c r="F35" s="2">
        <f>'Moving Avg'!D35</f>
        <v>5.2576000000000001</v>
      </c>
      <c r="G35" s="2">
        <f>'Moving Avg'!F35</f>
        <v>5.3775999999999993</v>
      </c>
      <c r="H35" s="2">
        <f>'Moving Avg'!G35</f>
        <v>0</v>
      </c>
      <c r="I35" s="2">
        <f>'Moving Avg'!H35</f>
        <v>0</v>
      </c>
      <c r="J35" s="5" t="str">
        <f>OBV!F35</f>
        <v>BEARISH</v>
      </c>
      <c r="K35" s="5" t="str">
        <f>OBV!G35</f>
        <v>WEAK</v>
      </c>
      <c r="L35" s="5" t="str">
        <f>OBV!H35</f>
        <v>CONFIRMED BEARISH</v>
      </c>
      <c r="M35" s="7">
        <f t="shared" si="3"/>
        <v>0</v>
      </c>
      <c r="N35" s="7">
        <f t="shared" si="0"/>
        <v>100</v>
      </c>
      <c r="O35" s="7">
        <f t="shared" si="1"/>
        <v>75</v>
      </c>
      <c r="P35" s="7">
        <f t="shared" si="2"/>
        <v>0</v>
      </c>
      <c r="Q35" s="8">
        <f t="shared" si="4"/>
        <v>46.25</v>
      </c>
      <c r="R35" s="8">
        <f t="shared" si="5"/>
        <v>46.25</v>
      </c>
      <c r="S35" s="8">
        <f t="shared" si="6"/>
        <v>33.75</v>
      </c>
      <c r="T35" s="8">
        <f t="shared" si="7"/>
        <v>43.75</v>
      </c>
      <c r="U35" s="7">
        <f t="shared" si="8"/>
        <v>42.083333333333336</v>
      </c>
      <c r="V35" s="7">
        <f t="shared" si="9"/>
        <v>42.5</v>
      </c>
    </row>
    <row r="36" spans="1:22" ht="13.5" x14ac:dyDescent="0.25">
      <c r="A36" s="3">
        <f>RSI!A36</f>
        <v>44970</v>
      </c>
      <c r="B36" s="2">
        <f>RSI!B36</f>
        <v>5.181</v>
      </c>
      <c r="C36" s="2">
        <f>RSI!I36</f>
        <v>79.276521963975057</v>
      </c>
      <c r="D36" s="2">
        <f>MACD!E36</f>
        <v>0.25157843005843894</v>
      </c>
      <c r="E36" s="2">
        <f>MACD!F36</f>
        <v>0.27248030467694517</v>
      </c>
      <c r="F36" s="2">
        <f>'Moving Avg'!D36</f>
        <v>5.2168000000000001</v>
      </c>
      <c r="G36" s="2">
        <f>'Moving Avg'!F36</f>
        <v>5.3631499999999992</v>
      </c>
      <c r="H36" s="2">
        <f>'Moving Avg'!G36</f>
        <v>0</v>
      </c>
      <c r="I36" s="2">
        <f>'Moving Avg'!H36</f>
        <v>0</v>
      </c>
      <c r="J36" s="5" t="str">
        <f>OBV!F36</f>
        <v>BEARISH</v>
      </c>
      <c r="K36" s="5" t="str">
        <f>OBV!G36</f>
        <v>WEAK</v>
      </c>
      <c r="L36" s="5" t="str">
        <f>OBV!H36</f>
        <v>CONFIRMED BEARISH</v>
      </c>
      <c r="M36" s="7">
        <f t="shared" si="3"/>
        <v>0</v>
      </c>
      <c r="N36" s="7">
        <f t="shared" si="0"/>
        <v>100</v>
      </c>
      <c r="O36" s="7">
        <f t="shared" si="1"/>
        <v>75</v>
      </c>
      <c r="P36" s="7">
        <f t="shared" si="2"/>
        <v>0</v>
      </c>
      <c r="Q36" s="8">
        <f t="shared" si="4"/>
        <v>46.25</v>
      </c>
      <c r="R36" s="8">
        <f t="shared" si="5"/>
        <v>46.25</v>
      </c>
      <c r="S36" s="8">
        <f t="shared" si="6"/>
        <v>33.75</v>
      </c>
      <c r="T36" s="8">
        <f t="shared" si="7"/>
        <v>43.75</v>
      </c>
      <c r="U36" s="7">
        <f t="shared" si="8"/>
        <v>42.083333333333336</v>
      </c>
      <c r="V36" s="7">
        <f t="shared" si="9"/>
        <v>42.5</v>
      </c>
    </row>
    <row r="37" spans="1:22" ht="13.5" x14ac:dyDescent="0.25">
      <c r="A37" s="3">
        <f>RSI!A37</f>
        <v>44971</v>
      </c>
      <c r="B37" s="2">
        <f>RSI!B37</f>
        <v>5.173</v>
      </c>
      <c r="C37" s="2">
        <f>RSI!I37</f>
        <v>78.896488713317837</v>
      </c>
      <c r="D37" s="2">
        <f>MACD!E37</f>
        <v>0.25628673018900638</v>
      </c>
      <c r="E37" s="2">
        <f>MACD!F37</f>
        <v>0.26924158977935742</v>
      </c>
      <c r="F37" s="2">
        <f>'Moving Avg'!D37</f>
        <v>5.1913999999999998</v>
      </c>
      <c r="G37" s="2">
        <f>'Moving Avg'!F37</f>
        <v>5.35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WEAK</v>
      </c>
      <c r="L37" s="5" t="str">
        <f>OBV!H37</f>
        <v>CONFIRMED BEARISH</v>
      </c>
      <c r="M37" s="7">
        <f t="shared" si="3"/>
        <v>0</v>
      </c>
      <c r="N37" s="7">
        <f t="shared" si="0"/>
        <v>45</v>
      </c>
      <c r="O37" s="7">
        <f t="shared" si="1"/>
        <v>75</v>
      </c>
      <c r="P37" s="7">
        <f t="shared" si="2"/>
        <v>0</v>
      </c>
      <c r="Q37" s="8">
        <f t="shared" si="4"/>
        <v>27</v>
      </c>
      <c r="R37" s="8">
        <f t="shared" si="5"/>
        <v>35.25</v>
      </c>
      <c r="S37" s="8">
        <f t="shared" si="6"/>
        <v>25.5</v>
      </c>
      <c r="T37" s="8">
        <f t="shared" si="7"/>
        <v>30</v>
      </c>
      <c r="U37" s="7">
        <f t="shared" si="8"/>
        <v>29.25</v>
      </c>
      <c r="V37" s="7">
        <f t="shared" si="9"/>
        <v>29.4375</v>
      </c>
    </row>
    <row r="38" spans="1:22" ht="13.5" x14ac:dyDescent="0.25">
      <c r="A38" s="3">
        <f>RSI!A38</f>
        <v>44972</v>
      </c>
      <c r="B38" s="2">
        <f>RSI!B38</f>
        <v>5.1639999999999997</v>
      </c>
      <c r="C38" s="2">
        <f>RSI!I38</f>
        <v>78.440916869374703</v>
      </c>
      <c r="D38" s="2">
        <f>MACD!E38</f>
        <v>0.26062757239741163</v>
      </c>
      <c r="E38" s="2">
        <f>MACD!F38</f>
        <v>0.26751878630296827</v>
      </c>
      <c r="F38" s="2">
        <f>'Moving Avg'!D38</f>
        <v>5.1880000000000006</v>
      </c>
      <c r="G38" s="2">
        <f>'Moving Avg'!F38</f>
        <v>5.3350999999999997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STRONG</v>
      </c>
      <c r="L38" s="5" t="str">
        <f>OBV!H38</f>
        <v>CONFIRMED BEARISH</v>
      </c>
      <c r="M38" s="7">
        <f t="shared" si="3"/>
        <v>0</v>
      </c>
      <c r="N38" s="7">
        <f t="shared" si="0"/>
        <v>45</v>
      </c>
      <c r="O38" s="7">
        <f t="shared" si="1"/>
        <v>75</v>
      </c>
      <c r="P38" s="7">
        <f t="shared" si="2"/>
        <v>33</v>
      </c>
      <c r="Q38" s="8">
        <f t="shared" si="4"/>
        <v>31.95</v>
      </c>
      <c r="R38" s="8">
        <f t="shared" si="5"/>
        <v>43.5</v>
      </c>
      <c r="S38" s="8">
        <f t="shared" si="6"/>
        <v>40.35</v>
      </c>
      <c r="T38" s="8">
        <f t="shared" si="7"/>
        <v>38.25</v>
      </c>
      <c r="U38" s="7">
        <f t="shared" si="8"/>
        <v>38.6</v>
      </c>
      <c r="V38" s="7">
        <f t="shared" si="9"/>
        <v>38.512500000000003</v>
      </c>
    </row>
    <row r="39" spans="1:22" ht="13.5" x14ac:dyDescent="0.25">
      <c r="A39" s="3">
        <f>RSI!A39</f>
        <v>44973</v>
      </c>
      <c r="B39" s="2">
        <f>RSI!B39</f>
        <v>5.181</v>
      </c>
      <c r="C39" s="2">
        <f>RSI!I39</f>
        <v>78.69121008779149</v>
      </c>
      <c r="D39" s="2">
        <f>MACD!E39</f>
        <v>0.26280769011171934</v>
      </c>
      <c r="E39" s="2">
        <f>MACD!F39</f>
        <v>0.26657656706471849</v>
      </c>
      <c r="F39" s="2">
        <f>'Moving Avg'!D39</f>
        <v>5.1812000000000005</v>
      </c>
      <c r="G39" s="2">
        <f>'Moving Avg'!F39</f>
        <v>5.3210499999999987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WEAK</v>
      </c>
      <c r="L39" s="5" t="str">
        <f>OBV!H39</f>
        <v>CONFIRMED BEARISH</v>
      </c>
      <c r="M39" s="7">
        <f t="shared" si="3"/>
        <v>0</v>
      </c>
      <c r="N39" s="7">
        <f t="shared" si="0"/>
        <v>45</v>
      </c>
      <c r="O39" s="7">
        <f t="shared" si="1"/>
        <v>75</v>
      </c>
      <c r="P39" s="7">
        <f t="shared" si="2"/>
        <v>0</v>
      </c>
      <c r="Q39" s="8">
        <f t="shared" si="4"/>
        <v>27</v>
      </c>
      <c r="R39" s="8">
        <f t="shared" si="5"/>
        <v>35.25</v>
      </c>
      <c r="S39" s="8">
        <f t="shared" si="6"/>
        <v>25.5</v>
      </c>
      <c r="T39" s="8">
        <f t="shared" si="7"/>
        <v>30</v>
      </c>
      <c r="U39" s="7">
        <f t="shared" si="8"/>
        <v>29.25</v>
      </c>
      <c r="V39" s="7">
        <f t="shared" si="9"/>
        <v>29.4375</v>
      </c>
    </row>
    <row r="40" spans="1:22" ht="13.5" x14ac:dyDescent="0.25">
      <c r="A40" s="3">
        <f>RSI!A40</f>
        <v>44974</v>
      </c>
      <c r="B40" s="2">
        <f>RSI!B40</f>
        <v>5.1639999999999997</v>
      </c>
      <c r="C40" s="2">
        <f>RSI!I40</f>
        <v>77.719507147486681</v>
      </c>
      <c r="D40" s="2">
        <f>MACD!E40</f>
        <v>0.2603641049578389</v>
      </c>
      <c r="E40" s="2">
        <f>MACD!F40</f>
        <v>0.26533407464334258</v>
      </c>
      <c r="F40" s="2">
        <f>'Moving Avg'!D40</f>
        <v>5.1726000000000001</v>
      </c>
      <c r="G40" s="2">
        <f>'Moving Avg'!F40</f>
        <v>5.3074499999999993</v>
      </c>
      <c r="H40" s="2">
        <f>'Moving Avg'!G40</f>
        <v>0</v>
      </c>
      <c r="I40" s="2">
        <f>'Moving Avg'!H40</f>
        <v>0</v>
      </c>
      <c r="J40" s="5" t="str">
        <f>OBV!F40</f>
        <v>BEARISH</v>
      </c>
      <c r="K40" s="5" t="str">
        <f>OBV!G40</f>
        <v>STRONG</v>
      </c>
      <c r="L40" s="5" t="str">
        <f>OBV!H40</f>
        <v>CONFIRMED BEARISH</v>
      </c>
      <c r="M40" s="7">
        <f t="shared" si="3"/>
        <v>0</v>
      </c>
      <c r="N40" s="7">
        <f t="shared" si="0"/>
        <v>45</v>
      </c>
      <c r="O40" s="7">
        <f t="shared" si="1"/>
        <v>75</v>
      </c>
      <c r="P40" s="7">
        <f t="shared" si="2"/>
        <v>33</v>
      </c>
      <c r="Q40" s="8">
        <f t="shared" si="4"/>
        <v>31.95</v>
      </c>
      <c r="R40" s="8">
        <f t="shared" si="5"/>
        <v>43.5</v>
      </c>
      <c r="S40" s="8">
        <f t="shared" si="6"/>
        <v>40.35</v>
      </c>
      <c r="T40" s="8">
        <f t="shared" si="7"/>
        <v>38.25</v>
      </c>
      <c r="U40" s="7">
        <f t="shared" si="8"/>
        <v>38.6</v>
      </c>
      <c r="V40" s="7">
        <f t="shared" si="9"/>
        <v>38.512500000000003</v>
      </c>
    </row>
    <row r="41" spans="1:22" ht="13.5" x14ac:dyDescent="0.25">
      <c r="A41" s="3">
        <f>RSI!A41</f>
        <v>44977</v>
      </c>
      <c r="B41" s="2">
        <f>RSI!B41</f>
        <v>5.1639999999999997</v>
      </c>
      <c r="C41" s="2">
        <f>RSI!I41</f>
        <v>77.719507147486681</v>
      </c>
      <c r="D41" s="2">
        <f>MACD!E41</f>
        <v>0.256718970094167</v>
      </c>
      <c r="E41" s="2">
        <f>MACD!F41</f>
        <v>0.26361105373350746</v>
      </c>
      <c r="F41" s="2">
        <f>'Moving Avg'!D41</f>
        <v>5.1692000000000009</v>
      </c>
      <c r="G41" s="2">
        <f>'Moving Avg'!F41</f>
        <v>5.2959499999999995</v>
      </c>
      <c r="H41" s="2">
        <f>'Moving Avg'!G41</f>
        <v>0</v>
      </c>
      <c r="I41" s="2">
        <f>'Moving Avg'!H41</f>
        <v>0</v>
      </c>
      <c r="J41" s="5" t="str">
        <f>OBV!F41</f>
        <v>BEARISH</v>
      </c>
      <c r="K41" s="5" t="str">
        <f>OBV!G41</f>
        <v>STRONG</v>
      </c>
      <c r="L41" s="5" t="str">
        <f>OBV!H41</f>
        <v>CONFIRMED BEARISH</v>
      </c>
      <c r="M41" s="7">
        <f t="shared" si="3"/>
        <v>0</v>
      </c>
      <c r="N41" s="7">
        <f t="shared" si="0"/>
        <v>45</v>
      </c>
      <c r="O41" s="7">
        <f t="shared" si="1"/>
        <v>75</v>
      </c>
      <c r="P41" s="7">
        <f t="shared" si="2"/>
        <v>33</v>
      </c>
      <c r="Q41" s="8">
        <f t="shared" si="4"/>
        <v>31.95</v>
      </c>
      <c r="R41" s="8">
        <f t="shared" si="5"/>
        <v>43.5</v>
      </c>
      <c r="S41" s="8">
        <f t="shared" si="6"/>
        <v>40.35</v>
      </c>
      <c r="T41" s="8">
        <f t="shared" si="7"/>
        <v>38.25</v>
      </c>
      <c r="U41" s="7">
        <f t="shared" si="8"/>
        <v>38.6</v>
      </c>
      <c r="V41" s="7">
        <f t="shared" si="9"/>
        <v>38.512500000000003</v>
      </c>
    </row>
    <row r="42" spans="1:22" ht="13.5" x14ac:dyDescent="0.25">
      <c r="A42" s="3">
        <f>RSI!A42</f>
        <v>44978</v>
      </c>
      <c r="B42" s="2">
        <f>RSI!B42</f>
        <v>5.1639999999999997</v>
      </c>
      <c r="C42" s="2">
        <f>RSI!I42</f>
        <v>77.719507147486681</v>
      </c>
      <c r="D42" s="2">
        <f>MACD!E42</f>
        <v>0.24037911833380576</v>
      </c>
      <c r="E42" s="2">
        <f>MACD!F42</f>
        <v>0.25896466665356715</v>
      </c>
      <c r="F42" s="2">
        <f>'Moving Avg'!D42</f>
        <v>5.1673999999999989</v>
      </c>
      <c r="G42" s="2">
        <f>'Moving Avg'!F42</f>
        <v>5.283199999999999</v>
      </c>
      <c r="H42" s="2">
        <f>'Moving Avg'!G42</f>
        <v>0</v>
      </c>
      <c r="I42" s="2">
        <f>'Moving Avg'!H42</f>
        <v>0</v>
      </c>
      <c r="J42" s="5" t="str">
        <f>OBV!F42</f>
        <v>BEARISH</v>
      </c>
      <c r="K42" s="5" t="str">
        <f>OBV!G42</f>
        <v>STRONG</v>
      </c>
      <c r="L42" s="5" t="str">
        <f>OBV!H42</f>
        <v>CONFIRMED BEARISH</v>
      </c>
      <c r="M42" s="7">
        <f t="shared" si="3"/>
        <v>0</v>
      </c>
      <c r="N42" s="7">
        <f t="shared" si="0"/>
        <v>45</v>
      </c>
      <c r="O42" s="7">
        <f t="shared" si="1"/>
        <v>75</v>
      </c>
      <c r="P42" s="7">
        <f t="shared" si="2"/>
        <v>33</v>
      </c>
      <c r="Q42" s="8">
        <f t="shared" si="4"/>
        <v>31.95</v>
      </c>
      <c r="R42" s="8">
        <f t="shared" si="5"/>
        <v>43.5</v>
      </c>
      <c r="S42" s="8">
        <f t="shared" si="6"/>
        <v>40.35</v>
      </c>
      <c r="T42" s="8">
        <f t="shared" si="7"/>
        <v>38.25</v>
      </c>
      <c r="U42" s="7">
        <f t="shared" si="8"/>
        <v>38.6</v>
      </c>
      <c r="V42" s="7">
        <f t="shared" si="9"/>
        <v>38.512500000000003</v>
      </c>
    </row>
    <row r="43" spans="1:22" ht="13.5" x14ac:dyDescent="0.25">
      <c r="A43" s="3">
        <f>RSI!A43</f>
        <v>44979</v>
      </c>
      <c r="B43" s="2">
        <f>RSI!B43</f>
        <v>5.1639999999999997</v>
      </c>
      <c r="C43" s="2">
        <f>RSI!I43</f>
        <v>77.719507147486681</v>
      </c>
      <c r="D43" s="2">
        <f>MACD!E43</f>
        <v>0.2080800422442497</v>
      </c>
      <c r="E43" s="2">
        <f>MACD!F43</f>
        <v>0.24878774177170368</v>
      </c>
      <c r="F43" s="2">
        <f>'Moving Avg'!D43</f>
        <v>5.1673999999999989</v>
      </c>
      <c r="G43" s="2">
        <f>'Moving Avg'!F43</f>
        <v>5.2751000000000001</v>
      </c>
      <c r="H43" s="2">
        <f>'Moving Avg'!G43</f>
        <v>0</v>
      </c>
      <c r="I43" s="2">
        <f>'Moving Avg'!H43</f>
        <v>0</v>
      </c>
      <c r="J43" s="5" t="str">
        <f>OBV!F43</f>
        <v>BEARISH</v>
      </c>
      <c r="K43" s="5" t="str">
        <f>OBV!G43</f>
        <v>NEUTRAL</v>
      </c>
      <c r="L43" s="5" t="str">
        <f>OBV!H43</f>
        <v>NEUTRAL</v>
      </c>
      <c r="M43" s="7">
        <f t="shared" si="3"/>
        <v>0</v>
      </c>
      <c r="N43" s="7">
        <f t="shared" si="0"/>
        <v>100</v>
      </c>
      <c r="O43" s="7">
        <f t="shared" si="1"/>
        <v>75</v>
      </c>
      <c r="P43" s="7">
        <f t="shared" si="2"/>
        <v>16.5</v>
      </c>
      <c r="Q43" s="8">
        <f t="shared" si="4"/>
        <v>48.725000000000001</v>
      </c>
      <c r="R43" s="8">
        <f t="shared" si="5"/>
        <v>50.375</v>
      </c>
      <c r="S43" s="8">
        <f t="shared" si="6"/>
        <v>41.174999999999997</v>
      </c>
      <c r="T43" s="8">
        <f t="shared" si="7"/>
        <v>47.875</v>
      </c>
      <c r="U43" s="7">
        <f t="shared" si="8"/>
        <v>46.758333333333326</v>
      </c>
      <c r="V43" s="7">
        <f t="shared" si="9"/>
        <v>47.037499999999994</v>
      </c>
    </row>
    <row r="44" spans="1:22" ht="13.5" x14ac:dyDescent="0.25">
      <c r="A44" s="3">
        <f>RSI!A44</f>
        <v>44980</v>
      </c>
      <c r="B44" s="2">
        <f>RSI!B44</f>
        <v>5.1559999999999997</v>
      </c>
      <c r="C44" s="2">
        <f>RSI!I44</f>
        <v>77.116759031660706</v>
      </c>
      <c r="D44" s="2">
        <f>MACD!E44</f>
        <v>0.18642030978383506</v>
      </c>
      <c r="E44" s="2">
        <f>MACD!F44</f>
        <v>0.23631425537412995</v>
      </c>
      <c r="F44" s="2">
        <f>'Moving Avg'!D44</f>
        <v>5.1623999999999999</v>
      </c>
      <c r="G44" s="2">
        <f>'Moving Avg'!F44</f>
        <v>5.2653499999999998</v>
      </c>
      <c r="H44" s="2">
        <f>'Moving Avg'!G44</f>
        <v>0</v>
      </c>
      <c r="I44" s="2">
        <f>'Moving Avg'!H44</f>
        <v>0</v>
      </c>
      <c r="J44" s="5" t="str">
        <f>OBV!F44</f>
        <v>BEARISH</v>
      </c>
      <c r="K44" s="5" t="str">
        <f>OBV!G44</f>
        <v>STRONG</v>
      </c>
      <c r="L44" s="5" t="str">
        <f>OBV!H44</f>
        <v>CONFIRMED BEARISH</v>
      </c>
      <c r="M44" s="7">
        <f t="shared" si="3"/>
        <v>0</v>
      </c>
      <c r="N44" s="7">
        <f t="shared" si="0"/>
        <v>100</v>
      </c>
      <c r="O44" s="7">
        <f t="shared" si="1"/>
        <v>75</v>
      </c>
      <c r="P44" s="7">
        <f t="shared" si="2"/>
        <v>33</v>
      </c>
      <c r="Q44" s="8">
        <f t="shared" si="4"/>
        <v>51.2</v>
      </c>
      <c r="R44" s="8">
        <f t="shared" si="5"/>
        <v>54.5</v>
      </c>
      <c r="S44" s="8">
        <f t="shared" si="6"/>
        <v>48.6</v>
      </c>
      <c r="T44" s="8">
        <f t="shared" si="7"/>
        <v>52</v>
      </c>
      <c r="U44" s="7">
        <f t="shared" si="8"/>
        <v>51.433333333333337</v>
      </c>
      <c r="V44" s="7">
        <f t="shared" si="9"/>
        <v>51.575000000000003</v>
      </c>
    </row>
    <row r="45" spans="1:22" ht="13.5" x14ac:dyDescent="0.25">
      <c r="A45" s="3">
        <f>RSI!A45</f>
        <v>44981</v>
      </c>
      <c r="B45" s="2">
        <f>RSI!B45</f>
        <v>5.1559999999999997</v>
      </c>
      <c r="C45" s="2">
        <f>RSI!I45</f>
        <v>77.116759031660706</v>
      </c>
      <c r="D45" s="2">
        <f>MACD!E45</f>
        <v>0.16676758139138848</v>
      </c>
      <c r="E45" s="2">
        <f>MACD!F45</f>
        <v>0.22240492057758168</v>
      </c>
      <c r="F45" s="2">
        <f>'Moving Avg'!D45</f>
        <v>5.1608000000000001</v>
      </c>
      <c r="G45" s="2">
        <f>'Moving Avg'!F45</f>
        <v>5.25305</v>
      </c>
      <c r="H45" s="2">
        <f>'Moving Avg'!G45</f>
        <v>0</v>
      </c>
      <c r="I45" s="2">
        <f>'Moving Avg'!H45</f>
        <v>0</v>
      </c>
      <c r="J45" s="5" t="str">
        <f>OBV!F45</f>
        <v>BEARISH</v>
      </c>
      <c r="K45" s="5" t="str">
        <f>OBV!G45</f>
        <v>STRONG</v>
      </c>
      <c r="L45" s="5" t="str">
        <f>OBV!H45</f>
        <v>CONFIRMED BEARISH</v>
      </c>
      <c r="M45" s="7">
        <f t="shared" si="3"/>
        <v>0</v>
      </c>
      <c r="N45" s="7">
        <f t="shared" si="0"/>
        <v>100</v>
      </c>
      <c r="O45" s="7">
        <f t="shared" si="1"/>
        <v>75</v>
      </c>
      <c r="P45" s="7">
        <f t="shared" si="2"/>
        <v>33</v>
      </c>
      <c r="Q45" s="8">
        <f t="shared" si="4"/>
        <v>51.2</v>
      </c>
      <c r="R45" s="8">
        <f t="shared" si="5"/>
        <v>54.5</v>
      </c>
      <c r="S45" s="8">
        <f t="shared" si="6"/>
        <v>48.6</v>
      </c>
      <c r="T45" s="8">
        <f t="shared" si="7"/>
        <v>52</v>
      </c>
      <c r="U45" s="7">
        <f t="shared" si="8"/>
        <v>51.433333333333337</v>
      </c>
      <c r="V45" s="7">
        <f t="shared" si="9"/>
        <v>51.575000000000003</v>
      </c>
    </row>
    <row r="46" spans="1:22" ht="13.5" x14ac:dyDescent="0.25">
      <c r="A46" s="3">
        <f>RSI!A46</f>
        <v>44984</v>
      </c>
      <c r="B46" s="2">
        <f>RSI!B46</f>
        <v>5.1559999999999997</v>
      </c>
      <c r="C46" s="2">
        <f>RSI!I46</f>
        <v>77.116759031660706</v>
      </c>
      <c r="D46" s="2">
        <f>MACD!E46</f>
        <v>0.1460508559398539</v>
      </c>
      <c r="E46" s="2">
        <f>MACD!F46</f>
        <v>0.20713410765003615</v>
      </c>
      <c r="F46" s="2">
        <f>'Moving Avg'!D46</f>
        <v>5.1591999999999993</v>
      </c>
      <c r="G46" s="2">
        <f>'Moving Avg'!F46</f>
        <v>5.2394500000000006</v>
      </c>
      <c r="H46" s="2">
        <f>'Moving Avg'!G46</f>
        <v>0</v>
      </c>
      <c r="I46" s="2">
        <f>'Moving Avg'!H46</f>
        <v>0</v>
      </c>
      <c r="J46" s="5" t="str">
        <f>OBV!F46</f>
        <v>BEARISH</v>
      </c>
      <c r="K46" s="5" t="str">
        <f>OBV!G46</f>
        <v>STRONG</v>
      </c>
      <c r="L46" s="5" t="str">
        <f>OBV!H46</f>
        <v>CONFIRMED BEARISH</v>
      </c>
      <c r="M46" s="7">
        <f t="shared" si="3"/>
        <v>0</v>
      </c>
      <c r="N46" s="7">
        <f t="shared" si="0"/>
        <v>100</v>
      </c>
      <c r="O46" s="7">
        <f t="shared" si="1"/>
        <v>75</v>
      </c>
      <c r="P46" s="7">
        <f t="shared" si="2"/>
        <v>33</v>
      </c>
      <c r="Q46" s="8">
        <f t="shared" si="4"/>
        <v>51.2</v>
      </c>
      <c r="R46" s="8">
        <f t="shared" si="5"/>
        <v>54.5</v>
      </c>
      <c r="S46" s="8">
        <f t="shared" si="6"/>
        <v>48.6</v>
      </c>
      <c r="T46" s="8">
        <f t="shared" si="7"/>
        <v>52</v>
      </c>
      <c r="U46" s="7">
        <f t="shared" si="8"/>
        <v>51.433333333333337</v>
      </c>
      <c r="V46" s="7">
        <f t="shared" si="9"/>
        <v>51.575000000000003</v>
      </c>
    </row>
    <row r="47" spans="1:22" ht="13.5" x14ac:dyDescent="0.25">
      <c r="A47" s="3">
        <f>RSI!A47</f>
        <v>44985</v>
      </c>
      <c r="B47" s="2">
        <f>RSI!B47</f>
        <v>5.1470000000000002</v>
      </c>
      <c r="C47" s="2">
        <f>RSI!I47</f>
        <v>76.28546588710671</v>
      </c>
      <c r="D47" s="2">
        <f>MACD!E47</f>
        <v>0.12787620373777031</v>
      </c>
      <c r="E47" s="2">
        <f>MACD!F47</f>
        <v>0.19128252686758301</v>
      </c>
      <c r="F47" s="2">
        <f>'Moving Avg'!D47</f>
        <v>5.1557999999999993</v>
      </c>
      <c r="G47" s="2">
        <f>'Moving Avg'!F47</f>
        <v>5.2254000000000014</v>
      </c>
      <c r="H47" s="2">
        <f>'Moving Avg'!G47</f>
        <v>0</v>
      </c>
      <c r="I47" s="2">
        <f>'Moving Avg'!H47</f>
        <v>0</v>
      </c>
      <c r="J47" s="5" t="str">
        <f>OBV!F47</f>
        <v>BEARISH</v>
      </c>
      <c r="K47" s="5" t="str">
        <f>OBV!G47</f>
        <v>STRONG</v>
      </c>
      <c r="L47" s="5" t="str">
        <f>OBV!H47</f>
        <v>CONFIRMED BEARISH</v>
      </c>
      <c r="M47" s="7">
        <f t="shared" si="3"/>
        <v>0</v>
      </c>
      <c r="N47" s="7">
        <f t="shared" si="0"/>
        <v>100</v>
      </c>
      <c r="O47" s="7">
        <f t="shared" si="1"/>
        <v>75</v>
      </c>
      <c r="P47" s="7">
        <f t="shared" si="2"/>
        <v>33</v>
      </c>
      <c r="Q47" s="8">
        <f t="shared" si="4"/>
        <v>51.2</v>
      </c>
      <c r="R47" s="8">
        <f t="shared" si="5"/>
        <v>54.5</v>
      </c>
      <c r="S47" s="8">
        <f t="shared" si="6"/>
        <v>48.6</v>
      </c>
      <c r="T47" s="8">
        <f t="shared" si="7"/>
        <v>52</v>
      </c>
      <c r="U47" s="7">
        <f t="shared" si="8"/>
        <v>51.433333333333337</v>
      </c>
      <c r="V47" s="7">
        <f t="shared" si="9"/>
        <v>51.575000000000003</v>
      </c>
    </row>
    <row r="48" spans="1:22" ht="13.5" x14ac:dyDescent="0.25">
      <c r="A48" s="3">
        <f>RSI!A48</f>
        <v>44986</v>
      </c>
      <c r="B48" s="2">
        <f>RSI!B48</f>
        <v>5.1390000000000002</v>
      </c>
      <c r="C48" s="2">
        <f>RSI!I48</f>
        <v>75.506316248852016</v>
      </c>
      <c r="D48" s="2">
        <f>MACD!E48</f>
        <v>0.11168379869354261</v>
      </c>
      <c r="E48" s="2">
        <f>MACD!F48</f>
        <v>0.17536278123277493</v>
      </c>
      <c r="F48" s="2">
        <f>'Moving Avg'!D48</f>
        <v>5.1508000000000003</v>
      </c>
      <c r="G48" s="2">
        <f>'Moving Avg'!F48</f>
        <v>5.2109500000000013</v>
      </c>
      <c r="H48" s="2">
        <f>'Moving Avg'!G48</f>
        <v>0</v>
      </c>
      <c r="I48" s="2">
        <f>'Moving Avg'!H48</f>
        <v>0</v>
      </c>
      <c r="J48" s="5" t="str">
        <f>OBV!F48</f>
        <v>BEARISH</v>
      </c>
      <c r="K48" s="5" t="str">
        <f>OBV!G48</f>
        <v>STRONG</v>
      </c>
      <c r="L48" s="5" t="str">
        <f>OBV!H48</f>
        <v>CONFIRMED BEARISH</v>
      </c>
      <c r="M48" s="7">
        <f t="shared" si="3"/>
        <v>0</v>
      </c>
      <c r="N48" s="7">
        <f t="shared" si="0"/>
        <v>100</v>
      </c>
      <c r="O48" s="7">
        <f t="shared" si="1"/>
        <v>75</v>
      </c>
      <c r="P48" s="7">
        <f t="shared" si="2"/>
        <v>33</v>
      </c>
      <c r="Q48" s="8">
        <f t="shared" si="4"/>
        <v>51.2</v>
      </c>
      <c r="R48" s="8">
        <f t="shared" si="5"/>
        <v>54.5</v>
      </c>
      <c r="S48" s="8">
        <f t="shared" si="6"/>
        <v>48.6</v>
      </c>
      <c r="T48" s="8">
        <f t="shared" si="7"/>
        <v>52</v>
      </c>
      <c r="U48" s="7">
        <f t="shared" si="8"/>
        <v>51.433333333333337</v>
      </c>
      <c r="V48" s="7">
        <f t="shared" si="9"/>
        <v>51.575000000000003</v>
      </c>
    </row>
    <row r="49" spans="1:22" ht="13.5" x14ac:dyDescent="0.25">
      <c r="A49" s="3">
        <f>RSI!A49</f>
        <v>44987</v>
      </c>
      <c r="B49" s="2">
        <f>RSI!B49</f>
        <v>5.1390000000000002</v>
      </c>
      <c r="C49" s="2">
        <f>RSI!I49</f>
        <v>75.506316248852016</v>
      </c>
      <c r="D49" s="2">
        <f>MACD!E49</f>
        <v>0.10062497652278246</v>
      </c>
      <c r="E49" s="2">
        <f>MACD!F49</f>
        <v>0.16041522029077646</v>
      </c>
      <c r="F49" s="2">
        <f>'Moving Avg'!D49</f>
        <v>5.1473999999999993</v>
      </c>
      <c r="G49" s="2">
        <f>'Moving Avg'!F49</f>
        <v>5.1965000000000012</v>
      </c>
      <c r="H49" s="2">
        <f>'Moving Avg'!G49</f>
        <v>0</v>
      </c>
      <c r="I49" s="2">
        <f>'Moving Avg'!H49</f>
        <v>0</v>
      </c>
      <c r="J49" s="5" t="str">
        <f>OBV!F49</f>
        <v>BEARISH</v>
      </c>
      <c r="K49" s="5" t="str">
        <f>OBV!G49</f>
        <v>STRONG</v>
      </c>
      <c r="L49" s="5" t="str">
        <f>OBV!H49</f>
        <v>CONFIRMED BEARISH</v>
      </c>
      <c r="M49" s="7">
        <f t="shared" si="3"/>
        <v>0</v>
      </c>
      <c r="N49" s="7">
        <f t="shared" si="0"/>
        <v>100</v>
      </c>
      <c r="O49" s="7">
        <f t="shared" si="1"/>
        <v>75</v>
      </c>
      <c r="P49" s="7">
        <f t="shared" si="2"/>
        <v>33</v>
      </c>
      <c r="Q49" s="8">
        <f t="shared" si="4"/>
        <v>51.2</v>
      </c>
      <c r="R49" s="8">
        <f t="shared" si="5"/>
        <v>54.5</v>
      </c>
      <c r="S49" s="8">
        <f t="shared" si="6"/>
        <v>48.6</v>
      </c>
      <c r="T49" s="8">
        <f t="shared" si="7"/>
        <v>52</v>
      </c>
      <c r="U49" s="7">
        <f t="shared" si="8"/>
        <v>51.433333333333337</v>
      </c>
      <c r="V49" s="7">
        <f t="shared" si="9"/>
        <v>51.575000000000003</v>
      </c>
    </row>
    <row r="50" spans="1:22" ht="13.5" x14ac:dyDescent="0.25">
      <c r="A50" s="3">
        <f>RSI!A50</f>
        <v>44988</v>
      </c>
      <c r="B50" s="2">
        <f>RSI!B50</f>
        <v>5.13</v>
      </c>
      <c r="C50" s="2">
        <f>RSI!I50</f>
        <v>74.513348732584006</v>
      </c>
      <c r="D50" s="2">
        <f>MACD!E50</f>
        <v>8.9343848308963913E-2</v>
      </c>
      <c r="E50" s="2">
        <f>MACD!F50</f>
        <v>0.14620094589441396</v>
      </c>
      <c r="F50" s="2">
        <f>'Moving Avg'!D50</f>
        <v>5.1421999999999999</v>
      </c>
      <c r="G50" s="2">
        <f>'Moving Avg'!F50</f>
        <v>5.1833000000000009</v>
      </c>
      <c r="H50" s="2">
        <f>'Moving Avg'!G50</f>
        <v>5.0779591836734692</v>
      </c>
      <c r="I50" s="2">
        <f>'Moving Avg'!H50</f>
        <v>0</v>
      </c>
      <c r="J50" s="5" t="str">
        <f>OBV!F50</f>
        <v>BEARISH</v>
      </c>
      <c r="K50" s="5" t="str">
        <f>OBV!G50</f>
        <v>STRONG</v>
      </c>
      <c r="L50" s="5" t="str">
        <f>OBV!H50</f>
        <v>CONFIRMED BEARISH</v>
      </c>
      <c r="M50" s="7">
        <f t="shared" si="3"/>
        <v>0</v>
      </c>
      <c r="N50" s="7">
        <f t="shared" si="0"/>
        <v>100</v>
      </c>
      <c r="O50" s="7">
        <f t="shared" si="1"/>
        <v>75</v>
      </c>
      <c r="P50" s="7">
        <f t="shared" si="2"/>
        <v>33</v>
      </c>
      <c r="Q50" s="8">
        <f t="shared" si="4"/>
        <v>51.2</v>
      </c>
      <c r="R50" s="8">
        <f t="shared" si="5"/>
        <v>54.5</v>
      </c>
      <c r="S50" s="8">
        <f t="shared" si="6"/>
        <v>48.6</v>
      </c>
      <c r="T50" s="8">
        <f t="shared" si="7"/>
        <v>52</v>
      </c>
      <c r="U50" s="7">
        <f t="shared" si="8"/>
        <v>51.433333333333337</v>
      </c>
      <c r="V50" s="7">
        <f t="shared" si="9"/>
        <v>51.575000000000003</v>
      </c>
    </row>
    <row r="51" spans="1:22" ht="13.5" x14ac:dyDescent="0.25">
      <c r="A51" s="3">
        <f>RSI!A51</f>
        <v>44991</v>
      </c>
      <c r="B51" s="2">
        <f>RSI!B51</f>
        <v>5.0960000000000001</v>
      </c>
      <c r="C51" s="2">
        <f>RSI!I51</f>
        <v>70.729171896830053</v>
      </c>
      <c r="D51" s="2">
        <f>MACD!E51</f>
        <v>8.2393176935641854E-2</v>
      </c>
      <c r="E51" s="2">
        <f>MACD!F51</f>
        <v>0.13343939210265954</v>
      </c>
      <c r="F51" s="2">
        <f>'Moving Avg'!D51</f>
        <v>5.1302000000000003</v>
      </c>
      <c r="G51" s="2">
        <f>'Moving Avg'!F51</f>
        <v>5.1688500000000008</v>
      </c>
      <c r="H51" s="2">
        <f>'Moving Avg'!G51</f>
        <v>5.0783199999999997</v>
      </c>
      <c r="I51" s="2">
        <f>'Moving Avg'!H51</f>
        <v>0</v>
      </c>
      <c r="J51" s="5" t="str">
        <f>OBV!F51</f>
        <v>BEARISH</v>
      </c>
      <c r="K51" s="5" t="str">
        <f>OBV!G51</f>
        <v>STRONG</v>
      </c>
      <c r="L51" s="5" t="str">
        <f>OBV!H51</f>
        <v>CONFIRMED BEARISH</v>
      </c>
      <c r="M51" s="7">
        <f t="shared" si="3"/>
        <v>0</v>
      </c>
      <c r="N51" s="7">
        <f t="shared" si="0"/>
        <v>100</v>
      </c>
      <c r="O51" s="7">
        <f t="shared" si="1"/>
        <v>75</v>
      </c>
      <c r="P51" s="7">
        <f t="shared" si="2"/>
        <v>33</v>
      </c>
      <c r="Q51" s="8">
        <f t="shared" si="4"/>
        <v>51.2</v>
      </c>
      <c r="R51" s="8">
        <f t="shared" si="5"/>
        <v>54.5</v>
      </c>
      <c r="S51" s="8">
        <f t="shared" si="6"/>
        <v>48.6</v>
      </c>
      <c r="T51" s="8">
        <f t="shared" si="7"/>
        <v>52</v>
      </c>
      <c r="U51" s="7">
        <f t="shared" si="8"/>
        <v>51.433333333333337</v>
      </c>
      <c r="V51" s="7">
        <f t="shared" si="9"/>
        <v>51.575000000000003</v>
      </c>
    </row>
    <row r="52" spans="1:22" ht="13.5" x14ac:dyDescent="0.25">
      <c r="A52" s="3">
        <f>RSI!A52</f>
        <v>44992</v>
      </c>
      <c r="B52" s="2">
        <f>RSI!B52</f>
        <v>5.0960000000000001</v>
      </c>
      <c r="C52" s="2">
        <f>RSI!I52</f>
        <v>70.729171896830053</v>
      </c>
      <c r="D52" s="2">
        <f>MACD!E52</f>
        <v>7.6783469427361695E-2</v>
      </c>
      <c r="E52" s="2">
        <f>MACD!F52</f>
        <v>0.12210820756759998</v>
      </c>
      <c r="F52" s="2">
        <f>'Moving Avg'!D52</f>
        <v>5.12</v>
      </c>
      <c r="G52" s="2">
        <f>'Moving Avg'!F52</f>
        <v>5.1586500000000006</v>
      </c>
      <c r="H52" s="2">
        <f>'Moving Avg'!G52</f>
        <v>5.1802400000000004</v>
      </c>
      <c r="I52" s="2">
        <f>'Moving Avg'!H52</f>
        <v>0</v>
      </c>
      <c r="J52" s="5" t="str">
        <f>OBV!F52</f>
        <v>BEARISH</v>
      </c>
      <c r="K52" s="5" t="str">
        <f>OBV!G52</f>
        <v>STRONG</v>
      </c>
      <c r="L52" s="5" t="str">
        <f>OBV!H52</f>
        <v>CONFIRMED BEARISH</v>
      </c>
      <c r="M52" s="7">
        <f t="shared" si="3"/>
        <v>0</v>
      </c>
      <c r="N52" s="7">
        <f t="shared" si="0"/>
        <v>100</v>
      </c>
      <c r="O52" s="7">
        <f t="shared" si="1"/>
        <v>75</v>
      </c>
      <c r="P52" s="7">
        <f t="shared" si="2"/>
        <v>33</v>
      </c>
      <c r="Q52" s="8">
        <f t="shared" si="4"/>
        <v>51.2</v>
      </c>
      <c r="R52" s="8">
        <f t="shared" si="5"/>
        <v>54.5</v>
      </c>
      <c r="S52" s="8">
        <f t="shared" si="6"/>
        <v>48.6</v>
      </c>
      <c r="T52" s="8">
        <f t="shared" si="7"/>
        <v>52</v>
      </c>
      <c r="U52" s="7">
        <f t="shared" si="8"/>
        <v>51.433333333333337</v>
      </c>
      <c r="V52" s="7">
        <f t="shared" si="9"/>
        <v>51.575000000000003</v>
      </c>
    </row>
    <row r="53" spans="1:22" ht="13.5" x14ac:dyDescent="0.25">
      <c r="A53" s="3">
        <f>RSI!A53</f>
        <v>44993</v>
      </c>
      <c r="B53" s="2">
        <f>RSI!B53</f>
        <v>5.0880000000000001</v>
      </c>
      <c r="C53" s="2">
        <f>RSI!I53</f>
        <v>69.762366683569766</v>
      </c>
      <c r="D53" s="2">
        <f>MACD!E53</f>
        <v>7.2880895517144495E-2</v>
      </c>
      <c r="E53" s="2">
        <f>MACD!F53</f>
        <v>0.11226274515750889</v>
      </c>
      <c r="F53" s="2">
        <f>'Moving Avg'!D53</f>
        <v>5.1097999999999999</v>
      </c>
      <c r="G53" s="2">
        <f>'Moving Avg'!F53</f>
        <v>5.1539999999999999</v>
      </c>
      <c r="H53" s="2">
        <f>'Moving Avg'!G53</f>
        <v>5.282</v>
      </c>
      <c r="I53" s="2">
        <f>'Moving Avg'!H53</f>
        <v>0</v>
      </c>
      <c r="J53" s="5" t="str">
        <f>OBV!F53</f>
        <v>BEARISH</v>
      </c>
      <c r="K53" s="5" t="str">
        <f>OBV!G53</f>
        <v>STRONG</v>
      </c>
      <c r="L53" s="5" t="str">
        <f>OBV!H53</f>
        <v>CONFIRMED BEARISH</v>
      </c>
      <c r="M53" s="7">
        <f t="shared" si="3"/>
        <v>50</v>
      </c>
      <c r="N53" s="7">
        <f t="shared" si="0"/>
        <v>100</v>
      </c>
      <c r="O53" s="7">
        <f t="shared" si="1"/>
        <v>75</v>
      </c>
      <c r="P53" s="7">
        <f t="shared" si="2"/>
        <v>33</v>
      </c>
      <c r="Q53" s="8">
        <f t="shared" si="4"/>
        <v>68.7</v>
      </c>
      <c r="R53" s="8">
        <f t="shared" si="5"/>
        <v>64.5</v>
      </c>
      <c r="S53" s="8">
        <f t="shared" si="6"/>
        <v>56.1</v>
      </c>
      <c r="T53" s="8">
        <f t="shared" si="7"/>
        <v>64.5</v>
      </c>
      <c r="U53" s="7">
        <f t="shared" si="8"/>
        <v>63.099999999999994</v>
      </c>
      <c r="V53" s="7">
        <f t="shared" si="9"/>
        <v>63.449999999999996</v>
      </c>
    </row>
    <row r="54" spans="1:22" ht="13.5" x14ac:dyDescent="0.25">
      <c r="A54" s="3">
        <f>RSI!A54</f>
        <v>44994</v>
      </c>
      <c r="B54" s="2">
        <f>RSI!B54</f>
        <v>5.3090000000000002</v>
      </c>
      <c r="C54" s="2">
        <f>RSI!I54</f>
        <v>78.503891942810256</v>
      </c>
      <c r="D54" s="2">
        <f>MACD!E54</f>
        <v>5.2257729114357332E-2</v>
      </c>
      <c r="E54" s="2">
        <f>MACD!F54</f>
        <v>0.10026174194887859</v>
      </c>
      <c r="F54" s="2">
        <f>'Moving Avg'!D54</f>
        <v>5.1438000000000006</v>
      </c>
      <c r="G54" s="2">
        <f>'Moving Avg'!F54</f>
        <v>5.1586999999999996</v>
      </c>
      <c r="H54" s="2">
        <f>'Moving Avg'!G54</f>
        <v>5.2828600000000003</v>
      </c>
      <c r="I54" s="2">
        <f>'Moving Avg'!H54</f>
        <v>0</v>
      </c>
      <c r="J54" s="5" t="str">
        <f>OBV!F54</f>
        <v>BEARISH</v>
      </c>
      <c r="K54" s="5" t="str">
        <f>OBV!G54</f>
        <v>STRONG</v>
      </c>
      <c r="L54" s="5" t="str">
        <f>OBV!H54</f>
        <v>BEARISH DIVERGENCE</v>
      </c>
      <c r="M54" s="7">
        <f t="shared" si="3"/>
        <v>0</v>
      </c>
      <c r="N54" s="7">
        <f t="shared" si="0"/>
        <v>100</v>
      </c>
      <c r="O54" s="7">
        <f t="shared" si="1"/>
        <v>75</v>
      </c>
      <c r="P54" s="7">
        <f t="shared" si="2"/>
        <v>33</v>
      </c>
      <c r="Q54" s="8">
        <f t="shared" si="4"/>
        <v>51.2</v>
      </c>
      <c r="R54" s="8">
        <f t="shared" si="5"/>
        <v>54.5</v>
      </c>
      <c r="S54" s="8">
        <f t="shared" si="6"/>
        <v>48.6</v>
      </c>
      <c r="T54" s="8">
        <f t="shared" si="7"/>
        <v>52</v>
      </c>
      <c r="U54" s="7">
        <f t="shared" si="8"/>
        <v>51.433333333333337</v>
      </c>
      <c r="V54" s="7">
        <f t="shared" si="9"/>
        <v>51.575000000000003</v>
      </c>
    </row>
    <row r="55" spans="1:22" ht="13.5" x14ac:dyDescent="0.25">
      <c r="A55" s="3">
        <f>RSI!A55</f>
        <v>44995</v>
      </c>
      <c r="B55" s="2">
        <f>RSI!B55</f>
        <v>5.3339999999999996</v>
      </c>
      <c r="C55" s="2">
        <f>RSI!I55</f>
        <v>79.235198752741084</v>
      </c>
      <c r="D55" s="2">
        <f>MACD!E55</f>
        <v>3.1909006387222938E-2</v>
      </c>
      <c r="E55" s="2">
        <f>MACD!F55</f>
        <v>8.6591194836547467E-2</v>
      </c>
      <c r="F55" s="2">
        <f>'Moving Avg'!D55</f>
        <v>5.1846000000000005</v>
      </c>
      <c r="G55" s="2">
        <f>'Moving Avg'!F55</f>
        <v>5.165049999999999</v>
      </c>
      <c r="H55" s="2">
        <f>'Moving Avg'!G55</f>
        <v>5.2814999999999994</v>
      </c>
      <c r="I55" s="2">
        <f>'Moving Avg'!H55</f>
        <v>0</v>
      </c>
      <c r="J55" s="5" t="str">
        <f>OBV!F55</f>
        <v>BULLISH</v>
      </c>
      <c r="K55" s="5" t="str">
        <f>OBV!G55</f>
        <v>NEUTRAL</v>
      </c>
      <c r="L55" s="5" t="str">
        <f>OBV!H55</f>
        <v>CONFIRMED BULLISH</v>
      </c>
      <c r="M55" s="7">
        <f t="shared" si="3"/>
        <v>0</v>
      </c>
      <c r="N55" s="7">
        <f t="shared" si="0"/>
        <v>100</v>
      </c>
      <c r="O55" s="7">
        <f t="shared" si="1"/>
        <v>75</v>
      </c>
      <c r="P55" s="7">
        <f t="shared" si="2"/>
        <v>83.5</v>
      </c>
      <c r="Q55" s="8">
        <f t="shared" si="4"/>
        <v>58.774999999999999</v>
      </c>
      <c r="R55" s="8">
        <f t="shared" si="5"/>
        <v>67.125</v>
      </c>
      <c r="S55" s="8">
        <f t="shared" si="6"/>
        <v>71.325000000000003</v>
      </c>
      <c r="T55" s="8">
        <f t="shared" si="7"/>
        <v>64.625</v>
      </c>
      <c r="U55" s="7">
        <f t="shared" si="8"/>
        <v>65.741666666666674</v>
      </c>
      <c r="V55" s="7">
        <f t="shared" si="9"/>
        <v>65.462500000000006</v>
      </c>
    </row>
    <row r="56" spans="1:22" ht="13.5" x14ac:dyDescent="0.25">
      <c r="A56" s="3">
        <f>RSI!A56</f>
        <v>44998</v>
      </c>
      <c r="B56" s="2">
        <f>RSI!B56</f>
        <v>5.3259999999999996</v>
      </c>
      <c r="C56" s="2">
        <f>RSI!I56</f>
        <v>78.317012982720684</v>
      </c>
      <c r="D56" s="2">
        <f>MACD!E56</f>
        <v>1.4166742069528837E-2</v>
      </c>
      <c r="E56" s="2">
        <f>MACD!F56</f>
        <v>7.2106304283143741E-2</v>
      </c>
      <c r="F56" s="2">
        <f>'Moving Avg'!D56</f>
        <v>5.2306000000000008</v>
      </c>
      <c r="G56" s="2">
        <f>'Moving Avg'!F56</f>
        <v>5.1722999999999999</v>
      </c>
      <c r="H56" s="2">
        <f>'Moving Avg'!G56</f>
        <v>5.2806600000000001</v>
      </c>
      <c r="I56" s="2">
        <f>'Moving Avg'!H56</f>
        <v>0</v>
      </c>
      <c r="J56" s="5" t="str">
        <f>OBV!F56</f>
        <v>BULLISH</v>
      </c>
      <c r="K56" s="5" t="str">
        <f>OBV!G56</f>
        <v>NEUTRAL</v>
      </c>
      <c r="L56" s="5" t="str">
        <f>OBV!H56</f>
        <v>CONFIRMED BULLISH</v>
      </c>
      <c r="M56" s="7">
        <f t="shared" si="3"/>
        <v>0</v>
      </c>
      <c r="N56" s="7">
        <f t="shared" si="0"/>
        <v>100</v>
      </c>
      <c r="O56" s="7">
        <f t="shared" si="1"/>
        <v>75</v>
      </c>
      <c r="P56" s="7">
        <f t="shared" si="2"/>
        <v>83.5</v>
      </c>
      <c r="Q56" s="8">
        <f t="shared" si="4"/>
        <v>58.774999999999999</v>
      </c>
      <c r="R56" s="8">
        <f t="shared" si="5"/>
        <v>67.125</v>
      </c>
      <c r="S56" s="8">
        <f t="shared" si="6"/>
        <v>71.325000000000003</v>
      </c>
      <c r="T56" s="8">
        <f t="shared" si="7"/>
        <v>64.625</v>
      </c>
      <c r="U56" s="7">
        <f t="shared" si="8"/>
        <v>65.741666666666674</v>
      </c>
      <c r="V56" s="7">
        <f t="shared" si="9"/>
        <v>65.462500000000006</v>
      </c>
    </row>
    <row r="57" spans="1:22" ht="13.5" x14ac:dyDescent="0.25">
      <c r="A57" s="3">
        <f>RSI!A57</f>
        <v>44999</v>
      </c>
      <c r="B57" s="2">
        <f>RSI!B57</f>
        <v>5.3849999999999998</v>
      </c>
      <c r="C57" s="2">
        <f>RSI!I57</f>
        <v>80.144444674287797</v>
      </c>
      <c r="D57" s="2">
        <f>MACD!E57</f>
        <v>-7.5876444137872312E-3</v>
      </c>
      <c r="E57" s="2">
        <f>MACD!F57</f>
        <v>5.6167514543757548E-2</v>
      </c>
      <c r="F57" s="2">
        <f>'Moving Avg'!D57</f>
        <v>5.2884000000000002</v>
      </c>
      <c r="G57" s="2">
        <f>'Moving Avg'!F57</f>
        <v>5.1829000000000001</v>
      </c>
      <c r="H57" s="2">
        <f>'Moving Avg'!G57</f>
        <v>5.2804799999999998</v>
      </c>
      <c r="I57" s="2">
        <f>'Moving Avg'!H57</f>
        <v>0</v>
      </c>
      <c r="J57" s="5" t="str">
        <f>OBV!F57</f>
        <v>BULLISH</v>
      </c>
      <c r="K57" s="5" t="str">
        <f>OBV!G57</f>
        <v>WEAK</v>
      </c>
      <c r="L57" s="5" t="str">
        <f>OBV!H57</f>
        <v>CONFIRMED BULLISH</v>
      </c>
      <c r="M57" s="7">
        <f t="shared" si="3"/>
        <v>0</v>
      </c>
      <c r="N57" s="7">
        <f t="shared" si="0"/>
        <v>100</v>
      </c>
      <c r="O57" s="7">
        <f t="shared" si="1"/>
        <v>75</v>
      </c>
      <c r="P57" s="7">
        <f t="shared" si="2"/>
        <v>67</v>
      </c>
      <c r="Q57" s="8">
        <f t="shared" si="4"/>
        <v>56.3</v>
      </c>
      <c r="R57" s="8">
        <f t="shared" si="5"/>
        <v>63</v>
      </c>
      <c r="S57" s="8">
        <f t="shared" si="6"/>
        <v>63.900000000000006</v>
      </c>
      <c r="T57" s="8">
        <f t="shared" si="7"/>
        <v>60.5</v>
      </c>
      <c r="U57" s="7">
        <f t="shared" si="8"/>
        <v>61.066666666666663</v>
      </c>
      <c r="V57" s="7">
        <f t="shared" si="9"/>
        <v>60.924999999999997</v>
      </c>
    </row>
    <row r="58" spans="1:22" ht="13.5" x14ac:dyDescent="0.25">
      <c r="A58" s="3">
        <f>RSI!A58</f>
        <v>45000</v>
      </c>
      <c r="B58" s="2">
        <f>RSI!B58</f>
        <v>5.4359999999999999</v>
      </c>
      <c r="C58" s="2">
        <f>RSI!I58</f>
        <v>81.588901581162176</v>
      </c>
      <c r="D58" s="2">
        <f>MACD!E58</f>
        <v>-3.2266008246427447E-2</v>
      </c>
      <c r="E58" s="2">
        <f>MACD!F58</f>
        <v>3.8480809985720552E-2</v>
      </c>
      <c r="F58" s="2">
        <f>'Moving Avg'!D58</f>
        <v>5.3579999999999997</v>
      </c>
      <c r="G58" s="2">
        <f>'Moving Avg'!F58</f>
        <v>5.1965000000000003</v>
      </c>
      <c r="H58" s="2">
        <f>'Moving Avg'!G58</f>
        <v>5.283879999999999</v>
      </c>
      <c r="I58" s="2">
        <f>'Moving Avg'!H58</f>
        <v>0</v>
      </c>
      <c r="J58" s="5" t="str">
        <f>OBV!F58</f>
        <v>BULLISH</v>
      </c>
      <c r="K58" s="5" t="str">
        <f>OBV!G58</f>
        <v>WEAK</v>
      </c>
      <c r="L58" s="5" t="str">
        <f>OBV!H58</f>
        <v>CONFIRMED BULLISH</v>
      </c>
      <c r="M58" s="7">
        <f t="shared" si="3"/>
        <v>0</v>
      </c>
      <c r="N58" s="7">
        <f t="shared" si="0"/>
        <v>100</v>
      </c>
      <c r="O58" s="7">
        <f t="shared" si="1"/>
        <v>75</v>
      </c>
      <c r="P58" s="7">
        <f t="shared" si="2"/>
        <v>67</v>
      </c>
      <c r="Q58" s="8">
        <f t="shared" si="4"/>
        <v>56.3</v>
      </c>
      <c r="R58" s="8">
        <f t="shared" si="5"/>
        <v>63</v>
      </c>
      <c r="S58" s="8">
        <f t="shared" si="6"/>
        <v>63.900000000000006</v>
      </c>
      <c r="T58" s="8">
        <f t="shared" si="7"/>
        <v>60.5</v>
      </c>
      <c r="U58" s="7">
        <f t="shared" si="8"/>
        <v>61.066666666666663</v>
      </c>
      <c r="V58" s="7">
        <f t="shared" si="9"/>
        <v>60.924999999999997</v>
      </c>
    </row>
    <row r="59" spans="1:22" ht="13.5" x14ac:dyDescent="0.25">
      <c r="A59" s="3">
        <f>RSI!A59</f>
        <v>45001</v>
      </c>
      <c r="B59" s="2">
        <f>RSI!B59</f>
        <v>5.4359999999999999</v>
      </c>
      <c r="C59" s="2">
        <f>RSI!I59</f>
        <v>81.588901581162176</v>
      </c>
      <c r="D59" s="2">
        <f>MACD!E59</f>
        <v>-5.4617820272041762E-2</v>
      </c>
      <c r="E59" s="2">
        <f>MACD!F59</f>
        <v>1.9861083934168088E-2</v>
      </c>
      <c r="F59" s="2">
        <f>'Moving Avg'!D59</f>
        <v>5.3834</v>
      </c>
      <c r="G59" s="2">
        <f>'Moving Avg'!F59</f>
        <v>5.2092499999999999</v>
      </c>
      <c r="H59" s="2">
        <f>'Moving Avg'!G59</f>
        <v>5.2855799999999986</v>
      </c>
      <c r="I59" s="2">
        <f>'Moving Avg'!H59</f>
        <v>0</v>
      </c>
      <c r="J59" s="5" t="str">
        <f>OBV!F59</f>
        <v>BULLISH</v>
      </c>
      <c r="K59" s="5" t="str">
        <f>OBV!G59</f>
        <v>WEAK</v>
      </c>
      <c r="L59" s="5" t="str">
        <f>OBV!H59</f>
        <v>CONFIRMED BULLISH</v>
      </c>
      <c r="M59" s="7">
        <f t="shared" si="3"/>
        <v>0</v>
      </c>
      <c r="N59" s="7">
        <f t="shared" si="0"/>
        <v>100</v>
      </c>
      <c r="O59" s="7">
        <f t="shared" si="1"/>
        <v>75</v>
      </c>
      <c r="P59" s="7">
        <f t="shared" si="2"/>
        <v>67</v>
      </c>
      <c r="Q59" s="8">
        <f t="shared" si="4"/>
        <v>56.3</v>
      </c>
      <c r="R59" s="8">
        <f t="shared" si="5"/>
        <v>63</v>
      </c>
      <c r="S59" s="8">
        <f t="shared" si="6"/>
        <v>63.900000000000006</v>
      </c>
      <c r="T59" s="8">
        <f t="shared" si="7"/>
        <v>60.5</v>
      </c>
      <c r="U59" s="7">
        <f t="shared" si="8"/>
        <v>61.066666666666663</v>
      </c>
      <c r="V59" s="7">
        <f t="shared" si="9"/>
        <v>60.924999999999997</v>
      </c>
    </row>
    <row r="60" spans="1:22" ht="13.5" x14ac:dyDescent="0.25">
      <c r="A60" s="3">
        <f>RSI!A60</f>
        <v>45002</v>
      </c>
      <c r="B60" s="2">
        <f>RSI!B60</f>
        <v>5.3940000000000001</v>
      </c>
      <c r="C60" s="2">
        <f>RSI!I60</f>
        <v>76.288256538585301</v>
      </c>
      <c r="D60" s="2">
        <f>MACD!E60</f>
        <v>-7.3165618066786564E-2</v>
      </c>
      <c r="E60" s="2">
        <f>MACD!F60</f>
        <v>1.2557435339771578E-3</v>
      </c>
      <c r="F60" s="2">
        <f>'Moving Avg'!D60</f>
        <v>5.3953999999999995</v>
      </c>
      <c r="G60" s="2">
        <f>'Moving Avg'!F60</f>
        <v>5.2207500000000007</v>
      </c>
      <c r="H60" s="2">
        <f>'Moving Avg'!G60</f>
        <v>5.2864399999999989</v>
      </c>
      <c r="I60" s="2">
        <f>'Moving Avg'!H60</f>
        <v>0</v>
      </c>
      <c r="J60" s="5" t="str">
        <f>OBV!F60</f>
        <v>BULLISH</v>
      </c>
      <c r="K60" s="5" t="str">
        <f>OBV!G60</f>
        <v>NEUTRAL</v>
      </c>
      <c r="L60" s="5" t="str">
        <f>OBV!H60</f>
        <v>CONFIRMED BULLISH</v>
      </c>
      <c r="M60" s="7">
        <f t="shared" si="3"/>
        <v>0</v>
      </c>
      <c r="N60" s="7">
        <f t="shared" si="0"/>
        <v>100</v>
      </c>
      <c r="O60" s="7">
        <f t="shared" si="1"/>
        <v>75</v>
      </c>
      <c r="P60" s="7">
        <f t="shared" si="2"/>
        <v>83.5</v>
      </c>
      <c r="Q60" s="8">
        <f t="shared" si="4"/>
        <v>58.774999999999999</v>
      </c>
      <c r="R60" s="8">
        <f t="shared" si="5"/>
        <v>67.125</v>
      </c>
      <c r="S60" s="8">
        <f t="shared" si="6"/>
        <v>71.325000000000003</v>
      </c>
      <c r="T60" s="8">
        <f t="shared" si="7"/>
        <v>64.625</v>
      </c>
      <c r="U60" s="7">
        <f t="shared" si="8"/>
        <v>65.741666666666674</v>
      </c>
      <c r="V60" s="7">
        <f t="shared" si="9"/>
        <v>65.462500000000006</v>
      </c>
    </row>
    <row r="61" spans="1:22" ht="13.5" x14ac:dyDescent="0.25">
      <c r="A61" s="3">
        <f>RSI!A61</f>
        <v>45006</v>
      </c>
      <c r="B61" s="2">
        <f>RSI!B61</f>
        <v>5.3940000000000001</v>
      </c>
      <c r="C61" s="2">
        <f>RSI!I61</f>
        <v>76.288256538585301</v>
      </c>
      <c r="D61" s="2">
        <f>MACD!E61</f>
        <v>-9.5102888497806681E-2</v>
      </c>
      <c r="E61" s="2">
        <f>MACD!F61</f>
        <v>-1.8015982872379609E-2</v>
      </c>
      <c r="F61" s="2">
        <f>'Moving Avg'!D61</f>
        <v>5.4089999999999989</v>
      </c>
      <c r="G61" s="2">
        <f>'Moving Avg'!F61</f>
        <v>5.2322500000000023</v>
      </c>
      <c r="H61" s="2">
        <f>'Moving Avg'!G61</f>
        <v>5.2879800000000001</v>
      </c>
      <c r="I61" s="2">
        <f>'Moving Avg'!H61</f>
        <v>0</v>
      </c>
      <c r="J61" s="5" t="str">
        <f>OBV!F61</f>
        <v>BULLISH</v>
      </c>
      <c r="K61" s="5" t="str">
        <f>OBV!G61</f>
        <v>WEAK</v>
      </c>
      <c r="L61" s="5" t="str">
        <f>OBV!H61</f>
        <v>CONFIRMED BULLISH</v>
      </c>
      <c r="M61" s="7">
        <f t="shared" si="3"/>
        <v>0</v>
      </c>
      <c r="N61" s="7">
        <f t="shared" si="0"/>
        <v>100</v>
      </c>
      <c r="O61" s="7">
        <f t="shared" si="1"/>
        <v>75</v>
      </c>
      <c r="P61" s="7">
        <f t="shared" si="2"/>
        <v>67</v>
      </c>
      <c r="Q61" s="8">
        <f t="shared" si="4"/>
        <v>56.3</v>
      </c>
      <c r="R61" s="8">
        <f t="shared" si="5"/>
        <v>63</v>
      </c>
      <c r="S61" s="8">
        <f t="shared" si="6"/>
        <v>63.900000000000006</v>
      </c>
      <c r="T61" s="8">
        <f t="shared" si="7"/>
        <v>60.5</v>
      </c>
      <c r="U61" s="7">
        <f t="shared" si="8"/>
        <v>61.066666666666663</v>
      </c>
      <c r="V61" s="7">
        <f t="shared" si="9"/>
        <v>60.924999999999997</v>
      </c>
    </row>
    <row r="62" spans="1:22" ht="13.5" x14ac:dyDescent="0.25">
      <c r="A62" s="3">
        <f>RSI!A62</f>
        <v>45007</v>
      </c>
      <c r="B62" s="2">
        <f>RSI!B62</f>
        <v>5.3849999999999998</v>
      </c>
      <c r="C62" s="2">
        <f>RSI!I62</f>
        <v>75.076091161565898</v>
      </c>
      <c r="D62" s="2">
        <f>MACD!E62</f>
        <v>-0.11393575976430004</v>
      </c>
      <c r="E62" s="2">
        <f>MACD!F62</f>
        <v>-3.7199938250763696E-2</v>
      </c>
      <c r="F62" s="2">
        <f>'Moving Avg'!D62</f>
        <v>5.4089999999999989</v>
      </c>
      <c r="G62" s="2">
        <f>'Moving Avg'!F62</f>
        <v>5.2433000000000014</v>
      </c>
      <c r="H62" s="2">
        <f>'Moving Avg'!G62</f>
        <v>5.2903599999999997</v>
      </c>
      <c r="I62" s="2">
        <f>'Moving Avg'!H62</f>
        <v>0</v>
      </c>
      <c r="J62" s="5" t="str">
        <f>OBV!F62</f>
        <v>BEARISH</v>
      </c>
      <c r="K62" s="5" t="str">
        <f>OBV!G62</f>
        <v>STRONG</v>
      </c>
      <c r="L62" s="5" t="str">
        <f>OBV!H62</f>
        <v>NEUTRAL</v>
      </c>
      <c r="M62" s="7">
        <f t="shared" si="3"/>
        <v>0</v>
      </c>
      <c r="N62" s="7">
        <f t="shared" si="0"/>
        <v>100</v>
      </c>
      <c r="O62" s="7">
        <f t="shared" si="1"/>
        <v>75</v>
      </c>
      <c r="P62" s="7">
        <f t="shared" si="2"/>
        <v>33</v>
      </c>
      <c r="Q62" s="8">
        <f t="shared" si="4"/>
        <v>51.2</v>
      </c>
      <c r="R62" s="8">
        <f t="shared" si="5"/>
        <v>54.5</v>
      </c>
      <c r="S62" s="8">
        <f t="shared" si="6"/>
        <v>48.6</v>
      </c>
      <c r="T62" s="8">
        <f t="shared" si="7"/>
        <v>52</v>
      </c>
      <c r="U62" s="7">
        <f t="shared" si="8"/>
        <v>51.433333333333337</v>
      </c>
      <c r="V62" s="7">
        <f t="shared" si="9"/>
        <v>51.575000000000003</v>
      </c>
    </row>
    <row r="63" spans="1:22" ht="13.5" x14ac:dyDescent="0.25">
      <c r="A63" s="3">
        <f>RSI!A63</f>
        <v>45008</v>
      </c>
      <c r="B63" s="2">
        <f>RSI!B63</f>
        <v>5.3849999999999998</v>
      </c>
      <c r="C63" s="2">
        <f>RSI!I63</f>
        <v>75.076091161565898</v>
      </c>
      <c r="D63" s="2">
        <f>MACD!E63</f>
        <v>-0.13191666164244431</v>
      </c>
      <c r="E63" s="2">
        <f>MACD!F63</f>
        <v>-5.6143282929099821E-2</v>
      </c>
      <c r="F63" s="2">
        <f>'Moving Avg'!D63</f>
        <v>5.3987999999999996</v>
      </c>
      <c r="G63" s="2">
        <f>'Moving Avg'!F63</f>
        <v>5.2543500000000005</v>
      </c>
      <c r="H63" s="2">
        <f>'Moving Avg'!G63</f>
        <v>5.291879999999999</v>
      </c>
      <c r="I63" s="2">
        <f>'Moving Avg'!H63</f>
        <v>0</v>
      </c>
      <c r="J63" s="5" t="str">
        <f>OBV!F63</f>
        <v>BEARISH</v>
      </c>
      <c r="K63" s="5" t="str">
        <f>OBV!G63</f>
        <v>STRONG</v>
      </c>
      <c r="L63" s="5" t="str">
        <f>OBV!H63</f>
        <v>CONFIRMED BEARISH</v>
      </c>
      <c r="M63" s="7">
        <f t="shared" si="3"/>
        <v>0</v>
      </c>
      <c r="N63" s="7">
        <f t="shared" si="0"/>
        <v>100</v>
      </c>
      <c r="O63" s="7">
        <f t="shared" si="1"/>
        <v>75</v>
      </c>
      <c r="P63" s="7">
        <f t="shared" si="2"/>
        <v>33</v>
      </c>
      <c r="Q63" s="8">
        <f t="shared" si="4"/>
        <v>51.2</v>
      </c>
      <c r="R63" s="8">
        <f t="shared" si="5"/>
        <v>54.5</v>
      </c>
      <c r="S63" s="8">
        <f t="shared" si="6"/>
        <v>48.6</v>
      </c>
      <c r="T63" s="8">
        <f t="shared" si="7"/>
        <v>52</v>
      </c>
      <c r="U63" s="7">
        <f t="shared" si="8"/>
        <v>51.433333333333337</v>
      </c>
      <c r="V63" s="7">
        <f t="shared" si="9"/>
        <v>51.575000000000003</v>
      </c>
    </row>
    <row r="64" spans="1:22" ht="13.5" x14ac:dyDescent="0.25">
      <c r="A64" s="3">
        <f>RSI!A64</f>
        <v>45009</v>
      </c>
      <c r="B64" s="2">
        <f>RSI!B64</f>
        <v>5.351</v>
      </c>
      <c r="C64" s="2">
        <f>RSI!I64</f>
        <v>70.189751374513861</v>
      </c>
      <c r="D64" s="2">
        <f>MACD!E64</f>
        <v>-0.11136703591571973</v>
      </c>
      <c r="E64" s="2">
        <f>MACD!F64</f>
        <v>-6.7188033526423802E-2</v>
      </c>
      <c r="F64" s="2">
        <f>'Moving Avg'!D64</f>
        <v>5.3818000000000001</v>
      </c>
      <c r="G64" s="2">
        <f>'Moving Avg'!F64</f>
        <v>5.2641000000000009</v>
      </c>
      <c r="H64" s="2">
        <f>'Moving Avg'!G64</f>
        <v>5.2952799999999991</v>
      </c>
      <c r="I64" s="2">
        <f>'Moving Avg'!H64</f>
        <v>0</v>
      </c>
      <c r="J64" s="5" t="str">
        <f>OBV!F64</f>
        <v>BEARISH</v>
      </c>
      <c r="K64" s="5" t="str">
        <f>OBV!G64</f>
        <v>STRONG</v>
      </c>
      <c r="L64" s="5" t="str">
        <f>OBV!H64</f>
        <v>CONFIRMED BEARISH</v>
      </c>
      <c r="M64" s="7">
        <f t="shared" si="3"/>
        <v>0</v>
      </c>
      <c r="N64" s="7">
        <f t="shared" si="0"/>
        <v>100</v>
      </c>
      <c r="O64" s="7">
        <f t="shared" si="1"/>
        <v>75</v>
      </c>
      <c r="P64" s="7">
        <f t="shared" si="2"/>
        <v>33</v>
      </c>
      <c r="Q64" s="8">
        <f t="shared" si="4"/>
        <v>51.2</v>
      </c>
      <c r="R64" s="8">
        <f t="shared" si="5"/>
        <v>54.5</v>
      </c>
      <c r="S64" s="8">
        <f t="shared" si="6"/>
        <v>48.6</v>
      </c>
      <c r="T64" s="8">
        <f t="shared" si="7"/>
        <v>52</v>
      </c>
      <c r="U64" s="7">
        <f t="shared" si="8"/>
        <v>51.433333333333337</v>
      </c>
      <c r="V64" s="7">
        <f t="shared" si="9"/>
        <v>51.575000000000003</v>
      </c>
    </row>
    <row r="65" spans="1:22" ht="13.5" x14ac:dyDescent="0.25">
      <c r="A65" s="3">
        <f>RSI!A65</f>
        <v>45012</v>
      </c>
      <c r="B65" s="2">
        <f>RSI!B65</f>
        <v>5.3259999999999996</v>
      </c>
      <c r="C65" s="2">
        <f>RSI!I65</f>
        <v>66.749608283926804</v>
      </c>
      <c r="D65" s="2">
        <f>MACD!E65</f>
        <v>-8.8778388569530797E-2</v>
      </c>
      <c r="E65" s="2">
        <f>MACD!F65</f>
        <v>-7.1506104535045203E-2</v>
      </c>
      <c r="F65" s="2">
        <f>'Moving Avg'!D65</f>
        <v>5.3681999999999999</v>
      </c>
      <c r="G65" s="2">
        <f>'Moving Avg'!F65</f>
        <v>5.2726000000000015</v>
      </c>
      <c r="H65" s="2">
        <f>'Moving Avg'!G65</f>
        <v>5.2934200000000002</v>
      </c>
      <c r="I65" s="2">
        <f>'Moving Avg'!H65</f>
        <v>0</v>
      </c>
      <c r="J65" s="5" t="str">
        <f>OBV!F65</f>
        <v>BEARISH</v>
      </c>
      <c r="K65" s="5" t="str">
        <f>OBV!G65</f>
        <v>STRONG</v>
      </c>
      <c r="L65" s="5" t="str">
        <f>OBV!H65</f>
        <v>CONFIRMED BEARISH</v>
      </c>
      <c r="M65" s="7">
        <f t="shared" si="3"/>
        <v>50</v>
      </c>
      <c r="N65" s="7">
        <f t="shared" si="0"/>
        <v>45</v>
      </c>
      <c r="O65" s="7">
        <f t="shared" si="1"/>
        <v>75</v>
      </c>
      <c r="P65" s="7">
        <f t="shared" si="2"/>
        <v>33</v>
      </c>
      <c r="Q65" s="8">
        <f t="shared" si="4"/>
        <v>49.45</v>
      </c>
      <c r="R65" s="8">
        <f t="shared" si="5"/>
        <v>53.5</v>
      </c>
      <c r="S65" s="8">
        <f t="shared" si="6"/>
        <v>47.85</v>
      </c>
      <c r="T65" s="8">
        <f t="shared" si="7"/>
        <v>50.75</v>
      </c>
      <c r="U65" s="7">
        <f t="shared" si="8"/>
        <v>50.266666666666673</v>
      </c>
      <c r="V65" s="7">
        <f t="shared" si="9"/>
        <v>50.387500000000003</v>
      </c>
    </row>
    <row r="66" spans="1:22" ht="13.5" x14ac:dyDescent="0.25">
      <c r="A66" s="3">
        <f>RSI!A66</f>
        <v>45013</v>
      </c>
      <c r="B66" s="2">
        <f>RSI!B66</f>
        <v>5.3</v>
      </c>
      <c r="C66" s="2">
        <f>RSI!I66</f>
        <v>63.27615920969172</v>
      </c>
      <c r="D66" s="2">
        <f>MACD!E66</f>
        <v>-6.9282686078134148E-2</v>
      </c>
      <c r="E66" s="2">
        <f>MACD!F66</f>
        <v>-7.1061420843662987E-2</v>
      </c>
      <c r="F66" s="2">
        <f>'Moving Avg'!D66</f>
        <v>5.3494000000000002</v>
      </c>
      <c r="G66" s="2">
        <f>'Moving Avg'!F66</f>
        <v>5.2797999999999998</v>
      </c>
      <c r="H66" s="2">
        <f>'Moving Avg'!G66</f>
        <v>5.2900199999999993</v>
      </c>
      <c r="I66" s="2">
        <f>'Moving Avg'!H66</f>
        <v>0</v>
      </c>
      <c r="J66" s="5" t="str">
        <f>OBV!F66</f>
        <v>BEARISH</v>
      </c>
      <c r="K66" s="5" t="str">
        <f>OBV!G66</f>
        <v>STRONG</v>
      </c>
      <c r="L66" s="5" t="str">
        <f>OBV!H66</f>
        <v>CONFIRMED BEARISH</v>
      </c>
      <c r="M66" s="7">
        <f t="shared" si="3"/>
        <v>50</v>
      </c>
      <c r="N66" s="7">
        <f t="shared" ref="N66:N129" si="10">IF(E66-D66&gt;0.02, 100, IF(E66-D66&lt;0,0,45))</f>
        <v>0</v>
      </c>
      <c r="O66" s="7">
        <f t="shared" ref="O66:O129" si="11">IF(F66-I66&gt;10,100,IF(F66-I66&gt;5,75, IF(F66-I66&gt;0,50,0)))</f>
        <v>75</v>
      </c>
      <c r="P66" s="7">
        <f t="shared" ref="P66:P129" si="12">IF(L66="confirmed bullish", 34, IF(L66="bullish divergence",17, 0))+IF(J66="bullish",33,IF(J66="bearish",0,16.5))+IF(K66="strong",33,IF(K66="weak",0,16.5))</f>
        <v>33</v>
      </c>
      <c r="Q66" s="8">
        <f t="shared" si="4"/>
        <v>33.700000000000003</v>
      </c>
      <c r="R66" s="8">
        <f t="shared" si="5"/>
        <v>44.5</v>
      </c>
      <c r="S66" s="8">
        <f t="shared" si="6"/>
        <v>41.1</v>
      </c>
      <c r="T66" s="8">
        <f t="shared" si="7"/>
        <v>39.5</v>
      </c>
      <c r="U66" s="7">
        <f t="shared" si="8"/>
        <v>39.766666666666673</v>
      </c>
      <c r="V66" s="7">
        <f t="shared" si="9"/>
        <v>39.700000000000003</v>
      </c>
    </row>
    <row r="67" spans="1:22" ht="13.5" x14ac:dyDescent="0.25">
      <c r="A67" s="3">
        <f>RSI!A67</f>
        <v>45014</v>
      </c>
      <c r="B67" s="2">
        <f>RSI!B67</f>
        <v>5.2830000000000004</v>
      </c>
      <c r="C67" s="2">
        <f>RSI!I67</f>
        <v>61.039581369389076</v>
      </c>
      <c r="D67" s="2">
        <f>MACD!E67</f>
        <v>-4.2586250381706492E-2</v>
      </c>
      <c r="E67" s="2">
        <f>MACD!F67</f>
        <v>-6.5366386751271682E-2</v>
      </c>
      <c r="F67" s="2">
        <f>'Moving Avg'!D67</f>
        <v>5.3290000000000006</v>
      </c>
      <c r="G67" s="2">
        <f>'Moving Avg'!F67</f>
        <v>5.2866000000000009</v>
      </c>
      <c r="H67" s="2">
        <f>'Moving Avg'!G67</f>
        <v>5.2869600000000005</v>
      </c>
      <c r="I67" s="2">
        <f>'Moving Avg'!H67</f>
        <v>0</v>
      </c>
      <c r="J67" s="5" t="str">
        <f>OBV!F67</f>
        <v>BEARISH</v>
      </c>
      <c r="K67" s="5" t="str">
        <f>OBV!G67</f>
        <v>STRONG</v>
      </c>
      <c r="L67" s="5" t="str">
        <f>OBV!H67</f>
        <v>CONFIRMED BEARISH</v>
      </c>
      <c r="M67" s="7">
        <f t="shared" ref="M67:M130" si="13">IF(C67&lt;30,100, IF(C67&gt;70, 0, 50))</f>
        <v>50</v>
      </c>
      <c r="N67" s="7">
        <f t="shared" si="10"/>
        <v>0</v>
      </c>
      <c r="O67" s="7">
        <f t="shared" si="11"/>
        <v>75</v>
      </c>
      <c r="P67" s="7">
        <f t="shared" si="12"/>
        <v>33</v>
      </c>
      <c r="Q67" s="8">
        <f t="shared" ref="Q67:Q130" si="14">0.35*M67+N67*0.35+O67*0.15+P67*0.15</f>
        <v>33.700000000000003</v>
      </c>
      <c r="R67" s="8">
        <f t="shared" ref="R67:R130" si="15">M67*0.2+N67*0.2+O67*0.35+P67*0.25</f>
        <v>44.5</v>
      </c>
      <c r="S67" s="8">
        <f t="shared" ref="S67:S130" si="16">M67*0.15+N67*0.15+O67*0.25+P67*0.45</f>
        <v>41.1</v>
      </c>
      <c r="T67" s="8">
        <f t="shared" ref="T67:T130" si="17">0.25*SUM(M67:P67)</f>
        <v>39.5</v>
      </c>
      <c r="U67" s="7">
        <f t="shared" ref="U67:U130" si="18">SUM(Q67:S67)/3</f>
        <v>39.766666666666673</v>
      </c>
      <c r="V67" s="7">
        <f t="shared" ref="V67:V130" si="19">SUM(Q67:T67)/4</f>
        <v>39.700000000000003</v>
      </c>
    </row>
    <row r="68" spans="1:22" ht="13.5" x14ac:dyDescent="0.25">
      <c r="A68" s="3">
        <f>RSI!A68</f>
        <v>45015</v>
      </c>
      <c r="B68" s="2">
        <f>RSI!B68</f>
        <v>5.3170000000000002</v>
      </c>
      <c r="C68" s="2">
        <f>RSI!I68</f>
        <v>63.795822870113682</v>
      </c>
      <c r="D68" s="2">
        <f>MACD!E68</f>
        <v>-1.4694897623744652E-2</v>
      </c>
      <c r="E68" s="2">
        <f>MACD!F68</f>
        <v>-5.5232088925766282E-2</v>
      </c>
      <c r="F68" s="2">
        <f>'Moving Avg'!D68</f>
        <v>5.3154000000000003</v>
      </c>
      <c r="G68" s="2">
        <f>'Moving Avg'!F68</f>
        <v>5.2954999999999997</v>
      </c>
      <c r="H68" s="2">
        <f>'Moving Avg'!G68</f>
        <v>5.2840600000000002</v>
      </c>
      <c r="I68" s="2">
        <f>'Moving Avg'!H68</f>
        <v>0</v>
      </c>
      <c r="J68" s="5" t="str">
        <f>OBV!F68</f>
        <v>BEARISH</v>
      </c>
      <c r="K68" s="5" t="str">
        <f>OBV!G68</f>
        <v>STRONG</v>
      </c>
      <c r="L68" s="5" t="str">
        <f>OBV!H68</f>
        <v>CONFIRMED BEARISH</v>
      </c>
      <c r="M68" s="7">
        <f t="shared" si="13"/>
        <v>50</v>
      </c>
      <c r="N68" s="7">
        <f t="shared" si="10"/>
        <v>0</v>
      </c>
      <c r="O68" s="7">
        <f t="shared" si="11"/>
        <v>75</v>
      </c>
      <c r="P68" s="7">
        <f t="shared" si="12"/>
        <v>33</v>
      </c>
      <c r="Q68" s="8">
        <f t="shared" si="14"/>
        <v>33.700000000000003</v>
      </c>
      <c r="R68" s="8">
        <f t="shared" si="15"/>
        <v>44.5</v>
      </c>
      <c r="S68" s="8">
        <f t="shared" si="16"/>
        <v>41.1</v>
      </c>
      <c r="T68" s="8">
        <f t="shared" si="17"/>
        <v>39.5</v>
      </c>
      <c r="U68" s="7">
        <f t="shared" si="18"/>
        <v>39.766666666666673</v>
      </c>
      <c r="V68" s="7">
        <f t="shared" si="19"/>
        <v>39.700000000000003</v>
      </c>
    </row>
    <row r="69" spans="1:22" ht="13.5" x14ac:dyDescent="0.25">
      <c r="A69" s="3">
        <f>RSI!A69</f>
        <v>45016</v>
      </c>
      <c r="B69" s="2">
        <f>RSI!B69</f>
        <v>5.351</v>
      </c>
      <c r="C69" s="2">
        <f>RSI!I69</f>
        <v>66.358827880797094</v>
      </c>
      <c r="D69" s="2">
        <f>MACD!E69</f>
        <v>6.162371888890128E-3</v>
      </c>
      <c r="E69" s="2">
        <f>MACD!F69</f>
        <v>-4.2953196762835003E-2</v>
      </c>
      <c r="F69" s="2">
        <f>'Moving Avg'!D69</f>
        <v>5.3153999999999995</v>
      </c>
      <c r="G69" s="2">
        <f>'Moving Avg'!F69</f>
        <v>5.3060999999999989</v>
      </c>
      <c r="H69" s="2">
        <f>'Moving Avg'!G69</f>
        <v>5.2818399999999999</v>
      </c>
      <c r="I69" s="2">
        <f>'Moving Avg'!H69</f>
        <v>0</v>
      </c>
      <c r="J69" s="5" t="str">
        <f>OBV!F69</f>
        <v>BEARISH</v>
      </c>
      <c r="K69" s="5" t="str">
        <f>OBV!G69</f>
        <v>STRONG</v>
      </c>
      <c r="L69" s="5" t="str">
        <f>OBV!H69</f>
        <v>NEUTRAL</v>
      </c>
      <c r="M69" s="7">
        <f t="shared" si="13"/>
        <v>50</v>
      </c>
      <c r="N69" s="7">
        <f t="shared" si="10"/>
        <v>0</v>
      </c>
      <c r="O69" s="7">
        <f t="shared" si="11"/>
        <v>75</v>
      </c>
      <c r="P69" s="7">
        <f t="shared" si="12"/>
        <v>33</v>
      </c>
      <c r="Q69" s="8">
        <f t="shared" si="14"/>
        <v>33.700000000000003</v>
      </c>
      <c r="R69" s="8">
        <f t="shared" si="15"/>
        <v>44.5</v>
      </c>
      <c r="S69" s="8">
        <f t="shared" si="16"/>
        <v>41.1</v>
      </c>
      <c r="T69" s="8">
        <f t="shared" si="17"/>
        <v>39.5</v>
      </c>
      <c r="U69" s="7">
        <f t="shared" si="18"/>
        <v>39.766666666666673</v>
      </c>
      <c r="V69" s="7">
        <f t="shared" si="19"/>
        <v>39.700000000000003</v>
      </c>
    </row>
    <row r="70" spans="1:22" ht="13.5" x14ac:dyDescent="0.25">
      <c r="A70" s="3">
        <f>RSI!A70</f>
        <v>45019</v>
      </c>
      <c r="B70" s="2">
        <f>RSI!B70</f>
        <v>5.351</v>
      </c>
      <c r="C70" s="2">
        <f>RSI!I70</f>
        <v>66.358827880797094</v>
      </c>
      <c r="D70" s="2">
        <f>MACD!E70</f>
        <v>1.694043350831631E-2</v>
      </c>
      <c r="E70" s="2">
        <f>MACD!F70</f>
        <v>-3.0974470708604741E-2</v>
      </c>
      <c r="F70" s="2">
        <f>'Moving Avg'!D70</f>
        <v>5.3204000000000002</v>
      </c>
      <c r="G70" s="2">
        <f>'Moving Avg'!F70</f>
        <v>5.3171499999999998</v>
      </c>
      <c r="H70" s="2">
        <f>'Moving Avg'!G70</f>
        <v>5.2801400000000003</v>
      </c>
      <c r="I70" s="2">
        <f>'Moving Avg'!H70</f>
        <v>0</v>
      </c>
      <c r="J70" s="5" t="str">
        <f>OBV!F70</f>
        <v>BULLISH</v>
      </c>
      <c r="K70" s="5" t="str">
        <f>OBV!G70</f>
        <v>NEUTRAL</v>
      </c>
      <c r="L70" s="5" t="str">
        <f>OBV!H70</f>
        <v>CONFIRMED BULLISH</v>
      </c>
      <c r="M70" s="7">
        <f t="shared" si="13"/>
        <v>50</v>
      </c>
      <c r="N70" s="7">
        <f t="shared" si="10"/>
        <v>0</v>
      </c>
      <c r="O70" s="7">
        <f t="shared" si="11"/>
        <v>75</v>
      </c>
      <c r="P70" s="7">
        <f t="shared" si="12"/>
        <v>83.5</v>
      </c>
      <c r="Q70" s="8">
        <f t="shared" si="14"/>
        <v>41.274999999999999</v>
      </c>
      <c r="R70" s="8">
        <f t="shared" si="15"/>
        <v>57.125</v>
      </c>
      <c r="S70" s="8">
        <f t="shared" si="16"/>
        <v>63.825000000000003</v>
      </c>
      <c r="T70" s="8">
        <f t="shared" si="17"/>
        <v>52.125</v>
      </c>
      <c r="U70" s="7">
        <f t="shared" si="18"/>
        <v>54.07500000000001</v>
      </c>
      <c r="V70" s="7">
        <f t="shared" si="19"/>
        <v>53.587500000000006</v>
      </c>
    </row>
    <row r="71" spans="1:22" ht="13.5" x14ac:dyDescent="0.25">
      <c r="A71" s="3">
        <f>RSI!A71</f>
        <v>45020</v>
      </c>
      <c r="B71" s="2">
        <f>RSI!B71</f>
        <v>5.351</v>
      </c>
      <c r="C71" s="2">
        <f>RSI!I71</f>
        <v>66.358827880797094</v>
      </c>
      <c r="D71" s="2">
        <f>MACD!E71</f>
        <v>2.5681758896661577E-2</v>
      </c>
      <c r="E71" s="2">
        <f>MACD!F71</f>
        <v>-1.964322478755148E-2</v>
      </c>
      <c r="F71" s="2">
        <f>'Moving Avg'!D71</f>
        <v>5.3305999999999996</v>
      </c>
      <c r="G71" s="2">
        <f>'Moving Avg'!F71</f>
        <v>5.3298999999999994</v>
      </c>
      <c r="H71" s="2">
        <f>'Moving Avg'!G71</f>
        <v>5.27928</v>
      </c>
      <c r="I71" s="2">
        <f>'Moving Avg'!H71</f>
        <v>0</v>
      </c>
      <c r="J71" s="5" t="str">
        <f>OBV!F71</f>
        <v>BULLISH</v>
      </c>
      <c r="K71" s="5" t="str">
        <f>OBV!G71</f>
        <v>WEAK</v>
      </c>
      <c r="L71" s="5" t="str">
        <f>OBV!H71</f>
        <v>CONFIRMED BULLISH</v>
      </c>
      <c r="M71" s="7">
        <f t="shared" si="13"/>
        <v>50</v>
      </c>
      <c r="N71" s="7">
        <f t="shared" si="10"/>
        <v>0</v>
      </c>
      <c r="O71" s="7">
        <f t="shared" si="11"/>
        <v>75</v>
      </c>
      <c r="P71" s="7">
        <f t="shared" si="12"/>
        <v>67</v>
      </c>
      <c r="Q71" s="8">
        <f t="shared" si="14"/>
        <v>38.799999999999997</v>
      </c>
      <c r="R71" s="8">
        <f t="shared" si="15"/>
        <v>53</v>
      </c>
      <c r="S71" s="8">
        <f t="shared" si="16"/>
        <v>56.400000000000006</v>
      </c>
      <c r="T71" s="8">
        <f t="shared" si="17"/>
        <v>48</v>
      </c>
      <c r="U71" s="7">
        <f t="shared" si="18"/>
        <v>49.4</v>
      </c>
      <c r="V71" s="7">
        <f t="shared" si="19"/>
        <v>49.05</v>
      </c>
    </row>
    <row r="72" spans="1:22" ht="13.5" x14ac:dyDescent="0.25">
      <c r="A72" s="3">
        <f>RSI!A72</f>
        <v>45021</v>
      </c>
      <c r="B72" s="2">
        <f>RSI!B72</f>
        <v>5.351</v>
      </c>
      <c r="C72" s="2">
        <f>RSI!I72</f>
        <v>66.358827880797094</v>
      </c>
      <c r="D72" s="2">
        <f>MACD!E72</f>
        <v>3.134311914226906E-2</v>
      </c>
      <c r="E72" s="2">
        <f>MACD!F72</f>
        <v>-9.445956001587371E-3</v>
      </c>
      <c r="F72" s="2">
        <f>'Moving Avg'!D72</f>
        <v>5.344199999999999</v>
      </c>
      <c r="G72" s="2">
        <f>'Moving Avg'!F72</f>
        <v>5.342649999999999</v>
      </c>
      <c r="H72" s="2">
        <f>'Moving Avg'!G72</f>
        <v>5.2779199999999999</v>
      </c>
      <c r="I72" s="2">
        <f>'Moving Avg'!H72</f>
        <v>0</v>
      </c>
      <c r="J72" s="5" t="str">
        <f>OBV!F72</f>
        <v>BULLISH</v>
      </c>
      <c r="K72" s="5" t="str">
        <f>OBV!G72</f>
        <v>WEAK</v>
      </c>
      <c r="L72" s="5" t="str">
        <f>OBV!H72</f>
        <v>CONFIRMED BULLISH</v>
      </c>
      <c r="M72" s="7">
        <f t="shared" si="13"/>
        <v>50</v>
      </c>
      <c r="N72" s="7">
        <f t="shared" si="10"/>
        <v>0</v>
      </c>
      <c r="O72" s="7">
        <f t="shared" si="11"/>
        <v>75</v>
      </c>
      <c r="P72" s="7">
        <f t="shared" si="12"/>
        <v>67</v>
      </c>
      <c r="Q72" s="8">
        <f t="shared" si="14"/>
        <v>38.799999999999997</v>
      </c>
      <c r="R72" s="8">
        <f t="shared" si="15"/>
        <v>53</v>
      </c>
      <c r="S72" s="8">
        <f t="shared" si="16"/>
        <v>56.400000000000006</v>
      </c>
      <c r="T72" s="8">
        <f t="shared" si="17"/>
        <v>48</v>
      </c>
      <c r="U72" s="7">
        <f t="shared" si="18"/>
        <v>49.4</v>
      </c>
      <c r="V72" s="7">
        <f t="shared" si="19"/>
        <v>49.05</v>
      </c>
    </row>
    <row r="73" spans="1:22" ht="13.5" x14ac:dyDescent="0.25">
      <c r="A73" s="3">
        <f>RSI!A73</f>
        <v>45022</v>
      </c>
      <c r="B73" s="2">
        <f>RSI!B73</f>
        <v>5.3940000000000001</v>
      </c>
      <c r="C73" s="2">
        <f>RSI!I73</f>
        <v>69.974650502813091</v>
      </c>
      <c r="D73" s="2">
        <f>MACD!E73</f>
        <v>3.262375045558219E-2</v>
      </c>
      <c r="E73" s="2">
        <f>MACD!F73</f>
        <v>-1.032014710153459E-3</v>
      </c>
      <c r="F73" s="2">
        <f>'Moving Avg'!D73</f>
        <v>5.3596000000000004</v>
      </c>
      <c r="G73" s="2">
        <f>'Moving Avg'!F73</f>
        <v>5.3579499999999998</v>
      </c>
      <c r="H73" s="2">
        <f>'Moving Avg'!G73</f>
        <v>5.2792800000000009</v>
      </c>
      <c r="I73" s="2">
        <f>'Moving Avg'!H73</f>
        <v>0</v>
      </c>
      <c r="J73" s="5" t="str">
        <f>OBV!F73</f>
        <v>BULLISH</v>
      </c>
      <c r="K73" s="5" t="str">
        <f>OBV!G73</f>
        <v>WEAK</v>
      </c>
      <c r="L73" s="5" t="str">
        <f>OBV!H73</f>
        <v>CONFIRMED BULLISH</v>
      </c>
      <c r="M73" s="7">
        <f t="shared" si="13"/>
        <v>50</v>
      </c>
      <c r="N73" s="7">
        <f t="shared" si="10"/>
        <v>0</v>
      </c>
      <c r="O73" s="7">
        <f t="shared" si="11"/>
        <v>75</v>
      </c>
      <c r="P73" s="7">
        <f t="shared" si="12"/>
        <v>67</v>
      </c>
      <c r="Q73" s="8">
        <f t="shared" si="14"/>
        <v>38.799999999999997</v>
      </c>
      <c r="R73" s="8">
        <f t="shared" si="15"/>
        <v>53</v>
      </c>
      <c r="S73" s="8">
        <f t="shared" si="16"/>
        <v>56.400000000000006</v>
      </c>
      <c r="T73" s="8">
        <f t="shared" si="17"/>
        <v>48</v>
      </c>
      <c r="U73" s="7">
        <f t="shared" si="18"/>
        <v>49.4</v>
      </c>
      <c r="V73" s="7">
        <f t="shared" si="19"/>
        <v>49.05</v>
      </c>
    </row>
    <row r="74" spans="1:22" ht="13.5" x14ac:dyDescent="0.25">
      <c r="A74" s="3">
        <f>RSI!A74</f>
        <v>45023</v>
      </c>
      <c r="B74" s="2">
        <f>RSI!B74</f>
        <v>5.3940000000000001</v>
      </c>
      <c r="C74" s="2">
        <f>RSI!I74</f>
        <v>69.974650502813091</v>
      </c>
      <c r="D74" s="2">
        <f>MACD!E74</f>
        <v>2.7921980111817568E-2</v>
      </c>
      <c r="E74" s="2">
        <f>MACD!F74</f>
        <v>4.7587842542407468E-3</v>
      </c>
      <c r="F74" s="2">
        <f>'Moving Avg'!D74</f>
        <v>5.3681999999999999</v>
      </c>
      <c r="G74" s="2">
        <f>'Moving Avg'!F74</f>
        <v>5.3621999999999996</v>
      </c>
      <c r="H74" s="2">
        <f>'Moving Avg'!G74</f>
        <v>5.2801400000000003</v>
      </c>
      <c r="I74" s="2">
        <f>'Moving Avg'!H74</f>
        <v>0</v>
      </c>
      <c r="J74" s="5" t="str">
        <f>OBV!F74</f>
        <v>BULLISH</v>
      </c>
      <c r="K74" s="5" t="str">
        <f>OBV!G74</f>
        <v>WEAK</v>
      </c>
      <c r="L74" s="5" t="str">
        <f>OBV!H74</f>
        <v>CONFIRMED BULLISH</v>
      </c>
      <c r="M74" s="7">
        <f t="shared" si="13"/>
        <v>50</v>
      </c>
      <c r="N74" s="7">
        <f t="shared" si="10"/>
        <v>0</v>
      </c>
      <c r="O74" s="7">
        <f t="shared" si="11"/>
        <v>75</v>
      </c>
      <c r="P74" s="7">
        <f t="shared" si="12"/>
        <v>67</v>
      </c>
      <c r="Q74" s="8">
        <f t="shared" si="14"/>
        <v>38.799999999999997</v>
      </c>
      <c r="R74" s="8">
        <f t="shared" si="15"/>
        <v>53</v>
      </c>
      <c r="S74" s="8">
        <f t="shared" si="16"/>
        <v>56.400000000000006</v>
      </c>
      <c r="T74" s="8">
        <f t="shared" si="17"/>
        <v>48</v>
      </c>
      <c r="U74" s="7">
        <f t="shared" si="18"/>
        <v>49.4</v>
      </c>
      <c r="V74" s="7">
        <f t="shared" si="19"/>
        <v>49.05</v>
      </c>
    </row>
    <row r="75" spans="1:22" ht="13.5" x14ac:dyDescent="0.25">
      <c r="A75" s="3">
        <f>RSI!A75</f>
        <v>45026</v>
      </c>
      <c r="B75" s="2">
        <f>RSI!B75</f>
        <v>5.4359999999999999</v>
      </c>
      <c r="C75" s="2">
        <f>RSI!I75</f>
        <v>73.233590190042463</v>
      </c>
      <c r="D75" s="2">
        <f>MACD!E75</f>
        <v>1.6472764257166261E-2</v>
      </c>
      <c r="E75" s="2">
        <f>MACD!F75</f>
        <v>7.1015802548258502E-3</v>
      </c>
      <c r="F75" s="2">
        <f>'Moving Avg'!D75</f>
        <v>5.3852000000000002</v>
      </c>
      <c r="G75" s="2">
        <f>'Moving Avg'!F75</f>
        <v>5.3673000000000002</v>
      </c>
      <c r="H75" s="2">
        <f>'Moving Avg'!G75</f>
        <v>5.2808200000000003</v>
      </c>
      <c r="I75" s="2">
        <f>'Moving Avg'!H75</f>
        <v>0</v>
      </c>
      <c r="J75" s="5" t="str">
        <f>OBV!F75</f>
        <v>BULLISH</v>
      </c>
      <c r="K75" s="5" t="str">
        <f>OBV!G75</f>
        <v>WEAK</v>
      </c>
      <c r="L75" s="5" t="str">
        <f>OBV!H75</f>
        <v>CONFIRMED BULLISH</v>
      </c>
      <c r="M75" s="7">
        <f t="shared" si="13"/>
        <v>0</v>
      </c>
      <c r="N75" s="7">
        <f t="shared" si="10"/>
        <v>0</v>
      </c>
      <c r="O75" s="7">
        <f t="shared" si="11"/>
        <v>75</v>
      </c>
      <c r="P75" s="7">
        <f t="shared" si="12"/>
        <v>67</v>
      </c>
      <c r="Q75" s="8">
        <f t="shared" si="14"/>
        <v>21.299999999999997</v>
      </c>
      <c r="R75" s="8">
        <f t="shared" si="15"/>
        <v>43</v>
      </c>
      <c r="S75" s="8">
        <f t="shared" si="16"/>
        <v>48.900000000000006</v>
      </c>
      <c r="T75" s="8">
        <f t="shared" si="17"/>
        <v>35.5</v>
      </c>
      <c r="U75" s="7">
        <f t="shared" si="18"/>
        <v>37.733333333333334</v>
      </c>
      <c r="V75" s="7">
        <f t="shared" si="19"/>
        <v>37.174999999999997</v>
      </c>
    </row>
    <row r="76" spans="1:22" ht="13.5" x14ac:dyDescent="0.25">
      <c r="A76" s="3">
        <f>RSI!A76</f>
        <v>45027</v>
      </c>
      <c r="B76" s="2">
        <f>RSI!B76</f>
        <v>5.5129999999999999</v>
      </c>
      <c r="C76" s="2">
        <f>RSI!I76</f>
        <v>77.957263723341896</v>
      </c>
      <c r="D76" s="2">
        <f>MACD!E76</f>
        <v>-3.6424078712036234E-3</v>
      </c>
      <c r="E76" s="2">
        <f>MACD!F76</f>
        <v>4.9527826296199553E-3</v>
      </c>
      <c r="F76" s="2">
        <f>'Moving Avg'!D76</f>
        <v>5.4176000000000002</v>
      </c>
      <c r="G76" s="2">
        <f>'Moving Avg'!F76</f>
        <v>5.3766500000000006</v>
      </c>
      <c r="H76" s="2">
        <f>'Moving Avg'!G76</f>
        <v>5.2825199999999999</v>
      </c>
      <c r="I76" s="2">
        <f>'Moving Avg'!H76</f>
        <v>0</v>
      </c>
      <c r="J76" s="5" t="str">
        <f>OBV!F76</f>
        <v>BULLISH</v>
      </c>
      <c r="K76" s="5" t="str">
        <f>OBV!G76</f>
        <v>WEAK</v>
      </c>
      <c r="L76" s="5" t="str">
        <f>OBV!H76</f>
        <v>CONFIRMED BULLISH</v>
      </c>
      <c r="M76" s="7">
        <f t="shared" si="13"/>
        <v>0</v>
      </c>
      <c r="N76" s="7">
        <f t="shared" si="10"/>
        <v>45</v>
      </c>
      <c r="O76" s="7">
        <f t="shared" si="11"/>
        <v>75</v>
      </c>
      <c r="P76" s="7">
        <f t="shared" si="12"/>
        <v>67</v>
      </c>
      <c r="Q76" s="8">
        <f t="shared" si="14"/>
        <v>37.049999999999997</v>
      </c>
      <c r="R76" s="8">
        <f t="shared" si="15"/>
        <v>52</v>
      </c>
      <c r="S76" s="8">
        <f t="shared" si="16"/>
        <v>55.650000000000006</v>
      </c>
      <c r="T76" s="8">
        <f t="shared" si="17"/>
        <v>46.75</v>
      </c>
      <c r="U76" s="7">
        <f t="shared" si="18"/>
        <v>48.233333333333327</v>
      </c>
      <c r="V76" s="7">
        <f t="shared" si="19"/>
        <v>47.862499999999997</v>
      </c>
    </row>
    <row r="77" spans="1:22" ht="13.5" x14ac:dyDescent="0.25">
      <c r="A77" s="3">
        <f>RSI!A77</f>
        <v>45028</v>
      </c>
      <c r="B77" s="2">
        <f>RSI!B77</f>
        <v>5.4960000000000004</v>
      </c>
      <c r="C77" s="2">
        <f>RSI!I77</f>
        <v>74.817924212641444</v>
      </c>
      <c r="D77" s="2">
        <f>MACD!E77</f>
        <v>-2.3144124976094638E-2</v>
      </c>
      <c r="E77" s="2">
        <f>MACD!F77</f>
        <v>-6.6659889152296311E-4</v>
      </c>
      <c r="F77" s="2">
        <f>'Moving Avg'!D77</f>
        <v>5.446600000000001</v>
      </c>
      <c r="G77" s="2">
        <f>'Moving Avg'!F77</f>
        <v>5.3821999999999992</v>
      </c>
      <c r="H77" s="2">
        <f>'Moving Avg'!G77</f>
        <v>5.283879999999999</v>
      </c>
      <c r="I77" s="2">
        <f>'Moving Avg'!H77</f>
        <v>0</v>
      </c>
      <c r="J77" s="5" t="str">
        <f>OBV!F77</f>
        <v>BULLISH</v>
      </c>
      <c r="K77" s="5" t="str">
        <f>OBV!G77</f>
        <v>WEAK</v>
      </c>
      <c r="L77" s="5" t="str">
        <f>OBV!H77</f>
        <v>CONFIRMED BULLISH</v>
      </c>
      <c r="M77" s="7">
        <f t="shared" si="13"/>
        <v>0</v>
      </c>
      <c r="N77" s="7">
        <f t="shared" si="10"/>
        <v>100</v>
      </c>
      <c r="O77" s="7">
        <f t="shared" si="11"/>
        <v>75</v>
      </c>
      <c r="P77" s="7">
        <f t="shared" si="12"/>
        <v>67</v>
      </c>
      <c r="Q77" s="8">
        <f t="shared" si="14"/>
        <v>56.3</v>
      </c>
      <c r="R77" s="8">
        <f t="shared" si="15"/>
        <v>63</v>
      </c>
      <c r="S77" s="8">
        <f t="shared" si="16"/>
        <v>63.900000000000006</v>
      </c>
      <c r="T77" s="8">
        <f t="shared" si="17"/>
        <v>60.5</v>
      </c>
      <c r="U77" s="7">
        <f t="shared" si="18"/>
        <v>61.066666666666663</v>
      </c>
      <c r="V77" s="7">
        <f t="shared" si="19"/>
        <v>60.924999999999997</v>
      </c>
    </row>
    <row r="78" spans="1:22" ht="13.5" x14ac:dyDescent="0.25">
      <c r="A78" s="3">
        <f>RSI!A78</f>
        <v>45029</v>
      </c>
      <c r="B78" s="2">
        <f>RSI!B78</f>
        <v>5.4960000000000004</v>
      </c>
      <c r="C78" s="2">
        <f>RSI!I78</f>
        <v>74.817924212641444</v>
      </c>
      <c r="D78" s="2">
        <f>MACD!E78</f>
        <v>-3.5356078548574921E-2</v>
      </c>
      <c r="E78" s="2">
        <f>MACD!F78</f>
        <v>-7.604494822933355E-3</v>
      </c>
      <c r="F78" s="2">
        <f>'Moving Avg'!D78</f>
        <v>5.4670000000000005</v>
      </c>
      <c r="G78" s="2">
        <f>'Moving Avg'!F78</f>
        <v>5.3852000000000002</v>
      </c>
      <c r="H78" s="2">
        <f>'Moving Avg'!G78</f>
        <v>5.2852399999999999</v>
      </c>
      <c r="I78" s="2">
        <f>'Moving Avg'!H78</f>
        <v>0</v>
      </c>
      <c r="J78" s="5" t="str">
        <f>OBV!F78</f>
        <v>BULLISH</v>
      </c>
      <c r="K78" s="5" t="str">
        <f>OBV!G78</f>
        <v>WEAK</v>
      </c>
      <c r="L78" s="5" t="str">
        <f>OBV!H78</f>
        <v>CONFIRMED BULLISH</v>
      </c>
      <c r="M78" s="7">
        <f t="shared" si="13"/>
        <v>0</v>
      </c>
      <c r="N78" s="7">
        <f t="shared" si="10"/>
        <v>100</v>
      </c>
      <c r="O78" s="7">
        <f t="shared" si="11"/>
        <v>75</v>
      </c>
      <c r="P78" s="7">
        <f t="shared" si="12"/>
        <v>67</v>
      </c>
      <c r="Q78" s="8">
        <f t="shared" si="14"/>
        <v>56.3</v>
      </c>
      <c r="R78" s="8">
        <f t="shared" si="15"/>
        <v>63</v>
      </c>
      <c r="S78" s="8">
        <f t="shared" si="16"/>
        <v>63.900000000000006</v>
      </c>
      <c r="T78" s="8">
        <f t="shared" si="17"/>
        <v>60.5</v>
      </c>
      <c r="U78" s="7">
        <f t="shared" si="18"/>
        <v>61.066666666666663</v>
      </c>
      <c r="V78" s="7">
        <f t="shared" si="19"/>
        <v>60.924999999999997</v>
      </c>
    </row>
    <row r="79" spans="1:22" ht="13.5" x14ac:dyDescent="0.25">
      <c r="A79" s="3">
        <f>RSI!A79</f>
        <v>45030</v>
      </c>
      <c r="B79" s="2">
        <f>RSI!B79</f>
        <v>5.47</v>
      </c>
      <c r="C79" s="2">
        <f>RSI!I79</f>
        <v>69.830024782014135</v>
      </c>
      <c r="D79" s="2">
        <f>MACD!E79</f>
        <v>-3.9404121050676366E-2</v>
      </c>
      <c r="E79" s="2">
        <f>MACD!F79</f>
        <v>-1.3964420068481958E-2</v>
      </c>
      <c r="F79" s="2">
        <f>'Moving Avg'!D79</f>
        <v>5.4822000000000006</v>
      </c>
      <c r="G79" s="2">
        <f>'Moving Avg'!F79</f>
        <v>5.3868999999999998</v>
      </c>
      <c r="H79" s="2">
        <f>'Moving Avg'!G79</f>
        <v>5.2860800000000019</v>
      </c>
      <c r="I79" s="2">
        <f>'Moving Avg'!H79</f>
        <v>0</v>
      </c>
      <c r="J79" s="5" t="str">
        <f>OBV!F79</f>
        <v>BEARISH</v>
      </c>
      <c r="K79" s="5" t="str">
        <f>OBV!G79</f>
        <v>NEUTRAL</v>
      </c>
      <c r="L79" s="5" t="str">
        <f>OBV!H79</f>
        <v>BEARISH DIVERGENCE</v>
      </c>
      <c r="M79" s="7">
        <f t="shared" si="13"/>
        <v>50</v>
      </c>
      <c r="N79" s="7">
        <f t="shared" si="10"/>
        <v>100</v>
      </c>
      <c r="O79" s="7">
        <f t="shared" si="11"/>
        <v>75</v>
      </c>
      <c r="P79" s="7">
        <f t="shared" si="12"/>
        <v>16.5</v>
      </c>
      <c r="Q79" s="8">
        <f t="shared" si="14"/>
        <v>66.224999999999994</v>
      </c>
      <c r="R79" s="8">
        <f t="shared" si="15"/>
        <v>60.375</v>
      </c>
      <c r="S79" s="8">
        <f t="shared" si="16"/>
        <v>48.674999999999997</v>
      </c>
      <c r="T79" s="8">
        <f t="shared" si="17"/>
        <v>60.375</v>
      </c>
      <c r="U79" s="7">
        <f t="shared" si="18"/>
        <v>58.42499999999999</v>
      </c>
      <c r="V79" s="7">
        <f t="shared" si="19"/>
        <v>58.912499999999994</v>
      </c>
    </row>
    <row r="80" spans="1:22" ht="13.5" x14ac:dyDescent="0.25">
      <c r="A80" s="3">
        <f>RSI!A80</f>
        <v>45033</v>
      </c>
      <c r="B80" s="2">
        <f>RSI!B80</f>
        <v>5.47</v>
      </c>
      <c r="C80" s="2">
        <f>RSI!I80</f>
        <v>69.830024782014135</v>
      </c>
      <c r="D80" s="2">
        <f>MACD!E80</f>
        <v>-4.34827398651354E-2</v>
      </c>
      <c r="E80" s="2">
        <f>MACD!F80</f>
        <v>-1.9868084027812649E-2</v>
      </c>
      <c r="F80" s="2">
        <f>'Moving Avg'!D80</f>
        <v>5.4889999999999999</v>
      </c>
      <c r="G80" s="2">
        <f>'Moving Avg'!F80</f>
        <v>5.3906999999999998</v>
      </c>
      <c r="H80" s="2">
        <f>'Moving Avg'!G80</f>
        <v>5.2876000000000012</v>
      </c>
      <c r="I80" s="2">
        <f>'Moving Avg'!H80</f>
        <v>0</v>
      </c>
      <c r="J80" s="5" t="str">
        <f>OBV!F80</f>
        <v>BEARISH</v>
      </c>
      <c r="K80" s="5" t="str">
        <f>OBV!G80</f>
        <v>STRONG</v>
      </c>
      <c r="L80" s="5" t="str">
        <f>OBV!H80</f>
        <v>BEARISH DIVERGENCE</v>
      </c>
      <c r="M80" s="7">
        <f t="shared" si="13"/>
        <v>50</v>
      </c>
      <c r="N80" s="7">
        <f t="shared" si="10"/>
        <v>100</v>
      </c>
      <c r="O80" s="7">
        <f t="shared" si="11"/>
        <v>75</v>
      </c>
      <c r="P80" s="7">
        <f t="shared" si="12"/>
        <v>33</v>
      </c>
      <c r="Q80" s="8">
        <f t="shared" si="14"/>
        <v>68.7</v>
      </c>
      <c r="R80" s="8">
        <f t="shared" si="15"/>
        <v>64.5</v>
      </c>
      <c r="S80" s="8">
        <f t="shared" si="16"/>
        <v>56.1</v>
      </c>
      <c r="T80" s="8">
        <f t="shared" si="17"/>
        <v>64.5</v>
      </c>
      <c r="U80" s="7">
        <f t="shared" si="18"/>
        <v>63.099999999999994</v>
      </c>
      <c r="V80" s="7">
        <f t="shared" si="19"/>
        <v>63.449999999999996</v>
      </c>
    </row>
    <row r="81" spans="1:22" ht="13.5" x14ac:dyDescent="0.25">
      <c r="A81" s="3">
        <f>RSI!A81</f>
        <v>45034</v>
      </c>
      <c r="B81" s="2">
        <f>RSI!B81</f>
        <v>5.47</v>
      </c>
      <c r="C81" s="2">
        <f>RSI!I81</f>
        <v>69.830024782014135</v>
      </c>
      <c r="D81" s="2">
        <f>MACD!E81</f>
        <v>-4.7538834493384918E-2</v>
      </c>
      <c r="E81" s="2">
        <f>MACD!F81</f>
        <v>-2.5402234120927104E-2</v>
      </c>
      <c r="F81" s="2">
        <f>'Moving Avg'!D81</f>
        <v>5.4803999999999995</v>
      </c>
      <c r="G81" s="2">
        <f>'Moving Avg'!F81</f>
        <v>5.394499999999999</v>
      </c>
      <c r="H81" s="2">
        <f>'Moving Avg'!G81</f>
        <v>5.2893000000000017</v>
      </c>
      <c r="I81" s="2">
        <f>'Moving Avg'!H81</f>
        <v>0</v>
      </c>
      <c r="J81" s="5" t="str">
        <f>OBV!F81</f>
        <v>BEARISH</v>
      </c>
      <c r="K81" s="5" t="str">
        <f>OBV!G81</f>
        <v>STRONG</v>
      </c>
      <c r="L81" s="5" t="str">
        <f>OBV!H81</f>
        <v>CONFIRMED BEARISH</v>
      </c>
      <c r="M81" s="7">
        <f t="shared" si="13"/>
        <v>50</v>
      </c>
      <c r="N81" s="7">
        <f t="shared" si="10"/>
        <v>100</v>
      </c>
      <c r="O81" s="7">
        <f t="shared" si="11"/>
        <v>75</v>
      </c>
      <c r="P81" s="7">
        <f t="shared" si="12"/>
        <v>33</v>
      </c>
      <c r="Q81" s="8">
        <f t="shared" si="14"/>
        <v>68.7</v>
      </c>
      <c r="R81" s="8">
        <f t="shared" si="15"/>
        <v>64.5</v>
      </c>
      <c r="S81" s="8">
        <f t="shared" si="16"/>
        <v>56.1</v>
      </c>
      <c r="T81" s="8">
        <f t="shared" si="17"/>
        <v>64.5</v>
      </c>
      <c r="U81" s="7">
        <f t="shared" si="18"/>
        <v>63.099999999999994</v>
      </c>
      <c r="V81" s="7">
        <f t="shared" si="19"/>
        <v>63.449999999999996</v>
      </c>
    </row>
    <row r="82" spans="1:22" ht="13.5" x14ac:dyDescent="0.25">
      <c r="A82" s="3">
        <f>RSI!A82</f>
        <v>45035</v>
      </c>
      <c r="B82" s="2">
        <f>RSI!B82</f>
        <v>5.47</v>
      </c>
      <c r="C82" s="2">
        <f>RSI!I82</f>
        <v>69.830024782014135</v>
      </c>
      <c r="D82" s="2">
        <f>MACD!E82</f>
        <v>-5.1531058666590468E-2</v>
      </c>
      <c r="E82" s="2">
        <f>MACD!F82</f>
        <v>-3.0627999030059777E-2</v>
      </c>
      <c r="F82" s="2">
        <f>'Moving Avg'!D82</f>
        <v>5.4751999999999992</v>
      </c>
      <c r="G82" s="2">
        <f>'Moving Avg'!F82</f>
        <v>5.3987499999999997</v>
      </c>
      <c r="H82" s="2">
        <f>'Moving Avg'!G82</f>
        <v>5.2927000000000017</v>
      </c>
      <c r="I82" s="2">
        <f>'Moving Avg'!H82</f>
        <v>0</v>
      </c>
      <c r="J82" s="5" t="str">
        <f>OBV!F82</f>
        <v>BEARISH</v>
      </c>
      <c r="K82" s="5" t="str">
        <f>OBV!G82</f>
        <v>STRONG</v>
      </c>
      <c r="L82" s="5" t="str">
        <f>OBV!H82</f>
        <v>CONFIRMED BEARISH</v>
      </c>
      <c r="M82" s="7">
        <f t="shared" si="13"/>
        <v>50</v>
      </c>
      <c r="N82" s="7">
        <f t="shared" si="10"/>
        <v>100</v>
      </c>
      <c r="O82" s="7">
        <f t="shared" si="11"/>
        <v>75</v>
      </c>
      <c r="P82" s="7">
        <f t="shared" si="12"/>
        <v>33</v>
      </c>
      <c r="Q82" s="8">
        <f t="shared" si="14"/>
        <v>68.7</v>
      </c>
      <c r="R82" s="8">
        <f t="shared" si="15"/>
        <v>64.5</v>
      </c>
      <c r="S82" s="8">
        <f t="shared" si="16"/>
        <v>56.1</v>
      </c>
      <c r="T82" s="8">
        <f t="shared" si="17"/>
        <v>64.5</v>
      </c>
      <c r="U82" s="7">
        <f t="shared" si="18"/>
        <v>63.099999999999994</v>
      </c>
      <c r="V82" s="7">
        <f t="shared" si="19"/>
        <v>63.449999999999996</v>
      </c>
    </row>
    <row r="83" spans="1:22" ht="13.5" x14ac:dyDescent="0.25">
      <c r="A83" s="3">
        <f>RSI!A83</f>
        <v>45036</v>
      </c>
      <c r="B83" s="2">
        <f>RSI!B83</f>
        <v>5.47</v>
      </c>
      <c r="C83" s="2">
        <f>RSI!I83</f>
        <v>69.830024782014135</v>
      </c>
      <c r="D83" s="2">
        <f>MACD!E83</f>
        <v>-4.8812361837431872E-2</v>
      </c>
      <c r="E83" s="2">
        <f>MACD!F83</f>
        <v>-3.4264871591534199E-2</v>
      </c>
      <c r="F83" s="2">
        <f>'Moving Avg'!D83</f>
        <v>5.47</v>
      </c>
      <c r="G83" s="2">
        <f>'Moving Avg'!F83</f>
        <v>5.4029999999999996</v>
      </c>
      <c r="H83" s="2">
        <f>'Moving Avg'!G83</f>
        <v>5.2984800000000014</v>
      </c>
      <c r="I83" s="2">
        <f>'Moving Avg'!H83</f>
        <v>0</v>
      </c>
      <c r="J83" s="5" t="str">
        <f>OBV!F83</f>
        <v>BEARISH</v>
      </c>
      <c r="K83" s="5" t="str">
        <f>OBV!G83</f>
        <v>STRONG</v>
      </c>
      <c r="L83" s="5" t="str">
        <f>OBV!H83</f>
        <v>CONFIRMED BEARISH</v>
      </c>
      <c r="M83" s="7">
        <f t="shared" si="13"/>
        <v>50</v>
      </c>
      <c r="N83" s="7">
        <f t="shared" si="10"/>
        <v>45</v>
      </c>
      <c r="O83" s="7">
        <f t="shared" si="11"/>
        <v>75</v>
      </c>
      <c r="P83" s="7">
        <f t="shared" si="12"/>
        <v>33</v>
      </c>
      <c r="Q83" s="8">
        <f t="shared" si="14"/>
        <v>49.45</v>
      </c>
      <c r="R83" s="8">
        <f t="shared" si="15"/>
        <v>53.5</v>
      </c>
      <c r="S83" s="8">
        <f t="shared" si="16"/>
        <v>47.85</v>
      </c>
      <c r="T83" s="8">
        <f t="shared" si="17"/>
        <v>50.75</v>
      </c>
      <c r="U83" s="7">
        <f t="shared" si="18"/>
        <v>50.266666666666673</v>
      </c>
      <c r="V83" s="7">
        <f t="shared" si="19"/>
        <v>50.387500000000003</v>
      </c>
    </row>
    <row r="84" spans="1:22" ht="13.5" x14ac:dyDescent="0.25">
      <c r="A84" s="3">
        <f>RSI!A84</f>
        <v>45040</v>
      </c>
      <c r="B84" s="2">
        <f>RSI!B84</f>
        <v>5.4619999999999997</v>
      </c>
      <c r="C84" s="2">
        <f>RSI!I84</f>
        <v>67.815011427520361</v>
      </c>
      <c r="D84" s="2">
        <f>MACD!E84</f>
        <v>-4.6399566750912946E-2</v>
      </c>
      <c r="E84" s="2">
        <f>MACD!F84</f>
        <v>-3.6691810623409954E-2</v>
      </c>
      <c r="F84" s="2">
        <f>'Moving Avg'!D84</f>
        <v>5.4683999999999999</v>
      </c>
      <c r="G84" s="2">
        <f>'Moving Avg'!F84</f>
        <v>5.4085499999999991</v>
      </c>
      <c r="H84" s="2">
        <f>'Moving Avg'!G84</f>
        <v>5.3034200000000009</v>
      </c>
      <c r="I84" s="2">
        <f>'Moving Avg'!H84</f>
        <v>0</v>
      </c>
      <c r="J84" s="5" t="str">
        <f>OBV!F84</f>
        <v>BEARISH</v>
      </c>
      <c r="K84" s="5" t="str">
        <f>OBV!G84</f>
        <v>STRONG</v>
      </c>
      <c r="L84" s="5" t="str">
        <f>OBV!H84</f>
        <v>CONFIRMED BEARISH</v>
      </c>
      <c r="M84" s="7">
        <f t="shared" si="13"/>
        <v>50</v>
      </c>
      <c r="N84" s="7">
        <f t="shared" si="10"/>
        <v>45</v>
      </c>
      <c r="O84" s="7">
        <f t="shared" si="11"/>
        <v>75</v>
      </c>
      <c r="P84" s="7">
        <f t="shared" si="12"/>
        <v>33</v>
      </c>
      <c r="Q84" s="8">
        <f t="shared" si="14"/>
        <v>49.45</v>
      </c>
      <c r="R84" s="8">
        <f t="shared" si="15"/>
        <v>53.5</v>
      </c>
      <c r="S84" s="8">
        <f t="shared" si="16"/>
        <v>47.85</v>
      </c>
      <c r="T84" s="8">
        <f t="shared" si="17"/>
        <v>50.75</v>
      </c>
      <c r="U84" s="7">
        <f t="shared" si="18"/>
        <v>50.266666666666673</v>
      </c>
      <c r="V84" s="7">
        <f t="shared" si="19"/>
        <v>50.387500000000003</v>
      </c>
    </row>
    <row r="85" spans="1:22" ht="13.5" x14ac:dyDescent="0.25">
      <c r="A85" s="3">
        <f>RSI!A85</f>
        <v>45041</v>
      </c>
      <c r="B85" s="2">
        <f>RSI!B85</f>
        <v>5.4619999999999997</v>
      </c>
      <c r="C85" s="2">
        <f>RSI!I85</f>
        <v>67.815011427520361</v>
      </c>
      <c r="D85" s="2">
        <f>MACD!E85</f>
        <v>-3.8293820552063096E-2</v>
      </c>
      <c r="E85" s="2">
        <f>MACD!F85</f>
        <v>-3.7012212609140588E-2</v>
      </c>
      <c r="F85" s="2">
        <f>'Moving Avg'!D85</f>
        <v>5.4668000000000001</v>
      </c>
      <c r="G85" s="2">
        <f>'Moving Avg'!F85</f>
        <v>5.4153499999999992</v>
      </c>
      <c r="H85" s="2">
        <f>'Moving Avg'!G85</f>
        <v>5.3085199999999997</v>
      </c>
      <c r="I85" s="2">
        <f>'Moving Avg'!H85</f>
        <v>0</v>
      </c>
      <c r="J85" s="5" t="str">
        <f>OBV!F85</f>
        <v>BEARISH</v>
      </c>
      <c r="K85" s="5" t="str">
        <f>OBV!G85</f>
        <v>STRONG</v>
      </c>
      <c r="L85" s="5" t="str">
        <f>OBV!H85</f>
        <v>CONFIRMED BEARISH</v>
      </c>
      <c r="M85" s="7">
        <f t="shared" si="13"/>
        <v>50</v>
      </c>
      <c r="N85" s="7">
        <f t="shared" si="10"/>
        <v>45</v>
      </c>
      <c r="O85" s="7">
        <f t="shared" si="11"/>
        <v>75</v>
      </c>
      <c r="P85" s="7">
        <f t="shared" si="12"/>
        <v>33</v>
      </c>
      <c r="Q85" s="8">
        <f t="shared" si="14"/>
        <v>49.45</v>
      </c>
      <c r="R85" s="8">
        <f t="shared" si="15"/>
        <v>53.5</v>
      </c>
      <c r="S85" s="8">
        <f t="shared" si="16"/>
        <v>47.85</v>
      </c>
      <c r="T85" s="8">
        <f t="shared" si="17"/>
        <v>50.75</v>
      </c>
      <c r="U85" s="7">
        <f t="shared" si="18"/>
        <v>50.266666666666673</v>
      </c>
      <c r="V85" s="7">
        <f t="shared" si="19"/>
        <v>50.387500000000003</v>
      </c>
    </row>
    <row r="86" spans="1:22" ht="13.5" x14ac:dyDescent="0.25">
      <c r="A86" s="3">
        <f>RSI!A86</f>
        <v>45042</v>
      </c>
      <c r="B86" s="2">
        <f>RSI!B86</f>
        <v>5.4530000000000003</v>
      </c>
      <c r="C86" s="2">
        <f>RSI!I86</f>
        <v>65.354457784241418</v>
      </c>
      <c r="D86" s="2">
        <f>MACD!E86</f>
        <v>-1.9290243666330475E-2</v>
      </c>
      <c r="E86" s="2">
        <f>MACD!F86</f>
        <v>-3.3467818820578567E-2</v>
      </c>
      <c r="F86" s="2">
        <f>'Moving Avg'!D86</f>
        <v>5.4634</v>
      </c>
      <c r="G86" s="2">
        <f>'Moving Avg'!F86</f>
        <v>5.423</v>
      </c>
      <c r="H86" s="2">
        <f>'Moving Avg'!G86</f>
        <v>5.3139599999999998</v>
      </c>
      <c r="I86" s="2">
        <f>'Moving Avg'!H86</f>
        <v>0</v>
      </c>
      <c r="J86" s="5" t="str">
        <f>OBV!F86</f>
        <v>BEARISH</v>
      </c>
      <c r="K86" s="5" t="str">
        <f>OBV!G86</f>
        <v>STRONG</v>
      </c>
      <c r="L86" s="5" t="str">
        <f>OBV!H86</f>
        <v>CONFIRMED BEARISH</v>
      </c>
      <c r="M86" s="7">
        <f t="shared" si="13"/>
        <v>50</v>
      </c>
      <c r="N86" s="7">
        <f t="shared" si="10"/>
        <v>0</v>
      </c>
      <c r="O86" s="7">
        <f t="shared" si="11"/>
        <v>75</v>
      </c>
      <c r="P86" s="7">
        <f t="shared" si="12"/>
        <v>33</v>
      </c>
      <c r="Q86" s="8">
        <f t="shared" si="14"/>
        <v>33.700000000000003</v>
      </c>
      <c r="R86" s="8">
        <f t="shared" si="15"/>
        <v>44.5</v>
      </c>
      <c r="S86" s="8">
        <f t="shared" si="16"/>
        <v>41.1</v>
      </c>
      <c r="T86" s="8">
        <f t="shared" si="17"/>
        <v>39.5</v>
      </c>
      <c r="U86" s="7">
        <f t="shared" si="18"/>
        <v>39.766666666666673</v>
      </c>
      <c r="V86" s="7">
        <f t="shared" si="19"/>
        <v>39.700000000000003</v>
      </c>
    </row>
    <row r="87" spans="1:22" ht="13.5" x14ac:dyDescent="0.25">
      <c r="A87" s="3">
        <f>RSI!A87</f>
        <v>45043</v>
      </c>
      <c r="B87" s="2">
        <f>RSI!B87</f>
        <v>5.4530000000000003</v>
      </c>
      <c r="C87" s="2">
        <f>RSI!I87</f>
        <v>65.354457784241404</v>
      </c>
      <c r="D87" s="2">
        <f>MACD!E87</f>
        <v>-6.1131934719096392E-3</v>
      </c>
      <c r="E87" s="2">
        <f>MACD!F87</f>
        <v>-2.7996893750844784E-2</v>
      </c>
      <c r="F87" s="2">
        <f>'Moving Avg'!D87</f>
        <v>5.4599999999999991</v>
      </c>
      <c r="G87" s="2">
        <f>'Moving Avg'!F87</f>
        <v>5.4315000000000007</v>
      </c>
      <c r="H87" s="2">
        <f>'Moving Avg'!G87</f>
        <v>5.3195599999999992</v>
      </c>
      <c r="I87" s="2">
        <f>'Moving Avg'!H87</f>
        <v>0</v>
      </c>
      <c r="J87" s="5" t="str">
        <f>OBV!F87</f>
        <v>BEARISH</v>
      </c>
      <c r="K87" s="5" t="str">
        <f>OBV!G87</f>
        <v>STRONG</v>
      </c>
      <c r="L87" s="5" t="str">
        <f>OBV!H87</f>
        <v>CONFIRMED BEARISH</v>
      </c>
      <c r="M87" s="7">
        <f t="shared" si="13"/>
        <v>50</v>
      </c>
      <c r="N87" s="7">
        <f t="shared" si="10"/>
        <v>0</v>
      </c>
      <c r="O87" s="7">
        <f t="shared" si="11"/>
        <v>75</v>
      </c>
      <c r="P87" s="7">
        <f t="shared" si="12"/>
        <v>33</v>
      </c>
      <c r="Q87" s="8">
        <f t="shared" si="14"/>
        <v>33.700000000000003</v>
      </c>
      <c r="R87" s="8">
        <f t="shared" si="15"/>
        <v>44.5</v>
      </c>
      <c r="S87" s="8">
        <f t="shared" si="16"/>
        <v>41.1</v>
      </c>
      <c r="T87" s="8">
        <f t="shared" si="17"/>
        <v>39.5</v>
      </c>
      <c r="U87" s="7">
        <f t="shared" si="18"/>
        <v>39.766666666666673</v>
      </c>
      <c r="V87" s="7">
        <f t="shared" si="19"/>
        <v>39.700000000000003</v>
      </c>
    </row>
    <row r="88" spans="1:22" ht="13.5" x14ac:dyDescent="0.25">
      <c r="A88" s="3">
        <f>RSI!A88</f>
        <v>45044</v>
      </c>
      <c r="B88" s="2">
        <f>RSI!B88</f>
        <v>5.4359999999999999</v>
      </c>
      <c r="C88" s="2">
        <f>RSI!I88</f>
        <v>60.542281174843268</v>
      </c>
      <c r="D88" s="2">
        <f>MACD!E88</f>
        <v>6.0296600248239685E-3</v>
      </c>
      <c r="E88" s="2">
        <f>MACD!F88</f>
        <v>-2.1191582995711035E-2</v>
      </c>
      <c r="F88" s="2">
        <f>'Moving Avg'!D88</f>
        <v>5.4531999999999998</v>
      </c>
      <c r="G88" s="2">
        <f>'Moving Avg'!F88</f>
        <v>5.437450000000001</v>
      </c>
      <c r="H88" s="2">
        <f>'Moving Avg'!G88</f>
        <v>5.3250000000000002</v>
      </c>
      <c r="I88" s="2">
        <f>'Moving Avg'!H88</f>
        <v>0</v>
      </c>
      <c r="J88" s="5" t="str">
        <f>OBV!F88</f>
        <v>BEARISH</v>
      </c>
      <c r="K88" s="5" t="str">
        <f>OBV!G88</f>
        <v>STRONG</v>
      </c>
      <c r="L88" s="5" t="str">
        <f>OBV!H88</f>
        <v>CONFIRMED BEARISH</v>
      </c>
      <c r="M88" s="7">
        <f t="shared" si="13"/>
        <v>50</v>
      </c>
      <c r="N88" s="7">
        <f t="shared" si="10"/>
        <v>0</v>
      </c>
      <c r="O88" s="7">
        <f t="shared" si="11"/>
        <v>75</v>
      </c>
      <c r="P88" s="7">
        <f t="shared" si="12"/>
        <v>33</v>
      </c>
      <c r="Q88" s="8">
        <f t="shared" si="14"/>
        <v>33.700000000000003</v>
      </c>
      <c r="R88" s="8">
        <f t="shared" si="15"/>
        <v>44.5</v>
      </c>
      <c r="S88" s="8">
        <f t="shared" si="16"/>
        <v>41.1</v>
      </c>
      <c r="T88" s="8">
        <f t="shared" si="17"/>
        <v>39.5</v>
      </c>
      <c r="U88" s="7">
        <f t="shared" si="18"/>
        <v>39.766666666666673</v>
      </c>
      <c r="V88" s="7">
        <f t="shared" si="19"/>
        <v>39.700000000000003</v>
      </c>
    </row>
    <row r="89" spans="1:22" ht="13.5" x14ac:dyDescent="0.25">
      <c r="A89" s="3">
        <f>RSI!A89</f>
        <v>45048</v>
      </c>
      <c r="B89" s="2">
        <f>RSI!B89</f>
        <v>5.4359999999999999</v>
      </c>
      <c r="C89" s="2">
        <f>RSI!I89</f>
        <v>60.542281174843268</v>
      </c>
      <c r="D89" s="2">
        <f>MACD!E89</f>
        <v>1.2158338291212267E-2</v>
      </c>
      <c r="E89" s="2">
        <f>MACD!F89</f>
        <v>-1.4521598738326374E-2</v>
      </c>
      <c r="F89" s="2">
        <f>'Moving Avg'!D89</f>
        <v>5.4479999999999995</v>
      </c>
      <c r="G89" s="2">
        <f>'Moving Avg'!F89</f>
        <v>5.4417000000000018</v>
      </c>
      <c r="H89" s="2">
        <f>'Moving Avg'!G89</f>
        <v>5.3300999999999998</v>
      </c>
      <c r="I89" s="2">
        <f>'Moving Avg'!H89</f>
        <v>0</v>
      </c>
      <c r="J89" s="5" t="str">
        <f>OBV!F89</f>
        <v>BEARISH</v>
      </c>
      <c r="K89" s="5" t="str">
        <f>OBV!G89</f>
        <v>STRONG</v>
      </c>
      <c r="L89" s="5" t="str">
        <f>OBV!H89</f>
        <v>CONFIRMED BEARISH</v>
      </c>
      <c r="M89" s="7">
        <f t="shared" si="13"/>
        <v>50</v>
      </c>
      <c r="N89" s="7">
        <f t="shared" si="10"/>
        <v>0</v>
      </c>
      <c r="O89" s="7">
        <f t="shared" si="11"/>
        <v>75</v>
      </c>
      <c r="P89" s="7">
        <f t="shared" si="12"/>
        <v>33</v>
      </c>
      <c r="Q89" s="8">
        <f t="shared" si="14"/>
        <v>33.700000000000003</v>
      </c>
      <c r="R89" s="8">
        <f t="shared" si="15"/>
        <v>44.5</v>
      </c>
      <c r="S89" s="8">
        <f t="shared" si="16"/>
        <v>41.1</v>
      </c>
      <c r="T89" s="8">
        <f t="shared" si="17"/>
        <v>39.5</v>
      </c>
      <c r="U89" s="7">
        <f t="shared" si="18"/>
        <v>39.766666666666673</v>
      </c>
      <c r="V89" s="7">
        <f t="shared" si="19"/>
        <v>39.700000000000003</v>
      </c>
    </row>
    <row r="90" spans="1:22" ht="13.5" x14ac:dyDescent="0.25">
      <c r="A90" s="3">
        <f>RSI!A90</f>
        <v>45049</v>
      </c>
      <c r="B90" s="2">
        <f>RSI!B90</f>
        <v>5.4189999999999996</v>
      </c>
      <c r="C90" s="2">
        <f>RSI!I90</f>
        <v>55.7789978358757</v>
      </c>
      <c r="D90" s="2">
        <f>MACD!E90</f>
        <v>1.8468176382642199E-2</v>
      </c>
      <c r="E90" s="2">
        <f>MACD!F90</f>
        <v>-7.9236437141326603E-3</v>
      </c>
      <c r="F90" s="2">
        <f>'Moving Avg'!D90</f>
        <v>5.4394</v>
      </c>
      <c r="G90" s="2">
        <f>'Moving Avg'!F90</f>
        <v>5.4451000000000018</v>
      </c>
      <c r="H90" s="2">
        <f>'Moving Avg'!G90</f>
        <v>5.3352000000000013</v>
      </c>
      <c r="I90" s="2">
        <f>'Moving Avg'!H90</f>
        <v>0</v>
      </c>
      <c r="J90" s="5" t="str">
        <f>OBV!F90</f>
        <v>BEARISH</v>
      </c>
      <c r="K90" s="5" t="str">
        <f>OBV!G90</f>
        <v>STRONG</v>
      </c>
      <c r="L90" s="5" t="str">
        <f>OBV!H90</f>
        <v>CONFIRMED BEARISH</v>
      </c>
      <c r="M90" s="7">
        <f t="shared" si="13"/>
        <v>50</v>
      </c>
      <c r="N90" s="7">
        <f t="shared" si="10"/>
        <v>0</v>
      </c>
      <c r="O90" s="7">
        <f t="shared" si="11"/>
        <v>75</v>
      </c>
      <c r="P90" s="7">
        <f t="shared" si="12"/>
        <v>33</v>
      </c>
      <c r="Q90" s="8">
        <f t="shared" si="14"/>
        <v>33.700000000000003</v>
      </c>
      <c r="R90" s="8">
        <f t="shared" si="15"/>
        <v>44.5</v>
      </c>
      <c r="S90" s="8">
        <f t="shared" si="16"/>
        <v>41.1</v>
      </c>
      <c r="T90" s="8">
        <f t="shared" si="17"/>
        <v>39.5</v>
      </c>
      <c r="U90" s="7">
        <f t="shared" si="18"/>
        <v>39.766666666666673</v>
      </c>
      <c r="V90" s="7">
        <f t="shared" si="19"/>
        <v>39.700000000000003</v>
      </c>
    </row>
    <row r="91" spans="1:22" ht="13.5" x14ac:dyDescent="0.25">
      <c r="A91" s="3">
        <f>RSI!A91</f>
        <v>45050</v>
      </c>
      <c r="B91" s="2">
        <f>RSI!B91</f>
        <v>5.5209999999999999</v>
      </c>
      <c r="C91" s="2">
        <f>RSI!I91</f>
        <v>70.683004343971831</v>
      </c>
      <c r="D91" s="2">
        <f>MACD!E91</f>
        <v>1.6226959202052527E-2</v>
      </c>
      <c r="E91" s="2">
        <f>MACD!F91</f>
        <v>-3.0935231308956233E-3</v>
      </c>
      <c r="F91" s="2">
        <f>'Moving Avg'!D91</f>
        <v>5.4530000000000003</v>
      </c>
      <c r="G91" s="2">
        <f>'Moving Avg'!F91</f>
        <v>5.4536000000000016</v>
      </c>
      <c r="H91" s="2">
        <f>'Moving Avg'!G91</f>
        <v>5.3423400000000019</v>
      </c>
      <c r="I91" s="2">
        <f>'Moving Avg'!H91</f>
        <v>0</v>
      </c>
      <c r="J91" s="5" t="str">
        <f>OBV!F91</f>
        <v>BEARISH</v>
      </c>
      <c r="K91" s="5" t="str">
        <f>OBV!G91</f>
        <v>STRONG</v>
      </c>
      <c r="L91" s="5" t="str">
        <f>OBV!H91</f>
        <v>BEARISH DIVERGENCE</v>
      </c>
      <c r="M91" s="7">
        <f t="shared" si="13"/>
        <v>0</v>
      </c>
      <c r="N91" s="7">
        <f t="shared" si="10"/>
        <v>0</v>
      </c>
      <c r="O91" s="7">
        <f t="shared" si="11"/>
        <v>75</v>
      </c>
      <c r="P91" s="7">
        <f t="shared" si="12"/>
        <v>33</v>
      </c>
      <c r="Q91" s="8">
        <f t="shared" si="14"/>
        <v>16.2</v>
      </c>
      <c r="R91" s="8">
        <f t="shared" si="15"/>
        <v>34.5</v>
      </c>
      <c r="S91" s="8">
        <f t="shared" si="16"/>
        <v>33.6</v>
      </c>
      <c r="T91" s="8">
        <f t="shared" si="17"/>
        <v>27</v>
      </c>
      <c r="U91" s="7">
        <f t="shared" si="18"/>
        <v>28.100000000000005</v>
      </c>
      <c r="V91" s="7">
        <f t="shared" si="19"/>
        <v>27.825000000000003</v>
      </c>
    </row>
    <row r="92" spans="1:22" ht="13.5" x14ac:dyDescent="0.25">
      <c r="A92" s="3">
        <f>RSI!A92</f>
        <v>45051</v>
      </c>
      <c r="B92" s="2">
        <f>RSI!B92</f>
        <v>5.5209999999999999</v>
      </c>
      <c r="C92" s="2">
        <f>RSI!I92</f>
        <v>70.683004343971831</v>
      </c>
      <c r="D92" s="2">
        <f>MACD!E92</f>
        <v>1.3704900622364846E-2</v>
      </c>
      <c r="E92" s="2">
        <f>MACD!F92</f>
        <v>2.6616161975647054E-4</v>
      </c>
      <c r="F92" s="2">
        <f>'Moving Avg'!D92</f>
        <v>5.4666000000000006</v>
      </c>
      <c r="G92" s="2">
        <f>'Moving Avg'!F92</f>
        <v>5.4621000000000004</v>
      </c>
      <c r="H92" s="2">
        <f>'Moving Avg'!G92</f>
        <v>5.3494800000000025</v>
      </c>
      <c r="I92" s="2">
        <f>'Moving Avg'!H92</f>
        <v>0</v>
      </c>
      <c r="J92" s="5" t="str">
        <f>OBV!F92</f>
        <v>BEARISH</v>
      </c>
      <c r="K92" s="5" t="str">
        <f>OBV!G92</f>
        <v>STRONG</v>
      </c>
      <c r="L92" s="5" t="str">
        <f>OBV!H92</f>
        <v>BEARISH DIVERGENCE</v>
      </c>
      <c r="M92" s="7">
        <f t="shared" si="13"/>
        <v>0</v>
      </c>
      <c r="N92" s="7">
        <f t="shared" si="10"/>
        <v>0</v>
      </c>
      <c r="O92" s="7">
        <f t="shared" si="11"/>
        <v>75</v>
      </c>
      <c r="P92" s="7">
        <f t="shared" si="12"/>
        <v>33</v>
      </c>
      <c r="Q92" s="8">
        <f t="shared" si="14"/>
        <v>16.2</v>
      </c>
      <c r="R92" s="8">
        <f t="shared" si="15"/>
        <v>34.5</v>
      </c>
      <c r="S92" s="8">
        <f t="shared" si="16"/>
        <v>33.6</v>
      </c>
      <c r="T92" s="8">
        <f t="shared" si="17"/>
        <v>27</v>
      </c>
      <c r="U92" s="7">
        <f t="shared" si="18"/>
        <v>28.100000000000005</v>
      </c>
      <c r="V92" s="7">
        <f t="shared" si="19"/>
        <v>27.825000000000003</v>
      </c>
    </row>
    <row r="93" spans="1:22" ht="13.5" x14ac:dyDescent="0.25">
      <c r="A93" s="3">
        <f>RSI!A93</f>
        <v>45054</v>
      </c>
      <c r="B93" s="2">
        <f>RSI!B93</f>
        <v>5.5209999999999999</v>
      </c>
      <c r="C93" s="2">
        <f>RSI!I93</f>
        <v>70.683004343971831</v>
      </c>
      <c r="D93" s="2">
        <f>MACD!E93</f>
        <v>1.0991551015801626E-2</v>
      </c>
      <c r="E93" s="2">
        <f>MACD!F93</f>
        <v>2.4112394989655016E-3</v>
      </c>
      <c r="F93" s="2">
        <f>'Moving Avg'!D93</f>
        <v>5.4836000000000009</v>
      </c>
      <c r="G93" s="2">
        <f>'Moving Avg'!F93</f>
        <v>5.4684499999999998</v>
      </c>
      <c r="H93" s="2">
        <f>'Moving Avg'!G93</f>
        <v>5.3566200000000013</v>
      </c>
      <c r="I93" s="2">
        <f>'Moving Avg'!H93</f>
        <v>0</v>
      </c>
      <c r="J93" s="5" t="str">
        <f>OBV!F93</f>
        <v>BULLISH</v>
      </c>
      <c r="K93" s="5" t="str">
        <f>OBV!G93</f>
        <v>NEUTRAL</v>
      </c>
      <c r="L93" s="5" t="str">
        <f>OBV!H93</f>
        <v>CONFIRMED BULLISH</v>
      </c>
      <c r="M93" s="7">
        <f t="shared" si="13"/>
        <v>0</v>
      </c>
      <c r="N93" s="7">
        <f t="shared" si="10"/>
        <v>0</v>
      </c>
      <c r="O93" s="7">
        <f t="shared" si="11"/>
        <v>75</v>
      </c>
      <c r="P93" s="7">
        <f t="shared" si="12"/>
        <v>83.5</v>
      </c>
      <c r="Q93" s="8">
        <f t="shared" si="14"/>
        <v>23.774999999999999</v>
      </c>
      <c r="R93" s="8">
        <f t="shared" si="15"/>
        <v>47.125</v>
      </c>
      <c r="S93" s="8">
        <f t="shared" si="16"/>
        <v>56.325000000000003</v>
      </c>
      <c r="T93" s="8">
        <f t="shared" si="17"/>
        <v>39.625</v>
      </c>
      <c r="U93" s="7">
        <f t="shared" si="18"/>
        <v>42.408333333333339</v>
      </c>
      <c r="V93" s="7">
        <f t="shared" si="19"/>
        <v>41.712500000000006</v>
      </c>
    </row>
    <row r="94" spans="1:22" ht="13.5" x14ac:dyDescent="0.25">
      <c r="A94" s="3">
        <f>RSI!A94</f>
        <v>45055</v>
      </c>
      <c r="B94" s="2">
        <f>RSI!B94</f>
        <v>5.5209999999999999</v>
      </c>
      <c r="C94" s="2">
        <f>RSI!I94</f>
        <v>70.683004343971831</v>
      </c>
      <c r="D94" s="2">
        <f>MACD!E94</f>
        <v>6.9284816543540018E-3</v>
      </c>
      <c r="E94" s="2">
        <f>MACD!F94</f>
        <v>3.3146879300432019E-3</v>
      </c>
      <c r="F94" s="2">
        <f>'Moving Avg'!D94</f>
        <v>5.5006000000000004</v>
      </c>
      <c r="G94" s="2">
        <f>'Moving Avg'!F94</f>
        <v>5.474800000000001</v>
      </c>
      <c r="H94" s="2">
        <f>'Moving Avg'!G94</f>
        <v>5.363920000000002</v>
      </c>
      <c r="I94" s="2">
        <f>'Moving Avg'!H94</f>
        <v>0</v>
      </c>
      <c r="J94" s="5" t="str">
        <f>OBV!F94</f>
        <v>BULLISH</v>
      </c>
      <c r="K94" s="5" t="str">
        <f>OBV!G94</f>
        <v>NEUTRAL</v>
      </c>
      <c r="L94" s="5" t="str">
        <f>OBV!H94</f>
        <v>CONFIRMED BULLISH</v>
      </c>
      <c r="M94" s="7">
        <f t="shared" si="13"/>
        <v>0</v>
      </c>
      <c r="N94" s="7">
        <f t="shared" si="10"/>
        <v>0</v>
      </c>
      <c r="O94" s="7">
        <f t="shared" si="11"/>
        <v>75</v>
      </c>
      <c r="P94" s="7">
        <f t="shared" si="12"/>
        <v>83.5</v>
      </c>
      <c r="Q94" s="8">
        <f t="shared" si="14"/>
        <v>23.774999999999999</v>
      </c>
      <c r="R94" s="8">
        <f t="shared" si="15"/>
        <v>47.125</v>
      </c>
      <c r="S94" s="8">
        <f t="shared" si="16"/>
        <v>56.325000000000003</v>
      </c>
      <c r="T94" s="8">
        <f t="shared" si="17"/>
        <v>39.625</v>
      </c>
      <c r="U94" s="7">
        <f t="shared" si="18"/>
        <v>42.408333333333339</v>
      </c>
      <c r="V94" s="7">
        <f t="shared" si="19"/>
        <v>41.712500000000006</v>
      </c>
    </row>
    <row r="95" spans="1:22" ht="13.5" x14ac:dyDescent="0.25">
      <c r="A95" s="3">
        <f>RSI!A95</f>
        <v>45056</v>
      </c>
      <c r="B95" s="2">
        <f>RSI!B95</f>
        <v>5.5469999999999997</v>
      </c>
      <c r="C95" s="2">
        <f>RSI!I95</f>
        <v>73.719796597088717</v>
      </c>
      <c r="D95" s="2">
        <f>MACD!E95</f>
        <v>1.0679175488972348E-3</v>
      </c>
      <c r="E95" s="2">
        <f>MACD!F95</f>
        <v>2.8653338538140085E-3</v>
      </c>
      <c r="F95" s="2">
        <f>'Moving Avg'!D95</f>
        <v>5.5262000000000002</v>
      </c>
      <c r="G95" s="2">
        <f>'Moving Avg'!F95</f>
        <v>5.4803500000000005</v>
      </c>
      <c r="H95" s="2">
        <f>'Moving Avg'!G95</f>
        <v>5.3717400000000017</v>
      </c>
      <c r="I95" s="2">
        <f>'Moving Avg'!H95</f>
        <v>0</v>
      </c>
      <c r="J95" s="5" t="str">
        <f>OBV!F95</f>
        <v>BULLISH</v>
      </c>
      <c r="K95" s="5" t="str">
        <f>OBV!G95</f>
        <v>WEAK</v>
      </c>
      <c r="L95" s="5" t="str">
        <f>OBV!H95</f>
        <v>CONFIRMED BULLISH</v>
      </c>
      <c r="M95" s="7">
        <f t="shared" si="13"/>
        <v>0</v>
      </c>
      <c r="N95" s="7">
        <f t="shared" si="10"/>
        <v>45</v>
      </c>
      <c r="O95" s="7">
        <f t="shared" si="11"/>
        <v>75</v>
      </c>
      <c r="P95" s="7">
        <f t="shared" si="12"/>
        <v>67</v>
      </c>
      <c r="Q95" s="8">
        <f t="shared" si="14"/>
        <v>37.049999999999997</v>
      </c>
      <c r="R95" s="8">
        <f t="shared" si="15"/>
        <v>52</v>
      </c>
      <c r="S95" s="8">
        <f t="shared" si="16"/>
        <v>55.650000000000006</v>
      </c>
      <c r="T95" s="8">
        <f t="shared" si="17"/>
        <v>46.75</v>
      </c>
      <c r="U95" s="7">
        <f t="shared" si="18"/>
        <v>48.233333333333327</v>
      </c>
      <c r="V95" s="7">
        <f t="shared" si="19"/>
        <v>47.862499999999997</v>
      </c>
    </row>
    <row r="96" spans="1:22" ht="13.5" x14ac:dyDescent="0.25">
      <c r="A96" s="3">
        <f>RSI!A96</f>
        <v>45057</v>
      </c>
      <c r="B96" s="2">
        <f>RSI!B96</f>
        <v>5.5549999999999997</v>
      </c>
      <c r="C96" s="2">
        <f>RSI!I96</f>
        <v>74.591902235626691</v>
      </c>
      <c r="D96" s="2">
        <f>MACD!E96</f>
        <v>-6.4817314516618652E-3</v>
      </c>
      <c r="E96" s="2">
        <f>MACD!F96</f>
        <v>9.9592079271883368E-4</v>
      </c>
      <c r="F96" s="2">
        <f>'Moving Avg'!D96</f>
        <v>5.5329999999999995</v>
      </c>
      <c r="G96" s="2">
        <f>'Moving Avg'!F96</f>
        <v>5.48245</v>
      </c>
      <c r="H96" s="2">
        <f>'Moving Avg'!G96</f>
        <v>5.3797200000000007</v>
      </c>
      <c r="I96" s="2">
        <f>'Moving Avg'!H96</f>
        <v>0</v>
      </c>
      <c r="J96" s="5" t="str">
        <f>OBV!F96</f>
        <v>BULLISH</v>
      </c>
      <c r="K96" s="5" t="str">
        <f>OBV!G96</f>
        <v>WEAK</v>
      </c>
      <c r="L96" s="5" t="str">
        <f>OBV!H96</f>
        <v>CONFIRMED BULLISH</v>
      </c>
      <c r="M96" s="7">
        <f t="shared" si="13"/>
        <v>0</v>
      </c>
      <c r="N96" s="7">
        <f t="shared" si="10"/>
        <v>45</v>
      </c>
      <c r="O96" s="7">
        <f t="shared" si="11"/>
        <v>75</v>
      </c>
      <c r="P96" s="7">
        <f t="shared" si="12"/>
        <v>67</v>
      </c>
      <c r="Q96" s="8">
        <f t="shared" si="14"/>
        <v>37.049999999999997</v>
      </c>
      <c r="R96" s="8">
        <f t="shared" si="15"/>
        <v>52</v>
      </c>
      <c r="S96" s="8">
        <f t="shared" si="16"/>
        <v>55.650000000000006</v>
      </c>
      <c r="T96" s="8">
        <f t="shared" si="17"/>
        <v>46.75</v>
      </c>
      <c r="U96" s="7">
        <f t="shared" si="18"/>
        <v>48.233333333333327</v>
      </c>
      <c r="V96" s="7">
        <f t="shared" si="19"/>
        <v>47.862499999999997</v>
      </c>
    </row>
    <row r="97" spans="1:22" ht="13.5" x14ac:dyDescent="0.25">
      <c r="A97" s="3">
        <f>RSI!A97</f>
        <v>45058</v>
      </c>
      <c r="B97" s="2">
        <f>RSI!B97</f>
        <v>5.5640000000000001</v>
      </c>
      <c r="C97" s="2">
        <f>RSI!I97</f>
        <v>75.573946105400907</v>
      </c>
      <c r="D97" s="2">
        <f>MACD!E97</f>
        <v>-1.4151892560912316E-2</v>
      </c>
      <c r="E97" s="2">
        <f>MACD!F97</f>
        <v>-2.033641878007396E-3</v>
      </c>
      <c r="F97" s="2">
        <f>'Moving Avg'!D97</f>
        <v>5.5415999999999999</v>
      </c>
      <c r="G97" s="2">
        <f>'Moving Avg'!F97</f>
        <v>5.4858499999999992</v>
      </c>
      <c r="H97" s="2">
        <f>'Moving Avg'!G97</f>
        <v>5.3880600000000003</v>
      </c>
      <c r="I97" s="2">
        <f>'Moving Avg'!H97</f>
        <v>0</v>
      </c>
      <c r="J97" s="5" t="str">
        <f>OBV!F97</f>
        <v>BULLISH</v>
      </c>
      <c r="K97" s="5" t="str">
        <f>OBV!G97</f>
        <v>WEAK</v>
      </c>
      <c r="L97" s="5" t="str">
        <f>OBV!H97</f>
        <v>CONFIRMED BULLISH</v>
      </c>
      <c r="M97" s="7">
        <f t="shared" si="13"/>
        <v>0</v>
      </c>
      <c r="N97" s="7">
        <f t="shared" si="10"/>
        <v>45</v>
      </c>
      <c r="O97" s="7">
        <f t="shared" si="11"/>
        <v>75</v>
      </c>
      <c r="P97" s="7">
        <f t="shared" si="12"/>
        <v>67</v>
      </c>
      <c r="Q97" s="8">
        <f t="shared" si="14"/>
        <v>37.049999999999997</v>
      </c>
      <c r="R97" s="8">
        <f t="shared" si="15"/>
        <v>52</v>
      </c>
      <c r="S97" s="8">
        <f t="shared" si="16"/>
        <v>55.650000000000006</v>
      </c>
      <c r="T97" s="8">
        <f t="shared" si="17"/>
        <v>46.75</v>
      </c>
      <c r="U97" s="7">
        <f t="shared" si="18"/>
        <v>48.233333333333327</v>
      </c>
      <c r="V97" s="7">
        <f t="shared" si="19"/>
        <v>47.862499999999997</v>
      </c>
    </row>
    <row r="98" spans="1:22" ht="13.5" x14ac:dyDescent="0.25">
      <c r="A98" s="3">
        <f>RSI!A98</f>
        <v>45061</v>
      </c>
      <c r="B98" s="2">
        <f>RSI!B98</f>
        <v>5.5640000000000001</v>
      </c>
      <c r="C98" s="2">
        <f>RSI!I98</f>
        <v>75.573946105400907</v>
      </c>
      <c r="D98" s="2">
        <f>MACD!E98</f>
        <v>-2.3880344796810782E-2</v>
      </c>
      <c r="E98" s="2">
        <f>MACD!F98</f>
        <v>-6.4029824617680741E-3</v>
      </c>
      <c r="F98" s="2">
        <f>'Moving Avg'!D98</f>
        <v>5.5501999999999994</v>
      </c>
      <c r="G98" s="2">
        <f>'Moving Avg'!F98</f>
        <v>5.4892500000000002</v>
      </c>
      <c r="H98" s="2">
        <f>'Moving Avg'!G98</f>
        <v>5.3965600000000009</v>
      </c>
      <c r="I98" s="2">
        <f>'Moving Avg'!H98</f>
        <v>0</v>
      </c>
      <c r="J98" s="5" t="str">
        <f>OBV!F98</f>
        <v>BULLISH</v>
      </c>
      <c r="K98" s="5" t="str">
        <f>OBV!G98</f>
        <v>WEAK</v>
      </c>
      <c r="L98" s="5" t="str">
        <f>OBV!H98</f>
        <v>CONFIRMED BULLISH</v>
      </c>
      <c r="M98" s="7">
        <f t="shared" si="13"/>
        <v>0</v>
      </c>
      <c r="N98" s="7">
        <f t="shared" si="10"/>
        <v>45</v>
      </c>
      <c r="O98" s="7">
        <f t="shared" si="11"/>
        <v>75</v>
      </c>
      <c r="P98" s="7">
        <f t="shared" si="12"/>
        <v>67</v>
      </c>
      <c r="Q98" s="8">
        <f t="shared" si="14"/>
        <v>37.049999999999997</v>
      </c>
      <c r="R98" s="8">
        <f t="shared" si="15"/>
        <v>52</v>
      </c>
      <c r="S98" s="8">
        <f t="shared" si="16"/>
        <v>55.650000000000006</v>
      </c>
      <c r="T98" s="8">
        <f t="shared" si="17"/>
        <v>46.75</v>
      </c>
      <c r="U98" s="7">
        <f t="shared" si="18"/>
        <v>48.233333333333327</v>
      </c>
      <c r="V98" s="7">
        <f t="shared" si="19"/>
        <v>47.862499999999997</v>
      </c>
    </row>
    <row r="99" spans="1:22" ht="13.5" x14ac:dyDescent="0.25">
      <c r="A99" s="3">
        <f>RSI!A99</f>
        <v>45062</v>
      </c>
      <c r="B99" s="2">
        <f>RSI!B99</f>
        <v>5.5890000000000004</v>
      </c>
      <c r="C99" s="2">
        <f>RSI!I99</f>
        <v>78.278609517572136</v>
      </c>
      <c r="D99" s="2">
        <f>MACD!E99</f>
        <v>-3.4540752163433552E-2</v>
      </c>
      <c r="E99" s="2">
        <f>MACD!F99</f>
        <v>-1.203053640210117E-2</v>
      </c>
      <c r="F99" s="2">
        <f>'Moving Avg'!D99</f>
        <v>5.5638000000000005</v>
      </c>
      <c r="G99" s="2">
        <f>'Moving Avg'!F99</f>
        <v>5.4951999999999996</v>
      </c>
      <c r="H99" s="2">
        <f>'Moving Avg'!G99</f>
        <v>5.4055600000000004</v>
      </c>
      <c r="I99" s="2">
        <f>'Moving Avg'!H99</f>
        <v>0</v>
      </c>
      <c r="J99" s="5" t="str">
        <f>OBV!F99</f>
        <v>BULLISH</v>
      </c>
      <c r="K99" s="5" t="str">
        <f>OBV!G99</f>
        <v>WEAK</v>
      </c>
      <c r="L99" s="5" t="str">
        <f>OBV!H99</f>
        <v>CONFIRMED BULLISH</v>
      </c>
      <c r="M99" s="7">
        <f t="shared" si="13"/>
        <v>0</v>
      </c>
      <c r="N99" s="7">
        <f t="shared" si="10"/>
        <v>100</v>
      </c>
      <c r="O99" s="7">
        <f t="shared" si="11"/>
        <v>75</v>
      </c>
      <c r="P99" s="7">
        <f t="shared" si="12"/>
        <v>67</v>
      </c>
      <c r="Q99" s="8">
        <f t="shared" si="14"/>
        <v>56.3</v>
      </c>
      <c r="R99" s="8">
        <f t="shared" si="15"/>
        <v>63</v>
      </c>
      <c r="S99" s="8">
        <f t="shared" si="16"/>
        <v>63.900000000000006</v>
      </c>
      <c r="T99" s="8">
        <f t="shared" si="17"/>
        <v>60.5</v>
      </c>
      <c r="U99" s="7">
        <f t="shared" si="18"/>
        <v>61.066666666666663</v>
      </c>
      <c r="V99" s="7">
        <f t="shared" si="19"/>
        <v>60.924999999999997</v>
      </c>
    </row>
    <row r="100" spans="1:22" ht="13.5" x14ac:dyDescent="0.25">
      <c r="A100" s="3">
        <f>RSI!A100</f>
        <v>45063</v>
      </c>
      <c r="B100" s="2">
        <f>RSI!B100</f>
        <v>5.5979999999999999</v>
      </c>
      <c r="C100" s="2">
        <f>RSI!I100</f>
        <v>79.17269723657904</v>
      </c>
      <c r="D100" s="2">
        <f>MACD!E100</f>
        <v>-4.7524937397529499E-2</v>
      </c>
      <c r="E100" s="2">
        <f>MACD!F100</f>
        <v>-1.9129416601186836E-2</v>
      </c>
      <c r="F100" s="2">
        <f>'Moving Avg'!D100</f>
        <v>5.5739999999999998</v>
      </c>
      <c r="G100" s="2">
        <f>'Moving Avg'!F100</f>
        <v>5.501599999999998</v>
      </c>
      <c r="H100" s="2">
        <f>'Moving Avg'!G100</f>
        <v>5.4149199999999995</v>
      </c>
      <c r="I100" s="2">
        <f>'Moving Avg'!H100</f>
        <v>0</v>
      </c>
      <c r="J100" s="5" t="str">
        <f>OBV!F100</f>
        <v>BULLISH</v>
      </c>
      <c r="K100" s="5" t="str">
        <f>OBV!G100</f>
        <v>WEAK</v>
      </c>
      <c r="L100" s="5" t="str">
        <f>OBV!H100</f>
        <v>CONFIRMED BULLISH</v>
      </c>
      <c r="M100" s="7">
        <f t="shared" si="13"/>
        <v>0</v>
      </c>
      <c r="N100" s="7">
        <f t="shared" si="10"/>
        <v>100</v>
      </c>
      <c r="O100" s="7">
        <f t="shared" si="11"/>
        <v>75</v>
      </c>
      <c r="P100" s="7">
        <f t="shared" si="12"/>
        <v>67</v>
      </c>
      <c r="Q100" s="8">
        <f t="shared" si="14"/>
        <v>56.3</v>
      </c>
      <c r="R100" s="8">
        <f t="shared" si="15"/>
        <v>63</v>
      </c>
      <c r="S100" s="8">
        <f t="shared" si="16"/>
        <v>63.900000000000006</v>
      </c>
      <c r="T100" s="8">
        <f t="shared" si="17"/>
        <v>60.5</v>
      </c>
      <c r="U100" s="7">
        <f t="shared" si="18"/>
        <v>61.066666666666663</v>
      </c>
      <c r="V100" s="7">
        <f t="shared" si="19"/>
        <v>60.924999999999997</v>
      </c>
    </row>
    <row r="101" spans="1:22" ht="13.5" x14ac:dyDescent="0.25">
      <c r="A101" s="3">
        <f>RSI!A101</f>
        <v>45064</v>
      </c>
      <c r="B101" s="2">
        <f>RSI!B101</f>
        <v>5.5890000000000004</v>
      </c>
      <c r="C101" s="2">
        <f>RSI!I101</f>
        <v>75.812105550847932</v>
      </c>
      <c r="D101" s="2">
        <f>MACD!E101</f>
        <v>-4.2837049049341935E-2</v>
      </c>
      <c r="E101" s="2">
        <f>MACD!F101</f>
        <v>-2.3870943090817859E-2</v>
      </c>
      <c r="F101" s="2">
        <f>'Moving Avg'!D101</f>
        <v>5.5807999999999991</v>
      </c>
      <c r="G101" s="2">
        <f>'Moving Avg'!F101</f>
        <v>5.5075499999999984</v>
      </c>
      <c r="H101" s="2">
        <f>'Moving Avg'!G101</f>
        <v>5.4247799999999993</v>
      </c>
      <c r="I101" s="2">
        <f>'Moving Avg'!H101</f>
        <v>0</v>
      </c>
      <c r="J101" s="5" t="str">
        <f>OBV!F101</f>
        <v>BULLISH</v>
      </c>
      <c r="K101" s="5" t="str">
        <f>OBV!G101</f>
        <v>WEAK</v>
      </c>
      <c r="L101" s="5" t="str">
        <f>OBV!H101</f>
        <v>CONFIRMED BULLISH</v>
      </c>
      <c r="M101" s="7">
        <f t="shared" si="13"/>
        <v>0</v>
      </c>
      <c r="N101" s="7">
        <f t="shared" si="10"/>
        <v>45</v>
      </c>
      <c r="O101" s="7">
        <f t="shared" si="11"/>
        <v>75</v>
      </c>
      <c r="P101" s="7">
        <f t="shared" si="12"/>
        <v>67</v>
      </c>
      <c r="Q101" s="8">
        <f t="shared" si="14"/>
        <v>37.049999999999997</v>
      </c>
      <c r="R101" s="8">
        <f t="shared" si="15"/>
        <v>52</v>
      </c>
      <c r="S101" s="8">
        <f t="shared" si="16"/>
        <v>55.650000000000006</v>
      </c>
      <c r="T101" s="8">
        <f t="shared" si="17"/>
        <v>46.75</v>
      </c>
      <c r="U101" s="7">
        <f t="shared" si="18"/>
        <v>48.233333333333327</v>
      </c>
      <c r="V101" s="7">
        <f t="shared" si="19"/>
        <v>47.862499999999997</v>
      </c>
    </row>
    <row r="102" spans="1:22" ht="13.5" x14ac:dyDescent="0.25">
      <c r="A102" s="3">
        <f>RSI!A102</f>
        <v>45065</v>
      </c>
      <c r="B102" s="2">
        <f>RSI!B102</f>
        <v>5.5810000000000004</v>
      </c>
      <c r="C102" s="2">
        <f>RSI!I102</f>
        <v>72.851955785619538</v>
      </c>
      <c r="D102" s="2">
        <f>MACD!E102</f>
        <v>-3.885836673609866E-2</v>
      </c>
      <c r="E102" s="2">
        <f>MACD!F102</f>
        <v>-2.686842781987402E-2</v>
      </c>
      <c r="F102" s="2">
        <f>'Moving Avg'!D102</f>
        <v>5.5842000000000009</v>
      </c>
      <c r="G102" s="2">
        <f>'Moving Avg'!F102</f>
        <v>5.5130999999999988</v>
      </c>
      <c r="H102" s="2">
        <f>'Moving Avg'!G102</f>
        <v>5.4344799999999998</v>
      </c>
      <c r="I102" s="2">
        <f>'Moving Avg'!H102</f>
        <v>0</v>
      </c>
      <c r="J102" s="5" t="str">
        <f>OBV!F102</f>
        <v>BEARISH</v>
      </c>
      <c r="K102" s="5" t="str">
        <f>OBV!G102</f>
        <v>NEUTRAL</v>
      </c>
      <c r="L102" s="5" t="str">
        <f>OBV!H102</f>
        <v>BEARISH DIVERGENCE</v>
      </c>
      <c r="M102" s="7">
        <f t="shared" si="13"/>
        <v>0</v>
      </c>
      <c r="N102" s="7">
        <f t="shared" si="10"/>
        <v>45</v>
      </c>
      <c r="O102" s="7">
        <f t="shared" si="11"/>
        <v>75</v>
      </c>
      <c r="P102" s="7">
        <f t="shared" si="12"/>
        <v>16.5</v>
      </c>
      <c r="Q102" s="8">
        <f t="shared" si="14"/>
        <v>29.475000000000001</v>
      </c>
      <c r="R102" s="8">
        <f t="shared" si="15"/>
        <v>39.375</v>
      </c>
      <c r="S102" s="8">
        <f t="shared" si="16"/>
        <v>32.924999999999997</v>
      </c>
      <c r="T102" s="8">
        <f t="shared" si="17"/>
        <v>34.125</v>
      </c>
      <c r="U102" s="7">
        <f t="shared" si="18"/>
        <v>33.924999999999997</v>
      </c>
      <c r="V102" s="7">
        <f t="shared" si="19"/>
        <v>33.974999999999994</v>
      </c>
    </row>
    <row r="103" spans="1:22" ht="13.5" x14ac:dyDescent="0.25">
      <c r="A103" s="3">
        <f>RSI!A103</f>
        <v>45068</v>
      </c>
      <c r="B103" s="2">
        <f>RSI!B103</f>
        <v>5.6059999999999999</v>
      </c>
      <c r="C103" s="2">
        <f>RSI!I103</f>
        <v>76.005003363480952</v>
      </c>
      <c r="D103" s="2">
        <f>MACD!E103</f>
        <v>-3.7833947638986842E-2</v>
      </c>
      <c r="E103" s="2">
        <f>MACD!F103</f>
        <v>-2.9061531783696585E-2</v>
      </c>
      <c r="F103" s="2">
        <f>'Moving Avg'!D103</f>
        <v>5.5926</v>
      </c>
      <c r="G103" s="2">
        <f>'Moving Avg'!F103</f>
        <v>5.519899999999998</v>
      </c>
      <c r="H103" s="2">
        <f>'Moving Avg'!G103</f>
        <v>5.4448400000000001</v>
      </c>
      <c r="I103" s="2">
        <f>'Moving Avg'!H103</f>
        <v>0</v>
      </c>
      <c r="J103" s="5" t="str">
        <f>OBV!F103</f>
        <v>BULLISH</v>
      </c>
      <c r="K103" s="5" t="str">
        <f>OBV!G103</f>
        <v>WEAK</v>
      </c>
      <c r="L103" s="5" t="str">
        <f>OBV!H103</f>
        <v>CONFIRMED BULLISH</v>
      </c>
      <c r="M103" s="7">
        <f t="shared" si="13"/>
        <v>0</v>
      </c>
      <c r="N103" s="7">
        <f t="shared" si="10"/>
        <v>45</v>
      </c>
      <c r="O103" s="7">
        <f t="shared" si="11"/>
        <v>75</v>
      </c>
      <c r="P103" s="7">
        <f t="shared" si="12"/>
        <v>67</v>
      </c>
      <c r="Q103" s="8">
        <f t="shared" si="14"/>
        <v>37.049999999999997</v>
      </c>
      <c r="R103" s="8">
        <f t="shared" si="15"/>
        <v>52</v>
      </c>
      <c r="S103" s="8">
        <f t="shared" si="16"/>
        <v>55.650000000000006</v>
      </c>
      <c r="T103" s="8">
        <f t="shared" si="17"/>
        <v>46.75</v>
      </c>
      <c r="U103" s="7">
        <f t="shared" si="18"/>
        <v>48.233333333333327</v>
      </c>
      <c r="V103" s="7">
        <f t="shared" si="19"/>
        <v>47.862499999999997</v>
      </c>
    </row>
    <row r="104" spans="1:22" ht="13.5" x14ac:dyDescent="0.25">
      <c r="A104" s="3">
        <f>RSI!A104</f>
        <v>45069</v>
      </c>
      <c r="B104" s="2">
        <f>RSI!B104</f>
        <v>5.6059999999999999</v>
      </c>
      <c r="C104" s="2">
        <f>RSI!I104</f>
        <v>76.005003363480952</v>
      </c>
      <c r="D104" s="2">
        <f>MACD!E104</f>
        <v>-3.7568844954479985E-2</v>
      </c>
      <c r="E104" s="2">
        <f>MACD!F104</f>
        <v>-3.0762994417853268E-2</v>
      </c>
      <c r="F104" s="2">
        <f>'Moving Avg'!D104</f>
        <v>5.596000000000001</v>
      </c>
      <c r="G104" s="2">
        <f>'Moving Avg'!F104</f>
        <v>5.527099999999999</v>
      </c>
      <c r="H104" s="2">
        <f>'Moving Avg'!G104</f>
        <v>5.4507799999999982</v>
      </c>
      <c r="I104" s="2">
        <f>'Moving Avg'!H104</f>
        <v>0</v>
      </c>
      <c r="J104" s="5" t="str">
        <f>OBV!F104</f>
        <v>BULLISH</v>
      </c>
      <c r="K104" s="5" t="str">
        <f>OBV!G104</f>
        <v>NEUTRAL</v>
      </c>
      <c r="L104" s="5" t="str">
        <f>OBV!H104</f>
        <v>CONFIRMED BULLISH</v>
      </c>
      <c r="M104" s="7">
        <f t="shared" si="13"/>
        <v>0</v>
      </c>
      <c r="N104" s="7">
        <f t="shared" si="10"/>
        <v>45</v>
      </c>
      <c r="O104" s="7">
        <f t="shared" si="11"/>
        <v>75</v>
      </c>
      <c r="P104" s="7">
        <f t="shared" si="12"/>
        <v>83.5</v>
      </c>
      <c r="Q104" s="8">
        <f t="shared" si="14"/>
        <v>39.524999999999999</v>
      </c>
      <c r="R104" s="8">
        <f t="shared" si="15"/>
        <v>56.125</v>
      </c>
      <c r="S104" s="8">
        <f t="shared" si="16"/>
        <v>63.075000000000003</v>
      </c>
      <c r="T104" s="8">
        <f t="shared" si="17"/>
        <v>50.875</v>
      </c>
      <c r="U104" s="7">
        <f t="shared" si="18"/>
        <v>52.908333333333339</v>
      </c>
      <c r="V104" s="7">
        <f t="shared" si="19"/>
        <v>52.400000000000006</v>
      </c>
    </row>
    <row r="105" spans="1:22" ht="13.5" x14ac:dyDescent="0.25">
      <c r="A105" s="3">
        <f>RSI!A105</f>
        <v>45070</v>
      </c>
      <c r="B105" s="2">
        <f>RSI!B105</f>
        <v>5.657</v>
      </c>
      <c r="C105" s="2">
        <f>RSI!I105</f>
        <v>81.177206638606449</v>
      </c>
      <c r="D105" s="2">
        <f>MACD!E105</f>
        <v>-3.7679447182236814E-2</v>
      </c>
      <c r="E105" s="2">
        <f>MACD!F105</f>
        <v>-3.214628497072998E-2</v>
      </c>
      <c r="F105" s="2">
        <f>'Moving Avg'!D105</f>
        <v>5.607800000000001</v>
      </c>
      <c r="G105" s="2">
        <f>'Moving Avg'!F105</f>
        <v>5.5368499999999994</v>
      </c>
      <c r="H105" s="2">
        <f>'Moving Avg'!G105</f>
        <v>5.4572399999999979</v>
      </c>
      <c r="I105" s="2">
        <f>'Moving Avg'!H105</f>
        <v>0</v>
      </c>
      <c r="J105" s="5" t="str">
        <f>OBV!F105</f>
        <v>BULLISH</v>
      </c>
      <c r="K105" s="5" t="str">
        <f>OBV!G105</f>
        <v>NEUTRAL</v>
      </c>
      <c r="L105" s="5" t="str">
        <f>OBV!H105</f>
        <v>CONFIRMED BULLISH</v>
      </c>
      <c r="M105" s="7">
        <f t="shared" si="13"/>
        <v>0</v>
      </c>
      <c r="N105" s="7">
        <f t="shared" si="10"/>
        <v>45</v>
      </c>
      <c r="O105" s="7">
        <f t="shared" si="11"/>
        <v>75</v>
      </c>
      <c r="P105" s="7">
        <f t="shared" si="12"/>
        <v>83.5</v>
      </c>
      <c r="Q105" s="8">
        <f t="shared" si="14"/>
        <v>39.524999999999999</v>
      </c>
      <c r="R105" s="8">
        <f t="shared" si="15"/>
        <v>56.125</v>
      </c>
      <c r="S105" s="8">
        <f t="shared" si="16"/>
        <v>63.075000000000003</v>
      </c>
      <c r="T105" s="8">
        <f t="shared" si="17"/>
        <v>50.875</v>
      </c>
      <c r="U105" s="7">
        <f t="shared" si="18"/>
        <v>52.908333333333339</v>
      </c>
      <c r="V105" s="7">
        <f t="shared" si="19"/>
        <v>52.400000000000006</v>
      </c>
    </row>
    <row r="106" spans="1:22" ht="13.5" x14ac:dyDescent="0.25">
      <c r="A106" s="3">
        <f>RSI!A106</f>
        <v>45071</v>
      </c>
      <c r="B106" s="2">
        <f>RSI!B106</f>
        <v>5.665</v>
      </c>
      <c r="C106" s="2">
        <f>RSI!I106</f>
        <v>81.838524885488027</v>
      </c>
      <c r="D106" s="2">
        <f>MACD!E106</f>
        <v>-3.7952090555182671E-2</v>
      </c>
      <c r="E106" s="2">
        <f>MACD!F106</f>
        <v>-3.3307446087620519E-2</v>
      </c>
      <c r="F106" s="2">
        <f>'Moving Avg'!D106</f>
        <v>5.6229999999999993</v>
      </c>
      <c r="G106" s="2">
        <f>'Moving Avg'!F106</f>
        <v>5.5474499999999995</v>
      </c>
      <c r="H106" s="2">
        <f>'Moving Avg'!G106</f>
        <v>5.4640199999999997</v>
      </c>
      <c r="I106" s="2">
        <f>'Moving Avg'!H106</f>
        <v>0</v>
      </c>
      <c r="J106" s="5" t="str">
        <f>OBV!F106</f>
        <v>BULLISH</v>
      </c>
      <c r="K106" s="5" t="str">
        <f>OBV!G106</f>
        <v>WEAK</v>
      </c>
      <c r="L106" s="5" t="str">
        <f>OBV!H106</f>
        <v>CONFIRMED BULLISH</v>
      </c>
      <c r="M106" s="7">
        <f t="shared" si="13"/>
        <v>0</v>
      </c>
      <c r="N106" s="7">
        <f t="shared" si="10"/>
        <v>45</v>
      </c>
      <c r="O106" s="7">
        <f t="shared" si="11"/>
        <v>75</v>
      </c>
      <c r="P106" s="7">
        <f t="shared" si="12"/>
        <v>67</v>
      </c>
      <c r="Q106" s="8">
        <f t="shared" si="14"/>
        <v>37.049999999999997</v>
      </c>
      <c r="R106" s="8">
        <f t="shared" si="15"/>
        <v>52</v>
      </c>
      <c r="S106" s="8">
        <f t="shared" si="16"/>
        <v>55.650000000000006</v>
      </c>
      <c r="T106" s="8">
        <f t="shared" si="17"/>
        <v>46.75</v>
      </c>
      <c r="U106" s="7">
        <f t="shared" si="18"/>
        <v>48.233333333333327</v>
      </c>
      <c r="V106" s="7">
        <f t="shared" si="19"/>
        <v>47.862499999999997</v>
      </c>
    </row>
    <row r="107" spans="1:22" ht="13.5" x14ac:dyDescent="0.25">
      <c r="A107" s="3">
        <f>RSI!A107</f>
        <v>45072</v>
      </c>
      <c r="B107" s="2">
        <f>RSI!B107</f>
        <v>5.6479999999999997</v>
      </c>
      <c r="C107" s="2">
        <f>RSI!I107</f>
        <v>75.748175264099558</v>
      </c>
      <c r="D107" s="2">
        <f>MACD!E107</f>
        <v>-3.634288418862841E-2</v>
      </c>
      <c r="E107" s="2">
        <f>MACD!F107</f>
        <v>-3.3914533707822103E-2</v>
      </c>
      <c r="F107" s="2">
        <f>'Moving Avg'!D107</f>
        <v>5.6364000000000001</v>
      </c>
      <c r="G107" s="2">
        <f>'Moving Avg'!F107</f>
        <v>5.5571999999999999</v>
      </c>
      <c r="H107" s="2">
        <f>'Moving Avg'!G107</f>
        <v>5.4692799999999986</v>
      </c>
      <c r="I107" s="2">
        <f>'Moving Avg'!H107</f>
        <v>0</v>
      </c>
      <c r="J107" s="5" t="str">
        <f>OBV!F107</f>
        <v>BULLISH</v>
      </c>
      <c r="K107" s="5" t="str">
        <f>OBV!G107</f>
        <v>WEAK</v>
      </c>
      <c r="L107" s="5" t="str">
        <f>OBV!H107</f>
        <v>CONFIRMED BULLISH</v>
      </c>
      <c r="M107" s="7">
        <f t="shared" si="13"/>
        <v>0</v>
      </c>
      <c r="N107" s="7">
        <f t="shared" si="10"/>
        <v>45</v>
      </c>
      <c r="O107" s="7">
        <f t="shared" si="11"/>
        <v>75</v>
      </c>
      <c r="P107" s="7">
        <f t="shared" si="12"/>
        <v>67</v>
      </c>
      <c r="Q107" s="8">
        <f t="shared" si="14"/>
        <v>37.049999999999997</v>
      </c>
      <c r="R107" s="8">
        <f t="shared" si="15"/>
        <v>52</v>
      </c>
      <c r="S107" s="8">
        <f t="shared" si="16"/>
        <v>55.650000000000006</v>
      </c>
      <c r="T107" s="8">
        <f t="shared" si="17"/>
        <v>46.75</v>
      </c>
      <c r="U107" s="7">
        <f t="shared" si="18"/>
        <v>48.233333333333327</v>
      </c>
      <c r="V107" s="7">
        <f t="shared" si="19"/>
        <v>47.862499999999997</v>
      </c>
    </row>
    <row r="108" spans="1:22" ht="13.5" x14ac:dyDescent="0.25">
      <c r="A108" s="3">
        <f>RSI!A108</f>
        <v>45075</v>
      </c>
      <c r="B108" s="2">
        <f>RSI!B108</f>
        <v>5.8689999999999998</v>
      </c>
      <c r="C108" s="2">
        <f>RSI!I108</f>
        <v>88.122723238713803</v>
      </c>
      <c r="D108" s="2">
        <f>MACD!E108</f>
        <v>-5.1995581375075872E-2</v>
      </c>
      <c r="E108" s="2">
        <f>MACD!F108</f>
        <v>-3.7530743241272861E-2</v>
      </c>
      <c r="F108" s="2">
        <f>'Moving Avg'!D108</f>
        <v>5.6890000000000001</v>
      </c>
      <c r="G108" s="2">
        <f>'Moving Avg'!F108</f>
        <v>5.5788499999999992</v>
      </c>
      <c r="H108" s="2">
        <f>'Moving Avg'!G108</f>
        <v>5.4779399999999985</v>
      </c>
      <c r="I108" s="2">
        <f>'Moving Avg'!H108</f>
        <v>0</v>
      </c>
      <c r="J108" s="5" t="str">
        <f>OBV!F108</f>
        <v>BULLISH</v>
      </c>
      <c r="K108" s="5" t="str">
        <f>OBV!G108</f>
        <v>WEAK</v>
      </c>
      <c r="L108" s="5" t="str">
        <f>OBV!H108</f>
        <v>CONFIRMED BULLISH</v>
      </c>
      <c r="M108" s="7">
        <f t="shared" si="13"/>
        <v>0</v>
      </c>
      <c r="N108" s="7">
        <f t="shared" si="10"/>
        <v>45</v>
      </c>
      <c r="O108" s="7">
        <f t="shared" si="11"/>
        <v>75</v>
      </c>
      <c r="P108" s="7">
        <f t="shared" si="12"/>
        <v>67</v>
      </c>
      <c r="Q108" s="8">
        <f t="shared" si="14"/>
        <v>37.049999999999997</v>
      </c>
      <c r="R108" s="8">
        <f t="shared" si="15"/>
        <v>52</v>
      </c>
      <c r="S108" s="8">
        <f t="shared" si="16"/>
        <v>55.650000000000006</v>
      </c>
      <c r="T108" s="8">
        <f t="shared" si="17"/>
        <v>46.75</v>
      </c>
      <c r="U108" s="7">
        <f t="shared" si="18"/>
        <v>48.233333333333327</v>
      </c>
      <c r="V108" s="7">
        <f t="shared" si="19"/>
        <v>47.862499999999997</v>
      </c>
    </row>
    <row r="109" spans="1:22" ht="13.5" x14ac:dyDescent="0.25">
      <c r="A109" s="3">
        <f>RSI!A109</f>
        <v>45076</v>
      </c>
      <c r="B109" s="2">
        <f>RSI!B109</f>
        <v>5.827</v>
      </c>
      <c r="C109" s="2">
        <f>RSI!I109</f>
        <v>79.790206203304621</v>
      </c>
      <c r="D109" s="2">
        <f>MACD!E109</f>
        <v>-6.0185066847362911E-2</v>
      </c>
      <c r="E109" s="2">
        <f>MACD!F109</f>
        <v>-4.2061607962490873E-2</v>
      </c>
      <c r="F109" s="2">
        <f>'Moving Avg'!D109</f>
        <v>5.7331999999999992</v>
      </c>
      <c r="G109" s="2">
        <f>'Moving Avg'!F109</f>
        <v>5.5983999999999998</v>
      </c>
      <c r="H109" s="2">
        <f>'Moving Avg'!G109</f>
        <v>5.48576</v>
      </c>
      <c r="I109" s="2">
        <f>'Moving Avg'!H109</f>
        <v>0</v>
      </c>
      <c r="J109" s="5" t="str">
        <f>OBV!F109</f>
        <v>BULLISH</v>
      </c>
      <c r="K109" s="5" t="str">
        <f>OBV!G109</f>
        <v>WEAK</v>
      </c>
      <c r="L109" s="5" t="str">
        <f>OBV!H109</f>
        <v>CONFIRMED BULLISH</v>
      </c>
      <c r="M109" s="7">
        <f t="shared" si="13"/>
        <v>0</v>
      </c>
      <c r="N109" s="7">
        <f t="shared" si="10"/>
        <v>45</v>
      </c>
      <c r="O109" s="7">
        <f t="shared" si="11"/>
        <v>75</v>
      </c>
      <c r="P109" s="7">
        <f t="shared" si="12"/>
        <v>67</v>
      </c>
      <c r="Q109" s="8">
        <f t="shared" si="14"/>
        <v>37.049999999999997</v>
      </c>
      <c r="R109" s="8">
        <f t="shared" si="15"/>
        <v>52</v>
      </c>
      <c r="S109" s="8">
        <f t="shared" si="16"/>
        <v>55.650000000000006</v>
      </c>
      <c r="T109" s="8">
        <f t="shared" si="17"/>
        <v>46.75</v>
      </c>
      <c r="U109" s="7">
        <f t="shared" si="18"/>
        <v>48.233333333333327</v>
      </c>
      <c r="V109" s="7">
        <f t="shared" si="19"/>
        <v>47.862499999999997</v>
      </c>
    </row>
    <row r="110" spans="1:22" ht="13.5" x14ac:dyDescent="0.25">
      <c r="A110" s="3">
        <f>RSI!A110</f>
        <v>45077</v>
      </c>
      <c r="B110" s="2">
        <f>RSI!B110</f>
        <v>5.9429999999999996</v>
      </c>
      <c r="C110" s="2">
        <f>RSI!I110</f>
        <v>84.226415913610907</v>
      </c>
      <c r="D110" s="2">
        <f>MACD!E110</f>
        <v>-7.5835688606591845E-2</v>
      </c>
      <c r="E110" s="2">
        <f>MACD!F110</f>
        <v>-4.8816424091311067E-2</v>
      </c>
      <c r="F110" s="2">
        <f>'Moving Avg'!D110</f>
        <v>5.7904</v>
      </c>
      <c r="G110" s="2">
        <f>'Moving Avg'!F110</f>
        <v>5.6245999999999992</v>
      </c>
      <c r="H110" s="2">
        <f>'Moving Avg'!G110</f>
        <v>5.4967399999999973</v>
      </c>
      <c r="I110" s="2">
        <f>'Moving Avg'!H110</f>
        <v>0</v>
      </c>
      <c r="J110" s="5" t="str">
        <f>OBV!F110</f>
        <v>BEARISH</v>
      </c>
      <c r="K110" s="5" t="str">
        <f>OBV!G110</f>
        <v>STRONG</v>
      </c>
      <c r="L110" s="5" t="str">
        <f>OBV!H110</f>
        <v>BEARISH DIVERGENCE</v>
      </c>
      <c r="M110" s="7">
        <f t="shared" si="13"/>
        <v>0</v>
      </c>
      <c r="N110" s="7">
        <f t="shared" si="10"/>
        <v>100</v>
      </c>
      <c r="O110" s="7">
        <f t="shared" si="11"/>
        <v>75</v>
      </c>
      <c r="P110" s="7">
        <f t="shared" si="12"/>
        <v>33</v>
      </c>
      <c r="Q110" s="8">
        <f t="shared" si="14"/>
        <v>51.2</v>
      </c>
      <c r="R110" s="8">
        <f t="shared" si="15"/>
        <v>54.5</v>
      </c>
      <c r="S110" s="8">
        <f t="shared" si="16"/>
        <v>48.6</v>
      </c>
      <c r="T110" s="8">
        <f t="shared" si="17"/>
        <v>52</v>
      </c>
      <c r="U110" s="7">
        <f t="shared" si="18"/>
        <v>51.433333333333337</v>
      </c>
      <c r="V110" s="7">
        <f t="shared" si="19"/>
        <v>51.575000000000003</v>
      </c>
    </row>
    <row r="111" spans="1:22" ht="13.5" x14ac:dyDescent="0.25">
      <c r="A111" s="3">
        <f>RSI!A111</f>
        <v>45078</v>
      </c>
      <c r="B111" s="2">
        <f>RSI!B111</f>
        <v>5.8540000000000001</v>
      </c>
      <c r="C111" s="2">
        <f>RSI!I111</f>
        <v>71.295507107139287</v>
      </c>
      <c r="D111" s="2">
        <f>MACD!E111</f>
        <v>-8.5956994103349338E-2</v>
      </c>
      <c r="E111" s="2">
        <f>MACD!F111</f>
        <v>-5.6244538093718724E-2</v>
      </c>
      <c r="F111" s="2">
        <f>'Moving Avg'!D111</f>
        <v>5.8281999999999998</v>
      </c>
      <c r="G111" s="2">
        <f>'Moving Avg'!F111</f>
        <v>5.6412499999999994</v>
      </c>
      <c r="H111" s="2">
        <f>'Moving Avg'!G111</f>
        <v>5.5059399999999981</v>
      </c>
      <c r="I111" s="2">
        <f>'Moving Avg'!H111</f>
        <v>0</v>
      </c>
      <c r="J111" s="5" t="str">
        <f>OBV!F111</f>
        <v>BEARISH</v>
      </c>
      <c r="K111" s="5" t="str">
        <f>OBV!G111</f>
        <v>STRONG</v>
      </c>
      <c r="L111" s="5" t="str">
        <f>OBV!H111</f>
        <v>CONFIRMED BEARISH</v>
      </c>
      <c r="M111" s="7">
        <f t="shared" si="13"/>
        <v>0</v>
      </c>
      <c r="N111" s="7">
        <f t="shared" si="10"/>
        <v>100</v>
      </c>
      <c r="O111" s="7">
        <f t="shared" si="11"/>
        <v>75</v>
      </c>
      <c r="P111" s="7">
        <f t="shared" si="12"/>
        <v>33</v>
      </c>
      <c r="Q111" s="8">
        <f t="shared" si="14"/>
        <v>51.2</v>
      </c>
      <c r="R111" s="8">
        <f t="shared" si="15"/>
        <v>54.5</v>
      </c>
      <c r="S111" s="8">
        <f t="shared" si="16"/>
        <v>48.6</v>
      </c>
      <c r="T111" s="8">
        <f t="shared" si="17"/>
        <v>52</v>
      </c>
      <c r="U111" s="7">
        <f t="shared" si="18"/>
        <v>51.433333333333337</v>
      </c>
      <c r="V111" s="7">
        <f t="shared" si="19"/>
        <v>51.575000000000003</v>
      </c>
    </row>
    <row r="112" spans="1:22" ht="13.5" x14ac:dyDescent="0.25">
      <c r="A112" s="3">
        <f>RSI!A112</f>
        <v>45079</v>
      </c>
      <c r="B112" s="2">
        <f>RSI!B112</f>
        <v>5.9249999999999998</v>
      </c>
      <c r="C112" s="2">
        <f>RSI!I112</f>
        <v>74.640358746118352</v>
      </c>
      <c r="D112" s="2">
        <f>MACD!E112</f>
        <v>-0.1024171964828211</v>
      </c>
      <c r="E112" s="2">
        <f>MACD!F112</f>
        <v>-6.5479069771539208E-2</v>
      </c>
      <c r="F112" s="2">
        <f>'Moving Avg'!D112</f>
        <v>5.8835999999999995</v>
      </c>
      <c r="G112" s="2">
        <f>'Moving Avg'!F112</f>
        <v>5.6614499999999994</v>
      </c>
      <c r="H112" s="2">
        <f>'Moving Avg'!G112</f>
        <v>5.5167399999999986</v>
      </c>
      <c r="I112" s="2">
        <f>'Moving Avg'!H112</f>
        <v>0</v>
      </c>
      <c r="J112" s="5" t="str">
        <f>OBV!F112</f>
        <v>BEARISH</v>
      </c>
      <c r="K112" s="5" t="str">
        <f>OBV!G112</f>
        <v>STRONG</v>
      </c>
      <c r="L112" s="5" t="str">
        <f>OBV!H112</f>
        <v>BEARISH DIVERGENCE</v>
      </c>
      <c r="M112" s="7">
        <f t="shared" si="13"/>
        <v>0</v>
      </c>
      <c r="N112" s="7">
        <f t="shared" si="10"/>
        <v>100</v>
      </c>
      <c r="O112" s="7">
        <f t="shared" si="11"/>
        <v>75</v>
      </c>
      <c r="P112" s="7">
        <f t="shared" si="12"/>
        <v>33</v>
      </c>
      <c r="Q112" s="8">
        <f t="shared" si="14"/>
        <v>51.2</v>
      </c>
      <c r="R112" s="8">
        <f t="shared" si="15"/>
        <v>54.5</v>
      </c>
      <c r="S112" s="8">
        <f t="shared" si="16"/>
        <v>48.6</v>
      </c>
      <c r="T112" s="8">
        <f t="shared" si="17"/>
        <v>52</v>
      </c>
      <c r="U112" s="7">
        <f t="shared" si="18"/>
        <v>51.433333333333337</v>
      </c>
      <c r="V112" s="7">
        <f t="shared" si="19"/>
        <v>51.575000000000003</v>
      </c>
    </row>
    <row r="113" spans="1:22" ht="13.5" x14ac:dyDescent="0.25">
      <c r="A113" s="3">
        <f>RSI!A113</f>
        <v>45082</v>
      </c>
      <c r="B113" s="2">
        <f>RSI!B113</f>
        <v>5.899</v>
      </c>
      <c r="C113" s="2">
        <f>RSI!I113</f>
        <v>71.36100966312506</v>
      </c>
      <c r="D113" s="2">
        <f>MACD!E113</f>
        <v>-0.11229436704813089</v>
      </c>
      <c r="E113" s="2">
        <f>MACD!F113</f>
        <v>-7.4842129226857554E-2</v>
      </c>
      <c r="F113" s="2">
        <f>'Moving Avg'!D113</f>
        <v>5.8895999999999997</v>
      </c>
      <c r="G113" s="2">
        <f>'Moving Avg'!F113</f>
        <v>5.6803499999999998</v>
      </c>
      <c r="H113" s="2">
        <f>'Moving Avg'!G113</f>
        <v>5.5270199999999985</v>
      </c>
      <c r="I113" s="2">
        <f>'Moving Avg'!H113</f>
        <v>0</v>
      </c>
      <c r="J113" s="5" t="str">
        <f>OBV!F113</f>
        <v>BEARISH</v>
      </c>
      <c r="K113" s="5" t="str">
        <f>OBV!G113</f>
        <v>STRONG</v>
      </c>
      <c r="L113" s="5" t="str">
        <f>OBV!H113</f>
        <v>CONFIRMED BEARISH</v>
      </c>
      <c r="M113" s="7">
        <f t="shared" si="13"/>
        <v>0</v>
      </c>
      <c r="N113" s="7">
        <f t="shared" si="10"/>
        <v>100</v>
      </c>
      <c r="O113" s="7">
        <f t="shared" si="11"/>
        <v>75</v>
      </c>
      <c r="P113" s="7">
        <f t="shared" si="12"/>
        <v>33</v>
      </c>
      <c r="Q113" s="8">
        <f t="shared" si="14"/>
        <v>51.2</v>
      </c>
      <c r="R113" s="8">
        <f t="shared" si="15"/>
        <v>54.5</v>
      </c>
      <c r="S113" s="8">
        <f t="shared" si="16"/>
        <v>48.6</v>
      </c>
      <c r="T113" s="8">
        <f t="shared" si="17"/>
        <v>52</v>
      </c>
      <c r="U113" s="7">
        <f t="shared" si="18"/>
        <v>51.433333333333337</v>
      </c>
      <c r="V113" s="7">
        <f t="shared" si="19"/>
        <v>51.575000000000003</v>
      </c>
    </row>
    <row r="114" spans="1:22" ht="13.5" x14ac:dyDescent="0.25">
      <c r="A114" s="3">
        <f>RSI!A114</f>
        <v>45083</v>
      </c>
      <c r="B114" s="2">
        <f>RSI!B114</f>
        <v>5.97</v>
      </c>
      <c r="C114" s="2">
        <f>RSI!I114</f>
        <v>74.637946227513936</v>
      </c>
      <c r="D114" s="2">
        <f>MACD!E114</f>
        <v>-0.12735147370701316</v>
      </c>
      <c r="E114" s="2">
        <f>MACD!F114</f>
        <v>-8.5343998122888676E-2</v>
      </c>
      <c r="F114" s="2">
        <f>'Moving Avg'!D114</f>
        <v>5.9182000000000006</v>
      </c>
      <c r="G114" s="2">
        <f>'Moving Avg'!F114</f>
        <v>5.7027999999999999</v>
      </c>
      <c r="H114" s="2">
        <f>'Moving Avg'!G114</f>
        <v>5.5393999999999997</v>
      </c>
      <c r="I114" s="2">
        <f>'Moving Avg'!H114</f>
        <v>0</v>
      </c>
      <c r="J114" s="5" t="str">
        <f>OBV!F114</f>
        <v>BEARISH</v>
      </c>
      <c r="K114" s="5" t="str">
        <f>OBV!G114</f>
        <v>STRONG</v>
      </c>
      <c r="L114" s="5" t="str">
        <f>OBV!H114</f>
        <v>CONFIRMED BEARISH</v>
      </c>
      <c r="M114" s="7">
        <f t="shared" si="13"/>
        <v>0</v>
      </c>
      <c r="N114" s="7">
        <f t="shared" si="10"/>
        <v>100</v>
      </c>
      <c r="O114" s="7">
        <f t="shared" si="11"/>
        <v>75</v>
      </c>
      <c r="P114" s="7">
        <f t="shared" si="12"/>
        <v>33</v>
      </c>
      <c r="Q114" s="8">
        <f t="shared" si="14"/>
        <v>51.2</v>
      </c>
      <c r="R114" s="8">
        <f t="shared" si="15"/>
        <v>54.5</v>
      </c>
      <c r="S114" s="8">
        <f t="shared" si="16"/>
        <v>48.6</v>
      </c>
      <c r="T114" s="8">
        <f t="shared" si="17"/>
        <v>52</v>
      </c>
      <c r="U114" s="7">
        <f t="shared" si="18"/>
        <v>51.433333333333337</v>
      </c>
      <c r="V114" s="7">
        <f t="shared" si="19"/>
        <v>51.575000000000003</v>
      </c>
    </row>
    <row r="115" spans="1:22" ht="13.5" x14ac:dyDescent="0.25">
      <c r="A115" s="3">
        <f>RSI!A115</f>
        <v>45084</v>
      </c>
      <c r="B115" s="2">
        <f>RSI!B115</f>
        <v>5.9610000000000003</v>
      </c>
      <c r="C115" s="2">
        <f>RSI!I115</f>
        <v>73.490036754027074</v>
      </c>
      <c r="D115" s="2">
        <f>MACD!E115</f>
        <v>-0.13333238093312261</v>
      </c>
      <c r="E115" s="2">
        <f>MACD!F115</f>
        <v>-9.4941674684935473E-2</v>
      </c>
      <c r="F115" s="2">
        <f>'Moving Avg'!D115</f>
        <v>5.9218000000000002</v>
      </c>
      <c r="G115" s="2">
        <f>'Moving Avg'!F115</f>
        <v>5.7234999999999996</v>
      </c>
      <c r="H115" s="2">
        <f>'Moving Avg'!G115</f>
        <v>5.5521000000000003</v>
      </c>
      <c r="I115" s="2">
        <f>'Moving Avg'!H115</f>
        <v>0</v>
      </c>
      <c r="J115" s="5" t="str">
        <f>OBV!F115</f>
        <v>BEARISH</v>
      </c>
      <c r="K115" s="5" t="str">
        <f>OBV!G115</f>
        <v>STRONG</v>
      </c>
      <c r="L115" s="5" t="str">
        <f>OBV!H115</f>
        <v>BEARISH DIVERGENCE</v>
      </c>
      <c r="M115" s="7">
        <f t="shared" si="13"/>
        <v>0</v>
      </c>
      <c r="N115" s="7">
        <f t="shared" si="10"/>
        <v>100</v>
      </c>
      <c r="O115" s="7">
        <f t="shared" si="11"/>
        <v>75</v>
      </c>
      <c r="P115" s="7">
        <f t="shared" si="12"/>
        <v>33</v>
      </c>
      <c r="Q115" s="8">
        <f t="shared" si="14"/>
        <v>51.2</v>
      </c>
      <c r="R115" s="8">
        <f t="shared" si="15"/>
        <v>54.5</v>
      </c>
      <c r="S115" s="8">
        <f t="shared" si="16"/>
        <v>48.6</v>
      </c>
      <c r="T115" s="8">
        <f t="shared" si="17"/>
        <v>52</v>
      </c>
      <c r="U115" s="7">
        <f t="shared" si="18"/>
        <v>51.433333333333337</v>
      </c>
      <c r="V115" s="7">
        <f t="shared" si="19"/>
        <v>51.575000000000003</v>
      </c>
    </row>
    <row r="116" spans="1:22" ht="13.5" x14ac:dyDescent="0.25">
      <c r="A116" s="3">
        <f>RSI!A116</f>
        <v>45085</v>
      </c>
      <c r="B116" s="2">
        <f>RSI!B116</f>
        <v>5.952</v>
      </c>
      <c r="C116" s="2">
        <f>RSI!I116</f>
        <v>72.292670780268281</v>
      </c>
      <c r="D116" s="2">
        <f>MACD!E116</f>
        <v>-0.13806577114237495</v>
      </c>
      <c r="E116" s="2">
        <f>MACD!F116</f>
        <v>-0.10356649397642337</v>
      </c>
      <c r="F116" s="2">
        <f>'Moving Avg'!D116</f>
        <v>5.9413999999999998</v>
      </c>
      <c r="G116" s="2">
        <f>'Moving Avg'!F116</f>
        <v>5.7433499999999995</v>
      </c>
      <c r="H116" s="2">
        <f>'Moving Avg'!G116</f>
        <v>5.5651400000000004</v>
      </c>
      <c r="I116" s="2">
        <f>'Moving Avg'!H116</f>
        <v>0</v>
      </c>
      <c r="J116" s="5" t="str">
        <f>OBV!F116</f>
        <v>BEARISH</v>
      </c>
      <c r="K116" s="5" t="str">
        <f>OBV!G116</f>
        <v>STRONG</v>
      </c>
      <c r="L116" s="5" t="str">
        <f>OBV!H116</f>
        <v>BEARISH DIVERGENCE</v>
      </c>
      <c r="M116" s="7">
        <f t="shared" si="13"/>
        <v>0</v>
      </c>
      <c r="N116" s="7">
        <f t="shared" si="10"/>
        <v>100</v>
      </c>
      <c r="O116" s="7">
        <f t="shared" si="11"/>
        <v>75</v>
      </c>
      <c r="P116" s="7">
        <f t="shared" si="12"/>
        <v>33</v>
      </c>
      <c r="Q116" s="8">
        <f t="shared" si="14"/>
        <v>51.2</v>
      </c>
      <c r="R116" s="8">
        <f t="shared" si="15"/>
        <v>54.5</v>
      </c>
      <c r="S116" s="8">
        <f t="shared" si="16"/>
        <v>48.6</v>
      </c>
      <c r="T116" s="8">
        <f t="shared" si="17"/>
        <v>52</v>
      </c>
      <c r="U116" s="7">
        <f t="shared" si="18"/>
        <v>51.433333333333337</v>
      </c>
      <c r="V116" s="7">
        <f t="shared" si="19"/>
        <v>51.575000000000003</v>
      </c>
    </row>
    <row r="117" spans="1:22" ht="13.5" x14ac:dyDescent="0.25">
      <c r="A117" s="3">
        <f>RSI!A117</f>
        <v>45086</v>
      </c>
      <c r="B117" s="2">
        <f>RSI!B117</f>
        <v>5.952</v>
      </c>
      <c r="C117" s="2">
        <f>RSI!I117</f>
        <v>72.292670780268281</v>
      </c>
      <c r="D117" s="2">
        <f>MACD!E117</f>
        <v>-0.14608690852976824</v>
      </c>
      <c r="E117" s="2">
        <f>MACD!F117</f>
        <v>-0.11207057688709235</v>
      </c>
      <c r="F117" s="2">
        <f>'Moving Avg'!D117</f>
        <v>5.9467999999999988</v>
      </c>
      <c r="G117" s="2">
        <f>'Moving Avg'!F117</f>
        <v>5.7627499999999996</v>
      </c>
      <c r="H117" s="2">
        <f>'Moving Avg'!G117</f>
        <v>5.5785200000000001</v>
      </c>
      <c r="I117" s="2">
        <f>'Moving Avg'!H117</f>
        <v>0</v>
      </c>
      <c r="J117" s="5" t="str">
        <f>OBV!F117</f>
        <v>BEARISH</v>
      </c>
      <c r="K117" s="5" t="str">
        <f>OBV!G117</f>
        <v>STRONG</v>
      </c>
      <c r="L117" s="5" t="str">
        <f>OBV!H117</f>
        <v>BEARISH DIVERGENCE</v>
      </c>
      <c r="M117" s="7">
        <f t="shared" si="13"/>
        <v>0</v>
      </c>
      <c r="N117" s="7">
        <f t="shared" si="10"/>
        <v>100</v>
      </c>
      <c r="O117" s="7">
        <f t="shared" si="11"/>
        <v>75</v>
      </c>
      <c r="P117" s="7">
        <f t="shared" si="12"/>
        <v>33</v>
      </c>
      <c r="Q117" s="8">
        <f t="shared" si="14"/>
        <v>51.2</v>
      </c>
      <c r="R117" s="8">
        <f t="shared" si="15"/>
        <v>54.5</v>
      </c>
      <c r="S117" s="8">
        <f t="shared" si="16"/>
        <v>48.6</v>
      </c>
      <c r="T117" s="8">
        <f t="shared" si="17"/>
        <v>52</v>
      </c>
      <c r="U117" s="7">
        <f t="shared" si="18"/>
        <v>51.433333333333337</v>
      </c>
      <c r="V117" s="7">
        <f t="shared" si="19"/>
        <v>51.575000000000003</v>
      </c>
    </row>
    <row r="118" spans="1:22" ht="13.5" x14ac:dyDescent="0.25">
      <c r="A118" s="3">
        <f>RSI!A118</f>
        <v>45089</v>
      </c>
      <c r="B118" s="2">
        <f>RSI!B118</f>
        <v>5.9340000000000002</v>
      </c>
      <c r="C118" s="2">
        <f>RSI!I118</f>
        <v>69.660089210706246</v>
      </c>
      <c r="D118" s="2">
        <f>MACD!E118</f>
        <v>-0.11883752148536342</v>
      </c>
      <c r="E118" s="2">
        <f>MACD!F118</f>
        <v>-0.11342396580674656</v>
      </c>
      <c r="F118" s="2">
        <f>'Moving Avg'!D118</f>
        <v>5.9538000000000002</v>
      </c>
      <c r="G118" s="2">
        <f>'Moving Avg'!F118</f>
        <v>5.7812499999999991</v>
      </c>
      <c r="H118" s="2">
        <f>'Moving Avg'!G118</f>
        <v>5.5908600000000002</v>
      </c>
      <c r="I118" s="2">
        <f>'Moving Avg'!H118</f>
        <v>0</v>
      </c>
      <c r="J118" s="5" t="str">
        <f>OBV!F118</f>
        <v>BEARISH</v>
      </c>
      <c r="K118" s="5" t="str">
        <f>OBV!G118</f>
        <v>STRONG</v>
      </c>
      <c r="L118" s="5" t="str">
        <f>OBV!H118</f>
        <v>BEARISH DIVERGENCE</v>
      </c>
      <c r="M118" s="7">
        <f t="shared" si="13"/>
        <v>50</v>
      </c>
      <c r="N118" s="7">
        <f t="shared" si="10"/>
        <v>45</v>
      </c>
      <c r="O118" s="7">
        <f t="shared" si="11"/>
        <v>75</v>
      </c>
      <c r="P118" s="7">
        <f t="shared" si="12"/>
        <v>33</v>
      </c>
      <c r="Q118" s="8">
        <f t="shared" si="14"/>
        <v>49.45</v>
      </c>
      <c r="R118" s="8">
        <f t="shared" si="15"/>
        <v>53.5</v>
      </c>
      <c r="S118" s="8">
        <f t="shared" si="16"/>
        <v>47.85</v>
      </c>
      <c r="T118" s="8">
        <f t="shared" si="17"/>
        <v>50.75</v>
      </c>
      <c r="U118" s="7">
        <f t="shared" si="18"/>
        <v>50.266666666666673</v>
      </c>
      <c r="V118" s="7">
        <f t="shared" si="19"/>
        <v>50.387500000000003</v>
      </c>
    </row>
    <row r="119" spans="1:22" ht="13.5" x14ac:dyDescent="0.25">
      <c r="A119" s="3">
        <f>RSI!A119</f>
        <v>45090</v>
      </c>
      <c r="B119" s="2">
        <f>RSI!B119</f>
        <v>5.952</v>
      </c>
      <c r="C119" s="2">
        <f>RSI!I119</f>
        <v>70.805023038709237</v>
      </c>
      <c r="D119" s="2">
        <f>MACD!E119</f>
        <v>-0.10466962540800573</v>
      </c>
      <c r="E119" s="2">
        <f>MACD!F119</f>
        <v>-0.1116730977269984</v>
      </c>
      <c r="F119" s="2">
        <f>'Moving Avg'!D119</f>
        <v>5.9502000000000006</v>
      </c>
      <c r="G119" s="2">
        <f>'Moving Avg'!F119</f>
        <v>5.7993999999999994</v>
      </c>
      <c r="H119" s="2">
        <f>'Moving Avg'!G119</f>
        <v>5.6028800000000016</v>
      </c>
      <c r="I119" s="2">
        <f>'Moving Avg'!H119</f>
        <v>0</v>
      </c>
      <c r="J119" s="5" t="str">
        <f>OBV!F119</f>
        <v>BEARISH</v>
      </c>
      <c r="K119" s="5" t="str">
        <f>OBV!G119</f>
        <v>STRONG</v>
      </c>
      <c r="L119" s="5" t="str">
        <f>OBV!H119</f>
        <v>CONFIRMED BEARISH</v>
      </c>
      <c r="M119" s="7">
        <f t="shared" si="13"/>
        <v>0</v>
      </c>
      <c r="N119" s="7">
        <f t="shared" si="10"/>
        <v>0</v>
      </c>
      <c r="O119" s="7">
        <f t="shared" si="11"/>
        <v>75</v>
      </c>
      <c r="P119" s="7">
        <f t="shared" si="12"/>
        <v>33</v>
      </c>
      <c r="Q119" s="8">
        <f t="shared" si="14"/>
        <v>16.2</v>
      </c>
      <c r="R119" s="8">
        <f t="shared" si="15"/>
        <v>34.5</v>
      </c>
      <c r="S119" s="8">
        <f t="shared" si="16"/>
        <v>33.6</v>
      </c>
      <c r="T119" s="8">
        <f t="shared" si="17"/>
        <v>27</v>
      </c>
      <c r="U119" s="7">
        <f t="shared" si="18"/>
        <v>28.100000000000005</v>
      </c>
      <c r="V119" s="7">
        <f t="shared" si="19"/>
        <v>27.825000000000003</v>
      </c>
    </row>
    <row r="120" spans="1:22" ht="13.5" x14ac:dyDescent="0.25">
      <c r="A120" s="3">
        <f>RSI!A120</f>
        <v>45091</v>
      </c>
      <c r="B120" s="2">
        <f>RSI!B120</f>
        <v>5.9610000000000003</v>
      </c>
      <c r="C120" s="2">
        <f>RSI!I120</f>
        <v>71.386446525067342</v>
      </c>
      <c r="D120" s="2">
        <f>MACD!E120</f>
        <v>-7.6621619929643003E-2</v>
      </c>
      <c r="E120" s="2">
        <f>MACD!F120</f>
        <v>-0.10466280216752734</v>
      </c>
      <c r="F120" s="2">
        <f>'Moving Avg'!D120</f>
        <v>5.9501999999999997</v>
      </c>
      <c r="G120" s="2">
        <f>'Moving Avg'!F120</f>
        <v>5.8175499999999989</v>
      </c>
      <c r="H120" s="2">
        <f>'Moving Avg'!G120</f>
        <v>5.6150800000000016</v>
      </c>
      <c r="I120" s="2">
        <f>'Moving Avg'!H120</f>
        <v>0</v>
      </c>
      <c r="J120" s="5" t="str">
        <f>OBV!F120</f>
        <v>BULLISH</v>
      </c>
      <c r="K120" s="5" t="str">
        <f>OBV!G120</f>
        <v>NEUTRAL</v>
      </c>
      <c r="L120" s="5" t="str">
        <f>OBV!H120</f>
        <v>NEUTRAL</v>
      </c>
      <c r="M120" s="7">
        <f t="shared" si="13"/>
        <v>0</v>
      </c>
      <c r="N120" s="7">
        <f t="shared" si="10"/>
        <v>0</v>
      </c>
      <c r="O120" s="7">
        <f t="shared" si="11"/>
        <v>75</v>
      </c>
      <c r="P120" s="7">
        <f t="shared" si="12"/>
        <v>49.5</v>
      </c>
      <c r="Q120" s="8">
        <f t="shared" si="14"/>
        <v>18.675000000000001</v>
      </c>
      <c r="R120" s="8">
        <f t="shared" si="15"/>
        <v>38.625</v>
      </c>
      <c r="S120" s="8">
        <f t="shared" si="16"/>
        <v>41.025000000000006</v>
      </c>
      <c r="T120" s="8">
        <f t="shared" si="17"/>
        <v>31.125</v>
      </c>
      <c r="U120" s="7">
        <f t="shared" si="18"/>
        <v>32.774999999999999</v>
      </c>
      <c r="V120" s="7">
        <f t="shared" si="19"/>
        <v>32.362499999999997</v>
      </c>
    </row>
    <row r="121" spans="1:22" ht="13.5" x14ac:dyDescent="0.25">
      <c r="A121" s="3">
        <f>RSI!A121</f>
        <v>45092</v>
      </c>
      <c r="B121" s="2">
        <f>RSI!B121</f>
        <v>5.9610000000000003</v>
      </c>
      <c r="C121" s="2">
        <f>RSI!I121</f>
        <v>71.386446525067342</v>
      </c>
      <c r="D121" s="2">
        <f>MACD!E121</f>
        <v>-6.7670941906086135E-2</v>
      </c>
      <c r="E121" s="2">
        <f>MACD!F121</f>
        <v>-9.7264430115239109E-2</v>
      </c>
      <c r="F121" s="2">
        <f>'Moving Avg'!D121</f>
        <v>5.952</v>
      </c>
      <c r="G121" s="2">
        <f>'Moving Avg'!F121</f>
        <v>5.8361499999999982</v>
      </c>
      <c r="H121" s="2">
        <f>'Moving Avg'!G121</f>
        <v>5.6272800000000025</v>
      </c>
      <c r="I121" s="2">
        <f>'Moving Avg'!H121</f>
        <v>0</v>
      </c>
      <c r="J121" s="5" t="str">
        <f>OBV!F121</f>
        <v>BULLISH</v>
      </c>
      <c r="K121" s="5" t="str">
        <f>OBV!G121</f>
        <v>WEAK</v>
      </c>
      <c r="L121" s="5" t="str">
        <f>OBV!H121</f>
        <v>CONFIRMED BULLISH</v>
      </c>
      <c r="M121" s="7">
        <f t="shared" si="13"/>
        <v>0</v>
      </c>
      <c r="N121" s="7">
        <f t="shared" si="10"/>
        <v>0</v>
      </c>
      <c r="O121" s="7">
        <f t="shared" si="11"/>
        <v>75</v>
      </c>
      <c r="P121" s="7">
        <f t="shared" si="12"/>
        <v>67</v>
      </c>
      <c r="Q121" s="8">
        <f t="shared" si="14"/>
        <v>21.299999999999997</v>
      </c>
      <c r="R121" s="8">
        <f t="shared" si="15"/>
        <v>43</v>
      </c>
      <c r="S121" s="8">
        <f t="shared" si="16"/>
        <v>48.900000000000006</v>
      </c>
      <c r="T121" s="8">
        <f t="shared" si="17"/>
        <v>35.5</v>
      </c>
      <c r="U121" s="7">
        <f t="shared" si="18"/>
        <v>37.733333333333334</v>
      </c>
      <c r="V121" s="7">
        <f t="shared" si="19"/>
        <v>37.174999999999997</v>
      </c>
    </row>
    <row r="122" spans="1:22" ht="13.5" x14ac:dyDescent="0.25">
      <c r="A122" s="3">
        <f>RSI!A122</f>
        <v>45093</v>
      </c>
      <c r="B122" s="2">
        <f>RSI!B122</f>
        <v>5.9429999999999996</v>
      </c>
      <c r="C122" s="2">
        <f>RSI!I122</f>
        <v>68.234437778339213</v>
      </c>
      <c r="D122" s="2">
        <f>MACD!E122</f>
        <v>-4.8850086566762485E-2</v>
      </c>
      <c r="E122" s="2">
        <f>MACD!F122</f>
        <v>-8.7581561405543795E-2</v>
      </c>
      <c r="F122" s="2">
        <f>'Moving Avg'!D122</f>
        <v>5.9501999999999997</v>
      </c>
      <c r="G122" s="2">
        <f>'Moving Avg'!F122</f>
        <v>5.8542499999999986</v>
      </c>
      <c r="H122" s="2">
        <f>'Moving Avg'!G122</f>
        <v>5.6391200000000001</v>
      </c>
      <c r="I122" s="2">
        <f>'Moving Avg'!H122</f>
        <v>0</v>
      </c>
      <c r="J122" s="5" t="str">
        <f>OBV!F122</f>
        <v>BULLISH</v>
      </c>
      <c r="K122" s="5" t="str">
        <f>OBV!G122</f>
        <v>NEUTRAL</v>
      </c>
      <c r="L122" s="5" t="str">
        <f>OBV!H122</f>
        <v>BULLISH DIVERGENCE</v>
      </c>
      <c r="M122" s="7">
        <f t="shared" si="13"/>
        <v>50</v>
      </c>
      <c r="N122" s="7">
        <f t="shared" si="10"/>
        <v>0</v>
      </c>
      <c r="O122" s="7">
        <f t="shared" si="11"/>
        <v>75</v>
      </c>
      <c r="P122" s="7">
        <f t="shared" si="12"/>
        <v>66.5</v>
      </c>
      <c r="Q122" s="8">
        <f t="shared" si="14"/>
        <v>38.725000000000001</v>
      </c>
      <c r="R122" s="8">
        <f t="shared" si="15"/>
        <v>52.875</v>
      </c>
      <c r="S122" s="8">
        <f t="shared" si="16"/>
        <v>56.174999999999997</v>
      </c>
      <c r="T122" s="8">
        <f t="shared" si="17"/>
        <v>47.875</v>
      </c>
      <c r="U122" s="7">
        <f t="shared" si="18"/>
        <v>49.258333333333326</v>
      </c>
      <c r="V122" s="7">
        <f t="shared" si="19"/>
        <v>48.912499999999994</v>
      </c>
    </row>
    <row r="123" spans="1:22" ht="13.5" x14ac:dyDescent="0.25">
      <c r="A123" s="3">
        <f>RSI!A123</f>
        <v>45096</v>
      </c>
      <c r="B123" s="2">
        <f>RSI!B123</f>
        <v>5.9429999999999996</v>
      </c>
      <c r="C123" s="2">
        <f>RSI!I123</f>
        <v>68.234437778339213</v>
      </c>
      <c r="D123" s="2">
        <f>MACD!E123</f>
        <v>-3.7752834246019162E-2</v>
      </c>
      <c r="E123" s="2">
        <f>MACD!F123</f>
        <v>-7.7615815973638869E-2</v>
      </c>
      <c r="F123" s="2">
        <f>'Moving Avg'!D123</f>
        <v>5.952</v>
      </c>
      <c r="G123" s="2">
        <f>'Moving Avg'!F123</f>
        <v>5.8710999999999993</v>
      </c>
      <c r="H123" s="2">
        <f>'Moving Avg'!G123</f>
        <v>5.6501000000000001</v>
      </c>
      <c r="I123" s="2">
        <f>'Moving Avg'!H123</f>
        <v>0</v>
      </c>
      <c r="J123" s="5" t="str">
        <f>OBV!F123</f>
        <v>BULLISH</v>
      </c>
      <c r="K123" s="5" t="str">
        <f>OBV!G123</f>
        <v>WEAK</v>
      </c>
      <c r="L123" s="5" t="str">
        <f>OBV!H123</f>
        <v>CONFIRMED BULLISH</v>
      </c>
      <c r="M123" s="7">
        <f t="shared" si="13"/>
        <v>50</v>
      </c>
      <c r="N123" s="7">
        <f t="shared" si="10"/>
        <v>0</v>
      </c>
      <c r="O123" s="7">
        <f t="shared" si="11"/>
        <v>75</v>
      </c>
      <c r="P123" s="7">
        <f t="shared" si="12"/>
        <v>67</v>
      </c>
      <c r="Q123" s="8">
        <f t="shared" si="14"/>
        <v>38.799999999999997</v>
      </c>
      <c r="R123" s="8">
        <f t="shared" si="15"/>
        <v>53</v>
      </c>
      <c r="S123" s="8">
        <f t="shared" si="16"/>
        <v>56.400000000000006</v>
      </c>
      <c r="T123" s="8">
        <f t="shared" si="17"/>
        <v>48</v>
      </c>
      <c r="U123" s="7">
        <f t="shared" si="18"/>
        <v>49.4</v>
      </c>
      <c r="V123" s="7">
        <f t="shared" si="19"/>
        <v>49.05</v>
      </c>
    </row>
    <row r="124" spans="1:22" ht="13.5" x14ac:dyDescent="0.25">
      <c r="A124" s="3">
        <f>RSI!A124</f>
        <v>45097</v>
      </c>
      <c r="B124" s="2">
        <f>RSI!B124</f>
        <v>5.9249999999999998</v>
      </c>
      <c r="C124" s="2">
        <f>RSI!I124</f>
        <v>64.910477535026288</v>
      </c>
      <c r="D124" s="2">
        <f>MACD!E124</f>
        <v>-1.687318830531126E-2</v>
      </c>
      <c r="E124" s="2">
        <f>MACD!F124</f>
        <v>-6.5467290439973347E-2</v>
      </c>
      <c r="F124" s="2">
        <f>'Moving Avg'!D124</f>
        <v>5.9466000000000001</v>
      </c>
      <c r="G124" s="2">
        <f>'Moving Avg'!F124</f>
        <v>5.8870499999999986</v>
      </c>
      <c r="H124" s="2">
        <f>'Moving Avg'!G124</f>
        <v>5.6607200000000004</v>
      </c>
      <c r="I124" s="2">
        <f>'Moving Avg'!H124</f>
        <v>0</v>
      </c>
      <c r="J124" s="5" t="str">
        <f>OBV!F124</f>
        <v>BEARISH</v>
      </c>
      <c r="K124" s="5" t="str">
        <f>OBV!G124</f>
        <v>STRONG</v>
      </c>
      <c r="L124" s="5" t="str">
        <f>OBV!H124</f>
        <v>CONFIRMED BEARISH</v>
      </c>
      <c r="M124" s="7">
        <f t="shared" si="13"/>
        <v>50</v>
      </c>
      <c r="N124" s="7">
        <f t="shared" si="10"/>
        <v>0</v>
      </c>
      <c r="O124" s="7">
        <f t="shared" si="11"/>
        <v>75</v>
      </c>
      <c r="P124" s="7">
        <f t="shared" si="12"/>
        <v>33</v>
      </c>
      <c r="Q124" s="8">
        <f t="shared" si="14"/>
        <v>33.700000000000003</v>
      </c>
      <c r="R124" s="8">
        <f t="shared" si="15"/>
        <v>44.5</v>
      </c>
      <c r="S124" s="8">
        <f t="shared" si="16"/>
        <v>41.1</v>
      </c>
      <c r="T124" s="8">
        <f t="shared" si="17"/>
        <v>39.5</v>
      </c>
      <c r="U124" s="7">
        <f t="shared" si="18"/>
        <v>39.766666666666673</v>
      </c>
      <c r="V124" s="7">
        <f t="shared" si="19"/>
        <v>39.700000000000003</v>
      </c>
    </row>
    <row r="125" spans="1:22" ht="13.5" x14ac:dyDescent="0.25">
      <c r="A125" s="3">
        <f>RSI!A125</f>
        <v>45098</v>
      </c>
      <c r="B125" s="2">
        <f>RSI!B125</f>
        <v>5.9340000000000002</v>
      </c>
      <c r="C125" s="2">
        <f>RSI!I125</f>
        <v>65.807368032444344</v>
      </c>
      <c r="D125" s="2">
        <f>MACD!E125</f>
        <v>-1.8606658354656247E-3</v>
      </c>
      <c r="E125" s="2">
        <f>MACD!F125</f>
        <v>-5.2745965519071805E-2</v>
      </c>
      <c r="F125" s="2">
        <f>'Moving Avg'!D125</f>
        <v>5.9412000000000003</v>
      </c>
      <c r="G125" s="2">
        <f>'Moving Avg'!F125</f>
        <v>5.9008999999999983</v>
      </c>
      <c r="H125" s="2">
        <f>'Moving Avg'!G125</f>
        <v>5.6706800000000008</v>
      </c>
      <c r="I125" s="2">
        <f>'Moving Avg'!H125</f>
        <v>0</v>
      </c>
      <c r="J125" s="5" t="str">
        <f>OBV!F125</f>
        <v>BEARISH</v>
      </c>
      <c r="K125" s="5" t="str">
        <f>OBV!G125</f>
        <v>STRONG</v>
      </c>
      <c r="L125" s="5" t="str">
        <f>OBV!H125</f>
        <v>CONFIRMED BEARISH</v>
      </c>
      <c r="M125" s="7">
        <f t="shared" si="13"/>
        <v>50</v>
      </c>
      <c r="N125" s="7">
        <f t="shared" si="10"/>
        <v>0</v>
      </c>
      <c r="O125" s="7">
        <f t="shared" si="11"/>
        <v>75</v>
      </c>
      <c r="P125" s="7">
        <f t="shared" si="12"/>
        <v>33</v>
      </c>
      <c r="Q125" s="8">
        <f t="shared" si="14"/>
        <v>33.700000000000003</v>
      </c>
      <c r="R125" s="8">
        <f t="shared" si="15"/>
        <v>44.5</v>
      </c>
      <c r="S125" s="8">
        <f t="shared" si="16"/>
        <v>41.1</v>
      </c>
      <c r="T125" s="8">
        <f t="shared" si="17"/>
        <v>39.5</v>
      </c>
      <c r="U125" s="7">
        <f t="shared" si="18"/>
        <v>39.766666666666673</v>
      </c>
      <c r="V125" s="7">
        <f t="shared" si="19"/>
        <v>39.700000000000003</v>
      </c>
    </row>
    <row r="126" spans="1:22" ht="13.5" x14ac:dyDescent="0.25">
      <c r="A126" s="3">
        <f>RSI!A126</f>
        <v>45099</v>
      </c>
      <c r="B126" s="2">
        <f>RSI!B126</f>
        <v>5.9429999999999996</v>
      </c>
      <c r="C126" s="2">
        <f>RSI!I126</f>
        <v>66.723348610318112</v>
      </c>
      <c r="D126" s="2">
        <f>MACD!E126</f>
        <v>8.1788963940203629E-3</v>
      </c>
      <c r="E126" s="2">
        <f>MACD!F126</f>
        <v>-4.0560993136453373E-2</v>
      </c>
      <c r="F126" s="2">
        <f>'Moving Avg'!D126</f>
        <v>5.9376000000000007</v>
      </c>
      <c r="G126" s="2">
        <f>'Moving Avg'!F126</f>
        <v>5.9147999999999987</v>
      </c>
      <c r="H126" s="2">
        <f>'Moving Avg'!G126</f>
        <v>5.6792800000000012</v>
      </c>
      <c r="I126" s="2">
        <f>'Moving Avg'!H126</f>
        <v>0</v>
      </c>
      <c r="J126" s="5" t="str">
        <f>OBV!F126</f>
        <v>BULLISH</v>
      </c>
      <c r="K126" s="5" t="str">
        <f>OBV!G126</f>
        <v>NEUTRAL</v>
      </c>
      <c r="L126" s="5" t="str">
        <f>OBV!H126</f>
        <v>BULLISH DIVERGENCE</v>
      </c>
      <c r="M126" s="7">
        <f t="shared" si="13"/>
        <v>50</v>
      </c>
      <c r="N126" s="7">
        <f t="shared" si="10"/>
        <v>0</v>
      </c>
      <c r="O126" s="7">
        <f t="shared" si="11"/>
        <v>75</v>
      </c>
      <c r="P126" s="7">
        <f t="shared" si="12"/>
        <v>66.5</v>
      </c>
      <c r="Q126" s="8">
        <f t="shared" si="14"/>
        <v>38.725000000000001</v>
      </c>
      <c r="R126" s="8">
        <f t="shared" si="15"/>
        <v>52.875</v>
      </c>
      <c r="S126" s="8">
        <f t="shared" si="16"/>
        <v>56.174999999999997</v>
      </c>
      <c r="T126" s="8">
        <f t="shared" si="17"/>
        <v>47.875</v>
      </c>
      <c r="U126" s="7">
        <f t="shared" si="18"/>
        <v>49.258333333333326</v>
      </c>
      <c r="V126" s="7">
        <f t="shared" si="19"/>
        <v>48.912499999999994</v>
      </c>
    </row>
    <row r="127" spans="1:22" ht="13.5" x14ac:dyDescent="0.25">
      <c r="A127" s="3">
        <f>RSI!A127</f>
        <v>45100</v>
      </c>
      <c r="B127" s="2">
        <f>RSI!B127</f>
        <v>5.9340000000000002</v>
      </c>
      <c r="C127" s="2">
        <f>RSI!I127</f>
        <v>64.852389068714359</v>
      </c>
      <c r="D127" s="2">
        <f>MACD!E127</f>
        <v>1.6720674250238154E-2</v>
      </c>
      <c r="E127" s="2">
        <f>MACD!F127</f>
        <v>-2.910465965911507E-2</v>
      </c>
      <c r="F127" s="2">
        <f>'Moving Avg'!D127</f>
        <v>5.9357999999999995</v>
      </c>
      <c r="G127" s="2">
        <f>'Moving Avg'!F127</f>
        <v>5.9290999999999991</v>
      </c>
      <c r="H127" s="2">
        <f>'Moving Avg'!G127</f>
        <v>5.6880400000000018</v>
      </c>
      <c r="I127" s="2">
        <f>'Moving Avg'!H127</f>
        <v>0</v>
      </c>
      <c r="J127" s="5" t="str">
        <f>OBV!F127</f>
        <v>BEARISH</v>
      </c>
      <c r="K127" s="5" t="str">
        <f>OBV!G127</f>
        <v>NEUTRAL</v>
      </c>
      <c r="L127" s="5" t="str">
        <f>OBV!H127</f>
        <v>CONFIRMED BEARISH</v>
      </c>
      <c r="M127" s="7">
        <f t="shared" si="13"/>
        <v>50</v>
      </c>
      <c r="N127" s="7">
        <f t="shared" si="10"/>
        <v>0</v>
      </c>
      <c r="O127" s="7">
        <f t="shared" si="11"/>
        <v>75</v>
      </c>
      <c r="P127" s="7">
        <f t="shared" si="12"/>
        <v>16.5</v>
      </c>
      <c r="Q127" s="8">
        <f t="shared" si="14"/>
        <v>31.225000000000001</v>
      </c>
      <c r="R127" s="8">
        <f t="shared" si="15"/>
        <v>40.375</v>
      </c>
      <c r="S127" s="8">
        <f t="shared" si="16"/>
        <v>33.674999999999997</v>
      </c>
      <c r="T127" s="8">
        <f t="shared" si="17"/>
        <v>35.375</v>
      </c>
      <c r="U127" s="7">
        <f t="shared" si="18"/>
        <v>35.091666666666661</v>
      </c>
      <c r="V127" s="7">
        <f t="shared" si="19"/>
        <v>35.162499999999994</v>
      </c>
    </row>
    <row r="128" spans="1:22" ht="13.5" x14ac:dyDescent="0.25">
      <c r="A128" s="3">
        <f>RSI!A128</f>
        <v>45103</v>
      </c>
      <c r="B128" s="2">
        <f>RSI!B128</f>
        <v>5.9249999999999998</v>
      </c>
      <c r="C128" s="2">
        <f>RSI!I128</f>
        <v>62.951412665159914</v>
      </c>
      <c r="D128" s="2">
        <f>MACD!E128</f>
        <v>2.1324965456673617E-2</v>
      </c>
      <c r="E128" s="2">
        <f>MACD!F128</f>
        <v>-1.9018734635957334E-2</v>
      </c>
      <c r="F128" s="2">
        <f>'Moving Avg'!D128</f>
        <v>5.9321999999999999</v>
      </c>
      <c r="G128" s="2">
        <f>'Moving Avg'!F128</f>
        <v>5.9318999999999988</v>
      </c>
      <c r="H128" s="2">
        <f>'Moving Avg'!G128</f>
        <v>5.6966200000000029</v>
      </c>
      <c r="I128" s="2">
        <f>'Moving Avg'!H128</f>
        <v>0</v>
      </c>
      <c r="J128" s="5" t="str">
        <f>OBV!F128</f>
        <v>BEARISH</v>
      </c>
      <c r="K128" s="5" t="str">
        <f>OBV!G128</f>
        <v>STRONG</v>
      </c>
      <c r="L128" s="5" t="str">
        <f>OBV!H128</f>
        <v>CONFIRMED BEARISH</v>
      </c>
      <c r="M128" s="7">
        <f t="shared" si="13"/>
        <v>50</v>
      </c>
      <c r="N128" s="7">
        <f t="shared" si="10"/>
        <v>0</v>
      </c>
      <c r="O128" s="7">
        <f t="shared" si="11"/>
        <v>75</v>
      </c>
      <c r="P128" s="7">
        <f t="shared" si="12"/>
        <v>33</v>
      </c>
      <c r="Q128" s="8">
        <f t="shared" si="14"/>
        <v>33.700000000000003</v>
      </c>
      <c r="R128" s="8">
        <f t="shared" si="15"/>
        <v>44.5</v>
      </c>
      <c r="S128" s="8">
        <f t="shared" si="16"/>
        <v>41.1</v>
      </c>
      <c r="T128" s="8">
        <f t="shared" si="17"/>
        <v>39.5</v>
      </c>
      <c r="U128" s="7">
        <f t="shared" si="18"/>
        <v>39.766666666666673</v>
      </c>
      <c r="V128" s="7">
        <f t="shared" si="19"/>
        <v>39.700000000000003</v>
      </c>
    </row>
    <row r="129" spans="1:22" ht="13.5" x14ac:dyDescent="0.25">
      <c r="A129" s="3">
        <f>RSI!A129</f>
        <v>45104</v>
      </c>
      <c r="B129" s="2">
        <f>RSI!B129</f>
        <v>5.9249999999999998</v>
      </c>
      <c r="C129" s="2">
        <f>RSI!I129</f>
        <v>62.951412665159914</v>
      </c>
      <c r="D129" s="2">
        <f>MACD!E129</f>
        <v>2.7561091439418206E-2</v>
      </c>
      <c r="E129" s="2">
        <f>MACD!F129</f>
        <v>-9.7027694208822266E-3</v>
      </c>
      <c r="F129" s="2">
        <f>'Moving Avg'!D129</f>
        <v>5.9321999999999999</v>
      </c>
      <c r="G129" s="2">
        <f>'Moving Avg'!F129</f>
        <v>5.936799999999999</v>
      </c>
      <c r="H129" s="2">
        <f>'Moving Avg'!G129</f>
        <v>5.7057200000000021</v>
      </c>
      <c r="I129" s="2">
        <f>'Moving Avg'!H129</f>
        <v>0</v>
      </c>
      <c r="J129" s="5" t="str">
        <f>OBV!F129</f>
        <v>BEARISH</v>
      </c>
      <c r="K129" s="5" t="str">
        <f>OBV!G129</f>
        <v>NEUTRAL</v>
      </c>
      <c r="L129" s="5" t="str">
        <f>OBV!H129</f>
        <v>NEUTRAL</v>
      </c>
      <c r="M129" s="7">
        <f t="shared" si="13"/>
        <v>50</v>
      </c>
      <c r="N129" s="7">
        <f t="shared" si="10"/>
        <v>0</v>
      </c>
      <c r="O129" s="7">
        <f t="shared" si="11"/>
        <v>75</v>
      </c>
      <c r="P129" s="7">
        <f t="shared" si="12"/>
        <v>16.5</v>
      </c>
      <c r="Q129" s="8">
        <f t="shared" si="14"/>
        <v>31.225000000000001</v>
      </c>
      <c r="R129" s="8">
        <f t="shared" si="15"/>
        <v>40.375</v>
      </c>
      <c r="S129" s="8">
        <f t="shared" si="16"/>
        <v>33.674999999999997</v>
      </c>
      <c r="T129" s="8">
        <f t="shared" si="17"/>
        <v>35.375</v>
      </c>
      <c r="U129" s="7">
        <f t="shared" si="18"/>
        <v>35.091666666666661</v>
      </c>
      <c r="V129" s="7">
        <f t="shared" si="19"/>
        <v>35.162499999999994</v>
      </c>
    </row>
    <row r="130" spans="1:22" ht="13.5" x14ac:dyDescent="0.25">
      <c r="A130" s="3">
        <f>RSI!A130</f>
        <v>45107</v>
      </c>
      <c r="B130" s="2">
        <f>RSI!B130</f>
        <v>5.89</v>
      </c>
      <c r="C130" s="2">
        <f>RSI!I130</f>
        <v>55.600752909045028</v>
      </c>
      <c r="D130" s="2">
        <f>MACD!E130</f>
        <v>3.6417758902372199E-2</v>
      </c>
      <c r="E130" s="2">
        <f>MACD!F130</f>
        <v>-4.7866375623134127E-4</v>
      </c>
      <c r="F130" s="2">
        <f>'Moving Avg'!D130</f>
        <v>5.9234</v>
      </c>
      <c r="G130" s="2">
        <f>'Moving Avg'!F130</f>
        <v>5.9341499999999989</v>
      </c>
      <c r="H130" s="2">
        <f>'Moving Avg'!G130</f>
        <v>5.7141200000000012</v>
      </c>
      <c r="I130" s="2">
        <f>'Moving Avg'!H130</f>
        <v>0</v>
      </c>
      <c r="J130" s="5" t="str">
        <f>OBV!F130</f>
        <v>BEARISH</v>
      </c>
      <c r="K130" s="5" t="str">
        <f>OBV!G130</f>
        <v>STRONG</v>
      </c>
      <c r="L130" s="5" t="str">
        <f>OBV!H130</f>
        <v>CONFIRMED BEARISH</v>
      </c>
      <c r="M130" s="7">
        <f t="shared" si="13"/>
        <v>50</v>
      </c>
      <c r="N130" s="7">
        <f t="shared" ref="N130:N193" si="20">IF(E130-D130&gt;0.02, 100, IF(E130-D130&lt;0,0,45))</f>
        <v>0</v>
      </c>
      <c r="O130" s="7">
        <f t="shared" ref="O130:O193" si="21">IF(F130-I130&gt;10,100,IF(F130-I130&gt;5,75, IF(F130-I130&gt;0,50,0)))</f>
        <v>75</v>
      </c>
      <c r="P130" s="7">
        <f t="shared" ref="P130:P193" si="22">IF(L130="confirmed bullish", 34, IF(L130="bullish divergence",17, 0))+IF(J130="bullish",33,IF(J130="bearish",0,16.5))+IF(K130="strong",33,IF(K130="weak",0,16.5))</f>
        <v>33</v>
      </c>
      <c r="Q130" s="8">
        <f t="shared" si="14"/>
        <v>33.700000000000003</v>
      </c>
      <c r="R130" s="8">
        <f t="shared" si="15"/>
        <v>44.5</v>
      </c>
      <c r="S130" s="8">
        <f t="shared" si="16"/>
        <v>41.1</v>
      </c>
      <c r="T130" s="8">
        <f t="shared" si="17"/>
        <v>39.5</v>
      </c>
      <c r="U130" s="7">
        <f t="shared" si="18"/>
        <v>39.766666666666673</v>
      </c>
      <c r="V130" s="7">
        <f t="shared" si="19"/>
        <v>39.700000000000003</v>
      </c>
    </row>
    <row r="131" spans="1:22" ht="13.5" x14ac:dyDescent="0.25">
      <c r="A131" s="3">
        <f>RSI!A131</f>
        <v>45110</v>
      </c>
      <c r="B131" s="2">
        <f>RSI!B131</f>
        <v>5.89</v>
      </c>
      <c r="C131" s="2">
        <f>RSI!I131</f>
        <v>55.600752909045028</v>
      </c>
      <c r="D131" s="2">
        <f>MACD!E131</f>
        <v>4.3750842995542882E-2</v>
      </c>
      <c r="E131" s="2">
        <f>MACD!F131</f>
        <v>8.3672375941235035E-3</v>
      </c>
      <c r="F131" s="2">
        <f>'Moving Avg'!D131</f>
        <v>5.9127999999999998</v>
      </c>
      <c r="G131" s="2">
        <f>'Moving Avg'!F131</f>
        <v>5.9359499999999992</v>
      </c>
      <c r="H131" s="2">
        <f>'Moving Avg'!G131</f>
        <v>5.722520000000002</v>
      </c>
      <c r="I131" s="2">
        <f>'Moving Avg'!H131</f>
        <v>0</v>
      </c>
      <c r="J131" s="5" t="str">
        <f>OBV!F131</f>
        <v>BEARISH</v>
      </c>
      <c r="K131" s="5" t="str">
        <f>OBV!G131</f>
        <v>STRONG</v>
      </c>
      <c r="L131" s="5" t="str">
        <f>OBV!H131</f>
        <v>CONFIRMED BEARISH</v>
      </c>
      <c r="M131" s="7">
        <f t="shared" ref="M131:M194" si="23">IF(C131&lt;30,100, IF(C131&gt;70, 0, 50))</f>
        <v>50</v>
      </c>
      <c r="N131" s="7">
        <f t="shared" si="20"/>
        <v>0</v>
      </c>
      <c r="O131" s="7">
        <f t="shared" si="21"/>
        <v>75</v>
      </c>
      <c r="P131" s="7">
        <f t="shared" si="22"/>
        <v>33</v>
      </c>
      <c r="Q131" s="8">
        <f t="shared" ref="Q131:Q194" si="24">0.35*M131+N131*0.35+O131*0.15+P131*0.15</f>
        <v>33.700000000000003</v>
      </c>
      <c r="R131" s="8">
        <f t="shared" ref="R131:R194" si="25">M131*0.2+N131*0.2+O131*0.35+P131*0.25</f>
        <v>44.5</v>
      </c>
      <c r="S131" s="8">
        <f t="shared" ref="S131:S194" si="26">M131*0.15+N131*0.15+O131*0.25+P131*0.45</f>
        <v>41.1</v>
      </c>
      <c r="T131" s="8">
        <f t="shared" ref="T131:T194" si="27">0.25*SUM(M131:P131)</f>
        <v>39.5</v>
      </c>
      <c r="U131" s="7">
        <f t="shared" ref="U131:U194" si="28">SUM(Q131:S131)/3</f>
        <v>39.766666666666673</v>
      </c>
      <c r="V131" s="7">
        <f t="shared" ref="V131:V194" si="29">SUM(Q131:T131)/4</f>
        <v>39.700000000000003</v>
      </c>
    </row>
    <row r="132" spans="1:22" ht="13.5" x14ac:dyDescent="0.25">
      <c r="A132" s="3">
        <f>RSI!A132</f>
        <v>45111</v>
      </c>
      <c r="B132" s="2">
        <f>RSI!B132</f>
        <v>5.8630000000000004</v>
      </c>
      <c r="C132" s="2">
        <f>RSI!I132</f>
        <v>50.341631319297562</v>
      </c>
      <c r="D132" s="2">
        <f>MACD!E132</f>
        <v>4.903743773525715E-2</v>
      </c>
      <c r="E132" s="2">
        <f>MACD!F132</f>
        <v>1.6501277622350236E-2</v>
      </c>
      <c r="F132" s="2">
        <f>'Moving Avg'!D132</f>
        <v>5.8986000000000001</v>
      </c>
      <c r="G132" s="2">
        <f>'Moving Avg'!F132</f>
        <v>5.9328499999999984</v>
      </c>
      <c r="H132" s="2">
        <f>'Moving Avg'!G132</f>
        <v>5.7303800000000011</v>
      </c>
      <c r="I132" s="2">
        <f>'Moving Avg'!H132</f>
        <v>0</v>
      </c>
      <c r="J132" s="5" t="str">
        <f>OBV!F132</f>
        <v>BEARISH</v>
      </c>
      <c r="K132" s="5" t="str">
        <f>OBV!G132</f>
        <v>STRONG</v>
      </c>
      <c r="L132" s="5" t="str">
        <f>OBV!H132</f>
        <v>CONFIRMED BEARISH</v>
      </c>
      <c r="M132" s="7">
        <f t="shared" si="23"/>
        <v>50</v>
      </c>
      <c r="N132" s="7">
        <f t="shared" si="20"/>
        <v>0</v>
      </c>
      <c r="O132" s="7">
        <f t="shared" si="21"/>
        <v>75</v>
      </c>
      <c r="P132" s="7">
        <f t="shared" si="22"/>
        <v>33</v>
      </c>
      <c r="Q132" s="8">
        <f t="shared" si="24"/>
        <v>33.700000000000003</v>
      </c>
      <c r="R132" s="8">
        <f t="shared" si="25"/>
        <v>44.5</v>
      </c>
      <c r="S132" s="8">
        <f t="shared" si="26"/>
        <v>41.1</v>
      </c>
      <c r="T132" s="8">
        <f t="shared" si="27"/>
        <v>39.5</v>
      </c>
      <c r="U132" s="7">
        <f t="shared" si="28"/>
        <v>39.766666666666673</v>
      </c>
      <c r="V132" s="7">
        <f t="shared" si="29"/>
        <v>39.700000000000003</v>
      </c>
    </row>
    <row r="133" spans="1:22" ht="13.5" x14ac:dyDescent="0.25">
      <c r="A133" s="3">
        <f>RSI!A133</f>
        <v>45112</v>
      </c>
      <c r="B133" s="2">
        <f>RSI!B133</f>
        <v>5.766</v>
      </c>
      <c r="C133" s="2">
        <f>RSI!I133</f>
        <v>36.854587982323615</v>
      </c>
      <c r="D133" s="2">
        <f>MACD!E133</f>
        <v>6.0717391588477554E-2</v>
      </c>
      <c r="E133" s="2">
        <f>MACD!F133</f>
        <v>2.5344500415575701E-2</v>
      </c>
      <c r="F133" s="2">
        <f>'Moving Avg'!D133</f>
        <v>5.8667999999999996</v>
      </c>
      <c r="G133" s="2">
        <f>'Moving Avg'!F133</f>
        <v>5.9261999999999997</v>
      </c>
      <c r="H133" s="2">
        <f>'Moving Avg'!G133</f>
        <v>5.7363000000000008</v>
      </c>
      <c r="I133" s="2">
        <f>'Moving Avg'!H133</f>
        <v>0</v>
      </c>
      <c r="J133" s="5" t="str">
        <f>OBV!F133</f>
        <v>BEARISH</v>
      </c>
      <c r="K133" s="5" t="str">
        <f>OBV!G133</f>
        <v>STRONG</v>
      </c>
      <c r="L133" s="5" t="str">
        <f>OBV!H133</f>
        <v>CONFIRMED BEARISH</v>
      </c>
      <c r="M133" s="7">
        <f t="shared" si="23"/>
        <v>50</v>
      </c>
      <c r="N133" s="7">
        <f t="shared" si="20"/>
        <v>0</v>
      </c>
      <c r="O133" s="7">
        <f t="shared" si="21"/>
        <v>75</v>
      </c>
      <c r="P133" s="7">
        <f t="shared" si="22"/>
        <v>33</v>
      </c>
      <c r="Q133" s="8">
        <f t="shared" si="24"/>
        <v>33.700000000000003</v>
      </c>
      <c r="R133" s="8">
        <f t="shared" si="25"/>
        <v>44.5</v>
      </c>
      <c r="S133" s="8">
        <f t="shared" si="26"/>
        <v>41.1</v>
      </c>
      <c r="T133" s="8">
        <f t="shared" si="27"/>
        <v>39.5</v>
      </c>
      <c r="U133" s="7">
        <f t="shared" si="28"/>
        <v>39.766666666666673</v>
      </c>
      <c r="V133" s="7">
        <f t="shared" si="29"/>
        <v>39.700000000000003</v>
      </c>
    </row>
    <row r="134" spans="1:22" ht="13.5" x14ac:dyDescent="0.25">
      <c r="A134" s="3">
        <f>RSI!A134</f>
        <v>45113</v>
      </c>
      <c r="B134" s="2">
        <f>RSI!B134</f>
        <v>5.766</v>
      </c>
      <c r="C134" s="2">
        <f>RSI!I134</f>
        <v>36.854587982323615</v>
      </c>
      <c r="D134" s="2">
        <f>MACD!E134</f>
        <v>6.8424279745975092E-2</v>
      </c>
      <c r="E134" s="2">
        <f>MACD!F134</f>
        <v>3.3960456281655581E-2</v>
      </c>
      <c r="F134" s="2">
        <f>'Moving Avg'!D134</f>
        <v>5.8349999999999991</v>
      </c>
      <c r="G134" s="2">
        <f>'Moving Avg'!F134</f>
        <v>5.9159999999999995</v>
      </c>
      <c r="H134" s="2">
        <f>'Moving Avg'!G134</f>
        <v>5.7423800000000016</v>
      </c>
      <c r="I134" s="2">
        <f>'Moving Avg'!H134</f>
        <v>0</v>
      </c>
      <c r="J134" s="5" t="str">
        <f>OBV!F134</f>
        <v>BEARISH</v>
      </c>
      <c r="K134" s="5" t="str">
        <f>OBV!G134</f>
        <v>STRONG</v>
      </c>
      <c r="L134" s="5" t="str">
        <f>OBV!H134</f>
        <v>CONFIRMED BEARISH</v>
      </c>
      <c r="M134" s="7">
        <f t="shared" si="23"/>
        <v>50</v>
      </c>
      <c r="N134" s="7">
        <f t="shared" si="20"/>
        <v>0</v>
      </c>
      <c r="O134" s="7">
        <f t="shared" si="21"/>
        <v>75</v>
      </c>
      <c r="P134" s="7">
        <f t="shared" si="22"/>
        <v>33</v>
      </c>
      <c r="Q134" s="8">
        <f t="shared" si="24"/>
        <v>33.700000000000003</v>
      </c>
      <c r="R134" s="8">
        <f t="shared" si="25"/>
        <v>44.5</v>
      </c>
      <c r="S134" s="8">
        <f t="shared" si="26"/>
        <v>41.1</v>
      </c>
      <c r="T134" s="8">
        <f t="shared" si="27"/>
        <v>39.5</v>
      </c>
      <c r="U134" s="7">
        <f t="shared" si="28"/>
        <v>39.766666666666673</v>
      </c>
      <c r="V134" s="7">
        <f t="shared" si="29"/>
        <v>39.700000000000003</v>
      </c>
    </row>
    <row r="135" spans="1:22" ht="13.5" x14ac:dyDescent="0.25">
      <c r="A135" s="3">
        <f>RSI!A135</f>
        <v>45114</v>
      </c>
      <c r="B135" s="2">
        <f>RSI!B135</f>
        <v>5.766</v>
      </c>
      <c r="C135" s="2">
        <f>RSI!I135</f>
        <v>36.854587982323622</v>
      </c>
      <c r="D135" s="2">
        <f>MACD!E135</f>
        <v>7.687925730816314E-2</v>
      </c>
      <c r="E135" s="2">
        <f>MACD!F135</f>
        <v>4.2544216486957095E-2</v>
      </c>
      <c r="F135" s="2">
        <f>'Moving Avg'!D135</f>
        <v>5.8101999999999991</v>
      </c>
      <c r="G135" s="2">
        <f>'Moving Avg'!F135</f>
        <v>5.90625</v>
      </c>
      <c r="H135" s="2">
        <f>'Moving Avg'!G135</f>
        <v>5.7484600000000032</v>
      </c>
      <c r="I135" s="2">
        <f>'Moving Avg'!H135</f>
        <v>0</v>
      </c>
      <c r="J135" s="5" t="str">
        <f>OBV!F135</f>
        <v>BEARISH</v>
      </c>
      <c r="K135" s="5" t="str">
        <f>OBV!G135</f>
        <v>STRONG</v>
      </c>
      <c r="L135" s="5" t="str">
        <f>OBV!H135</f>
        <v>CONFIRMED BEARISH</v>
      </c>
      <c r="M135" s="7">
        <f t="shared" si="23"/>
        <v>50</v>
      </c>
      <c r="N135" s="7">
        <f t="shared" si="20"/>
        <v>0</v>
      </c>
      <c r="O135" s="7">
        <f t="shared" si="21"/>
        <v>75</v>
      </c>
      <c r="P135" s="7">
        <f t="shared" si="22"/>
        <v>33</v>
      </c>
      <c r="Q135" s="8">
        <f t="shared" si="24"/>
        <v>33.700000000000003</v>
      </c>
      <c r="R135" s="8">
        <f t="shared" si="25"/>
        <v>44.5</v>
      </c>
      <c r="S135" s="8">
        <f t="shared" si="26"/>
        <v>41.1</v>
      </c>
      <c r="T135" s="8">
        <f t="shared" si="27"/>
        <v>39.5</v>
      </c>
      <c r="U135" s="7">
        <f t="shared" si="28"/>
        <v>39.766666666666673</v>
      </c>
      <c r="V135" s="7">
        <f t="shared" si="29"/>
        <v>39.700000000000003</v>
      </c>
    </row>
    <row r="136" spans="1:22" ht="13.5" x14ac:dyDescent="0.25">
      <c r="A136" s="3">
        <f>RSI!A136</f>
        <v>45117</v>
      </c>
      <c r="B136" s="2">
        <f>RSI!B136</f>
        <v>5.6769999999999996</v>
      </c>
      <c r="C136" s="2">
        <f>RSI!I136</f>
        <v>28.197491386331393</v>
      </c>
      <c r="D136" s="2">
        <f>MACD!E136</f>
        <v>9.2519148477305357E-2</v>
      </c>
      <c r="E136" s="2">
        <f>MACD!F136</f>
        <v>5.2539202885026753E-2</v>
      </c>
      <c r="F136" s="2">
        <f>'Moving Avg'!D136</f>
        <v>5.7675999999999998</v>
      </c>
      <c r="G136" s="2">
        <f>'Moving Avg'!F136</f>
        <v>5.8925000000000001</v>
      </c>
      <c r="H136" s="2">
        <f>'Moving Avg'!G136</f>
        <v>5.7529400000000033</v>
      </c>
      <c r="I136" s="2">
        <f>'Moving Avg'!H136</f>
        <v>0</v>
      </c>
      <c r="J136" s="5" t="str">
        <f>OBV!F136</f>
        <v>BEARISH</v>
      </c>
      <c r="K136" s="5" t="str">
        <f>OBV!G136</f>
        <v>STRONG</v>
      </c>
      <c r="L136" s="5" t="str">
        <f>OBV!H136</f>
        <v>CONFIRMED BEARISH</v>
      </c>
      <c r="M136" s="7">
        <f t="shared" si="23"/>
        <v>100</v>
      </c>
      <c r="N136" s="7">
        <f t="shared" si="20"/>
        <v>0</v>
      </c>
      <c r="O136" s="7">
        <f t="shared" si="21"/>
        <v>75</v>
      </c>
      <c r="P136" s="7">
        <f t="shared" si="22"/>
        <v>33</v>
      </c>
      <c r="Q136" s="8">
        <f t="shared" si="24"/>
        <v>51.2</v>
      </c>
      <c r="R136" s="8">
        <f t="shared" si="25"/>
        <v>54.5</v>
      </c>
      <c r="S136" s="8">
        <f t="shared" si="26"/>
        <v>48.6</v>
      </c>
      <c r="T136" s="8">
        <f t="shared" si="27"/>
        <v>52</v>
      </c>
      <c r="U136" s="7">
        <f t="shared" si="28"/>
        <v>51.433333333333337</v>
      </c>
      <c r="V136" s="7">
        <f t="shared" si="29"/>
        <v>51.575000000000003</v>
      </c>
    </row>
    <row r="137" spans="1:22" ht="13.5" x14ac:dyDescent="0.25">
      <c r="A137" s="3">
        <f>RSI!A137</f>
        <v>45118</v>
      </c>
      <c r="B137" s="2">
        <f>RSI!B137</f>
        <v>5.6769999999999996</v>
      </c>
      <c r="C137" s="2">
        <f>RSI!I137</f>
        <v>28.197491386331407</v>
      </c>
      <c r="D137" s="2">
        <f>MACD!E137</f>
        <v>0.10536499884085337</v>
      </c>
      <c r="E137" s="2">
        <f>MACD!F137</f>
        <v>6.3104362076192078E-2</v>
      </c>
      <c r="F137" s="2">
        <f>'Moving Avg'!D137</f>
        <v>5.7304000000000004</v>
      </c>
      <c r="G137" s="2">
        <f>'Moving Avg'!F137</f>
        <v>5.8787499999999993</v>
      </c>
      <c r="H137" s="2">
        <f>'Moving Avg'!G137</f>
        <v>5.7574200000000042</v>
      </c>
      <c r="I137" s="2">
        <f>'Moving Avg'!H137</f>
        <v>0</v>
      </c>
      <c r="J137" s="5" t="str">
        <f>OBV!F137</f>
        <v>BEARISH</v>
      </c>
      <c r="K137" s="5" t="str">
        <f>OBV!G137</f>
        <v>STRONG</v>
      </c>
      <c r="L137" s="5" t="str">
        <f>OBV!H137</f>
        <v>CONFIRMED BEARISH</v>
      </c>
      <c r="M137" s="7">
        <f t="shared" si="23"/>
        <v>100</v>
      </c>
      <c r="N137" s="7">
        <f t="shared" si="20"/>
        <v>0</v>
      </c>
      <c r="O137" s="7">
        <f t="shared" si="21"/>
        <v>75</v>
      </c>
      <c r="P137" s="7">
        <f t="shared" si="22"/>
        <v>33</v>
      </c>
      <c r="Q137" s="8">
        <f t="shared" si="24"/>
        <v>51.2</v>
      </c>
      <c r="R137" s="8">
        <f t="shared" si="25"/>
        <v>54.5</v>
      </c>
      <c r="S137" s="8">
        <f t="shared" si="26"/>
        <v>48.6</v>
      </c>
      <c r="T137" s="8">
        <f t="shared" si="27"/>
        <v>52</v>
      </c>
      <c r="U137" s="7">
        <f t="shared" si="28"/>
        <v>51.433333333333337</v>
      </c>
      <c r="V137" s="7">
        <f t="shared" si="29"/>
        <v>51.575000000000003</v>
      </c>
    </row>
    <row r="138" spans="1:22" ht="13.5" x14ac:dyDescent="0.25">
      <c r="A138" s="3">
        <f>RSI!A138</f>
        <v>45119</v>
      </c>
      <c r="B138" s="2">
        <f>RSI!B138</f>
        <v>5.6769999999999996</v>
      </c>
      <c r="C138" s="2">
        <f>RSI!I138</f>
        <v>28.197491386331407</v>
      </c>
      <c r="D138" s="2">
        <f>MACD!E138</f>
        <v>0.11577283033547481</v>
      </c>
      <c r="E138" s="2">
        <f>MACD!F138</f>
        <v>7.3638055728048629E-2</v>
      </c>
      <c r="F138" s="2">
        <f>'Moving Avg'!D138</f>
        <v>5.7126000000000001</v>
      </c>
      <c r="G138" s="2">
        <f>'Moving Avg'!F138</f>
        <v>5.865899999999999</v>
      </c>
      <c r="H138" s="2">
        <f>'Moving Avg'!G138</f>
        <v>5.7622400000000038</v>
      </c>
      <c r="I138" s="2">
        <f>'Moving Avg'!H138</f>
        <v>0</v>
      </c>
      <c r="J138" s="5" t="str">
        <f>OBV!F138</f>
        <v>BEARISH</v>
      </c>
      <c r="K138" s="5" t="str">
        <f>OBV!G138</f>
        <v>STRONG</v>
      </c>
      <c r="L138" s="5" t="str">
        <f>OBV!H138</f>
        <v>CONFIRMED BEARISH</v>
      </c>
      <c r="M138" s="7">
        <f t="shared" si="23"/>
        <v>100</v>
      </c>
      <c r="N138" s="7">
        <f t="shared" si="20"/>
        <v>0</v>
      </c>
      <c r="O138" s="7">
        <f t="shared" si="21"/>
        <v>75</v>
      </c>
      <c r="P138" s="7">
        <f t="shared" si="22"/>
        <v>33</v>
      </c>
      <c r="Q138" s="8">
        <f t="shared" si="24"/>
        <v>51.2</v>
      </c>
      <c r="R138" s="8">
        <f t="shared" si="25"/>
        <v>54.5</v>
      </c>
      <c r="S138" s="8">
        <f t="shared" si="26"/>
        <v>48.6</v>
      </c>
      <c r="T138" s="8">
        <f t="shared" si="27"/>
        <v>52</v>
      </c>
      <c r="U138" s="7">
        <f t="shared" si="28"/>
        <v>51.433333333333337</v>
      </c>
      <c r="V138" s="7">
        <f t="shared" si="29"/>
        <v>51.575000000000003</v>
      </c>
    </row>
    <row r="139" spans="1:22" ht="13.5" x14ac:dyDescent="0.25">
      <c r="A139" s="3">
        <f>RSI!A139</f>
        <v>45120</v>
      </c>
      <c r="B139" s="2">
        <f>RSI!B139</f>
        <v>5.6769999999999996</v>
      </c>
      <c r="C139" s="2">
        <f>RSI!I139</f>
        <v>28.197491386331407</v>
      </c>
      <c r="D139" s="2">
        <f>MACD!E139</f>
        <v>0.12543397660236622</v>
      </c>
      <c r="E139" s="2">
        <f>MACD!F139</f>
        <v>8.3997239902912149E-2</v>
      </c>
      <c r="F139" s="2">
        <f>'Moving Avg'!D139</f>
        <v>5.694799999999999</v>
      </c>
      <c r="G139" s="2">
        <f>'Moving Avg'!F139</f>
        <v>5.8521499999999991</v>
      </c>
      <c r="H139" s="2">
        <f>'Moving Avg'!G139</f>
        <v>5.7670600000000034</v>
      </c>
      <c r="I139" s="2">
        <f>'Moving Avg'!H139</f>
        <v>0</v>
      </c>
      <c r="J139" s="5" t="str">
        <f>OBV!F139</f>
        <v>BEARISH</v>
      </c>
      <c r="K139" s="5" t="str">
        <f>OBV!G139</f>
        <v>STRONG</v>
      </c>
      <c r="L139" s="5" t="str">
        <f>OBV!H139</f>
        <v>CONFIRMED BEARISH</v>
      </c>
      <c r="M139" s="7">
        <f t="shared" si="23"/>
        <v>100</v>
      </c>
      <c r="N139" s="7">
        <f t="shared" si="20"/>
        <v>0</v>
      </c>
      <c r="O139" s="7">
        <f t="shared" si="21"/>
        <v>75</v>
      </c>
      <c r="P139" s="7">
        <f t="shared" si="22"/>
        <v>33</v>
      </c>
      <c r="Q139" s="8">
        <f t="shared" si="24"/>
        <v>51.2</v>
      </c>
      <c r="R139" s="8">
        <f t="shared" si="25"/>
        <v>54.5</v>
      </c>
      <c r="S139" s="8">
        <f t="shared" si="26"/>
        <v>48.6</v>
      </c>
      <c r="T139" s="8">
        <f t="shared" si="27"/>
        <v>52</v>
      </c>
      <c r="U139" s="7">
        <f t="shared" si="28"/>
        <v>51.433333333333337</v>
      </c>
      <c r="V139" s="7">
        <f t="shared" si="29"/>
        <v>51.575000000000003</v>
      </c>
    </row>
    <row r="140" spans="1:22" ht="13.5" x14ac:dyDescent="0.25">
      <c r="A140" s="3">
        <f>RSI!A140</f>
        <v>45121</v>
      </c>
      <c r="B140" s="2">
        <f>RSI!B140</f>
        <v>5.6769999999999996</v>
      </c>
      <c r="C140" s="2">
        <f>RSI!I140</f>
        <v>28.197491386331407</v>
      </c>
      <c r="D140" s="2">
        <f>MACD!E140</f>
        <v>0.12901539915788085</v>
      </c>
      <c r="E140" s="2">
        <f>MACD!F140</f>
        <v>9.3000871753905895E-2</v>
      </c>
      <c r="F140" s="2">
        <f>'Moving Avg'!D140</f>
        <v>5.6769999999999996</v>
      </c>
      <c r="G140" s="2">
        <f>'Moving Avg'!F140</f>
        <v>5.8379499999999993</v>
      </c>
      <c r="H140" s="2">
        <f>'Moving Avg'!G140</f>
        <v>5.7722200000000017</v>
      </c>
      <c r="I140" s="2">
        <f>'Moving Avg'!H140</f>
        <v>0</v>
      </c>
      <c r="J140" s="5" t="str">
        <f>OBV!F140</f>
        <v>BEARISH</v>
      </c>
      <c r="K140" s="5" t="str">
        <f>OBV!G140</f>
        <v>STRONG</v>
      </c>
      <c r="L140" s="5" t="str">
        <f>OBV!H140</f>
        <v>CONFIRMED BEARISH</v>
      </c>
      <c r="M140" s="7">
        <f t="shared" si="23"/>
        <v>100</v>
      </c>
      <c r="N140" s="7">
        <f t="shared" si="20"/>
        <v>0</v>
      </c>
      <c r="O140" s="7">
        <f t="shared" si="21"/>
        <v>75</v>
      </c>
      <c r="P140" s="7">
        <f t="shared" si="22"/>
        <v>33</v>
      </c>
      <c r="Q140" s="8">
        <f t="shared" si="24"/>
        <v>51.2</v>
      </c>
      <c r="R140" s="8">
        <f t="shared" si="25"/>
        <v>54.5</v>
      </c>
      <c r="S140" s="8">
        <f t="shared" si="26"/>
        <v>48.6</v>
      </c>
      <c r="T140" s="8">
        <f t="shared" si="27"/>
        <v>52</v>
      </c>
      <c r="U140" s="7">
        <f t="shared" si="28"/>
        <v>51.433333333333337</v>
      </c>
      <c r="V140" s="7">
        <f t="shared" si="29"/>
        <v>51.575000000000003</v>
      </c>
    </row>
    <row r="141" spans="1:22" ht="13.5" x14ac:dyDescent="0.25">
      <c r="A141" s="3">
        <f>RSI!A141</f>
        <v>45124</v>
      </c>
      <c r="B141" s="2">
        <f>RSI!B141</f>
        <v>5.6769999999999996</v>
      </c>
      <c r="C141" s="2">
        <f>RSI!I141</f>
        <v>28.197491386331407</v>
      </c>
      <c r="D141" s="2">
        <f>MACD!E141</f>
        <v>0.13277844646880688</v>
      </c>
      <c r="E141" s="2">
        <f>MACD!F141</f>
        <v>0.10095638669688609</v>
      </c>
      <c r="F141" s="2">
        <f>'Moving Avg'!D141</f>
        <v>5.6769999999999996</v>
      </c>
      <c r="G141" s="2">
        <f>'Moving Avg'!F141</f>
        <v>5.8237499999999986</v>
      </c>
      <c r="H141" s="2">
        <f>'Moving Avg'!G141</f>
        <v>5.7753400000000035</v>
      </c>
      <c r="I141" s="2">
        <f>'Moving Avg'!H141</f>
        <v>0</v>
      </c>
      <c r="J141" s="5" t="str">
        <f>OBV!F141</f>
        <v>NEUTRAL</v>
      </c>
      <c r="K141" s="5" t="str">
        <f>OBV!G141</f>
        <v>NEUTRAL</v>
      </c>
      <c r="L141" s="5" t="str">
        <f>OBV!H141</f>
        <v>NEUTRAL</v>
      </c>
      <c r="M141" s="7">
        <f t="shared" si="23"/>
        <v>100</v>
      </c>
      <c r="N141" s="7">
        <f t="shared" si="20"/>
        <v>0</v>
      </c>
      <c r="O141" s="7">
        <f t="shared" si="21"/>
        <v>75</v>
      </c>
      <c r="P141" s="7">
        <f t="shared" si="22"/>
        <v>33</v>
      </c>
      <c r="Q141" s="8">
        <f t="shared" si="24"/>
        <v>51.2</v>
      </c>
      <c r="R141" s="8">
        <f t="shared" si="25"/>
        <v>54.5</v>
      </c>
      <c r="S141" s="8">
        <f t="shared" si="26"/>
        <v>48.6</v>
      </c>
      <c r="T141" s="8">
        <f t="shared" si="27"/>
        <v>52</v>
      </c>
      <c r="U141" s="7">
        <f t="shared" si="28"/>
        <v>51.433333333333337</v>
      </c>
      <c r="V141" s="7">
        <f t="shared" si="29"/>
        <v>51.575000000000003</v>
      </c>
    </row>
    <row r="142" spans="1:22" ht="13.5" x14ac:dyDescent="0.25">
      <c r="A142" s="3">
        <f>RSI!A142</f>
        <v>45125</v>
      </c>
      <c r="B142" s="2">
        <f>RSI!B142</f>
        <v>5.7210000000000001</v>
      </c>
      <c r="C142" s="2">
        <f>RSI!I142</f>
        <v>39.209943225520334</v>
      </c>
      <c r="D142" s="2">
        <f>MACD!E142</f>
        <v>0.12922780323413363</v>
      </c>
      <c r="E142" s="2">
        <f>MACD!F142</f>
        <v>0.10661067000433561</v>
      </c>
      <c r="F142" s="2">
        <f>'Moving Avg'!D142</f>
        <v>5.6857999999999995</v>
      </c>
      <c r="G142" s="2">
        <f>'Moving Avg'!F142</f>
        <v>5.8126499999999997</v>
      </c>
      <c r="H142" s="2">
        <f>'Moving Avg'!G142</f>
        <v>5.7793400000000021</v>
      </c>
      <c r="I142" s="2">
        <f>'Moving Avg'!H142</f>
        <v>0</v>
      </c>
      <c r="J142" s="5" t="str">
        <f>OBV!F142</f>
        <v>BULLISH</v>
      </c>
      <c r="K142" s="5" t="str">
        <f>OBV!G142</f>
        <v>WEAK</v>
      </c>
      <c r="L142" s="5" t="str">
        <f>OBV!H142</f>
        <v>CONFIRMED BULLISH</v>
      </c>
      <c r="M142" s="7">
        <f t="shared" si="23"/>
        <v>50</v>
      </c>
      <c r="N142" s="7">
        <f t="shared" si="20"/>
        <v>0</v>
      </c>
      <c r="O142" s="7">
        <f t="shared" si="21"/>
        <v>75</v>
      </c>
      <c r="P142" s="7">
        <f t="shared" si="22"/>
        <v>67</v>
      </c>
      <c r="Q142" s="8">
        <f t="shared" si="24"/>
        <v>38.799999999999997</v>
      </c>
      <c r="R142" s="8">
        <f t="shared" si="25"/>
        <v>53</v>
      </c>
      <c r="S142" s="8">
        <f t="shared" si="26"/>
        <v>56.400000000000006</v>
      </c>
      <c r="T142" s="8">
        <f t="shared" si="27"/>
        <v>48</v>
      </c>
      <c r="U142" s="7">
        <f t="shared" si="28"/>
        <v>49.4</v>
      </c>
      <c r="V142" s="7">
        <f t="shared" si="29"/>
        <v>49.05</v>
      </c>
    </row>
    <row r="143" spans="1:22" ht="13.5" x14ac:dyDescent="0.25">
      <c r="A143" s="3">
        <f>RSI!A143</f>
        <v>45127</v>
      </c>
      <c r="B143" s="2">
        <f>RSI!B143</f>
        <v>5.7210000000000001</v>
      </c>
      <c r="C143" s="2">
        <f>RSI!I143</f>
        <v>39.209943225520334</v>
      </c>
      <c r="D143" s="2">
        <f>MACD!E143</f>
        <v>0.11166843542082283</v>
      </c>
      <c r="E143" s="2">
        <f>MACD!F143</f>
        <v>0.10762222308763306</v>
      </c>
      <c r="F143" s="2">
        <f>'Moving Avg'!D143</f>
        <v>5.6945999999999994</v>
      </c>
      <c r="G143" s="2">
        <f>'Moving Avg'!F143</f>
        <v>5.8015499999999989</v>
      </c>
      <c r="H143" s="2">
        <f>'Moving Avg'!G143</f>
        <v>5.7833400000000017</v>
      </c>
      <c r="I143" s="2">
        <f>'Moving Avg'!H143</f>
        <v>0</v>
      </c>
      <c r="J143" s="5" t="str">
        <f>OBV!F143</f>
        <v>BULLISH</v>
      </c>
      <c r="K143" s="5" t="str">
        <f>OBV!G143</f>
        <v>WEAK</v>
      </c>
      <c r="L143" s="5" t="str">
        <f>OBV!H143</f>
        <v>CONFIRMED BULLISH</v>
      </c>
      <c r="M143" s="7">
        <f t="shared" si="23"/>
        <v>50</v>
      </c>
      <c r="N143" s="7">
        <f t="shared" si="20"/>
        <v>0</v>
      </c>
      <c r="O143" s="7">
        <f t="shared" si="21"/>
        <v>75</v>
      </c>
      <c r="P143" s="7">
        <f t="shared" si="22"/>
        <v>67</v>
      </c>
      <c r="Q143" s="8">
        <f t="shared" si="24"/>
        <v>38.799999999999997</v>
      </c>
      <c r="R143" s="8">
        <f t="shared" si="25"/>
        <v>53</v>
      </c>
      <c r="S143" s="8">
        <f t="shared" si="26"/>
        <v>56.400000000000006</v>
      </c>
      <c r="T143" s="8">
        <f t="shared" si="27"/>
        <v>48</v>
      </c>
      <c r="U143" s="7">
        <f t="shared" si="28"/>
        <v>49.4</v>
      </c>
      <c r="V143" s="7">
        <f t="shared" si="29"/>
        <v>49.05</v>
      </c>
    </row>
    <row r="144" spans="1:22" ht="13.5" x14ac:dyDescent="0.25">
      <c r="A144" s="3">
        <f>RSI!A144</f>
        <v>45128</v>
      </c>
      <c r="B144" s="2">
        <f>RSI!B144</f>
        <v>5.7210000000000001</v>
      </c>
      <c r="C144" s="2">
        <f>RSI!I144</f>
        <v>39.209943225520334</v>
      </c>
      <c r="D144" s="2">
        <f>MACD!E144</f>
        <v>9.7151341716140038E-2</v>
      </c>
      <c r="E144" s="2">
        <f>MACD!F144</f>
        <v>0.10552804681333447</v>
      </c>
      <c r="F144" s="2">
        <f>'Moving Avg'!D144</f>
        <v>5.7034000000000002</v>
      </c>
      <c r="G144" s="2">
        <f>'Moving Avg'!F144</f>
        <v>5.7913499999999987</v>
      </c>
      <c r="H144" s="2">
        <f>'Moving Avg'!G144</f>
        <v>5.7873400000000013</v>
      </c>
      <c r="I144" s="2">
        <f>'Moving Avg'!H144</f>
        <v>0</v>
      </c>
      <c r="J144" s="5" t="str">
        <f>OBV!F144</f>
        <v>BULLISH</v>
      </c>
      <c r="K144" s="5" t="str">
        <f>OBV!G144</f>
        <v>WEAK</v>
      </c>
      <c r="L144" s="5" t="str">
        <f>OBV!H144</f>
        <v>CONFIRMED BULLISH</v>
      </c>
      <c r="M144" s="7">
        <f t="shared" si="23"/>
        <v>50</v>
      </c>
      <c r="N144" s="7">
        <f t="shared" si="20"/>
        <v>45</v>
      </c>
      <c r="O144" s="7">
        <f t="shared" si="21"/>
        <v>75</v>
      </c>
      <c r="P144" s="7">
        <f t="shared" si="22"/>
        <v>67</v>
      </c>
      <c r="Q144" s="8">
        <f t="shared" si="24"/>
        <v>54.55</v>
      </c>
      <c r="R144" s="8">
        <f t="shared" si="25"/>
        <v>62</v>
      </c>
      <c r="S144" s="8">
        <f t="shared" si="26"/>
        <v>63.150000000000006</v>
      </c>
      <c r="T144" s="8">
        <f t="shared" si="27"/>
        <v>59.25</v>
      </c>
      <c r="U144" s="7">
        <f t="shared" si="28"/>
        <v>59.9</v>
      </c>
      <c r="V144" s="7">
        <f t="shared" si="29"/>
        <v>59.737499999999997</v>
      </c>
    </row>
    <row r="145" spans="1:22" ht="13.5" x14ac:dyDescent="0.25">
      <c r="A145" s="3">
        <f>RSI!A145</f>
        <v>45131</v>
      </c>
      <c r="B145" s="2">
        <f>RSI!B145</f>
        <v>5.766</v>
      </c>
      <c r="C145" s="2">
        <f>RSI!I145</f>
        <v>49.168400558698877</v>
      </c>
      <c r="D145" s="2">
        <f>MACD!E145</f>
        <v>8.1849899734224074E-2</v>
      </c>
      <c r="E145" s="2">
        <f>MACD!F145</f>
        <v>0.10079241739751239</v>
      </c>
      <c r="F145" s="2">
        <f>'Moving Avg'!D145</f>
        <v>5.7212000000000005</v>
      </c>
      <c r="G145" s="2">
        <f>'Moving Avg'!F145</f>
        <v>5.7829499999999987</v>
      </c>
      <c r="H145" s="2">
        <f>'Moving Avg'!G145</f>
        <v>5.7917200000000015</v>
      </c>
      <c r="I145" s="2">
        <f>'Moving Avg'!H145</f>
        <v>0</v>
      </c>
      <c r="J145" s="5" t="str">
        <f>OBV!F145</f>
        <v>BULLISH</v>
      </c>
      <c r="K145" s="5" t="str">
        <f>OBV!G145</f>
        <v>WEAK</v>
      </c>
      <c r="L145" s="5" t="str">
        <f>OBV!H145</f>
        <v>CONFIRMED BULLISH</v>
      </c>
      <c r="M145" s="7">
        <f t="shared" si="23"/>
        <v>50</v>
      </c>
      <c r="N145" s="7">
        <f t="shared" si="20"/>
        <v>45</v>
      </c>
      <c r="O145" s="7">
        <f t="shared" si="21"/>
        <v>75</v>
      </c>
      <c r="P145" s="7">
        <f t="shared" si="22"/>
        <v>67</v>
      </c>
      <c r="Q145" s="8">
        <f t="shared" si="24"/>
        <v>54.55</v>
      </c>
      <c r="R145" s="8">
        <f t="shared" si="25"/>
        <v>62</v>
      </c>
      <c r="S145" s="8">
        <f t="shared" si="26"/>
        <v>63.150000000000006</v>
      </c>
      <c r="T145" s="8">
        <f t="shared" si="27"/>
        <v>59.25</v>
      </c>
      <c r="U145" s="7">
        <f t="shared" si="28"/>
        <v>59.9</v>
      </c>
      <c r="V145" s="7">
        <f t="shared" si="29"/>
        <v>59.737499999999997</v>
      </c>
    </row>
    <row r="146" spans="1:22" ht="13.5" x14ac:dyDescent="0.25">
      <c r="A146" s="3">
        <f>RSI!A146</f>
        <v>45133</v>
      </c>
      <c r="B146" s="2">
        <f>RSI!B146</f>
        <v>5.766</v>
      </c>
      <c r="C146" s="2">
        <f>RSI!I146</f>
        <v>49.168400558698877</v>
      </c>
      <c r="D146" s="2">
        <f>MACD!E146</f>
        <v>5.5236520406692691E-2</v>
      </c>
      <c r="E146" s="2">
        <f>MACD!F146</f>
        <v>9.1681237999348464E-2</v>
      </c>
      <c r="F146" s="2">
        <f>'Moving Avg'!D146</f>
        <v>5.7389999999999999</v>
      </c>
      <c r="G146" s="2">
        <f>'Moving Avg'!F146</f>
        <v>5.7740999999999998</v>
      </c>
      <c r="H146" s="2">
        <f>'Moving Avg'!G146</f>
        <v>5.7959400000000008</v>
      </c>
      <c r="I146" s="2">
        <f>'Moving Avg'!H146</f>
        <v>0</v>
      </c>
      <c r="J146" s="5" t="str">
        <f>OBV!F146</f>
        <v>BULLISH</v>
      </c>
      <c r="K146" s="5" t="str">
        <f>OBV!G146</f>
        <v>WEAK</v>
      </c>
      <c r="L146" s="5" t="str">
        <f>OBV!H146</f>
        <v>CONFIRMED BULLISH</v>
      </c>
      <c r="M146" s="7">
        <f t="shared" si="23"/>
        <v>50</v>
      </c>
      <c r="N146" s="7">
        <f t="shared" si="20"/>
        <v>100</v>
      </c>
      <c r="O146" s="7">
        <f t="shared" si="21"/>
        <v>75</v>
      </c>
      <c r="P146" s="7">
        <f t="shared" si="22"/>
        <v>67</v>
      </c>
      <c r="Q146" s="8">
        <f t="shared" si="24"/>
        <v>73.8</v>
      </c>
      <c r="R146" s="8">
        <f t="shared" si="25"/>
        <v>73</v>
      </c>
      <c r="S146" s="8">
        <f t="shared" si="26"/>
        <v>71.400000000000006</v>
      </c>
      <c r="T146" s="8">
        <f t="shared" si="27"/>
        <v>73</v>
      </c>
      <c r="U146" s="7">
        <f t="shared" si="28"/>
        <v>72.733333333333334</v>
      </c>
      <c r="V146" s="7">
        <f t="shared" si="29"/>
        <v>72.800000000000011</v>
      </c>
    </row>
    <row r="147" spans="1:22" ht="13.5" x14ac:dyDescent="0.25">
      <c r="A147" s="3">
        <f>RSI!A147</f>
        <v>45134</v>
      </c>
      <c r="B147" s="2">
        <f>RSI!B147</f>
        <v>5.766</v>
      </c>
      <c r="C147" s="2">
        <f>RSI!I147</f>
        <v>49.168400558698877</v>
      </c>
      <c r="D147" s="2">
        <f>MACD!E147</f>
        <v>3.2741861156840635E-2</v>
      </c>
      <c r="E147" s="2">
        <f>MACD!F147</f>
        <v>7.9893362630846898E-2</v>
      </c>
      <c r="F147" s="2">
        <f>'Moving Avg'!D147</f>
        <v>5.7479999999999993</v>
      </c>
      <c r="G147" s="2">
        <f>'Moving Avg'!F147</f>
        <v>5.7657000000000007</v>
      </c>
      <c r="H147" s="2">
        <f>'Moving Avg'!G147</f>
        <v>5.7999800000000006</v>
      </c>
      <c r="I147" s="2">
        <f>'Moving Avg'!H147</f>
        <v>0</v>
      </c>
      <c r="J147" s="5" t="str">
        <f>OBV!F147</f>
        <v>BULLISH</v>
      </c>
      <c r="K147" s="5" t="str">
        <f>OBV!G147</f>
        <v>WEAK</v>
      </c>
      <c r="L147" s="5" t="str">
        <f>OBV!H147</f>
        <v>CONFIRMED BULLISH</v>
      </c>
      <c r="M147" s="7">
        <f t="shared" si="23"/>
        <v>50</v>
      </c>
      <c r="N147" s="7">
        <f t="shared" si="20"/>
        <v>100</v>
      </c>
      <c r="O147" s="7">
        <f t="shared" si="21"/>
        <v>75</v>
      </c>
      <c r="P147" s="7">
        <f t="shared" si="22"/>
        <v>67</v>
      </c>
      <c r="Q147" s="8">
        <f t="shared" si="24"/>
        <v>73.8</v>
      </c>
      <c r="R147" s="8">
        <f t="shared" si="25"/>
        <v>73</v>
      </c>
      <c r="S147" s="8">
        <f t="shared" si="26"/>
        <v>71.400000000000006</v>
      </c>
      <c r="T147" s="8">
        <f t="shared" si="27"/>
        <v>73</v>
      </c>
      <c r="U147" s="7">
        <f t="shared" si="28"/>
        <v>72.733333333333334</v>
      </c>
      <c r="V147" s="7">
        <f t="shared" si="29"/>
        <v>72.800000000000011</v>
      </c>
    </row>
    <row r="148" spans="1:22" ht="13.5" x14ac:dyDescent="0.25">
      <c r="A148" s="3">
        <f>RSI!A148</f>
        <v>45135</v>
      </c>
      <c r="B148" s="2">
        <f>RSI!B148</f>
        <v>5.766</v>
      </c>
      <c r="C148" s="2">
        <f>RSI!I148</f>
        <v>49.168400558698877</v>
      </c>
      <c r="D148" s="2">
        <f>MACD!E148</f>
        <v>1.3730468739926671E-2</v>
      </c>
      <c r="E148" s="2">
        <f>MACD!F148</f>
        <v>6.6660783852662858E-2</v>
      </c>
      <c r="F148" s="2">
        <f>'Moving Avg'!D148</f>
        <v>5.7569999999999997</v>
      </c>
      <c r="G148" s="2">
        <f>'Moving Avg'!F148</f>
        <v>5.7577500000000015</v>
      </c>
      <c r="H148" s="2">
        <f>'Moving Avg'!G148</f>
        <v>5.8040200000000004</v>
      </c>
      <c r="I148" s="2">
        <f>'Moving Avg'!H148</f>
        <v>0</v>
      </c>
      <c r="J148" s="5" t="str">
        <f>OBV!F148</f>
        <v>BULLISH</v>
      </c>
      <c r="K148" s="5" t="str">
        <f>OBV!G148</f>
        <v>WEAK</v>
      </c>
      <c r="L148" s="5" t="str">
        <f>OBV!H148</f>
        <v>CONFIRMED BULLISH</v>
      </c>
      <c r="M148" s="7">
        <f t="shared" si="23"/>
        <v>50</v>
      </c>
      <c r="N148" s="7">
        <f t="shared" si="20"/>
        <v>100</v>
      </c>
      <c r="O148" s="7">
        <f t="shared" si="21"/>
        <v>75</v>
      </c>
      <c r="P148" s="7">
        <f t="shared" si="22"/>
        <v>67</v>
      </c>
      <c r="Q148" s="8">
        <f t="shared" si="24"/>
        <v>73.8</v>
      </c>
      <c r="R148" s="8">
        <f t="shared" si="25"/>
        <v>73</v>
      </c>
      <c r="S148" s="8">
        <f t="shared" si="26"/>
        <v>71.400000000000006</v>
      </c>
      <c r="T148" s="8">
        <f t="shared" si="27"/>
        <v>73</v>
      </c>
      <c r="U148" s="7">
        <f t="shared" si="28"/>
        <v>72.733333333333334</v>
      </c>
      <c r="V148" s="7">
        <f t="shared" si="29"/>
        <v>72.800000000000011</v>
      </c>
    </row>
    <row r="149" spans="1:22" ht="13.5" x14ac:dyDescent="0.25">
      <c r="A149" s="3">
        <f>RSI!A149</f>
        <v>45138</v>
      </c>
      <c r="B149" s="2">
        <f>RSI!B149</f>
        <v>5.766</v>
      </c>
      <c r="C149" s="2">
        <f>RSI!I149</f>
        <v>49.168400558698877</v>
      </c>
      <c r="D149" s="2">
        <f>MACD!E149</f>
        <v>-2.3352144213584225E-3</v>
      </c>
      <c r="E149" s="2">
        <f>MACD!F149</f>
        <v>5.2861584197858608E-2</v>
      </c>
      <c r="F149" s="2">
        <f>'Moving Avg'!D149</f>
        <v>5.766</v>
      </c>
      <c r="G149" s="2">
        <f>'Moving Avg'!F149</f>
        <v>5.7498000000000014</v>
      </c>
      <c r="H149" s="2">
        <f>'Moving Avg'!G149</f>
        <v>5.8075600000000005</v>
      </c>
      <c r="I149" s="2">
        <f>'Moving Avg'!H149</f>
        <v>0</v>
      </c>
      <c r="J149" s="5" t="str">
        <f>OBV!F149</f>
        <v>BULLISH</v>
      </c>
      <c r="K149" s="5" t="str">
        <f>OBV!G149</f>
        <v>WEAK</v>
      </c>
      <c r="L149" s="5" t="str">
        <f>OBV!H149</f>
        <v>CONFIRMED BULLISH</v>
      </c>
      <c r="M149" s="7">
        <f t="shared" si="23"/>
        <v>50</v>
      </c>
      <c r="N149" s="7">
        <f t="shared" si="20"/>
        <v>100</v>
      </c>
      <c r="O149" s="7">
        <f t="shared" si="21"/>
        <v>75</v>
      </c>
      <c r="P149" s="7">
        <f t="shared" si="22"/>
        <v>67</v>
      </c>
      <c r="Q149" s="8">
        <f t="shared" si="24"/>
        <v>73.8</v>
      </c>
      <c r="R149" s="8">
        <f t="shared" si="25"/>
        <v>73</v>
      </c>
      <c r="S149" s="8">
        <f t="shared" si="26"/>
        <v>71.400000000000006</v>
      </c>
      <c r="T149" s="8">
        <f t="shared" si="27"/>
        <v>73</v>
      </c>
      <c r="U149" s="7">
        <f t="shared" si="28"/>
        <v>72.733333333333334</v>
      </c>
      <c r="V149" s="7">
        <f t="shared" si="29"/>
        <v>72.800000000000011</v>
      </c>
    </row>
    <row r="150" spans="1:22" ht="13.5" x14ac:dyDescent="0.25">
      <c r="A150" s="3">
        <f>RSI!A150</f>
        <v>45139</v>
      </c>
      <c r="B150" s="2">
        <f>RSI!B150</f>
        <v>5.766</v>
      </c>
      <c r="C150" s="2">
        <f>RSI!I150</f>
        <v>49.168400558698877</v>
      </c>
      <c r="D150" s="2">
        <f>MACD!E150</f>
        <v>-1.5909921007307481E-2</v>
      </c>
      <c r="E150" s="2">
        <f>MACD!F150</f>
        <v>3.9107283156825393E-2</v>
      </c>
      <c r="F150" s="2">
        <f>'Moving Avg'!D150</f>
        <v>5.766</v>
      </c>
      <c r="G150" s="2">
        <f>'Moving Avg'!F150</f>
        <v>5.7436000000000016</v>
      </c>
      <c r="H150" s="2">
        <f>'Moving Avg'!G150</f>
        <v>5.8109200000000012</v>
      </c>
      <c r="I150" s="2">
        <f>'Moving Avg'!H150</f>
        <v>0</v>
      </c>
      <c r="J150" s="5" t="str">
        <f>OBV!F150</f>
        <v>NEUTRAL</v>
      </c>
      <c r="K150" s="5" t="str">
        <f>OBV!G150</f>
        <v>NEUTRAL</v>
      </c>
      <c r="L150" s="5" t="str">
        <f>OBV!H150</f>
        <v>NEUTRAL</v>
      </c>
      <c r="M150" s="7">
        <f t="shared" si="23"/>
        <v>50</v>
      </c>
      <c r="N150" s="7">
        <f t="shared" si="20"/>
        <v>100</v>
      </c>
      <c r="O150" s="7">
        <f t="shared" si="21"/>
        <v>75</v>
      </c>
      <c r="P150" s="7">
        <f t="shared" si="22"/>
        <v>33</v>
      </c>
      <c r="Q150" s="8">
        <f t="shared" si="24"/>
        <v>68.7</v>
      </c>
      <c r="R150" s="8">
        <f t="shared" si="25"/>
        <v>64.5</v>
      </c>
      <c r="S150" s="8">
        <f t="shared" si="26"/>
        <v>56.1</v>
      </c>
      <c r="T150" s="8">
        <f t="shared" si="27"/>
        <v>64.5</v>
      </c>
      <c r="U150" s="7">
        <f t="shared" si="28"/>
        <v>63.099999999999994</v>
      </c>
      <c r="V150" s="7">
        <f t="shared" si="29"/>
        <v>63.449999999999996</v>
      </c>
    </row>
    <row r="151" spans="1:22" ht="13.5" x14ac:dyDescent="0.25">
      <c r="A151" s="3">
        <f>RSI!A151</f>
        <v>45140</v>
      </c>
      <c r="B151" s="2">
        <f>RSI!B151</f>
        <v>5.766</v>
      </c>
      <c r="C151" s="2">
        <f>RSI!I151</f>
        <v>49.168400558698877</v>
      </c>
      <c r="D151" s="2">
        <f>MACD!E151</f>
        <v>-2.7378310258323602E-2</v>
      </c>
      <c r="E151" s="2">
        <f>MACD!F151</f>
        <v>2.5810164473795597E-2</v>
      </c>
      <c r="F151" s="2">
        <f>'Moving Avg'!D151</f>
        <v>5.766</v>
      </c>
      <c r="G151" s="2">
        <f>'Moving Avg'!F151</f>
        <v>5.7374000000000027</v>
      </c>
      <c r="H151" s="2">
        <f>'Moving Avg'!G151</f>
        <v>5.8144600000000013</v>
      </c>
      <c r="I151" s="2">
        <f>'Moving Avg'!H151</f>
        <v>0</v>
      </c>
      <c r="J151" s="5" t="str">
        <f>OBV!F151</f>
        <v>NEUTRAL</v>
      </c>
      <c r="K151" s="5" t="str">
        <f>OBV!G151</f>
        <v>NEUTRAL</v>
      </c>
      <c r="L151" s="5" t="str">
        <f>OBV!H151</f>
        <v>NEUTRAL</v>
      </c>
      <c r="M151" s="7">
        <f t="shared" si="23"/>
        <v>50</v>
      </c>
      <c r="N151" s="7">
        <f t="shared" si="20"/>
        <v>100</v>
      </c>
      <c r="O151" s="7">
        <f t="shared" si="21"/>
        <v>75</v>
      </c>
      <c r="P151" s="7">
        <f t="shared" si="22"/>
        <v>33</v>
      </c>
      <c r="Q151" s="8">
        <f t="shared" si="24"/>
        <v>68.7</v>
      </c>
      <c r="R151" s="8">
        <f t="shared" si="25"/>
        <v>64.5</v>
      </c>
      <c r="S151" s="8">
        <f t="shared" si="26"/>
        <v>56.1</v>
      </c>
      <c r="T151" s="8">
        <f t="shared" si="27"/>
        <v>64.5</v>
      </c>
      <c r="U151" s="7">
        <f t="shared" si="28"/>
        <v>63.099999999999994</v>
      </c>
      <c r="V151" s="7">
        <f t="shared" si="29"/>
        <v>63.449999999999996</v>
      </c>
    </row>
    <row r="152" spans="1:22" ht="13.5" x14ac:dyDescent="0.25">
      <c r="A152" s="3">
        <f>RSI!A152</f>
        <v>45141</v>
      </c>
      <c r="B152" s="2">
        <f>RSI!B152</f>
        <v>5.7210000000000001</v>
      </c>
      <c r="C152" s="2">
        <f>RSI!I152</f>
        <v>38.557329010611788</v>
      </c>
      <c r="D152" s="2">
        <f>MACD!E152</f>
        <v>-2.6963192887940579E-2</v>
      </c>
      <c r="E152" s="2">
        <f>MACD!F152</f>
        <v>1.5255493001448362E-2</v>
      </c>
      <c r="F152" s="2">
        <f>'Moving Avg'!D152</f>
        <v>5.7569999999999997</v>
      </c>
      <c r="G152" s="2">
        <f>'Moving Avg'!F152</f>
        <v>5.7303000000000024</v>
      </c>
      <c r="H152" s="2">
        <f>'Moving Avg'!G152</f>
        <v>5.8172600000000001</v>
      </c>
      <c r="I152" s="2">
        <f>'Moving Avg'!H152</f>
        <v>0</v>
      </c>
      <c r="J152" s="5" t="str">
        <f>OBV!F152</f>
        <v>BEARISH</v>
      </c>
      <c r="K152" s="5" t="str">
        <f>OBV!G152</f>
        <v>STRONG</v>
      </c>
      <c r="L152" s="5" t="str">
        <f>OBV!H152</f>
        <v>CONFIRMED BEARISH</v>
      </c>
      <c r="M152" s="7">
        <f t="shared" si="23"/>
        <v>50</v>
      </c>
      <c r="N152" s="7">
        <f t="shared" si="20"/>
        <v>100</v>
      </c>
      <c r="O152" s="7">
        <f t="shared" si="21"/>
        <v>75</v>
      </c>
      <c r="P152" s="7">
        <f t="shared" si="22"/>
        <v>33</v>
      </c>
      <c r="Q152" s="8">
        <f t="shared" si="24"/>
        <v>68.7</v>
      </c>
      <c r="R152" s="8">
        <f t="shared" si="25"/>
        <v>64.5</v>
      </c>
      <c r="S152" s="8">
        <f t="shared" si="26"/>
        <v>56.1</v>
      </c>
      <c r="T152" s="8">
        <f t="shared" si="27"/>
        <v>64.5</v>
      </c>
      <c r="U152" s="7">
        <f t="shared" si="28"/>
        <v>63.099999999999994</v>
      </c>
      <c r="V152" s="7">
        <f t="shared" si="29"/>
        <v>63.449999999999996</v>
      </c>
    </row>
    <row r="153" spans="1:22" ht="13.5" x14ac:dyDescent="0.25">
      <c r="A153" s="3">
        <f>RSI!A153</f>
        <v>45142</v>
      </c>
      <c r="B153" s="2">
        <f>RSI!B153</f>
        <v>5.7210000000000001</v>
      </c>
      <c r="C153" s="2">
        <f>RSI!I153</f>
        <v>38.557329010611795</v>
      </c>
      <c r="D153" s="2">
        <f>MACD!E153</f>
        <v>-2.6330685627521611E-2</v>
      </c>
      <c r="E153" s="2">
        <f>MACD!F153</f>
        <v>6.9382572756543671E-3</v>
      </c>
      <c r="F153" s="2">
        <f>'Moving Avg'!D153</f>
        <v>5.7480000000000002</v>
      </c>
      <c r="G153" s="2">
        <f>'Moving Avg'!F153</f>
        <v>5.7280500000000023</v>
      </c>
      <c r="H153" s="2">
        <f>'Moving Avg'!G153</f>
        <v>5.8195600000000001</v>
      </c>
      <c r="I153" s="2">
        <f>'Moving Avg'!H153</f>
        <v>0</v>
      </c>
      <c r="J153" s="5" t="str">
        <f>OBV!F153</f>
        <v>BEARISH</v>
      </c>
      <c r="K153" s="5" t="str">
        <f>OBV!G153</f>
        <v>STRONG</v>
      </c>
      <c r="L153" s="5" t="str">
        <f>OBV!H153</f>
        <v>CONFIRMED BEARISH</v>
      </c>
      <c r="M153" s="7">
        <f t="shared" si="23"/>
        <v>50</v>
      </c>
      <c r="N153" s="7">
        <f t="shared" si="20"/>
        <v>100</v>
      </c>
      <c r="O153" s="7">
        <f t="shared" si="21"/>
        <v>75</v>
      </c>
      <c r="P153" s="7">
        <f t="shared" si="22"/>
        <v>33</v>
      </c>
      <c r="Q153" s="8">
        <f t="shared" si="24"/>
        <v>68.7</v>
      </c>
      <c r="R153" s="8">
        <f t="shared" si="25"/>
        <v>64.5</v>
      </c>
      <c r="S153" s="8">
        <f t="shared" si="26"/>
        <v>56.1</v>
      </c>
      <c r="T153" s="8">
        <f t="shared" si="27"/>
        <v>64.5</v>
      </c>
      <c r="U153" s="7">
        <f t="shared" si="28"/>
        <v>63.099999999999994</v>
      </c>
      <c r="V153" s="7">
        <f t="shared" si="29"/>
        <v>63.449999999999996</v>
      </c>
    </row>
    <row r="154" spans="1:22" ht="13.5" x14ac:dyDescent="0.25">
      <c r="A154" s="3">
        <f>RSI!A154</f>
        <v>45145</v>
      </c>
      <c r="B154" s="2">
        <f>RSI!B154</f>
        <v>5.7210000000000001</v>
      </c>
      <c r="C154" s="2">
        <f>RSI!I154</f>
        <v>38.557329010611788</v>
      </c>
      <c r="D154" s="2">
        <f>MACD!E154</f>
        <v>-2.5535066712635057E-2</v>
      </c>
      <c r="E154" s="2">
        <f>MACD!F154</f>
        <v>4.4359247799648227E-4</v>
      </c>
      <c r="F154" s="2">
        <f>'Moving Avg'!D154</f>
        <v>5.7389999999999999</v>
      </c>
      <c r="G154" s="2">
        <f>'Moving Avg'!F154</f>
        <v>5.7258000000000013</v>
      </c>
      <c r="H154" s="2">
        <f>'Moving Avg'!G154</f>
        <v>5.8218599999999991</v>
      </c>
      <c r="I154" s="2">
        <f>'Moving Avg'!H154</f>
        <v>0</v>
      </c>
      <c r="J154" s="5" t="str">
        <f>OBV!F154</f>
        <v>BEARISH</v>
      </c>
      <c r="K154" s="5" t="str">
        <f>OBV!G154</f>
        <v>STRONG</v>
      </c>
      <c r="L154" s="5" t="str">
        <f>OBV!H154</f>
        <v>CONFIRMED BEARISH</v>
      </c>
      <c r="M154" s="7">
        <f t="shared" si="23"/>
        <v>50</v>
      </c>
      <c r="N154" s="7">
        <f t="shared" si="20"/>
        <v>100</v>
      </c>
      <c r="O154" s="7">
        <f t="shared" si="21"/>
        <v>75</v>
      </c>
      <c r="P154" s="7">
        <f t="shared" si="22"/>
        <v>33</v>
      </c>
      <c r="Q154" s="8">
        <f t="shared" si="24"/>
        <v>68.7</v>
      </c>
      <c r="R154" s="8">
        <f t="shared" si="25"/>
        <v>64.5</v>
      </c>
      <c r="S154" s="8">
        <f t="shared" si="26"/>
        <v>56.1</v>
      </c>
      <c r="T154" s="8">
        <f t="shared" si="27"/>
        <v>64.5</v>
      </c>
      <c r="U154" s="7">
        <f t="shared" si="28"/>
        <v>63.099999999999994</v>
      </c>
      <c r="V154" s="7">
        <f t="shared" si="29"/>
        <v>63.449999999999996</v>
      </c>
    </row>
    <row r="155" spans="1:22" ht="13.5" x14ac:dyDescent="0.25">
      <c r="A155" s="3">
        <f>RSI!A155</f>
        <v>45146</v>
      </c>
      <c r="B155" s="2">
        <f>RSI!B155</f>
        <v>5.766</v>
      </c>
      <c r="C155" s="2">
        <f>RSI!I155</f>
        <v>51.602508625224523</v>
      </c>
      <c r="D155" s="2">
        <f>MACD!E155</f>
        <v>-2.1030977058948075E-2</v>
      </c>
      <c r="E155" s="2">
        <f>MACD!F155</f>
        <v>-3.8513214293924292E-3</v>
      </c>
      <c r="F155" s="2">
        <f>'Moving Avg'!D155</f>
        <v>5.7389999999999999</v>
      </c>
      <c r="G155" s="2">
        <f>'Moving Avg'!F155</f>
        <v>5.7258000000000022</v>
      </c>
      <c r="H155" s="2">
        <f>'Moving Avg'!G155</f>
        <v>5.8240399999999992</v>
      </c>
      <c r="I155" s="2">
        <f>'Moving Avg'!H155</f>
        <v>0</v>
      </c>
      <c r="J155" s="5" t="str">
        <f>OBV!F155</f>
        <v>BULLISH</v>
      </c>
      <c r="K155" s="5" t="str">
        <f>OBV!G155</f>
        <v>NEUTRAL</v>
      </c>
      <c r="L155" s="5" t="str">
        <f>OBV!H155</f>
        <v>NEUTRAL</v>
      </c>
      <c r="M155" s="7">
        <f t="shared" si="23"/>
        <v>50</v>
      </c>
      <c r="N155" s="7">
        <f t="shared" si="20"/>
        <v>45</v>
      </c>
      <c r="O155" s="7">
        <f t="shared" si="21"/>
        <v>75</v>
      </c>
      <c r="P155" s="7">
        <f t="shared" si="22"/>
        <v>49.5</v>
      </c>
      <c r="Q155" s="8">
        <f t="shared" si="24"/>
        <v>51.924999999999997</v>
      </c>
      <c r="R155" s="8">
        <f t="shared" si="25"/>
        <v>57.625</v>
      </c>
      <c r="S155" s="8">
        <f t="shared" si="26"/>
        <v>55.275000000000006</v>
      </c>
      <c r="T155" s="8">
        <f t="shared" si="27"/>
        <v>54.875</v>
      </c>
      <c r="U155" s="7">
        <f t="shared" si="28"/>
        <v>54.941666666666663</v>
      </c>
      <c r="V155" s="7">
        <f t="shared" si="29"/>
        <v>54.924999999999997</v>
      </c>
    </row>
    <row r="156" spans="1:22" ht="13.5" x14ac:dyDescent="0.25">
      <c r="A156" s="3">
        <f>RSI!A156</f>
        <v>45147</v>
      </c>
      <c r="B156" s="2">
        <f>RSI!B156</f>
        <v>5.766</v>
      </c>
      <c r="C156" s="2">
        <f>RSI!I156</f>
        <v>51.602508625224523</v>
      </c>
      <c r="D156" s="2">
        <f>MACD!E156</f>
        <v>-1.7262462634447751E-2</v>
      </c>
      <c r="E156" s="2">
        <f>MACD!F156</f>
        <v>-6.5335496704034945E-3</v>
      </c>
      <c r="F156" s="2">
        <f>'Moving Avg'!D156</f>
        <v>5.7389999999999999</v>
      </c>
      <c r="G156" s="2">
        <f>'Moving Avg'!F156</f>
        <v>5.7302500000000016</v>
      </c>
      <c r="H156" s="2">
        <f>'Moving Avg'!G156</f>
        <v>5.8260599999999991</v>
      </c>
      <c r="I156" s="2">
        <f>'Moving Avg'!H156</f>
        <v>0</v>
      </c>
      <c r="J156" s="5" t="str">
        <f>OBV!F156</f>
        <v>BULLISH</v>
      </c>
      <c r="K156" s="5" t="str">
        <f>OBV!G156</f>
        <v>NEUTRAL</v>
      </c>
      <c r="L156" s="5" t="str">
        <f>OBV!H156</f>
        <v>NEUTRAL</v>
      </c>
      <c r="M156" s="7">
        <f t="shared" si="23"/>
        <v>50</v>
      </c>
      <c r="N156" s="7">
        <f t="shared" si="20"/>
        <v>45</v>
      </c>
      <c r="O156" s="7">
        <f t="shared" si="21"/>
        <v>75</v>
      </c>
      <c r="P156" s="7">
        <f t="shared" si="22"/>
        <v>49.5</v>
      </c>
      <c r="Q156" s="8">
        <f t="shared" si="24"/>
        <v>51.924999999999997</v>
      </c>
      <c r="R156" s="8">
        <f t="shared" si="25"/>
        <v>57.625</v>
      </c>
      <c r="S156" s="8">
        <f t="shared" si="26"/>
        <v>55.275000000000006</v>
      </c>
      <c r="T156" s="8">
        <f t="shared" si="27"/>
        <v>54.875</v>
      </c>
      <c r="U156" s="7">
        <f t="shared" si="28"/>
        <v>54.941666666666663</v>
      </c>
      <c r="V156" s="7">
        <f t="shared" si="29"/>
        <v>54.924999999999997</v>
      </c>
    </row>
    <row r="157" spans="1:22" ht="13.5" x14ac:dyDescent="0.25">
      <c r="A157" s="3">
        <f>RSI!A157</f>
        <v>45148</v>
      </c>
      <c r="B157" s="2">
        <f>RSI!B157</f>
        <v>5.766</v>
      </c>
      <c r="C157" s="2">
        <f>RSI!I157</f>
        <v>51.602508625224523</v>
      </c>
      <c r="D157" s="2">
        <f>MACD!E157</f>
        <v>-1.4113199622267203E-2</v>
      </c>
      <c r="E157" s="2">
        <f>MACD!F157</f>
        <v>-8.0494796607762376E-3</v>
      </c>
      <c r="F157" s="2">
        <f>'Moving Avg'!D157</f>
        <v>5.7479999999999993</v>
      </c>
      <c r="G157" s="2">
        <f>'Moving Avg'!F157</f>
        <v>5.7347000000000019</v>
      </c>
      <c r="H157" s="2">
        <f>'Moving Avg'!G157</f>
        <v>5.8284199999999986</v>
      </c>
      <c r="I157" s="2">
        <f>'Moving Avg'!H157</f>
        <v>0</v>
      </c>
      <c r="J157" s="5" t="str">
        <f>OBV!F157</f>
        <v>BULLISH</v>
      </c>
      <c r="K157" s="5" t="str">
        <f>OBV!G157</f>
        <v>WEAK</v>
      </c>
      <c r="L157" s="5" t="str">
        <f>OBV!H157</f>
        <v>CONFIRMED BULLISH</v>
      </c>
      <c r="M157" s="7">
        <f t="shared" si="23"/>
        <v>50</v>
      </c>
      <c r="N157" s="7">
        <f t="shared" si="20"/>
        <v>45</v>
      </c>
      <c r="O157" s="7">
        <f t="shared" si="21"/>
        <v>75</v>
      </c>
      <c r="P157" s="7">
        <f t="shared" si="22"/>
        <v>67</v>
      </c>
      <c r="Q157" s="8">
        <f t="shared" si="24"/>
        <v>54.55</v>
      </c>
      <c r="R157" s="8">
        <f t="shared" si="25"/>
        <v>62</v>
      </c>
      <c r="S157" s="8">
        <f t="shared" si="26"/>
        <v>63.150000000000006</v>
      </c>
      <c r="T157" s="8">
        <f t="shared" si="27"/>
        <v>59.25</v>
      </c>
      <c r="U157" s="7">
        <f t="shared" si="28"/>
        <v>59.9</v>
      </c>
      <c r="V157" s="7">
        <f t="shared" si="29"/>
        <v>59.737499999999997</v>
      </c>
    </row>
    <row r="158" spans="1:22" ht="13.5" x14ac:dyDescent="0.25">
      <c r="A158" s="3">
        <f>RSI!A158</f>
        <v>45149</v>
      </c>
      <c r="B158" s="2">
        <f>RSI!B158</f>
        <v>5.766</v>
      </c>
      <c r="C158" s="2">
        <f>RSI!I158</f>
        <v>51.602508625224516</v>
      </c>
      <c r="D158" s="2">
        <f>MACD!E158</f>
        <v>-1.1484994132698212E-2</v>
      </c>
      <c r="E158" s="2">
        <f>MACD!F158</f>
        <v>-8.7365825551606324E-3</v>
      </c>
      <c r="F158" s="2">
        <f>'Moving Avg'!D158</f>
        <v>5.7569999999999997</v>
      </c>
      <c r="G158" s="2">
        <f>'Moving Avg'!F158</f>
        <v>5.7391500000000013</v>
      </c>
      <c r="H158" s="2">
        <f>'Moving Avg'!G158</f>
        <v>5.8263599999999984</v>
      </c>
      <c r="I158" s="2">
        <f>'Moving Avg'!H158</f>
        <v>0</v>
      </c>
      <c r="J158" s="5" t="str">
        <f>OBV!F158</f>
        <v>BULLISH</v>
      </c>
      <c r="K158" s="5" t="str">
        <f>OBV!G158</f>
        <v>WEAK</v>
      </c>
      <c r="L158" s="5" t="str">
        <f>OBV!H158</f>
        <v>CONFIRMED BULLISH</v>
      </c>
      <c r="M158" s="7">
        <f t="shared" si="23"/>
        <v>50</v>
      </c>
      <c r="N158" s="7">
        <f t="shared" si="20"/>
        <v>45</v>
      </c>
      <c r="O158" s="7">
        <f t="shared" si="21"/>
        <v>75</v>
      </c>
      <c r="P158" s="7">
        <f t="shared" si="22"/>
        <v>67</v>
      </c>
      <c r="Q158" s="8">
        <f t="shared" si="24"/>
        <v>54.55</v>
      </c>
      <c r="R158" s="8">
        <f t="shared" si="25"/>
        <v>62</v>
      </c>
      <c r="S158" s="8">
        <f t="shared" si="26"/>
        <v>63.150000000000006</v>
      </c>
      <c r="T158" s="8">
        <f t="shared" si="27"/>
        <v>59.25</v>
      </c>
      <c r="U158" s="7">
        <f t="shared" si="28"/>
        <v>59.9</v>
      </c>
      <c r="V158" s="7">
        <f t="shared" si="29"/>
        <v>59.737499999999997</v>
      </c>
    </row>
    <row r="159" spans="1:22" ht="13.5" x14ac:dyDescent="0.25">
      <c r="A159" s="3">
        <f>RSI!A159</f>
        <v>45152</v>
      </c>
      <c r="B159" s="2">
        <f>RSI!B159</f>
        <v>5.766</v>
      </c>
      <c r="C159" s="2">
        <f>RSI!I159</f>
        <v>51.602508625224502</v>
      </c>
      <c r="D159" s="2">
        <f>MACD!E159</f>
        <v>-9.2949756536038208E-3</v>
      </c>
      <c r="E159" s="2">
        <f>MACD!F159</f>
        <v>-8.8482611748492701E-3</v>
      </c>
      <c r="F159" s="2">
        <f>'Moving Avg'!D159</f>
        <v>5.766</v>
      </c>
      <c r="G159" s="2">
        <f>'Moving Avg'!F159</f>
        <v>5.7436000000000016</v>
      </c>
      <c r="H159" s="2">
        <f>'Moving Avg'!G159</f>
        <v>5.8251399999999993</v>
      </c>
      <c r="I159" s="2">
        <f>'Moving Avg'!H159</f>
        <v>0</v>
      </c>
      <c r="J159" s="5" t="str">
        <f>OBV!F159</f>
        <v>BULLISH</v>
      </c>
      <c r="K159" s="5" t="str">
        <f>OBV!G159</f>
        <v>WEAK</v>
      </c>
      <c r="L159" s="5" t="str">
        <f>OBV!H159</f>
        <v>CONFIRMED BULLISH</v>
      </c>
      <c r="M159" s="7">
        <f t="shared" si="23"/>
        <v>50</v>
      </c>
      <c r="N159" s="7">
        <f t="shared" si="20"/>
        <v>45</v>
      </c>
      <c r="O159" s="7">
        <f t="shared" si="21"/>
        <v>75</v>
      </c>
      <c r="P159" s="7">
        <f t="shared" si="22"/>
        <v>67</v>
      </c>
      <c r="Q159" s="8">
        <f t="shared" si="24"/>
        <v>54.55</v>
      </c>
      <c r="R159" s="8">
        <f t="shared" si="25"/>
        <v>62</v>
      </c>
      <c r="S159" s="8">
        <f t="shared" si="26"/>
        <v>63.150000000000006</v>
      </c>
      <c r="T159" s="8">
        <f t="shared" si="27"/>
        <v>59.25</v>
      </c>
      <c r="U159" s="7">
        <f t="shared" si="28"/>
        <v>59.9</v>
      </c>
      <c r="V159" s="7">
        <f t="shared" si="29"/>
        <v>59.737499999999997</v>
      </c>
    </row>
    <row r="160" spans="1:22" ht="13.5" x14ac:dyDescent="0.25">
      <c r="A160" s="3">
        <f>RSI!A160</f>
        <v>45153</v>
      </c>
      <c r="B160" s="2">
        <f>RSI!B160</f>
        <v>5.766</v>
      </c>
      <c r="C160" s="2">
        <f>RSI!I160</f>
        <v>51.602508625224502</v>
      </c>
      <c r="D160" s="2">
        <f>MACD!E160</f>
        <v>-7.4732235613952369E-3</v>
      </c>
      <c r="E160" s="2">
        <f>MACD!F160</f>
        <v>-8.5732536521584638E-3</v>
      </c>
      <c r="F160" s="2">
        <f>'Moving Avg'!D160</f>
        <v>5.766</v>
      </c>
      <c r="G160" s="2">
        <f>'Moving Avg'!F160</f>
        <v>5.748050000000001</v>
      </c>
      <c r="H160" s="2">
        <f>'Moving Avg'!G160</f>
        <v>5.8216000000000001</v>
      </c>
      <c r="I160" s="2">
        <f>'Moving Avg'!H160</f>
        <v>0</v>
      </c>
      <c r="J160" s="5" t="str">
        <f>OBV!F160</f>
        <v>NEUTRAL</v>
      </c>
      <c r="K160" s="5" t="str">
        <f>OBV!G160</f>
        <v>NEUTRAL</v>
      </c>
      <c r="L160" s="5" t="str">
        <f>OBV!H160</f>
        <v>NEUTRAL</v>
      </c>
      <c r="M160" s="7">
        <f t="shared" si="23"/>
        <v>50</v>
      </c>
      <c r="N160" s="7">
        <f t="shared" si="20"/>
        <v>0</v>
      </c>
      <c r="O160" s="7">
        <f t="shared" si="21"/>
        <v>75</v>
      </c>
      <c r="P160" s="7">
        <f t="shared" si="22"/>
        <v>33</v>
      </c>
      <c r="Q160" s="8">
        <f t="shared" si="24"/>
        <v>33.700000000000003</v>
      </c>
      <c r="R160" s="8">
        <f t="shared" si="25"/>
        <v>44.5</v>
      </c>
      <c r="S160" s="8">
        <f t="shared" si="26"/>
        <v>41.1</v>
      </c>
      <c r="T160" s="8">
        <f t="shared" si="27"/>
        <v>39.5</v>
      </c>
      <c r="U160" s="7">
        <f t="shared" si="28"/>
        <v>39.766666666666673</v>
      </c>
      <c r="V160" s="7">
        <f t="shared" si="29"/>
        <v>39.700000000000003</v>
      </c>
    </row>
    <row r="161" spans="1:22" ht="13.5" x14ac:dyDescent="0.25">
      <c r="A161" s="3">
        <f>RSI!A161</f>
        <v>45154</v>
      </c>
      <c r="B161" s="2">
        <f>RSI!B161</f>
        <v>5.766</v>
      </c>
      <c r="C161" s="2">
        <f>RSI!I161</f>
        <v>51.602508625224502</v>
      </c>
      <c r="D161" s="2">
        <f>MACD!E161</f>
        <v>-5.960759972783336E-3</v>
      </c>
      <c r="E161" s="2">
        <f>MACD!F161</f>
        <v>-8.0507549162834383E-3</v>
      </c>
      <c r="F161" s="2">
        <f>'Moving Avg'!D161</f>
        <v>5.766</v>
      </c>
      <c r="G161" s="2">
        <f>'Moving Avg'!F161</f>
        <v>5.7525000000000022</v>
      </c>
      <c r="H161" s="2">
        <f>'Moving Avg'!G161</f>
        <v>5.8198400000000001</v>
      </c>
      <c r="I161" s="2">
        <f>'Moving Avg'!H161</f>
        <v>0</v>
      </c>
      <c r="J161" s="5" t="str">
        <f>OBV!F161</f>
        <v>NEUTRAL</v>
      </c>
      <c r="K161" s="5" t="str">
        <f>OBV!G161</f>
        <v>NEUTRAL</v>
      </c>
      <c r="L161" s="5" t="str">
        <f>OBV!H161</f>
        <v>NEUTRAL</v>
      </c>
      <c r="M161" s="7">
        <f t="shared" si="23"/>
        <v>50</v>
      </c>
      <c r="N161" s="7">
        <f t="shared" si="20"/>
        <v>0</v>
      </c>
      <c r="O161" s="7">
        <f t="shared" si="21"/>
        <v>75</v>
      </c>
      <c r="P161" s="7">
        <f t="shared" si="22"/>
        <v>33</v>
      </c>
      <c r="Q161" s="8">
        <f t="shared" si="24"/>
        <v>33.700000000000003</v>
      </c>
      <c r="R161" s="8">
        <f t="shared" si="25"/>
        <v>44.5</v>
      </c>
      <c r="S161" s="8">
        <f t="shared" si="26"/>
        <v>41.1</v>
      </c>
      <c r="T161" s="8">
        <f t="shared" si="27"/>
        <v>39.5</v>
      </c>
      <c r="U161" s="7">
        <f t="shared" si="28"/>
        <v>39.766666666666673</v>
      </c>
      <c r="V161" s="7">
        <f t="shared" si="29"/>
        <v>39.700000000000003</v>
      </c>
    </row>
    <row r="162" spans="1:22" ht="13.5" x14ac:dyDescent="0.25">
      <c r="A162" s="3">
        <f>RSI!A162</f>
        <v>45155</v>
      </c>
      <c r="B162" s="2">
        <f>RSI!B162</f>
        <v>5.7569999999999997</v>
      </c>
      <c r="C162" s="2">
        <f>RSI!I162</f>
        <v>48.166547263658046</v>
      </c>
      <c r="D162" s="2">
        <f>MACD!E162</f>
        <v>-1.0964262745547515E-2</v>
      </c>
      <c r="E162" s="2">
        <f>MACD!F162</f>
        <v>-8.633456482136254E-3</v>
      </c>
      <c r="F162" s="2">
        <f>'Moving Avg'!D162</f>
        <v>5.7641999999999998</v>
      </c>
      <c r="G162" s="2">
        <f>'Moving Avg'!F162</f>
        <v>5.7543000000000024</v>
      </c>
      <c r="H162" s="2">
        <f>'Moving Avg'!G162</f>
        <v>5.8164799999999994</v>
      </c>
      <c r="I162" s="2">
        <f>'Moving Avg'!H162</f>
        <v>0</v>
      </c>
      <c r="J162" s="5" t="str">
        <f>OBV!F162</f>
        <v>BEARISH</v>
      </c>
      <c r="K162" s="5" t="str">
        <f>OBV!G162</f>
        <v>STRONG</v>
      </c>
      <c r="L162" s="5" t="str">
        <f>OBV!H162</f>
        <v>CONFIRMED BEARISH</v>
      </c>
      <c r="M162" s="7">
        <f t="shared" si="23"/>
        <v>50</v>
      </c>
      <c r="N162" s="7">
        <f t="shared" si="20"/>
        <v>45</v>
      </c>
      <c r="O162" s="7">
        <f t="shared" si="21"/>
        <v>75</v>
      </c>
      <c r="P162" s="7">
        <f t="shared" si="22"/>
        <v>33</v>
      </c>
      <c r="Q162" s="8">
        <f t="shared" si="24"/>
        <v>49.45</v>
      </c>
      <c r="R162" s="8">
        <f t="shared" si="25"/>
        <v>53.5</v>
      </c>
      <c r="S162" s="8">
        <f t="shared" si="26"/>
        <v>47.85</v>
      </c>
      <c r="T162" s="8">
        <f t="shared" si="27"/>
        <v>50.75</v>
      </c>
      <c r="U162" s="7">
        <f t="shared" si="28"/>
        <v>50.266666666666673</v>
      </c>
      <c r="V162" s="7">
        <f t="shared" si="29"/>
        <v>50.387500000000003</v>
      </c>
    </row>
    <row r="163" spans="1:22" ht="13.5" x14ac:dyDescent="0.25">
      <c r="A163" s="3">
        <f>RSI!A163</f>
        <v>45156</v>
      </c>
      <c r="B163" s="2">
        <f>RSI!B163</f>
        <v>5.766</v>
      </c>
      <c r="C163" s="2">
        <f>RSI!I163</f>
        <v>51.634683683095972</v>
      </c>
      <c r="D163" s="2">
        <f>MACD!E163</f>
        <v>-1.5836360214287915E-2</v>
      </c>
      <c r="E163" s="2">
        <f>MACD!F163</f>
        <v>-1.0074037228566587E-2</v>
      </c>
      <c r="F163" s="2">
        <f>'Moving Avg'!D163</f>
        <v>5.7641999999999998</v>
      </c>
      <c r="G163" s="2">
        <f>'Moving Avg'!F163</f>
        <v>5.7565500000000025</v>
      </c>
      <c r="H163" s="2">
        <f>'Moving Avg'!G163</f>
        <v>5.8138199999999998</v>
      </c>
      <c r="I163" s="2">
        <f>'Moving Avg'!H163</f>
        <v>0</v>
      </c>
      <c r="J163" s="5" t="str">
        <f>OBV!F163</f>
        <v>BEARISH</v>
      </c>
      <c r="K163" s="5" t="str">
        <f>OBV!G163</f>
        <v>NEUTRAL</v>
      </c>
      <c r="L163" s="5" t="str">
        <f>OBV!H163</f>
        <v>NEUTRAL</v>
      </c>
      <c r="M163" s="7">
        <f t="shared" si="23"/>
        <v>50</v>
      </c>
      <c r="N163" s="7">
        <f t="shared" si="20"/>
        <v>45</v>
      </c>
      <c r="O163" s="7">
        <f t="shared" si="21"/>
        <v>75</v>
      </c>
      <c r="P163" s="7">
        <f t="shared" si="22"/>
        <v>16.5</v>
      </c>
      <c r="Q163" s="8">
        <f t="shared" si="24"/>
        <v>46.975000000000001</v>
      </c>
      <c r="R163" s="8">
        <f t="shared" si="25"/>
        <v>49.375</v>
      </c>
      <c r="S163" s="8">
        <f t="shared" si="26"/>
        <v>40.424999999999997</v>
      </c>
      <c r="T163" s="8">
        <f t="shared" si="27"/>
        <v>46.625</v>
      </c>
      <c r="U163" s="7">
        <f t="shared" si="28"/>
        <v>45.591666666666661</v>
      </c>
      <c r="V163" s="7">
        <f t="shared" si="29"/>
        <v>45.849999999999994</v>
      </c>
    </row>
    <row r="164" spans="1:22" ht="13.5" x14ac:dyDescent="0.25">
      <c r="A164" s="3">
        <f>RSI!A164</f>
        <v>45159</v>
      </c>
      <c r="B164" s="2">
        <f>RSI!B164</f>
        <v>5.766</v>
      </c>
      <c r="C164" s="2">
        <f>RSI!I164</f>
        <v>51.634683683095965</v>
      </c>
      <c r="D164" s="2">
        <f>MACD!E164</f>
        <v>-1.9985879767126846E-2</v>
      </c>
      <c r="E164" s="2">
        <f>MACD!F164</f>
        <v>-1.2056405736278638E-2</v>
      </c>
      <c r="F164" s="2">
        <f>'Moving Avg'!D164</f>
        <v>5.7641999999999998</v>
      </c>
      <c r="G164" s="2">
        <f>'Moving Avg'!F164</f>
        <v>5.7588000000000026</v>
      </c>
      <c r="H164" s="2">
        <f>'Moving Avg'!G164</f>
        <v>5.8097399999999997</v>
      </c>
      <c r="I164" s="2">
        <f>'Moving Avg'!H164</f>
        <v>0</v>
      </c>
      <c r="J164" s="5" t="str">
        <f>OBV!F164</f>
        <v>BEARISH</v>
      </c>
      <c r="K164" s="5" t="str">
        <f>OBV!G164</f>
        <v>NEUTRAL</v>
      </c>
      <c r="L164" s="5" t="str">
        <f>OBV!H164</f>
        <v>NEUTRAL</v>
      </c>
      <c r="M164" s="7">
        <f t="shared" si="23"/>
        <v>50</v>
      </c>
      <c r="N164" s="7">
        <f t="shared" si="20"/>
        <v>45</v>
      </c>
      <c r="O164" s="7">
        <f t="shared" si="21"/>
        <v>75</v>
      </c>
      <c r="P164" s="7">
        <f t="shared" si="22"/>
        <v>16.5</v>
      </c>
      <c r="Q164" s="8">
        <f t="shared" si="24"/>
        <v>46.975000000000001</v>
      </c>
      <c r="R164" s="8">
        <f t="shared" si="25"/>
        <v>49.375</v>
      </c>
      <c r="S164" s="8">
        <f t="shared" si="26"/>
        <v>40.424999999999997</v>
      </c>
      <c r="T164" s="8">
        <f t="shared" si="27"/>
        <v>46.625</v>
      </c>
      <c r="U164" s="7">
        <f t="shared" si="28"/>
        <v>45.591666666666661</v>
      </c>
      <c r="V164" s="7">
        <f t="shared" si="29"/>
        <v>45.849999999999994</v>
      </c>
    </row>
    <row r="165" spans="1:22" ht="13.5" x14ac:dyDescent="0.25">
      <c r="A165" s="3">
        <f>RSI!A165</f>
        <v>45160</v>
      </c>
      <c r="B165" s="2">
        <f>RSI!B165</f>
        <v>5.766</v>
      </c>
      <c r="C165" s="2">
        <f>RSI!I165</f>
        <v>51.634683683095965</v>
      </c>
      <c r="D165" s="2">
        <f>MACD!E165</f>
        <v>-1.6598912125994403E-2</v>
      </c>
      <c r="E165" s="2">
        <f>MACD!F165</f>
        <v>-1.2964907014221792E-2</v>
      </c>
      <c r="F165" s="2">
        <f>'Moving Avg'!D165</f>
        <v>5.7641999999999998</v>
      </c>
      <c r="G165" s="2">
        <f>'Moving Avg'!F165</f>
        <v>5.7588000000000026</v>
      </c>
      <c r="H165" s="2">
        <f>'Moving Avg'!G165</f>
        <v>5.8058399999999999</v>
      </c>
      <c r="I165" s="2">
        <f>'Moving Avg'!H165</f>
        <v>0</v>
      </c>
      <c r="J165" s="5" t="str">
        <f>OBV!F165</f>
        <v>BEARISH</v>
      </c>
      <c r="K165" s="5" t="str">
        <f>OBV!G165</f>
        <v>NEUTRAL</v>
      </c>
      <c r="L165" s="5" t="str">
        <f>OBV!H165</f>
        <v>NEUTRAL</v>
      </c>
      <c r="M165" s="7">
        <f t="shared" si="23"/>
        <v>50</v>
      </c>
      <c r="N165" s="7">
        <f t="shared" si="20"/>
        <v>45</v>
      </c>
      <c r="O165" s="7">
        <f t="shared" si="21"/>
        <v>75</v>
      </c>
      <c r="P165" s="7">
        <f t="shared" si="22"/>
        <v>16.5</v>
      </c>
      <c r="Q165" s="8">
        <f t="shared" si="24"/>
        <v>46.975000000000001</v>
      </c>
      <c r="R165" s="8">
        <f t="shared" si="25"/>
        <v>49.375</v>
      </c>
      <c r="S165" s="8">
        <f t="shared" si="26"/>
        <v>40.424999999999997</v>
      </c>
      <c r="T165" s="8">
        <f t="shared" si="27"/>
        <v>46.625</v>
      </c>
      <c r="U165" s="7">
        <f t="shared" si="28"/>
        <v>45.591666666666661</v>
      </c>
      <c r="V165" s="7">
        <f t="shared" si="29"/>
        <v>45.849999999999994</v>
      </c>
    </row>
    <row r="166" spans="1:22" ht="13.5" x14ac:dyDescent="0.25">
      <c r="A166" s="3">
        <f>RSI!A166</f>
        <v>45161</v>
      </c>
      <c r="B166" s="2">
        <f>RSI!B166</f>
        <v>5.8010000000000002</v>
      </c>
      <c r="C166" s="2">
        <f>RSI!I166</f>
        <v>63.497508696907637</v>
      </c>
      <c r="D166" s="2">
        <f>MACD!E166</f>
        <v>-1.6348736200594516E-2</v>
      </c>
      <c r="E166" s="2">
        <f>MACD!F166</f>
        <v>-1.3641672851496338E-2</v>
      </c>
      <c r="F166" s="2">
        <f>'Moving Avg'!D166</f>
        <v>5.7712000000000003</v>
      </c>
      <c r="G166" s="2">
        <f>'Moving Avg'!F166</f>
        <v>5.7605500000000021</v>
      </c>
      <c r="H166" s="2">
        <f>'Moving Avg'!G166</f>
        <v>5.8028199999999979</v>
      </c>
      <c r="I166" s="2">
        <f>'Moving Avg'!H166</f>
        <v>0</v>
      </c>
      <c r="J166" s="5" t="str">
        <f>OBV!F166</f>
        <v>BULLISH</v>
      </c>
      <c r="K166" s="5" t="str">
        <f>OBV!G166</f>
        <v>WEAK</v>
      </c>
      <c r="L166" s="5" t="str">
        <f>OBV!H166</f>
        <v>CONFIRMED BULLISH</v>
      </c>
      <c r="M166" s="7">
        <f t="shared" si="23"/>
        <v>50</v>
      </c>
      <c r="N166" s="7">
        <f t="shared" si="20"/>
        <v>45</v>
      </c>
      <c r="O166" s="7">
        <f t="shared" si="21"/>
        <v>75</v>
      </c>
      <c r="P166" s="7">
        <f t="shared" si="22"/>
        <v>67</v>
      </c>
      <c r="Q166" s="8">
        <f t="shared" si="24"/>
        <v>54.55</v>
      </c>
      <c r="R166" s="8">
        <f t="shared" si="25"/>
        <v>62</v>
      </c>
      <c r="S166" s="8">
        <f t="shared" si="26"/>
        <v>63.150000000000006</v>
      </c>
      <c r="T166" s="8">
        <f t="shared" si="27"/>
        <v>59.25</v>
      </c>
      <c r="U166" s="7">
        <f t="shared" si="28"/>
        <v>59.9</v>
      </c>
      <c r="V166" s="7">
        <f t="shared" si="29"/>
        <v>59.737499999999997</v>
      </c>
    </row>
    <row r="167" spans="1:22" ht="13.5" x14ac:dyDescent="0.25">
      <c r="A167" s="3">
        <f>RSI!A167</f>
        <v>45162</v>
      </c>
      <c r="B167" s="2">
        <f>RSI!B167</f>
        <v>5.8010000000000002</v>
      </c>
      <c r="C167" s="2">
        <f>RSI!I167</f>
        <v>63.497508696907637</v>
      </c>
      <c r="D167" s="2">
        <f>MACD!E167</f>
        <v>-1.6365279436242552E-2</v>
      </c>
      <c r="E167" s="2">
        <f>MACD!F167</f>
        <v>-1.4186394168445582E-2</v>
      </c>
      <c r="F167" s="2">
        <f>'Moving Avg'!D167</f>
        <v>5.7800000000000011</v>
      </c>
      <c r="G167" s="2">
        <f>'Moving Avg'!F167</f>
        <v>5.7623000000000015</v>
      </c>
      <c r="H167" s="2">
        <f>'Moving Avg'!G167</f>
        <v>5.7997999999999976</v>
      </c>
      <c r="I167" s="2">
        <f>'Moving Avg'!H167</f>
        <v>0</v>
      </c>
      <c r="J167" s="5" t="str">
        <f>OBV!F167</f>
        <v>BULLISH</v>
      </c>
      <c r="K167" s="5" t="str">
        <f>OBV!G167</f>
        <v>WEAK</v>
      </c>
      <c r="L167" s="5" t="str">
        <f>OBV!H167</f>
        <v>CONFIRMED BULLISH</v>
      </c>
      <c r="M167" s="7">
        <f t="shared" si="23"/>
        <v>50</v>
      </c>
      <c r="N167" s="7">
        <f t="shared" si="20"/>
        <v>45</v>
      </c>
      <c r="O167" s="7">
        <f t="shared" si="21"/>
        <v>75</v>
      </c>
      <c r="P167" s="7">
        <f t="shared" si="22"/>
        <v>67</v>
      </c>
      <c r="Q167" s="8">
        <f t="shared" si="24"/>
        <v>54.55</v>
      </c>
      <c r="R167" s="8">
        <f t="shared" si="25"/>
        <v>62</v>
      </c>
      <c r="S167" s="8">
        <f t="shared" si="26"/>
        <v>63.150000000000006</v>
      </c>
      <c r="T167" s="8">
        <f t="shared" si="27"/>
        <v>59.25</v>
      </c>
      <c r="U167" s="7">
        <f t="shared" si="28"/>
        <v>59.9</v>
      </c>
      <c r="V167" s="7">
        <f t="shared" si="29"/>
        <v>59.737499999999997</v>
      </c>
    </row>
    <row r="168" spans="1:22" ht="13.5" x14ac:dyDescent="0.25">
      <c r="A168" s="3">
        <f>RSI!A168</f>
        <v>45163</v>
      </c>
      <c r="B168" s="2">
        <f>RSI!B168</f>
        <v>5.8010000000000002</v>
      </c>
      <c r="C168" s="2">
        <f>RSI!I168</f>
        <v>63.497508696907637</v>
      </c>
      <c r="D168" s="2">
        <f>MACD!E168</f>
        <v>-1.6590602148658817E-2</v>
      </c>
      <c r="E168" s="2">
        <f>MACD!F168</f>
        <v>-1.4667235764488229E-2</v>
      </c>
      <c r="F168" s="2">
        <f>'Moving Avg'!D168</f>
        <v>5.7870000000000008</v>
      </c>
      <c r="G168" s="2">
        <f>'Moving Avg'!F168</f>
        <v>5.764050000000001</v>
      </c>
      <c r="H168" s="2">
        <f>'Moving Avg'!G168</f>
        <v>5.7971399999999971</v>
      </c>
      <c r="I168" s="2">
        <f>'Moving Avg'!H168</f>
        <v>0</v>
      </c>
      <c r="J168" s="5" t="str">
        <f>OBV!F168</f>
        <v>BULLISH</v>
      </c>
      <c r="K168" s="5" t="str">
        <f>OBV!G168</f>
        <v>WEAK</v>
      </c>
      <c r="L168" s="5" t="str">
        <f>OBV!H168</f>
        <v>CONFIRMED BULLISH</v>
      </c>
      <c r="M168" s="7">
        <f t="shared" si="23"/>
        <v>50</v>
      </c>
      <c r="N168" s="7">
        <f t="shared" si="20"/>
        <v>45</v>
      </c>
      <c r="O168" s="7">
        <f t="shared" si="21"/>
        <v>75</v>
      </c>
      <c r="P168" s="7">
        <f t="shared" si="22"/>
        <v>67</v>
      </c>
      <c r="Q168" s="8">
        <f t="shared" si="24"/>
        <v>54.55</v>
      </c>
      <c r="R168" s="8">
        <f t="shared" si="25"/>
        <v>62</v>
      </c>
      <c r="S168" s="8">
        <f t="shared" si="26"/>
        <v>63.150000000000006</v>
      </c>
      <c r="T168" s="8">
        <f t="shared" si="27"/>
        <v>59.25</v>
      </c>
      <c r="U168" s="7">
        <f t="shared" si="28"/>
        <v>59.9</v>
      </c>
      <c r="V168" s="7">
        <f t="shared" si="29"/>
        <v>59.737499999999997</v>
      </c>
    </row>
    <row r="169" spans="1:22" ht="13.5" x14ac:dyDescent="0.25">
      <c r="A169" s="3">
        <f>RSI!A169</f>
        <v>45166</v>
      </c>
      <c r="B169" s="2">
        <f>RSI!B169</f>
        <v>5.8010000000000002</v>
      </c>
      <c r="C169" s="2">
        <f>RSI!I169</f>
        <v>63.497508696907637</v>
      </c>
      <c r="D169" s="2">
        <f>MACD!E169</f>
        <v>-1.6976930745011387E-2</v>
      </c>
      <c r="E169" s="2">
        <f>MACD!F169</f>
        <v>-1.5129174760592862E-2</v>
      </c>
      <c r="F169" s="2">
        <f>'Moving Avg'!D169</f>
        <v>5.7940000000000014</v>
      </c>
      <c r="G169" s="2">
        <f>'Moving Avg'!F169</f>
        <v>5.7658000000000005</v>
      </c>
      <c r="H169" s="2">
        <f>'Moving Avg'!G169</f>
        <v>5.7941199999999968</v>
      </c>
      <c r="I169" s="2">
        <f>'Moving Avg'!H169</f>
        <v>0</v>
      </c>
      <c r="J169" s="5" t="str">
        <f>OBV!F169</f>
        <v>BULLISH</v>
      </c>
      <c r="K169" s="5" t="str">
        <f>OBV!G169</f>
        <v>WEAK</v>
      </c>
      <c r="L169" s="5" t="str">
        <f>OBV!H169</f>
        <v>CONFIRMED BULLISH</v>
      </c>
      <c r="M169" s="7">
        <f t="shared" si="23"/>
        <v>50</v>
      </c>
      <c r="N169" s="7">
        <f t="shared" si="20"/>
        <v>45</v>
      </c>
      <c r="O169" s="7">
        <f t="shared" si="21"/>
        <v>75</v>
      </c>
      <c r="P169" s="7">
        <f t="shared" si="22"/>
        <v>67</v>
      </c>
      <c r="Q169" s="8">
        <f t="shared" si="24"/>
        <v>54.55</v>
      </c>
      <c r="R169" s="8">
        <f t="shared" si="25"/>
        <v>62</v>
      </c>
      <c r="S169" s="8">
        <f t="shared" si="26"/>
        <v>63.150000000000006</v>
      </c>
      <c r="T169" s="8">
        <f t="shared" si="27"/>
        <v>59.25</v>
      </c>
      <c r="U169" s="7">
        <f t="shared" si="28"/>
        <v>59.9</v>
      </c>
      <c r="V169" s="7">
        <f t="shared" si="29"/>
        <v>59.737499999999997</v>
      </c>
    </row>
    <row r="170" spans="1:22" ht="13.5" x14ac:dyDescent="0.25">
      <c r="A170" s="3">
        <f>RSI!A170</f>
        <v>45167</v>
      </c>
      <c r="B170" s="2">
        <f>RSI!B170</f>
        <v>5.7830000000000004</v>
      </c>
      <c r="C170" s="2">
        <f>RSI!I170</f>
        <v>54.286827539806559</v>
      </c>
      <c r="D170" s="2">
        <f>MACD!E170</f>
        <v>-1.615166761400566E-2</v>
      </c>
      <c r="E170" s="2">
        <f>MACD!F170</f>
        <v>-1.5333673331275423E-2</v>
      </c>
      <c r="F170" s="2">
        <f>'Moving Avg'!D170</f>
        <v>5.7974000000000006</v>
      </c>
      <c r="G170" s="2">
        <f>'Moving Avg'!F170</f>
        <v>5.7666500000000003</v>
      </c>
      <c r="H170" s="2">
        <f>'Moving Avg'!G170</f>
        <v>5.7905599999999966</v>
      </c>
      <c r="I170" s="2">
        <f>'Moving Avg'!H170</f>
        <v>0</v>
      </c>
      <c r="J170" s="5" t="str">
        <f>OBV!F170</f>
        <v>BULLISH</v>
      </c>
      <c r="K170" s="5" t="str">
        <f>OBV!G170</f>
        <v>NEUTRAL</v>
      </c>
      <c r="L170" s="5" t="str">
        <f>OBV!H170</f>
        <v>CONFIRMED BULLISH</v>
      </c>
      <c r="M170" s="7">
        <f t="shared" si="23"/>
        <v>50</v>
      </c>
      <c r="N170" s="7">
        <f t="shared" si="20"/>
        <v>45</v>
      </c>
      <c r="O170" s="7">
        <f t="shared" si="21"/>
        <v>75</v>
      </c>
      <c r="P170" s="7">
        <f t="shared" si="22"/>
        <v>83.5</v>
      </c>
      <c r="Q170" s="8">
        <f t="shared" si="24"/>
        <v>57.024999999999999</v>
      </c>
      <c r="R170" s="8">
        <f t="shared" si="25"/>
        <v>66.125</v>
      </c>
      <c r="S170" s="8">
        <f t="shared" si="26"/>
        <v>70.575000000000003</v>
      </c>
      <c r="T170" s="8">
        <f t="shared" si="27"/>
        <v>63.375</v>
      </c>
      <c r="U170" s="7">
        <f t="shared" si="28"/>
        <v>64.575000000000003</v>
      </c>
      <c r="V170" s="7">
        <f t="shared" si="29"/>
        <v>64.275000000000006</v>
      </c>
    </row>
    <row r="171" spans="1:22" ht="13.5" x14ac:dyDescent="0.25">
      <c r="A171" s="3">
        <f>RSI!A171</f>
        <v>45168</v>
      </c>
      <c r="B171" s="2">
        <f>RSI!B171</f>
        <v>5.7830000000000004</v>
      </c>
      <c r="C171" s="2">
        <f>RSI!I171</f>
        <v>54.286827539806559</v>
      </c>
      <c r="D171" s="2">
        <f>MACD!E171</f>
        <v>-1.5514761541406408E-2</v>
      </c>
      <c r="E171" s="2">
        <f>MACD!F171</f>
        <v>-1.536989097330162E-2</v>
      </c>
      <c r="F171" s="2">
        <f>'Moving Avg'!D171</f>
        <v>5.7938000000000001</v>
      </c>
      <c r="G171" s="2">
        <f>'Moving Avg'!F171</f>
        <v>5.7675000000000001</v>
      </c>
      <c r="H171" s="2">
        <f>'Moving Avg'!G171</f>
        <v>5.7869999999999973</v>
      </c>
      <c r="I171" s="2">
        <f>'Moving Avg'!H171</f>
        <v>0</v>
      </c>
      <c r="J171" s="5" t="str">
        <f>OBV!F171</f>
        <v>BEARISH</v>
      </c>
      <c r="K171" s="5" t="str">
        <f>OBV!G171</f>
        <v>STRONG</v>
      </c>
      <c r="L171" s="5" t="str">
        <f>OBV!H171</f>
        <v>CONFIRMED BEARISH</v>
      </c>
      <c r="M171" s="7">
        <f t="shared" si="23"/>
        <v>50</v>
      </c>
      <c r="N171" s="7">
        <f t="shared" si="20"/>
        <v>45</v>
      </c>
      <c r="O171" s="7">
        <f t="shared" si="21"/>
        <v>75</v>
      </c>
      <c r="P171" s="7">
        <f t="shared" si="22"/>
        <v>33</v>
      </c>
      <c r="Q171" s="8">
        <f t="shared" si="24"/>
        <v>49.45</v>
      </c>
      <c r="R171" s="8">
        <f t="shared" si="25"/>
        <v>53.5</v>
      </c>
      <c r="S171" s="8">
        <f t="shared" si="26"/>
        <v>47.85</v>
      </c>
      <c r="T171" s="8">
        <f t="shared" si="27"/>
        <v>50.75</v>
      </c>
      <c r="U171" s="7">
        <f t="shared" si="28"/>
        <v>50.266666666666673</v>
      </c>
      <c r="V171" s="7">
        <f t="shared" si="29"/>
        <v>50.387500000000003</v>
      </c>
    </row>
    <row r="172" spans="1:22" ht="13.5" x14ac:dyDescent="0.25">
      <c r="A172" s="3">
        <f>RSI!A172</f>
        <v>45169</v>
      </c>
      <c r="B172" s="2">
        <f>RSI!B172</f>
        <v>5.766</v>
      </c>
      <c r="C172" s="2">
        <f>RSI!I172</f>
        <v>46.844046406372158</v>
      </c>
      <c r="D172" s="2">
        <f>MACD!E172</f>
        <v>-1.5158042976932684E-2</v>
      </c>
      <c r="E172" s="2">
        <f>MACD!F172</f>
        <v>-1.5327521374027833E-2</v>
      </c>
      <c r="F172" s="2">
        <f>'Moving Avg'!D172</f>
        <v>5.7868000000000013</v>
      </c>
      <c r="G172" s="2">
        <f>'Moving Avg'!F172</f>
        <v>5.7697500000000002</v>
      </c>
      <c r="H172" s="2">
        <f>'Moving Avg'!G172</f>
        <v>5.783459999999998</v>
      </c>
      <c r="I172" s="2">
        <f>'Moving Avg'!H172</f>
        <v>0</v>
      </c>
      <c r="J172" s="5" t="str">
        <f>OBV!F172</f>
        <v>BEARISH</v>
      </c>
      <c r="K172" s="5" t="str">
        <f>OBV!G172</f>
        <v>STRONG</v>
      </c>
      <c r="L172" s="5" t="str">
        <f>OBV!H172</f>
        <v>CONFIRMED BEARISH</v>
      </c>
      <c r="M172" s="7">
        <f t="shared" si="23"/>
        <v>50</v>
      </c>
      <c r="N172" s="7">
        <f t="shared" si="20"/>
        <v>0</v>
      </c>
      <c r="O172" s="7">
        <f t="shared" si="21"/>
        <v>75</v>
      </c>
      <c r="P172" s="7">
        <f t="shared" si="22"/>
        <v>33</v>
      </c>
      <c r="Q172" s="8">
        <f t="shared" si="24"/>
        <v>33.700000000000003</v>
      </c>
      <c r="R172" s="8">
        <f t="shared" si="25"/>
        <v>44.5</v>
      </c>
      <c r="S172" s="8">
        <f t="shared" si="26"/>
        <v>41.1</v>
      </c>
      <c r="T172" s="8">
        <f t="shared" si="27"/>
        <v>39.5</v>
      </c>
      <c r="U172" s="7">
        <f t="shared" si="28"/>
        <v>39.766666666666673</v>
      </c>
      <c r="V172" s="7">
        <f t="shared" si="29"/>
        <v>39.700000000000003</v>
      </c>
    </row>
    <row r="173" spans="1:22" ht="13.5" x14ac:dyDescent="0.25">
      <c r="A173" s="3">
        <f>RSI!A173</f>
        <v>45170</v>
      </c>
      <c r="B173" s="2">
        <f>RSI!B173</f>
        <v>5.766</v>
      </c>
      <c r="C173" s="2">
        <f>RSI!I173</f>
        <v>46.844046406372158</v>
      </c>
      <c r="D173" s="2">
        <f>MACD!E173</f>
        <v>-1.3423770107593214E-2</v>
      </c>
      <c r="E173" s="2">
        <f>MACD!F173</f>
        <v>-1.4946771120740911E-2</v>
      </c>
      <c r="F173" s="2">
        <f>'Moving Avg'!D173</f>
        <v>5.7797999999999998</v>
      </c>
      <c r="G173" s="2">
        <f>'Moving Avg'!F173</f>
        <v>5.7720000000000002</v>
      </c>
      <c r="H173" s="2">
        <f>'Moving Avg'!G173</f>
        <v>5.7799199999999988</v>
      </c>
      <c r="I173" s="2">
        <f>'Moving Avg'!H173</f>
        <v>0</v>
      </c>
      <c r="J173" s="5" t="str">
        <f>OBV!F173</f>
        <v>BEARISH</v>
      </c>
      <c r="K173" s="5" t="str">
        <f>OBV!G173</f>
        <v>STRONG</v>
      </c>
      <c r="L173" s="5" t="str">
        <f>OBV!H173</f>
        <v>CONFIRMED BEARISH</v>
      </c>
      <c r="M173" s="7">
        <f t="shared" si="23"/>
        <v>50</v>
      </c>
      <c r="N173" s="7">
        <f t="shared" si="20"/>
        <v>0</v>
      </c>
      <c r="O173" s="7">
        <f t="shared" si="21"/>
        <v>75</v>
      </c>
      <c r="P173" s="7">
        <f t="shared" si="22"/>
        <v>33</v>
      </c>
      <c r="Q173" s="8">
        <f t="shared" si="24"/>
        <v>33.700000000000003</v>
      </c>
      <c r="R173" s="8">
        <f t="shared" si="25"/>
        <v>44.5</v>
      </c>
      <c r="S173" s="8">
        <f t="shared" si="26"/>
        <v>41.1</v>
      </c>
      <c r="T173" s="8">
        <f t="shared" si="27"/>
        <v>39.5</v>
      </c>
      <c r="U173" s="7">
        <f t="shared" si="28"/>
        <v>39.766666666666673</v>
      </c>
      <c r="V173" s="7">
        <f t="shared" si="29"/>
        <v>39.700000000000003</v>
      </c>
    </row>
    <row r="174" spans="1:22" ht="13.5" x14ac:dyDescent="0.25">
      <c r="A174" s="3">
        <f>RSI!A174</f>
        <v>45173</v>
      </c>
      <c r="B174" s="2">
        <f>RSI!B174</f>
        <v>5.7569999999999997</v>
      </c>
      <c r="C174" s="2">
        <f>RSI!I174</f>
        <v>43.206930397597219</v>
      </c>
      <c r="D174" s="2">
        <f>MACD!E174</f>
        <v>-1.1245365208735869E-2</v>
      </c>
      <c r="E174" s="2">
        <f>MACD!F174</f>
        <v>-1.4206489938339903E-2</v>
      </c>
      <c r="F174" s="2">
        <f>'Moving Avg'!D174</f>
        <v>5.770999999999999</v>
      </c>
      <c r="G174" s="2">
        <f>'Moving Avg'!F174</f>
        <v>5.7738000000000005</v>
      </c>
      <c r="H174" s="2">
        <f>'Moving Avg'!G174</f>
        <v>5.7765599999999981</v>
      </c>
      <c r="I174" s="2">
        <f>'Moving Avg'!H174</f>
        <v>0</v>
      </c>
      <c r="J174" s="5" t="str">
        <f>OBV!F174</f>
        <v>BEARISH</v>
      </c>
      <c r="K174" s="5" t="str">
        <f>OBV!G174</f>
        <v>STRONG</v>
      </c>
      <c r="L174" s="5" t="str">
        <f>OBV!H174</f>
        <v>CONFIRMED BEARISH</v>
      </c>
      <c r="M174" s="7">
        <f t="shared" si="23"/>
        <v>50</v>
      </c>
      <c r="N174" s="7">
        <f t="shared" si="20"/>
        <v>0</v>
      </c>
      <c r="O174" s="7">
        <f t="shared" si="21"/>
        <v>75</v>
      </c>
      <c r="P174" s="7">
        <f t="shared" si="22"/>
        <v>33</v>
      </c>
      <c r="Q174" s="8">
        <f t="shared" si="24"/>
        <v>33.700000000000003</v>
      </c>
      <c r="R174" s="8">
        <f t="shared" si="25"/>
        <v>44.5</v>
      </c>
      <c r="S174" s="8">
        <f t="shared" si="26"/>
        <v>41.1</v>
      </c>
      <c r="T174" s="8">
        <f t="shared" si="27"/>
        <v>39.5</v>
      </c>
      <c r="U174" s="7">
        <f t="shared" si="28"/>
        <v>39.766666666666673</v>
      </c>
      <c r="V174" s="7">
        <f t="shared" si="29"/>
        <v>39.700000000000003</v>
      </c>
    </row>
    <row r="175" spans="1:22" ht="13.5" x14ac:dyDescent="0.25">
      <c r="A175" s="3">
        <f>RSI!A175</f>
        <v>45174</v>
      </c>
      <c r="B175" s="2">
        <f>RSI!B175</f>
        <v>5.7569999999999997</v>
      </c>
      <c r="C175" s="2">
        <f>RSI!I175</f>
        <v>43.206930397597219</v>
      </c>
      <c r="D175" s="2">
        <f>MACD!E175</f>
        <v>-9.3079213112412518E-3</v>
      </c>
      <c r="E175" s="2">
        <f>MACD!F175</f>
        <v>-1.3226776212920174E-2</v>
      </c>
      <c r="F175" s="2">
        <f>'Moving Avg'!D175</f>
        <v>5.7657999999999987</v>
      </c>
      <c r="G175" s="2">
        <f>'Moving Avg'!F175</f>
        <v>5.7733500000000006</v>
      </c>
      <c r="H175" s="2">
        <f>'Moving Avg'!G175</f>
        <v>5.773019999999998</v>
      </c>
      <c r="I175" s="2">
        <f>'Moving Avg'!H175</f>
        <v>0</v>
      </c>
      <c r="J175" s="5" t="str">
        <f>OBV!F175</f>
        <v>BEARISH</v>
      </c>
      <c r="K175" s="5" t="str">
        <f>OBV!G175</f>
        <v>STRONG</v>
      </c>
      <c r="L175" s="5" t="str">
        <f>OBV!H175</f>
        <v>CONFIRMED BEARISH</v>
      </c>
      <c r="M175" s="7">
        <f t="shared" si="23"/>
        <v>50</v>
      </c>
      <c r="N175" s="7">
        <f t="shared" si="20"/>
        <v>0</v>
      </c>
      <c r="O175" s="7">
        <f t="shared" si="21"/>
        <v>75</v>
      </c>
      <c r="P175" s="7">
        <f t="shared" si="22"/>
        <v>33</v>
      </c>
      <c r="Q175" s="8">
        <f t="shared" si="24"/>
        <v>33.700000000000003</v>
      </c>
      <c r="R175" s="8">
        <f t="shared" si="25"/>
        <v>44.5</v>
      </c>
      <c r="S175" s="8">
        <f t="shared" si="26"/>
        <v>41.1</v>
      </c>
      <c r="T175" s="8">
        <f t="shared" si="27"/>
        <v>39.5</v>
      </c>
      <c r="U175" s="7">
        <f t="shared" si="28"/>
        <v>39.766666666666673</v>
      </c>
      <c r="V175" s="7">
        <f t="shared" si="29"/>
        <v>39.700000000000003</v>
      </c>
    </row>
    <row r="176" spans="1:22" ht="13.5" x14ac:dyDescent="0.25">
      <c r="A176" s="3">
        <f>RSI!A176</f>
        <v>45175</v>
      </c>
      <c r="B176" s="2">
        <f>RSI!B176</f>
        <v>5.7569999999999997</v>
      </c>
      <c r="C176" s="2">
        <f>RSI!I176</f>
        <v>43.206930397597219</v>
      </c>
      <c r="D176" s="2">
        <f>MACD!E176</f>
        <v>-2.1967282711958802E-3</v>
      </c>
      <c r="E176" s="2">
        <f>MACD!F176</f>
        <v>-1.1020766624575315E-2</v>
      </c>
      <c r="F176" s="2">
        <f>'Moving Avg'!D176</f>
        <v>5.7605999999999993</v>
      </c>
      <c r="G176" s="2">
        <f>'Moving Avg'!F176</f>
        <v>5.7729000000000017</v>
      </c>
      <c r="H176" s="2">
        <f>'Moving Avg'!G176</f>
        <v>5.7692999999999985</v>
      </c>
      <c r="I176" s="2">
        <f>'Moving Avg'!H176</f>
        <v>0</v>
      </c>
      <c r="J176" s="5" t="str">
        <f>OBV!F176</f>
        <v>BEARISH</v>
      </c>
      <c r="K176" s="5" t="str">
        <f>OBV!G176</f>
        <v>STRONG</v>
      </c>
      <c r="L176" s="5" t="str">
        <f>OBV!H176</f>
        <v>CONFIRMED BEARISH</v>
      </c>
      <c r="M176" s="7">
        <f t="shared" si="23"/>
        <v>50</v>
      </c>
      <c r="N176" s="7">
        <f t="shared" si="20"/>
        <v>0</v>
      </c>
      <c r="O176" s="7">
        <f t="shared" si="21"/>
        <v>75</v>
      </c>
      <c r="P176" s="7">
        <f t="shared" si="22"/>
        <v>33</v>
      </c>
      <c r="Q176" s="8">
        <f t="shared" si="24"/>
        <v>33.700000000000003</v>
      </c>
      <c r="R176" s="8">
        <f t="shared" si="25"/>
        <v>44.5</v>
      </c>
      <c r="S176" s="8">
        <f t="shared" si="26"/>
        <v>41.1</v>
      </c>
      <c r="T176" s="8">
        <f t="shared" si="27"/>
        <v>39.5</v>
      </c>
      <c r="U176" s="7">
        <f t="shared" si="28"/>
        <v>39.766666666666673</v>
      </c>
      <c r="V176" s="7">
        <f t="shared" si="29"/>
        <v>39.700000000000003</v>
      </c>
    </row>
    <row r="177" spans="1:22" ht="13.5" x14ac:dyDescent="0.25">
      <c r="A177" s="3">
        <f>RSI!A177</f>
        <v>45176</v>
      </c>
      <c r="B177" s="2">
        <f>RSI!B177</f>
        <v>5.7569999999999997</v>
      </c>
      <c r="C177" s="2">
        <f>RSI!I177</f>
        <v>43.206930397597212</v>
      </c>
      <c r="D177" s="2">
        <f>MACD!E177</f>
        <v>3.9011777091388922E-3</v>
      </c>
      <c r="E177" s="2">
        <f>MACD!F177</f>
        <v>-8.0363777578324747E-3</v>
      </c>
      <c r="F177" s="2">
        <f>'Moving Avg'!D177</f>
        <v>5.758799999999999</v>
      </c>
      <c r="G177" s="2">
        <f>'Moving Avg'!F177</f>
        <v>5.772450000000001</v>
      </c>
      <c r="H177" s="2">
        <f>'Moving Avg'!G177</f>
        <v>5.7657599999999976</v>
      </c>
      <c r="I177" s="2">
        <f>'Moving Avg'!H177</f>
        <v>0</v>
      </c>
      <c r="J177" s="5" t="str">
        <f>OBV!F177</f>
        <v>BEARISH</v>
      </c>
      <c r="K177" s="5" t="str">
        <f>OBV!G177</f>
        <v>STRONG</v>
      </c>
      <c r="L177" s="5" t="str">
        <f>OBV!H177</f>
        <v>CONFIRMED BEARISH</v>
      </c>
      <c r="M177" s="7">
        <f t="shared" si="23"/>
        <v>50</v>
      </c>
      <c r="N177" s="7">
        <f t="shared" si="20"/>
        <v>0</v>
      </c>
      <c r="O177" s="7">
        <f t="shared" si="21"/>
        <v>75</v>
      </c>
      <c r="P177" s="7">
        <f t="shared" si="22"/>
        <v>33</v>
      </c>
      <c r="Q177" s="8">
        <f t="shared" si="24"/>
        <v>33.700000000000003</v>
      </c>
      <c r="R177" s="8">
        <f t="shared" si="25"/>
        <v>44.5</v>
      </c>
      <c r="S177" s="8">
        <f t="shared" si="26"/>
        <v>41.1</v>
      </c>
      <c r="T177" s="8">
        <f t="shared" si="27"/>
        <v>39.5</v>
      </c>
      <c r="U177" s="7">
        <f t="shared" si="28"/>
        <v>39.766666666666673</v>
      </c>
      <c r="V177" s="7">
        <f t="shared" si="29"/>
        <v>39.700000000000003</v>
      </c>
    </row>
    <row r="178" spans="1:22" ht="13.5" x14ac:dyDescent="0.25">
      <c r="A178" s="3">
        <f>RSI!A178</f>
        <v>45177</v>
      </c>
      <c r="B178" s="2">
        <f>RSI!B178</f>
        <v>5.7569999999999997</v>
      </c>
      <c r="C178" s="2">
        <f>RSI!I178</f>
        <v>43.206930397597212</v>
      </c>
      <c r="D178" s="2">
        <f>MACD!E178</f>
        <v>9.1357060104364507E-3</v>
      </c>
      <c r="E178" s="2">
        <f>MACD!F178</f>
        <v>-4.6019610041786894E-3</v>
      </c>
      <c r="F178" s="2">
        <f>'Moving Avg'!D178</f>
        <v>5.7569999999999997</v>
      </c>
      <c r="G178" s="2">
        <f>'Moving Avg'!F178</f>
        <v>5.772000000000002</v>
      </c>
      <c r="H178" s="2">
        <f>'Moving Avg'!G178</f>
        <v>5.7623999999999977</v>
      </c>
      <c r="I178" s="2">
        <f>'Moving Avg'!H178</f>
        <v>0</v>
      </c>
      <c r="J178" s="5" t="str">
        <f>OBV!F178</f>
        <v>BEARISH</v>
      </c>
      <c r="K178" s="5" t="str">
        <f>OBV!G178</f>
        <v>STRONG</v>
      </c>
      <c r="L178" s="5" t="str">
        <f>OBV!H178</f>
        <v>CONFIRMED BEARISH</v>
      </c>
      <c r="M178" s="7">
        <f t="shared" si="23"/>
        <v>50</v>
      </c>
      <c r="N178" s="7">
        <f t="shared" si="20"/>
        <v>0</v>
      </c>
      <c r="O178" s="7">
        <f t="shared" si="21"/>
        <v>75</v>
      </c>
      <c r="P178" s="7">
        <f t="shared" si="22"/>
        <v>33</v>
      </c>
      <c r="Q178" s="8">
        <f t="shared" si="24"/>
        <v>33.700000000000003</v>
      </c>
      <c r="R178" s="8">
        <f t="shared" si="25"/>
        <v>44.5</v>
      </c>
      <c r="S178" s="8">
        <f t="shared" si="26"/>
        <v>41.1</v>
      </c>
      <c r="T178" s="8">
        <f t="shared" si="27"/>
        <v>39.5</v>
      </c>
      <c r="U178" s="7">
        <f t="shared" si="28"/>
        <v>39.766666666666673</v>
      </c>
      <c r="V178" s="7">
        <f t="shared" si="29"/>
        <v>39.700000000000003</v>
      </c>
    </row>
    <row r="179" spans="1:22" ht="13.5" x14ac:dyDescent="0.25">
      <c r="A179" s="3">
        <f>RSI!A179</f>
        <v>45180</v>
      </c>
      <c r="B179" s="2">
        <f>RSI!B179</f>
        <v>5.7569999999999997</v>
      </c>
      <c r="C179" s="2">
        <f>RSI!I179</f>
        <v>43.206930397597212</v>
      </c>
      <c r="D179" s="2">
        <f>MACD!E179</f>
        <v>1.3634146064040564E-2</v>
      </c>
      <c r="E179" s="2">
        <f>MACD!F179</f>
        <v>-9.547395905348385E-4</v>
      </c>
      <c r="F179" s="2">
        <f>'Moving Avg'!D179</f>
        <v>5.7569999999999997</v>
      </c>
      <c r="G179" s="2">
        <f>'Moving Avg'!F179</f>
        <v>5.7715500000000022</v>
      </c>
      <c r="H179" s="2">
        <f>'Moving Avg'!G179</f>
        <v>5.7590399999999979</v>
      </c>
      <c r="I179" s="2">
        <f>'Moving Avg'!H179</f>
        <v>0</v>
      </c>
      <c r="J179" s="5" t="str">
        <f>OBV!F179</f>
        <v>NEUTRAL</v>
      </c>
      <c r="K179" s="5" t="str">
        <f>OBV!G179</f>
        <v>NEUTRAL</v>
      </c>
      <c r="L179" s="5" t="str">
        <f>OBV!H179</f>
        <v>NEUTRAL</v>
      </c>
      <c r="M179" s="7">
        <f t="shared" si="23"/>
        <v>50</v>
      </c>
      <c r="N179" s="7">
        <f t="shared" si="20"/>
        <v>0</v>
      </c>
      <c r="O179" s="7">
        <f t="shared" si="21"/>
        <v>75</v>
      </c>
      <c r="P179" s="7">
        <f t="shared" si="22"/>
        <v>33</v>
      </c>
      <c r="Q179" s="8">
        <f t="shared" si="24"/>
        <v>33.700000000000003</v>
      </c>
      <c r="R179" s="8">
        <f t="shared" si="25"/>
        <v>44.5</v>
      </c>
      <c r="S179" s="8">
        <f t="shared" si="26"/>
        <v>41.1</v>
      </c>
      <c r="T179" s="8">
        <f t="shared" si="27"/>
        <v>39.5</v>
      </c>
      <c r="U179" s="7">
        <f t="shared" si="28"/>
        <v>39.766666666666673</v>
      </c>
      <c r="V179" s="7">
        <f t="shared" si="29"/>
        <v>39.700000000000003</v>
      </c>
    </row>
    <row r="180" spans="1:22" ht="13.5" x14ac:dyDescent="0.25">
      <c r="A180" s="3">
        <f>RSI!A180</f>
        <v>45181</v>
      </c>
      <c r="B180" s="2">
        <f>RSI!B180</f>
        <v>5.7569999999999997</v>
      </c>
      <c r="C180" s="2">
        <f>RSI!I180</f>
        <v>43.206930397597205</v>
      </c>
      <c r="D180" s="2">
        <f>MACD!E180</f>
        <v>1.4735383757729537E-2</v>
      </c>
      <c r="E180" s="2">
        <f>MACD!F180</f>
        <v>2.1832850791180364E-3</v>
      </c>
      <c r="F180" s="2">
        <f>'Moving Avg'!D180</f>
        <v>5.7569999999999997</v>
      </c>
      <c r="G180" s="2">
        <f>'Moving Avg'!F180</f>
        <v>5.7711000000000023</v>
      </c>
      <c r="H180" s="2">
        <f>'Moving Avg'!G180</f>
        <v>5.7563799999999983</v>
      </c>
      <c r="I180" s="2">
        <f>'Moving Avg'!H180</f>
        <v>0</v>
      </c>
      <c r="J180" s="5" t="str">
        <f>OBV!F180</f>
        <v>NEUTRAL</v>
      </c>
      <c r="K180" s="5" t="str">
        <f>OBV!G180</f>
        <v>NEUTRAL</v>
      </c>
      <c r="L180" s="5" t="str">
        <f>OBV!H180</f>
        <v>NEUTRAL</v>
      </c>
      <c r="M180" s="7">
        <f t="shared" si="23"/>
        <v>50</v>
      </c>
      <c r="N180" s="7">
        <f t="shared" si="20"/>
        <v>0</v>
      </c>
      <c r="O180" s="7">
        <f t="shared" si="21"/>
        <v>75</v>
      </c>
      <c r="P180" s="7">
        <f t="shared" si="22"/>
        <v>33</v>
      </c>
      <c r="Q180" s="8">
        <f t="shared" si="24"/>
        <v>33.700000000000003</v>
      </c>
      <c r="R180" s="8">
        <f t="shared" si="25"/>
        <v>44.5</v>
      </c>
      <c r="S180" s="8">
        <f t="shared" si="26"/>
        <v>41.1</v>
      </c>
      <c r="T180" s="8">
        <f t="shared" si="27"/>
        <v>39.5</v>
      </c>
      <c r="U180" s="7">
        <f t="shared" si="28"/>
        <v>39.766666666666673</v>
      </c>
      <c r="V180" s="7">
        <f t="shared" si="29"/>
        <v>39.700000000000003</v>
      </c>
    </row>
    <row r="181" spans="1:22" ht="13.5" x14ac:dyDescent="0.25">
      <c r="A181" s="3">
        <f>RSI!A181</f>
        <v>45182</v>
      </c>
      <c r="B181" s="2">
        <f>RSI!B181</f>
        <v>5.7480000000000002</v>
      </c>
      <c r="C181" s="2">
        <f>RSI!I181</f>
        <v>38.221493866070766</v>
      </c>
      <c r="D181" s="2">
        <f>MACD!E181</f>
        <v>1.6393215184321797E-2</v>
      </c>
      <c r="E181" s="2">
        <f>MACD!F181</f>
        <v>5.0252711001587888E-3</v>
      </c>
      <c r="F181" s="2">
        <f>'Moving Avg'!D181</f>
        <v>5.7552000000000003</v>
      </c>
      <c r="G181" s="2">
        <f>'Moving Avg'!F181</f>
        <v>5.7702000000000027</v>
      </c>
      <c r="H181" s="2">
        <f>'Moving Avg'!G181</f>
        <v>5.7535399999999983</v>
      </c>
      <c r="I181" s="2">
        <f>'Moving Avg'!H181</f>
        <v>0</v>
      </c>
      <c r="J181" s="5" t="str">
        <f>OBV!F181</f>
        <v>BEARISH</v>
      </c>
      <c r="K181" s="5" t="str">
        <f>OBV!G181</f>
        <v>STRONG</v>
      </c>
      <c r="L181" s="5" t="str">
        <f>OBV!H181</f>
        <v>CONFIRMED BEARISH</v>
      </c>
      <c r="M181" s="7">
        <f t="shared" si="23"/>
        <v>50</v>
      </c>
      <c r="N181" s="7">
        <f t="shared" si="20"/>
        <v>0</v>
      </c>
      <c r="O181" s="7">
        <f t="shared" si="21"/>
        <v>75</v>
      </c>
      <c r="P181" s="7">
        <f t="shared" si="22"/>
        <v>33</v>
      </c>
      <c r="Q181" s="8">
        <f t="shared" si="24"/>
        <v>33.700000000000003</v>
      </c>
      <c r="R181" s="8">
        <f t="shared" si="25"/>
        <v>44.5</v>
      </c>
      <c r="S181" s="8">
        <f t="shared" si="26"/>
        <v>41.1</v>
      </c>
      <c r="T181" s="8">
        <f t="shared" si="27"/>
        <v>39.5</v>
      </c>
      <c r="U181" s="7">
        <f t="shared" si="28"/>
        <v>39.766666666666673</v>
      </c>
      <c r="V181" s="7">
        <f t="shared" si="29"/>
        <v>39.700000000000003</v>
      </c>
    </row>
    <row r="182" spans="1:22" ht="13.5" x14ac:dyDescent="0.25">
      <c r="A182" s="3">
        <f>RSI!A182</f>
        <v>45183</v>
      </c>
      <c r="B182" s="2">
        <f>RSI!B182</f>
        <v>5.7389999999999999</v>
      </c>
      <c r="C182" s="2">
        <f>RSI!I182</f>
        <v>33.996996771110233</v>
      </c>
      <c r="D182" s="2">
        <f>MACD!E182</f>
        <v>1.5955411143226073E-2</v>
      </c>
      <c r="E182" s="2">
        <f>MACD!F182</f>
        <v>7.2112991087722456E-3</v>
      </c>
      <c r="F182" s="2">
        <f>'Moving Avg'!D182</f>
        <v>5.7516000000000007</v>
      </c>
      <c r="G182" s="2">
        <f>'Moving Avg'!F182</f>
        <v>5.769300000000003</v>
      </c>
      <c r="H182" s="2">
        <f>'Moving Avg'!G182</f>
        <v>5.7510599999999981</v>
      </c>
      <c r="I182" s="2">
        <f>'Moving Avg'!H182</f>
        <v>0</v>
      </c>
      <c r="J182" s="5" t="str">
        <f>OBV!F182</f>
        <v>BEARISH</v>
      </c>
      <c r="K182" s="5" t="str">
        <f>OBV!G182</f>
        <v>STRONG</v>
      </c>
      <c r="L182" s="5" t="str">
        <f>OBV!H182</f>
        <v>CONFIRMED BEARISH</v>
      </c>
      <c r="M182" s="7">
        <f t="shared" si="23"/>
        <v>50</v>
      </c>
      <c r="N182" s="7">
        <f t="shared" si="20"/>
        <v>0</v>
      </c>
      <c r="O182" s="7">
        <f t="shared" si="21"/>
        <v>75</v>
      </c>
      <c r="P182" s="7">
        <f t="shared" si="22"/>
        <v>33</v>
      </c>
      <c r="Q182" s="8">
        <f t="shared" si="24"/>
        <v>33.700000000000003</v>
      </c>
      <c r="R182" s="8">
        <f t="shared" si="25"/>
        <v>44.5</v>
      </c>
      <c r="S182" s="8">
        <f t="shared" si="26"/>
        <v>41.1</v>
      </c>
      <c r="T182" s="8">
        <f t="shared" si="27"/>
        <v>39.5</v>
      </c>
      <c r="U182" s="7">
        <f t="shared" si="28"/>
        <v>39.766666666666673</v>
      </c>
      <c r="V182" s="7">
        <f t="shared" si="29"/>
        <v>39.700000000000003</v>
      </c>
    </row>
    <row r="183" spans="1:22" ht="13.5" x14ac:dyDescent="0.25">
      <c r="A183" s="3">
        <f>RSI!A183</f>
        <v>45184</v>
      </c>
      <c r="B183" s="2">
        <f>RSI!B183</f>
        <v>5.7389999999999999</v>
      </c>
      <c r="C183" s="2">
        <f>RSI!I183</f>
        <v>33.996996771110233</v>
      </c>
      <c r="D183" s="2">
        <f>MACD!E183</f>
        <v>1.5738266539596424E-2</v>
      </c>
      <c r="E183" s="2">
        <f>MACD!F183</f>
        <v>8.9166925949370826E-3</v>
      </c>
      <c r="F183" s="2">
        <f>'Moving Avg'!D183</f>
        <v>5.7480000000000002</v>
      </c>
      <c r="G183" s="2">
        <f>'Moving Avg'!F183</f>
        <v>5.7679500000000017</v>
      </c>
      <c r="H183" s="2">
        <f>'Moving Avg'!G183</f>
        <v>5.7505199999999972</v>
      </c>
      <c r="I183" s="2">
        <f>'Moving Avg'!H183</f>
        <v>0</v>
      </c>
      <c r="J183" s="5" t="str">
        <f>OBV!F183</f>
        <v>BEARISH</v>
      </c>
      <c r="K183" s="5" t="str">
        <f>OBV!G183</f>
        <v>STRONG</v>
      </c>
      <c r="L183" s="5" t="str">
        <f>OBV!H183</f>
        <v>CONFIRMED BEARISH</v>
      </c>
      <c r="M183" s="7">
        <f t="shared" si="23"/>
        <v>50</v>
      </c>
      <c r="N183" s="7">
        <f t="shared" si="20"/>
        <v>0</v>
      </c>
      <c r="O183" s="7">
        <f t="shared" si="21"/>
        <v>75</v>
      </c>
      <c r="P183" s="7">
        <f t="shared" si="22"/>
        <v>33</v>
      </c>
      <c r="Q183" s="8">
        <f t="shared" si="24"/>
        <v>33.700000000000003</v>
      </c>
      <c r="R183" s="8">
        <f t="shared" si="25"/>
        <v>44.5</v>
      </c>
      <c r="S183" s="8">
        <f t="shared" si="26"/>
        <v>41.1</v>
      </c>
      <c r="T183" s="8">
        <f t="shared" si="27"/>
        <v>39.5</v>
      </c>
      <c r="U183" s="7">
        <f t="shared" si="28"/>
        <v>39.766666666666673</v>
      </c>
      <c r="V183" s="7">
        <f t="shared" si="29"/>
        <v>39.700000000000003</v>
      </c>
    </row>
    <row r="184" spans="1:22" ht="13.5" x14ac:dyDescent="0.25">
      <c r="A184" s="3">
        <f>RSI!A184</f>
        <v>45187</v>
      </c>
      <c r="B184" s="2">
        <f>RSI!B184</f>
        <v>5.7119999999999997</v>
      </c>
      <c r="C184" s="2">
        <f>RSI!I184</f>
        <v>24.55446497930545</v>
      </c>
      <c r="D184" s="2">
        <f>MACD!E184</f>
        <v>1.6311862459377657E-2</v>
      </c>
      <c r="E184" s="2">
        <f>MACD!F184</f>
        <v>1.0395726567825198E-2</v>
      </c>
      <c r="F184" s="2">
        <f>'Moving Avg'!D184</f>
        <v>5.7389999999999999</v>
      </c>
      <c r="G184" s="2">
        <f>'Moving Avg'!F184</f>
        <v>5.7652500000000018</v>
      </c>
      <c r="H184" s="2">
        <f>'Moving Avg'!G184</f>
        <v>5.7494399999999972</v>
      </c>
      <c r="I184" s="2">
        <f>'Moving Avg'!H184</f>
        <v>0</v>
      </c>
      <c r="J184" s="5" t="str">
        <f>OBV!F184</f>
        <v>BEARISH</v>
      </c>
      <c r="K184" s="5" t="str">
        <f>OBV!G184</f>
        <v>STRONG</v>
      </c>
      <c r="L184" s="5" t="str">
        <f>OBV!H184</f>
        <v>CONFIRMED BEARISH</v>
      </c>
      <c r="M184" s="7">
        <f t="shared" si="23"/>
        <v>100</v>
      </c>
      <c r="N184" s="7">
        <f t="shared" si="20"/>
        <v>0</v>
      </c>
      <c r="O184" s="7">
        <f t="shared" si="21"/>
        <v>75</v>
      </c>
      <c r="P184" s="7">
        <f t="shared" si="22"/>
        <v>33</v>
      </c>
      <c r="Q184" s="8">
        <f t="shared" si="24"/>
        <v>51.2</v>
      </c>
      <c r="R184" s="8">
        <f t="shared" si="25"/>
        <v>54.5</v>
      </c>
      <c r="S184" s="8">
        <f t="shared" si="26"/>
        <v>48.6</v>
      </c>
      <c r="T184" s="8">
        <f t="shared" si="27"/>
        <v>52</v>
      </c>
      <c r="U184" s="7">
        <f t="shared" si="28"/>
        <v>51.433333333333337</v>
      </c>
      <c r="V184" s="7">
        <f t="shared" si="29"/>
        <v>51.575000000000003</v>
      </c>
    </row>
    <row r="185" spans="1:22" ht="13.5" x14ac:dyDescent="0.25">
      <c r="A185" s="3">
        <f>RSI!A185</f>
        <v>45188</v>
      </c>
      <c r="B185" s="2">
        <f>RSI!B185</f>
        <v>5.7210000000000001</v>
      </c>
      <c r="C185" s="2">
        <f>RSI!I185</f>
        <v>31.394670989304061</v>
      </c>
      <c r="D185" s="2">
        <f>MACD!E185</f>
        <v>1.6421524647703301E-2</v>
      </c>
      <c r="E185" s="2">
        <f>MACD!F185</f>
        <v>1.1600886183800818E-2</v>
      </c>
      <c r="F185" s="2">
        <f>'Moving Avg'!D185</f>
        <v>5.7317999999999998</v>
      </c>
      <c r="G185" s="2">
        <f>'Moving Avg'!F185</f>
        <v>5.7630000000000017</v>
      </c>
      <c r="H185" s="2">
        <f>'Moving Avg'!G185</f>
        <v>5.7485399999999967</v>
      </c>
      <c r="I185" s="2">
        <f>'Moving Avg'!H185</f>
        <v>0</v>
      </c>
      <c r="J185" s="5" t="str">
        <f>OBV!F185</f>
        <v>BEARISH</v>
      </c>
      <c r="K185" s="5" t="str">
        <f>OBV!G185</f>
        <v>STRONG</v>
      </c>
      <c r="L185" s="5" t="str">
        <f>OBV!H185</f>
        <v>CONFIRMED BEARISH</v>
      </c>
      <c r="M185" s="7">
        <f t="shared" si="23"/>
        <v>50</v>
      </c>
      <c r="N185" s="7">
        <f t="shared" si="20"/>
        <v>0</v>
      </c>
      <c r="O185" s="7">
        <f t="shared" si="21"/>
        <v>75</v>
      </c>
      <c r="P185" s="7">
        <f t="shared" si="22"/>
        <v>33</v>
      </c>
      <c r="Q185" s="8">
        <f t="shared" si="24"/>
        <v>33.700000000000003</v>
      </c>
      <c r="R185" s="8">
        <f t="shared" si="25"/>
        <v>44.5</v>
      </c>
      <c r="S185" s="8">
        <f t="shared" si="26"/>
        <v>41.1</v>
      </c>
      <c r="T185" s="8">
        <f t="shared" si="27"/>
        <v>39.5</v>
      </c>
      <c r="U185" s="7">
        <f t="shared" si="28"/>
        <v>39.766666666666673</v>
      </c>
      <c r="V185" s="7">
        <f t="shared" si="29"/>
        <v>39.700000000000003</v>
      </c>
    </row>
    <row r="186" spans="1:22" ht="13.5" x14ac:dyDescent="0.25">
      <c r="A186" s="3">
        <f>RSI!A186</f>
        <v>45189</v>
      </c>
      <c r="B186" s="2">
        <f>RSI!B186</f>
        <v>5.7210000000000001</v>
      </c>
      <c r="C186" s="2">
        <f>RSI!I186</f>
        <v>31.394670989304061</v>
      </c>
      <c r="D186" s="2">
        <f>MACD!E186</f>
        <v>1.6730558844850307E-2</v>
      </c>
      <c r="E186" s="2">
        <f>MACD!F186</f>
        <v>1.2626820716010716E-2</v>
      </c>
      <c r="F186" s="2">
        <f>'Moving Avg'!D186</f>
        <v>5.7263999999999999</v>
      </c>
      <c r="G186" s="2">
        <f>'Moving Avg'!F186</f>
        <v>5.7590000000000012</v>
      </c>
      <c r="H186" s="2">
        <f>'Moving Avg'!G186</f>
        <v>5.749419999999998</v>
      </c>
      <c r="I186" s="2">
        <f>'Moving Avg'!H186</f>
        <v>0</v>
      </c>
      <c r="J186" s="5" t="str">
        <f>OBV!F186</f>
        <v>BEARISH</v>
      </c>
      <c r="K186" s="5" t="str">
        <f>OBV!G186</f>
        <v>STRONG</v>
      </c>
      <c r="L186" s="5" t="str">
        <f>OBV!H186</f>
        <v>CONFIRMED BEARISH</v>
      </c>
      <c r="M186" s="7">
        <f t="shared" si="23"/>
        <v>50</v>
      </c>
      <c r="N186" s="7">
        <f t="shared" si="20"/>
        <v>0</v>
      </c>
      <c r="O186" s="7">
        <f t="shared" si="21"/>
        <v>75</v>
      </c>
      <c r="P186" s="7">
        <f t="shared" si="22"/>
        <v>33</v>
      </c>
      <c r="Q186" s="8">
        <f t="shared" si="24"/>
        <v>33.700000000000003</v>
      </c>
      <c r="R186" s="8">
        <f t="shared" si="25"/>
        <v>44.5</v>
      </c>
      <c r="S186" s="8">
        <f t="shared" si="26"/>
        <v>41.1</v>
      </c>
      <c r="T186" s="8">
        <f t="shared" si="27"/>
        <v>39.5</v>
      </c>
      <c r="U186" s="7">
        <f t="shared" si="28"/>
        <v>39.766666666666673</v>
      </c>
      <c r="V186" s="7">
        <f t="shared" si="29"/>
        <v>39.700000000000003</v>
      </c>
    </row>
    <row r="187" spans="1:22" ht="13.5" x14ac:dyDescent="0.25">
      <c r="A187" s="3">
        <f>RSI!A187</f>
        <v>45190</v>
      </c>
      <c r="B187" s="2">
        <f>RSI!B187</f>
        <v>5.7389999999999999</v>
      </c>
      <c r="C187" s="2">
        <f>RSI!I187</f>
        <v>43.315338141102309</v>
      </c>
      <c r="D187" s="2">
        <f>MACD!E187</f>
        <v>1.5858941092247392E-2</v>
      </c>
      <c r="E187" s="2">
        <f>MACD!F187</f>
        <v>1.3273244791258052E-2</v>
      </c>
      <c r="F187" s="2">
        <f>'Moving Avg'!D187</f>
        <v>5.7263999999999999</v>
      </c>
      <c r="G187" s="2">
        <f>'Moving Avg'!F187</f>
        <v>5.7559000000000013</v>
      </c>
      <c r="H187" s="2">
        <f>'Moving Avg'!G187</f>
        <v>5.7506599999999981</v>
      </c>
      <c r="I187" s="2">
        <f>'Moving Avg'!H187</f>
        <v>0</v>
      </c>
      <c r="J187" s="5" t="str">
        <f>OBV!F187</f>
        <v>BULLISH</v>
      </c>
      <c r="K187" s="5" t="str">
        <f>OBV!G187</f>
        <v>WEAK</v>
      </c>
      <c r="L187" s="5" t="str">
        <f>OBV!H187</f>
        <v>NEUTRAL</v>
      </c>
      <c r="M187" s="7">
        <f t="shared" si="23"/>
        <v>50</v>
      </c>
      <c r="N187" s="7">
        <f t="shared" si="20"/>
        <v>0</v>
      </c>
      <c r="O187" s="7">
        <f t="shared" si="21"/>
        <v>75</v>
      </c>
      <c r="P187" s="7">
        <f t="shared" si="22"/>
        <v>33</v>
      </c>
      <c r="Q187" s="8">
        <f t="shared" si="24"/>
        <v>33.700000000000003</v>
      </c>
      <c r="R187" s="8">
        <f t="shared" si="25"/>
        <v>44.5</v>
      </c>
      <c r="S187" s="8">
        <f t="shared" si="26"/>
        <v>41.1</v>
      </c>
      <c r="T187" s="8">
        <f t="shared" si="27"/>
        <v>39.5</v>
      </c>
      <c r="U187" s="7">
        <f t="shared" si="28"/>
        <v>39.766666666666673</v>
      </c>
      <c r="V187" s="7">
        <f t="shared" si="29"/>
        <v>39.700000000000003</v>
      </c>
    </row>
    <row r="188" spans="1:22" ht="13.5" x14ac:dyDescent="0.25">
      <c r="A188" s="3">
        <f>RSI!A188</f>
        <v>45191</v>
      </c>
      <c r="B188" s="2">
        <f>RSI!B188</f>
        <v>5.7389999999999999</v>
      </c>
      <c r="C188" s="2">
        <f>RSI!I188</f>
        <v>43.315338141102309</v>
      </c>
      <c r="D188" s="2">
        <f>MACD!E188</f>
        <v>1.5200449222348311E-2</v>
      </c>
      <c r="E188" s="2">
        <f>MACD!F188</f>
        <v>1.3658685677476105E-2</v>
      </c>
      <c r="F188" s="2">
        <f>'Moving Avg'!D188</f>
        <v>5.7263999999999999</v>
      </c>
      <c r="G188" s="2">
        <f>'Moving Avg'!F188</f>
        <v>5.7528000000000015</v>
      </c>
      <c r="H188" s="2">
        <f>'Moving Avg'!G188</f>
        <v>5.7518999999999982</v>
      </c>
      <c r="I188" s="2">
        <f>'Moving Avg'!H188</f>
        <v>0</v>
      </c>
      <c r="J188" s="5" t="str">
        <f>OBV!F188</f>
        <v>BULLISH</v>
      </c>
      <c r="K188" s="5" t="str">
        <f>OBV!G188</f>
        <v>WEAK</v>
      </c>
      <c r="L188" s="5" t="str">
        <f>OBV!H188</f>
        <v>NEUTRAL</v>
      </c>
      <c r="M188" s="7">
        <f t="shared" si="23"/>
        <v>50</v>
      </c>
      <c r="N188" s="7">
        <f t="shared" si="20"/>
        <v>0</v>
      </c>
      <c r="O188" s="7">
        <f t="shared" si="21"/>
        <v>75</v>
      </c>
      <c r="P188" s="7">
        <f t="shared" si="22"/>
        <v>33</v>
      </c>
      <c r="Q188" s="8">
        <f t="shared" si="24"/>
        <v>33.700000000000003</v>
      </c>
      <c r="R188" s="8">
        <f t="shared" si="25"/>
        <v>44.5</v>
      </c>
      <c r="S188" s="8">
        <f t="shared" si="26"/>
        <v>41.1</v>
      </c>
      <c r="T188" s="8">
        <f t="shared" si="27"/>
        <v>39.5</v>
      </c>
      <c r="U188" s="7">
        <f t="shared" si="28"/>
        <v>39.766666666666673</v>
      </c>
      <c r="V188" s="7">
        <f t="shared" si="29"/>
        <v>39.700000000000003</v>
      </c>
    </row>
    <row r="189" spans="1:22" ht="13.5" x14ac:dyDescent="0.25">
      <c r="A189" s="3">
        <f>RSI!A189</f>
        <v>45194</v>
      </c>
      <c r="B189" s="2">
        <f>RSI!B189</f>
        <v>5.73</v>
      </c>
      <c r="C189" s="2">
        <f>RSI!I189</f>
        <v>39.350442989283501</v>
      </c>
      <c r="D189" s="2">
        <f>MACD!E189</f>
        <v>1.538310716789848E-2</v>
      </c>
      <c r="E189" s="2">
        <f>MACD!F189</f>
        <v>1.4003569975560581E-2</v>
      </c>
      <c r="F189" s="2">
        <f>'Moving Avg'!D189</f>
        <v>5.73</v>
      </c>
      <c r="G189" s="2">
        <f>'Moving Avg'!F189</f>
        <v>5.7492500000000009</v>
      </c>
      <c r="H189" s="2">
        <f>'Moving Avg'!G189</f>
        <v>5.7529599999999981</v>
      </c>
      <c r="I189" s="2">
        <f>'Moving Avg'!H189</f>
        <v>0</v>
      </c>
      <c r="J189" s="5" t="str">
        <f>OBV!F189</f>
        <v>BULLISH</v>
      </c>
      <c r="K189" s="5" t="str">
        <f>OBV!G189</f>
        <v>WEAK</v>
      </c>
      <c r="L189" s="5" t="str">
        <f>OBV!H189</f>
        <v>CONFIRMED BULLISH</v>
      </c>
      <c r="M189" s="7">
        <f t="shared" si="23"/>
        <v>50</v>
      </c>
      <c r="N189" s="7">
        <f t="shared" si="20"/>
        <v>0</v>
      </c>
      <c r="O189" s="7">
        <f t="shared" si="21"/>
        <v>75</v>
      </c>
      <c r="P189" s="7">
        <f t="shared" si="22"/>
        <v>67</v>
      </c>
      <c r="Q189" s="8">
        <f t="shared" si="24"/>
        <v>38.799999999999997</v>
      </c>
      <c r="R189" s="8">
        <f t="shared" si="25"/>
        <v>53</v>
      </c>
      <c r="S189" s="8">
        <f t="shared" si="26"/>
        <v>56.400000000000006</v>
      </c>
      <c r="T189" s="8">
        <f t="shared" si="27"/>
        <v>48</v>
      </c>
      <c r="U189" s="7">
        <f t="shared" si="28"/>
        <v>49.4</v>
      </c>
      <c r="V189" s="7">
        <f t="shared" si="29"/>
        <v>49.05</v>
      </c>
    </row>
    <row r="190" spans="1:22" ht="13.5" x14ac:dyDescent="0.25">
      <c r="A190" s="3">
        <f>RSI!A190</f>
        <v>45195</v>
      </c>
      <c r="B190" s="2">
        <f>RSI!B190</f>
        <v>5.73</v>
      </c>
      <c r="C190" s="2">
        <f>RSI!I190</f>
        <v>39.350442989283501</v>
      </c>
      <c r="D190" s="2">
        <f>MACD!E190</f>
        <v>1.5658601487997359E-2</v>
      </c>
      <c r="E190" s="2">
        <f>MACD!F190</f>
        <v>1.4334576278047937E-2</v>
      </c>
      <c r="F190" s="2">
        <f>'Moving Avg'!D190</f>
        <v>5.7318000000000007</v>
      </c>
      <c r="G190" s="2">
        <f>'Moving Avg'!F190</f>
        <v>5.7466000000000008</v>
      </c>
      <c r="H190" s="2">
        <f>'Moving Avg'!G190</f>
        <v>5.7540199999999979</v>
      </c>
      <c r="I190" s="2">
        <f>'Moving Avg'!H190</f>
        <v>0</v>
      </c>
      <c r="J190" s="5" t="str">
        <f>OBV!F190</f>
        <v>BULLISH</v>
      </c>
      <c r="K190" s="5" t="str">
        <f>OBV!G190</f>
        <v>NEUTRAL</v>
      </c>
      <c r="L190" s="5" t="str">
        <f>OBV!H190</f>
        <v>CONFIRMED BULLISH</v>
      </c>
      <c r="M190" s="7">
        <f t="shared" si="23"/>
        <v>50</v>
      </c>
      <c r="N190" s="7">
        <f t="shared" si="20"/>
        <v>0</v>
      </c>
      <c r="O190" s="7">
        <f t="shared" si="21"/>
        <v>75</v>
      </c>
      <c r="P190" s="7">
        <f t="shared" si="22"/>
        <v>83.5</v>
      </c>
      <c r="Q190" s="8">
        <f t="shared" si="24"/>
        <v>41.274999999999999</v>
      </c>
      <c r="R190" s="8">
        <f t="shared" si="25"/>
        <v>57.125</v>
      </c>
      <c r="S190" s="8">
        <f t="shared" si="26"/>
        <v>63.825000000000003</v>
      </c>
      <c r="T190" s="8">
        <f t="shared" si="27"/>
        <v>52.125</v>
      </c>
      <c r="U190" s="7">
        <f t="shared" si="28"/>
        <v>54.07500000000001</v>
      </c>
      <c r="V190" s="7">
        <f t="shared" si="29"/>
        <v>53.587500000000006</v>
      </c>
    </row>
    <row r="191" spans="1:22" ht="13.5" x14ac:dyDescent="0.25">
      <c r="A191" s="3">
        <f>RSI!A191</f>
        <v>45197</v>
      </c>
      <c r="B191" s="2">
        <f>RSI!B191</f>
        <v>5.7210000000000001</v>
      </c>
      <c r="C191" s="2">
        <f>RSI!I191</f>
        <v>35.573928205211658</v>
      </c>
      <c r="D191" s="2">
        <f>MACD!E191</f>
        <v>1.528574260502058E-2</v>
      </c>
      <c r="E191" s="2">
        <f>MACD!F191</f>
        <v>1.4524809543442466E-2</v>
      </c>
      <c r="F191" s="2">
        <f>'Moving Avg'!D191</f>
        <v>5.7317999999999998</v>
      </c>
      <c r="G191" s="2">
        <f>'Moving Avg'!F191</f>
        <v>5.7435000000000009</v>
      </c>
      <c r="H191" s="2">
        <f>'Moving Avg'!G191</f>
        <v>5.7548999999999992</v>
      </c>
      <c r="I191" s="2">
        <f>'Moving Avg'!H191</f>
        <v>0</v>
      </c>
      <c r="J191" s="5" t="str">
        <f>OBV!F191</f>
        <v>BEARISH</v>
      </c>
      <c r="K191" s="5" t="str">
        <f>OBV!G191</f>
        <v>STRONG</v>
      </c>
      <c r="L191" s="5" t="str">
        <f>OBV!H191</f>
        <v>NEUTRAL</v>
      </c>
      <c r="M191" s="7">
        <f t="shared" si="23"/>
        <v>50</v>
      </c>
      <c r="N191" s="7">
        <f t="shared" si="20"/>
        <v>0</v>
      </c>
      <c r="O191" s="7">
        <f t="shared" si="21"/>
        <v>75</v>
      </c>
      <c r="P191" s="7">
        <f t="shared" si="22"/>
        <v>33</v>
      </c>
      <c r="Q191" s="8">
        <f t="shared" si="24"/>
        <v>33.700000000000003</v>
      </c>
      <c r="R191" s="8">
        <f t="shared" si="25"/>
        <v>44.5</v>
      </c>
      <c r="S191" s="8">
        <f t="shared" si="26"/>
        <v>41.1</v>
      </c>
      <c r="T191" s="8">
        <f t="shared" si="27"/>
        <v>39.5</v>
      </c>
      <c r="U191" s="7">
        <f t="shared" si="28"/>
        <v>39.766666666666673</v>
      </c>
      <c r="V191" s="7">
        <f t="shared" si="29"/>
        <v>39.700000000000003</v>
      </c>
    </row>
    <row r="192" spans="1:22" ht="13.5" x14ac:dyDescent="0.25">
      <c r="A192" s="3">
        <f>RSI!A192</f>
        <v>45198</v>
      </c>
      <c r="B192" s="2">
        <f>RSI!B192</f>
        <v>5.7039999999999997</v>
      </c>
      <c r="C192" s="2">
        <f>RSI!I192</f>
        <v>29.763404633815398</v>
      </c>
      <c r="D192" s="2">
        <f>MACD!E192</f>
        <v>1.5001756384966924E-2</v>
      </c>
      <c r="E192" s="2">
        <f>MACD!F192</f>
        <v>1.4620198911747359E-2</v>
      </c>
      <c r="F192" s="2">
        <f>'Moving Avg'!D192</f>
        <v>5.7248000000000001</v>
      </c>
      <c r="G192" s="2">
        <f>'Moving Avg'!F192</f>
        <v>5.7404000000000002</v>
      </c>
      <c r="H192" s="2">
        <f>'Moving Avg'!G192</f>
        <v>5.7545600000000006</v>
      </c>
      <c r="I192" s="2">
        <f>'Moving Avg'!H192</f>
        <v>0</v>
      </c>
      <c r="J192" s="5" t="str">
        <f>OBV!F192</f>
        <v>BEARISH</v>
      </c>
      <c r="K192" s="5" t="str">
        <f>OBV!G192</f>
        <v>STRONG</v>
      </c>
      <c r="L192" s="5" t="str">
        <f>OBV!H192</f>
        <v>CONFIRMED BEARISH</v>
      </c>
      <c r="M192" s="7">
        <f t="shared" si="23"/>
        <v>100</v>
      </c>
      <c r="N192" s="7">
        <f t="shared" si="20"/>
        <v>0</v>
      </c>
      <c r="O192" s="7">
        <f t="shared" si="21"/>
        <v>75</v>
      </c>
      <c r="P192" s="7">
        <f t="shared" si="22"/>
        <v>33</v>
      </c>
      <c r="Q192" s="8">
        <f t="shared" si="24"/>
        <v>51.2</v>
      </c>
      <c r="R192" s="8">
        <f t="shared" si="25"/>
        <v>54.5</v>
      </c>
      <c r="S192" s="8">
        <f t="shared" si="26"/>
        <v>48.6</v>
      </c>
      <c r="T192" s="8">
        <f t="shared" si="27"/>
        <v>52</v>
      </c>
      <c r="U192" s="7">
        <f t="shared" si="28"/>
        <v>51.433333333333337</v>
      </c>
      <c r="V192" s="7">
        <f t="shared" si="29"/>
        <v>51.575000000000003</v>
      </c>
    </row>
    <row r="193" spans="1:22" ht="13.5" x14ac:dyDescent="0.25">
      <c r="A193" s="3">
        <f>RSI!A193</f>
        <v>45201</v>
      </c>
      <c r="B193" s="2">
        <f>RSI!B193</f>
        <v>5.7119999999999997</v>
      </c>
      <c r="C193" s="2">
        <f>RSI!I193</f>
        <v>35.132902313246703</v>
      </c>
      <c r="D193" s="2">
        <f>MACD!E193</f>
        <v>1.441456767825855E-2</v>
      </c>
      <c r="E193" s="2">
        <f>MACD!F193</f>
        <v>1.4579072665049597E-2</v>
      </c>
      <c r="F193" s="2">
        <f>'Moving Avg'!D193</f>
        <v>5.7194000000000003</v>
      </c>
      <c r="G193" s="2">
        <f>'Moving Avg'!F193</f>
        <v>5.7377000000000002</v>
      </c>
      <c r="H193" s="2">
        <f>'Moving Avg'!G193</f>
        <v>5.7543800000000012</v>
      </c>
      <c r="I193" s="2">
        <f>'Moving Avg'!H193</f>
        <v>0</v>
      </c>
      <c r="J193" s="5" t="str">
        <f>OBV!F193</f>
        <v>BEARISH</v>
      </c>
      <c r="K193" s="5" t="str">
        <f>OBV!G193</f>
        <v>STRONG</v>
      </c>
      <c r="L193" s="5" t="str">
        <f>OBV!H193</f>
        <v>CONFIRMED BEARISH</v>
      </c>
      <c r="M193" s="7">
        <f t="shared" si="23"/>
        <v>50</v>
      </c>
      <c r="N193" s="7">
        <f t="shared" si="20"/>
        <v>45</v>
      </c>
      <c r="O193" s="7">
        <f t="shared" si="21"/>
        <v>75</v>
      </c>
      <c r="P193" s="7">
        <f t="shared" si="22"/>
        <v>33</v>
      </c>
      <c r="Q193" s="8">
        <f t="shared" si="24"/>
        <v>49.45</v>
      </c>
      <c r="R193" s="8">
        <f t="shared" si="25"/>
        <v>53.5</v>
      </c>
      <c r="S193" s="8">
        <f t="shared" si="26"/>
        <v>47.85</v>
      </c>
      <c r="T193" s="8">
        <f t="shared" si="27"/>
        <v>50.75</v>
      </c>
      <c r="U193" s="7">
        <f t="shared" si="28"/>
        <v>50.266666666666673</v>
      </c>
      <c r="V193" s="7">
        <f t="shared" si="29"/>
        <v>50.387500000000003</v>
      </c>
    </row>
    <row r="194" spans="1:22" ht="13.5" x14ac:dyDescent="0.25">
      <c r="A194" s="3">
        <f>RSI!A194</f>
        <v>45202</v>
      </c>
      <c r="B194" s="2">
        <f>RSI!B194</f>
        <v>5.7039999999999997</v>
      </c>
      <c r="C194" s="2">
        <f>RSI!I194</f>
        <v>32.460453055522322</v>
      </c>
      <c r="D194" s="2">
        <f>MACD!E194</f>
        <v>1.0536689715131331E-2</v>
      </c>
      <c r="E194" s="2">
        <f>MACD!F194</f>
        <v>1.3770596075065946E-2</v>
      </c>
      <c r="F194" s="2">
        <f>'Moving Avg'!D194</f>
        <v>5.7141999999999999</v>
      </c>
      <c r="G194" s="2">
        <f>'Moving Avg'!F194</f>
        <v>5.7350500000000002</v>
      </c>
      <c r="H194" s="2">
        <f>'Moving Avg'!G194</f>
        <v>5.7540400000000007</v>
      </c>
      <c r="I194" s="2">
        <f>'Moving Avg'!H194</f>
        <v>0</v>
      </c>
      <c r="J194" s="5" t="str">
        <f>OBV!F194</f>
        <v>BEARISH</v>
      </c>
      <c r="K194" s="5" t="str">
        <f>OBV!G194</f>
        <v>STRONG</v>
      </c>
      <c r="L194" s="5" t="str">
        <f>OBV!H194</f>
        <v>CONFIRMED BEARISH</v>
      </c>
      <c r="M194" s="7">
        <f t="shared" si="23"/>
        <v>50</v>
      </c>
      <c r="N194" s="7">
        <f t="shared" ref="N194:N257" si="30">IF(E194-D194&gt;0.02, 100, IF(E194-D194&lt;0,0,45))</f>
        <v>45</v>
      </c>
      <c r="O194" s="7">
        <f t="shared" ref="O194:O257" si="31">IF(F194-I194&gt;10,100,IF(F194-I194&gt;5,75, IF(F194-I194&gt;0,50,0)))</f>
        <v>75</v>
      </c>
      <c r="P194" s="7">
        <f t="shared" ref="P194:P257" si="32">IF(L194="confirmed bullish", 34, IF(L194="bullish divergence",17, 0))+IF(J194="bullish",33,IF(J194="bearish",0,16.5))+IF(K194="strong",33,IF(K194="weak",0,16.5))</f>
        <v>33</v>
      </c>
      <c r="Q194" s="8">
        <f t="shared" si="24"/>
        <v>49.45</v>
      </c>
      <c r="R194" s="8">
        <f t="shared" si="25"/>
        <v>53.5</v>
      </c>
      <c r="S194" s="8">
        <f t="shared" si="26"/>
        <v>47.85</v>
      </c>
      <c r="T194" s="8">
        <f t="shared" si="27"/>
        <v>50.75</v>
      </c>
      <c r="U194" s="7">
        <f t="shared" si="28"/>
        <v>50.266666666666673</v>
      </c>
      <c r="V194" s="7">
        <f t="shared" si="29"/>
        <v>50.387500000000003</v>
      </c>
    </row>
    <row r="195" spans="1:22" ht="13.5" x14ac:dyDescent="0.25">
      <c r="A195" s="3">
        <f>RSI!A195</f>
        <v>45203</v>
      </c>
      <c r="B195" s="2">
        <f>RSI!B195</f>
        <v>5.7039999999999997</v>
      </c>
      <c r="C195" s="2">
        <f>RSI!I195</f>
        <v>32.460453055522322</v>
      </c>
      <c r="D195" s="2">
        <f>MACD!E195</f>
        <v>8.854173479460492E-3</v>
      </c>
      <c r="E195" s="2">
        <f>MACD!F195</f>
        <v>1.2787311555944855E-2</v>
      </c>
      <c r="F195" s="2">
        <f>'Moving Avg'!D195</f>
        <v>5.7090000000000005</v>
      </c>
      <c r="G195" s="2">
        <f>'Moving Avg'!F195</f>
        <v>5.7324000000000002</v>
      </c>
      <c r="H195" s="2">
        <f>'Moving Avg'!G195</f>
        <v>5.7528000000000006</v>
      </c>
      <c r="I195" s="2">
        <f>'Moving Avg'!H195</f>
        <v>0</v>
      </c>
      <c r="J195" s="5" t="str">
        <f>OBV!F195</f>
        <v>BEARISH</v>
      </c>
      <c r="K195" s="5" t="str">
        <f>OBV!G195</f>
        <v>STRONG</v>
      </c>
      <c r="L195" s="5" t="str">
        <f>OBV!H195</f>
        <v>CONFIRMED BEARISH</v>
      </c>
      <c r="M195" s="7">
        <f t="shared" ref="M195:M258" si="33">IF(C195&lt;30,100, IF(C195&gt;70, 0, 50))</f>
        <v>50</v>
      </c>
      <c r="N195" s="7">
        <f t="shared" si="30"/>
        <v>45</v>
      </c>
      <c r="O195" s="7">
        <f t="shared" si="31"/>
        <v>75</v>
      </c>
      <c r="P195" s="7">
        <f t="shared" si="32"/>
        <v>33</v>
      </c>
      <c r="Q195" s="8">
        <f t="shared" ref="Q195:Q258" si="34">0.35*M195+N195*0.35+O195*0.15+P195*0.15</f>
        <v>49.45</v>
      </c>
      <c r="R195" s="8">
        <f t="shared" ref="R195:R258" si="35">M195*0.2+N195*0.2+O195*0.35+P195*0.25</f>
        <v>53.5</v>
      </c>
      <c r="S195" s="8">
        <f t="shared" ref="S195:S258" si="36">M195*0.15+N195*0.15+O195*0.25+P195*0.45</f>
        <v>47.85</v>
      </c>
      <c r="T195" s="8">
        <f t="shared" ref="T195:T258" si="37">0.25*SUM(M195:P195)</f>
        <v>50.75</v>
      </c>
      <c r="U195" s="7">
        <f t="shared" ref="U195:U258" si="38">SUM(Q195:S195)/3</f>
        <v>50.266666666666673</v>
      </c>
      <c r="V195" s="7">
        <f t="shared" ref="V195:V258" si="39">SUM(Q195:T195)/4</f>
        <v>50.387500000000003</v>
      </c>
    </row>
    <row r="196" spans="1:22" ht="13.5" x14ac:dyDescent="0.25">
      <c r="A196" s="3">
        <f>RSI!A196</f>
        <v>45204</v>
      </c>
      <c r="B196" s="2">
        <f>RSI!B196</f>
        <v>5.7039999999999997</v>
      </c>
      <c r="C196" s="2">
        <f>RSI!I196</f>
        <v>32.460453055522322</v>
      </c>
      <c r="D196" s="2">
        <f>MACD!E196</f>
        <v>7.6287926853657595E-3</v>
      </c>
      <c r="E196" s="2">
        <f>MACD!F196</f>
        <v>1.1755607781829037E-2</v>
      </c>
      <c r="F196" s="2">
        <f>'Moving Avg'!D196</f>
        <v>5.7056000000000004</v>
      </c>
      <c r="G196" s="2">
        <f>'Moving Avg'!F196</f>
        <v>5.7297499999999992</v>
      </c>
      <c r="H196" s="2">
        <f>'Moving Avg'!G196</f>
        <v>5.7515600000000004</v>
      </c>
      <c r="I196" s="2">
        <f>'Moving Avg'!H196</f>
        <v>0</v>
      </c>
      <c r="J196" s="5" t="str">
        <f>OBV!F196</f>
        <v>BEARISH</v>
      </c>
      <c r="K196" s="5" t="str">
        <f>OBV!G196</f>
        <v>STRONG</v>
      </c>
      <c r="L196" s="5" t="str">
        <f>OBV!H196</f>
        <v>CONFIRMED BEARISH</v>
      </c>
      <c r="M196" s="7">
        <f t="shared" si="33"/>
        <v>50</v>
      </c>
      <c r="N196" s="7">
        <f t="shared" si="30"/>
        <v>45</v>
      </c>
      <c r="O196" s="7">
        <f t="shared" si="31"/>
        <v>75</v>
      </c>
      <c r="P196" s="7">
        <f t="shared" si="32"/>
        <v>33</v>
      </c>
      <c r="Q196" s="8">
        <f t="shared" si="34"/>
        <v>49.45</v>
      </c>
      <c r="R196" s="8">
        <f t="shared" si="35"/>
        <v>53.5</v>
      </c>
      <c r="S196" s="8">
        <f t="shared" si="36"/>
        <v>47.85</v>
      </c>
      <c r="T196" s="8">
        <f t="shared" si="37"/>
        <v>50.75</v>
      </c>
      <c r="U196" s="7">
        <f t="shared" si="38"/>
        <v>50.266666666666673</v>
      </c>
      <c r="V196" s="7">
        <f t="shared" si="39"/>
        <v>50.387500000000003</v>
      </c>
    </row>
    <row r="197" spans="1:22" ht="13.5" x14ac:dyDescent="0.25">
      <c r="A197" s="3">
        <f>RSI!A197</f>
        <v>45205</v>
      </c>
      <c r="B197" s="2">
        <f>RSI!B197</f>
        <v>5.7039999999999997</v>
      </c>
      <c r="C197" s="2">
        <f>RSI!I197</f>
        <v>32.460453055522322</v>
      </c>
      <c r="D197" s="2">
        <f>MACD!E197</f>
        <v>9.5447616622381659E-3</v>
      </c>
      <c r="E197" s="2">
        <f>MACD!F197</f>
        <v>1.1313438557910864E-2</v>
      </c>
      <c r="F197" s="2">
        <f>'Moving Avg'!D197</f>
        <v>5.7056000000000004</v>
      </c>
      <c r="G197" s="2">
        <f>'Moving Avg'!F197</f>
        <v>5.7270999999999992</v>
      </c>
      <c r="H197" s="2">
        <f>'Moving Avg'!G197</f>
        <v>5.7503200000000003</v>
      </c>
      <c r="I197" s="2">
        <f>'Moving Avg'!H197</f>
        <v>0</v>
      </c>
      <c r="J197" s="5" t="str">
        <f>OBV!F197</f>
        <v>BULLISH</v>
      </c>
      <c r="K197" s="5" t="str">
        <f>OBV!G197</f>
        <v>NEUTRAL</v>
      </c>
      <c r="L197" s="5" t="str">
        <f>OBV!H197</f>
        <v>NEUTRAL</v>
      </c>
      <c r="M197" s="7">
        <f t="shared" si="33"/>
        <v>50</v>
      </c>
      <c r="N197" s="7">
        <f t="shared" si="30"/>
        <v>45</v>
      </c>
      <c r="O197" s="7">
        <f t="shared" si="31"/>
        <v>75</v>
      </c>
      <c r="P197" s="7">
        <f t="shared" si="32"/>
        <v>49.5</v>
      </c>
      <c r="Q197" s="8">
        <f t="shared" si="34"/>
        <v>51.924999999999997</v>
      </c>
      <c r="R197" s="8">
        <f t="shared" si="35"/>
        <v>57.625</v>
      </c>
      <c r="S197" s="8">
        <f t="shared" si="36"/>
        <v>55.275000000000006</v>
      </c>
      <c r="T197" s="8">
        <f t="shared" si="37"/>
        <v>54.875</v>
      </c>
      <c r="U197" s="7">
        <f t="shared" si="38"/>
        <v>54.941666666666663</v>
      </c>
      <c r="V197" s="7">
        <f t="shared" si="39"/>
        <v>54.924999999999997</v>
      </c>
    </row>
    <row r="198" spans="1:22" ht="13.5" x14ac:dyDescent="0.25">
      <c r="A198" s="3">
        <f>RSI!A198</f>
        <v>45208</v>
      </c>
      <c r="B198" s="2">
        <f>RSI!B198</f>
        <v>5.7210000000000001</v>
      </c>
      <c r="C198" s="2">
        <f>RSI!I198</f>
        <v>44.522248489738026</v>
      </c>
      <c r="D198" s="2">
        <f>MACD!E198</f>
        <v>1.0076705884434212E-2</v>
      </c>
      <c r="E198" s="2">
        <f>MACD!F198</f>
        <v>1.1066092023215533E-2</v>
      </c>
      <c r="F198" s="2">
        <f>'Moving Avg'!D198</f>
        <v>5.7073999999999998</v>
      </c>
      <c r="G198" s="2">
        <f>'Moving Avg'!F198</f>
        <v>5.7252999999999989</v>
      </c>
      <c r="H198" s="2">
        <f>'Moving Avg'!G198</f>
        <v>5.7494200000000015</v>
      </c>
      <c r="I198" s="2">
        <f>'Moving Avg'!H198</f>
        <v>0</v>
      </c>
      <c r="J198" s="5" t="str">
        <f>OBV!F198</f>
        <v>BULLISH</v>
      </c>
      <c r="K198" s="5" t="str">
        <f>OBV!G198</f>
        <v>NEUTRAL</v>
      </c>
      <c r="L198" s="5" t="str">
        <f>OBV!H198</f>
        <v>CONFIRMED BULLISH</v>
      </c>
      <c r="M198" s="7">
        <f t="shared" si="33"/>
        <v>50</v>
      </c>
      <c r="N198" s="7">
        <f t="shared" si="30"/>
        <v>45</v>
      </c>
      <c r="O198" s="7">
        <f t="shared" si="31"/>
        <v>75</v>
      </c>
      <c r="P198" s="7">
        <f t="shared" si="32"/>
        <v>83.5</v>
      </c>
      <c r="Q198" s="8">
        <f t="shared" si="34"/>
        <v>57.024999999999999</v>
      </c>
      <c r="R198" s="8">
        <f t="shared" si="35"/>
        <v>66.125</v>
      </c>
      <c r="S198" s="8">
        <f t="shared" si="36"/>
        <v>70.575000000000003</v>
      </c>
      <c r="T198" s="8">
        <f t="shared" si="37"/>
        <v>63.375</v>
      </c>
      <c r="U198" s="7">
        <f t="shared" si="38"/>
        <v>64.575000000000003</v>
      </c>
      <c r="V198" s="7">
        <f t="shared" si="39"/>
        <v>64.275000000000006</v>
      </c>
    </row>
    <row r="199" spans="1:22" ht="13.5" x14ac:dyDescent="0.25">
      <c r="A199" s="3">
        <f>RSI!A199</f>
        <v>45209</v>
      </c>
      <c r="B199" s="2">
        <f>RSI!B199</f>
        <v>5.6859999999999999</v>
      </c>
      <c r="C199" s="2">
        <f>RSI!I199</f>
        <v>31.893510638134288</v>
      </c>
      <c r="D199" s="2">
        <f>MACD!E199</f>
        <v>1.179174245869774E-2</v>
      </c>
      <c r="E199" s="2">
        <f>MACD!F199</f>
        <v>1.1211222110311975E-2</v>
      </c>
      <c r="F199" s="2">
        <f>'Moving Avg'!D199</f>
        <v>5.7037999999999993</v>
      </c>
      <c r="G199" s="2">
        <f>'Moving Avg'!F199</f>
        <v>5.7217499999999983</v>
      </c>
      <c r="H199" s="2">
        <f>'Moving Avg'!G199</f>
        <v>5.7478200000000008</v>
      </c>
      <c r="I199" s="2">
        <f>'Moving Avg'!H199</f>
        <v>0</v>
      </c>
      <c r="J199" s="5" t="str">
        <f>OBV!F199</f>
        <v>BULLISH</v>
      </c>
      <c r="K199" s="5" t="str">
        <f>OBV!G199</f>
        <v>NEUTRAL</v>
      </c>
      <c r="L199" s="5" t="str">
        <f>OBV!H199</f>
        <v>BULLISH DIVERGENCE</v>
      </c>
      <c r="M199" s="7">
        <f t="shared" si="33"/>
        <v>50</v>
      </c>
      <c r="N199" s="7">
        <f t="shared" si="30"/>
        <v>0</v>
      </c>
      <c r="O199" s="7">
        <f t="shared" si="31"/>
        <v>75</v>
      </c>
      <c r="P199" s="7">
        <f t="shared" si="32"/>
        <v>66.5</v>
      </c>
      <c r="Q199" s="8">
        <f t="shared" si="34"/>
        <v>38.725000000000001</v>
      </c>
      <c r="R199" s="8">
        <f t="shared" si="35"/>
        <v>52.875</v>
      </c>
      <c r="S199" s="8">
        <f t="shared" si="36"/>
        <v>56.174999999999997</v>
      </c>
      <c r="T199" s="8">
        <f t="shared" si="37"/>
        <v>47.875</v>
      </c>
      <c r="U199" s="7">
        <f t="shared" si="38"/>
        <v>49.258333333333326</v>
      </c>
      <c r="V199" s="7">
        <f t="shared" si="39"/>
        <v>48.912499999999994</v>
      </c>
    </row>
    <row r="200" spans="1:22" ht="13.5" x14ac:dyDescent="0.25">
      <c r="A200" s="3">
        <f>RSI!A200</f>
        <v>45210</v>
      </c>
      <c r="B200" s="2">
        <f>RSI!B200</f>
        <v>5.6859999999999999</v>
      </c>
      <c r="C200" s="2">
        <f>RSI!I200</f>
        <v>31.893510638134288</v>
      </c>
      <c r="D200" s="2">
        <f>MACD!E200</f>
        <v>1.3502477752394881E-2</v>
      </c>
      <c r="E200" s="2">
        <f>MACD!F200</f>
        <v>1.1669473238728557E-2</v>
      </c>
      <c r="F200" s="2">
        <f>'Moving Avg'!D200</f>
        <v>5.7001999999999997</v>
      </c>
      <c r="G200" s="2">
        <f>'Moving Avg'!F200</f>
        <v>5.7181999999999986</v>
      </c>
      <c r="H200" s="2">
        <f>'Moving Avg'!G200</f>
        <v>5.746220000000001</v>
      </c>
      <c r="I200" s="2">
        <f>'Moving Avg'!H200</f>
        <v>0</v>
      </c>
      <c r="J200" s="5" t="str">
        <f>OBV!F200</f>
        <v>BULLISH</v>
      </c>
      <c r="K200" s="5" t="str">
        <f>OBV!G200</f>
        <v>NEUTRAL</v>
      </c>
      <c r="L200" s="5" t="str">
        <f>OBV!H200</f>
        <v>BULLISH DIVERGENCE</v>
      </c>
      <c r="M200" s="7">
        <f t="shared" si="33"/>
        <v>50</v>
      </c>
      <c r="N200" s="7">
        <f t="shared" si="30"/>
        <v>0</v>
      </c>
      <c r="O200" s="7">
        <f t="shared" si="31"/>
        <v>75</v>
      </c>
      <c r="P200" s="7">
        <f t="shared" si="32"/>
        <v>66.5</v>
      </c>
      <c r="Q200" s="8">
        <f t="shared" si="34"/>
        <v>38.725000000000001</v>
      </c>
      <c r="R200" s="8">
        <f t="shared" si="35"/>
        <v>52.875</v>
      </c>
      <c r="S200" s="8">
        <f t="shared" si="36"/>
        <v>56.174999999999997</v>
      </c>
      <c r="T200" s="8">
        <f t="shared" si="37"/>
        <v>47.875</v>
      </c>
      <c r="U200" s="7">
        <f t="shared" si="38"/>
        <v>49.258333333333326</v>
      </c>
      <c r="V200" s="7">
        <f t="shared" si="39"/>
        <v>48.912499999999994</v>
      </c>
    </row>
    <row r="201" spans="1:22" ht="13.5" x14ac:dyDescent="0.25">
      <c r="A201" s="3">
        <f>RSI!A201</f>
        <v>45211</v>
      </c>
      <c r="B201" s="2">
        <f>RSI!B201</f>
        <v>5.6859999999999999</v>
      </c>
      <c r="C201" s="2">
        <f>RSI!I201</f>
        <v>31.893510638134288</v>
      </c>
      <c r="D201" s="2">
        <f>MACD!E201</f>
        <v>1.3805732153412187E-2</v>
      </c>
      <c r="E201" s="2">
        <f>MACD!F201</f>
        <v>1.2096725021665283E-2</v>
      </c>
      <c r="F201" s="2">
        <f>'Moving Avg'!D201</f>
        <v>5.6966000000000001</v>
      </c>
      <c r="G201" s="2">
        <f>'Moving Avg'!F201</f>
        <v>5.7150999999999996</v>
      </c>
      <c r="H201" s="2">
        <f>'Moving Avg'!G201</f>
        <v>5.7446200000000003</v>
      </c>
      <c r="I201" s="2">
        <f>'Moving Avg'!H201</f>
        <v>5.5155449999999941</v>
      </c>
      <c r="J201" s="5" t="str">
        <f>OBV!F201</f>
        <v>BULLISH</v>
      </c>
      <c r="K201" s="5" t="str">
        <f>OBV!G201</f>
        <v>NEUTRAL</v>
      </c>
      <c r="L201" s="5" t="str">
        <f>OBV!H201</f>
        <v>BULLISH DIVERGENCE</v>
      </c>
      <c r="M201" s="7">
        <f t="shared" si="33"/>
        <v>50</v>
      </c>
      <c r="N201" s="7">
        <f t="shared" si="30"/>
        <v>0</v>
      </c>
      <c r="O201" s="7">
        <f t="shared" si="31"/>
        <v>50</v>
      </c>
      <c r="P201" s="7">
        <f t="shared" si="32"/>
        <v>66.5</v>
      </c>
      <c r="Q201" s="8">
        <f t="shared" si="34"/>
        <v>34.975000000000001</v>
      </c>
      <c r="R201" s="8">
        <f t="shared" si="35"/>
        <v>44.125</v>
      </c>
      <c r="S201" s="8">
        <f t="shared" si="36"/>
        <v>49.924999999999997</v>
      </c>
      <c r="T201" s="8">
        <f t="shared" si="37"/>
        <v>41.625</v>
      </c>
      <c r="U201" s="7">
        <f t="shared" si="38"/>
        <v>43.008333333333326</v>
      </c>
      <c r="V201" s="7">
        <f t="shared" si="39"/>
        <v>42.662499999999994</v>
      </c>
    </row>
    <row r="202" spans="1:22" ht="13.5" x14ac:dyDescent="0.25">
      <c r="A202" s="3">
        <f>RSI!A202</f>
        <v>45212</v>
      </c>
      <c r="B202" s="2">
        <f>RSI!B202</f>
        <v>5.6950000000000003</v>
      </c>
      <c r="C202" s="2">
        <f>RSI!I202</f>
        <v>37.579890887649697</v>
      </c>
      <c r="D202" s="2">
        <f>MACD!E202</f>
        <v>1.1002803468699973E-2</v>
      </c>
      <c r="E202" s="2">
        <f>MACD!F202</f>
        <v>1.1877940711072222E-2</v>
      </c>
      <c r="F202" s="2">
        <f>'Moving Avg'!D202</f>
        <v>5.6947999999999999</v>
      </c>
      <c r="G202" s="2">
        <f>'Moving Avg'!F202</f>
        <v>5.7128999999999994</v>
      </c>
      <c r="H202" s="2">
        <f>'Moving Avg'!G202</f>
        <v>5.7440999999999995</v>
      </c>
      <c r="I202" s="2">
        <f>'Moving Avg'!H202</f>
        <v>5.5440199999999935</v>
      </c>
      <c r="J202" s="5" t="str">
        <f>OBV!F202</f>
        <v>BULLISH</v>
      </c>
      <c r="K202" s="5" t="str">
        <f>OBV!G202</f>
        <v>WEAK</v>
      </c>
      <c r="L202" s="5" t="str">
        <f>OBV!H202</f>
        <v>BULLISH DIVERGENCE</v>
      </c>
      <c r="M202" s="7">
        <f t="shared" si="33"/>
        <v>50</v>
      </c>
      <c r="N202" s="7">
        <f t="shared" si="30"/>
        <v>45</v>
      </c>
      <c r="O202" s="7">
        <f t="shared" si="31"/>
        <v>50</v>
      </c>
      <c r="P202" s="7">
        <f t="shared" si="32"/>
        <v>50</v>
      </c>
      <c r="Q202" s="8">
        <f t="shared" si="34"/>
        <v>48.25</v>
      </c>
      <c r="R202" s="8">
        <f t="shared" si="35"/>
        <v>49</v>
      </c>
      <c r="S202" s="8">
        <f t="shared" si="36"/>
        <v>49.25</v>
      </c>
      <c r="T202" s="8">
        <f t="shared" si="37"/>
        <v>48.75</v>
      </c>
      <c r="U202" s="7">
        <f t="shared" si="38"/>
        <v>48.833333333333336</v>
      </c>
      <c r="V202" s="7">
        <f t="shared" si="39"/>
        <v>48.8125</v>
      </c>
    </row>
    <row r="203" spans="1:22" ht="13.5" x14ac:dyDescent="0.25">
      <c r="A203" s="3">
        <f>RSI!A203</f>
        <v>45215</v>
      </c>
      <c r="B203" s="2">
        <f>RSI!B203</f>
        <v>5.6950000000000003</v>
      </c>
      <c r="C203" s="2">
        <f>RSI!I203</f>
        <v>37.579890887649697</v>
      </c>
      <c r="D203" s="2">
        <f>MACD!E203</f>
        <v>1.0014721981034036E-2</v>
      </c>
      <c r="E203" s="2">
        <f>MACD!F203</f>
        <v>1.1505296965064585E-2</v>
      </c>
      <c r="F203" s="2">
        <f>'Moving Avg'!D203</f>
        <v>5.6896000000000004</v>
      </c>
      <c r="G203" s="2">
        <f>'Moving Avg'!F203</f>
        <v>5.7107000000000001</v>
      </c>
      <c r="H203" s="2">
        <f>'Moving Avg'!G203</f>
        <v>5.7435799999999997</v>
      </c>
      <c r="I203" s="2">
        <f>'Moving Avg'!H203</f>
        <v>5.5724949999999929</v>
      </c>
      <c r="J203" s="5" t="str">
        <f>OBV!F203</f>
        <v>BULLISH</v>
      </c>
      <c r="K203" s="5" t="str">
        <f>OBV!G203</f>
        <v>NEUTRAL</v>
      </c>
      <c r="L203" s="5" t="str">
        <f>OBV!H203</f>
        <v>BULLISH DIVERGENCE</v>
      </c>
      <c r="M203" s="7">
        <f t="shared" si="33"/>
        <v>50</v>
      </c>
      <c r="N203" s="7">
        <f t="shared" si="30"/>
        <v>45</v>
      </c>
      <c r="O203" s="7">
        <f t="shared" si="31"/>
        <v>50</v>
      </c>
      <c r="P203" s="7">
        <f t="shared" si="32"/>
        <v>66.5</v>
      </c>
      <c r="Q203" s="8">
        <f t="shared" si="34"/>
        <v>50.725000000000001</v>
      </c>
      <c r="R203" s="8">
        <f t="shared" si="35"/>
        <v>53.125</v>
      </c>
      <c r="S203" s="8">
        <f t="shared" si="36"/>
        <v>56.674999999999997</v>
      </c>
      <c r="T203" s="8">
        <f t="shared" si="37"/>
        <v>52.875</v>
      </c>
      <c r="U203" s="7">
        <f t="shared" si="38"/>
        <v>53.508333333333326</v>
      </c>
      <c r="V203" s="7">
        <f t="shared" si="39"/>
        <v>53.349999999999994</v>
      </c>
    </row>
    <row r="204" spans="1:22" ht="13.5" x14ac:dyDescent="0.25">
      <c r="A204" s="3">
        <f>RSI!A204</f>
        <v>45216</v>
      </c>
      <c r="B204" s="2">
        <f>RSI!B204</f>
        <v>5.6950000000000003</v>
      </c>
      <c r="C204" s="2">
        <f>RSI!I204</f>
        <v>37.579890887649697</v>
      </c>
      <c r="D204" s="2">
        <f>MACD!E204</f>
        <v>8.0894191404867755E-3</v>
      </c>
      <c r="E204" s="2">
        <f>MACD!F204</f>
        <v>1.0822121400149024E-2</v>
      </c>
      <c r="F204" s="2">
        <f>'Moving Avg'!D204</f>
        <v>5.6913999999999998</v>
      </c>
      <c r="G204" s="2">
        <f>'Moving Avg'!F204</f>
        <v>5.7098499999999985</v>
      </c>
      <c r="H204" s="2">
        <f>'Moving Avg'!G204</f>
        <v>5.7430599999999989</v>
      </c>
      <c r="I204" s="2">
        <f>'Moving Avg'!H204</f>
        <v>5.5746399999999925</v>
      </c>
      <c r="J204" s="5" t="str">
        <f>OBV!F204</f>
        <v>BULLISH</v>
      </c>
      <c r="K204" s="5" t="str">
        <f>OBV!G204</f>
        <v>WEAK</v>
      </c>
      <c r="L204" s="5" t="str">
        <f>OBV!H204</f>
        <v>CONFIRMED BULLISH</v>
      </c>
      <c r="M204" s="7">
        <f t="shared" si="33"/>
        <v>50</v>
      </c>
      <c r="N204" s="7">
        <f t="shared" si="30"/>
        <v>45</v>
      </c>
      <c r="O204" s="7">
        <f t="shared" si="31"/>
        <v>50</v>
      </c>
      <c r="P204" s="7">
        <f t="shared" si="32"/>
        <v>67</v>
      </c>
      <c r="Q204" s="8">
        <f t="shared" si="34"/>
        <v>50.8</v>
      </c>
      <c r="R204" s="8">
        <f t="shared" si="35"/>
        <v>53.25</v>
      </c>
      <c r="S204" s="8">
        <f t="shared" si="36"/>
        <v>56.900000000000006</v>
      </c>
      <c r="T204" s="8">
        <f t="shared" si="37"/>
        <v>53</v>
      </c>
      <c r="U204" s="7">
        <f t="shared" si="38"/>
        <v>53.65</v>
      </c>
      <c r="V204" s="7">
        <f t="shared" si="39"/>
        <v>53.487499999999997</v>
      </c>
    </row>
    <row r="205" spans="1:22" ht="13.5" x14ac:dyDescent="0.25">
      <c r="A205" s="3">
        <f>RSI!A205</f>
        <v>45217</v>
      </c>
      <c r="B205" s="2">
        <f>RSI!B205</f>
        <v>5.6769999999999996</v>
      </c>
      <c r="C205" s="2">
        <f>RSI!I205</f>
        <v>31.094761084056515</v>
      </c>
      <c r="D205" s="2">
        <f>MACD!E205</f>
        <v>7.9247013122465404E-3</v>
      </c>
      <c r="E205" s="2">
        <f>MACD!F205</f>
        <v>1.0242637382568528E-2</v>
      </c>
      <c r="F205" s="2">
        <f>'Moving Avg'!D205</f>
        <v>5.6896000000000004</v>
      </c>
      <c r="G205" s="2">
        <f>'Moving Avg'!F205</f>
        <v>5.7076499999999992</v>
      </c>
      <c r="H205" s="2">
        <f>'Moving Avg'!G205</f>
        <v>5.7412800000000006</v>
      </c>
      <c r="I205" s="2">
        <f>'Moving Avg'!H205</f>
        <v>5.576014999999992</v>
      </c>
      <c r="J205" s="5" t="str">
        <f>OBV!F205</f>
        <v>BEARISH</v>
      </c>
      <c r="K205" s="5" t="str">
        <f>OBV!G205</f>
        <v>NEUTRAL</v>
      </c>
      <c r="L205" s="5" t="str">
        <f>OBV!H205</f>
        <v>CONFIRMED BEARISH</v>
      </c>
      <c r="M205" s="7">
        <f t="shared" si="33"/>
        <v>50</v>
      </c>
      <c r="N205" s="7">
        <f t="shared" si="30"/>
        <v>45</v>
      </c>
      <c r="O205" s="7">
        <f t="shared" si="31"/>
        <v>50</v>
      </c>
      <c r="P205" s="7">
        <f t="shared" si="32"/>
        <v>16.5</v>
      </c>
      <c r="Q205" s="8">
        <f t="shared" si="34"/>
        <v>43.225000000000001</v>
      </c>
      <c r="R205" s="8">
        <f t="shared" si="35"/>
        <v>40.625</v>
      </c>
      <c r="S205" s="8">
        <f t="shared" si="36"/>
        <v>34.174999999999997</v>
      </c>
      <c r="T205" s="8">
        <f t="shared" si="37"/>
        <v>40.375</v>
      </c>
      <c r="U205" s="7">
        <f t="shared" si="38"/>
        <v>39.341666666666661</v>
      </c>
      <c r="V205" s="7">
        <f t="shared" si="39"/>
        <v>39.599999999999994</v>
      </c>
    </row>
    <row r="206" spans="1:22" ht="13.5" x14ac:dyDescent="0.25">
      <c r="A206" s="3">
        <f>RSI!A206</f>
        <v>45218</v>
      </c>
      <c r="B206" s="2">
        <f>RSI!B206</f>
        <v>5.6769999999999996</v>
      </c>
      <c r="C206" s="2">
        <f>RSI!I206</f>
        <v>31.094761084056515</v>
      </c>
      <c r="D206" s="2">
        <f>MACD!E206</f>
        <v>8.0130312039417007E-3</v>
      </c>
      <c r="E206" s="2">
        <f>MACD!F206</f>
        <v>9.7967161468431631E-3</v>
      </c>
      <c r="F206" s="2">
        <f>'Moving Avg'!D206</f>
        <v>5.6878000000000002</v>
      </c>
      <c r="G206" s="2">
        <f>'Moving Avg'!F206</f>
        <v>5.705449999999999</v>
      </c>
      <c r="H206" s="2">
        <f>'Moving Avg'!G206</f>
        <v>5.7395000000000014</v>
      </c>
      <c r="I206" s="2">
        <f>'Moving Avg'!H206</f>
        <v>5.5775599999999921</v>
      </c>
      <c r="J206" s="5" t="str">
        <f>OBV!F206</f>
        <v>BEARISH</v>
      </c>
      <c r="K206" s="5" t="str">
        <f>OBV!G206</f>
        <v>NEUTRAL</v>
      </c>
      <c r="L206" s="5" t="str">
        <f>OBV!H206</f>
        <v>CONFIRMED BEARISH</v>
      </c>
      <c r="M206" s="7">
        <f t="shared" si="33"/>
        <v>50</v>
      </c>
      <c r="N206" s="7">
        <f t="shared" si="30"/>
        <v>45</v>
      </c>
      <c r="O206" s="7">
        <f t="shared" si="31"/>
        <v>50</v>
      </c>
      <c r="P206" s="7">
        <f t="shared" si="32"/>
        <v>16.5</v>
      </c>
      <c r="Q206" s="8">
        <f t="shared" si="34"/>
        <v>43.225000000000001</v>
      </c>
      <c r="R206" s="8">
        <f t="shared" si="35"/>
        <v>40.625</v>
      </c>
      <c r="S206" s="8">
        <f t="shared" si="36"/>
        <v>34.174999999999997</v>
      </c>
      <c r="T206" s="8">
        <f t="shared" si="37"/>
        <v>40.375</v>
      </c>
      <c r="U206" s="7">
        <f t="shared" si="38"/>
        <v>39.341666666666661</v>
      </c>
      <c r="V206" s="7">
        <f t="shared" si="39"/>
        <v>39.599999999999994</v>
      </c>
    </row>
    <row r="207" spans="1:22" ht="13.5" x14ac:dyDescent="0.25">
      <c r="A207" s="3">
        <f>RSI!A207</f>
        <v>45219</v>
      </c>
      <c r="B207" s="2">
        <f>RSI!B207</f>
        <v>5.6950000000000003</v>
      </c>
      <c r="C207" s="2">
        <f>RSI!I207</f>
        <v>42.58563569779372</v>
      </c>
      <c r="D207" s="2">
        <f>MACD!E207</f>
        <v>6.9652779144844246E-3</v>
      </c>
      <c r="E207" s="2">
        <f>MACD!F207</f>
        <v>9.2304285003714168E-3</v>
      </c>
      <c r="F207" s="2">
        <f>'Moving Avg'!D207</f>
        <v>5.6878000000000002</v>
      </c>
      <c r="G207" s="2">
        <f>'Moving Avg'!F207</f>
        <v>5.7032499999999988</v>
      </c>
      <c r="H207" s="2">
        <f>'Moving Avg'!G207</f>
        <v>5.7380800000000018</v>
      </c>
      <c r="I207" s="2">
        <f>'Moving Avg'!H207</f>
        <v>5.5790649999999911</v>
      </c>
      <c r="J207" s="5" t="str">
        <f>OBV!F207</f>
        <v>BEARISH</v>
      </c>
      <c r="K207" s="5" t="str">
        <f>OBV!G207</f>
        <v>NEUTRAL</v>
      </c>
      <c r="L207" s="5" t="str">
        <f>OBV!H207</f>
        <v>NEUTRAL</v>
      </c>
      <c r="M207" s="7">
        <f t="shared" si="33"/>
        <v>50</v>
      </c>
      <c r="N207" s="7">
        <f t="shared" si="30"/>
        <v>45</v>
      </c>
      <c r="O207" s="7">
        <f t="shared" si="31"/>
        <v>50</v>
      </c>
      <c r="P207" s="7">
        <f t="shared" si="32"/>
        <v>16.5</v>
      </c>
      <c r="Q207" s="8">
        <f t="shared" si="34"/>
        <v>43.225000000000001</v>
      </c>
      <c r="R207" s="8">
        <f t="shared" si="35"/>
        <v>40.625</v>
      </c>
      <c r="S207" s="8">
        <f t="shared" si="36"/>
        <v>34.174999999999997</v>
      </c>
      <c r="T207" s="8">
        <f t="shared" si="37"/>
        <v>40.375</v>
      </c>
      <c r="U207" s="7">
        <f t="shared" si="38"/>
        <v>39.341666666666661</v>
      </c>
      <c r="V207" s="7">
        <f t="shared" si="39"/>
        <v>39.599999999999994</v>
      </c>
    </row>
    <row r="208" spans="1:22" ht="13.5" x14ac:dyDescent="0.25">
      <c r="A208" s="3">
        <f>RSI!A208</f>
        <v>45222</v>
      </c>
      <c r="B208" s="2">
        <f>RSI!B208</f>
        <v>5.6769999999999996</v>
      </c>
      <c r="C208" s="2">
        <f>RSI!I208</f>
        <v>36.102022991866086</v>
      </c>
      <c r="D208" s="2">
        <f>MACD!E208</f>
        <v>1.0116294249929325E-2</v>
      </c>
      <c r="E208" s="2">
        <f>MACD!F208</f>
        <v>9.4076016502829991E-3</v>
      </c>
      <c r="F208" s="2">
        <f>'Moving Avg'!D208</f>
        <v>5.6841999999999997</v>
      </c>
      <c r="G208" s="2">
        <f>'Moving Avg'!F208</f>
        <v>5.7001499999999981</v>
      </c>
      <c r="H208" s="2">
        <f>'Moving Avg'!G208</f>
        <v>5.7363000000000035</v>
      </c>
      <c r="I208" s="2">
        <f>'Moving Avg'!H208</f>
        <v>5.5811199999999914</v>
      </c>
      <c r="J208" s="5" t="str">
        <f>OBV!F208</f>
        <v>BEARISH</v>
      </c>
      <c r="K208" s="5" t="str">
        <f>OBV!G208</f>
        <v>STRONG</v>
      </c>
      <c r="L208" s="5" t="str">
        <f>OBV!H208</f>
        <v>CONFIRMED BEARISH</v>
      </c>
      <c r="M208" s="7">
        <f t="shared" si="33"/>
        <v>50</v>
      </c>
      <c r="N208" s="7">
        <f t="shared" si="30"/>
        <v>0</v>
      </c>
      <c r="O208" s="7">
        <f t="shared" si="31"/>
        <v>50</v>
      </c>
      <c r="P208" s="7">
        <f t="shared" si="32"/>
        <v>33</v>
      </c>
      <c r="Q208" s="8">
        <f t="shared" si="34"/>
        <v>29.95</v>
      </c>
      <c r="R208" s="8">
        <f t="shared" si="35"/>
        <v>35.75</v>
      </c>
      <c r="S208" s="8">
        <f t="shared" si="36"/>
        <v>34.85</v>
      </c>
      <c r="T208" s="8">
        <f t="shared" si="37"/>
        <v>33.25</v>
      </c>
      <c r="U208" s="7">
        <f t="shared" si="38"/>
        <v>33.516666666666673</v>
      </c>
      <c r="V208" s="7">
        <f t="shared" si="39"/>
        <v>33.450000000000003</v>
      </c>
    </row>
    <row r="209" spans="1:22" ht="13.5" x14ac:dyDescent="0.25">
      <c r="A209" s="3">
        <f>RSI!A209</f>
        <v>45223</v>
      </c>
      <c r="B209" s="2">
        <f>RSI!B209</f>
        <v>5.6769999999999996</v>
      </c>
      <c r="C209" s="2">
        <f>RSI!I209</f>
        <v>36.102022991866086</v>
      </c>
      <c r="D209" s="2">
        <f>MACD!E209</f>
        <v>7.5865629543390156E-3</v>
      </c>
      <c r="E209" s="2">
        <f>MACD!F209</f>
        <v>9.0433939110942038E-3</v>
      </c>
      <c r="F209" s="2">
        <f>'Moving Avg'!D209</f>
        <v>5.6806000000000001</v>
      </c>
      <c r="G209" s="2">
        <f>'Moving Avg'!F209</f>
        <v>5.6974999999999962</v>
      </c>
      <c r="H209" s="2">
        <f>'Moving Avg'!G209</f>
        <v>5.7345200000000034</v>
      </c>
      <c r="I209" s="2">
        <f>'Moving Avg'!H209</f>
        <v>5.582749999999991</v>
      </c>
      <c r="J209" s="5" t="str">
        <f>OBV!F209</f>
        <v>BEARISH</v>
      </c>
      <c r="K209" s="5" t="str">
        <f>OBV!G209</f>
        <v>STRONG</v>
      </c>
      <c r="L209" s="5" t="str">
        <f>OBV!H209</f>
        <v>CONFIRMED BEARISH</v>
      </c>
      <c r="M209" s="7">
        <f t="shared" si="33"/>
        <v>50</v>
      </c>
      <c r="N209" s="7">
        <f t="shared" si="30"/>
        <v>45</v>
      </c>
      <c r="O209" s="7">
        <f t="shared" si="31"/>
        <v>50</v>
      </c>
      <c r="P209" s="7">
        <f t="shared" si="32"/>
        <v>33</v>
      </c>
      <c r="Q209" s="8">
        <f t="shared" si="34"/>
        <v>45.7</v>
      </c>
      <c r="R209" s="8">
        <f t="shared" si="35"/>
        <v>44.75</v>
      </c>
      <c r="S209" s="8">
        <f t="shared" si="36"/>
        <v>41.6</v>
      </c>
      <c r="T209" s="8">
        <f t="shared" si="37"/>
        <v>44.5</v>
      </c>
      <c r="U209" s="7">
        <f t="shared" si="38"/>
        <v>44.016666666666673</v>
      </c>
      <c r="V209" s="7">
        <f t="shared" si="39"/>
        <v>44.137500000000003</v>
      </c>
    </row>
    <row r="210" spans="1:22" ht="13.5" x14ac:dyDescent="0.25">
      <c r="A210" s="3">
        <f>RSI!A210</f>
        <v>45224</v>
      </c>
      <c r="B210" s="2">
        <f>RSI!B210</f>
        <v>5.6769999999999996</v>
      </c>
      <c r="C210" s="2">
        <f>RSI!I210</f>
        <v>36.102022991866086</v>
      </c>
      <c r="D210" s="2">
        <f>MACD!E210</f>
        <v>5.6206872902233584E-3</v>
      </c>
      <c r="E210" s="2">
        <f>MACD!F210</f>
        <v>8.3588525869200351E-3</v>
      </c>
      <c r="F210" s="2">
        <f>'Moving Avg'!D210</f>
        <v>5.6806000000000001</v>
      </c>
      <c r="G210" s="2">
        <f>'Moving Avg'!F210</f>
        <v>5.694849999999998</v>
      </c>
      <c r="H210" s="2">
        <f>'Moving Avg'!G210</f>
        <v>5.7327400000000033</v>
      </c>
      <c r="I210" s="2">
        <f>'Moving Avg'!H210</f>
        <v>5.5843799999999906</v>
      </c>
      <c r="J210" s="5" t="str">
        <f>OBV!F210</f>
        <v>BULLISH</v>
      </c>
      <c r="K210" s="5" t="str">
        <f>OBV!G210</f>
        <v>NEUTRAL</v>
      </c>
      <c r="L210" s="5" t="str">
        <f>OBV!H210</f>
        <v>NEUTRAL</v>
      </c>
      <c r="M210" s="7">
        <f t="shared" si="33"/>
        <v>50</v>
      </c>
      <c r="N210" s="7">
        <f t="shared" si="30"/>
        <v>45</v>
      </c>
      <c r="O210" s="7">
        <f t="shared" si="31"/>
        <v>50</v>
      </c>
      <c r="P210" s="7">
        <f t="shared" si="32"/>
        <v>49.5</v>
      </c>
      <c r="Q210" s="8">
        <f t="shared" si="34"/>
        <v>48.174999999999997</v>
      </c>
      <c r="R210" s="8">
        <f t="shared" si="35"/>
        <v>48.875</v>
      </c>
      <c r="S210" s="8">
        <f t="shared" si="36"/>
        <v>49.025000000000006</v>
      </c>
      <c r="T210" s="8">
        <f t="shared" si="37"/>
        <v>48.625</v>
      </c>
      <c r="U210" s="7">
        <f t="shared" si="38"/>
        <v>48.691666666666663</v>
      </c>
      <c r="V210" s="7">
        <f t="shared" si="39"/>
        <v>48.674999999999997</v>
      </c>
    </row>
    <row r="211" spans="1:22" ht="13.5" x14ac:dyDescent="0.25">
      <c r="A211" s="3">
        <f>RSI!A211</f>
        <v>45225</v>
      </c>
      <c r="B211" s="2">
        <f>RSI!B211</f>
        <v>5.6769999999999996</v>
      </c>
      <c r="C211" s="2">
        <f>RSI!I211</f>
        <v>36.102022991866086</v>
      </c>
      <c r="D211" s="2">
        <f>MACD!E211</f>
        <v>4.118982000215432E-3</v>
      </c>
      <c r="E211" s="2">
        <f>MACD!F211</f>
        <v>7.5108784695791147E-3</v>
      </c>
      <c r="F211" s="2">
        <f>'Moving Avg'!D211</f>
        <v>5.6806000000000001</v>
      </c>
      <c r="G211" s="2">
        <f>'Moving Avg'!F211</f>
        <v>5.6926499999999978</v>
      </c>
      <c r="H211" s="2">
        <f>'Moving Avg'!G211</f>
        <v>5.7309600000000032</v>
      </c>
      <c r="I211" s="2">
        <f>'Moving Avg'!H211</f>
        <v>5.5861799999999899</v>
      </c>
      <c r="J211" s="5" t="str">
        <f>OBV!F211</f>
        <v>BULLISH</v>
      </c>
      <c r="K211" s="5" t="str">
        <f>OBV!G211</f>
        <v>NEUTRAL</v>
      </c>
      <c r="L211" s="5" t="str">
        <f>OBV!H211</f>
        <v>NEUTRAL</v>
      </c>
      <c r="M211" s="7">
        <f t="shared" si="33"/>
        <v>50</v>
      </c>
      <c r="N211" s="7">
        <f t="shared" si="30"/>
        <v>45</v>
      </c>
      <c r="O211" s="7">
        <f t="shared" si="31"/>
        <v>50</v>
      </c>
      <c r="P211" s="7">
        <f t="shared" si="32"/>
        <v>49.5</v>
      </c>
      <c r="Q211" s="8">
        <f t="shared" si="34"/>
        <v>48.174999999999997</v>
      </c>
      <c r="R211" s="8">
        <f t="shared" si="35"/>
        <v>48.875</v>
      </c>
      <c r="S211" s="8">
        <f t="shared" si="36"/>
        <v>49.025000000000006</v>
      </c>
      <c r="T211" s="8">
        <f t="shared" si="37"/>
        <v>48.625</v>
      </c>
      <c r="U211" s="7">
        <f t="shared" si="38"/>
        <v>48.691666666666663</v>
      </c>
      <c r="V211" s="7">
        <f t="shared" si="39"/>
        <v>48.674999999999997</v>
      </c>
    </row>
    <row r="212" spans="1:22" ht="13.5" x14ac:dyDescent="0.25">
      <c r="A212" s="3">
        <f>RSI!A212</f>
        <v>45226</v>
      </c>
      <c r="B212" s="2">
        <f>RSI!B212</f>
        <v>5.6769999999999996</v>
      </c>
      <c r="C212" s="2">
        <f>RSI!I212</f>
        <v>36.102022991866086</v>
      </c>
      <c r="D212" s="2">
        <f>MACD!E212</f>
        <v>4.3826717929409398E-3</v>
      </c>
      <c r="E212" s="2">
        <f>MACD!F212</f>
        <v>6.8852371342514795E-3</v>
      </c>
      <c r="F212" s="2">
        <f>'Moving Avg'!D212</f>
        <v>5.6769999999999996</v>
      </c>
      <c r="G212" s="2">
        <f>'Moving Avg'!F212</f>
        <v>5.6912999999999965</v>
      </c>
      <c r="H212" s="2">
        <f>'Moving Avg'!G212</f>
        <v>5.7293600000000033</v>
      </c>
      <c r="I212" s="2">
        <f>'Moving Avg'!H212</f>
        <v>5.5882349999999894</v>
      </c>
      <c r="J212" s="5" t="str">
        <f>OBV!F212</f>
        <v>BEARISH</v>
      </c>
      <c r="K212" s="5" t="str">
        <f>OBV!G212</f>
        <v>STRONG</v>
      </c>
      <c r="L212" s="5" t="str">
        <f>OBV!H212</f>
        <v>CONFIRMED BEARISH</v>
      </c>
      <c r="M212" s="7">
        <f t="shared" si="33"/>
        <v>50</v>
      </c>
      <c r="N212" s="7">
        <f t="shared" si="30"/>
        <v>45</v>
      </c>
      <c r="O212" s="7">
        <f t="shared" si="31"/>
        <v>50</v>
      </c>
      <c r="P212" s="7">
        <f t="shared" si="32"/>
        <v>33</v>
      </c>
      <c r="Q212" s="8">
        <f t="shared" si="34"/>
        <v>45.7</v>
      </c>
      <c r="R212" s="8">
        <f t="shared" si="35"/>
        <v>44.75</v>
      </c>
      <c r="S212" s="8">
        <f t="shared" si="36"/>
        <v>41.6</v>
      </c>
      <c r="T212" s="8">
        <f t="shared" si="37"/>
        <v>44.5</v>
      </c>
      <c r="U212" s="7">
        <f t="shared" si="38"/>
        <v>44.016666666666673</v>
      </c>
      <c r="V212" s="7">
        <f t="shared" si="39"/>
        <v>44.137500000000003</v>
      </c>
    </row>
    <row r="213" spans="1:22" ht="13.5" x14ac:dyDescent="0.25">
      <c r="A213" s="3">
        <f>RSI!A213</f>
        <v>45229</v>
      </c>
      <c r="B213" s="2">
        <f>RSI!B213</f>
        <v>5.6769999999999996</v>
      </c>
      <c r="C213" s="2">
        <f>RSI!I213</f>
        <v>36.102022991866086</v>
      </c>
      <c r="D213" s="2">
        <f>MACD!E213</f>
        <v>4.7444495873225634E-3</v>
      </c>
      <c r="E213" s="2">
        <f>MACD!F213</f>
        <v>6.4570796248656966E-3</v>
      </c>
      <c r="F213" s="2">
        <f>'Moving Avg'!D213</f>
        <v>5.6769999999999996</v>
      </c>
      <c r="G213" s="2">
        <f>'Moving Avg'!F213</f>
        <v>5.689549999999997</v>
      </c>
      <c r="H213" s="2">
        <f>'Moving Avg'!G213</f>
        <v>5.7275800000000023</v>
      </c>
      <c r="I213" s="2">
        <f>'Moving Avg'!H213</f>
        <v>5.590074999999989</v>
      </c>
      <c r="J213" s="5" t="str">
        <f>OBV!F213</f>
        <v>NEUTRAL</v>
      </c>
      <c r="K213" s="5" t="str">
        <f>OBV!G213</f>
        <v>NEUTRAL</v>
      </c>
      <c r="L213" s="5" t="str">
        <f>OBV!H213</f>
        <v>NEUTRAL</v>
      </c>
      <c r="M213" s="7">
        <f t="shared" si="33"/>
        <v>50</v>
      </c>
      <c r="N213" s="7">
        <f t="shared" si="30"/>
        <v>45</v>
      </c>
      <c r="O213" s="7">
        <f t="shared" si="31"/>
        <v>50</v>
      </c>
      <c r="P213" s="7">
        <f t="shared" si="32"/>
        <v>33</v>
      </c>
      <c r="Q213" s="8">
        <f t="shared" si="34"/>
        <v>45.7</v>
      </c>
      <c r="R213" s="8">
        <f t="shared" si="35"/>
        <v>44.75</v>
      </c>
      <c r="S213" s="8">
        <f t="shared" si="36"/>
        <v>41.6</v>
      </c>
      <c r="T213" s="8">
        <f t="shared" si="37"/>
        <v>44.5</v>
      </c>
      <c r="U213" s="7">
        <f t="shared" si="38"/>
        <v>44.016666666666673</v>
      </c>
      <c r="V213" s="7">
        <f t="shared" si="39"/>
        <v>44.137500000000003</v>
      </c>
    </row>
    <row r="214" spans="1:22" ht="13.5" x14ac:dyDescent="0.25">
      <c r="A214" s="3">
        <f>RSI!A214</f>
        <v>45230</v>
      </c>
      <c r="B214" s="2">
        <f>RSI!B214</f>
        <v>5.6769999999999996</v>
      </c>
      <c r="C214" s="2">
        <f>RSI!I214</f>
        <v>36.102022991866086</v>
      </c>
      <c r="D214" s="2">
        <f>MACD!E214</f>
        <v>5.1789541317823762E-3</v>
      </c>
      <c r="E214" s="2">
        <f>MACD!F214</f>
        <v>6.2014545262490334E-3</v>
      </c>
      <c r="F214" s="2">
        <f>'Moving Avg'!D214</f>
        <v>5.6769999999999996</v>
      </c>
      <c r="G214" s="2">
        <f>'Moving Avg'!F214</f>
        <v>5.6881999999999975</v>
      </c>
      <c r="H214" s="2">
        <f>'Moving Avg'!G214</f>
        <v>5.7258000000000031</v>
      </c>
      <c r="I214" s="2">
        <f>'Moving Avg'!H214</f>
        <v>5.5925549999999884</v>
      </c>
      <c r="J214" s="5" t="str">
        <f>OBV!F214</f>
        <v>NEUTRAL</v>
      </c>
      <c r="K214" s="5" t="str">
        <f>OBV!G214</f>
        <v>NEUTRAL</v>
      </c>
      <c r="L214" s="5" t="str">
        <f>OBV!H214</f>
        <v>NEUTRAL</v>
      </c>
      <c r="M214" s="7">
        <f t="shared" si="33"/>
        <v>50</v>
      </c>
      <c r="N214" s="7">
        <f t="shared" si="30"/>
        <v>45</v>
      </c>
      <c r="O214" s="7">
        <f t="shared" si="31"/>
        <v>50</v>
      </c>
      <c r="P214" s="7">
        <f t="shared" si="32"/>
        <v>33</v>
      </c>
      <c r="Q214" s="8">
        <f t="shared" si="34"/>
        <v>45.7</v>
      </c>
      <c r="R214" s="8">
        <f t="shared" si="35"/>
        <v>44.75</v>
      </c>
      <c r="S214" s="8">
        <f t="shared" si="36"/>
        <v>41.6</v>
      </c>
      <c r="T214" s="8">
        <f t="shared" si="37"/>
        <v>44.5</v>
      </c>
      <c r="U214" s="7">
        <f t="shared" si="38"/>
        <v>44.016666666666673</v>
      </c>
      <c r="V214" s="7">
        <f t="shared" si="39"/>
        <v>44.137500000000003</v>
      </c>
    </row>
    <row r="215" spans="1:22" ht="13.5" x14ac:dyDescent="0.25">
      <c r="A215" s="3">
        <f>RSI!A215</f>
        <v>45231</v>
      </c>
      <c r="B215" s="2">
        <f>RSI!B215</f>
        <v>5.6239999999999997</v>
      </c>
      <c r="C215" s="2">
        <f>RSI!I215</f>
        <v>20.593300294188282</v>
      </c>
      <c r="D215" s="2">
        <f>MACD!E215</f>
        <v>6.8221818616951424E-3</v>
      </c>
      <c r="E215" s="2">
        <f>MACD!F215</f>
        <v>6.3255999933382557E-3</v>
      </c>
      <c r="F215" s="2">
        <f>'Moving Avg'!D215</f>
        <v>5.6663999999999994</v>
      </c>
      <c r="G215" s="2">
        <f>'Moving Avg'!F215</f>
        <v>5.684199999999997</v>
      </c>
      <c r="H215" s="2">
        <f>'Moving Avg'!G215</f>
        <v>5.7229600000000032</v>
      </c>
      <c r="I215" s="2">
        <f>'Moving Avg'!H215</f>
        <v>5.5935799999999896</v>
      </c>
      <c r="J215" s="5" t="str">
        <f>OBV!F215</f>
        <v>BEARISH</v>
      </c>
      <c r="K215" s="5" t="str">
        <f>OBV!G215</f>
        <v>STRONG</v>
      </c>
      <c r="L215" s="5" t="str">
        <f>OBV!H215</f>
        <v>CONFIRMED BEARISH</v>
      </c>
      <c r="M215" s="7">
        <f t="shared" si="33"/>
        <v>100</v>
      </c>
      <c r="N215" s="7">
        <f t="shared" si="30"/>
        <v>0</v>
      </c>
      <c r="O215" s="7">
        <f t="shared" si="31"/>
        <v>50</v>
      </c>
      <c r="P215" s="7">
        <f t="shared" si="32"/>
        <v>33</v>
      </c>
      <c r="Q215" s="8">
        <f t="shared" si="34"/>
        <v>47.45</v>
      </c>
      <c r="R215" s="8">
        <f t="shared" si="35"/>
        <v>45.75</v>
      </c>
      <c r="S215" s="8">
        <f t="shared" si="36"/>
        <v>42.35</v>
      </c>
      <c r="T215" s="8">
        <f t="shared" si="37"/>
        <v>45.75</v>
      </c>
      <c r="U215" s="7">
        <f t="shared" si="38"/>
        <v>45.183333333333337</v>
      </c>
      <c r="V215" s="7">
        <f t="shared" si="39"/>
        <v>45.325000000000003</v>
      </c>
    </row>
    <row r="216" spans="1:22" ht="13.5" x14ac:dyDescent="0.25">
      <c r="A216" s="3">
        <f>RSI!A216</f>
        <v>45232</v>
      </c>
      <c r="B216" s="2">
        <f>RSI!B216</f>
        <v>5.633</v>
      </c>
      <c r="C216" s="2">
        <f>RSI!I216</f>
        <v>26.37704432299833</v>
      </c>
      <c r="D216" s="2">
        <f>MACD!E216</f>
        <v>7.9691872698983701E-3</v>
      </c>
      <c r="E216" s="2">
        <f>MACD!F216</f>
        <v>6.6543174486502791E-3</v>
      </c>
      <c r="F216" s="2">
        <f>'Moving Avg'!D216</f>
        <v>5.6575999999999995</v>
      </c>
      <c r="G216" s="2">
        <f>'Moving Avg'!F216</f>
        <v>5.6806499999999982</v>
      </c>
      <c r="H216" s="2">
        <f>'Moving Avg'!G216</f>
        <v>5.7196000000000016</v>
      </c>
      <c r="I216" s="2">
        <f>'Moving Avg'!H216</f>
        <v>5.5943949999999889</v>
      </c>
      <c r="J216" s="5" t="str">
        <f>OBV!F216</f>
        <v>BEARISH</v>
      </c>
      <c r="K216" s="5" t="str">
        <f>OBV!G216</f>
        <v>NEUTRAL</v>
      </c>
      <c r="L216" s="5" t="str">
        <f>OBV!H216</f>
        <v>CONFIRMED BEARISH</v>
      </c>
      <c r="M216" s="7">
        <f t="shared" si="33"/>
        <v>100</v>
      </c>
      <c r="N216" s="7">
        <f t="shared" si="30"/>
        <v>0</v>
      </c>
      <c r="O216" s="7">
        <f t="shared" si="31"/>
        <v>50</v>
      </c>
      <c r="P216" s="7">
        <f t="shared" si="32"/>
        <v>16.5</v>
      </c>
      <c r="Q216" s="8">
        <f t="shared" si="34"/>
        <v>44.975000000000001</v>
      </c>
      <c r="R216" s="8">
        <f t="shared" si="35"/>
        <v>41.625</v>
      </c>
      <c r="S216" s="8">
        <f t="shared" si="36"/>
        <v>34.924999999999997</v>
      </c>
      <c r="T216" s="8">
        <f t="shared" si="37"/>
        <v>41.625</v>
      </c>
      <c r="U216" s="7">
        <f t="shared" si="38"/>
        <v>40.508333333333333</v>
      </c>
      <c r="V216" s="7">
        <f t="shared" si="39"/>
        <v>40.787499999999994</v>
      </c>
    </row>
    <row r="217" spans="1:22" ht="13.5" x14ac:dyDescent="0.25">
      <c r="A217" s="3">
        <f>RSI!A217</f>
        <v>45233</v>
      </c>
      <c r="B217" s="2">
        <f>RSI!B217</f>
        <v>5.6150000000000002</v>
      </c>
      <c r="C217" s="2">
        <f>RSI!I217</f>
        <v>22.800162873795557</v>
      </c>
      <c r="D217" s="2">
        <f>MACD!E217</f>
        <v>1.3381009885785389E-2</v>
      </c>
      <c r="E217" s="2">
        <f>MACD!F217</f>
        <v>7.9996559360773004E-3</v>
      </c>
      <c r="F217" s="2">
        <f>'Moving Avg'!D217</f>
        <v>5.6452</v>
      </c>
      <c r="G217" s="2">
        <f>'Moving Avg'!F217</f>
        <v>5.676199999999997</v>
      </c>
      <c r="H217" s="2">
        <f>'Moving Avg'!G217</f>
        <v>5.7158800000000021</v>
      </c>
      <c r="I217" s="2">
        <f>'Moving Avg'!H217</f>
        <v>5.5952899999999897</v>
      </c>
      <c r="J217" s="5" t="str">
        <f>OBV!F217</f>
        <v>BEARISH</v>
      </c>
      <c r="K217" s="5" t="str">
        <f>OBV!G217</f>
        <v>STRONG</v>
      </c>
      <c r="L217" s="5" t="str">
        <f>OBV!H217</f>
        <v>CONFIRMED BEARISH</v>
      </c>
      <c r="M217" s="7">
        <f t="shared" si="33"/>
        <v>100</v>
      </c>
      <c r="N217" s="7">
        <f t="shared" si="30"/>
        <v>0</v>
      </c>
      <c r="O217" s="7">
        <f t="shared" si="31"/>
        <v>50</v>
      </c>
      <c r="P217" s="7">
        <f t="shared" si="32"/>
        <v>33</v>
      </c>
      <c r="Q217" s="8">
        <f t="shared" si="34"/>
        <v>47.45</v>
      </c>
      <c r="R217" s="8">
        <f t="shared" si="35"/>
        <v>45.75</v>
      </c>
      <c r="S217" s="8">
        <f t="shared" si="36"/>
        <v>42.35</v>
      </c>
      <c r="T217" s="8">
        <f t="shared" si="37"/>
        <v>45.75</v>
      </c>
      <c r="U217" s="7">
        <f t="shared" si="38"/>
        <v>45.183333333333337</v>
      </c>
      <c r="V217" s="7">
        <f t="shared" si="39"/>
        <v>45.325000000000003</v>
      </c>
    </row>
    <row r="218" spans="1:22" ht="13.5" x14ac:dyDescent="0.25">
      <c r="A218" s="3">
        <f>RSI!A218</f>
        <v>45236</v>
      </c>
      <c r="B218" s="2">
        <f>RSI!B218</f>
        <v>5.6150000000000002</v>
      </c>
      <c r="C218" s="2">
        <f>RSI!I218</f>
        <v>22.800162873795557</v>
      </c>
      <c r="D218" s="2">
        <f>MACD!E218</f>
        <v>1.5611001851100426E-2</v>
      </c>
      <c r="E218" s="2">
        <f>MACD!F218</f>
        <v>9.5219251190819254E-3</v>
      </c>
      <c r="F218" s="2">
        <f>'Moving Avg'!D218</f>
        <v>5.6328000000000005</v>
      </c>
      <c r="G218" s="2">
        <f>'Moving Avg'!F218</f>
        <v>5.6708999999999978</v>
      </c>
      <c r="H218" s="2">
        <f>'Moving Avg'!G218</f>
        <v>5.7121600000000008</v>
      </c>
      <c r="I218" s="2">
        <f>'Moving Avg'!H218</f>
        <v>5.5960549999999909</v>
      </c>
      <c r="J218" s="5" t="str">
        <f>OBV!F218</f>
        <v>BEARISH</v>
      </c>
      <c r="K218" s="5" t="str">
        <f>OBV!G218</f>
        <v>STRONG</v>
      </c>
      <c r="L218" s="5" t="str">
        <f>OBV!H218</f>
        <v>CONFIRMED BEARISH</v>
      </c>
      <c r="M218" s="7">
        <f t="shared" si="33"/>
        <v>100</v>
      </c>
      <c r="N218" s="7">
        <f t="shared" si="30"/>
        <v>0</v>
      </c>
      <c r="O218" s="7">
        <f t="shared" si="31"/>
        <v>50</v>
      </c>
      <c r="P218" s="7">
        <f t="shared" si="32"/>
        <v>33</v>
      </c>
      <c r="Q218" s="8">
        <f t="shared" si="34"/>
        <v>47.45</v>
      </c>
      <c r="R218" s="8">
        <f t="shared" si="35"/>
        <v>45.75</v>
      </c>
      <c r="S218" s="8">
        <f t="shared" si="36"/>
        <v>42.35</v>
      </c>
      <c r="T218" s="8">
        <f t="shared" si="37"/>
        <v>45.75</v>
      </c>
      <c r="U218" s="7">
        <f t="shared" si="38"/>
        <v>45.183333333333337</v>
      </c>
      <c r="V218" s="7">
        <f t="shared" si="39"/>
        <v>45.325000000000003</v>
      </c>
    </row>
    <row r="219" spans="1:22" ht="13.5" x14ac:dyDescent="0.25">
      <c r="A219" s="3">
        <f>RSI!A219</f>
        <v>45237</v>
      </c>
      <c r="B219" s="2">
        <f>RSI!B219</f>
        <v>5.5880000000000001</v>
      </c>
      <c r="C219" s="2">
        <f>RSI!I219</f>
        <v>18.448136274853297</v>
      </c>
      <c r="D219" s="2">
        <f>MACD!E219</f>
        <v>1.9886796104825244E-2</v>
      </c>
      <c r="E219" s="2">
        <f>MACD!F219</f>
        <v>1.1594899316230589E-2</v>
      </c>
      <c r="F219" s="2">
        <f>'Moving Avg'!D219</f>
        <v>5.6150000000000002</v>
      </c>
      <c r="G219" s="2">
        <f>'Moving Avg'!F219</f>
        <v>5.6659999999999977</v>
      </c>
      <c r="H219" s="2">
        <f>'Moving Avg'!G219</f>
        <v>5.7079000000000004</v>
      </c>
      <c r="I219" s="2">
        <f>'Moving Avg'!H219</f>
        <v>5.596684999999991</v>
      </c>
      <c r="J219" s="5" t="str">
        <f>OBV!F219</f>
        <v>BEARISH</v>
      </c>
      <c r="K219" s="5" t="str">
        <f>OBV!G219</f>
        <v>STRONG</v>
      </c>
      <c r="L219" s="5" t="str">
        <f>OBV!H219</f>
        <v>CONFIRMED BEARISH</v>
      </c>
      <c r="M219" s="7">
        <f t="shared" si="33"/>
        <v>100</v>
      </c>
      <c r="N219" s="7">
        <f t="shared" si="30"/>
        <v>0</v>
      </c>
      <c r="O219" s="7">
        <f t="shared" si="31"/>
        <v>50</v>
      </c>
      <c r="P219" s="7">
        <f t="shared" si="32"/>
        <v>33</v>
      </c>
      <c r="Q219" s="8">
        <f t="shared" si="34"/>
        <v>47.45</v>
      </c>
      <c r="R219" s="8">
        <f t="shared" si="35"/>
        <v>45.75</v>
      </c>
      <c r="S219" s="8">
        <f t="shared" si="36"/>
        <v>42.35</v>
      </c>
      <c r="T219" s="8">
        <f t="shared" si="37"/>
        <v>45.75</v>
      </c>
      <c r="U219" s="7">
        <f t="shared" si="38"/>
        <v>45.183333333333337</v>
      </c>
      <c r="V219" s="7">
        <f t="shared" si="39"/>
        <v>45.325000000000003</v>
      </c>
    </row>
    <row r="220" spans="1:22" ht="13.5" x14ac:dyDescent="0.25">
      <c r="A220" s="3">
        <f>RSI!A220</f>
        <v>45238</v>
      </c>
      <c r="B220" s="2">
        <f>RSI!B220</f>
        <v>5.5880000000000001</v>
      </c>
      <c r="C220" s="2">
        <f>RSI!I220</f>
        <v>18.448136274853297</v>
      </c>
      <c r="D220" s="2">
        <f>MACD!E220</f>
        <v>2.402439221694852E-2</v>
      </c>
      <c r="E220" s="2">
        <f>MACD!F220</f>
        <v>1.4080797896374175E-2</v>
      </c>
      <c r="F220" s="2">
        <f>'Moving Avg'!D220</f>
        <v>5.6078000000000001</v>
      </c>
      <c r="G220" s="2">
        <f>'Moving Avg'!F220</f>
        <v>5.6610999999999985</v>
      </c>
      <c r="H220" s="2">
        <f>'Moving Avg'!G220</f>
        <v>5.7040000000000006</v>
      </c>
      <c r="I220" s="2">
        <f>'Moving Avg'!H220</f>
        <v>5.5974449999999907</v>
      </c>
      <c r="J220" s="5" t="str">
        <f>OBV!F220</f>
        <v>BEARISH</v>
      </c>
      <c r="K220" s="5" t="str">
        <f>OBV!G220</f>
        <v>STRONG</v>
      </c>
      <c r="L220" s="5" t="str">
        <f>OBV!H220</f>
        <v>CONFIRMED BEARISH</v>
      </c>
      <c r="M220" s="7">
        <f t="shared" si="33"/>
        <v>100</v>
      </c>
      <c r="N220" s="7">
        <f t="shared" si="30"/>
        <v>0</v>
      </c>
      <c r="O220" s="7">
        <f t="shared" si="31"/>
        <v>50</v>
      </c>
      <c r="P220" s="7">
        <f t="shared" si="32"/>
        <v>33</v>
      </c>
      <c r="Q220" s="8">
        <f t="shared" si="34"/>
        <v>47.45</v>
      </c>
      <c r="R220" s="8">
        <f t="shared" si="35"/>
        <v>45.75</v>
      </c>
      <c r="S220" s="8">
        <f t="shared" si="36"/>
        <v>42.35</v>
      </c>
      <c r="T220" s="8">
        <f t="shared" si="37"/>
        <v>45.75</v>
      </c>
      <c r="U220" s="7">
        <f t="shared" si="38"/>
        <v>45.183333333333337</v>
      </c>
      <c r="V220" s="7">
        <f t="shared" si="39"/>
        <v>45.325000000000003</v>
      </c>
    </row>
    <row r="221" spans="1:22" ht="13.5" x14ac:dyDescent="0.25">
      <c r="A221" s="3">
        <f>RSI!A221</f>
        <v>45239</v>
      </c>
      <c r="B221" s="2">
        <f>RSI!B221</f>
        <v>5.5880000000000001</v>
      </c>
      <c r="C221" s="2">
        <f>RSI!I221</f>
        <v>18.448136274853297</v>
      </c>
      <c r="D221" s="2">
        <f>MACD!E221</f>
        <v>2.8006561339357638E-2</v>
      </c>
      <c r="E221" s="2">
        <f>MACD!F221</f>
        <v>1.6865950584970868E-2</v>
      </c>
      <c r="F221" s="2">
        <f>'Moving Avg'!D221</f>
        <v>5.5988000000000007</v>
      </c>
      <c r="G221" s="2">
        <f>'Moving Avg'!F221</f>
        <v>5.6561999999999975</v>
      </c>
      <c r="H221" s="2">
        <f>'Moving Avg'!G221</f>
        <v>5.7001000000000008</v>
      </c>
      <c r="I221" s="2">
        <f>'Moving Avg'!H221</f>
        <v>5.5984149999999921</v>
      </c>
      <c r="J221" s="5" t="str">
        <f>OBV!F221</f>
        <v>BEARISH</v>
      </c>
      <c r="K221" s="5" t="str">
        <f>OBV!G221</f>
        <v>STRONG</v>
      </c>
      <c r="L221" s="5" t="str">
        <f>OBV!H221</f>
        <v>CONFIRMED BEARISH</v>
      </c>
      <c r="M221" s="7">
        <f t="shared" si="33"/>
        <v>100</v>
      </c>
      <c r="N221" s="7">
        <f t="shared" si="30"/>
        <v>0</v>
      </c>
      <c r="O221" s="7">
        <f t="shared" si="31"/>
        <v>50</v>
      </c>
      <c r="P221" s="7">
        <f t="shared" si="32"/>
        <v>33</v>
      </c>
      <c r="Q221" s="8">
        <f t="shared" si="34"/>
        <v>47.45</v>
      </c>
      <c r="R221" s="8">
        <f t="shared" si="35"/>
        <v>45.75</v>
      </c>
      <c r="S221" s="8">
        <f t="shared" si="36"/>
        <v>42.35</v>
      </c>
      <c r="T221" s="8">
        <f t="shared" si="37"/>
        <v>45.75</v>
      </c>
      <c r="U221" s="7">
        <f t="shared" si="38"/>
        <v>45.183333333333337</v>
      </c>
      <c r="V221" s="7">
        <f t="shared" si="39"/>
        <v>45.325000000000003</v>
      </c>
    </row>
    <row r="222" spans="1:22" ht="13.5" x14ac:dyDescent="0.25">
      <c r="A222" s="3">
        <f>RSI!A222</f>
        <v>45240</v>
      </c>
      <c r="B222" s="2">
        <f>RSI!B222</f>
        <v>5.5880000000000001</v>
      </c>
      <c r="C222" s="2">
        <f>RSI!I222</f>
        <v>18.448136274853297</v>
      </c>
      <c r="D222" s="2">
        <f>MACD!E222</f>
        <v>3.1821576334529311E-2</v>
      </c>
      <c r="E222" s="2">
        <f>MACD!F222</f>
        <v>1.9857075734882559E-2</v>
      </c>
      <c r="F222" s="2">
        <f>'Moving Avg'!D222</f>
        <v>5.5934000000000008</v>
      </c>
      <c r="G222" s="2">
        <f>'Moving Avg'!F222</f>
        <v>5.6508499999999975</v>
      </c>
      <c r="H222" s="2">
        <f>'Moving Avg'!G222</f>
        <v>5.6965400000000015</v>
      </c>
      <c r="I222" s="2">
        <f>'Moving Avg'!H222</f>
        <v>5.5992599999999921</v>
      </c>
      <c r="J222" s="5" t="str">
        <f>OBV!F222</f>
        <v>BEARISH</v>
      </c>
      <c r="K222" s="5" t="str">
        <f>OBV!G222</f>
        <v>STRONG</v>
      </c>
      <c r="L222" s="5" t="str">
        <f>OBV!H222</f>
        <v>CONFIRMED BEARISH</v>
      </c>
      <c r="M222" s="7">
        <f t="shared" si="33"/>
        <v>100</v>
      </c>
      <c r="N222" s="7">
        <f t="shared" si="30"/>
        <v>0</v>
      </c>
      <c r="O222" s="7">
        <f t="shared" si="31"/>
        <v>0</v>
      </c>
      <c r="P222" s="7">
        <f t="shared" si="32"/>
        <v>33</v>
      </c>
      <c r="Q222" s="8">
        <f t="shared" si="34"/>
        <v>39.950000000000003</v>
      </c>
      <c r="R222" s="8">
        <f t="shared" si="35"/>
        <v>28.25</v>
      </c>
      <c r="S222" s="8">
        <f t="shared" si="36"/>
        <v>29.85</v>
      </c>
      <c r="T222" s="8">
        <f t="shared" si="37"/>
        <v>33.25</v>
      </c>
      <c r="U222" s="7">
        <f t="shared" si="38"/>
        <v>32.683333333333337</v>
      </c>
      <c r="V222" s="7">
        <f t="shared" si="39"/>
        <v>32.825000000000003</v>
      </c>
    </row>
    <row r="223" spans="1:22" ht="13.5" x14ac:dyDescent="0.25">
      <c r="A223" s="3">
        <f>RSI!A223</f>
        <v>45243</v>
      </c>
      <c r="B223" s="2">
        <f>RSI!B223</f>
        <v>5.5789999999999997</v>
      </c>
      <c r="C223" s="2">
        <f>RSI!I223</f>
        <v>16.993810067114964</v>
      </c>
      <c r="D223" s="2">
        <f>MACD!E223</f>
        <v>3.6128820831208053E-2</v>
      </c>
      <c r="E223" s="2">
        <f>MACD!F223</f>
        <v>2.3111424754147659E-2</v>
      </c>
      <c r="F223" s="2">
        <f>'Moving Avg'!D223</f>
        <v>5.5861999999999998</v>
      </c>
      <c r="G223" s="2">
        <f>'Moving Avg'!F223</f>
        <v>5.6450499999999977</v>
      </c>
      <c r="H223" s="2">
        <f>'Moving Avg'!G223</f>
        <v>5.692800000000001</v>
      </c>
      <c r="I223" s="2">
        <f>'Moving Avg'!H223</f>
        <v>5.6005249999999922</v>
      </c>
      <c r="J223" s="5" t="str">
        <f>OBV!F223</f>
        <v>BEARISH</v>
      </c>
      <c r="K223" s="5" t="str">
        <f>OBV!G223</f>
        <v>STRONG</v>
      </c>
      <c r="L223" s="5" t="str">
        <f>OBV!H223</f>
        <v>CONFIRMED BEARISH</v>
      </c>
      <c r="M223" s="7">
        <f t="shared" si="33"/>
        <v>100</v>
      </c>
      <c r="N223" s="7">
        <f t="shared" si="30"/>
        <v>0</v>
      </c>
      <c r="O223" s="7">
        <f t="shared" si="31"/>
        <v>0</v>
      </c>
      <c r="P223" s="7">
        <f t="shared" si="32"/>
        <v>33</v>
      </c>
      <c r="Q223" s="8">
        <f t="shared" si="34"/>
        <v>39.950000000000003</v>
      </c>
      <c r="R223" s="8">
        <f t="shared" si="35"/>
        <v>28.25</v>
      </c>
      <c r="S223" s="8">
        <f t="shared" si="36"/>
        <v>29.85</v>
      </c>
      <c r="T223" s="8">
        <f t="shared" si="37"/>
        <v>33.25</v>
      </c>
      <c r="U223" s="7">
        <f t="shared" si="38"/>
        <v>32.683333333333337</v>
      </c>
      <c r="V223" s="7">
        <f t="shared" si="39"/>
        <v>32.825000000000003</v>
      </c>
    </row>
    <row r="224" spans="1:22" ht="13.5" x14ac:dyDescent="0.25">
      <c r="A224" s="3">
        <f>RSI!A224</f>
        <v>45244</v>
      </c>
      <c r="B224" s="2">
        <f>RSI!B224</f>
        <v>5.5789999999999997</v>
      </c>
      <c r="C224" s="2">
        <f>RSI!I224</f>
        <v>16.993810067114964</v>
      </c>
      <c r="D224" s="2">
        <f>MACD!E224</f>
        <v>4.020852725075752E-2</v>
      </c>
      <c r="E224" s="2">
        <f>MACD!F224</f>
        <v>2.6530845253469632E-2</v>
      </c>
      <c r="F224" s="2">
        <f>'Moving Avg'!D224</f>
        <v>5.5844000000000005</v>
      </c>
      <c r="G224" s="2">
        <f>'Moving Avg'!F224</f>
        <v>5.6392499999999979</v>
      </c>
      <c r="H224" s="2">
        <f>'Moving Avg'!G224</f>
        <v>5.6892400000000007</v>
      </c>
      <c r="I224" s="2">
        <f>'Moving Avg'!H224</f>
        <v>5.6016649999999926</v>
      </c>
      <c r="J224" s="5" t="str">
        <f>OBV!F224</f>
        <v>BEARISH</v>
      </c>
      <c r="K224" s="5" t="str">
        <f>OBV!G224</f>
        <v>STRONG</v>
      </c>
      <c r="L224" s="5" t="str">
        <f>OBV!H224</f>
        <v>CONFIRMED BEARISH</v>
      </c>
      <c r="M224" s="7">
        <f t="shared" si="33"/>
        <v>100</v>
      </c>
      <c r="N224" s="7">
        <f t="shared" si="30"/>
        <v>0</v>
      </c>
      <c r="O224" s="7">
        <f t="shared" si="31"/>
        <v>0</v>
      </c>
      <c r="P224" s="7">
        <f t="shared" si="32"/>
        <v>33</v>
      </c>
      <c r="Q224" s="8">
        <f t="shared" si="34"/>
        <v>39.950000000000003</v>
      </c>
      <c r="R224" s="8">
        <f t="shared" si="35"/>
        <v>28.25</v>
      </c>
      <c r="S224" s="8">
        <f t="shared" si="36"/>
        <v>29.85</v>
      </c>
      <c r="T224" s="8">
        <f t="shared" si="37"/>
        <v>33.25</v>
      </c>
      <c r="U224" s="7">
        <f t="shared" si="38"/>
        <v>32.683333333333337</v>
      </c>
      <c r="V224" s="7">
        <f t="shared" si="39"/>
        <v>32.825000000000003</v>
      </c>
    </row>
    <row r="225" spans="1:22" ht="13.5" x14ac:dyDescent="0.25">
      <c r="A225" s="3">
        <f>RSI!A225</f>
        <v>45245</v>
      </c>
      <c r="B225" s="2">
        <f>RSI!B225</f>
        <v>5.5789999999999997</v>
      </c>
      <c r="C225" s="2">
        <f>RSI!I225</f>
        <v>16.993810067114964</v>
      </c>
      <c r="D225" s="2">
        <f>MACD!E225</f>
        <v>3.5909624562361131E-2</v>
      </c>
      <c r="E225" s="2">
        <f>MACD!F225</f>
        <v>2.8406601115247933E-2</v>
      </c>
      <c r="F225" s="2">
        <f>'Moving Avg'!D225</f>
        <v>5.5826000000000002</v>
      </c>
      <c r="G225" s="2">
        <f>'Moving Avg'!F225</f>
        <v>5.6343499999999977</v>
      </c>
      <c r="H225" s="2">
        <f>'Moving Avg'!G225</f>
        <v>5.6856799999999996</v>
      </c>
      <c r="I225" s="2">
        <f>'Moving Avg'!H225</f>
        <v>5.6025499999999928</v>
      </c>
      <c r="J225" s="5" t="str">
        <f>OBV!F225</f>
        <v>BEARISH</v>
      </c>
      <c r="K225" s="5" t="str">
        <f>OBV!G225</f>
        <v>STRONG</v>
      </c>
      <c r="L225" s="5" t="str">
        <f>OBV!H225</f>
        <v>CONFIRMED BEARISH</v>
      </c>
      <c r="M225" s="7">
        <f t="shared" si="33"/>
        <v>100</v>
      </c>
      <c r="N225" s="7">
        <f t="shared" si="30"/>
        <v>0</v>
      </c>
      <c r="O225" s="7">
        <f t="shared" si="31"/>
        <v>0</v>
      </c>
      <c r="P225" s="7">
        <f t="shared" si="32"/>
        <v>33</v>
      </c>
      <c r="Q225" s="8">
        <f t="shared" si="34"/>
        <v>39.950000000000003</v>
      </c>
      <c r="R225" s="8">
        <f t="shared" si="35"/>
        <v>28.25</v>
      </c>
      <c r="S225" s="8">
        <f t="shared" si="36"/>
        <v>29.85</v>
      </c>
      <c r="T225" s="8">
        <f t="shared" si="37"/>
        <v>33.25</v>
      </c>
      <c r="U225" s="7">
        <f t="shared" si="38"/>
        <v>32.683333333333337</v>
      </c>
      <c r="V225" s="7">
        <f t="shared" si="39"/>
        <v>32.825000000000003</v>
      </c>
    </row>
    <row r="226" spans="1:22" ht="13.5" x14ac:dyDescent="0.25">
      <c r="A226" s="3">
        <f>RSI!A226</f>
        <v>45246</v>
      </c>
      <c r="B226" s="2">
        <f>RSI!B226</f>
        <v>5.5880000000000001</v>
      </c>
      <c r="C226" s="2">
        <f>RSI!I226</f>
        <v>24.434090365269469</v>
      </c>
      <c r="D226" s="2">
        <f>MACD!E226</f>
        <v>3.3363081150513452E-2</v>
      </c>
      <c r="E226" s="2">
        <f>MACD!F226</f>
        <v>2.9397897122301037E-2</v>
      </c>
      <c r="F226" s="2">
        <f>'Moving Avg'!D226</f>
        <v>5.5826000000000002</v>
      </c>
      <c r="G226" s="2">
        <f>'Moving Avg'!F226</f>
        <v>5.6298999999999975</v>
      </c>
      <c r="H226" s="2">
        <f>'Moving Avg'!G226</f>
        <v>5.6823000000000006</v>
      </c>
      <c r="I226" s="2">
        <f>'Moving Avg'!H226</f>
        <v>5.6033499999999936</v>
      </c>
      <c r="J226" s="5" t="str">
        <f>OBV!F226</f>
        <v>BULLISH</v>
      </c>
      <c r="K226" s="5" t="str">
        <f>OBV!G226</f>
        <v>NEUTRAL</v>
      </c>
      <c r="L226" s="5" t="str">
        <f>OBV!H226</f>
        <v>NEUTRAL</v>
      </c>
      <c r="M226" s="7">
        <f t="shared" si="33"/>
        <v>100</v>
      </c>
      <c r="N226" s="7">
        <f t="shared" si="30"/>
        <v>0</v>
      </c>
      <c r="O226" s="7">
        <f t="shared" si="31"/>
        <v>0</v>
      </c>
      <c r="P226" s="7">
        <f t="shared" si="32"/>
        <v>49.5</v>
      </c>
      <c r="Q226" s="8">
        <f t="shared" si="34"/>
        <v>42.424999999999997</v>
      </c>
      <c r="R226" s="8">
        <f t="shared" si="35"/>
        <v>32.375</v>
      </c>
      <c r="S226" s="8">
        <f t="shared" si="36"/>
        <v>37.275000000000006</v>
      </c>
      <c r="T226" s="8">
        <f t="shared" si="37"/>
        <v>37.375</v>
      </c>
      <c r="U226" s="7">
        <f t="shared" si="38"/>
        <v>37.358333333333334</v>
      </c>
      <c r="V226" s="7">
        <f t="shared" si="39"/>
        <v>37.362499999999997</v>
      </c>
    </row>
    <row r="227" spans="1:22" ht="13.5" x14ac:dyDescent="0.25">
      <c r="A227" s="3">
        <f>RSI!A227</f>
        <v>45247</v>
      </c>
      <c r="B227" s="2">
        <f>RSI!B227</f>
        <v>5.5880000000000001</v>
      </c>
      <c r="C227" s="2">
        <f>RSI!I227</f>
        <v>24.434090365269469</v>
      </c>
      <c r="D227" s="2">
        <f>MACD!E227</f>
        <v>2.8731309746354405E-2</v>
      </c>
      <c r="E227" s="2">
        <f>MACD!F227</f>
        <v>2.926457964711171E-2</v>
      </c>
      <c r="F227" s="2">
        <f>'Moving Avg'!D227</f>
        <v>5.5826000000000002</v>
      </c>
      <c r="G227" s="2">
        <f>'Moving Avg'!F227</f>
        <v>5.6245499999999975</v>
      </c>
      <c r="H227" s="2">
        <f>'Moving Avg'!G227</f>
        <v>5.6789199999999997</v>
      </c>
      <c r="I227" s="2">
        <f>'Moving Avg'!H227</f>
        <v>5.6041499999999935</v>
      </c>
      <c r="J227" s="5" t="str">
        <f>OBV!F227</f>
        <v>BULLISH</v>
      </c>
      <c r="K227" s="5" t="str">
        <f>OBV!G227</f>
        <v>NEUTRAL</v>
      </c>
      <c r="L227" s="5" t="str">
        <f>OBV!H227</f>
        <v>NEUTRAL</v>
      </c>
      <c r="M227" s="7">
        <f t="shared" si="33"/>
        <v>100</v>
      </c>
      <c r="N227" s="7">
        <f t="shared" si="30"/>
        <v>45</v>
      </c>
      <c r="O227" s="7">
        <f t="shared" si="31"/>
        <v>0</v>
      </c>
      <c r="P227" s="7">
        <f t="shared" si="32"/>
        <v>49.5</v>
      </c>
      <c r="Q227" s="8">
        <f t="shared" si="34"/>
        <v>58.174999999999997</v>
      </c>
      <c r="R227" s="8">
        <f t="shared" si="35"/>
        <v>41.375</v>
      </c>
      <c r="S227" s="8">
        <f t="shared" si="36"/>
        <v>44.025000000000006</v>
      </c>
      <c r="T227" s="8">
        <f t="shared" si="37"/>
        <v>48.625</v>
      </c>
      <c r="U227" s="7">
        <f t="shared" si="38"/>
        <v>47.858333333333327</v>
      </c>
      <c r="V227" s="7">
        <f t="shared" si="39"/>
        <v>48.05</v>
      </c>
    </row>
    <row r="228" spans="1:22" ht="13.5" x14ac:dyDescent="0.25">
      <c r="A228" s="3">
        <f>RSI!A228</f>
        <v>45250</v>
      </c>
      <c r="B228" s="2">
        <f>RSI!B228</f>
        <v>5.5880000000000001</v>
      </c>
      <c r="C228" s="2">
        <f>RSI!I228</f>
        <v>24.434090365269469</v>
      </c>
      <c r="D228" s="2">
        <f>MACD!E228</f>
        <v>2.5082698991000463E-2</v>
      </c>
      <c r="E228" s="2">
        <f>MACD!F228</f>
        <v>2.8428203515889462E-2</v>
      </c>
      <c r="F228" s="2">
        <f>'Moving Avg'!D228</f>
        <v>5.5844000000000005</v>
      </c>
      <c r="G228" s="2">
        <f>'Moving Avg'!F228</f>
        <v>5.6200999999999981</v>
      </c>
      <c r="H228" s="2">
        <f>'Moving Avg'!G228</f>
        <v>5.6755399999999998</v>
      </c>
      <c r="I228" s="2">
        <f>'Moving Avg'!H228</f>
        <v>5.6049499999999943</v>
      </c>
      <c r="J228" s="5" t="str">
        <f>OBV!F228</f>
        <v>BULLISH</v>
      </c>
      <c r="K228" s="5" t="str">
        <f>OBV!G228</f>
        <v>WEAK</v>
      </c>
      <c r="L228" s="5" t="str">
        <f>OBV!H228</f>
        <v>CONFIRMED BULLISH</v>
      </c>
      <c r="M228" s="7">
        <f t="shared" si="33"/>
        <v>100</v>
      </c>
      <c r="N228" s="7">
        <f t="shared" si="30"/>
        <v>45</v>
      </c>
      <c r="O228" s="7">
        <f t="shared" si="31"/>
        <v>0</v>
      </c>
      <c r="P228" s="7">
        <f t="shared" si="32"/>
        <v>67</v>
      </c>
      <c r="Q228" s="8">
        <f t="shared" si="34"/>
        <v>60.8</v>
      </c>
      <c r="R228" s="8">
        <f t="shared" si="35"/>
        <v>45.75</v>
      </c>
      <c r="S228" s="8">
        <f t="shared" si="36"/>
        <v>51.900000000000006</v>
      </c>
      <c r="T228" s="8">
        <f t="shared" si="37"/>
        <v>53</v>
      </c>
      <c r="U228" s="7">
        <f t="shared" si="38"/>
        <v>52.816666666666663</v>
      </c>
      <c r="V228" s="7">
        <f t="shared" si="39"/>
        <v>52.862499999999997</v>
      </c>
    </row>
    <row r="229" spans="1:22" ht="13.5" x14ac:dyDescent="0.25">
      <c r="A229" s="3">
        <f>RSI!A229</f>
        <v>45251</v>
      </c>
      <c r="B229" s="2">
        <f>RSI!B229</f>
        <v>5.5709999999999997</v>
      </c>
      <c r="C229" s="2">
        <f>RSI!I229</f>
        <v>20.169037222877265</v>
      </c>
      <c r="D229" s="2">
        <f>MACD!E229</f>
        <v>1.9351363510413222E-2</v>
      </c>
      <c r="E229" s="2">
        <f>MACD!F229</f>
        <v>2.6612835514794216E-2</v>
      </c>
      <c r="F229" s="2">
        <f>'Moving Avg'!D229</f>
        <v>5.5828000000000007</v>
      </c>
      <c r="G229" s="2">
        <f>'Moving Avg'!F229</f>
        <v>5.614799999999998</v>
      </c>
      <c r="H229" s="2">
        <f>'Moving Avg'!G229</f>
        <v>5.6718200000000003</v>
      </c>
      <c r="I229" s="2">
        <f>'Moving Avg'!H229</f>
        <v>5.6056649999999957</v>
      </c>
      <c r="J229" s="5" t="str">
        <f>OBV!F229</f>
        <v>BULLISH</v>
      </c>
      <c r="K229" s="5" t="str">
        <f>OBV!G229</f>
        <v>NEUTRAL</v>
      </c>
      <c r="L229" s="5" t="str">
        <f>OBV!H229</f>
        <v>BULLISH DIVERGENCE</v>
      </c>
      <c r="M229" s="7">
        <f t="shared" si="33"/>
        <v>100</v>
      </c>
      <c r="N229" s="7">
        <f t="shared" si="30"/>
        <v>45</v>
      </c>
      <c r="O229" s="7">
        <f t="shared" si="31"/>
        <v>0</v>
      </c>
      <c r="P229" s="7">
        <f t="shared" si="32"/>
        <v>66.5</v>
      </c>
      <c r="Q229" s="8">
        <f t="shared" si="34"/>
        <v>60.725000000000001</v>
      </c>
      <c r="R229" s="8">
        <f t="shared" si="35"/>
        <v>45.625</v>
      </c>
      <c r="S229" s="8">
        <f t="shared" si="36"/>
        <v>51.674999999999997</v>
      </c>
      <c r="T229" s="8">
        <f t="shared" si="37"/>
        <v>52.875</v>
      </c>
      <c r="U229" s="7">
        <f t="shared" si="38"/>
        <v>52.67499999999999</v>
      </c>
      <c r="V229" s="7">
        <f t="shared" si="39"/>
        <v>52.724999999999994</v>
      </c>
    </row>
    <row r="230" spans="1:22" ht="13.5" x14ac:dyDescent="0.25">
      <c r="A230" s="3">
        <f>RSI!A230</f>
        <v>45252</v>
      </c>
      <c r="B230" s="2">
        <f>RSI!B230</f>
        <v>5.5789999999999997</v>
      </c>
      <c r="C230" s="2">
        <f>RSI!I230</f>
        <v>26.657059577301567</v>
      </c>
      <c r="D230" s="2">
        <f>MACD!E230</f>
        <v>1.4241612196443931E-2</v>
      </c>
      <c r="E230" s="2">
        <f>MACD!F230</f>
        <v>2.4138590851124159E-2</v>
      </c>
      <c r="F230" s="2">
        <f>'Moving Avg'!D230</f>
        <v>5.5828000000000007</v>
      </c>
      <c r="G230" s="2">
        <f>'Moving Avg'!F230</f>
        <v>5.6098999999999979</v>
      </c>
      <c r="H230" s="2">
        <f>'Moving Avg'!G230</f>
        <v>5.6682600000000001</v>
      </c>
      <c r="I230" s="2">
        <f>'Moving Avg'!H230</f>
        <v>5.6065899999999953</v>
      </c>
      <c r="J230" s="5" t="str">
        <f>OBV!F230</f>
        <v>BULLISH</v>
      </c>
      <c r="K230" s="5" t="str">
        <f>OBV!G230</f>
        <v>WEAK</v>
      </c>
      <c r="L230" s="5" t="str">
        <f>OBV!H230</f>
        <v>NEUTRAL</v>
      </c>
      <c r="M230" s="7">
        <f t="shared" si="33"/>
        <v>100</v>
      </c>
      <c r="N230" s="7">
        <f t="shared" si="30"/>
        <v>45</v>
      </c>
      <c r="O230" s="7">
        <f t="shared" si="31"/>
        <v>0</v>
      </c>
      <c r="P230" s="7">
        <f t="shared" si="32"/>
        <v>33</v>
      </c>
      <c r="Q230" s="8">
        <f t="shared" si="34"/>
        <v>55.7</v>
      </c>
      <c r="R230" s="8">
        <f t="shared" si="35"/>
        <v>37.25</v>
      </c>
      <c r="S230" s="8">
        <f t="shared" si="36"/>
        <v>36.6</v>
      </c>
      <c r="T230" s="8">
        <f t="shared" si="37"/>
        <v>44.5</v>
      </c>
      <c r="U230" s="7">
        <f t="shared" si="38"/>
        <v>43.183333333333337</v>
      </c>
      <c r="V230" s="7">
        <f t="shared" si="39"/>
        <v>43.512500000000003</v>
      </c>
    </row>
    <row r="231" spans="1:22" ht="13.5" x14ac:dyDescent="0.25">
      <c r="A231" s="3">
        <f>RSI!A231</f>
        <v>45253</v>
      </c>
      <c r="B231" s="2">
        <f>RSI!B231</f>
        <v>5.5709999999999997</v>
      </c>
      <c r="C231" s="2">
        <f>RSI!I231</f>
        <v>24.511704573347416</v>
      </c>
      <c r="D231" s="2">
        <f>MACD!E231</f>
        <v>1.0771104902633333E-2</v>
      </c>
      <c r="E231" s="2">
        <f>MACD!F231</f>
        <v>2.1465093661425995E-2</v>
      </c>
      <c r="F231" s="2">
        <f>'Moving Avg'!D231</f>
        <v>5.5793999999999997</v>
      </c>
      <c r="G231" s="2">
        <f>'Moving Avg'!F231</f>
        <v>5.6045999999999978</v>
      </c>
      <c r="H231" s="2">
        <f>'Moving Avg'!G231</f>
        <v>5.66472</v>
      </c>
      <c r="I231" s="2">
        <f>'Moving Avg'!H231</f>
        <v>5.6075199999999947</v>
      </c>
      <c r="J231" s="5" t="str">
        <f>OBV!F231</f>
        <v>BEARISH</v>
      </c>
      <c r="K231" s="5" t="str">
        <f>OBV!G231</f>
        <v>STRONG</v>
      </c>
      <c r="L231" s="5" t="str">
        <f>OBV!H231</f>
        <v>CONFIRMED BEARISH</v>
      </c>
      <c r="M231" s="7">
        <f t="shared" si="33"/>
        <v>100</v>
      </c>
      <c r="N231" s="7">
        <f t="shared" si="30"/>
        <v>45</v>
      </c>
      <c r="O231" s="7">
        <f t="shared" si="31"/>
        <v>0</v>
      </c>
      <c r="P231" s="7">
        <f t="shared" si="32"/>
        <v>33</v>
      </c>
      <c r="Q231" s="8">
        <f t="shared" si="34"/>
        <v>55.7</v>
      </c>
      <c r="R231" s="8">
        <f t="shared" si="35"/>
        <v>37.25</v>
      </c>
      <c r="S231" s="8">
        <f t="shared" si="36"/>
        <v>36.6</v>
      </c>
      <c r="T231" s="8">
        <f t="shared" si="37"/>
        <v>44.5</v>
      </c>
      <c r="U231" s="7">
        <f t="shared" si="38"/>
        <v>43.183333333333337</v>
      </c>
      <c r="V231" s="7">
        <f t="shared" si="39"/>
        <v>43.512500000000003</v>
      </c>
    </row>
    <row r="232" spans="1:22" ht="13.5" x14ac:dyDescent="0.25">
      <c r="A232" s="3">
        <f>RSI!A232</f>
        <v>45254</v>
      </c>
      <c r="B232" s="2">
        <f>RSI!B232</f>
        <v>5.5620000000000003</v>
      </c>
      <c r="C232" s="2">
        <f>RSI!I232</f>
        <v>22.334038015104014</v>
      </c>
      <c r="D232" s="2">
        <f>MACD!E232</f>
        <v>8.7896977077379645E-3</v>
      </c>
      <c r="E232" s="2">
        <f>MACD!F232</f>
        <v>1.893001447068839E-2</v>
      </c>
      <c r="F232" s="2">
        <f>'Moving Avg'!D232</f>
        <v>5.5741999999999994</v>
      </c>
      <c r="G232" s="2">
        <f>'Moving Avg'!F232</f>
        <v>5.5988499999999979</v>
      </c>
      <c r="H232" s="2">
        <f>'Moving Avg'!G232</f>
        <v>5.661179999999999</v>
      </c>
      <c r="I232" s="2">
        <f>'Moving Avg'!H232</f>
        <v>5.6088299999999958</v>
      </c>
      <c r="J232" s="5" t="str">
        <f>OBV!F232</f>
        <v>BEARISH</v>
      </c>
      <c r="K232" s="5" t="str">
        <f>OBV!G232</f>
        <v>STRONG</v>
      </c>
      <c r="L232" s="5" t="str">
        <f>OBV!H232</f>
        <v>CONFIRMED BEARISH</v>
      </c>
      <c r="M232" s="7">
        <f t="shared" si="33"/>
        <v>100</v>
      </c>
      <c r="N232" s="7">
        <f t="shared" si="30"/>
        <v>45</v>
      </c>
      <c r="O232" s="7">
        <f t="shared" si="31"/>
        <v>0</v>
      </c>
      <c r="P232" s="7">
        <f t="shared" si="32"/>
        <v>33</v>
      </c>
      <c r="Q232" s="8">
        <f t="shared" si="34"/>
        <v>55.7</v>
      </c>
      <c r="R232" s="8">
        <f t="shared" si="35"/>
        <v>37.25</v>
      </c>
      <c r="S232" s="8">
        <f t="shared" si="36"/>
        <v>36.6</v>
      </c>
      <c r="T232" s="8">
        <f t="shared" si="37"/>
        <v>44.5</v>
      </c>
      <c r="U232" s="7">
        <f t="shared" si="38"/>
        <v>43.183333333333337</v>
      </c>
      <c r="V232" s="7">
        <f t="shared" si="39"/>
        <v>43.512500000000003</v>
      </c>
    </row>
    <row r="233" spans="1:22" ht="13.5" x14ac:dyDescent="0.25">
      <c r="A233" s="3">
        <f>RSI!A233</f>
        <v>45257</v>
      </c>
      <c r="B233" s="2">
        <f>RSI!B233</f>
        <v>5.5620000000000003</v>
      </c>
      <c r="C233" s="2">
        <f>RSI!I233</f>
        <v>22.334038015104014</v>
      </c>
      <c r="D233" s="2">
        <f>MACD!E233</f>
        <v>6.0488265697680177E-3</v>
      </c>
      <c r="E233" s="2">
        <f>MACD!F233</f>
        <v>1.6353776890504317E-2</v>
      </c>
      <c r="F233" s="2">
        <f>'Moving Avg'!D233</f>
        <v>5.569</v>
      </c>
      <c r="G233" s="2">
        <f>'Moving Avg'!F233</f>
        <v>5.593099999999998</v>
      </c>
      <c r="H233" s="2">
        <f>'Moving Avg'!G233</f>
        <v>5.6576399999999998</v>
      </c>
      <c r="I233" s="2">
        <f>'Moving Avg'!H233</f>
        <v>5.6107349999999947</v>
      </c>
      <c r="J233" s="5" t="str">
        <f>OBV!F233</f>
        <v>BEARISH</v>
      </c>
      <c r="K233" s="5" t="str">
        <f>OBV!G233</f>
        <v>STRONG</v>
      </c>
      <c r="L233" s="5" t="str">
        <f>OBV!H233</f>
        <v>CONFIRMED BEARISH</v>
      </c>
      <c r="M233" s="7">
        <f t="shared" si="33"/>
        <v>100</v>
      </c>
      <c r="N233" s="7">
        <f t="shared" si="30"/>
        <v>45</v>
      </c>
      <c r="O233" s="7">
        <f t="shared" si="31"/>
        <v>0</v>
      </c>
      <c r="P233" s="7">
        <f t="shared" si="32"/>
        <v>33</v>
      </c>
      <c r="Q233" s="8">
        <f t="shared" si="34"/>
        <v>55.7</v>
      </c>
      <c r="R233" s="8">
        <f t="shared" si="35"/>
        <v>37.25</v>
      </c>
      <c r="S233" s="8">
        <f t="shared" si="36"/>
        <v>36.6</v>
      </c>
      <c r="T233" s="8">
        <f t="shared" si="37"/>
        <v>44.5</v>
      </c>
      <c r="U233" s="7">
        <f t="shared" si="38"/>
        <v>43.183333333333337</v>
      </c>
      <c r="V233" s="7">
        <f t="shared" si="39"/>
        <v>43.512500000000003</v>
      </c>
    </row>
    <row r="234" spans="1:22" ht="13.5" x14ac:dyDescent="0.25">
      <c r="A234" s="3">
        <f>RSI!A234</f>
        <v>45258</v>
      </c>
      <c r="B234" s="2">
        <f>RSI!B234</f>
        <v>5.5529999999999999</v>
      </c>
      <c r="C234" s="2">
        <f>RSI!I234</f>
        <v>20.247794675894482</v>
      </c>
      <c r="D234" s="2">
        <f>MACD!E234</f>
        <v>4.6928867714175482E-3</v>
      </c>
      <c r="E234" s="2">
        <f>MACD!F234</f>
        <v>1.4021598866686963E-2</v>
      </c>
      <c r="F234" s="2">
        <f>'Moving Avg'!D234</f>
        <v>5.5654000000000003</v>
      </c>
      <c r="G234" s="2">
        <f>'Moving Avg'!F234</f>
        <v>5.5868999999999982</v>
      </c>
      <c r="H234" s="2">
        <f>'Moving Avg'!G234</f>
        <v>5.6544599999999994</v>
      </c>
      <c r="I234" s="2">
        <f>'Moving Avg'!H234</f>
        <v>5.6124249999999947</v>
      </c>
      <c r="J234" s="5" t="str">
        <f>OBV!F234</f>
        <v>BEARISH</v>
      </c>
      <c r="K234" s="5" t="str">
        <f>OBV!G234</f>
        <v>STRONG</v>
      </c>
      <c r="L234" s="5" t="str">
        <f>OBV!H234</f>
        <v>CONFIRMED BEARISH</v>
      </c>
      <c r="M234" s="7">
        <f t="shared" si="33"/>
        <v>100</v>
      </c>
      <c r="N234" s="7">
        <f t="shared" si="30"/>
        <v>45</v>
      </c>
      <c r="O234" s="7">
        <f t="shared" si="31"/>
        <v>0</v>
      </c>
      <c r="P234" s="7">
        <f t="shared" si="32"/>
        <v>33</v>
      </c>
      <c r="Q234" s="8">
        <f t="shared" si="34"/>
        <v>55.7</v>
      </c>
      <c r="R234" s="8">
        <f t="shared" si="35"/>
        <v>37.25</v>
      </c>
      <c r="S234" s="8">
        <f t="shared" si="36"/>
        <v>36.6</v>
      </c>
      <c r="T234" s="8">
        <f t="shared" si="37"/>
        <v>44.5</v>
      </c>
      <c r="U234" s="7">
        <f t="shared" si="38"/>
        <v>43.183333333333337</v>
      </c>
      <c r="V234" s="7">
        <f t="shared" si="39"/>
        <v>43.512500000000003</v>
      </c>
    </row>
    <row r="235" spans="1:22" ht="13.5" x14ac:dyDescent="0.25">
      <c r="A235" s="3">
        <f>RSI!A235</f>
        <v>45259</v>
      </c>
      <c r="B235" s="2">
        <f>RSI!B235</f>
        <v>5.5620000000000003</v>
      </c>
      <c r="C235" s="2">
        <f>RSI!I235</f>
        <v>27.537282462105523</v>
      </c>
      <c r="D235" s="2">
        <f>MACD!E235</f>
        <v>3.206690214062391E-3</v>
      </c>
      <c r="E235" s="2">
        <f>MACD!F235</f>
        <v>1.1858617136162049E-2</v>
      </c>
      <c r="F235" s="2">
        <f>'Moving Avg'!D235</f>
        <v>5.5620000000000003</v>
      </c>
      <c r="G235" s="2">
        <f>'Moving Avg'!F235</f>
        <v>5.5837999999999983</v>
      </c>
      <c r="H235" s="2">
        <f>'Moving Avg'!G235</f>
        <v>5.651279999999999</v>
      </c>
      <c r="I235" s="2">
        <f>'Moving Avg'!H235</f>
        <v>5.614199999999995</v>
      </c>
      <c r="J235" s="5" t="str">
        <f>OBV!F235</f>
        <v>BEARISH</v>
      </c>
      <c r="K235" s="5" t="str">
        <f>OBV!G235</f>
        <v>STRONG</v>
      </c>
      <c r="L235" s="5" t="str">
        <f>OBV!H235</f>
        <v>CONFIRMED BEARISH</v>
      </c>
      <c r="M235" s="7">
        <f t="shared" si="33"/>
        <v>100</v>
      </c>
      <c r="N235" s="7">
        <f t="shared" si="30"/>
        <v>45</v>
      </c>
      <c r="O235" s="7">
        <f t="shared" si="31"/>
        <v>0</v>
      </c>
      <c r="P235" s="7">
        <f t="shared" si="32"/>
        <v>33</v>
      </c>
      <c r="Q235" s="8">
        <f t="shared" si="34"/>
        <v>55.7</v>
      </c>
      <c r="R235" s="8">
        <f t="shared" si="35"/>
        <v>37.25</v>
      </c>
      <c r="S235" s="8">
        <f t="shared" si="36"/>
        <v>36.6</v>
      </c>
      <c r="T235" s="8">
        <f t="shared" si="37"/>
        <v>44.5</v>
      </c>
      <c r="U235" s="7">
        <f t="shared" si="38"/>
        <v>43.183333333333337</v>
      </c>
      <c r="V235" s="7">
        <f t="shared" si="39"/>
        <v>43.512500000000003</v>
      </c>
    </row>
    <row r="236" spans="1:22" ht="13.5" x14ac:dyDescent="0.25">
      <c r="A236" s="3">
        <f>RSI!A236</f>
        <v>45260</v>
      </c>
      <c r="B236" s="2">
        <f>RSI!B236</f>
        <v>5.5439999999999996</v>
      </c>
      <c r="C236" s="2">
        <f>RSI!I236</f>
        <v>23.007839198524451</v>
      </c>
      <c r="D236" s="2">
        <f>MACD!E236</f>
        <v>4.9174286353474983E-3</v>
      </c>
      <c r="E236" s="2">
        <f>MACD!F236</f>
        <v>1.047037943599914E-2</v>
      </c>
      <c r="F236" s="2">
        <f>'Moving Avg'!D236</f>
        <v>5.5566000000000004</v>
      </c>
      <c r="G236" s="2">
        <f>'Moving Avg'!F236</f>
        <v>5.5793499999999989</v>
      </c>
      <c r="H236" s="2">
        <f>'Moving Avg'!G236</f>
        <v>5.6477399999999989</v>
      </c>
      <c r="I236" s="2">
        <f>'Moving Avg'!H236</f>
        <v>5.6160149999999964</v>
      </c>
      <c r="J236" s="5" t="str">
        <f>OBV!F236</f>
        <v>BEARISH</v>
      </c>
      <c r="K236" s="5" t="str">
        <f>OBV!G236</f>
        <v>STRONG</v>
      </c>
      <c r="L236" s="5" t="str">
        <f>OBV!H236</f>
        <v>CONFIRMED BEARISH</v>
      </c>
      <c r="M236" s="7">
        <f t="shared" si="33"/>
        <v>100</v>
      </c>
      <c r="N236" s="7">
        <f t="shared" si="30"/>
        <v>45</v>
      </c>
      <c r="O236" s="7">
        <f t="shared" si="31"/>
        <v>0</v>
      </c>
      <c r="P236" s="7">
        <f t="shared" si="32"/>
        <v>33</v>
      </c>
      <c r="Q236" s="8">
        <f t="shared" si="34"/>
        <v>55.7</v>
      </c>
      <c r="R236" s="8">
        <f t="shared" si="35"/>
        <v>37.25</v>
      </c>
      <c r="S236" s="8">
        <f t="shared" si="36"/>
        <v>36.6</v>
      </c>
      <c r="T236" s="8">
        <f t="shared" si="37"/>
        <v>44.5</v>
      </c>
      <c r="U236" s="7">
        <f t="shared" si="38"/>
        <v>43.183333333333337</v>
      </c>
      <c r="V236" s="7">
        <f t="shared" si="39"/>
        <v>43.512500000000003</v>
      </c>
    </row>
    <row r="237" spans="1:22" ht="13.5" x14ac:dyDescent="0.25">
      <c r="A237" s="3">
        <f>RSI!A237</f>
        <v>45261</v>
      </c>
      <c r="B237" s="2">
        <f>RSI!B237</f>
        <v>5.5350000000000001</v>
      </c>
      <c r="C237" s="2">
        <f>RSI!I237</f>
        <v>21.135870542999186</v>
      </c>
      <c r="D237" s="2">
        <f>MACD!E237</f>
        <v>7.3698028556092865E-3</v>
      </c>
      <c r="E237" s="2">
        <f>MACD!F237</f>
        <v>9.8502641199211694E-3</v>
      </c>
      <c r="F237" s="2">
        <f>'Moving Avg'!D237</f>
        <v>5.5511999999999997</v>
      </c>
      <c r="G237" s="2">
        <f>'Moving Avg'!F237</f>
        <v>5.5753499999999985</v>
      </c>
      <c r="H237" s="2">
        <f>'Moving Avg'!G237</f>
        <v>5.6436599999999988</v>
      </c>
      <c r="I237" s="2">
        <f>'Moving Avg'!H237</f>
        <v>5.6178249999999972</v>
      </c>
      <c r="J237" s="5" t="str">
        <f>OBV!F237</f>
        <v>BEARISH</v>
      </c>
      <c r="K237" s="5" t="str">
        <f>OBV!G237</f>
        <v>STRONG</v>
      </c>
      <c r="L237" s="5" t="str">
        <f>OBV!H237</f>
        <v>CONFIRMED BEARISH</v>
      </c>
      <c r="M237" s="7">
        <f t="shared" si="33"/>
        <v>100</v>
      </c>
      <c r="N237" s="7">
        <f t="shared" si="30"/>
        <v>45</v>
      </c>
      <c r="O237" s="7">
        <f t="shared" si="31"/>
        <v>0</v>
      </c>
      <c r="P237" s="7">
        <f t="shared" si="32"/>
        <v>33</v>
      </c>
      <c r="Q237" s="8">
        <f t="shared" si="34"/>
        <v>55.7</v>
      </c>
      <c r="R237" s="8">
        <f t="shared" si="35"/>
        <v>37.25</v>
      </c>
      <c r="S237" s="8">
        <f t="shared" si="36"/>
        <v>36.6</v>
      </c>
      <c r="T237" s="8">
        <f t="shared" si="37"/>
        <v>44.5</v>
      </c>
      <c r="U237" s="7">
        <f t="shared" si="38"/>
        <v>43.183333333333337</v>
      </c>
      <c r="V237" s="7">
        <f t="shared" si="39"/>
        <v>43.512500000000003</v>
      </c>
    </row>
    <row r="238" spans="1:22" ht="13.5" x14ac:dyDescent="0.25">
      <c r="A238" s="3">
        <f>RSI!A238</f>
        <v>45264</v>
      </c>
      <c r="B238" s="2">
        <f>RSI!B238</f>
        <v>5.5350000000000001</v>
      </c>
      <c r="C238" s="2">
        <f>RSI!I238</f>
        <v>21.135870542999186</v>
      </c>
      <c r="D238" s="2">
        <f>MACD!E238</f>
        <v>9.8111809158645258E-3</v>
      </c>
      <c r="E238" s="2">
        <f>MACD!F238</f>
        <v>9.842447479109841E-3</v>
      </c>
      <c r="F238" s="2">
        <f>'Moving Avg'!D238</f>
        <v>5.5457999999999998</v>
      </c>
      <c r="G238" s="2">
        <f>'Moving Avg'!F238</f>
        <v>5.5713499999999989</v>
      </c>
      <c r="H238" s="2">
        <f>'Moving Avg'!G238</f>
        <v>5.6395799999999996</v>
      </c>
      <c r="I238" s="2">
        <f>'Moving Avg'!H238</f>
        <v>5.6196799999999971</v>
      </c>
      <c r="J238" s="5" t="str">
        <f>OBV!F238</f>
        <v>BEARISH</v>
      </c>
      <c r="K238" s="5" t="str">
        <f>OBV!G238</f>
        <v>STRONG</v>
      </c>
      <c r="L238" s="5" t="str">
        <f>OBV!H238</f>
        <v>CONFIRMED BEARISH</v>
      </c>
      <c r="M238" s="7">
        <f t="shared" si="33"/>
        <v>100</v>
      </c>
      <c r="N238" s="7">
        <f t="shared" si="30"/>
        <v>45</v>
      </c>
      <c r="O238" s="7">
        <f t="shared" si="31"/>
        <v>0</v>
      </c>
      <c r="P238" s="7">
        <f t="shared" si="32"/>
        <v>33</v>
      </c>
      <c r="Q238" s="8">
        <f t="shared" si="34"/>
        <v>55.7</v>
      </c>
      <c r="R238" s="8">
        <f t="shared" si="35"/>
        <v>37.25</v>
      </c>
      <c r="S238" s="8">
        <f t="shared" si="36"/>
        <v>36.6</v>
      </c>
      <c r="T238" s="8">
        <f t="shared" si="37"/>
        <v>44.5</v>
      </c>
      <c r="U238" s="7">
        <f t="shared" si="38"/>
        <v>43.183333333333337</v>
      </c>
      <c r="V238" s="7">
        <f t="shared" si="39"/>
        <v>43.512500000000003</v>
      </c>
    </row>
    <row r="239" spans="1:22" ht="13.5" x14ac:dyDescent="0.25">
      <c r="A239" s="3">
        <f>RSI!A239</f>
        <v>45265</v>
      </c>
      <c r="B239" s="2">
        <f>RSI!B239</f>
        <v>5.5259999999999998</v>
      </c>
      <c r="C239" s="2">
        <f>RSI!I239</f>
        <v>19.313437103924386</v>
      </c>
      <c r="D239" s="2">
        <f>MACD!E239</f>
        <v>1.0267403830128252E-2</v>
      </c>
      <c r="E239" s="2">
        <f>MACD!F239</f>
        <v>9.9274387493135247E-3</v>
      </c>
      <c r="F239" s="2">
        <f>'Moving Avg'!D239</f>
        <v>5.5404</v>
      </c>
      <c r="G239" s="2">
        <f>'Moving Avg'!F239</f>
        <v>5.568249999999999</v>
      </c>
      <c r="H239" s="2">
        <f>'Moving Avg'!G239</f>
        <v>5.6354999999999995</v>
      </c>
      <c r="I239" s="2">
        <f>'Moving Avg'!H239</f>
        <v>5.6214049999999975</v>
      </c>
      <c r="J239" s="5" t="str">
        <f>OBV!F239</f>
        <v>BEARISH</v>
      </c>
      <c r="K239" s="5" t="str">
        <f>OBV!G239</f>
        <v>STRONG</v>
      </c>
      <c r="L239" s="5" t="str">
        <f>OBV!H239</f>
        <v>CONFIRMED BEARISH</v>
      </c>
      <c r="M239" s="7">
        <f t="shared" si="33"/>
        <v>100</v>
      </c>
      <c r="N239" s="7">
        <f t="shared" si="30"/>
        <v>0</v>
      </c>
      <c r="O239" s="7">
        <f t="shared" si="31"/>
        <v>0</v>
      </c>
      <c r="P239" s="7">
        <f t="shared" si="32"/>
        <v>33</v>
      </c>
      <c r="Q239" s="8">
        <f t="shared" si="34"/>
        <v>39.950000000000003</v>
      </c>
      <c r="R239" s="8">
        <f t="shared" si="35"/>
        <v>28.25</v>
      </c>
      <c r="S239" s="8">
        <f t="shared" si="36"/>
        <v>29.85</v>
      </c>
      <c r="T239" s="8">
        <f t="shared" si="37"/>
        <v>33.25</v>
      </c>
      <c r="U239" s="7">
        <f t="shared" si="38"/>
        <v>32.683333333333337</v>
      </c>
      <c r="V239" s="7">
        <f t="shared" si="39"/>
        <v>32.825000000000003</v>
      </c>
    </row>
    <row r="240" spans="1:22" ht="13.5" x14ac:dyDescent="0.25">
      <c r="A240" s="3">
        <f>RSI!A240</f>
        <v>45266</v>
      </c>
      <c r="B240" s="2">
        <f>RSI!B240</f>
        <v>5.5259999999999998</v>
      </c>
      <c r="C240" s="2">
        <f>RSI!I240</f>
        <v>19.313437103924386</v>
      </c>
      <c r="D240" s="2">
        <f>MACD!E240</f>
        <v>1.2251425727854759E-2</v>
      </c>
      <c r="E240" s="2">
        <f>MACD!F240</f>
        <v>1.0392236145021772E-2</v>
      </c>
      <c r="F240" s="2">
        <f>'Moving Avg'!D240</f>
        <v>5.5331999999999999</v>
      </c>
      <c r="G240" s="2">
        <f>'Moving Avg'!F240</f>
        <v>5.5651499999999983</v>
      </c>
      <c r="H240" s="2">
        <f>'Moving Avg'!G240</f>
        <v>5.6314200000000003</v>
      </c>
      <c r="I240" s="2">
        <f>'Moving Avg'!H240</f>
        <v>5.6232149999999983</v>
      </c>
      <c r="J240" s="5" t="str">
        <f>OBV!F240</f>
        <v>BEARISH</v>
      </c>
      <c r="K240" s="5" t="str">
        <f>OBV!G240</f>
        <v>STRONG</v>
      </c>
      <c r="L240" s="5" t="str">
        <f>OBV!H240</f>
        <v>CONFIRMED BEARISH</v>
      </c>
      <c r="M240" s="7">
        <f t="shared" si="33"/>
        <v>100</v>
      </c>
      <c r="N240" s="7">
        <f t="shared" si="30"/>
        <v>0</v>
      </c>
      <c r="O240" s="7">
        <f t="shared" si="31"/>
        <v>0</v>
      </c>
      <c r="P240" s="7">
        <f t="shared" si="32"/>
        <v>33</v>
      </c>
      <c r="Q240" s="8">
        <f t="shared" si="34"/>
        <v>39.950000000000003</v>
      </c>
      <c r="R240" s="8">
        <f t="shared" si="35"/>
        <v>28.25</v>
      </c>
      <c r="S240" s="8">
        <f t="shared" si="36"/>
        <v>29.85</v>
      </c>
      <c r="T240" s="8">
        <f t="shared" si="37"/>
        <v>33.25</v>
      </c>
      <c r="U240" s="7">
        <f t="shared" si="38"/>
        <v>32.683333333333337</v>
      </c>
      <c r="V240" s="7">
        <f t="shared" si="39"/>
        <v>32.825000000000003</v>
      </c>
    </row>
    <row r="241" spans="1:22" ht="13.5" x14ac:dyDescent="0.25">
      <c r="A241" s="3">
        <f>RSI!A241</f>
        <v>45267</v>
      </c>
      <c r="B241" s="2">
        <f>RSI!B241</f>
        <v>5.5259999999999998</v>
      </c>
      <c r="C241" s="2">
        <f>RSI!I241</f>
        <v>19.313437103924386</v>
      </c>
      <c r="D241" s="2">
        <f>MACD!E241</f>
        <v>1.3039460824616711E-2</v>
      </c>
      <c r="E241" s="2">
        <f>MACD!F241</f>
        <v>1.092168108094076E-2</v>
      </c>
      <c r="F241" s="2">
        <f>'Moving Avg'!D241</f>
        <v>5.5296000000000003</v>
      </c>
      <c r="G241" s="2">
        <f>'Moving Avg'!F241</f>
        <v>5.5620499999999984</v>
      </c>
      <c r="H241" s="2">
        <f>'Moving Avg'!G241</f>
        <v>5.6275200000000005</v>
      </c>
      <c r="I241" s="2">
        <f>'Moving Avg'!H241</f>
        <v>5.6250249999999982</v>
      </c>
      <c r="J241" s="5" t="str">
        <f>OBV!F241</f>
        <v>BEARISH</v>
      </c>
      <c r="K241" s="5" t="str">
        <f>OBV!G241</f>
        <v>STRONG</v>
      </c>
      <c r="L241" s="5" t="str">
        <f>OBV!H241</f>
        <v>CONFIRMED BEARISH</v>
      </c>
      <c r="M241" s="7">
        <f t="shared" si="33"/>
        <v>100</v>
      </c>
      <c r="N241" s="7">
        <f t="shared" si="30"/>
        <v>0</v>
      </c>
      <c r="O241" s="7">
        <f t="shared" si="31"/>
        <v>0</v>
      </c>
      <c r="P241" s="7">
        <f t="shared" si="32"/>
        <v>33</v>
      </c>
      <c r="Q241" s="8">
        <f t="shared" si="34"/>
        <v>39.950000000000003</v>
      </c>
      <c r="R241" s="8">
        <f t="shared" si="35"/>
        <v>28.25</v>
      </c>
      <c r="S241" s="8">
        <f t="shared" si="36"/>
        <v>29.85</v>
      </c>
      <c r="T241" s="8">
        <f t="shared" si="37"/>
        <v>33.25</v>
      </c>
      <c r="U241" s="7">
        <f t="shared" si="38"/>
        <v>32.683333333333337</v>
      </c>
      <c r="V241" s="7">
        <f t="shared" si="39"/>
        <v>32.825000000000003</v>
      </c>
    </row>
    <row r="242" spans="1:22" ht="13.5" x14ac:dyDescent="0.25">
      <c r="A242" s="3">
        <f>RSI!A242</f>
        <v>45268</v>
      </c>
      <c r="B242" s="2">
        <f>RSI!B242</f>
        <v>5.5259999999999998</v>
      </c>
      <c r="C242" s="2">
        <f>RSI!I242</f>
        <v>19.313437103924386</v>
      </c>
      <c r="D242" s="2">
        <f>MACD!E242</f>
        <v>1.2636474523508134E-2</v>
      </c>
      <c r="E242" s="2">
        <f>MACD!F242</f>
        <v>1.1264639769454236E-2</v>
      </c>
      <c r="F242" s="2">
        <f>'Moving Avg'!D242</f>
        <v>5.5278</v>
      </c>
      <c r="G242" s="2">
        <f>'Moving Avg'!F242</f>
        <v>5.5589499999999976</v>
      </c>
      <c r="H242" s="2">
        <f>'Moving Avg'!G242</f>
        <v>5.6239600000000003</v>
      </c>
      <c r="I242" s="2">
        <f>'Moving Avg'!H242</f>
        <v>5.6268349999999998</v>
      </c>
      <c r="J242" s="5" t="str">
        <f>OBV!F242</f>
        <v>BEARISH</v>
      </c>
      <c r="K242" s="5" t="str">
        <f>OBV!G242</f>
        <v>STRONG</v>
      </c>
      <c r="L242" s="5" t="str">
        <f>OBV!H242</f>
        <v>CONFIRMED BEARISH</v>
      </c>
      <c r="M242" s="7">
        <f t="shared" si="33"/>
        <v>100</v>
      </c>
      <c r="N242" s="7">
        <f t="shared" si="30"/>
        <v>0</v>
      </c>
      <c r="O242" s="7">
        <f t="shared" si="31"/>
        <v>0</v>
      </c>
      <c r="P242" s="7">
        <f t="shared" si="32"/>
        <v>33</v>
      </c>
      <c r="Q242" s="8">
        <f t="shared" si="34"/>
        <v>39.950000000000003</v>
      </c>
      <c r="R242" s="8">
        <f t="shared" si="35"/>
        <v>28.25</v>
      </c>
      <c r="S242" s="8">
        <f t="shared" si="36"/>
        <v>29.85</v>
      </c>
      <c r="T242" s="8">
        <f t="shared" si="37"/>
        <v>33.25</v>
      </c>
      <c r="U242" s="7">
        <f t="shared" si="38"/>
        <v>32.683333333333337</v>
      </c>
      <c r="V242" s="7">
        <f t="shared" si="39"/>
        <v>32.825000000000003</v>
      </c>
    </row>
    <row r="243" spans="1:22" ht="13.5" x14ac:dyDescent="0.25">
      <c r="A243" s="3">
        <f>RSI!A243</f>
        <v>45271</v>
      </c>
      <c r="B243" s="2">
        <f>RSI!B243</f>
        <v>5.5</v>
      </c>
      <c r="C243" s="2">
        <f>RSI!I243</f>
        <v>14.466523452887941</v>
      </c>
      <c r="D243" s="2">
        <f>MACD!E243</f>
        <v>1.4512921444024052E-2</v>
      </c>
      <c r="E243" s="2">
        <f>MACD!F243</f>
        <v>1.1914296104368199E-2</v>
      </c>
      <c r="F243" s="2">
        <f>'Moving Avg'!D243</f>
        <v>5.5207999999999995</v>
      </c>
      <c r="G243" s="2">
        <f>'Moving Avg'!F243</f>
        <v>5.5549999999999979</v>
      </c>
      <c r="H243" s="2">
        <f>'Moving Avg'!G243</f>
        <v>5.61972</v>
      </c>
      <c r="I243" s="2">
        <f>'Moving Avg'!H243</f>
        <v>5.6285150000000002</v>
      </c>
      <c r="J243" s="5" t="str">
        <f>OBV!F243</f>
        <v>BEARISH</v>
      </c>
      <c r="K243" s="5" t="str">
        <f>OBV!G243</f>
        <v>STRONG</v>
      </c>
      <c r="L243" s="5" t="str">
        <f>OBV!H243</f>
        <v>CONFIRMED BEARISH</v>
      </c>
      <c r="M243" s="7">
        <f t="shared" si="33"/>
        <v>100</v>
      </c>
      <c r="N243" s="7">
        <f t="shared" si="30"/>
        <v>0</v>
      </c>
      <c r="O243" s="7">
        <f t="shared" si="31"/>
        <v>0</v>
      </c>
      <c r="P243" s="7">
        <f t="shared" si="32"/>
        <v>33</v>
      </c>
      <c r="Q243" s="8">
        <f t="shared" si="34"/>
        <v>39.950000000000003</v>
      </c>
      <c r="R243" s="8">
        <f t="shared" si="35"/>
        <v>28.25</v>
      </c>
      <c r="S243" s="8">
        <f t="shared" si="36"/>
        <v>29.85</v>
      </c>
      <c r="T243" s="8">
        <f t="shared" si="37"/>
        <v>33.25</v>
      </c>
      <c r="U243" s="7">
        <f t="shared" si="38"/>
        <v>32.683333333333337</v>
      </c>
      <c r="V243" s="7">
        <f t="shared" si="39"/>
        <v>32.825000000000003</v>
      </c>
    </row>
    <row r="244" spans="1:22" ht="13.5" x14ac:dyDescent="0.25">
      <c r="A244" s="3">
        <f>RSI!A244</f>
        <v>45272</v>
      </c>
      <c r="B244" s="2">
        <f>RSI!B244</f>
        <v>5.4109999999999996</v>
      </c>
      <c r="C244" s="2">
        <f>RSI!I244</f>
        <v>7.5145339634650838</v>
      </c>
      <c r="D244" s="2">
        <f>MACD!E244</f>
        <v>2.1732212661591532E-2</v>
      </c>
      <c r="E244" s="2">
        <f>MACD!F244</f>
        <v>1.3877879415812866E-2</v>
      </c>
      <c r="F244" s="2">
        <f>'Moving Avg'!D244</f>
        <v>5.4977999999999998</v>
      </c>
      <c r="G244" s="2">
        <f>'Moving Avg'!F244</f>
        <v>5.5465999999999989</v>
      </c>
      <c r="H244" s="2">
        <f>'Moving Avg'!G244</f>
        <v>5.6138599999999999</v>
      </c>
      <c r="I244" s="2">
        <f>'Moving Avg'!H244</f>
        <v>5.629789999999999</v>
      </c>
      <c r="J244" s="5" t="str">
        <f>OBV!F244</f>
        <v>BEARISH</v>
      </c>
      <c r="K244" s="5" t="str">
        <f>OBV!G244</f>
        <v>STRONG</v>
      </c>
      <c r="L244" s="5" t="str">
        <f>OBV!H244</f>
        <v>CONFIRMED BEARISH</v>
      </c>
      <c r="M244" s="7">
        <f t="shared" si="33"/>
        <v>100</v>
      </c>
      <c r="N244" s="7">
        <f t="shared" si="30"/>
        <v>0</v>
      </c>
      <c r="O244" s="7">
        <f t="shared" si="31"/>
        <v>0</v>
      </c>
      <c r="P244" s="7">
        <f t="shared" si="32"/>
        <v>33</v>
      </c>
      <c r="Q244" s="8">
        <f t="shared" si="34"/>
        <v>39.950000000000003</v>
      </c>
      <c r="R244" s="8">
        <f t="shared" si="35"/>
        <v>28.25</v>
      </c>
      <c r="S244" s="8">
        <f t="shared" si="36"/>
        <v>29.85</v>
      </c>
      <c r="T244" s="8">
        <f t="shared" si="37"/>
        <v>33.25</v>
      </c>
      <c r="U244" s="7">
        <f t="shared" si="38"/>
        <v>32.683333333333337</v>
      </c>
      <c r="V244" s="7">
        <f t="shared" si="39"/>
        <v>32.825000000000003</v>
      </c>
    </row>
    <row r="245" spans="1:22" ht="13.5" x14ac:dyDescent="0.25">
      <c r="A245" s="3">
        <f>RSI!A245</f>
        <v>45273</v>
      </c>
      <c r="B245" s="2">
        <f>RSI!B245</f>
        <v>5.4020000000000001</v>
      </c>
      <c r="C245" s="2">
        <f>RSI!I245</f>
        <v>7.140827458880068</v>
      </c>
      <c r="D245" s="2">
        <f>MACD!E245</f>
        <v>3.0810207630779018E-2</v>
      </c>
      <c r="E245" s="2">
        <f>MACD!F245</f>
        <v>1.7264345058806096E-2</v>
      </c>
      <c r="F245" s="2">
        <f>'Moving Avg'!D245</f>
        <v>5.4730000000000008</v>
      </c>
      <c r="G245" s="2">
        <f>'Moving Avg'!F245</f>
        <v>5.5377499999999982</v>
      </c>
      <c r="H245" s="2">
        <f>'Moving Avg'!G245</f>
        <v>5.6078199999999994</v>
      </c>
      <c r="I245" s="2">
        <f>'Moving Avg'!H245</f>
        <v>5.6310199999999995</v>
      </c>
      <c r="J245" s="5" t="str">
        <f>OBV!F245</f>
        <v>BEARISH</v>
      </c>
      <c r="K245" s="5" t="str">
        <f>OBV!G245</f>
        <v>STRONG</v>
      </c>
      <c r="L245" s="5" t="str">
        <f>OBV!H245</f>
        <v>CONFIRMED BEARISH</v>
      </c>
      <c r="M245" s="7">
        <f t="shared" si="33"/>
        <v>100</v>
      </c>
      <c r="N245" s="7">
        <f t="shared" si="30"/>
        <v>0</v>
      </c>
      <c r="O245" s="7">
        <f t="shared" si="31"/>
        <v>0</v>
      </c>
      <c r="P245" s="7">
        <f t="shared" si="32"/>
        <v>33</v>
      </c>
      <c r="Q245" s="8">
        <f t="shared" si="34"/>
        <v>39.950000000000003</v>
      </c>
      <c r="R245" s="8">
        <f t="shared" si="35"/>
        <v>28.25</v>
      </c>
      <c r="S245" s="8">
        <f t="shared" si="36"/>
        <v>29.85</v>
      </c>
      <c r="T245" s="8">
        <f t="shared" si="37"/>
        <v>33.25</v>
      </c>
      <c r="U245" s="7">
        <f t="shared" si="38"/>
        <v>32.683333333333337</v>
      </c>
      <c r="V245" s="7">
        <f t="shared" si="39"/>
        <v>32.825000000000003</v>
      </c>
    </row>
    <row r="246" spans="1:22" ht="13.5" x14ac:dyDescent="0.25">
      <c r="A246" s="3">
        <f>RSI!A246</f>
        <v>45274</v>
      </c>
      <c r="B246" s="2">
        <f>RSI!B246</f>
        <v>5.4459999999999997</v>
      </c>
      <c r="C246" s="2">
        <f>RSI!I246</f>
        <v>26.409268403145902</v>
      </c>
      <c r="D246" s="2">
        <f>MACD!E246</f>
        <v>3.3366355169250461E-2</v>
      </c>
      <c r="E246" s="2">
        <f>MACD!F246</f>
        <v>2.0484747080894969E-2</v>
      </c>
      <c r="F246" s="2">
        <f>'Moving Avg'!D246</f>
        <v>5.456999999999999</v>
      </c>
      <c r="G246" s="2">
        <f>'Moving Avg'!F246</f>
        <v>5.5306499999999987</v>
      </c>
      <c r="H246" s="2">
        <f>'Moving Avg'!G246</f>
        <v>5.6026600000000011</v>
      </c>
      <c r="I246" s="2">
        <f>'Moving Avg'!H246</f>
        <v>5.6324699999999996</v>
      </c>
      <c r="J246" s="5" t="str">
        <f>OBV!F246</f>
        <v>BEARISH</v>
      </c>
      <c r="K246" s="5" t="str">
        <f>OBV!G246</f>
        <v>STRONG</v>
      </c>
      <c r="L246" s="5" t="str">
        <f>OBV!H246</f>
        <v>CONFIRMED BEARISH</v>
      </c>
      <c r="M246" s="7">
        <f t="shared" si="33"/>
        <v>100</v>
      </c>
      <c r="N246" s="7">
        <f t="shared" si="30"/>
        <v>0</v>
      </c>
      <c r="O246" s="7">
        <f t="shared" si="31"/>
        <v>0</v>
      </c>
      <c r="P246" s="7">
        <f t="shared" si="32"/>
        <v>33</v>
      </c>
      <c r="Q246" s="8">
        <f t="shared" si="34"/>
        <v>39.950000000000003</v>
      </c>
      <c r="R246" s="8">
        <f t="shared" si="35"/>
        <v>28.25</v>
      </c>
      <c r="S246" s="8">
        <f t="shared" si="36"/>
        <v>29.85</v>
      </c>
      <c r="T246" s="8">
        <f t="shared" si="37"/>
        <v>33.25</v>
      </c>
      <c r="U246" s="7">
        <f t="shared" si="38"/>
        <v>32.683333333333337</v>
      </c>
      <c r="V246" s="7">
        <f t="shared" si="39"/>
        <v>32.825000000000003</v>
      </c>
    </row>
    <row r="247" spans="1:22" ht="13.5" x14ac:dyDescent="0.25">
      <c r="A247" s="3">
        <f>RSI!A247</f>
        <v>45275</v>
      </c>
      <c r="B247" s="2">
        <f>RSI!B247</f>
        <v>5.4290000000000003</v>
      </c>
      <c r="C247" s="2">
        <f>RSI!I247</f>
        <v>24.310357335163019</v>
      </c>
      <c r="D247" s="2">
        <f>MACD!E247</f>
        <v>3.5980244492333391E-2</v>
      </c>
      <c r="E247" s="2">
        <f>MACD!F247</f>
        <v>2.3583846563182655E-2</v>
      </c>
      <c r="F247" s="2">
        <f>'Moving Avg'!D247</f>
        <v>5.4376000000000007</v>
      </c>
      <c r="G247" s="2">
        <f>'Moving Avg'!F247</f>
        <v>5.5226999999999986</v>
      </c>
      <c r="H247" s="2">
        <f>'Moving Avg'!G247</f>
        <v>5.5971599999999997</v>
      </c>
      <c r="I247" s="2">
        <f>'Moving Avg'!H247</f>
        <v>5.6338799999999996</v>
      </c>
      <c r="J247" s="5" t="str">
        <f>OBV!F247</f>
        <v>BEARISH</v>
      </c>
      <c r="K247" s="5" t="str">
        <f>OBV!G247</f>
        <v>STRONG</v>
      </c>
      <c r="L247" s="5" t="str">
        <f>OBV!H247</f>
        <v>CONFIRMED BEARISH</v>
      </c>
      <c r="M247" s="7">
        <f t="shared" si="33"/>
        <v>100</v>
      </c>
      <c r="N247" s="7">
        <f t="shared" si="30"/>
        <v>0</v>
      </c>
      <c r="O247" s="7">
        <f t="shared" si="31"/>
        <v>0</v>
      </c>
      <c r="P247" s="7">
        <f t="shared" si="32"/>
        <v>33</v>
      </c>
      <c r="Q247" s="8">
        <f t="shared" si="34"/>
        <v>39.950000000000003</v>
      </c>
      <c r="R247" s="8">
        <f t="shared" si="35"/>
        <v>28.25</v>
      </c>
      <c r="S247" s="8">
        <f t="shared" si="36"/>
        <v>29.85</v>
      </c>
      <c r="T247" s="8">
        <f t="shared" si="37"/>
        <v>33.25</v>
      </c>
      <c r="U247" s="7">
        <f t="shared" si="38"/>
        <v>32.683333333333337</v>
      </c>
      <c r="V247" s="7">
        <f t="shared" si="39"/>
        <v>32.825000000000003</v>
      </c>
    </row>
    <row r="248" spans="1:22" ht="13.5" x14ac:dyDescent="0.25">
      <c r="A248" s="3">
        <f>RSI!A248</f>
        <v>45278</v>
      </c>
      <c r="B248" s="2">
        <f>RSI!B248</f>
        <v>5.4109999999999996</v>
      </c>
      <c r="C248" s="2">
        <f>RSI!I248</f>
        <v>22.290307882463139</v>
      </c>
      <c r="D248" s="2">
        <f>MACD!E248</f>
        <v>4.0159442742700335E-2</v>
      </c>
      <c r="E248" s="2">
        <f>MACD!F248</f>
        <v>2.689896579908619E-2</v>
      </c>
      <c r="F248" s="2">
        <f>'Moving Avg'!D248</f>
        <v>5.4198000000000004</v>
      </c>
      <c r="G248" s="2">
        <f>'Moving Avg'!F248</f>
        <v>5.5138499999999988</v>
      </c>
      <c r="H248" s="2">
        <f>'Moving Avg'!G248</f>
        <v>5.5909599999999999</v>
      </c>
      <c r="I248" s="2">
        <f>'Moving Avg'!H248</f>
        <v>5.6352399999999996</v>
      </c>
      <c r="J248" s="5" t="str">
        <f>OBV!F248</f>
        <v>BEARISH</v>
      </c>
      <c r="K248" s="5" t="str">
        <f>OBV!G248</f>
        <v>STRONG</v>
      </c>
      <c r="L248" s="5" t="str">
        <f>OBV!H248</f>
        <v>CONFIRMED BEARISH</v>
      </c>
      <c r="M248" s="7">
        <f t="shared" si="33"/>
        <v>100</v>
      </c>
      <c r="N248" s="7">
        <f t="shared" si="30"/>
        <v>0</v>
      </c>
      <c r="O248" s="7">
        <f t="shared" si="31"/>
        <v>0</v>
      </c>
      <c r="P248" s="7">
        <f t="shared" si="32"/>
        <v>33</v>
      </c>
      <c r="Q248" s="8">
        <f t="shared" si="34"/>
        <v>39.950000000000003</v>
      </c>
      <c r="R248" s="8">
        <f t="shared" si="35"/>
        <v>28.25</v>
      </c>
      <c r="S248" s="8">
        <f t="shared" si="36"/>
        <v>29.85</v>
      </c>
      <c r="T248" s="8">
        <f t="shared" si="37"/>
        <v>33.25</v>
      </c>
      <c r="U248" s="7">
        <f t="shared" si="38"/>
        <v>32.683333333333337</v>
      </c>
      <c r="V248" s="7">
        <f t="shared" si="39"/>
        <v>32.825000000000003</v>
      </c>
    </row>
    <row r="249" spans="1:22" ht="13.5" x14ac:dyDescent="0.25">
      <c r="A249" s="3">
        <f>RSI!A249</f>
        <v>45279</v>
      </c>
      <c r="B249" s="2">
        <f>RSI!B249</f>
        <v>5.42</v>
      </c>
      <c r="C249" s="2">
        <f>RSI!I249</f>
        <v>25.618367170484518</v>
      </c>
      <c r="D249" s="2">
        <f>MACD!E249</f>
        <v>4.2337909260877105E-2</v>
      </c>
      <c r="E249" s="2">
        <f>MACD!F249</f>
        <v>2.9986754491444376E-2</v>
      </c>
      <c r="F249" s="2">
        <f>'Moving Avg'!D249</f>
        <v>5.4216000000000006</v>
      </c>
      <c r="G249" s="2">
        <f>'Moving Avg'!F249</f>
        <v>5.5062999999999995</v>
      </c>
      <c r="H249" s="2">
        <f>'Moving Avg'!G249</f>
        <v>5.5856400000000006</v>
      </c>
      <c r="I249" s="2">
        <f>'Moving Avg'!H249</f>
        <v>5.6366450000000006</v>
      </c>
      <c r="J249" s="5" t="str">
        <f>OBV!F249</f>
        <v>BEARISH</v>
      </c>
      <c r="K249" s="5" t="str">
        <f>OBV!G249</f>
        <v>STRONG</v>
      </c>
      <c r="L249" s="5" t="str">
        <f>OBV!H249</f>
        <v>BEARISH DIVERGENCE</v>
      </c>
      <c r="M249" s="7">
        <f t="shared" si="33"/>
        <v>100</v>
      </c>
      <c r="N249" s="7">
        <f t="shared" si="30"/>
        <v>0</v>
      </c>
      <c r="O249" s="7">
        <f t="shared" si="31"/>
        <v>0</v>
      </c>
      <c r="P249" s="7">
        <f t="shared" si="32"/>
        <v>33</v>
      </c>
      <c r="Q249" s="8">
        <f t="shared" si="34"/>
        <v>39.950000000000003</v>
      </c>
      <c r="R249" s="8">
        <f t="shared" si="35"/>
        <v>28.25</v>
      </c>
      <c r="S249" s="8">
        <f t="shared" si="36"/>
        <v>29.85</v>
      </c>
      <c r="T249" s="8">
        <f t="shared" si="37"/>
        <v>33.25</v>
      </c>
      <c r="U249" s="7">
        <f t="shared" si="38"/>
        <v>32.683333333333337</v>
      </c>
      <c r="V249" s="7">
        <f t="shared" si="39"/>
        <v>32.825000000000003</v>
      </c>
    </row>
    <row r="250" spans="1:22" ht="13.5" x14ac:dyDescent="0.25">
      <c r="A250" s="3">
        <f>RSI!A250</f>
        <v>45280</v>
      </c>
      <c r="B250" s="2">
        <f>RSI!B250</f>
        <v>5.4020000000000001</v>
      </c>
      <c r="C250" s="2">
        <f>RSI!I250</f>
        <v>23.454836961127057</v>
      </c>
      <c r="D250" s="2">
        <f>MACD!E250</f>
        <v>4.6103512267871238E-2</v>
      </c>
      <c r="E250" s="2">
        <f>MACD!F250</f>
        <v>3.3210106046729748E-2</v>
      </c>
      <c r="F250" s="2">
        <f>'Moving Avg'!D250</f>
        <v>5.4216000000000006</v>
      </c>
      <c r="G250" s="2">
        <f>'Moving Avg'!F250</f>
        <v>5.4974499999999988</v>
      </c>
      <c r="H250" s="2">
        <f>'Moving Avg'!G250</f>
        <v>5.5799599999999998</v>
      </c>
      <c r="I250" s="2">
        <f>'Moving Avg'!H250</f>
        <v>5.6380050000000006</v>
      </c>
      <c r="J250" s="5" t="str">
        <f>OBV!F250</f>
        <v>BEARISH</v>
      </c>
      <c r="K250" s="5" t="str">
        <f>OBV!G250</f>
        <v>STRONG</v>
      </c>
      <c r="L250" s="5" t="str">
        <f>OBV!H250</f>
        <v>NEUTRAL</v>
      </c>
      <c r="M250" s="7">
        <f t="shared" si="33"/>
        <v>100</v>
      </c>
      <c r="N250" s="7">
        <f t="shared" si="30"/>
        <v>0</v>
      </c>
      <c r="O250" s="7">
        <f t="shared" si="31"/>
        <v>0</v>
      </c>
      <c r="P250" s="7">
        <f t="shared" si="32"/>
        <v>33</v>
      </c>
      <c r="Q250" s="8">
        <f t="shared" si="34"/>
        <v>39.950000000000003</v>
      </c>
      <c r="R250" s="8">
        <f t="shared" si="35"/>
        <v>28.25</v>
      </c>
      <c r="S250" s="8">
        <f t="shared" si="36"/>
        <v>29.85</v>
      </c>
      <c r="T250" s="8">
        <f t="shared" si="37"/>
        <v>33.25</v>
      </c>
      <c r="U250" s="7">
        <f t="shared" si="38"/>
        <v>32.683333333333337</v>
      </c>
      <c r="V250" s="7">
        <f t="shared" si="39"/>
        <v>32.825000000000003</v>
      </c>
    </row>
    <row r="251" spans="1:22" ht="13.5" x14ac:dyDescent="0.25">
      <c r="A251" s="3">
        <f>RSI!A251</f>
        <v>45281</v>
      </c>
      <c r="B251" s="2">
        <f>RSI!B251</f>
        <v>5.3929999999999998</v>
      </c>
      <c r="C251" s="2">
        <f>RSI!I251</f>
        <v>22.434637112845024</v>
      </c>
      <c r="D251" s="2">
        <f>MACD!E251</f>
        <v>5.0608146962606959E-2</v>
      </c>
      <c r="E251" s="2">
        <f>MACD!F251</f>
        <v>3.668971422990519E-2</v>
      </c>
      <c r="F251" s="2">
        <f>'Moving Avg'!D251</f>
        <v>5.4109999999999996</v>
      </c>
      <c r="G251" s="2">
        <f>'Moving Avg'!F251</f>
        <v>5.4885499999999992</v>
      </c>
      <c r="H251" s="2">
        <f>'Moving Avg'!G251</f>
        <v>5.5740999999999996</v>
      </c>
      <c r="I251" s="2">
        <f>'Moving Avg'!H251</f>
        <v>5.6394900000000021</v>
      </c>
      <c r="J251" s="5" t="str">
        <f>OBV!F251</f>
        <v>BEARISH</v>
      </c>
      <c r="K251" s="5" t="str">
        <f>OBV!G251</f>
        <v>STRONG</v>
      </c>
      <c r="L251" s="5" t="str">
        <f>OBV!H251</f>
        <v>CONFIRMED BEARISH</v>
      </c>
      <c r="M251" s="7">
        <f t="shared" si="33"/>
        <v>100</v>
      </c>
      <c r="N251" s="7">
        <f t="shared" si="30"/>
        <v>0</v>
      </c>
      <c r="O251" s="7">
        <f t="shared" si="31"/>
        <v>0</v>
      </c>
      <c r="P251" s="7">
        <f t="shared" si="32"/>
        <v>33</v>
      </c>
      <c r="Q251" s="8">
        <f t="shared" si="34"/>
        <v>39.950000000000003</v>
      </c>
      <c r="R251" s="8">
        <f t="shared" si="35"/>
        <v>28.25</v>
      </c>
      <c r="S251" s="8">
        <f t="shared" si="36"/>
        <v>29.85</v>
      </c>
      <c r="T251" s="8">
        <f t="shared" si="37"/>
        <v>33.25</v>
      </c>
      <c r="U251" s="7">
        <f t="shared" si="38"/>
        <v>32.683333333333337</v>
      </c>
      <c r="V251" s="7">
        <f t="shared" si="39"/>
        <v>32.825000000000003</v>
      </c>
    </row>
    <row r="252" spans="1:22" ht="13.5" x14ac:dyDescent="0.25">
      <c r="A252" s="3">
        <f>RSI!A252</f>
        <v>45282</v>
      </c>
      <c r="B252" s="2">
        <f>RSI!B252</f>
        <v>5.3929999999999998</v>
      </c>
      <c r="C252" s="2">
        <f>RSI!I252</f>
        <v>22.434637112845024</v>
      </c>
      <c r="D252" s="2">
        <f>MACD!E252</f>
        <v>5.5076357655488906E-2</v>
      </c>
      <c r="E252" s="2">
        <f>MACD!F252</f>
        <v>4.0367042915021939E-2</v>
      </c>
      <c r="F252" s="2">
        <f>'Moving Avg'!D252</f>
        <v>5.4038000000000004</v>
      </c>
      <c r="G252" s="2">
        <f>'Moving Avg'!F252</f>
        <v>5.4800999999999993</v>
      </c>
      <c r="H252" s="2">
        <f>'Moving Avg'!G252</f>
        <v>5.5680599999999982</v>
      </c>
      <c r="I252" s="2">
        <f>'Moving Avg'!H252</f>
        <v>5.6409750000000018</v>
      </c>
      <c r="J252" s="5" t="str">
        <f>OBV!F252</f>
        <v>BEARISH</v>
      </c>
      <c r="K252" s="5" t="str">
        <f>OBV!G252</f>
        <v>STRONG</v>
      </c>
      <c r="L252" s="5" t="str">
        <f>OBV!H252</f>
        <v>CONFIRMED BEARISH</v>
      </c>
      <c r="M252" s="7">
        <f t="shared" si="33"/>
        <v>100</v>
      </c>
      <c r="N252" s="7">
        <f t="shared" si="30"/>
        <v>0</v>
      </c>
      <c r="O252" s="7">
        <f t="shared" si="31"/>
        <v>0</v>
      </c>
      <c r="P252" s="7">
        <f t="shared" si="32"/>
        <v>33</v>
      </c>
      <c r="Q252" s="8">
        <f t="shared" si="34"/>
        <v>39.950000000000003</v>
      </c>
      <c r="R252" s="8">
        <f t="shared" si="35"/>
        <v>28.25</v>
      </c>
      <c r="S252" s="8">
        <f t="shared" si="36"/>
        <v>29.85</v>
      </c>
      <c r="T252" s="8">
        <f t="shared" si="37"/>
        <v>33.25</v>
      </c>
      <c r="U252" s="7">
        <f t="shared" si="38"/>
        <v>32.683333333333337</v>
      </c>
      <c r="V252" s="7">
        <f t="shared" si="39"/>
        <v>32.825000000000003</v>
      </c>
    </row>
    <row r="253" spans="1:22" ht="13.5" x14ac:dyDescent="0.25">
      <c r="A253" s="3">
        <f>RSI!A253</f>
        <v>45285</v>
      </c>
      <c r="B253" s="2">
        <f>RSI!B253</f>
        <v>5.3929999999999998</v>
      </c>
      <c r="C253" s="2">
        <f>RSI!I253</f>
        <v>22.434637112845024</v>
      </c>
      <c r="D253" s="2">
        <f>MACD!E253</f>
        <v>5.546511124500686E-2</v>
      </c>
      <c r="E253" s="2">
        <f>MACD!F253</f>
        <v>4.3386656581018923E-2</v>
      </c>
      <c r="F253" s="2">
        <f>'Moving Avg'!D253</f>
        <v>5.4001999999999999</v>
      </c>
      <c r="G253" s="2">
        <f>'Moving Avg'!F253</f>
        <v>5.4716499999999995</v>
      </c>
      <c r="H253" s="2">
        <f>'Moving Avg'!G253</f>
        <v>5.5620199999999977</v>
      </c>
      <c r="I253" s="2">
        <f>'Moving Avg'!H253</f>
        <v>5.6425000000000018</v>
      </c>
      <c r="J253" s="5" t="str">
        <f>OBV!F253</f>
        <v>BEARISH</v>
      </c>
      <c r="K253" s="5" t="str">
        <f>OBV!G253</f>
        <v>STRONG</v>
      </c>
      <c r="L253" s="5" t="str">
        <f>OBV!H253</f>
        <v>CONFIRMED BEARISH</v>
      </c>
      <c r="M253" s="7">
        <f t="shared" si="33"/>
        <v>100</v>
      </c>
      <c r="N253" s="7">
        <f t="shared" si="30"/>
        <v>0</v>
      </c>
      <c r="O253" s="7">
        <f t="shared" si="31"/>
        <v>0</v>
      </c>
      <c r="P253" s="7">
        <f t="shared" si="32"/>
        <v>33</v>
      </c>
      <c r="Q253" s="8">
        <f t="shared" si="34"/>
        <v>39.950000000000003</v>
      </c>
      <c r="R253" s="8">
        <f t="shared" si="35"/>
        <v>28.25</v>
      </c>
      <c r="S253" s="8">
        <f t="shared" si="36"/>
        <v>29.85</v>
      </c>
      <c r="T253" s="8">
        <f t="shared" si="37"/>
        <v>33.25</v>
      </c>
      <c r="U253" s="7">
        <f t="shared" si="38"/>
        <v>32.683333333333337</v>
      </c>
      <c r="V253" s="7">
        <f t="shared" si="39"/>
        <v>32.825000000000003</v>
      </c>
    </row>
    <row r="254" spans="1:22" ht="13.5" x14ac:dyDescent="0.25">
      <c r="A254" s="3">
        <f>RSI!A254</f>
        <v>45286</v>
      </c>
      <c r="B254" s="2">
        <f>RSI!B254</f>
        <v>5.3929999999999998</v>
      </c>
      <c r="C254" s="2">
        <f>RSI!I254</f>
        <v>22.434637112845024</v>
      </c>
      <c r="D254" s="2">
        <f>MACD!E254</f>
        <v>4.2664674755370058E-2</v>
      </c>
      <c r="E254" s="2">
        <f>MACD!F254</f>
        <v>4.3242260215889151E-2</v>
      </c>
      <c r="F254" s="2">
        <f>'Moving Avg'!D254</f>
        <v>5.3948</v>
      </c>
      <c r="G254" s="2">
        <f>'Moving Avg'!F254</f>
        <v>5.4636499999999995</v>
      </c>
      <c r="H254" s="2">
        <f>'Moving Avg'!G254</f>
        <v>5.5559799999999973</v>
      </c>
      <c r="I254" s="2">
        <f>'Moving Avg'!H254</f>
        <v>5.6429200000000028</v>
      </c>
      <c r="J254" s="5" t="str">
        <f>OBV!F254</f>
        <v>BEARISH</v>
      </c>
      <c r="K254" s="5" t="str">
        <f>OBV!G254</f>
        <v>STRONG</v>
      </c>
      <c r="L254" s="5" t="str">
        <f>OBV!H254</f>
        <v>CONFIRMED BEARISH</v>
      </c>
      <c r="M254" s="7">
        <f t="shared" si="33"/>
        <v>100</v>
      </c>
      <c r="N254" s="7">
        <f t="shared" si="30"/>
        <v>45</v>
      </c>
      <c r="O254" s="7">
        <f t="shared" si="31"/>
        <v>0</v>
      </c>
      <c r="P254" s="7">
        <f t="shared" si="32"/>
        <v>33</v>
      </c>
      <c r="Q254" s="8">
        <f t="shared" si="34"/>
        <v>55.7</v>
      </c>
      <c r="R254" s="8">
        <f t="shared" si="35"/>
        <v>37.25</v>
      </c>
      <c r="S254" s="8">
        <f t="shared" si="36"/>
        <v>36.6</v>
      </c>
      <c r="T254" s="8">
        <f t="shared" si="37"/>
        <v>44.5</v>
      </c>
      <c r="U254" s="7">
        <f t="shared" si="38"/>
        <v>43.183333333333337</v>
      </c>
      <c r="V254" s="7">
        <f t="shared" si="39"/>
        <v>43.512500000000003</v>
      </c>
    </row>
    <row r="255" spans="1:22" ht="13.5" x14ac:dyDescent="0.25">
      <c r="A255" s="3">
        <f>RSI!A255</f>
        <v>45287</v>
      </c>
      <c r="B255" s="2">
        <f>RSI!B255</f>
        <v>5.3220000000000001</v>
      </c>
      <c r="C255" s="2">
        <f>RSI!I255</f>
        <v>15.350020326157662</v>
      </c>
      <c r="D255" s="2">
        <f>MACD!E255</f>
        <v>3.6229407707872419E-2</v>
      </c>
      <c r="E255" s="2">
        <f>MACD!F255</f>
        <v>4.1839689714285803E-2</v>
      </c>
      <c r="F255" s="2">
        <f>'Moving Avg'!D255</f>
        <v>5.3788</v>
      </c>
      <c r="G255" s="2">
        <f>'Moving Avg'!F255</f>
        <v>5.4516500000000008</v>
      </c>
      <c r="H255" s="2">
        <f>'Moving Avg'!G255</f>
        <v>5.5488799999999978</v>
      </c>
      <c r="I255" s="2">
        <f>'Moving Avg'!H255</f>
        <v>5.6428600000000015</v>
      </c>
      <c r="J255" s="5" t="str">
        <f>OBV!F255</f>
        <v>BEARISH</v>
      </c>
      <c r="K255" s="5" t="str">
        <f>OBV!G255</f>
        <v>STRONG</v>
      </c>
      <c r="L255" s="5" t="str">
        <f>OBV!H255</f>
        <v>CONFIRMED BEARISH</v>
      </c>
      <c r="M255" s="7">
        <f t="shared" si="33"/>
        <v>100</v>
      </c>
      <c r="N255" s="7">
        <f t="shared" si="30"/>
        <v>45</v>
      </c>
      <c r="O255" s="7">
        <f t="shared" si="31"/>
        <v>0</v>
      </c>
      <c r="P255" s="7">
        <f t="shared" si="32"/>
        <v>33</v>
      </c>
      <c r="Q255" s="8">
        <f t="shared" si="34"/>
        <v>55.7</v>
      </c>
      <c r="R255" s="8">
        <f t="shared" si="35"/>
        <v>37.25</v>
      </c>
      <c r="S255" s="8">
        <f t="shared" si="36"/>
        <v>36.6</v>
      </c>
      <c r="T255" s="8">
        <f t="shared" si="37"/>
        <v>44.5</v>
      </c>
      <c r="U255" s="7">
        <f t="shared" si="38"/>
        <v>43.183333333333337</v>
      </c>
      <c r="V255" s="7">
        <f t="shared" si="39"/>
        <v>43.512500000000003</v>
      </c>
    </row>
    <row r="256" spans="1:22" ht="13.5" x14ac:dyDescent="0.25">
      <c r="A256" s="3">
        <f>RSI!A256</f>
        <v>45288</v>
      </c>
      <c r="B256" s="2">
        <f>RSI!B256</f>
        <v>5.3579999999999997</v>
      </c>
      <c r="C256" s="2">
        <f>RSI!I256</f>
        <v>27.799870541816333</v>
      </c>
      <c r="D256" s="2">
        <f>MACD!E256</f>
        <v>3.578890608709262E-2</v>
      </c>
      <c r="E256" s="2">
        <f>MACD!F256</f>
        <v>4.0629532988847167E-2</v>
      </c>
      <c r="F256" s="2">
        <f>'Moving Avg'!D256</f>
        <v>5.3717999999999995</v>
      </c>
      <c r="G256" s="2">
        <f>'Moving Avg'!F256</f>
        <v>5.4423500000000002</v>
      </c>
      <c r="H256" s="2">
        <f>'Moving Avg'!G256</f>
        <v>5.5424999999999986</v>
      </c>
      <c r="I256" s="2">
        <f>'Moving Avg'!H256</f>
        <v>5.6430200000000017</v>
      </c>
      <c r="J256" s="5" t="str">
        <f>OBV!F256</f>
        <v>BULLISH</v>
      </c>
      <c r="K256" s="5" t="str">
        <f>OBV!G256</f>
        <v>NEUTRAL</v>
      </c>
      <c r="L256" s="5" t="str">
        <f>OBV!H256</f>
        <v>BULLISH DIVERGENCE</v>
      </c>
      <c r="M256" s="7">
        <f t="shared" si="33"/>
        <v>100</v>
      </c>
      <c r="N256" s="7">
        <f t="shared" si="30"/>
        <v>45</v>
      </c>
      <c r="O256" s="7">
        <f t="shared" si="31"/>
        <v>0</v>
      </c>
      <c r="P256" s="7">
        <f t="shared" si="32"/>
        <v>66.5</v>
      </c>
      <c r="Q256" s="8">
        <f t="shared" si="34"/>
        <v>60.725000000000001</v>
      </c>
      <c r="R256" s="8">
        <f t="shared" si="35"/>
        <v>45.625</v>
      </c>
      <c r="S256" s="8">
        <f t="shared" si="36"/>
        <v>51.674999999999997</v>
      </c>
      <c r="T256" s="8">
        <f t="shared" si="37"/>
        <v>52.875</v>
      </c>
      <c r="U256" s="7">
        <f t="shared" si="38"/>
        <v>52.67499999999999</v>
      </c>
      <c r="V256" s="7">
        <f t="shared" si="39"/>
        <v>52.724999999999994</v>
      </c>
    </row>
    <row r="257" spans="1:22" ht="13.5" x14ac:dyDescent="0.25">
      <c r="A257" s="3">
        <f>RSI!A257</f>
        <v>45289</v>
      </c>
      <c r="B257" s="2">
        <f>RSI!B257</f>
        <v>5.3579999999999997</v>
      </c>
      <c r="C257" s="2">
        <f>RSI!I257</f>
        <v>27.799870541816333</v>
      </c>
      <c r="D257" s="2">
        <f>MACD!E257</f>
        <v>3.3423397340475169E-2</v>
      </c>
      <c r="E257" s="2">
        <f>MACD!F257</f>
        <v>3.9188305859172767E-2</v>
      </c>
      <c r="F257" s="2">
        <f>'Moving Avg'!D257</f>
        <v>5.3648000000000007</v>
      </c>
      <c r="G257" s="2">
        <f>'Moving Avg'!F257</f>
        <v>5.4335000000000004</v>
      </c>
      <c r="H257" s="2">
        <f>'Moving Avg'!G257</f>
        <v>5.5357599999999998</v>
      </c>
      <c r="I257" s="2">
        <f>'Moving Avg'!H257</f>
        <v>5.6428850000000015</v>
      </c>
      <c r="J257" s="5" t="str">
        <f>OBV!F257</f>
        <v>BULLISH</v>
      </c>
      <c r="K257" s="5" t="str">
        <f>OBV!G257</f>
        <v>NEUTRAL</v>
      </c>
      <c r="L257" s="5" t="str">
        <f>OBV!H257</f>
        <v>BULLISH DIVERGENCE</v>
      </c>
      <c r="M257" s="7">
        <f t="shared" si="33"/>
        <v>100</v>
      </c>
      <c r="N257" s="7">
        <f t="shared" si="30"/>
        <v>45</v>
      </c>
      <c r="O257" s="7">
        <f t="shared" si="31"/>
        <v>0</v>
      </c>
      <c r="P257" s="7">
        <f t="shared" si="32"/>
        <v>66.5</v>
      </c>
      <c r="Q257" s="8">
        <f t="shared" si="34"/>
        <v>60.725000000000001</v>
      </c>
      <c r="R257" s="8">
        <f t="shared" si="35"/>
        <v>45.625</v>
      </c>
      <c r="S257" s="8">
        <f t="shared" si="36"/>
        <v>51.674999999999997</v>
      </c>
      <c r="T257" s="8">
        <f t="shared" si="37"/>
        <v>52.875</v>
      </c>
      <c r="U257" s="7">
        <f t="shared" si="38"/>
        <v>52.67499999999999</v>
      </c>
      <c r="V257" s="7">
        <f t="shared" si="39"/>
        <v>52.724999999999994</v>
      </c>
    </row>
    <row r="258" spans="1:22" ht="13.5" x14ac:dyDescent="0.25">
      <c r="A258" s="3">
        <f>RSI!A258</f>
        <v>45293</v>
      </c>
      <c r="B258" s="2">
        <f>RSI!B258</f>
        <v>5.1449999999999996</v>
      </c>
      <c r="C258" s="2">
        <f>RSI!I258</f>
        <v>13.836184394063693</v>
      </c>
      <c r="D258" s="2">
        <f>MACD!E258</f>
        <v>4.5006848922579223E-2</v>
      </c>
      <c r="E258" s="2">
        <f>MACD!F258</f>
        <v>4.0352014471854061E-2</v>
      </c>
      <c r="F258" s="2">
        <f>'Moving Avg'!D258</f>
        <v>5.3151999999999999</v>
      </c>
      <c r="G258" s="2">
        <f>'Moving Avg'!F258</f>
        <v>5.4140000000000006</v>
      </c>
      <c r="H258" s="2">
        <f>'Moving Avg'!G258</f>
        <v>5.5251199999999994</v>
      </c>
      <c r="I258" s="2">
        <f>'Moving Avg'!H258</f>
        <v>5.6414300000000006</v>
      </c>
      <c r="J258" s="5" t="str">
        <f>OBV!F258</f>
        <v>BEARISH</v>
      </c>
      <c r="K258" s="5" t="str">
        <f>OBV!G258</f>
        <v>STRONG</v>
      </c>
      <c r="L258" s="5" t="str">
        <f>OBV!H258</f>
        <v>CONFIRMED BEARISH</v>
      </c>
      <c r="M258" s="7">
        <f t="shared" si="33"/>
        <v>100</v>
      </c>
      <c r="N258" s="7">
        <f t="shared" ref="N258:N321" si="40">IF(E258-D258&gt;0.02, 100, IF(E258-D258&lt;0,0,45))</f>
        <v>0</v>
      </c>
      <c r="O258" s="7">
        <f t="shared" ref="O258:O321" si="41">IF(F258-I258&gt;10,100,IF(F258-I258&gt;5,75, IF(F258-I258&gt;0,50,0)))</f>
        <v>0</v>
      </c>
      <c r="P258" s="7">
        <f t="shared" ref="P258:P321" si="42">IF(L258="confirmed bullish", 34, IF(L258="bullish divergence",17, 0))+IF(J258="bullish",33,IF(J258="bearish",0,16.5))+IF(K258="strong",33,IF(K258="weak",0,16.5))</f>
        <v>33</v>
      </c>
      <c r="Q258" s="8">
        <f t="shared" si="34"/>
        <v>39.950000000000003</v>
      </c>
      <c r="R258" s="8">
        <f t="shared" si="35"/>
        <v>28.25</v>
      </c>
      <c r="S258" s="8">
        <f t="shared" si="36"/>
        <v>29.85</v>
      </c>
      <c r="T258" s="8">
        <f t="shared" si="37"/>
        <v>33.25</v>
      </c>
      <c r="U258" s="7">
        <f t="shared" si="38"/>
        <v>32.683333333333337</v>
      </c>
      <c r="V258" s="7">
        <f t="shared" si="39"/>
        <v>32.825000000000003</v>
      </c>
    </row>
    <row r="259" spans="1:22" ht="13.5" x14ac:dyDescent="0.25">
      <c r="A259" s="3">
        <f>RSI!A259</f>
        <v>45294</v>
      </c>
      <c r="B259" s="2">
        <f>RSI!B259</f>
        <v>5.0919999999999996</v>
      </c>
      <c r="C259" s="2">
        <f>RSI!I259</f>
        <v>12.194791215589063</v>
      </c>
      <c r="D259" s="2">
        <f>MACD!E259</f>
        <v>6.1911184504881867E-2</v>
      </c>
      <c r="E259" s="2">
        <f>MACD!F259</f>
        <v>4.4663848478459625E-2</v>
      </c>
      <c r="F259" s="2">
        <f>'Moving Avg'!D259</f>
        <v>5.2549999999999999</v>
      </c>
      <c r="G259" s="2">
        <f>'Moving Avg'!F259</f>
        <v>5.3923000000000005</v>
      </c>
      <c r="H259" s="2">
        <f>'Moving Avg'!G259</f>
        <v>5.5134199999999991</v>
      </c>
      <c r="I259" s="2">
        <f>'Moving Avg'!H259</f>
        <v>5.6397100000000009</v>
      </c>
      <c r="J259" s="5" t="str">
        <f>OBV!F259</f>
        <v>BEARISH</v>
      </c>
      <c r="K259" s="5" t="str">
        <f>OBV!G259</f>
        <v>STRONG</v>
      </c>
      <c r="L259" s="5" t="str">
        <f>OBV!H259</f>
        <v>CONFIRMED BEARISH</v>
      </c>
      <c r="M259" s="7">
        <f t="shared" ref="M259:M322" si="43">IF(C259&lt;30,100, IF(C259&gt;70, 0, 50))</f>
        <v>100</v>
      </c>
      <c r="N259" s="7">
        <f t="shared" si="40"/>
        <v>0</v>
      </c>
      <c r="O259" s="7">
        <f t="shared" si="41"/>
        <v>0</v>
      </c>
      <c r="P259" s="7">
        <f t="shared" si="42"/>
        <v>33</v>
      </c>
      <c r="Q259" s="8">
        <f t="shared" ref="Q259:Q322" si="44">0.35*M259+N259*0.35+O259*0.15+P259*0.15</f>
        <v>39.950000000000003</v>
      </c>
      <c r="R259" s="8">
        <f t="shared" ref="R259:R322" si="45">M259*0.2+N259*0.2+O259*0.35+P259*0.25</f>
        <v>28.25</v>
      </c>
      <c r="S259" s="8">
        <f t="shared" ref="S259:S322" si="46">M259*0.15+N259*0.15+O259*0.25+P259*0.45</f>
        <v>29.85</v>
      </c>
      <c r="T259" s="8">
        <f t="shared" ref="T259:T322" si="47">0.25*SUM(M259:P259)</f>
        <v>33.25</v>
      </c>
      <c r="U259" s="7">
        <f t="shared" ref="U259:U322" si="48">SUM(Q259:S259)/3</f>
        <v>32.683333333333337</v>
      </c>
      <c r="V259" s="7">
        <f t="shared" ref="V259:V322" si="49">SUM(Q259:T259)/4</f>
        <v>32.825000000000003</v>
      </c>
    </row>
    <row r="260" spans="1:22" ht="13.5" x14ac:dyDescent="0.25">
      <c r="A260" s="3">
        <f>RSI!A260</f>
        <v>45295</v>
      </c>
      <c r="B260" s="2">
        <f>RSI!B260</f>
        <v>5.056</v>
      </c>
      <c r="C260" s="2">
        <f>RSI!I260</f>
        <v>11.221055070484155</v>
      </c>
      <c r="D260" s="2">
        <f>MACD!E260</f>
        <v>7.8085109140532794E-2</v>
      </c>
      <c r="E260" s="2">
        <f>MACD!F260</f>
        <v>5.1348100610874262E-2</v>
      </c>
      <c r="F260" s="2">
        <f>'Moving Avg'!D260</f>
        <v>5.2018000000000004</v>
      </c>
      <c r="G260" s="2">
        <f>'Moving Avg'!F260</f>
        <v>5.3688000000000002</v>
      </c>
      <c r="H260" s="2">
        <f>'Moving Avg'!G260</f>
        <v>5.5009999999999977</v>
      </c>
      <c r="I260" s="2">
        <f>'Moving Avg'!H260</f>
        <v>5.63802</v>
      </c>
      <c r="J260" s="5" t="str">
        <f>OBV!F260</f>
        <v>BEARISH</v>
      </c>
      <c r="K260" s="5" t="str">
        <f>OBV!G260</f>
        <v>STRONG</v>
      </c>
      <c r="L260" s="5" t="str">
        <f>OBV!H260</f>
        <v>CONFIRMED BEARISH</v>
      </c>
      <c r="M260" s="7">
        <f t="shared" si="43"/>
        <v>100</v>
      </c>
      <c r="N260" s="7">
        <f t="shared" si="40"/>
        <v>0</v>
      </c>
      <c r="O260" s="7">
        <f t="shared" si="41"/>
        <v>0</v>
      </c>
      <c r="P260" s="7">
        <f t="shared" si="42"/>
        <v>33</v>
      </c>
      <c r="Q260" s="8">
        <f t="shared" si="44"/>
        <v>39.950000000000003</v>
      </c>
      <c r="R260" s="8">
        <f t="shared" si="45"/>
        <v>28.25</v>
      </c>
      <c r="S260" s="8">
        <f t="shared" si="46"/>
        <v>29.85</v>
      </c>
      <c r="T260" s="8">
        <f t="shared" si="47"/>
        <v>33.25</v>
      </c>
      <c r="U260" s="7">
        <f t="shared" si="48"/>
        <v>32.683333333333337</v>
      </c>
      <c r="V260" s="7">
        <f t="shared" si="49"/>
        <v>32.825000000000003</v>
      </c>
    </row>
    <row r="261" spans="1:22" ht="13.5" x14ac:dyDescent="0.25">
      <c r="A261" s="3">
        <f>RSI!A261</f>
        <v>45296</v>
      </c>
      <c r="B261" s="2">
        <f>RSI!B261</f>
        <v>5.056</v>
      </c>
      <c r="C261" s="2">
        <f>RSI!I261</f>
        <v>11.221055070484155</v>
      </c>
      <c r="D261" s="2">
        <f>MACD!E261</f>
        <v>9.2425533181108577E-2</v>
      </c>
      <c r="E261" s="2">
        <f>MACD!F261</f>
        <v>5.956358712492113E-2</v>
      </c>
      <c r="F261" s="2">
        <f>'Moving Avg'!D261</f>
        <v>5.1414</v>
      </c>
      <c r="G261" s="2">
        <f>'Moving Avg'!F261</f>
        <v>5.3452999999999999</v>
      </c>
      <c r="H261" s="2">
        <f>'Moving Avg'!G261</f>
        <v>5.488579999999998</v>
      </c>
      <c r="I261" s="2">
        <f>'Moving Avg'!H261</f>
        <v>5.6363300000000001</v>
      </c>
      <c r="J261" s="5" t="str">
        <f>OBV!F261</f>
        <v>BEARISH</v>
      </c>
      <c r="K261" s="5" t="str">
        <f>OBV!G261</f>
        <v>STRONG</v>
      </c>
      <c r="L261" s="5" t="str">
        <f>OBV!H261</f>
        <v>CONFIRMED BEARISH</v>
      </c>
      <c r="M261" s="7">
        <f t="shared" si="43"/>
        <v>100</v>
      </c>
      <c r="N261" s="7">
        <f t="shared" si="40"/>
        <v>0</v>
      </c>
      <c r="O261" s="7">
        <f t="shared" si="41"/>
        <v>0</v>
      </c>
      <c r="P261" s="7">
        <f t="shared" si="42"/>
        <v>33</v>
      </c>
      <c r="Q261" s="8">
        <f t="shared" si="44"/>
        <v>39.950000000000003</v>
      </c>
      <c r="R261" s="8">
        <f t="shared" si="45"/>
        <v>28.25</v>
      </c>
      <c r="S261" s="8">
        <f t="shared" si="46"/>
        <v>29.85</v>
      </c>
      <c r="T261" s="8">
        <f t="shared" si="47"/>
        <v>33.25</v>
      </c>
      <c r="U261" s="7">
        <f t="shared" si="48"/>
        <v>32.683333333333337</v>
      </c>
      <c r="V261" s="7">
        <f t="shared" si="49"/>
        <v>32.825000000000003</v>
      </c>
    </row>
    <row r="262" spans="1:22" ht="13.5" x14ac:dyDescent="0.25">
      <c r="A262" s="3">
        <f>RSI!A262</f>
        <v>45299</v>
      </c>
      <c r="B262" s="2">
        <f>RSI!B262</f>
        <v>5.0469999999999997</v>
      </c>
      <c r="C262" s="2">
        <f>RSI!I262</f>
        <v>10.967150738764943</v>
      </c>
      <c r="D262" s="2">
        <f>MACD!E262</f>
        <v>0.10711474821938172</v>
      </c>
      <c r="E262" s="2">
        <f>MACD!F262</f>
        <v>6.907381934381325E-2</v>
      </c>
      <c r="F262" s="2">
        <f>'Moving Avg'!D262</f>
        <v>5.0792000000000002</v>
      </c>
      <c r="G262" s="2">
        <f>'Moving Avg'!F262</f>
        <v>5.3213500000000007</v>
      </c>
      <c r="H262" s="2">
        <f>'Moving Avg'!G262</f>
        <v>5.4759799999999998</v>
      </c>
      <c r="I262" s="2">
        <f>'Moving Avg'!H262</f>
        <v>5.634640000000001</v>
      </c>
      <c r="J262" s="5" t="str">
        <f>OBV!F262</f>
        <v>BEARISH</v>
      </c>
      <c r="K262" s="5" t="str">
        <f>OBV!G262</f>
        <v>STRONG</v>
      </c>
      <c r="L262" s="5" t="str">
        <f>OBV!H262</f>
        <v>CONFIRMED BEARISH</v>
      </c>
      <c r="M262" s="7">
        <f t="shared" si="43"/>
        <v>100</v>
      </c>
      <c r="N262" s="7">
        <f t="shared" si="40"/>
        <v>0</v>
      </c>
      <c r="O262" s="7">
        <f t="shared" si="41"/>
        <v>0</v>
      </c>
      <c r="P262" s="7">
        <f t="shared" si="42"/>
        <v>33</v>
      </c>
      <c r="Q262" s="8">
        <f t="shared" si="44"/>
        <v>39.950000000000003</v>
      </c>
      <c r="R262" s="8">
        <f t="shared" si="45"/>
        <v>28.25</v>
      </c>
      <c r="S262" s="8">
        <f t="shared" si="46"/>
        <v>29.85</v>
      </c>
      <c r="T262" s="8">
        <f t="shared" si="47"/>
        <v>33.25</v>
      </c>
      <c r="U262" s="7">
        <f t="shared" si="48"/>
        <v>32.683333333333337</v>
      </c>
      <c r="V262" s="7">
        <f t="shared" si="49"/>
        <v>32.825000000000003</v>
      </c>
    </row>
    <row r="263" spans="1:22" ht="13.5" x14ac:dyDescent="0.25">
      <c r="A263" s="3">
        <f>RSI!A263</f>
        <v>45300</v>
      </c>
      <c r="B263" s="2">
        <f>RSI!B263</f>
        <v>4.8789999999999996</v>
      </c>
      <c r="C263" s="2">
        <f>RSI!I263</f>
        <v>7.5382310316760197</v>
      </c>
      <c r="D263" s="2">
        <f>MACD!E263</f>
        <v>0.13379017597621257</v>
      </c>
      <c r="E263" s="2">
        <f>MACD!F263</f>
        <v>8.2017090670293114E-2</v>
      </c>
      <c r="F263" s="2">
        <f>'Moving Avg'!D263</f>
        <v>5.0260000000000007</v>
      </c>
      <c r="G263" s="2">
        <f>'Moving Avg'!F263</f>
        <v>5.2903000000000002</v>
      </c>
      <c r="H263" s="2">
        <f>'Moving Avg'!G263</f>
        <v>5.460020000000001</v>
      </c>
      <c r="I263" s="2">
        <f>'Moving Avg'!H263</f>
        <v>5.6321099999999991</v>
      </c>
      <c r="J263" s="5" t="str">
        <f>OBV!F263</f>
        <v>BEARISH</v>
      </c>
      <c r="K263" s="5" t="str">
        <f>OBV!G263</f>
        <v>STRONG</v>
      </c>
      <c r="L263" s="5" t="str">
        <f>OBV!H263</f>
        <v>CONFIRMED BEARISH</v>
      </c>
      <c r="M263" s="7">
        <f t="shared" si="43"/>
        <v>100</v>
      </c>
      <c r="N263" s="7">
        <f t="shared" si="40"/>
        <v>0</v>
      </c>
      <c r="O263" s="7">
        <f t="shared" si="41"/>
        <v>0</v>
      </c>
      <c r="P263" s="7">
        <f t="shared" si="42"/>
        <v>33</v>
      </c>
      <c r="Q263" s="8">
        <f t="shared" si="44"/>
        <v>39.950000000000003</v>
      </c>
      <c r="R263" s="8">
        <f t="shared" si="45"/>
        <v>28.25</v>
      </c>
      <c r="S263" s="8">
        <f t="shared" si="46"/>
        <v>29.85</v>
      </c>
      <c r="T263" s="8">
        <f t="shared" si="47"/>
        <v>33.25</v>
      </c>
      <c r="U263" s="7">
        <f t="shared" si="48"/>
        <v>32.683333333333337</v>
      </c>
      <c r="V263" s="7">
        <f t="shared" si="49"/>
        <v>32.825000000000003</v>
      </c>
    </row>
    <row r="264" spans="1:22" ht="13.5" x14ac:dyDescent="0.25">
      <c r="A264" s="3">
        <f>RSI!A264</f>
        <v>45301</v>
      </c>
      <c r="B264" s="2">
        <f>RSI!B264</f>
        <v>4.9669999999999996</v>
      </c>
      <c r="C264" s="2">
        <f>RSI!I264</f>
        <v>21.400690991722882</v>
      </c>
      <c r="D264" s="2">
        <f>MACD!E264</f>
        <v>0.15250408460647957</v>
      </c>
      <c r="E264" s="2">
        <f>MACD!F264</f>
        <v>9.6114489457530414E-2</v>
      </c>
      <c r="F264" s="2">
        <f>'Moving Avg'!D264</f>
        <v>5.0009999999999994</v>
      </c>
      <c r="G264" s="2">
        <f>'Moving Avg'!F264</f>
        <v>5.2681000000000004</v>
      </c>
      <c r="H264" s="2">
        <f>'Moving Avg'!G264</f>
        <v>5.4458200000000012</v>
      </c>
      <c r="I264" s="2">
        <f>'Moving Avg'!H264</f>
        <v>5.6301899999999989</v>
      </c>
      <c r="J264" s="5" t="str">
        <f>OBV!F264</f>
        <v>BEARISH</v>
      </c>
      <c r="K264" s="5" t="str">
        <f>OBV!G264</f>
        <v>STRONG</v>
      </c>
      <c r="L264" s="5" t="str">
        <f>OBV!H264</f>
        <v>CONFIRMED BEARISH</v>
      </c>
      <c r="M264" s="7">
        <f t="shared" si="43"/>
        <v>100</v>
      </c>
      <c r="N264" s="7">
        <f t="shared" si="40"/>
        <v>0</v>
      </c>
      <c r="O264" s="7">
        <f t="shared" si="41"/>
        <v>0</v>
      </c>
      <c r="P264" s="7">
        <f t="shared" si="42"/>
        <v>33</v>
      </c>
      <c r="Q264" s="8">
        <f t="shared" si="44"/>
        <v>39.950000000000003</v>
      </c>
      <c r="R264" s="8">
        <f t="shared" si="45"/>
        <v>28.25</v>
      </c>
      <c r="S264" s="8">
        <f t="shared" si="46"/>
        <v>29.85</v>
      </c>
      <c r="T264" s="8">
        <f t="shared" si="47"/>
        <v>33.25</v>
      </c>
      <c r="U264" s="7">
        <f t="shared" si="48"/>
        <v>32.683333333333337</v>
      </c>
      <c r="V264" s="7">
        <f t="shared" si="49"/>
        <v>32.825000000000003</v>
      </c>
    </row>
    <row r="265" spans="1:22" ht="13.5" x14ac:dyDescent="0.25">
      <c r="A265" s="3">
        <f>RSI!A265</f>
        <v>45302</v>
      </c>
      <c r="B265" s="2">
        <f>RSI!B265</f>
        <v>5.0469999999999997</v>
      </c>
      <c r="C265" s="2">
        <f>RSI!I265</f>
        <v>31.460930271887463</v>
      </c>
      <c r="D265" s="2">
        <f>MACD!E265</f>
        <v>0.15343373855205655</v>
      </c>
      <c r="E265" s="2">
        <f>MACD!F265</f>
        <v>0.10757833927643565</v>
      </c>
      <c r="F265" s="2">
        <f>'Moving Avg'!D265</f>
        <v>4.9992000000000001</v>
      </c>
      <c r="G265" s="2">
        <f>'Moving Avg'!F265</f>
        <v>5.2503499999999992</v>
      </c>
      <c r="H265" s="2">
        <f>'Moving Avg'!G265</f>
        <v>5.4342800000000011</v>
      </c>
      <c r="I265" s="2">
        <f>'Moving Avg'!H265</f>
        <v>5.6287950000000002</v>
      </c>
      <c r="J265" s="5" t="str">
        <f>OBV!F265</f>
        <v>BULLISH</v>
      </c>
      <c r="K265" s="5" t="str">
        <f>OBV!G265</f>
        <v>NEUTRAL</v>
      </c>
      <c r="L265" s="5" t="str">
        <f>OBV!H265</f>
        <v>BULLISH DIVERGENCE</v>
      </c>
      <c r="M265" s="7">
        <f t="shared" si="43"/>
        <v>50</v>
      </c>
      <c r="N265" s="7">
        <f t="shared" si="40"/>
        <v>0</v>
      </c>
      <c r="O265" s="7">
        <f t="shared" si="41"/>
        <v>0</v>
      </c>
      <c r="P265" s="7">
        <f t="shared" si="42"/>
        <v>66.5</v>
      </c>
      <c r="Q265" s="8">
        <f t="shared" si="44"/>
        <v>27.475000000000001</v>
      </c>
      <c r="R265" s="8">
        <f t="shared" si="45"/>
        <v>26.625</v>
      </c>
      <c r="S265" s="8">
        <f t="shared" si="46"/>
        <v>37.424999999999997</v>
      </c>
      <c r="T265" s="8">
        <f t="shared" si="47"/>
        <v>29.125</v>
      </c>
      <c r="U265" s="7">
        <f t="shared" si="48"/>
        <v>30.508333333333336</v>
      </c>
      <c r="V265" s="7">
        <f t="shared" si="49"/>
        <v>30.162500000000001</v>
      </c>
    </row>
    <row r="266" spans="1:22" ht="13.5" x14ac:dyDescent="0.25">
      <c r="A266" s="3">
        <f>RSI!A266</f>
        <v>45303</v>
      </c>
      <c r="B266" s="2">
        <f>RSI!B266</f>
        <v>4.9320000000000004</v>
      </c>
      <c r="C266" s="2">
        <f>RSI!I266</f>
        <v>26.258042420716308</v>
      </c>
      <c r="D266" s="2">
        <f>MACD!E266</f>
        <v>0.16960445046324057</v>
      </c>
      <c r="E266" s="2">
        <f>MACD!F266</f>
        <v>0.11998356151379663</v>
      </c>
      <c r="F266" s="2">
        <f>'Moving Avg'!D266</f>
        <v>4.9744000000000002</v>
      </c>
      <c r="G266" s="2">
        <f>'Moving Avg'!F266</f>
        <v>5.2246499999999996</v>
      </c>
      <c r="H266" s="2">
        <f>'Moving Avg'!G266</f>
        <v>5.4202600000000007</v>
      </c>
      <c r="I266" s="2">
        <f>'Moving Avg'!H266</f>
        <v>5.6269550000000006</v>
      </c>
      <c r="J266" s="5" t="str">
        <f>OBV!F266</f>
        <v>BEARISH</v>
      </c>
      <c r="K266" s="5" t="str">
        <f>OBV!G266</f>
        <v>STRONG</v>
      </c>
      <c r="L266" s="5" t="str">
        <f>OBV!H266</f>
        <v>CONFIRMED BEARISH</v>
      </c>
      <c r="M266" s="7">
        <f t="shared" si="43"/>
        <v>100</v>
      </c>
      <c r="N266" s="7">
        <f t="shared" si="40"/>
        <v>0</v>
      </c>
      <c r="O266" s="7">
        <f t="shared" si="41"/>
        <v>0</v>
      </c>
      <c r="P266" s="7">
        <f t="shared" si="42"/>
        <v>33</v>
      </c>
      <c r="Q266" s="8">
        <f t="shared" si="44"/>
        <v>39.950000000000003</v>
      </c>
      <c r="R266" s="8">
        <f t="shared" si="45"/>
        <v>28.25</v>
      </c>
      <c r="S266" s="8">
        <f t="shared" si="46"/>
        <v>29.85</v>
      </c>
      <c r="T266" s="8">
        <f t="shared" si="47"/>
        <v>33.25</v>
      </c>
      <c r="U266" s="7">
        <f t="shared" si="48"/>
        <v>32.683333333333337</v>
      </c>
      <c r="V266" s="7">
        <f t="shared" si="49"/>
        <v>32.825000000000003</v>
      </c>
    </row>
    <row r="267" spans="1:22" ht="13.5" x14ac:dyDescent="0.25">
      <c r="A267" s="3">
        <f>RSI!A267</f>
        <v>45306</v>
      </c>
      <c r="B267" s="2">
        <f>RSI!B267</f>
        <v>4.9669999999999996</v>
      </c>
      <c r="C267" s="2">
        <f>RSI!I267</f>
        <v>30.049602803682674</v>
      </c>
      <c r="D267" s="2">
        <f>MACD!E267</f>
        <v>0.18260310565903115</v>
      </c>
      <c r="E267" s="2">
        <f>MACD!F267</f>
        <v>0.13250747034284355</v>
      </c>
      <c r="F267" s="2">
        <f>'Moving Avg'!D267</f>
        <v>4.9584000000000001</v>
      </c>
      <c r="G267" s="2">
        <f>'Moving Avg'!F267</f>
        <v>5.2015499999999992</v>
      </c>
      <c r="H267" s="2">
        <f>'Moving Avg'!G267</f>
        <v>5.4073000000000002</v>
      </c>
      <c r="I267" s="2">
        <f>'Moving Avg'!H267</f>
        <v>5.6253750000000018</v>
      </c>
      <c r="J267" s="5" t="str">
        <f>OBV!F267</f>
        <v>BULLISH</v>
      </c>
      <c r="K267" s="5" t="str">
        <f>OBV!G267</f>
        <v>WEAK</v>
      </c>
      <c r="L267" s="5" t="str">
        <f>OBV!H267</f>
        <v>BULLISH DIVERGENCE</v>
      </c>
      <c r="M267" s="7">
        <f t="shared" si="43"/>
        <v>50</v>
      </c>
      <c r="N267" s="7">
        <f t="shared" si="40"/>
        <v>0</v>
      </c>
      <c r="O267" s="7">
        <f t="shared" si="41"/>
        <v>0</v>
      </c>
      <c r="P267" s="7">
        <f t="shared" si="42"/>
        <v>50</v>
      </c>
      <c r="Q267" s="8">
        <f t="shared" si="44"/>
        <v>25</v>
      </c>
      <c r="R267" s="8">
        <f t="shared" si="45"/>
        <v>22.5</v>
      </c>
      <c r="S267" s="8">
        <f t="shared" si="46"/>
        <v>30</v>
      </c>
      <c r="T267" s="8">
        <f t="shared" si="47"/>
        <v>25</v>
      </c>
      <c r="U267" s="7">
        <f t="shared" si="48"/>
        <v>25.833333333333332</v>
      </c>
      <c r="V267" s="7">
        <f t="shared" si="49"/>
        <v>25.625</v>
      </c>
    </row>
    <row r="268" spans="1:22" ht="13.5" x14ac:dyDescent="0.25">
      <c r="A268" s="3">
        <f>RSI!A268</f>
        <v>45307</v>
      </c>
      <c r="B268" s="2">
        <f>RSI!B268</f>
        <v>4.9669999999999996</v>
      </c>
      <c r="C268" s="2">
        <f>RSI!I268</f>
        <v>30.049602803682674</v>
      </c>
      <c r="D268" s="2">
        <f>MACD!E268</f>
        <v>0.16239289983625671</v>
      </c>
      <c r="E268" s="2">
        <f>MACD!F268</f>
        <v>0.13848455624152617</v>
      </c>
      <c r="F268" s="2">
        <f>'Moving Avg'!D268</f>
        <v>4.976</v>
      </c>
      <c r="G268" s="2">
        <f>'Moving Avg'!F268</f>
        <v>5.1793499999999995</v>
      </c>
      <c r="H268" s="2">
        <f>'Moving Avg'!G268</f>
        <v>5.3943399999999997</v>
      </c>
      <c r="I268" s="2">
        <f>'Moving Avg'!H268</f>
        <v>5.6236250000000005</v>
      </c>
      <c r="J268" s="5" t="str">
        <f>OBV!F268</f>
        <v>BULLISH</v>
      </c>
      <c r="K268" s="5" t="str">
        <f>OBV!G268</f>
        <v>WEAK</v>
      </c>
      <c r="L268" s="5" t="str">
        <f>OBV!H268</f>
        <v>CONFIRMED BULLISH</v>
      </c>
      <c r="M268" s="7">
        <f t="shared" si="43"/>
        <v>50</v>
      </c>
      <c r="N268" s="7">
        <f t="shared" si="40"/>
        <v>0</v>
      </c>
      <c r="O268" s="7">
        <f t="shared" si="41"/>
        <v>0</v>
      </c>
      <c r="P268" s="7">
        <f t="shared" si="42"/>
        <v>67</v>
      </c>
      <c r="Q268" s="8">
        <f t="shared" si="44"/>
        <v>27.549999999999997</v>
      </c>
      <c r="R268" s="8">
        <f t="shared" si="45"/>
        <v>26.75</v>
      </c>
      <c r="S268" s="8">
        <f t="shared" si="46"/>
        <v>37.650000000000006</v>
      </c>
      <c r="T268" s="8">
        <f t="shared" si="47"/>
        <v>29.25</v>
      </c>
      <c r="U268" s="7">
        <f t="shared" si="48"/>
        <v>30.650000000000002</v>
      </c>
      <c r="V268" s="7">
        <f t="shared" si="49"/>
        <v>30.3</v>
      </c>
    </row>
    <row r="269" spans="1:22" ht="13.5" x14ac:dyDescent="0.25">
      <c r="A269" s="3">
        <f>RSI!A269</f>
        <v>45308</v>
      </c>
      <c r="B269" s="2">
        <f>RSI!B269</f>
        <v>4.9320000000000004</v>
      </c>
      <c r="C269" s="2">
        <f>RSI!I269</f>
        <v>28.358551714000782</v>
      </c>
      <c r="D269" s="2">
        <f>MACD!E269</f>
        <v>0.14117529812512331</v>
      </c>
      <c r="E269" s="2">
        <f>MACD!F269</f>
        <v>0.13902270461824562</v>
      </c>
      <c r="F269" s="2">
        <f>'Moving Avg'!D269</f>
        <v>4.9689999999999994</v>
      </c>
      <c r="G269" s="2">
        <f>'Moving Avg'!F269</f>
        <v>5.1549499999999995</v>
      </c>
      <c r="H269" s="2">
        <f>'Moving Avg'!G269</f>
        <v>5.3812199999999999</v>
      </c>
      <c r="I269" s="2">
        <f>'Moving Avg'!H269</f>
        <v>5.6215300000000017</v>
      </c>
      <c r="J269" s="5" t="str">
        <f>OBV!F269</f>
        <v>BEARISH</v>
      </c>
      <c r="K269" s="5" t="str">
        <f>OBV!G269</f>
        <v>NEUTRAL</v>
      </c>
      <c r="L269" s="5" t="str">
        <f>OBV!H269</f>
        <v>CONFIRMED BEARISH</v>
      </c>
      <c r="M269" s="7">
        <f t="shared" si="43"/>
        <v>100</v>
      </c>
      <c r="N269" s="7">
        <f t="shared" si="40"/>
        <v>0</v>
      </c>
      <c r="O269" s="7">
        <f t="shared" si="41"/>
        <v>0</v>
      </c>
      <c r="P269" s="7">
        <f t="shared" si="42"/>
        <v>16.5</v>
      </c>
      <c r="Q269" s="8">
        <f t="shared" si="44"/>
        <v>37.475000000000001</v>
      </c>
      <c r="R269" s="8">
        <f t="shared" si="45"/>
        <v>24.125</v>
      </c>
      <c r="S269" s="8">
        <f t="shared" si="46"/>
        <v>22.425000000000001</v>
      </c>
      <c r="T269" s="8">
        <f t="shared" si="47"/>
        <v>29.125</v>
      </c>
      <c r="U269" s="7">
        <f t="shared" si="48"/>
        <v>28.008333333333336</v>
      </c>
      <c r="V269" s="7">
        <f t="shared" si="49"/>
        <v>28.287500000000001</v>
      </c>
    </row>
    <row r="270" spans="1:22" ht="13.5" x14ac:dyDescent="0.25">
      <c r="A270" s="3">
        <f>RSI!A270</f>
        <v>45309</v>
      </c>
      <c r="B270" s="2">
        <f>RSI!B270</f>
        <v>4.9669999999999996</v>
      </c>
      <c r="C270" s="2">
        <f>RSI!I270</f>
        <v>32.45222984647782</v>
      </c>
      <c r="D270" s="2">
        <f>MACD!E270</f>
        <v>0.11663529338705381</v>
      </c>
      <c r="E270" s="2">
        <f>MACD!F270</f>
        <v>0.13454522237200728</v>
      </c>
      <c r="F270" s="2">
        <f>'Moving Avg'!D270</f>
        <v>4.9530000000000003</v>
      </c>
      <c r="G270" s="2">
        <f>'Moving Avg'!F270</f>
        <v>5.1331999999999995</v>
      </c>
      <c r="H270" s="2">
        <f>'Moving Avg'!G270</f>
        <v>5.3688000000000002</v>
      </c>
      <c r="I270" s="2">
        <f>'Moving Avg'!H270</f>
        <v>5.6196100000000015</v>
      </c>
      <c r="J270" s="5" t="str">
        <f>OBV!F270</f>
        <v>BEARISH</v>
      </c>
      <c r="K270" s="5" t="str">
        <f>OBV!G270</f>
        <v>NEUTRAL</v>
      </c>
      <c r="L270" s="5" t="str">
        <f>OBV!H270</f>
        <v>CONFIRMED BEARISH</v>
      </c>
      <c r="M270" s="7">
        <f t="shared" si="43"/>
        <v>50</v>
      </c>
      <c r="N270" s="7">
        <f t="shared" si="40"/>
        <v>45</v>
      </c>
      <c r="O270" s="7">
        <f t="shared" si="41"/>
        <v>0</v>
      </c>
      <c r="P270" s="7">
        <f t="shared" si="42"/>
        <v>16.5</v>
      </c>
      <c r="Q270" s="8">
        <f t="shared" si="44"/>
        <v>35.725000000000001</v>
      </c>
      <c r="R270" s="8">
        <f t="shared" si="45"/>
        <v>23.125</v>
      </c>
      <c r="S270" s="8">
        <f t="shared" si="46"/>
        <v>21.675000000000001</v>
      </c>
      <c r="T270" s="8">
        <f t="shared" si="47"/>
        <v>27.875</v>
      </c>
      <c r="U270" s="7">
        <f t="shared" si="48"/>
        <v>26.841666666666669</v>
      </c>
      <c r="V270" s="7">
        <f t="shared" si="49"/>
        <v>27.1</v>
      </c>
    </row>
    <row r="271" spans="1:22" ht="13.5" x14ac:dyDescent="0.25">
      <c r="A271" s="3">
        <f>RSI!A271</f>
        <v>45310</v>
      </c>
      <c r="B271" s="2">
        <f>RSI!B271</f>
        <v>4.9669999999999996</v>
      </c>
      <c r="C271" s="2">
        <f>RSI!I271</f>
        <v>32.45222984647782</v>
      </c>
      <c r="D271" s="2">
        <f>MACD!E271</f>
        <v>9.7093861830024331E-2</v>
      </c>
      <c r="E271" s="2">
        <f>MACD!F271</f>
        <v>0.12705495026361069</v>
      </c>
      <c r="F271" s="2">
        <f>'Moving Avg'!D271</f>
        <v>4.9599999999999991</v>
      </c>
      <c r="G271" s="2">
        <f>'Moving Avg'!F271</f>
        <v>5.1118999999999994</v>
      </c>
      <c r="H271" s="2">
        <f>'Moving Avg'!G271</f>
        <v>5.3563799999999988</v>
      </c>
      <c r="I271" s="2">
        <f>'Moving Avg'!H271</f>
        <v>5.6176900000000023</v>
      </c>
      <c r="J271" s="5" t="str">
        <f>OBV!F271</f>
        <v>BULLISH</v>
      </c>
      <c r="K271" s="5" t="str">
        <f>OBV!G271</f>
        <v>WEAK</v>
      </c>
      <c r="L271" s="5" t="str">
        <f>OBV!H271</f>
        <v>CONFIRMED BULLISH</v>
      </c>
      <c r="M271" s="7">
        <f t="shared" si="43"/>
        <v>50</v>
      </c>
      <c r="N271" s="7">
        <f t="shared" si="40"/>
        <v>100</v>
      </c>
      <c r="O271" s="7">
        <f t="shared" si="41"/>
        <v>0</v>
      </c>
      <c r="P271" s="7">
        <f t="shared" si="42"/>
        <v>67</v>
      </c>
      <c r="Q271" s="8">
        <f t="shared" si="44"/>
        <v>62.55</v>
      </c>
      <c r="R271" s="8">
        <f t="shared" si="45"/>
        <v>46.75</v>
      </c>
      <c r="S271" s="8">
        <f t="shared" si="46"/>
        <v>52.650000000000006</v>
      </c>
      <c r="T271" s="8">
        <f t="shared" si="47"/>
        <v>54.25</v>
      </c>
      <c r="U271" s="7">
        <f t="shared" si="48"/>
        <v>53.983333333333327</v>
      </c>
      <c r="V271" s="7">
        <f t="shared" si="49"/>
        <v>54.05</v>
      </c>
    </row>
    <row r="272" spans="1:22" ht="13.5" x14ac:dyDescent="0.25">
      <c r="A272" s="3">
        <f>RSI!A272</f>
        <v>45313</v>
      </c>
      <c r="B272" s="2">
        <f>RSI!B272</f>
        <v>5.0380000000000003</v>
      </c>
      <c r="C272" s="2">
        <f>RSI!I272</f>
        <v>40.456851391147254</v>
      </c>
      <c r="D272" s="2">
        <f>MACD!E272</f>
        <v>7.5047511045116089E-2</v>
      </c>
      <c r="E272" s="2">
        <f>MACD!F272</f>
        <v>0.11665346241991179</v>
      </c>
      <c r="F272" s="2">
        <f>'Moving Avg'!D272</f>
        <v>4.9741999999999997</v>
      </c>
      <c r="G272" s="2">
        <f>'Moving Avg'!F272</f>
        <v>5.0941499999999991</v>
      </c>
      <c r="H272" s="2">
        <f>'Moving Avg'!G272</f>
        <v>5.3453800000000005</v>
      </c>
      <c r="I272" s="2">
        <f>'Moving Avg'!H272</f>
        <v>5.6161250000000029</v>
      </c>
      <c r="J272" s="5" t="str">
        <f>OBV!F272</f>
        <v>BULLISH</v>
      </c>
      <c r="K272" s="5" t="str">
        <f>OBV!G272</f>
        <v>WEAK</v>
      </c>
      <c r="L272" s="5" t="str">
        <f>OBV!H272</f>
        <v>CONFIRMED BULLISH</v>
      </c>
      <c r="M272" s="7">
        <f t="shared" si="43"/>
        <v>50</v>
      </c>
      <c r="N272" s="7">
        <f t="shared" si="40"/>
        <v>100</v>
      </c>
      <c r="O272" s="7">
        <f t="shared" si="41"/>
        <v>0</v>
      </c>
      <c r="P272" s="7">
        <f t="shared" si="42"/>
        <v>67</v>
      </c>
      <c r="Q272" s="8">
        <f t="shared" si="44"/>
        <v>62.55</v>
      </c>
      <c r="R272" s="8">
        <f t="shared" si="45"/>
        <v>46.75</v>
      </c>
      <c r="S272" s="8">
        <f t="shared" si="46"/>
        <v>52.650000000000006</v>
      </c>
      <c r="T272" s="8">
        <f t="shared" si="47"/>
        <v>54.25</v>
      </c>
      <c r="U272" s="7">
        <f t="shared" si="48"/>
        <v>53.983333333333327</v>
      </c>
      <c r="V272" s="7">
        <f t="shared" si="49"/>
        <v>54.05</v>
      </c>
    </row>
    <row r="273" spans="1:22" ht="13.5" x14ac:dyDescent="0.25">
      <c r="A273" s="3">
        <f>RSI!A273</f>
        <v>45314</v>
      </c>
      <c r="B273" s="2">
        <f>RSI!B273</f>
        <v>4.9669999999999996</v>
      </c>
      <c r="C273" s="2">
        <f>RSI!I273</f>
        <v>35.878129523639544</v>
      </c>
      <c r="D273" s="2">
        <f>MACD!E273</f>
        <v>3.6435156315684836E-2</v>
      </c>
      <c r="E273" s="2">
        <f>MACD!F273</f>
        <v>0.1006098011990664</v>
      </c>
      <c r="F273" s="2">
        <f>'Moving Avg'!D273</f>
        <v>4.9741999999999997</v>
      </c>
      <c r="G273" s="2">
        <f>'Moving Avg'!F273</f>
        <v>5.072849999999999</v>
      </c>
      <c r="H273" s="2">
        <f>'Moving Avg'!G273</f>
        <v>5.3331399999999993</v>
      </c>
      <c r="I273" s="2">
        <f>'Moving Avg'!H273</f>
        <v>5.6139900000000038</v>
      </c>
      <c r="J273" s="5" t="str">
        <f>OBV!F273</f>
        <v>BEARISH</v>
      </c>
      <c r="K273" s="5" t="str">
        <f>OBV!G273</f>
        <v>NEUTRAL</v>
      </c>
      <c r="L273" s="5" t="str">
        <f>OBV!H273</f>
        <v>NEUTRAL</v>
      </c>
      <c r="M273" s="7">
        <f t="shared" si="43"/>
        <v>50</v>
      </c>
      <c r="N273" s="7">
        <f t="shared" si="40"/>
        <v>100</v>
      </c>
      <c r="O273" s="7">
        <f t="shared" si="41"/>
        <v>0</v>
      </c>
      <c r="P273" s="7">
        <f t="shared" si="42"/>
        <v>16.5</v>
      </c>
      <c r="Q273" s="8">
        <f t="shared" si="44"/>
        <v>54.975000000000001</v>
      </c>
      <c r="R273" s="8">
        <f t="shared" si="45"/>
        <v>34.125</v>
      </c>
      <c r="S273" s="8">
        <f t="shared" si="46"/>
        <v>29.925000000000001</v>
      </c>
      <c r="T273" s="8">
        <f t="shared" si="47"/>
        <v>41.625</v>
      </c>
      <c r="U273" s="7">
        <f t="shared" si="48"/>
        <v>39.674999999999997</v>
      </c>
      <c r="V273" s="7">
        <f t="shared" si="49"/>
        <v>40.162499999999994</v>
      </c>
    </row>
    <row r="274" spans="1:22" ht="13.5" x14ac:dyDescent="0.25">
      <c r="A274" s="3">
        <f>RSI!A274</f>
        <v>45315</v>
      </c>
      <c r="B274" s="2">
        <f>RSI!B274</f>
        <v>4.8789999999999996</v>
      </c>
      <c r="C274" s="2">
        <f>RSI!I274</f>
        <v>31.169532927183667</v>
      </c>
      <c r="D274" s="2">
        <f>MACD!E274</f>
        <v>2.4822227039740241E-2</v>
      </c>
      <c r="E274" s="2">
        <f>MACD!F274</f>
        <v>8.5452286367201175E-2</v>
      </c>
      <c r="F274" s="2">
        <f>'Moving Avg'!D274</f>
        <v>4.9635999999999996</v>
      </c>
      <c r="G274" s="2">
        <f>'Moving Avg'!F274</f>
        <v>5.0471500000000002</v>
      </c>
      <c r="H274" s="2">
        <f>'Moving Avg'!G274</f>
        <v>5.3191400000000009</v>
      </c>
      <c r="I274" s="2">
        <f>'Moving Avg'!H274</f>
        <v>5.6114150000000045</v>
      </c>
      <c r="J274" s="5" t="str">
        <f>OBV!F274</f>
        <v>BULLISH</v>
      </c>
      <c r="K274" s="5" t="str">
        <f>OBV!G274</f>
        <v>NEUTRAL</v>
      </c>
      <c r="L274" s="5" t="str">
        <f>OBV!H274</f>
        <v>BULLISH DIVERGENCE</v>
      </c>
      <c r="M274" s="7">
        <f t="shared" si="43"/>
        <v>50</v>
      </c>
      <c r="N274" s="7">
        <f t="shared" si="40"/>
        <v>100</v>
      </c>
      <c r="O274" s="7">
        <f t="shared" si="41"/>
        <v>0</v>
      </c>
      <c r="P274" s="7">
        <f t="shared" si="42"/>
        <v>66.5</v>
      </c>
      <c r="Q274" s="8">
        <f t="shared" si="44"/>
        <v>62.475000000000001</v>
      </c>
      <c r="R274" s="8">
        <f t="shared" si="45"/>
        <v>46.625</v>
      </c>
      <c r="S274" s="8">
        <f t="shared" si="46"/>
        <v>52.424999999999997</v>
      </c>
      <c r="T274" s="8">
        <f t="shared" si="47"/>
        <v>54.125</v>
      </c>
      <c r="U274" s="7">
        <f t="shared" si="48"/>
        <v>53.841666666666661</v>
      </c>
      <c r="V274" s="7">
        <f t="shared" si="49"/>
        <v>53.912499999999994</v>
      </c>
    </row>
    <row r="275" spans="1:22" ht="13.5" x14ac:dyDescent="0.25">
      <c r="A275" s="3">
        <f>RSI!A275</f>
        <v>45316</v>
      </c>
      <c r="B275" s="2">
        <f>RSI!B275</f>
        <v>4.9669999999999996</v>
      </c>
      <c r="C275" s="2">
        <f>RSI!I275</f>
        <v>39.692962365910084</v>
      </c>
      <c r="D275" s="2">
        <f>MACD!E275</f>
        <v>2.2232926586625013E-2</v>
      </c>
      <c r="E275" s="2">
        <f>MACD!F275</f>
        <v>7.2808414411085945E-2</v>
      </c>
      <c r="F275" s="2">
        <f>'Moving Avg'!D275</f>
        <v>4.9635999999999996</v>
      </c>
      <c r="G275" s="2">
        <f>'Moving Avg'!F275</f>
        <v>5.0293999999999999</v>
      </c>
      <c r="H275" s="2">
        <f>'Moving Avg'!G275</f>
        <v>5.3069000000000006</v>
      </c>
      <c r="I275" s="2">
        <f>'Moving Avg'!H275</f>
        <v>5.6090700000000053</v>
      </c>
      <c r="J275" s="5" t="str">
        <f>OBV!F275</f>
        <v>BEARISH</v>
      </c>
      <c r="K275" s="5" t="str">
        <f>OBV!G275</f>
        <v>NEUTRAL</v>
      </c>
      <c r="L275" s="5" t="str">
        <f>OBV!H275</f>
        <v>NEUTRAL</v>
      </c>
      <c r="M275" s="7">
        <f t="shared" si="43"/>
        <v>50</v>
      </c>
      <c r="N275" s="7">
        <f t="shared" si="40"/>
        <v>100</v>
      </c>
      <c r="O275" s="7">
        <f t="shared" si="41"/>
        <v>0</v>
      </c>
      <c r="P275" s="7">
        <f t="shared" si="42"/>
        <v>16.5</v>
      </c>
      <c r="Q275" s="8">
        <f t="shared" si="44"/>
        <v>54.975000000000001</v>
      </c>
      <c r="R275" s="8">
        <f t="shared" si="45"/>
        <v>34.125</v>
      </c>
      <c r="S275" s="8">
        <f t="shared" si="46"/>
        <v>29.925000000000001</v>
      </c>
      <c r="T275" s="8">
        <f t="shared" si="47"/>
        <v>41.625</v>
      </c>
      <c r="U275" s="7">
        <f t="shared" si="48"/>
        <v>39.674999999999997</v>
      </c>
      <c r="V275" s="7">
        <f t="shared" si="49"/>
        <v>40.162499999999994</v>
      </c>
    </row>
    <row r="276" spans="1:22" ht="13.5" x14ac:dyDescent="0.25">
      <c r="A276" s="3">
        <f>RSI!A276</f>
        <v>45317</v>
      </c>
      <c r="B276" s="2">
        <f>RSI!B276</f>
        <v>4.7720000000000002</v>
      </c>
      <c r="C276" s="2">
        <f>RSI!I276</f>
        <v>30.638900584711934</v>
      </c>
      <c r="D276" s="2">
        <f>MACD!E276</f>
        <v>1.7614723364535401E-2</v>
      </c>
      <c r="E276" s="2">
        <f>MACD!F276</f>
        <v>6.1769676201775835E-2</v>
      </c>
      <c r="F276" s="2">
        <f>'Moving Avg'!D276</f>
        <v>4.9245999999999999</v>
      </c>
      <c r="G276" s="2">
        <f>'Moving Avg'!F276</f>
        <v>5.0000999999999998</v>
      </c>
      <c r="H276" s="2">
        <f>'Moving Avg'!G276</f>
        <v>5.2905800000000012</v>
      </c>
      <c r="I276" s="2">
        <f>'Moving Avg'!H276</f>
        <v>5.6053650000000053</v>
      </c>
      <c r="J276" s="5" t="str">
        <f>OBV!F276</f>
        <v>BEARISH</v>
      </c>
      <c r="K276" s="5" t="str">
        <f>OBV!G276</f>
        <v>STRONG</v>
      </c>
      <c r="L276" s="5" t="str">
        <f>OBV!H276</f>
        <v>CONFIRMED BEARISH</v>
      </c>
      <c r="M276" s="7">
        <f t="shared" si="43"/>
        <v>50</v>
      </c>
      <c r="N276" s="7">
        <f t="shared" si="40"/>
        <v>100</v>
      </c>
      <c r="O276" s="7">
        <f t="shared" si="41"/>
        <v>0</v>
      </c>
      <c r="P276" s="7">
        <f t="shared" si="42"/>
        <v>33</v>
      </c>
      <c r="Q276" s="8">
        <f t="shared" si="44"/>
        <v>57.45</v>
      </c>
      <c r="R276" s="8">
        <f t="shared" si="45"/>
        <v>38.25</v>
      </c>
      <c r="S276" s="8">
        <f t="shared" si="46"/>
        <v>37.35</v>
      </c>
      <c r="T276" s="8">
        <f t="shared" si="47"/>
        <v>45.75</v>
      </c>
      <c r="U276" s="7">
        <f t="shared" si="48"/>
        <v>44.35</v>
      </c>
      <c r="V276" s="7">
        <f t="shared" si="49"/>
        <v>44.7</v>
      </c>
    </row>
    <row r="277" spans="1:22" ht="13.5" x14ac:dyDescent="0.25">
      <c r="A277" s="3">
        <f>RSI!A277</f>
        <v>45320</v>
      </c>
      <c r="B277" s="2">
        <f>RSI!B277</f>
        <v>4.923</v>
      </c>
      <c r="C277" s="2">
        <f>RSI!I277</f>
        <v>41.724152320912289</v>
      </c>
      <c r="D277" s="2">
        <f>MACD!E277</f>
        <v>9.8185274114506171E-3</v>
      </c>
      <c r="E277" s="2">
        <f>MACD!F277</f>
        <v>5.1379446443710793E-2</v>
      </c>
      <c r="F277" s="2">
        <f>'Moving Avg'!D277</f>
        <v>4.9016000000000002</v>
      </c>
      <c r="G277" s="2">
        <f>'Moving Avg'!F277</f>
        <v>4.9783500000000007</v>
      </c>
      <c r="H277" s="2">
        <f>'Moving Avg'!G277</f>
        <v>5.277280000000002</v>
      </c>
      <c r="I277" s="2">
        <f>'Moving Avg'!H277</f>
        <v>5.6025000000000045</v>
      </c>
      <c r="J277" s="5" t="str">
        <f>OBV!F277</f>
        <v>BEARISH</v>
      </c>
      <c r="K277" s="5" t="str">
        <f>OBV!G277</f>
        <v>STRONG</v>
      </c>
      <c r="L277" s="5" t="str">
        <f>OBV!H277</f>
        <v>CONFIRMED BEARISH</v>
      </c>
      <c r="M277" s="7">
        <f t="shared" si="43"/>
        <v>50</v>
      </c>
      <c r="N277" s="7">
        <f t="shared" si="40"/>
        <v>100</v>
      </c>
      <c r="O277" s="7">
        <f t="shared" si="41"/>
        <v>0</v>
      </c>
      <c r="P277" s="7">
        <f t="shared" si="42"/>
        <v>33</v>
      </c>
      <c r="Q277" s="8">
        <f t="shared" si="44"/>
        <v>57.45</v>
      </c>
      <c r="R277" s="8">
        <f t="shared" si="45"/>
        <v>38.25</v>
      </c>
      <c r="S277" s="8">
        <f t="shared" si="46"/>
        <v>37.35</v>
      </c>
      <c r="T277" s="8">
        <f t="shared" si="47"/>
        <v>45.75</v>
      </c>
      <c r="U277" s="7">
        <f t="shared" si="48"/>
        <v>44.35</v>
      </c>
      <c r="V277" s="7">
        <f t="shared" si="49"/>
        <v>44.7</v>
      </c>
    </row>
    <row r="278" spans="1:22" ht="13.5" x14ac:dyDescent="0.25">
      <c r="A278" s="3">
        <f>RSI!A278</f>
        <v>45321</v>
      </c>
      <c r="B278" s="2">
        <f>RSI!B278</f>
        <v>4.9669999999999996</v>
      </c>
      <c r="C278" s="2">
        <f>RSI!I278</f>
        <v>44.507236589213051</v>
      </c>
      <c r="D278" s="2">
        <f>MACD!E278</f>
        <v>8.4066987086917067E-4</v>
      </c>
      <c r="E278" s="2">
        <f>MACD!F278</f>
        <v>4.1271691129142467E-2</v>
      </c>
      <c r="F278" s="2">
        <f>'Moving Avg'!D278</f>
        <v>4.9016000000000002</v>
      </c>
      <c r="G278" s="2">
        <f>'Moving Avg'!F278</f>
        <v>4.9694500000000001</v>
      </c>
      <c r="H278" s="2">
        <f>'Moving Avg'!G278</f>
        <v>5.2648600000000014</v>
      </c>
      <c r="I278" s="2">
        <f>'Moving Avg'!H278</f>
        <v>5.5998550000000042</v>
      </c>
      <c r="J278" s="5" t="str">
        <f>OBV!F278</f>
        <v>BULLISH</v>
      </c>
      <c r="K278" s="5" t="str">
        <f>OBV!G278</f>
        <v>WEAK</v>
      </c>
      <c r="L278" s="5" t="str">
        <f>OBV!H278</f>
        <v>NEUTRAL</v>
      </c>
      <c r="M278" s="7">
        <f t="shared" si="43"/>
        <v>50</v>
      </c>
      <c r="N278" s="7">
        <f t="shared" si="40"/>
        <v>100</v>
      </c>
      <c r="O278" s="7">
        <f t="shared" si="41"/>
        <v>0</v>
      </c>
      <c r="P278" s="7">
        <f t="shared" si="42"/>
        <v>33</v>
      </c>
      <c r="Q278" s="8">
        <f t="shared" si="44"/>
        <v>57.45</v>
      </c>
      <c r="R278" s="8">
        <f t="shared" si="45"/>
        <v>38.25</v>
      </c>
      <c r="S278" s="8">
        <f t="shared" si="46"/>
        <v>37.35</v>
      </c>
      <c r="T278" s="8">
        <f t="shared" si="47"/>
        <v>45.75</v>
      </c>
      <c r="U278" s="7">
        <f t="shared" si="48"/>
        <v>44.35</v>
      </c>
      <c r="V278" s="7">
        <f t="shared" si="49"/>
        <v>44.7</v>
      </c>
    </row>
    <row r="279" spans="1:22" ht="13.5" x14ac:dyDescent="0.25">
      <c r="A279" s="3">
        <f>RSI!A279</f>
        <v>45322</v>
      </c>
      <c r="B279" s="2">
        <f>RSI!B279</f>
        <v>4.8339999999999996</v>
      </c>
      <c r="C279" s="2">
        <f>RSI!I279</f>
        <v>38.519030333798213</v>
      </c>
      <c r="D279" s="2">
        <f>MACD!E279</f>
        <v>-1.7356079158643567E-3</v>
      </c>
      <c r="E279" s="2">
        <f>MACD!F279</f>
        <v>3.2670231320141102E-2</v>
      </c>
      <c r="F279" s="2">
        <f>'Moving Avg'!D279</f>
        <v>4.8925999999999998</v>
      </c>
      <c r="G279" s="2">
        <f>'Moving Avg'!F279</f>
        <v>4.95655</v>
      </c>
      <c r="H279" s="2">
        <f>'Moving Avg'!G279</f>
        <v>5.2501200000000017</v>
      </c>
      <c r="I279" s="2">
        <f>'Moving Avg'!H279</f>
        <v>5.5966750000000038</v>
      </c>
      <c r="J279" s="5" t="str">
        <f>OBV!F279</f>
        <v>BULLISH</v>
      </c>
      <c r="K279" s="5" t="str">
        <f>OBV!G279</f>
        <v>WEAK</v>
      </c>
      <c r="L279" s="5" t="str">
        <f>OBV!H279</f>
        <v>BULLISH DIVERGENCE</v>
      </c>
      <c r="M279" s="7">
        <f t="shared" si="43"/>
        <v>50</v>
      </c>
      <c r="N279" s="7">
        <f t="shared" si="40"/>
        <v>100</v>
      </c>
      <c r="O279" s="7">
        <f t="shared" si="41"/>
        <v>0</v>
      </c>
      <c r="P279" s="7">
        <f t="shared" si="42"/>
        <v>50</v>
      </c>
      <c r="Q279" s="8">
        <f t="shared" si="44"/>
        <v>60</v>
      </c>
      <c r="R279" s="8">
        <f t="shared" si="45"/>
        <v>42.5</v>
      </c>
      <c r="S279" s="8">
        <f t="shared" si="46"/>
        <v>45</v>
      </c>
      <c r="T279" s="8">
        <f t="shared" si="47"/>
        <v>50</v>
      </c>
      <c r="U279" s="7">
        <f t="shared" si="48"/>
        <v>49.166666666666664</v>
      </c>
      <c r="V279" s="7">
        <f t="shared" si="49"/>
        <v>49.375</v>
      </c>
    </row>
    <row r="280" spans="1:22" ht="13.5" x14ac:dyDescent="0.25">
      <c r="A280" s="3">
        <f>RSI!A280</f>
        <v>45323</v>
      </c>
      <c r="B280" s="2">
        <f>RSI!B280</f>
        <v>4.8789999999999996</v>
      </c>
      <c r="C280" s="2">
        <f>RSI!I280</f>
        <v>41.392236724435037</v>
      </c>
      <c r="D280" s="2">
        <f>MACD!E280</f>
        <v>-5.6618899759719454E-4</v>
      </c>
      <c r="E280" s="2">
        <f>MACD!F280</f>
        <v>2.6022947256593446E-2</v>
      </c>
      <c r="F280" s="2">
        <f>'Moving Avg'!D280</f>
        <v>4.875</v>
      </c>
      <c r="G280" s="2">
        <f>'Moving Avg'!F280</f>
        <v>4.9477000000000002</v>
      </c>
      <c r="H280" s="2">
        <f>'Moving Avg'!G280</f>
        <v>5.2361200000000023</v>
      </c>
      <c r="I280" s="2">
        <f>'Moving Avg'!H280</f>
        <v>5.5937200000000029</v>
      </c>
      <c r="J280" s="5" t="str">
        <f>OBV!F280</f>
        <v>BULLISH</v>
      </c>
      <c r="K280" s="5" t="str">
        <f>OBV!G280</f>
        <v>WEAK</v>
      </c>
      <c r="L280" s="5" t="str">
        <f>OBV!H280</f>
        <v>BULLISH DIVERGENCE</v>
      </c>
      <c r="M280" s="7">
        <f t="shared" si="43"/>
        <v>50</v>
      </c>
      <c r="N280" s="7">
        <f t="shared" si="40"/>
        <v>100</v>
      </c>
      <c r="O280" s="7">
        <f t="shared" si="41"/>
        <v>0</v>
      </c>
      <c r="P280" s="7">
        <f t="shared" si="42"/>
        <v>50</v>
      </c>
      <c r="Q280" s="8">
        <f t="shared" si="44"/>
        <v>60</v>
      </c>
      <c r="R280" s="8">
        <f t="shared" si="45"/>
        <v>42.5</v>
      </c>
      <c r="S280" s="8">
        <f t="shared" si="46"/>
        <v>45</v>
      </c>
      <c r="T280" s="8">
        <f t="shared" si="47"/>
        <v>50</v>
      </c>
      <c r="U280" s="7">
        <f t="shared" si="48"/>
        <v>49.166666666666664</v>
      </c>
      <c r="V280" s="7">
        <f t="shared" si="49"/>
        <v>49.375</v>
      </c>
    </row>
    <row r="281" spans="1:22" ht="13.5" x14ac:dyDescent="0.25">
      <c r="A281" s="3">
        <f>RSI!A281</f>
        <v>45324</v>
      </c>
      <c r="B281" s="2">
        <f>RSI!B281</f>
        <v>4.87</v>
      </c>
      <c r="C281" s="2">
        <f>RSI!I281</f>
        <v>40.97974988413489</v>
      </c>
      <c r="D281" s="2">
        <f>MACD!E281</f>
        <v>2.0259903713881755E-3</v>
      </c>
      <c r="E281" s="2">
        <f>MACD!F281</f>
        <v>2.1223555879552394E-2</v>
      </c>
      <c r="F281" s="2">
        <f>'Moving Avg'!D281</f>
        <v>4.8946000000000005</v>
      </c>
      <c r="G281" s="2">
        <f>'Moving Avg'!F281</f>
        <v>4.9384000000000006</v>
      </c>
      <c r="H281" s="2">
        <f>'Moving Avg'!G281</f>
        <v>5.2221000000000029</v>
      </c>
      <c r="I281" s="2">
        <f>'Moving Avg'!H281</f>
        <v>5.5907200000000019</v>
      </c>
      <c r="J281" s="5" t="str">
        <f>OBV!F281</f>
        <v>BULLISH</v>
      </c>
      <c r="K281" s="5" t="str">
        <f>OBV!G281</f>
        <v>WEAK</v>
      </c>
      <c r="L281" s="5" t="str">
        <f>OBV!H281</f>
        <v>CONFIRMED BULLISH</v>
      </c>
      <c r="M281" s="7">
        <f t="shared" si="43"/>
        <v>50</v>
      </c>
      <c r="N281" s="7">
        <f t="shared" si="40"/>
        <v>45</v>
      </c>
      <c r="O281" s="7">
        <f t="shared" si="41"/>
        <v>0</v>
      </c>
      <c r="P281" s="7">
        <f t="shared" si="42"/>
        <v>67</v>
      </c>
      <c r="Q281" s="8">
        <f t="shared" si="44"/>
        <v>43.3</v>
      </c>
      <c r="R281" s="8">
        <f t="shared" si="45"/>
        <v>35.75</v>
      </c>
      <c r="S281" s="8">
        <f t="shared" si="46"/>
        <v>44.400000000000006</v>
      </c>
      <c r="T281" s="8">
        <f t="shared" si="47"/>
        <v>40.5</v>
      </c>
      <c r="U281" s="7">
        <f t="shared" si="48"/>
        <v>41.15</v>
      </c>
      <c r="V281" s="7">
        <f t="shared" si="49"/>
        <v>40.987499999999997</v>
      </c>
    </row>
    <row r="282" spans="1:22" ht="13.5" x14ac:dyDescent="0.25">
      <c r="A282" s="3">
        <f>RSI!A282</f>
        <v>45327</v>
      </c>
      <c r="B282" s="2">
        <f>RSI!B282</f>
        <v>4.6920000000000002</v>
      </c>
      <c r="C282" s="2">
        <f>RSI!I282</f>
        <v>33.804624496451012</v>
      </c>
      <c r="D282" s="2">
        <f>MACD!E282</f>
        <v>2.9247487137729067E-2</v>
      </c>
      <c r="E282" s="2">
        <f>MACD!F282</f>
        <v>2.2828342131187729E-2</v>
      </c>
      <c r="F282" s="2">
        <f>'Moving Avg'!D282</f>
        <v>4.8483999999999998</v>
      </c>
      <c r="G282" s="2">
        <f>'Moving Avg'!F282</f>
        <v>4.9206500000000002</v>
      </c>
      <c r="H282" s="2">
        <f>'Moving Avg'!G282</f>
        <v>5.2047000000000017</v>
      </c>
      <c r="I282" s="2">
        <f>'Moving Avg'!H282</f>
        <v>5.5868300000000035</v>
      </c>
      <c r="J282" s="5" t="str">
        <f>OBV!F282</f>
        <v>BEARISH</v>
      </c>
      <c r="K282" s="5" t="str">
        <f>OBV!G282</f>
        <v>STRONG</v>
      </c>
      <c r="L282" s="5" t="str">
        <f>OBV!H282</f>
        <v>CONFIRMED BEARISH</v>
      </c>
      <c r="M282" s="7">
        <f t="shared" si="43"/>
        <v>50</v>
      </c>
      <c r="N282" s="7">
        <f t="shared" si="40"/>
        <v>0</v>
      </c>
      <c r="O282" s="7">
        <f t="shared" si="41"/>
        <v>0</v>
      </c>
      <c r="P282" s="7">
        <f t="shared" si="42"/>
        <v>33</v>
      </c>
      <c r="Q282" s="8">
        <f t="shared" si="44"/>
        <v>22.45</v>
      </c>
      <c r="R282" s="8">
        <f t="shared" si="45"/>
        <v>18.25</v>
      </c>
      <c r="S282" s="8">
        <f t="shared" si="46"/>
        <v>22.35</v>
      </c>
      <c r="T282" s="8">
        <f t="shared" si="47"/>
        <v>20.75</v>
      </c>
      <c r="U282" s="7">
        <f t="shared" si="48"/>
        <v>21.016666666666669</v>
      </c>
      <c r="V282" s="7">
        <f t="shared" si="49"/>
        <v>20.950000000000003</v>
      </c>
    </row>
    <row r="283" spans="1:22" ht="13.5" x14ac:dyDescent="0.25">
      <c r="A283" s="3">
        <f>RSI!A283</f>
        <v>45328</v>
      </c>
      <c r="B283" s="2">
        <f>RSI!B283</f>
        <v>4.7720000000000002</v>
      </c>
      <c r="C283" s="2">
        <f>RSI!I283</f>
        <v>38.976103813709273</v>
      </c>
      <c r="D283" s="2">
        <f>MACD!E283</f>
        <v>3.7335583041412157E-2</v>
      </c>
      <c r="E283" s="2">
        <f>MACD!F283</f>
        <v>2.5729790313232616E-2</v>
      </c>
      <c r="F283" s="2">
        <f>'Moving Avg'!D283</f>
        <v>4.8093999999999992</v>
      </c>
      <c r="G283" s="2">
        <f>'Moving Avg'!F283</f>
        <v>4.9153000000000002</v>
      </c>
      <c r="H283" s="2">
        <f>'Moving Avg'!G283</f>
        <v>5.1889000000000021</v>
      </c>
      <c r="I283" s="2">
        <f>'Moving Avg'!H283</f>
        <v>5.5833400000000033</v>
      </c>
      <c r="J283" s="5" t="str">
        <f>OBV!F283</f>
        <v>BEARISH</v>
      </c>
      <c r="K283" s="5" t="str">
        <f>OBV!G283</f>
        <v>STRONG</v>
      </c>
      <c r="L283" s="5" t="str">
        <f>OBV!H283</f>
        <v>CONFIRMED BEARISH</v>
      </c>
      <c r="M283" s="7">
        <f t="shared" si="43"/>
        <v>50</v>
      </c>
      <c r="N283" s="7">
        <f t="shared" si="40"/>
        <v>0</v>
      </c>
      <c r="O283" s="7">
        <f t="shared" si="41"/>
        <v>0</v>
      </c>
      <c r="P283" s="7">
        <f t="shared" si="42"/>
        <v>33</v>
      </c>
      <c r="Q283" s="8">
        <f t="shared" si="44"/>
        <v>22.45</v>
      </c>
      <c r="R283" s="8">
        <f t="shared" si="45"/>
        <v>18.25</v>
      </c>
      <c r="S283" s="8">
        <f t="shared" si="46"/>
        <v>22.35</v>
      </c>
      <c r="T283" s="8">
        <f t="shared" si="47"/>
        <v>20.75</v>
      </c>
      <c r="U283" s="7">
        <f t="shared" si="48"/>
        <v>21.016666666666669</v>
      </c>
      <c r="V283" s="7">
        <f t="shared" si="49"/>
        <v>20.950000000000003</v>
      </c>
    </row>
    <row r="284" spans="1:22" ht="13.5" x14ac:dyDescent="0.25">
      <c r="A284" s="3">
        <f>RSI!A284</f>
        <v>45329</v>
      </c>
      <c r="B284" s="2">
        <f>RSI!B284</f>
        <v>4.7009999999999996</v>
      </c>
      <c r="C284" s="2">
        <f>RSI!I284</f>
        <v>36.268008788403208</v>
      </c>
      <c r="D284" s="2">
        <f>MACD!E284</f>
        <v>3.718995352958121E-2</v>
      </c>
      <c r="E284" s="2">
        <f>MACD!F284</f>
        <v>2.8021822956502337E-2</v>
      </c>
      <c r="F284" s="2">
        <f>'Moving Avg'!D284</f>
        <v>4.7827999999999999</v>
      </c>
      <c r="G284" s="2">
        <f>'Moving Avg'!F284</f>
        <v>4.9020000000000001</v>
      </c>
      <c r="H284" s="2">
        <f>'Moving Avg'!G284</f>
        <v>5.1718600000000023</v>
      </c>
      <c r="I284" s="2">
        <f>'Moving Avg'!H284</f>
        <v>5.5795350000000035</v>
      </c>
      <c r="J284" s="5" t="str">
        <f>OBV!F284</f>
        <v>BEARISH</v>
      </c>
      <c r="K284" s="5" t="str">
        <f>OBV!G284</f>
        <v>STRONG</v>
      </c>
      <c r="L284" s="5" t="str">
        <f>OBV!H284</f>
        <v>CONFIRMED BEARISH</v>
      </c>
      <c r="M284" s="7">
        <f t="shared" si="43"/>
        <v>50</v>
      </c>
      <c r="N284" s="7">
        <f t="shared" si="40"/>
        <v>0</v>
      </c>
      <c r="O284" s="7">
        <f t="shared" si="41"/>
        <v>0</v>
      </c>
      <c r="P284" s="7">
        <f t="shared" si="42"/>
        <v>33</v>
      </c>
      <c r="Q284" s="8">
        <f t="shared" si="44"/>
        <v>22.45</v>
      </c>
      <c r="R284" s="8">
        <f t="shared" si="45"/>
        <v>18.25</v>
      </c>
      <c r="S284" s="8">
        <f t="shared" si="46"/>
        <v>22.35</v>
      </c>
      <c r="T284" s="8">
        <f t="shared" si="47"/>
        <v>20.75</v>
      </c>
      <c r="U284" s="7">
        <f t="shared" si="48"/>
        <v>21.016666666666669</v>
      </c>
      <c r="V284" s="7">
        <f t="shared" si="49"/>
        <v>20.950000000000003</v>
      </c>
    </row>
    <row r="285" spans="1:22" ht="13.5" x14ac:dyDescent="0.25">
      <c r="A285" s="3">
        <f>RSI!A285</f>
        <v>45330</v>
      </c>
      <c r="B285" s="2">
        <f>RSI!B285</f>
        <v>4.7809999999999997</v>
      </c>
      <c r="C285" s="2">
        <f>RSI!I285</f>
        <v>41.223487463793397</v>
      </c>
      <c r="D285" s="2">
        <f>MACD!E285</f>
        <v>4.6293064840487119E-2</v>
      </c>
      <c r="E285" s="2">
        <f>MACD!F285</f>
        <v>3.1676071333299291E-2</v>
      </c>
      <c r="F285" s="2">
        <f>'Moving Avg'!D285</f>
        <v>4.7631999999999994</v>
      </c>
      <c r="G285" s="2">
        <f>'Moving Avg'!F285</f>
        <v>4.8887000000000009</v>
      </c>
      <c r="H285" s="2">
        <f>'Moving Avg'!G285</f>
        <v>5.1562400000000013</v>
      </c>
      <c r="I285" s="2">
        <f>'Moving Avg'!H285</f>
        <v>5.5761300000000027</v>
      </c>
      <c r="J285" s="5" t="str">
        <f>OBV!F285</f>
        <v>BEARISH</v>
      </c>
      <c r="K285" s="5" t="str">
        <f>OBV!G285</f>
        <v>STRONG</v>
      </c>
      <c r="L285" s="5" t="str">
        <f>OBV!H285</f>
        <v>CONFIRMED BEARISH</v>
      </c>
      <c r="M285" s="7">
        <f t="shared" si="43"/>
        <v>50</v>
      </c>
      <c r="N285" s="7">
        <f t="shared" si="40"/>
        <v>0</v>
      </c>
      <c r="O285" s="7">
        <f t="shared" si="41"/>
        <v>0</v>
      </c>
      <c r="P285" s="7">
        <f t="shared" si="42"/>
        <v>33</v>
      </c>
      <c r="Q285" s="8">
        <f t="shared" si="44"/>
        <v>22.45</v>
      </c>
      <c r="R285" s="8">
        <f t="shared" si="45"/>
        <v>18.25</v>
      </c>
      <c r="S285" s="8">
        <f t="shared" si="46"/>
        <v>22.35</v>
      </c>
      <c r="T285" s="8">
        <f t="shared" si="47"/>
        <v>20.75</v>
      </c>
      <c r="U285" s="7">
        <f t="shared" si="48"/>
        <v>21.016666666666669</v>
      </c>
      <c r="V285" s="7">
        <f t="shared" si="49"/>
        <v>20.950000000000003</v>
      </c>
    </row>
    <row r="286" spans="1:22" ht="13.5" x14ac:dyDescent="0.25">
      <c r="A286" s="3">
        <f>RSI!A286</f>
        <v>45331</v>
      </c>
      <c r="B286" s="2">
        <f>RSI!B286</f>
        <v>4.7809999999999997</v>
      </c>
      <c r="C286" s="2">
        <f>RSI!I286</f>
        <v>41.223487463793397</v>
      </c>
      <c r="D286" s="2">
        <f>MACD!E286</f>
        <v>2.5017233932046246E-2</v>
      </c>
      <c r="E286" s="2">
        <f>MACD!F286</f>
        <v>3.0344303853048683E-2</v>
      </c>
      <c r="F286" s="2">
        <f>'Moving Avg'!D286</f>
        <v>4.7453999999999992</v>
      </c>
      <c r="G286" s="2">
        <f>'Moving Avg'!F286</f>
        <v>4.8811499999999999</v>
      </c>
      <c r="H286" s="2">
        <f>'Moving Avg'!G286</f>
        <v>5.1409800000000017</v>
      </c>
      <c r="I286" s="2">
        <f>'Moving Avg'!H286</f>
        <v>5.5727700000000029</v>
      </c>
      <c r="J286" s="5" t="str">
        <f>OBV!F286</f>
        <v>BEARISH</v>
      </c>
      <c r="K286" s="5" t="str">
        <f>OBV!G286</f>
        <v>NEUTRAL</v>
      </c>
      <c r="L286" s="5" t="str">
        <f>OBV!H286</f>
        <v>CONFIRMED BEARISH</v>
      </c>
      <c r="M286" s="7">
        <f t="shared" si="43"/>
        <v>50</v>
      </c>
      <c r="N286" s="7">
        <f t="shared" si="40"/>
        <v>45</v>
      </c>
      <c r="O286" s="7">
        <f t="shared" si="41"/>
        <v>0</v>
      </c>
      <c r="P286" s="7">
        <f t="shared" si="42"/>
        <v>16.5</v>
      </c>
      <c r="Q286" s="8">
        <f t="shared" si="44"/>
        <v>35.725000000000001</v>
      </c>
      <c r="R286" s="8">
        <f t="shared" si="45"/>
        <v>23.125</v>
      </c>
      <c r="S286" s="8">
        <f t="shared" si="46"/>
        <v>21.675000000000001</v>
      </c>
      <c r="T286" s="8">
        <f t="shared" si="47"/>
        <v>27.875</v>
      </c>
      <c r="U286" s="7">
        <f t="shared" si="48"/>
        <v>26.841666666666669</v>
      </c>
      <c r="V286" s="7">
        <f t="shared" si="49"/>
        <v>27.1</v>
      </c>
    </row>
    <row r="287" spans="1:22" ht="13.5" x14ac:dyDescent="0.25">
      <c r="A287" s="3">
        <f>RSI!A287</f>
        <v>45334</v>
      </c>
      <c r="B287" s="2">
        <f>RSI!B287</f>
        <v>4.7009999999999996</v>
      </c>
      <c r="C287" s="2">
        <f>RSI!I287</f>
        <v>37.813560601764166</v>
      </c>
      <c r="D287" s="2">
        <f>MACD!E287</f>
        <v>3.7117170013102552E-2</v>
      </c>
      <c r="E287" s="2">
        <f>MACD!F287</f>
        <v>3.169887708505946E-2</v>
      </c>
      <c r="F287" s="2">
        <f>'Moving Avg'!D287</f>
        <v>4.7471999999999994</v>
      </c>
      <c r="G287" s="2">
        <f>'Moving Avg'!F287</f>
        <v>4.8678500000000007</v>
      </c>
      <c r="H287" s="2">
        <f>'Moving Avg'!G287</f>
        <v>5.1243000000000016</v>
      </c>
      <c r="I287" s="2">
        <f>'Moving Avg'!H287</f>
        <v>5.5690100000000022</v>
      </c>
      <c r="J287" s="5" t="str">
        <f>OBV!F287</f>
        <v>BULLISH</v>
      </c>
      <c r="K287" s="5" t="str">
        <f>OBV!G287</f>
        <v>NEUTRAL</v>
      </c>
      <c r="L287" s="5" t="str">
        <f>OBV!H287</f>
        <v>CONFIRMED BULLISH</v>
      </c>
      <c r="M287" s="7">
        <f t="shared" si="43"/>
        <v>50</v>
      </c>
      <c r="N287" s="7">
        <f t="shared" si="40"/>
        <v>0</v>
      </c>
      <c r="O287" s="7">
        <f t="shared" si="41"/>
        <v>0</v>
      </c>
      <c r="P287" s="7">
        <f t="shared" si="42"/>
        <v>83.5</v>
      </c>
      <c r="Q287" s="8">
        <f t="shared" si="44"/>
        <v>30.024999999999999</v>
      </c>
      <c r="R287" s="8">
        <f t="shared" si="45"/>
        <v>30.875</v>
      </c>
      <c r="S287" s="8">
        <f t="shared" si="46"/>
        <v>45.075000000000003</v>
      </c>
      <c r="T287" s="8">
        <f t="shared" si="47"/>
        <v>33.375</v>
      </c>
      <c r="U287" s="7">
        <f t="shared" si="48"/>
        <v>35.324999999999996</v>
      </c>
      <c r="V287" s="7">
        <f t="shared" si="49"/>
        <v>34.837499999999999</v>
      </c>
    </row>
    <row r="288" spans="1:22" ht="13.5" x14ac:dyDescent="0.25">
      <c r="A288" s="3">
        <f>RSI!A288</f>
        <v>45335</v>
      </c>
      <c r="B288" s="2">
        <f>RSI!B288</f>
        <v>4.7009999999999996</v>
      </c>
      <c r="C288" s="2">
        <f>RSI!I288</f>
        <v>37.813560601764166</v>
      </c>
      <c r="D288" s="2">
        <f>MACD!E288</f>
        <v>5.547333452090264E-2</v>
      </c>
      <c r="E288" s="2">
        <f>MACD!F288</f>
        <v>3.6453768572228096E-2</v>
      </c>
      <c r="F288" s="2">
        <f>'Moving Avg'!D288</f>
        <v>4.7329999999999997</v>
      </c>
      <c r="G288" s="2">
        <f>'Moving Avg'!F288</f>
        <v>4.8545499999999997</v>
      </c>
      <c r="H288" s="2">
        <f>'Moving Avg'!G288</f>
        <v>5.1076200000000007</v>
      </c>
      <c r="I288" s="2">
        <f>'Moving Avg'!H288</f>
        <v>5.5653350000000019</v>
      </c>
      <c r="J288" s="5" t="str">
        <f>OBV!F288</f>
        <v>BEARISH</v>
      </c>
      <c r="K288" s="5" t="str">
        <f>OBV!G288</f>
        <v>STRONG</v>
      </c>
      <c r="L288" s="5" t="str">
        <f>OBV!H288</f>
        <v>CONFIRMED BEARISH</v>
      </c>
      <c r="M288" s="7">
        <f t="shared" si="43"/>
        <v>50</v>
      </c>
      <c r="N288" s="7">
        <f t="shared" si="40"/>
        <v>0</v>
      </c>
      <c r="O288" s="7">
        <f t="shared" si="41"/>
        <v>0</v>
      </c>
      <c r="P288" s="7">
        <f t="shared" si="42"/>
        <v>33</v>
      </c>
      <c r="Q288" s="8">
        <f t="shared" si="44"/>
        <v>22.45</v>
      </c>
      <c r="R288" s="8">
        <f t="shared" si="45"/>
        <v>18.25</v>
      </c>
      <c r="S288" s="8">
        <f t="shared" si="46"/>
        <v>22.35</v>
      </c>
      <c r="T288" s="8">
        <f t="shared" si="47"/>
        <v>20.75</v>
      </c>
      <c r="U288" s="7">
        <f t="shared" si="48"/>
        <v>21.016666666666669</v>
      </c>
      <c r="V288" s="7">
        <f t="shared" si="49"/>
        <v>20.950000000000003</v>
      </c>
    </row>
    <row r="289" spans="1:22" ht="13.5" x14ac:dyDescent="0.25">
      <c r="A289" s="3">
        <f>RSI!A289</f>
        <v>45336</v>
      </c>
      <c r="B289" s="2">
        <f>RSI!B289</f>
        <v>4.6920000000000002</v>
      </c>
      <c r="C289" s="2">
        <f>RSI!I289</f>
        <v>37.409815018744709</v>
      </c>
      <c r="D289" s="2">
        <f>MACD!E289</f>
        <v>5.2459237374353762E-2</v>
      </c>
      <c r="E289" s="2">
        <f>MACD!F289</f>
        <v>3.965486233265323E-2</v>
      </c>
      <c r="F289" s="2">
        <f>'Moving Avg'!D289</f>
        <v>4.7311999999999994</v>
      </c>
      <c r="G289" s="2">
        <f>'Moving Avg'!F289</f>
        <v>4.8425499999999984</v>
      </c>
      <c r="H289" s="2">
        <f>'Moving Avg'!G289</f>
        <v>5.0909400000000007</v>
      </c>
      <c r="I289" s="2">
        <f>'Moving Avg'!H289</f>
        <v>5.5616150000000015</v>
      </c>
      <c r="J289" s="5" t="str">
        <f>OBV!F289</f>
        <v>BEARISH</v>
      </c>
      <c r="K289" s="5" t="str">
        <f>OBV!G289</f>
        <v>STRONG</v>
      </c>
      <c r="L289" s="5" t="str">
        <f>OBV!H289</f>
        <v>CONFIRMED BEARISH</v>
      </c>
      <c r="M289" s="7">
        <f t="shared" si="43"/>
        <v>50</v>
      </c>
      <c r="N289" s="7">
        <f t="shared" si="40"/>
        <v>0</v>
      </c>
      <c r="O289" s="7">
        <f t="shared" si="41"/>
        <v>0</v>
      </c>
      <c r="P289" s="7">
        <f t="shared" si="42"/>
        <v>33</v>
      </c>
      <c r="Q289" s="8">
        <f t="shared" si="44"/>
        <v>22.45</v>
      </c>
      <c r="R289" s="8">
        <f t="shared" si="45"/>
        <v>18.25</v>
      </c>
      <c r="S289" s="8">
        <f t="shared" si="46"/>
        <v>22.35</v>
      </c>
      <c r="T289" s="8">
        <f t="shared" si="47"/>
        <v>20.75</v>
      </c>
      <c r="U289" s="7">
        <f t="shared" si="48"/>
        <v>21.016666666666669</v>
      </c>
      <c r="V289" s="7">
        <f t="shared" si="49"/>
        <v>20.950000000000003</v>
      </c>
    </row>
    <row r="290" spans="1:22" ht="13.5" x14ac:dyDescent="0.25">
      <c r="A290" s="3">
        <f>RSI!A290</f>
        <v>45337</v>
      </c>
      <c r="B290" s="2">
        <f>RSI!B290</f>
        <v>4.6920000000000002</v>
      </c>
      <c r="C290" s="2">
        <f>RSI!I290</f>
        <v>37.409815018744709</v>
      </c>
      <c r="D290" s="2">
        <f>MACD!E290</f>
        <v>5.8041249725356181E-2</v>
      </c>
      <c r="E290" s="2">
        <f>MACD!F290</f>
        <v>4.3332139811193826E-2</v>
      </c>
      <c r="F290" s="2">
        <f>'Moving Avg'!D290</f>
        <v>4.7134</v>
      </c>
      <c r="G290" s="2">
        <f>'Moving Avg'!F290</f>
        <v>4.8287999999999993</v>
      </c>
      <c r="H290" s="2">
        <f>'Moving Avg'!G290</f>
        <v>5.0742600000000015</v>
      </c>
      <c r="I290" s="2">
        <f>'Moving Avg'!H290</f>
        <v>5.5579800000000015</v>
      </c>
      <c r="J290" s="5" t="str">
        <f>OBV!F290</f>
        <v>BEARISH</v>
      </c>
      <c r="K290" s="5" t="str">
        <f>OBV!G290</f>
        <v>STRONG</v>
      </c>
      <c r="L290" s="5" t="str">
        <f>OBV!H290</f>
        <v>CONFIRMED BEARISH</v>
      </c>
      <c r="M290" s="7">
        <f t="shared" si="43"/>
        <v>50</v>
      </c>
      <c r="N290" s="7">
        <f t="shared" si="40"/>
        <v>0</v>
      </c>
      <c r="O290" s="7">
        <f t="shared" si="41"/>
        <v>0</v>
      </c>
      <c r="P290" s="7">
        <f t="shared" si="42"/>
        <v>33</v>
      </c>
      <c r="Q290" s="8">
        <f t="shared" si="44"/>
        <v>22.45</v>
      </c>
      <c r="R290" s="8">
        <f t="shared" si="45"/>
        <v>18.25</v>
      </c>
      <c r="S290" s="8">
        <f t="shared" si="46"/>
        <v>22.35</v>
      </c>
      <c r="T290" s="8">
        <f t="shared" si="47"/>
        <v>20.75</v>
      </c>
      <c r="U290" s="7">
        <f t="shared" si="48"/>
        <v>21.016666666666669</v>
      </c>
      <c r="V290" s="7">
        <f t="shared" si="49"/>
        <v>20.950000000000003</v>
      </c>
    </row>
    <row r="291" spans="1:22" ht="13.5" x14ac:dyDescent="0.25">
      <c r="A291" s="3">
        <f>RSI!A291</f>
        <v>45338</v>
      </c>
      <c r="B291" s="2">
        <f>RSI!B291</f>
        <v>4.7009999999999996</v>
      </c>
      <c r="C291" s="2">
        <f>RSI!I291</f>
        <v>38.17539562531443</v>
      </c>
      <c r="D291" s="2">
        <f>MACD!E291</f>
        <v>6.1832954561893416E-2</v>
      </c>
      <c r="E291" s="2">
        <f>MACD!F291</f>
        <v>4.7032302761333744E-2</v>
      </c>
      <c r="F291" s="2">
        <f>'Moving Avg'!D291</f>
        <v>4.6974</v>
      </c>
      <c r="G291" s="2">
        <f>'Moving Avg'!F291</f>
        <v>4.8154999999999983</v>
      </c>
      <c r="H291" s="2">
        <f>'Moving Avg'!G291</f>
        <v>5.0577600000000009</v>
      </c>
      <c r="I291" s="2">
        <f>'Moving Avg'!H291</f>
        <v>5.5538800000000013</v>
      </c>
      <c r="J291" s="5" t="str">
        <f>OBV!F291</f>
        <v>BEARISH</v>
      </c>
      <c r="K291" s="5" t="str">
        <f>OBV!G291</f>
        <v>STRONG</v>
      </c>
      <c r="L291" s="5" t="str">
        <f>OBV!H291</f>
        <v>CONFIRMED BEARISH</v>
      </c>
      <c r="M291" s="7">
        <f t="shared" si="43"/>
        <v>50</v>
      </c>
      <c r="N291" s="7">
        <f t="shared" si="40"/>
        <v>0</v>
      </c>
      <c r="O291" s="7">
        <f t="shared" si="41"/>
        <v>0</v>
      </c>
      <c r="P291" s="7">
        <f t="shared" si="42"/>
        <v>33</v>
      </c>
      <c r="Q291" s="8">
        <f t="shared" si="44"/>
        <v>22.45</v>
      </c>
      <c r="R291" s="8">
        <f t="shared" si="45"/>
        <v>18.25</v>
      </c>
      <c r="S291" s="8">
        <f t="shared" si="46"/>
        <v>22.35</v>
      </c>
      <c r="T291" s="8">
        <f t="shared" si="47"/>
        <v>20.75</v>
      </c>
      <c r="U291" s="7">
        <f t="shared" si="48"/>
        <v>21.016666666666669</v>
      </c>
      <c r="V291" s="7">
        <f t="shared" si="49"/>
        <v>20.950000000000003</v>
      </c>
    </row>
    <row r="292" spans="1:22" ht="13.5" x14ac:dyDescent="0.25">
      <c r="A292" s="3">
        <f>RSI!A292</f>
        <v>45341</v>
      </c>
      <c r="B292" s="2">
        <f>RSI!B292</f>
        <v>4.95</v>
      </c>
      <c r="C292" s="2">
        <f>RSI!I292</f>
        <v>54.688665053561124</v>
      </c>
      <c r="D292" s="2">
        <f>MACD!E292</f>
        <v>2.0195880521437282E-2</v>
      </c>
      <c r="E292" s="2">
        <f>MACD!F292</f>
        <v>4.1665018313354459E-2</v>
      </c>
      <c r="F292" s="2">
        <f>'Moving Avg'!D292</f>
        <v>4.7472000000000003</v>
      </c>
      <c r="G292" s="2">
        <f>'Moving Avg'!F292</f>
        <v>4.8110999999999997</v>
      </c>
      <c r="H292" s="2">
        <f>'Moving Avg'!G292</f>
        <v>5.0462400000000009</v>
      </c>
      <c r="I292" s="2">
        <f>'Moving Avg'!H292</f>
        <v>5.5510250000000019</v>
      </c>
      <c r="J292" s="5" t="str">
        <f>OBV!F292</f>
        <v>BULLISH</v>
      </c>
      <c r="K292" s="5" t="str">
        <f>OBV!G292</f>
        <v>WEAK</v>
      </c>
      <c r="L292" s="5" t="str">
        <f>OBV!H292</f>
        <v>CONFIRMED BULLISH</v>
      </c>
      <c r="M292" s="7">
        <f t="shared" si="43"/>
        <v>50</v>
      </c>
      <c r="N292" s="7">
        <f t="shared" si="40"/>
        <v>100</v>
      </c>
      <c r="O292" s="7">
        <f t="shared" si="41"/>
        <v>0</v>
      </c>
      <c r="P292" s="7">
        <f t="shared" si="42"/>
        <v>67</v>
      </c>
      <c r="Q292" s="8">
        <f t="shared" si="44"/>
        <v>62.55</v>
      </c>
      <c r="R292" s="8">
        <f t="shared" si="45"/>
        <v>46.75</v>
      </c>
      <c r="S292" s="8">
        <f t="shared" si="46"/>
        <v>52.650000000000006</v>
      </c>
      <c r="T292" s="8">
        <f t="shared" si="47"/>
        <v>54.25</v>
      </c>
      <c r="U292" s="7">
        <f t="shared" si="48"/>
        <v>53.983333333333327</v>
      </c>
      <c r="V292" s="7">
        <f t="shared" si="49"/>
        <v>54.05</v>
      </c>
    </row>
    <row r="293" spans="1:22" ht="13.5" x14ac:dyDescent="0.25">
      <c r="A293" s="3">
        <f>RSI!A293</f>
        <v>45342</v>
      </c>
      <c r="B293" s="2">
        <f>RSI!B293</f>
        <v>4.95</v>
      </c>
      <c r="C293" s="2">
        <f>RSI!I293</f>
        <v>54.688665053561124</v>
      </c>
      <c r="D293" s="2">
        <f>MACD!E293</f>
        <v>-3.2883898011011325E-3</v>
      </c>
      <c r="E293" s="2">
        <f>MACD!F293</f>
        <v>3.2674336690463344E-2</v>
      </c>
      <c r="F293" s="2">
        <f>'Moving Avg'!D293</f>
        <v>4.7969999999999997</v>
      </c>
      <c r="G293" s="2">
        <f>'Moving Avg'!F293</f>
        <v>4.810249999999999</v>
      </c>
      <c r="H293" s="2">
        <f>'Moving Avg'!G293</f>
        <v>5.0352400000000008</v>
      </c>
      <c r="I293" s="2">
        <f>'Moving Avg'!H293</f>
        <v>5.5481700000000016</v>
      </c>
      <c r="J293" s="5" t="str">
        <f>OBV!F293</f>
        <v>BULLISH</v>
      </c>
      <c r="K293" s="5" t="str">
        <f>OBV!G293</f>
        <v>WEAK</v>
      </c>
      <c r="L293" s="5" t="str">
        <f>OBV!H293</f>
        <v>CONFIRMED BULLISH</v>
      </c>
      <c r="M293" s="7">
        <f t="shared" si="43"/>
        <v>50</v>
      </c>
      <c r="N293" s="7">
        <f t="shared" si="40"/>
        <v>100</v>
      </c>
      <c r="O293" s="7">
        <f t="shared" si="41"/>
        <v>0</v>
      </c>
      <c r="P293" s="7">
        <f t="shared" si="42"/>
        <v>67</v>
      </c>
      <c r="Q293" s="8">
        <f t="shared" si="44"/>
        <v>62.55</v>
      </c>
      <c r="R293" s="8">
        <f t="shared" si="45"/>
        <v>46.75</v>
      </c>
      <c r="S293" s="8">
        <f t="shared" si="46"/>
        <v>52.650000000000006</v>
      </c>
      <c r="T293" s="8">
        <f t="shared" si="47"/>
        <v>54.25</v>
      </c>
      <c r="U293" s="7">
        <f t="shared" si="48"/>
        <v>53.983333333333327</v>
      </c>
      <c r="V293" s="7">
        <f t="shared" si="49"/>
        <v>54.05</v>
      </c>
    </row>
    <row r="294" spans="1:22" ht="13.5" x14ac:dyDescent="0.25">
      <c r="A294" s="3">
        <f>RSI!A294</f>
        <v>45343</v>
      </c>
      <c r="B294" s="2">
        <f>RSI!B294</f>
        <v>4.923</v>
      </c>
      <c r="C294" s="2">
        <f>RSI!I294</f>
        <v>52.911389879446688</v>
      </c>
      <c r="D294" s="2">
        <f>MACD!E294</f>
        <v>-3.2601839315329784E-2</v>
      </c>
      <c r="E294" s="2">
        <f>MACD!F294</f>
        <v>1.9619101489304718E-2</v>
      </c>
      <c r="F294" s="2">
        <f>'Moving Avg'!D294</f>
        <v>4.8432000000000004</v>
      </c>
      <c r="G294" s="2">
        <f>'Moving Avg'!F294</f>
        <v>4.8124500000000001</v>
      </c>
      <c r="H294" s="2">
        <f>'Moving Avg'!G294</f>
        <v>5.0254800000000008</v>
      </c>
      <c r="I294" s="2">
        <f>'Moving Avg'!H294</f>
        <v>5.5451800000000011</v>
      </c>
      <c r="J294" s="5" t="str">
        <f>OBV!F294</f>
        <v>BULLISH</v>
      </c>
      <c r="K294" s="5" t="str">
        <f>OBV!G294</f>
        <v>WEAK</v>
      </c>
      <c r="L294" s="5" t="str">
        <f>OBV!H294</f>
        <v>CONFIRMED BULLISH</v>
      </c>
      <c r="M294" s="7">
        <f t="shared" si="43"/>
        <v>50</v>
      </c>
      <c r="N294" s="7">
        <f t="shared" si="40"/>
        <v>100</v>
      </c>
      <c r="O294" s="7">
        <f t="shared" si="41"/>
        <v>0</v>
      </c>
      <c r="P294" s="7">
        <f t="shared" si="42"/>
        <v>67</v>
      </c>
      <c r="Q294" s="8">
        <f t="shared" si="44"/>
        <v>62.55</v>
      </c>
      <c r="R294" s="8">
        <f t="shared" si="45"/>
        <v>46.75</v>
      </c>
      <c r="S294" s="8">
        <f t="shared" si="46"/>
        <v>52.650000000000006</v>
      </c>
      <c r="T294" s="8">
        <f t="shared" si="47"/>
        <v>54.25</v>
      </c>
      <c r="U294" s="7">
        <f t="shared" si="48"/>
        <v>53.983333333333327</v>
      </c>
      <c r="V294" s="7">
        <f t="shared" si="49"/>
        <v>54.05</v>
      </c>
    </row>
    <row r="295" spans="1:22" ht="13.5" x14ac:dyDescent="0.25">
      <c r="A295" s="3">
        <f>RSI!A295</f>
        <v>45344</v>
      </c>
      <c r="B295" s="2">
        <f>RSI!B295</f>
        <v>4.95</v>
      </c>
      <c r="C295" s="2">
        <f>RSI!I295</f>
        <v>54.503666201748423</v>
      </c>
      <c r="D295" s="2">
        <f>MACD!E295</f>
        <v>-4.7418908429720297E-2</v>
      </c>
      <c r="E295" s="2">
        <f>MACD!F295</f>
        <v>6.2114995054997155E-3</v>
      </c>
      <c r="F295" s="2">
        <f>'Moving Avg'!D295</f>
        <v>4.8948</v>
      </c>
      <c r="G295" s="2">
        <f>'Moving Avg'!F295</f>
        <v>4.8116000000000003</v>
      </c>
      <c r="H295" s="2">
        <f>'Moving Avg'!G295</f>
        <v>5.0164400000000002</v>
      </c>
      <c r="I295" s="2">
        <f>'Moving Avg'!H295</f>
        <v>5.5421950000000013</v>
      </c>
      <c r="J295" s="5" t="str">
        <f>OBV!F295</f>
        <v>BULLISH</v>
      </c>
      <c r="K295" s="5" t="str">
        <f>OBV!G295</f>
        <v>WEAK</v>
      </c>
      <c r="L295" s="5" t="str">
        <f>OBV!H295</f>
        <v>CONFIRMED BULLISH</v>
      </c>
      <c r="M295" s="7">
        <f t="shared" si="43"/>
        <v>50</v>
      </c>
      <c r="N295" s="7">
        <f t="shared" si="40"/>
        <v>100</v>
      </c>
      <c r="O295" s="7">
        <f t="shared" si="41"/>
        <v>0</v>
      </c>
      <c r="P295" s="7">
        <f t="shared" si="42"/>
        <v>67</v>
      </c>
      <c r="Q295" s="8">
        <f t="shared" si="44"/>
        <v>62.55</v>
      </c>
      <c r="R295" s="8">
        <f t="shared" si="45"/>
        <v>46.75</v>
      </c>
      <c r="S295" s="8">
        <f t="shared" si="46"/>
        <v>52.650000000000006</v>
      </c>
      <c r="T295" s="8">
        <f t="shared" si="47"/>
        <v>54.25</v>
      </c>
      <c r="U295" s="7">
        <f t="shared" si="48"/>
        <v>53.983333333333327</v>
      </c>
      <c r="V295" s="7">
        <f t="shared" si="49"/>
        <v>54.05</v>
      </c>
    </row>
    <row r="296" spans="1:22" ht="13.5" x14ac:dyDescent="0.25">
      <c r="A296" s="3">
        <f>RSI!A296</f>
        <v>45345</v>
      </c>
      <c r="B296" s="2">
        <f>RSI!B296</f>
        <v>4.95</v>
      </c>
      <c r="C296" s="2">
        <f>RSI!I296</f>
        <v>54.503666201748423</v>
      </c>
      <c r="D296" s="2">
        <f>MACD!E296</f>
        <v>-6.0413262768006959E-2</v>
      </c>
      <c r="E296" s="2">
        <f>MACD!F296</f>
        <v>-7.1134529492016202E-3</v>
      </c>
      <c r="F296" s="2">
        <f>'Moving Avg'!D296</f>
        <v>4.9445999999999994</v>
      </c>
      <c r="G296" s="2">
        <f>'Moving Avg'!F296</f>
        <v>4.8205000000000009</v>
      </c>
      <c r="H296" s="2">
        <f>'Moving Avg'!G296</f>
        <v>5.0065200000000001</v>
      </c>
      <c r="I296" s="2">
        <f>'Moving Avg'!H296</f>
        <v>5.5391700000000004</v>
      </c>
      <c r="J296" s="5" t="str">
        <f>OBV!F296</f>
        <v>BULLISH</v>
      </c>
      <c r="K296" s="5" t="str">
        <f>OBV!G296</f>
        <v>WEAK</v>
      </c>
      <c r="L296" s="5" t="str">
        <f>OBV!H296</f>
        <v>CONFIRMED BULLISH</v>
      </c>
      <c r="M296" s="7">
        <f t="shared" si="43"/>
        <v>50</v>
      </c>
      <c r="N296" s="7">
        <f t="shared" si="40"/>
        <v>100</v>
      </c>
      <c r="O296" s="7">
        <f t="shared" si="41"/>
        <v>0</v>
      </c>
      <c r="P296" s="7">
        <f t="shared" si="42"/>
        <v>67</v>
      </c>
      <c r="Q296" s="8">
        <f t="shared" si="44"/>
        <v>62.55</v>
      </c>
      <c r="R296" s="8">
        <f t="shared" si="45"/>
        <v>46.75</v>
      </c>
      <c r="S296" s="8">
        <f t="shared" si="46"/>
        <v>52.650000000000006</v>
      </c>
      <c r="T296" s="8">
        <f t="shared" si="47"/>
        <v>54.25</v>
      </c>
      <c r="U296" s="7">
        <f t="shared" si="48"/>
        <v>53.983333333333327</v>
      </c>
      <c r="V296" s="7">
        <f t="shared" si="49"/>
        <v>54.05</v>
      </c>
    </row>
    <row r="297" spans="1:22" ht="13.5" x14ac:dyDescent="0.25">
      <c r="A297" s="3">
        <f>RSI!A297</f>
        <v>45348</v>
      </c>
      <c r="B297" s="2">
        <f>RSI!B297</f>
        <v>4.9409999999999998</v>
      </c>
      <c r="C297" s="2">
        <f>RSI!I297</f>
        <v>53.800373728225942</v>
      </c>
      <c r="D297" s="2">
        <f>MACD!E297</f>
        <v>-8.3472506049934836E-2</v>
      </c>
      <c r="E297" s="2">
        <f>MACD!F297</f>
        <v>-2.2385263569348265E-2</v>
      </c>
      <c r="F297" s="2">
        <f>'Moving Avg'!D297</f>
        <v>4.9428000000000001</v>
      </c>
      <c r="G297" s="2">
        <f>'Moving Avg'!F297</f>
        <v>4.8214000000000006</v>
      </c>
      <c r="H297" s="2">
        <f>'Moving Avg'!G297</f>
        <v>4.9967599999999992</v>
      </c>
      <c r="I297" s="2">
        <f>'Moving Avg'!H297</f>
        <v>5.5360550000000002</v>
      </c>
      <c r="J297" s="5" t="str">
        <f>OBV!F297</f>
        <v>BEARISH</v>
      </c>
      <c r="K297" s="5" t="str">
        <f>OBV!G297</f>
        <v>STRONG</v>
      </c>
      <c r="L297" s="5" t="str">
        <f>OBV!H297</f>
        <v>CONFIRMED BEARISH</v>
      </c>
      <c r="M297" s="7">
        <f t="shared" si="43"/>
        <v>50</v>
      </c>
      <c r="N297" s="7">
        <f t="shared" si="40"/>
        <v>100</v>
      </c>
      <c r="O297" s="7">
        <f t="shared" si="41"/>
        <v>0</v>
      </c>
      <c r="P297" s="7">
        <f t="shared" si="42"/>
        <v>33</v>
      </c>
      <c r="Q297" s="8">
        <f t="shared" si="44"/>
        <v>57.45</v>
      </c>
      <c r="R297" s="8">
        <f t="shared" si="45"/>
        <v>38.25</v>
      </c>
      <c r="S297" s="8">
        <f t="shared" si="46"/>
        <v>37.35</v>
      </c>
      <c r="T297" s="8">
        <f t="shared" si="47"/>
        <v>45.75</v>
      </c>
      <c r="U297" s="7">
        <f t="shared" si="48"/>
        <v>44.35</v>
      </c>
      <c r="V297" s="7">
        <f t="shared" si="49"/>
        <v>44.7</v>
      </c>
    </row>
    <row r="298" spans="1:22" ht="13.5" x14ac:dyDescent="0.25">
      <c r="A298" s="3">
        <f>RSI!A298</f>
        <v>45349</v>
      </c>
      <c r="B298" s="2">
        <f>RSI!B298</f>
        <v>5.0380000000000003</v>
      </c>
      <c r="C298" s="2">
        <f>RSI!I298</f>
        <v>59.818367561371097</v>
      </c>
      <c r="D298" s="2">
        <f>MACD!E298</f>
        <v>-0.11050783903663142</v>
      </c>
      <c r="E298" s="2">
        <f>MACD!F298</f>
        <v>-4.0009778662804897E-2</v>
      </c>
      <c r="F298" s="2">
        <f>'Moving Avg'!D298</f>
        <v>4.9603999999999999</v>
      </c>
      <c r="G298" s="2">
        <f>'Moving Avg'!F298</f>
        <v>4.8249500000000003</v>
      </c>
      <c r="H298" s="2">
        <f>'Moving Avg'!G298</f>
        <v>4.9892999999999992</v>
      </c>
      <c r="I298" s="2">
        <f>'Moving Avg'!H298</f>
        <v>5.5334250000000011</v>
      </c>
      <c r="J298" s="5" t="str">
        <f>OBV!F298</f>
        <v>BEARISH</v>
      </c>
      <c r="K298" s="5" t="str">
        <f>OBV!G298</f>
        <v>NEUTRAL</v>
      </c>
      <c r="L298" s="5" t="str">
        <f>OBV!H298</f>
        <v>BEARISH DIVERGENCE</v>
      </c>
      <c r="M298" s="7">
        <f t="shared" si="43"/>
        <v>50</v>
      </c>
      <c r="N298" s="7">
        <f t="shared" si="40"/>
        <v>100</v>
      </c>
      <c r="O298" s="7">
        <f t="shared" si="41"/>
        <v>0</v>
      </c>
      <c r="P298" s="7">
        <f t="shared" si="42"/>
        <v>16.5</v>
      </c>
      <c r="Q298" s="8">
        <f t="shared" si="44"/>
        <v>54.975000000000001</v>
      </c>
      <c r="R298" s="8">
        <f t="shared" si="45"/>
        <v>34.125</v>
      </c>
      <c r="S298" s="8">
        <f t="shared" si="46"/>
        <v>29.925000000000001</v>
      </c>
      <c r="T298" s="8">
        <f t="shared" si="47"/>
        <v>41.625</v>
      </c>
      <c r="U298" s="7">
        <f t="shared" si="48"/>
        <v>39.674999999999997</v>
      </c>
      <c r="V298" s="7">
        <f t="shared" si="49"/>
        <v>40.162499999999994</v>
      </c>
    </row>
    <row r="299" spans="1:22" ht="13.5" x14ac:dyDescent="0.25">
      <c r="A299" s="3">
        <f>RSI!A299</f>
        <v>45350</v>
      </c>
      <c r="B299" s="2">
        <f>RSI!B299</f>
        <v>5.0380000000000003</v>
      </c>
      <c r="C299" s="2">
        <f>RSI!I299</f>
        <v>59.818367561371105</v>
      </c>
      <c r="D299" s="2">
        <f>MACD!E299</f>
        <v>-0.13565509036197287</v>
      </c>
      <c r="E299" s="2">
        <f>MACD!F299</f>
        <v>-5.9138841002638498E-2</v>
      </c>
      <c r="F299" s="2">
        <f>'Moving Avg'!D299</f>
        <v>4.9834000000000005</v>
      </c>
      <c r="G299" s="2">
        <f>'Moving Avg'!F299</f>
        <v>4.8351500000000005</v>
      </c>
      <c r="H299" s="2">
        <f>'Moving Avg'!G299</f>
        <v>4.9816599999999998</v>
      </c>
      <c r="I299" s="2">
        <f>'Moving Avg'!H299</f>
        <v>5.5306700000000015</v>
      </c>
      <c r="J299" s="5" t="str">
        <f>OBV!F299</f>
        <v>BULLISH</v>
      </c>
      <c r="K299" s="5" t="str">
        <f>OBV!G299</f>
        <v>WEAK</v>
      </c>
      <c r="L299" s="5" t="str">
        <f>OBV!H299</f>
        <v>CONFIRMED BULLISH</v>
      </c>
      <c r="M299" s="7">
        <f t="shared" si="43"/>
        <v>50</v>
      </c>
      <c r="N299" s="7">
        <f t="shared" si="40"/>
        <v>100</v>
      </c>
      <c r="O299" s="7">
        <f t="shared" si="41"/>
        <v>0</v>
      </c>
      <c r="P299" s="7">
        <f t="shared" si="42"/>
        <v>67</v>
      </c>
      <c r="Q299" s="8">
        <f t="shared" si="44"/>
        <v>62.55</v>
      </c>
      <c r="R299" s="8">
        <f t="shared" si="45"/>
        <v>46.75</v>
      </c>
      <c r="S299" s="8">
        <f t="shared" si="46"/>
        <v>52.650000000000006</v>
      </c>
      <c r="T299" s="8">
        <f t="shared" si="47"/>
        <v>54.25</v>
      </c>
      <c r="U299" s="7">
        <f t="shared" si="48"/>
        <v>53.983333333333327</v>
      </c>
      <c r="V299" s="7">
        <f t="shared" si="49"/>
        <v>54.05</v>
      </c>
    </row>
    <row r="300" spans="1:22" ht="13.5" x14ac:dyDescent="0.25">
      <c r="A300" s="3">
        <f>RSI!A300</f>
        <v>45351</v>
      </c>
      <c r="B300" s="2">
        <f>RSI!B300</f>
        <v>5.0999999999999996</v>
      </c>
      <c r="C300" s="2">
        <f>RSI!I300</f>
        <v>63.356689168607211</v>
      </c>
      <c r="D300" s="2">
        <f>MACD!E300</f>
        <v>-0.16234703837627862</v>
      </c>
      <c r="E300" s="2">
        <f>MACD!F300</f>
        <v>-7.9780480477366522E-2</v>
      </c>
      <c r="F300" s="2">
        <f>'Moving Avg'!D300</f>
        <v>5.0133999999999999</v>
      </c>
      <c r="G300" s="2">
        <f>'Moving Avg'!F300</f>
        <v>4.8461999999999996</v>
      </c>
      <c r="H300" s="2">
        <f>'Moving Avg'!G300</f>
        <v>4.9756199999999993</v>
      </c>
      <c r="I300" s="2">
        <f>'Moving Avg'!H300</f>
        <v>5.5281800000000008</v>
      </c>
      <c r="J300" s="5" t="str">
        <f>OBV!F300</f>
        <v>BULLISH</v>
      </c>
      <c r="K300" s="5" t="str">
        <f>OBV!G300</f>
        <v>WEAK</v>
      </c>
      <c r="L300" s="5" t="str">
        <f>OBV!H300</f>
        <v>CONFIRMED BULLISH</v>
      </c>
      <c r="M300" s="7">
        <f t="shared" si="43"/>
        <v>50</v>
      </c>
      <c r="N300" s="7">
        <f t="shared" si="40"/>
        <v>100</v>
      </c>
      <c r="O300" s="7">
        <f t="shared" si="41"/>
        <v>0</v>
      </c>
      <c r="P300" s="7">
        <f t="shared" si="42"/>
        <v>67</v>
      </c>
      <c r="Q300" s="8">
        <f t="shared" si="44"/>
        <v>62.55</v>
      </c>
      <c r="R300" s="8">
        <f t="shared" si="45"/>
        <v>46.75</v>
      </c>
      <c r="S300" s="8">
        <f t="shared" si="46"/>
        <v>52.650000000000006</v>
      </c>
      <c r="T300" s="8">
        <f t="shared" si="47"/>
        <v>54.25</v>
      </c>
      <c r="U300" s="7">
        <f t="shared" si="48"/>
        <v>53.983333333333327</v>
      </c>
      <c r="V300" s="7">
        <f t="shared" si="49"/>
        <v>54.05</v>
      </c>
    </row>
    <row r="301" spans="1:22" ht="13.5" x14ac:dyDescent="0.25">
      <c r="A301" s="3">
        <f>RSI!A301</f>
        <v>45352</v>
      </c>
      <c r="B301" s="2">
        <f>RSI!B301</f>
        <v>5.0119999999999996</v>
      </c>
      <c r="C301" s="2">
        <f>RSI!I301</f>
        <v>55.840545908493048</v>
      </c>
      <c r="D301" s="2">
        <f>MACD!E301</f>
        <v>-0.17815586330627564</v>
      </c>
      <c r="E301" s="2">
        <f>MACD!F301</f>
        <v>-9.9455557043148346E-2</v>
      </c>
      <c r="F301" s="2">
        <f>'Moving Avg'!D301</f>
        <v>5.0257999999999994</v>
      </c>
      <c r="G301" s="2">
        <f>'Moving Avg'!F301</f>
        <v>4.8532999999999999</v>
      </c>
      <c r="H301" s="2">
        <f>'Moving Avg'!G301</f>
        <v>4.968</v>
      </c>
      <c r="I301" s="2">
        <f>'Moving Avg'!H301</f>
        <v>5.5252950000000007</v>
      </c>
      <c r="J301" s="5" t="str">
        <f>OBV!F301</f>
        <v>BULLISH</v>
      </c>
      <c r="K301" s="5" t="str">
        <f>OBV!G301</f>
        <v>NEUTRAL</v>
      </c>
      <c r="L301" s="5" t="str">
        <f>OBV!H301</f>
        <v>CONFIRMED BULLISH</v>
      </c>
      <c r="M301" s="7">
        <f t="shared" si="43"/>
        <v>50</v>
      </c>
      <c r="N301" s="7">
        <f t="shared" si="40"/>
        <v>100</v>
      </c>
      <c r="O301" s="7">
        <f t="shared" si="41"/>
        <v>0</v>
      </c>
      <c r="P301" s="7">
        <f t="shared" si="42"/>
        <v>83.5</v>
      </c>
      <c r="Q301" s="8">
        <f t="shared" si="44"/>
        <v>65.025000000000006</v>
      </c>
      <c r="R301" s="8">
        <f t="shared" si="45"/>
        <v>50.875</v>
      </c>
      <c r="S301" s="8">
        <f t="shared" si="46"/>
        <v>60.075000000000003</v>
      </c>
      <c r="T301" s="8">
        <f t="shared" si="47"/>
        <v>58.375</v>
      </c>
      <c r="U301" s="7">
        <f t="shared" si="48"/>
        <v>58.658333333333339</v>
      </c>
      <c r="V301" s="7">
        <f t="shared" si="49"/>
        <v>58.587500000000006</v>
      </c>
    </row>
    <row r="302" spans="1:22" ht="13.5" x14ac:dyDescent="0.25">
      <c r="A302" s="3">
        <f>RSI!A302</f>
        <v>45355</v>
      </c>
      <c r="B302" s="2">
        <f>RSI!B302</f>
        <v>5.1710000000000003</v>
      </c>
      <c r="C302" s="2">
        <f>RSI!I302</f>
        <v>64.122361566011506</v>
      </c>
      <c r="D302" s="2">
        <f>MACD!E302</f>
        <v>-0.16552567356987691</v>
      </c>
      <c r="E302" s="2">
        <f>MACD!F302</f>
        <v>-0.11266958034849406</v>
      </c>
      <c r="F302" s="2">
        <f>'Moving Avg'!D302</f>
        <v>5.0717999999999996</v>
      </c>
      <c r="G302" s="2">
        <f>'Moving Avg'!F302</f>
        <v>4.8772500000000001</v>
      </c>
      <c r="H302" s="2">
        <f>'Moving Avg'!G302</f>
        <v>4.9635599999999993</v>
      </c>
      <c r="I302" s="2">
        <f>'Moving Avg'!H302</f>
        <v>5.5232450000000002</v>
      </c>
      <c r="J302" s="5" t="str">
        <f>OBV!F302</f>
        <v>BULLISH</v>
      </c>
      <c r="K302" s="5" t="str">
        <f>OBV!G302</f>
        <v>WEAK</v>
      </c>
      <c r="L302" s="5" t="str">
        <f>OBV!H302</f>
        <v>CONFIRMED BULLISH</v>
      </c>
      <c r="M302" s="7">
        <f t="shared" si="43"/>
        <v>50</v>
      </c>
      <c r="N302" s="7">
        <f t="shared" si="40"/>
        <v>100</v>
      </c>
      <c r="O302" s="7">
        <f t="shared" si="41"/>
        <v>0</v>
      </c>
      <c r="P302" s="7">
        <f t="shared" si="42"/>
        <v>67</v>
      </c>
      <c r="Q302" s="8">
        <f t="shared" si="44"/>
        <v>62.55</v>
      </c>
      <c r="R302" s="8">
        <f t="shared" si="45"/>
        <v>46.75</v>
      </c>
      <c r="S302" s="8">
        <f t="shared" si="46"/>
        <v>52.650000000000006</v>
      </c>
      <c r="T302" s="8">
        <f t="shared" si="47"/>
        <v>54.25</v>
      </c>
      <c r="U302" s="7">
        <f t="shared" si="48"/>
        <v>53.983333333333327</v>
      </c>
      <c r="V302" s="7">
        <f t="shared" si="49"/>
        <v>54.05</v>
      </c>
    </row>
    <row r="303" spans="1:22" ht="13.5" x14ac:dyDescent="0.25">
      <c r="A303" s="3">
        <f>RSI!A303</f>
        <v>45356</v>
      </c>
      <c r="B303" s="2">
        <f>RSI!B303</f>
        <v>5.3220000000000001</v>
      </c>
      <c r="C303" s="2">
        <f>RSI!I303</f>
        <v>69.896457274790592</v>
      </c>
      <c r="D303" s="2">
        <f>MACD!E303</f>
        <v>-0.16744759701207279</v>
      </c>
      <c r="E303" s="2">
        <f>MACD!F303</f>
        <v>-0.12362518368120981</v>
      </c>
      <c r="F303" s="2">
        <f>'Moving Avg'!D303</f>
        <v>5.1285999999999996</v>
      </c>
      <c r="G303" s="2">
        <f>'Moving Avg'!F303</f>
        <v>4.9047500000000008</v>
      </c>
      <c r="H303" s="2">
        <f>'Moving Avg'!G303</f>
        <v>4.9621399999999989</v>
      </c>
      <c r="I303" s="2">
        <f>'Moving Avg'!H303</f>
        <v>5.5218249999999998</v>
      </c>
      <c r="J303" s="5" t="str">
        <f>OBV!F303</f>
        <v>BULLISH</v>
      </c>
      <c r="K303" s="5" t="str">
        <f>OBV!G303</f>
        <v>WEAK</v>
      </c>
      <c r="L303" s="5" t="str">
        <f>OBV!H303</f>
        <v>CONFIRMED BULLISH</v>
      </c>
      <c r="M303" s="7">
        <f t="shared" si="43"/>
        <v>50</v>
      </c>
      <c r="N303" s="7">
        <f t="shared" si="40"/>
        <v>100</v>
      </c>
      <c r="O303" s="7">
        <f t="shared" si="41"/>
        <v>0</v>
      </c>
      <c r="P303" s="7">
        <f t="shared" si="42"/>
        <v>67</v>
      </c>
      <c r="Q303" s="8">
        <f t="shared" si="44"/>
        <v>62.55</v>
      </c>
      <c r="R303" s="8">
        <f t="shared" si="45"/>
        <v>46.75</v>
      </c>
      <c r="S303" s="8">
        <f t="shared" si="46"/>
        <v>52.650000000000006</v>
      </c>
      <c r="T303" s="8">
        <f t="shared" si="47"/>
        <v>54.25</v>
      </c>
      <c r="U303" s="7">
        <f t="shared" si="48"/>
        <v>53.983333333333327</v>
      </c>
      <c r="V303" s="7">
        <f t="shared" si="49"/>
        <v>54.05</v>
      </c>
    </row>
    <row r="304" spans="1:22" ht="13.5" x14ac:dyDescent="0.25">
      <c r="A304" s="3">
        <f>RSI!A304</f>
        <v>45357</v>
      </c>
      <c r="B304" s="2">
        <f>RSI!B304</f>
        <v>5.3659999999999997</v>
      </c>
      <c r="C304" s="2">
        <f>RSI!I304</f>
        <v>71.34369772209584</v>
      </c>
      <c r="D304" s="2">
        <f>MACD!E304</f>
        <v>-0.17869756441536566</v>
      </c>
      <c r="E304" s="2">
        <f>MACD!F304</f>
        <v>-0.13463965982804099</v>
      </c>
      <c r="F304" s="2">
        <f>'Moving Avg'!D304</f>
        <v>5.1941999999999995</v>
      </c>
      <c r="G304" s="2">
        <f>'Moving Avg'!F304</f>
        <v>4.9380000000000006</v>
      </c>
      <c r="H304" s="2">
        <f>'Moving Avg'!G304</f>
        <v>4.9615999999999998</v>
      </c>
      <c r="I304" s="2">
        <f>'Moving Avg'!H304</f>
        <v>5.5206249999999999</v>
      </c>
      <c r="J304" s="5" t="str">
        <f>OBV!F304</f>
        <v>BULLISH</v>
      </c>
      <c r="K304" s="5" t="str">
        <f>OBV!G304</f>
        <v>WEAK</v>
      </c>
      <c r="L304" s="5" t="str">
        <f>OBV!H304</f>
        <v>CONFIRMED BULLISH</v>
      </c>
      <c r="M304" s="7">
        <f t="shared" si="43"/>
        <v>0</v>
      </c>
      <c r="N304" s="7">
        <f t="shared" si="40"/>
        <v>100</v>
      </c>
      <c r="O304" s="7">
        <f t="shared" si="41"/>
        <v>0</v>
      </c>
      <c r="P304" s="7">
        <f t="shared" si="42"/>
        <v>67</v>
      </c>
      <c r="Q304" s="8">
        <f t="shared" si="44"/>
        <v>45.05</v>
      </c>
      <c r="R304" s="8">
        <f t="shared" si="45"/>
        <v>36.75</v>
      </c>
      <c r="S304" s="8">
        <f t="shared" si="46"/>
        <v>45.150000000000006</v>
      </c>
      <c r="T304" s="8">
        <f t="shared" si="47"/>
        <v>41.75</v>
      </c>
      <c r="U304" s="7">
        <f t="shared" si="48"/>
        <v>42.31666666666667</v>
      </c>
      <c r="V304" s="7">
        <f t="shared" si="49"/>
        <v>42.174999999999997</v>
      </c>
    </row>
    <row r="305" spans="1:22" ht="13.5" x14ac:dyDescent="0.25">
      <c r="A305" s="3">
        <f>RSI!A305</f>
        <v>45358</v>
      </c>
      <c r="B305" s="2">
        <f>RSI!B305</f>
        <v>5.3220000000000001</v>
      </c>
      <c r="C305" s="2">
        <f>RSI!I305</f>
        <v>67.831805773896221</v>
      </c>
      <c r="D305" s="2">
        <f>MACD!E305</f>
        <v>-0.18311052959554797</v>
      </c>
      <c r="E305" s="2">
        <f>MACD!F305</f>
        <v>-0.14433383378154241</v>
      </c>
      <c r="F305" s="2">
        <f>'Moving Avg'!D305</f>
        <v>5.2385999999999999</v>
      </c>
      <c r="G305" s="2">
        <f>'Moving Avg'!F305</f>
        <v>4.9650500000000006</v>
      </c>
      <c r="H305" s="2">
        <f>'Moving Avg'!G305</f>
        <v>4.9615999999999998</v>
      </c>
      <c r="I305" s="2">
        <f>'Moving Avg'!H305</f>
        <v>5.5189499999999985</v>
      </c>
      <c r="J305" s="5" t="str">
        <f>OBV!F305</f>
        <v>BULLISH</v>
      </c>
      <c r="K305" s="5" t="str">
        <f>OBV!G305</f>
        <v>WEAK</v>
      </c>
      <c r="L305" s="5" t="str">
        <f>OBV!H305</f>
        <v>CONFIRMED BULLISH</v>
      </c>
      <c r="M305" s="7">
        <f t="shared" si="43"/>
        <v>50</v>
      </c>
      <c r="N305" s="7">
        <f t="shared" si="40"/>
        <v>100</v>
      </c>
      <c r="O305" s="7">
        <f t="shared" si="41"/>
        <v>0</v>
      </c>
      <c r="P305" s="7">
        <f t="shared" si="42"/>
        <v>67</v>
      </c>
      <c r="Q305" s="8">
        <f t="shared" si="44"/>
        <v>62.55</v>
      </c>
      <c r="R305" s="8">
        <f t="shared" si="45"/>
        <v>46.75</v>
      </c>
      <c r="S305" s="8">
        <f t="shared" si="46"/>
        <v>52.650000000000006</v>
      </c>
      <c r="T305" s="8">
        <f t="shared" si="47"/>
        <v>54.25</v>
      </c>
      <c r="U305" s="7">
        <f t="shared" si="48"/>
        <v>53.983333333333327</v>
      </c>
      <c r="V305" s="7">
        <f t="shared" si="49"/>
        <v>54.05</v>
      </c>
    </row>
    <row r="306" spans="1:22" ht="13.5" x14ac:dyDescent="0.25">
      <c r="A306" s="3">
        <f>RSI!A306</f>
        <v>45359</v>
      </c>
      <c r="B306" s="2">
        <f>RSI!B306</f>
        <v>5.3129999999999997</v>
      </c>
      <c r="C306" s="2">
        <f>RSI!I306</f>
        <v>67.104177437173377</v>
      </c>
      <c r="D306" s="2">
        <f>MACD!E306</f>
        <v>-0.18805390083819162</v>
      </c>
      <c r="E306" s="2">
        <f>MACD!F306</f>
        <v>-0.15307784719287226</v>
      </c>
      <c r="F306" s="2">
        <f>'Moving Avg'!D306</f>
        <v>5.2988</v>
      </c>
      <c r="G306" s="2">
        <f>'Moving Avg'!F306</f>
        <v>4.9916500000000008</v>
      </c>
      <c r="H306" s="2">
        <f>'Moving Avg'!G306</f>
        <v>4.9606999999999992</v>
      </c>
      <c r="I306" s="2">
        <f>'Moving Avg'!H306</f>
        <v>5.5171899999999994</v>
      </c>
      <c r="J306" s="5" t="str">
        <f>OBV!F306</f>
        <v>BULLISH</v>
      </c>
      <c r="K306" s="5" t="str">
        <f>OBV!G306</f>
        <v>WEAK</v>
      </c>
      <c r="L306" s="5" t="str">
        <f>OBV!H306</f>
        <v>CONFIRMED BULLISH</v>
      </c>
      <c r="M306" s="7">
        <f t="shared" si="43"/>
        <v>50</v>
      </c>
      <c r="N306" s="7">
        <f t="shared" si="40"/>
        <v>100</v>
      </c>
      <c r="O306" s="7">
        <f t="shared" si="41"/>
        <v>0</v>
      </c>
      <c r="P306" s="7">
        <f t="shared" si="42"/>
        <v>67</v>
      </c>
      <c r="Q306" s="8">
        <f t="shared" si="44"/>
        <v>62.55</v>
      </c>
      <c r="R306" s="8">
        <f t="shared" si="45"/>
        <v>46.75</v>
      </c>
      <c r="S306" s="8">
        <f t="shared" si="46"/>
        <v>52.650000000000006</v>
      </c>
      <c r="T306" s="8">
        <f t="shared" si="47"/>
        <v>54.25</v>
      </c>
      <c r="U306" s="7">
        <f t="shared" si="48"/>
        <v>53.983333333333327</v>
      </c>
      <c r="V306" s="7">
        <f t="shared" si="49"/>
        <v>54.05</v>
      </c>
    </row>
    <row r="307" spans="1:22" ht="13.5" x14ac:dyDescent="0.25">
      <c r="A307" s="3">
        <f>RSI!A307</f>
        <v>45362</v>
      </c>
      <c r="B307" s="2">
        <f>RSI!B307</f>
        <v>5.2960000000000003</v>
      </c>
      <c r="C307" s="2">
        <f>RSI!I307</f>
        <v>65.671190570029921</v>
      </c>
      <c r="D307" s="2">
        <f>MACD!E307</f>
        <v>-0.19404595636062449</v>
      </c>
      <c r="E307" s="2">
        <f>MACD!F307</f>
        <v>-0.1612714690264227</v>
      </c>
      <c r="F307" s="2">
        <f>'Moving Avg'!D307</f>
        <v>5.3237999999999994</v>
      </c>
      <c r="G307" s="2">
        <f>'Moving Avg'!F307</f>
        <v>5.0214000000000016</v>
      </c>
      <c r="H307" s="2">
        <f>'Moving Avg'!G307</f>
        <v>4.9594599999999991</v>
      </c>
      <c r="I307" s="2">
        <f>'Moving Avg'!H307</f>
        <v>5.5154300000000003</v>
      </c>
      <c r="J307" s="5" t="str">
        <f>OBV!F307</f>
        <v>BEARISH</v>
      </c>
      <c r="K307" s="5" t="str">
        <f>OBV!G307</f>
        <v>STRONG</v>
      </c>
      <c r="L307" s="5" t="str">
        <f>OBV!H307</f>
        <v>BEARISH DIVERGENCE</v>
      </c>
      <c r="M307" s="7">
        <f t="shared" si="43"/>
        <v>50</v>
      </c>
      <c r="N307" s="7">
        <f t="shared" si="40"/>
        <v>100</v>
      </c>
      <c r="O307" s="7">
        <f t="shared" si="41"/>
        <v>0</v>
      </c>
      <c r="P307" s="7">
        <f t="shared" si="42"/>
        <v>33</v>
      </c>
      <c r="Q307" s="8">
        <f t="shared" si="44"/>
        <v>57.45</v>
      </c>
      <c r="R307" s="8">
        <f t="shared" si="45"/>
        <v>38.25</v>
      </c>
      <c r="S307" s="8">
        <f t="shared" si="46"/>
        <v>37.35</v>
      </c>
      <c r="T307" s="8">
        <f t="shared" si="47"/>
        <v>45.75</v>
      </c>
      <c r="U307" s="7">
        <f t="shared" si="48"/>
        <v>44.35</v>
      </c>
      <c r="V307" s="7">
        <f t="shared" si="49"/>
        <v>44.7</v>
      </c>
    </row>
    <row r="308" spans="1:22" ht="13.5" x14ac:dyDescent="0.25">
      <c r="A308" s="3">
        <f>RSI!A308</f>
        <v>45363</v>
      </c>
      <c r="B308" s="2">
        <f>RSI!B308</f>
        <v>5.3579999999999997</v>
      </c>
      <c r="C308" s="2">
        <f>RSI!I308</f>
        <v>68.327634226415711</v>
      </c>
      <c r="D308" s="2">
        <f>MACD!E308</f>
        <v>-0.19024433654075779</v>
      </c>
      <c r="E308" s="2">
        <f>MACD!F308</f>
        <v>-0.16706604252928975</v>
      </c>
      <c r="F308" s="2">
        <f>'Moving Avg'!D308</f>
        <v>5.3309999999999995</v>
      </c>
      <c r="G308" s="2">
        <f>'Moving Avg'!F308</f>
        <v>5.0542500000000015</v>
      </c>
      <c r="H308" s="2">
        <f>'Moving Avg'!G308</f>
        <v>4.9637199999999995</v>
      </c>
      <c r="I308" s="2">
        <f>'Moving Avg'!H308</f>
        <v>5.5128750000000002</v>
      </c>
      <c r="J308" s="5" t="str">
        <f>OBV!F308</f>
        <v>BEARISH</v>
      </c>
      <c r="K308" s="5" t="str">
        <f>OBV!G308</f>
        <v>STRONG</v>
      </c>
      <c r="L308" s="5" t="str">
        <f>OBV!H308</f>
        <v>BEARISH DIVERGENCE</v>
      </c>
      <c r="M308" s="7">
        <f t="shared" si="43"/>
        <v>50</v>
      </c>
      <c r="N308" s="7">
        <f t="shared" si="40"/>
        <v>100</v>
      </c>
      <c r="O308" s="7">
        <f t="shared" si="41"/>
        <v>0</v>
      </c>
      <c r="P308" s="7">
        <f t="shared" si="42"/>
        <v>33</v>
      </c>
      <c r="Q308" s="8">
        <f t="shared" si="44"/>
        <v>57.45</v>
      </c>
      <c r="R308" s="8">
        <f t="shared" si="45"/>
        <v>38.25</v>
      </c>
      <c r="S308" s="8">
        <f t="shared" si="46"/>
        <v>37.35</v>
      </c>
      <c r="T308" s="8">
        <f t="shared" si="47"/>
        <v>45.75</v>
      </c>
      <c r="U308" s="7">
        <f t="shared" si="48"/>
        <v>44.35</v>
      </c>
      <c r="V308" s="7">
        <f t="shared" si="49"/>
        <v>44.7</v>
      </c>
    </row>
    <row r="309" spans="1:22" ht="13.5" x14ac:dyDescent="0.25">
      <c r="A309" s="3">
        <f>RSI!A309</f>
        <v>45364</v>
      </c>
      <c r="B309" s="2">
        <f>RSI!B309</f>
        <v>5.3579999999999997</v>
      </c>
      <c r="C309" s="2">
        <f>RSI!I309</f>
        <v>68.327634226415711</v>
      </c>
      <c r="D309" s="2">
        <f>MACD!E309</f>
        <v>-0.18874455649338984</v>
      </c>
      <c r="E309" s="2">
        <f>MACD!F309</f>
        <v>-0.17140174532210978</v>
      </c>
      <c r="F309" s="2">
        <f>'Moving Avg'!D309</f>
        <v>5.3294000000000006</v>
      </c>
      <c r="G309" s="2">
        <f>'Moving Avg'!F309</f>
        <v>5.0875500000000011</v>
      </c>
      <c r="H309" s="2">
        <f>'Moving Avg'!G309</f>
        <v>4.9690399999999988</v>
      </c>
      <c r="I309" s="2">
        <f>'Moving Avg'!H309</f>
        <v>5.5105300000000002</v>
      </c>
      <c r="J309" s="5" t="str">
        <f>OBV!F309</f>
        <v>BEARISH</v>
      </c>
      <c r="K309" s="5" t="str">
        <f>OBV!G309</f>
        <v>STRONG</v>
      </c>
      <c r="L309" s="5" t="str">
        <f>OBV!H309</f>
        <v>CONFIRMED BEARISH</v>
      </c>
      <c r="M309" s="7">
        <f t="shared" si="43"/>
        <v>50</v>
      </c>
      <c r="N309" s="7">
        <f t="shared" si="40"/>
        <v>45</v>
      </c>
      <c r="O309" s="7">
        <f t="shared" si="41"/>
        <v>0</v>
      </c>
      <c r="P309" s="7">
        <f t="shared" si="42"/>
        <v>33</v>
      </c>
      <c r="Q309" s="8">
        <f t="shared" si="44"/>
        <v>38.200000000000003</v>
      </c>
      <c r="R309" s="8">
        <f t="shared" si="45"/>
        <v>27.25</v>
      </c>
      <c r="S309" s="8">
        <f t="shared" si="46"/>
        <v>29.1</v>
      </c>
      <c r="T309" s="8">
        <f t="shared" si="47"/>
        <v>32</v>
      </c>
      <c r="U309" s="7">
        <f t="shared" si="48"/>
        <v>31.516666666666669</v>
      </c>
      <c r="V309" s="7">
        <f t="shared" si="49"/>
        <v>31.637500000000003</v>
      </c>
    </row>
    <row r="310" spans="1:22" ht="13.5" x14ac:dyDescent="0.25">
      <c r="A310" s="3">
        <f>RSI!A310</f>
        <v>45365</v>
      </c>
      <c r="B310" s="2">
        <f>RSI!B310</f>
        <v>5.3579999999999997</v>
      </c>
      <c r="C310" s="2">
        <f>RSI!I310</f>
        <v>68.327634226415711</v>
      </c>
      <c r="D310" s="2">
        <f>MACD!E310</f>
        <v>-0.17952684213726489</v>
      </c>
      <c r="E310" s="2">
        <f>MACD!F310</f>
        <v>-0.1730267646851408</v>
      </c>
      <c r="F310" s="2">
        <f>'Moving Avg'!D310</f>
        <v>5.3365999999999998</v>
      </c>
      <c r="G310" s="2">
        <f>'Moving Avg'!F310</f>
        <v>5.1208500000000017</v>
      </c>
      <c r="H310" s="2">
        <f>'Moving Avg'!G310</f>
        <v>4.9750800000000002</v>
      </c>
      <c r="I310" s="2">
        <f>'Moving Avg'!H310</f>
        <v>5.5076049999999999</v>
      </c>
      <c r="J310" s="5" t="str">
        <f>OBV!F310</f>
        <v>BEARISH</v>
      </c>
      <c r="K310" s="5" t="str">
        <f>OBV!G310</f>
        <v>STRONG</v>
      </c>
      <c r="L310" s="5" t="str">
        <f>OBV!H310</f>
        <v>BEARISH DIVERGENCE</v>
      </c>
      <c r="M310" s="7">
        <f t="shared" si="43"/>
        <v>50</v>
      </c>
      <c r="N310" s="7">
        <f t="shared" si="40"/>
        <v>45</v>
      </c>
      <c r="O310" s="7">
        <f t="shared" si="41"/>
        <v>0</v>
      </c>
      <c r="P310" s="7">
        <f t="shared" si="42"/>
        <v>33</v>
      </c>
      <c r="Q310" s="8">
        <f t="shared" si="44"/>
        <v>38.200000000000003</v>
      </c>
      <c r="R310" s="8">
        <f t="shared" si="45"/>
        <v>27.25</v>
      </c>
      <c r="S310" s="8">
        <f t="shared" si="46"/>
        <v>29.1</v>
      </c>
      <c r="T310" s="8">
        <f t="shared" si="47"/>
        <v>32</v>
      </c>
      <c r="U310" s="7">
        <f t="shared" si="48"/>
        <v>31.516666666666669</v>
      </c>
      <c r="V310" s="7">
        <f t="shared" si="49"/>
        <v>31.637500000000003</v>
      </c>
    </row>
    <row r="311" spans="1:22" ht="13.5" x14ac:dyDescent="0.25">
      <c r="A311" s="3">
        <f>RSI!A311</f>
        <v>45366</v>
      </c>
      <c r="B311" s="2">
        <f>RSI!B311</f>
        <v>5.3579999999999997</v>
      </c>
      <c r="C311" s="2">
        <f>RSI!I311</f>
        <v>68.327634226415711</v>
      </c>
      <c r="D311" s="2">
        <f>MACD!E311</f>
        <v>-0.18673772869998917</v>
      </c>
      <c r="E311" s="2">
        <f>MACD!F311</f>
        <v>-0.1757689574881105</v>
      </c>
      <c r="F311" s="2">
        <f>'Moving Avg'!D311</f>
        <v>5.3456000000000001</v>
      </c>
      <c r="G311" s="2">
        <f>'Moving Avg'!F311</f>
        <v>5.1537000000000015</v>
      </c>
      <c r="H311" s="2">
        <f>'Moving Avg'!G311</f>
        <v>4.9811199999999998</v>
      </c>
      <c r="I311" s="2">
        <f>'Moving Avg'!H311</f>
        <v>5.5051249999999996</v>
      </c>
      <c r="J311" s="5" t="str">
        <f>OBV!F311</f>
        <v>BEARISH</v>
      </c>
      <c r="K311" s="5" t="str">
        <f>OBV!G311</f>
        <v>NEUTRAL</v>
      </c>
      <c r="L311" s="5" t="str">
        <f>OBV!H311</f>
        <v>BEARISH DIVERGENCE</v>
      </c>
      <c r="M311" s="7">
        <f t="shared" si="43"/>
        <v>50</v>
      </c>
      <c r="N311" s="7">
        <f t="shared" si="40"/>
        <v>45</v>
      </c>
      <c r="O311" s="7">
        <f t="shared" si="41"/>
        <v>0</v>
      </c>
      <c r="P311" s="7">
        <f t="shared" si="42"/>
        <v>16.5</v>
      </c>
      <c r="Q311" s="8">
        <f t="shared" si="44"/>
        <v>35.725000000000001</v>
      </c>
      <c r="R311" s="8">
        <f t="shared" si="45"/>
        <v>23.125</v>
      </c>
      <c r="S311" s="8">
        <f t="shared" si="46"/>
        <v>21.675000000000001</v>
      </c>
      <c r="T311" s="8">
        <f t="shared" si="47"/>
        <v>27.875</v>
      </c>
      <c r="U311" s="7">
        <f t="shared" si="48"/>
        <v>26.841666666666669</v>
      </c>
      <c r="V311" s="7">
        <f t="shared" si="49"/>
        <v>27.1</v>
      </c>
    </row>
    <row r="312" spans="1:22" ht="13.5" x14ac:dyDescent="0.25">
      <c r="A312" s="3">
        <f>RSI!A312</f>
        <v>45369</v>
      </c>
      <c r="B312" s="2">
        <f>RSI!B312</f>
        <v>5.3579999999999997</v>
      </c>
      <c r="C312" s="2">
        <f>RSI!I312</f>
        <v>68.327634226415711</v>
      </c>
      <c r="D312" s="2">
        <f>MACD!E312</f>
        <v>-0.16974069989642615</v>
      </c>
      <c r="E312" s="2">
        <f>MACD!F312</f>
        <v>-0.17456330596977362</v>
      </c>
      <c r="F312" s="2">
        <f>'Moving Avg'!D312</f>
        <v>5.3579999999999997</v>
      </c>
      <c r="G312" s="2">
        <f>'Moving Avg'!F312</f>
        <v>5.174100000000001</v>
      </c>
      <c r="H312" s="2">
        <f>'Moving Avg'!G312</f>
        <v>4.9873399999999997</v>
      </c>
      <c r="I312" s="2">
        <f>'Moving Avg'!H312</f>
        <v>5.5022899999999986</v>
      </c>
      <c r="J312" s="5" t="str">
        <f>OBV!F312</f>
        <v>BULLISH</v>
      </c>
      <c r="K312" s="5" t="str">
        <f>OBV!G312</f>
        <v>WEAK</v>
      </c>
      <c r="L312" s="5" t="str">
        <f>OBV!H312</f>
        <v>CONFIRMED BULLISH</v>
      </c>
      <c r="M312" s="7">
        <f t="shared" si="43"/>
        <v>50</v>
      </c>
      <c r="N312" s="7">
        <f t="shared" si="40"/>
        <v>0</v>
      </c>
      <c r="O312" s="7">
        <f t="shared" si="41"/>
        <v>0</v>
      </c>
      <c r="P312" s="7">
        <f t="shared" si="42"/>
        <v>67</v>
      </c>
      <c r="Q312" s="8">
        <f t="shared" si="44"/>
        <v>27.549999999999997</v>
      </c>
      <c r="R312" s="8">
        <f t="shared" si="45"/>
        <v>26.75</v>
      </c>
      <c r="S312" s="8">
        <f t="shared" si="46"/>
        <v>37.650000000000006</v>
      </c>
      <c r="T312" s="8">
        <f t="shared" si="47"/>
        <v>29.25</v>
      </c>
      <c r="U312" s="7">
        <f t="shared" si="48"/>
        <v>30.650000000000002</v>
      </c>
      <c r="V312" s="7">
        <f t="shared" si="49"/>
        <v>30.3</v>
      </c>
    </row>
    <row r="313" spans="1:22" ht="13.5" x14ac:dyDescent="0.25">
      <c r="A313" s="3">
        <f>RSI!A313</f>
        <v>45370</v>
      </c>
      <c r="B313" s="2">
        <f>RSI!B313</f>
        <v>5.3579999999999997</v>
      </c>
      <c r="C313" s="2">
        <f>RSI!I313</f>
        <v>68.327634226415711</v>
      </c>
      <c r="D313" s="2">
        <f>MACD!E313</f>
        <v>-0.1333898573876926</v>
      </c>
      <c r="E313" s="2">
        <f>MACD!F313</f>
        <v>-0.16632861625335743</v>
      </c>
      <c r="F313" s="2">
        <f>'Moving Avg'!D313</f>
        <v>5.3579999999999997</v>
      </c>
      <c r="G313" s="2">
        <f>'Moving Avg'!F313</f>
        <v>5.1945000000000014</v>
      </c>
      <c r="H313" s="2">
        <f>'Moving Avg'!G313</f>
        <v>4.9969199999999994</v>
      </c>
      <c r="I313" s="2">
        <f>'Moving Avg'!H313</f>
        <v>5.4995849999999971</v>
      </c>
      <c r="J313" s="5" t="str">
        <f>OBV!F313</f>
        <v>NEUTRAL</v>
      </c>
      <c r="K313" s="5" t="str">
        <f>OBV!G313</f>
        <v>NEUTRAL</v>
      </c>
      <c r="L313" s="5" t="str">
        <f>OBV!H313</f>
        <v>NEUTRAL</v>
      </c>
      <c r="M313" s="7">
        <f t="shared" si="43"/>
        <v>50</v>
      </c>
      <c r="N313" s="7">
        <f t="shared" si="40"/>
        <v>0</v>
      </c>
      <c r="O313" s="7">
        <f t="shared" si="41"/>
        <v>0</v>
      </c>
      <c r="P313" s="7">
        <f t="shared" si="42"/>
        <v>33</v>
      </c>
      <c r="Q313" s="8">
        <f t="shared" si="44"/>
        <v>22.45</v>
      </c>
      <c r="R313" s="8">
        <f t="shared" si="45"/>
        <v>18.25</v>
      </c>
      <c r="S313" s="8">
        <f t="shared" si="46"/>
        <v>22.35</v>
      </c>
      <c r="T313" s="8">
        <f t="shared" si="47"/>
        <v>20.75</v>
      </c>
      <c r="U313" s="7">
        <f t="shared" si="48"/>
        <v>21.016666666666669</v>
      </c>
      <c r="V313" s="7">
        <f t="shared" si="49"/>
        <v>20.950000000000003</v>
      </c>
    </row>
    <row r="314" spans="1:22" ht="13.5" x14ac:dyDescent="0.25">
      <c r="A314" s="3">
        <f>RSI!A314</f>
        <v>45372</v>
      </c>
      <c r="B314" s="2">
        <f>RSI!B314</f>
        <v>5.3129999999999997</v>
      </c>
      <c r="C314" s="2">
        <f>RSI!I314</f>
        <v>62.823454514790029</v>
      </c>
      <c r="D314" s="2">
        <f>MACD!E314</f>
        <v>-9.3697432545947201E-2</v>
      </c>
      <c r="E314" s="2">
        <f>MACD!F314</f>
        <v>-0.15180237951187539</v>
      </c>
      <c r="F314" s="2">
        <f>'Moving Avg'!D314</f>
        <v>5.3489999999999993</v>
      </c>
      <c r="G314" s="2">
        <f>'Moving Avg'!F314</f>
        <v>5.2140000000000022</v>
      </c>
      <c r="H314" s="2">
        <f>'Moving Avg'!G314</f>
        <v>5.0038399999999994</v>
      </c>
      <c r="I314" s="2">
        <f>'Moving Avg'!H314</f>
        <v>5.4962999999999989</v>
      </c>
      <c r="J314" s="5" t="str">
        <f>OBV!F314</f>
        <v>BEARISH</v>
      </c>
      <c r="K314" s="5" t="str">
        <f>OBV!G314</f>
        <v>STRONG</v>
      </c>
      <c r="L314" s="5" t="str">
        <f>OBV!H314</f>
        <v>CONFIRMED BEARISH</v>
      </c>
      <c r="M314" s="7">
        <f t="shared" si="43"/>
        <v>50</v>
      </c>
      <c r="N314" s="7">
        <f t="shared" si="40"/>
        <v>0</v>
      </c>
      <c r="O314" s="7">
        <f t="shared" si="41"/>
        <v>0</v>
      </c>
      <c r="P314" s="7">
        <f t="shared" si="42"/>
        <v>33</v>
      </c>
      <c r="Q314" s="8">
        <f t="shared" si="44"/>
        <v>22.45</v>
      </c>
      <c r="R314" s="8">
        <f t="shared" si="45"/>
        <v>18.25</v>
      </c>
      <c r="S314" s="8">
        <f t="shared" si="46"/>
        <v>22.35</v>
      </c>
      <c r="T314" s="8">
        <f t="shared" si="47"/>
        <v>20.75</v>
      </c>
      <c r="U314" s="7">
        <f t="shared" si="48"/>
        <v>21.016666666666669</v>
      </c>
      <c r="V314" s="7">
        <f t="shared" si="49"/>
        <v>20.950000000000003</v>
      </c>
    </row>
    <row r="315" spans="1:22" ht="13.5" x14ac:dyDescent="0.25">
      <c r="A315" s="3">
        <f>RSI!A315</f>
        <v>45373</v>
      </c>
      <c r="B315" s="2">
        <f>RSI!B315</f>
        <v>5.34</v>
      </c>
      <c r="C315" s="2">
        <f>RSI!I315</f>
        <v>64.662803940403563</v>
      </c>
      <c r="D315" s="2">
        <f>MACD!E315</f>
        <v>-6.9696844051178708E-2</v>
      </c>
      <c r="E315" s="2">
        <f>MACD!F315</f>
        <v>-0.13538127241973605</v>
      </c>
      <c r="F315" s="2">
        <f>'Moving Avg'!D315</f>
        <v>5.3453999999999997</v>
      </c>
      <c r="G315" s="2">
        <f>'Moving Avg'!F315</f>
        <v>5.2335000000000012</v>
      </c>
      <c r="H315" s="2">
        <f>'Moving Avg'!G315</f>
        <v>5.0096999999999996</v>
      </c>
      <c r="I315" s="2">
        <f>'Moving Avg'!H315</f>
        <v>5.4931949999999983</v>
      </c>
      <c r="J315" s="5" t="str">
        <f>OBV!F315</f>
        <v>BEARISH</v>
      </c>
      <c r="K315" s="5" t="str">
        <f>OBV!G315</f>
        <v>NEUTRAL</v>
      </c>
      <c r="L315" s="5" t="str">
        <f>OBV!H315</f>
        <v>CONFIRMED BEARISH</v>
      </c>
      <c r="M315" s="7">
        <f t="shared" si="43"/>
        <v>50</v>
      </c>
      <c r="N315" s="7">
        <f t="shared" si="40"/>
        <v>0</v>
      </c>
      <c r="O315" s="7">
        <f t="shared" si="41"/>
        <v>0</v>
      </c>
      <c r="P315" s="7">
        <f t="shared" si="42"/>
        <v>16.5</v>
      </c>
      <c r="Q315" s="8">
        <f t="shared" si="44"/>
        <v>19.975000000000001</v>
      </c>
      <c r="R315" s="8">
        <f t="shared" si="45"/>
        <v>14.125</v>
      </c>
      <c r="S315" s="8">
        <f t="shared" si="46"/>
        <v>14.925000000000001</v>
      </c>
      <c r="T315" s="8">
        <f t="shared" si="47"/>
        <v>16.625</v>
      </c>
      <c r="U315" s="7">
        <f t="shared" si="48"/>
        <v>16.341666666666669</v>
      </c>
      <c r="V315" s="7">
        <f t="shared" si="49"/>
        <v>16.412500000000001</v>
      </c>
    </row>
    <row r="316" spans="1:22" ht="13.5" x14ac:dyDescent="0.25">
      <c r="A316" s="3">
        <f>RSI!A316</f>
        <v>45376</v>
      </c>
      <c r="B316" s="2">
        <f>RSI!B316</f>
        <v>5.34</v>
      </c>
      <c r="C316" s="2">
        <f>RSI!I316</f>
        <v>64.662803940403563</v>
      </c>
      <c r="D316" s="2">
        <f>MACD!E316</f>
        <v>-5.1688441737031354E-2</v>
      </c>
      <c r="E316" s="2">
        <f>MACD!F316</f>
        <v>-0.11864270628319511</v>
      </c>
      <c r="F316" s="2">
        <f>'Moving Avg'!D316</f>
        <v>5.3418000000000001</v>
      </c>
      <c r="G316" s="2">
        <f>'Moving Avg'!F316</f>
        <v>5.2530000000000019</v>
      </c>
      <c r="H316" s="2">
        <f>'Moving Avg'!G316</f>
        <v>5.0178599999999998</v>
      </c>
      <c r="I316" s="2">
        <f>'Moving Avg'!H316</f>
        <v>5.4901349999999969</v>
      </c>
      <c r="J316" s="5" t="str">
        <f>OBV!F316</f>
        <v>BEARISH</v>
      </c>
      <c r="K316" s="5" t="str">
        <f>OBV!G316</f>
        <v>NEUTRAL</v>
      </c>
      <c r="L316" s="5" t="str">
        <f>OBV!H316</f>
        <v>CONFIRMED BEARISH</v>
      </c>
      <c r="M316" s="7">
        <f t="shared" si="43"/>
        <v>50</v>
      </c>
      <c r="N316" s="7">
        <f t="shared" si="40"/>
        <v>0</v>
      </c>
      <c r="O316" s="7">
        <f t="shared" si="41"/>
        <v>0</v>
      </c>
      <c r="P316" s="7">
        <f t="shared" si="42"/>
        <v>16.5</v>
      </c>
      <c r="Q316" s="8">
        <f t="shared" si="44"/>
        <v>19.975000000000001</v>
      </c>
      <c r="R316" s="8">
        <f t="shared" si="45"/>
        <v>14.125</v>
      </c>
      <c r="S316" s="8">
        <f t="shared" si="46"/>
        <v>14.925000000000001</v>
      </c>
      <c r="T316" s="8">
        <f t="shared" si="47"/>
        <v>16.625</v>
      </c>
      <c r="U316" s="7">
        <f t="shared" si="48"/>
        <v>16.341666666666669</v>
      </c>
      <c r="V316" s="7">
        <f t="shared" si="49"/>
        <v>16.412500000000001</v>
      </c>
    </row>
    <row r="317" spans="1:22" ht="13.5" x14ac:dyDescent="0.25">
      <c r="A317" s="3">
        <f>RSI!A317</f>
        <v>45377</v>
      </c>
      <c r="B317" s="2">
        <f>RSI!B317</f>
        <v>5.34</v>
      </c>
      <c r="C317" s="2">
        <f>RSI!I317</f>
        <v>64.662803940403563</v>
      </c>
      <c r="D317" s="2">
        <f>MACD!E317</f>
        <v>-3.9913329476807036E-2</v>
      </c>
      <c r="E317" s="2">
        <f>MACD!F317</f>
        <v>-0.1028968309219175</v>
      </c>
      <c r="F317" s="2">
        <f>'Moving Avg'!D317</f>
        <v>5.3381999999999996</v>
      </c>
      <c r="G317" s="2">
        <f>'Moving Avg'!F317</f>
        <v>5.2729500000000007</v>
      </c>
      <c r="H317" s="2">
        <f>'Moving Avg'!G317</f>
        <v>5.0253199999999998</v>
      </c>
      <c r="I317" s="2">
        <f>'Moving Avg'!H317</f>
        <v>5.4870749999999973</v>
      </c>
      <c r="J317" s="5" t="str">
        <f>OBV!F317</f>
        <v>BEARISH</v>
      </c>
      <c r="K317" s="5" t="str">
        <f>OBV!G317</f>
        <v>NEUTRAL</v>
      </c>
      <c r="L317" s="5" t="str">
        <f>OBV!H317</f>
        <v>CONFIRMED BEARISH</v>
      </c>
      <c r="M317" s="7">
        <f t="shared" si="43"/>
        <v>50</v>
      </c>
      <c r="N317" s="7">
        <f t="shared" si="40"/>
        <v>0</v>
      </c>
      <c r="O317" s="7">
        <f t="shared" si="41"/>
        <v>0</v>
      </c>
      <c r="P317" s="7">
        <f t="shared" si="42"/>
        <v>16.5</v>
      </c>
      <c r="Q317" s="8">
        <f t="shared" si="44"/>
        <v>19.975000000000001</v>
      </c>
      <c r="R317" s="8">
        <f t="shared" si="45"/>
        <v>14.125</v>
      </c>
      <c r="S317" s="8">
        <f t="shared" si="46"/>
        <v>14.925000000000001</v>
      </c>
      <c r="T317" s="8">
        <f t="shared" si="47"/>
        <v>16.625</v>
      </c>
      <c r="U317" s="7">
        <f t="shared" si="48"/>
        <v>16.341666666666669</v>
      </c>
      <c r="V317" s="7">
        <f t="shared" si="49"/>
        <v>16.412500000000001</v>
      </c>
    </row>
    <row r="318" spans="1:22" ht="13.5" x14ac:dyDescent="0.25">
      <c r="A318" s="3">
        <f>RSI!A318</f>
        <v>45378</v>
      </c>
      <c r="B318" s="2">
        <f>RSI!B318</f>
        <v>5.34</v>
      </c>
      <c r="C318" s="2">
        <f>RSI!I318</f>
        <v>64.662803940403563</v>
      </c>
      <c r="D318" s="2">
        <f>MACD!E318</f>
        <v>-2.1195924378604403E-2</v>
      </c>
      <c r="E318" s="2">
        <f>MACD!F318</f>
        <v>-8.6556649613254877E-2</v>
      </c>
      <c r="F318" s="2">
        <f>'Moving Avg'!D318</f>
        <v>5.3346</v>
      </c>
      <c r="G318" s="2">
        <f>'Moving Avg'!F318</f>
        <v>5.2880500000000001</v>
      </c>
      <c r="H318" s="2">
        <f>'Moving Avg'!G318</f>
        <v>5.0327799999999998</v>
      </c>
      <c r="I318" s="2">
        <f>'Moving Avg'!H318</f>
        <v>5.4841049999999969</v>
      </c>
      <c r="J318" s="5" t="str">
        <f>OBV!F318</f>
        <v>BEARISH</v>
      </c>
      <c r="K318" s="5" t="str">
        <f>OBV!G318</f>
        <v>NEUTRAL</v>
      </c>
      <c r="L318" s="5" t="str">
        <f>OBV!H318</f>
        <v>CONFIRMED BEARISH</v>
      </c>
      <c r="M318" s="7">
        <f t="shared" si="43"/>
        <v>50</v>
      </c>
      <c r="N318" s="7">
        <f t="shared" si="40"/>
        <v>0</v>
      </c>
      <c r="O318" s="7">
        <f t="shared" si="41"/>
        <v>0</v>
      </c>
      <c r="P318" s="7">
        <f t="shared" si="42"/>
        <v>16.5</v>
      </c>
      <c r="Q318" s="8">
        <f t="shared" si="44"/>
        <v>19.975000000000001</v>
      </c>
      <c r="R318" s="8">
        <f t="shared" si="45"/>
        <v>14.125</v>
      </c>
      <c r="S318" s="8">
        <f t="shared" si="46"/>
        <v>14.925000000000001</v>
      </c>
      <c r="T318" s="8">
        <f t="shared" si="47"/>
        <v>16.625</v>
      </c>
      <c r="U318" s="7">
        <f t="shared" si="48"/>
        <v>16.341666666666669</v>
      </c>
      <c r="V318" s="7">
        <f t="shared" si="49"/>
        <v>16.412500000000001</v>
      </c>
    </row>
    <row r="319" spans="1:22" ht="13.5" x14ac:dyDescent="0.25">
      <c r="A319" s="3">
        <f>RSI!A319</f>
        <v>45379</v>
      </c>
      <c r="B319" s="2">
        <f>RSI!B319</f>
        <v>5.3310000000000004</v>
      </c>
      <c r="C319" s="2">
        <f>RSI!I319</f>
        <v>63.259542047682835</v>
      </c>
      <c r="D319" s="2">
        <f>MACD!E319</f>
        <v>-5.4179468870936276E-3</v>
      </c>
      <c r="E319" s="2">
        <f>MACD!F319</f>
        <v>-7.0328909068022638E-2</v>
      </c>
      <c r="F319" s="2">
        <f>'Moving Avg'!D319</f>
        <v>5.3381999999999996</v>
      </c>
      <c r="G319" s="2">
        <f>'Moving Avg'!F319</f>
        <v>5.3026999999999997</v>
      </c>
      <c r="H319" s="2">
        <f>'Moving Avg'!G319</f>
        <v>5.0407599999999997</v>
      </c>
      <c r="I319" s="2">
        <f>'Moving Avg'!H319</f>
        <v>5.4809999999999954</v>
      </c>
      <c r="J319" s="5" t="str">
        <f>OBV!F319</f>
        <v>BEARISH</v>
      </c>
      <c r="K319" s="5" t="str">
        <f>OBV!G319</f>
        <v>NEUTRAL</v>
      </c>
      <c r="L319" s="5" t="str">
        <f>OBV!H319</f>
        <v>BEARISH DIVERGENCE</v>
      </c>
      <c r="M319" s="7">
        <f t="shared" si="43"/>
        <v>50</v>
      </c>
      <c r="N319" s="7">
        <f t="shared" si="40"/>
        <v>0</v>
      </c>
      <c r="O319" s="7">
        <f t="shared" si="41"/>
        <v>0</v>
      </c>
      <c r="P319" s="7">
        <f t="shared" si="42"/>
        <v>16.5</v>
      </c>
      <c r="Q319" s="8">
        <f t="shared" si="44"/>
        <v>19.975000000000001</v>
      </c>
      <c r="R319" s="8">
        <f t="shared" si="45"/>
        <v>14.125</v>
      </c>
      <c r="S319" s="8">
        <f t="shared" si="46"/>
        <v>14.925000000000001</v>
      </c>
      <c r="T319" s="8">
        <f t="shared" si="47"/>
        <v>16.625</v>
      </c>
      <c r="U319" s="7">
        <f t="shared" si="48"/>
        <v>16.341666666666669</v>
      </c>
      <c r="V319" s="7">
        <f t="shared" si="49"/>
        <v>16.412500000000001</v>
      </c>
    </row>
    <row r="320" spans="1:22" ht="13.5" x14ac:dyDescent="0.25">
      <c r="A320" s="3">
        <f>RSI!A320</f>
        <v>45380</v>
      </c>
      <c r="B320" s="2">
        <f>RSI!B320</f>
        <v>5.3220000000000001</v>
      </c>
      <c r="C320" s="2">
        <f>RSI!I320</f>
        <v>61.814894142949122</v>
      </c>
      <c r="D320" s="2">
        <f>MACD!E320</f>
        <v>7.9798183485584318E-3</v>
      </c>
      <c r="E320" s="2">
        <f>MACD!F320</f>
        <v>-5.4667163584706427E-2</v>
      </c>
      <c r="F320" s="2">
        <f>'Moving Avg'!D320</f>
        <v>5.3346</v>
      </c>
      <c r="G320" s="2">
        <f>'Moving Avg'!F320</f>
        <v>5.3138000000000005</v>
      </c>
      <c r="H320" s="2">
        <f>'Moving Avg'!G320</f>
        <v>5.04786</v>
      </c>
      <c r="I320" s="2">
        <f>'Moving Avg'!H320</f>
        <v>5.4778049999999947</v>
      </c>
      <c r="J320" s="5" t="str">
        <f>OBV!F320</f>
        <v>BEARISH</v>
      </c>
      <c r="K320" s="5" t="str">
        <f>OBV!G320</f>
        <v>STRONG</v>
      </c>
      <c r="L320" s="5" t="str">
        <f>OBV!H320</f>
        <v>CONFIRMED BEARISH</v>
      </c>
      <c r="M320" s="7">
        <f t="shared" si="43"/>
        <v>50</v>
      </c>
      <c r="N320" s="7">
        <f t="shared" si="40"/>
        <v>0</v>
      </c>
      <c r="O320" s="7">
        <f t="shared" si="41"/>
        <v>0</v>
      </c>
      <c r="P320" s="7">
        <f t="shared" si="42"/>
        <v>33</v>
      </c>
      <c r="Q320" s="8">
        <f t="shared" si="44"/>
        <v>22.45</v>
      </c>
      <c r="R320" s="8">
        <f t="shared" si="45"/>
        <v>18.25</v>
      </c>
      <c r="S320" s="8">
        <f t="shared" si="46"/>
        <v>22.35</v>
      </c>
      <c r="T320" s="8">
        <f t="shared" si="47"/>
        <v>20.75</v>
      </c>
      <c r="U320" s="7">
        <f t="shared" si="48"/>
        <v>21.016666666666669</v>
      </c>
      <c r="V320" s="7">
        <f t="shared" si="49"/>
        <v>20.950000000000003</v>
      </c>
    </row>
    <row r="321" spans="1:22" ht="13.5" x14ac:dyDescent="0.25">
      <c r="A321" s="3">
        <f>RSI!A321</f>
        <v>45383</v>
      </c>
      <c r="B321" s="2">
        <f>RSI!B321</f>
        <v>5.3310000000000004</v>
      </c>
      <c r="C321" s="2">
        <f>RSI!I321</f>
        <v>62.731458673476219</v>
      </c>
      <c r="D321" s="2">
        <f>MACD!E321</f>
        <v>1.8129294606136881E-2</v>
      </c>
      <c r="E321" s="2">
        <f>MACD!F321</f>
        <v>-4.0107871946537768E-2</v>
      </c>
      <c r="F321" s="2">
        <f>'Moving Avg'!D321</f>
        <v>5.3327999999999998</v>
      </c>
      <c r="G321" s="2">
        <f>'Moving Avg'!F321</f>
        <v>5.3297499999999998</v>
      </c>
      <c r="H321" s="2">
        <f>'Moving Avg'!G321</f>
        <v>5.0551399999999997</v>
      </c>
      <c r="I321" s="2">
        <f>'Moving Avg'!H321</f>
        <v>5.4746549999999949</v>
      </c>
      <c r="J321" s="5" t="str">
        <f>OBV!F321</f>
        <v>BEARISH</v>
      </c>
      <c r="K321" s="5" t="str">
        <f>OBV!G321</f>
        <v>STRONG</v>
      </c>
      <c r="L321" s="5" t="str">
        <f>OBV!H321</f>
        <v>CONFIRMED BEARISH</v>
      </c>
      <c r="M321" s="7">
        <f t="shared" si="43"/>
        <v>50</v>
      </c>
      <c r="N321" s="7">
        <f t="shared" si="40"/>
        <v>0</v>
      </c>
      <c r="O321" s="7">
        <f t="shared" si="41"/>
        <v>0</v>
      </c>
      <c r="P321" s="7">
        <f t="shared" si="42"/>
        <v>33</v>
      </c>
      <c r="Q321" s="8">
        <f t="shared" si="44"/>
        <v>22.45</v>
      </c>
      <c r="R321" s="8">
        <f t="shared" si="45"/>
        <v>18.25</v>
      </c>
      <c r="S321" s="8">
        <f t="shared" si="46"/>
        <v>22.35</v>
      </c>
      <c r="T321" s="8">
        <f t="shared" si="47"/>
        <v>20.75</v>
      </c>
      <c r="U321" s="7">
        <f t="shared" si="48"/>
        <v>21.016666666666669</v>
      </c>
      <c r="V321" s="7">
        <f t="shared" si="49"/>
        <v>20.950000000000003</v>
      </c>
    </row>
    <row r="322" spans="1:22" ht="13.5" x14ac:dyDescent="0.25">
      <c r="A322" s="3">
        <f>RSI!A322</f>
        <v>45384</v>
      </c>
      <c r="B322" s="2">
        <f>RSI!B322</f>
        <v>5.3310000000000004</v>
      </c>
      <c r="C322" s="2">
        <f>RSI!I322</f>
        <v>62.731458673476226</v>
      </c>
      <c r="D322" s="2">
        <f>MACD!E322</f>
        <v>2.6182254128670479E-2</v>
      </c>
      <c r="E322" s="2">
        <f>MACD!F322</f>
        <v>-2.6849846731496117E-2</v>
      </c>
      <c r="F322" s="2">
        <f>'Moving Avg'!D322</f>
        <v>5.3309999999999995</v>
      </c>
      <c r="G322" s="2">
        <f>'Moving Avg'!F322</f>
        <v>5.3377500000000007</v>
      </c>
      <c r="H322" s="2">
        <f>'Moving Avg'!G322</f>
        <v>5.0609999999999999</v>
      </c>
      <c r="I322" s="2">
        <f>'Moving Avg'!H322</f>
        <v>5.4715949999999944</v>
      </c>
      <c r="J322" s="5" t="str">
        <f>OBV!F322</f>
        <v>BEARISH</v>
      </c>
      <c r="K322" s="5" t="str">
        <f>OBV!G322</f>
        <v>STRONG</v>
      </c>
      <c r="L322" s="5" t="str">
        <f>OBV!H322</f>
        <v>CONFIRMED BEARISH</v>
      </c>
      <c r="M322" s="7">
        <f t="shared" si="43"/>
        <v>50</v>
      </c>
      <c r="N322" s="7">
        <f t="shared" ref="N322:N385" si="50">IF(E322-D322&gt;0.02, 100, IF(E322-D322&lt;0,0,45))</f>
        <v>0</v>
      </c>
      <c r="O322" s="7">
        <f t="shared" ref="O322:O385" si="51">IF(F322-I322&gt;10,100,IF(F322-I322&gt;5,75, IF(F322-I322&gt;0,50,0)))</f>
        <v>0</v>
      </c>
      <c r="P322" s="7">
        <f t="shared" ref="P322:P385" si="52">IF(L322="confirmed bullish", 34, IF(L322="bullish divergence",17, 0))+IF(J322="bullish",33,IF(J322="bearish",0,16.5))+IF(K322="strong",33,IF(K322="weak",0,16.5))</f>
        <v>33</v>
      </c>
      <c r="Q322" s="8">
        <f t="shared" si="44"/>
        <v>22.45</v>
      </c>
      <c r="R322" s="8">
        <f t="shared" si="45"/>
        <v>18.25</v>
      </c>
      <c r="S322" s="8">
        <f t="shared" si="46"/>
        <v>22.35</v>
      </c>
      <c r="T322" s="8">
        <f t="shared" si="47"/>
        <v>20.75</v>
      </c>
      <c r="U322" s="7">
        <f t="shared" si="48"/>
        <v>21.016666666666669</v>
      </c>
      <c r="V322" s="7">
        <f t="shared" si="49"/>
        <v>20.950000000000003</v>
      </c>
    </row>
    <row r="323" spans="1:22" ht="13.5" x14ac:dyDescent="0.25">
      <c r="A323" s="3">
        <f>RSI!A323</f>
        <v>45385</v>
      </c>
      <c r="B323" s="2">
        <f>RSI!B323</f>
        <v>5.3579999999999997</v>
      </c>
      <c r="C323" s="2">
        <f>RSI!I323</f>
        <v>65.604008083163734</v>
      </c>
      <c r="D323" s="2">
        <f>MACD!E323</f>
        <v>3.0500871941155694E-2</v>
      </c>
      <c r="E323" s="2">
        <f>MACD!F323</f>
        <v>-1.5379702996965759E-2</v>
      </c>
      <c r="F323" s="2">
        <f>'Moving Avg'!D323</f>
        <v>5.3346</v>
      </c>
      <c r="G323" s="2">
        <f>'Moving Avg'!F323</f>
        <v>5.3395500000000009</v>
      </c>
      <c r="H323" s="2">
        <f>'Moving Avg'!G323</f>
        <v>5.0688199999999988</v>
      </c>
      <c r="I323" s="2">
        <f>'Moving Avg'!H323</f>
        <v>5.4686699999999941</v>
      </c>
      <c r="J323" s="5" t="str">
        <f>OBV!F323</f>
        <v>BULLISH</v>
      </c>
      <c r="K323" s="5" t="str">
        <f>OBV!G323</f>
        <v>NEUTRAL</v>
      </c>
      <c r="L323" s="5" t="str">
        <f>OBV!H323</f>
        <v>CONFIRMED BULLISH</v>
      </c>
      <c r="M323" s="7">
        <f t="shared" ref="M323:M386" si="53">IF(C323&lt;30,100, IF(C323&gt;70, 0, 50))</f>
        <v>50</v>
      </c>
      <c r="N323" s="7">
        <f t="shared" si="50"/>
        <v>0</v>
      </c>
      <c r="O323" s="7">
        <f t="shared" si="51"/>
        <v>0</v>
      </c>
      <c r="P323" s="7">
        <f t="shared" si="52"/>
        <v>83.5</v>
      </c>
      <c r="Q323" s="8">
        <f t="shared" ref="Q323:Q386" si="54">0.35*M323+N323*0.35+O323*0.15+P323*0.15</f>
        <v>30.024999999999999</v>
      </c>
      <c r="R323" s="8">
        <f t="shared" ref="R323:R386" si="55">M323*0.2+N323*0.2+O323*0.35+P323*0.25</f>
        <v>30.875</v>
      </c>
      <c r="S323" s="8">
        <f t="shared" ref="S323:S386" si="56">M323*0.15+N323*0.15+O323*0.25+P323*0.45</f>
        <v>45.075000000000003</v>
      </c>
      <c r="T323" s="8">
        <f t="shared" ref="T323:T386" si="57">0.25*SUM(M323:P323)</f>
        <v>33.375</v>
      </c>
      <c r="U323" s="7">
        <f t="shared" ref="U323:U386" si="58">SUM(Q323:S323)/3</f>
        <v>35.324999999999996</v>
      </c>
      <c r="V323" s="7">
        <f t="shared" ref="V323:V386" si="59">SUM(Q323:T323)/4</f>
        <v>34.837499999999999</v>
      </c>
    </row>
    <row r="324" spans="1:22" ht="13.5" x14ac:dyDescent="0.25">
      <c r="A324" s="3">
        <f>RSI!A324</f>
        <v>45386</v>
      </c>
      <c r="B324" s="2">
        <f>RSI!B324</f>
        <v>5.3579999999999997</v>
      </c>
      <c r="C324" s="2">
        <f>RSI!I324</f>
        <v>65.604008083163734</v>
      </c>
      <c r="D324" s="2">
        <f>MACD!E324</f>
        <v>2.6613739208018572E-2</v>
      </c>
      <c r="E324" s="2">
        <f>MACD!F324</f>
        <v>-6.9810145559688931E-3</v>
      </c>
      <c r="F324" s="2">
        <f>'Moving Avg'!D324</f>
        <v>5.3400000000000007</v>
      </c>
      <c r="G324" s="2">
        <f>'Moving Avg'!F324</f>
        <v>5.3391500000000018</v>
      </c>
      <c r="H324" s="2">
        <f>'Moving Avg'!G324</f>
        <v>5.0783999999999994</v>
      </c>
      <c r="I324" s="2">
        <f>'Moving Avg'!H324</f>
        <v>5.465834999999994</v>
      </c>
      <c r="J324" s="5" t="str">
        <f>OBV!F324</f>
        <v>BULLISH</v>
      </c>
      <c r="K324" s="5" t="str">
        <f>OBV!G324</f>
        <v>WEAK</v>
      </c>
      <c r="L324" s="5" t="str">
        <f>OBV!H324</f>
        <v>CONFIRMED BULLISH</v>
      </c>
      <c r="M324" s="7">
        <f t="shared" si="53"/>
        <v>50</v>
      </c>
      <c r="N324" s="7">
        <f t="shared" si="50"/>
        <v>0</v>
      </c>
      <c r="O324" s="7">
        <f t="shared" si="51"/>
        <v>0</v>
      </c>
      <c r="P324" s="7">
        <f t="shared" si="52"/>
        <v>67</v>
      </c>
      <c r="Q324" s="8">
        <f t="shared" si="54"/>
        <v>27.549999999999997</v>
      </c>
      <c r="R324" s="8">
        <f t="shared" si="55"/>
        <v>26.75</v>
      </c>
      <c r="S324" s="8">
        <f t="shared" si="56"/>
        <v>37.650000000000006</v>
      </c>
      <c r="T324" s="8">
        <f t="shared" si="57"/>
        <v>29.25</v>
      </c>
      <c r="U324" s="7">
        <f t="shared" si="58"/>
        <v>30.650000000000002</v>
      </c>
      <c r="V324" s="7">
        <f t="shared" si="59"/>
        <v>30.3</v>
      </c>
    </row>
    <row r="325" spans="1:22" ht="13.5" x14ac:dyDescent="0.25">
      <c r="A325" s="3">
        <f>RSI!A325</f>
        <v>45387</v>
      </c>
      <c r="B325" s="2">
        <f>RSI!B325</f>
        <v>5.3220000000000001</v>
      </c>
      <c r="C325" s="2">
        <f>RSI!I325</f>
        <v>58.617495081709713</v>
      </c>
      <c r="D325" s="2">
        <f>MACD!E325</f>
        <v>2.9572666676837223E-2</v>
      </c>
      <c r="E325" s="2">
        <f>MACD!F325</f>
        <v>3.2972169059233055E-4</v>
      </c>
      <c r="F325" s="2">
        <f>'Moving Avg'!D325</f>
        <v>5.34</v>
      </c>
      <c r="G325" s="2">
        <f>'Moving Avg'!F325</f>
        <v>5.3391500000000018</v>
      </c>
      <c r="H325" s="2">
        <f>'Moving Avg'!G325</f>
        <v>5.0854999999999997</v>
      </c>
      <c r="I325" s="2">
        <f>'Moving Avg'!H325</f>
        <v>5.4627749999999935</v>
      </c>
      <c r="J325" s="5" t="str">
        <f>OBV!F325</f>
        <v>BULLISH</v>
      </c>
      <c r="K325" s="5" t="str">
        <f>OBV!G325</f>
        <v>WEAK</v>
      </c>
      <c r="L325" s="5" t="str">
        <f>OBV!H325</f>
        <v>NEUTRAL</v>
      </c>
      <c r="M325" s="7">
        <f t="shared" si="53"/>
        <v>50</v>
      </c>
      <c r="N325" s="7">
        <f t="shared" si="50"/>
        <v>0</v>
      </c>
      <c r="O325" s="7">
        <f t="shared" si="51"/>
        <v>0</v>
      </c>
      <c r="P325" s="7">
        <f t="shared" si="52"/>
        <v>33</v>
      </c>
      <c r="Q325" s="8">
        <f t="shared" si="54"/>
        <v>22.45</v>
      </c>
      <c r="R325" s="8">
        <f t="shared" si="55"/>
        <v>18.25</v>
      </c>
      <c r="S325" s="8">
        <f t="shared" si="56"/>
        <v>22.35</v>
      </c>
      <c r="T325" s="8">
        <f t="shared" si="57"/>
        <v>20.75</v>
      </c>
      <c r="U325" s="7">
        <f t="shared" si="58"/>
        <v>21.016666666666669</v>
      </c>
      <c r="V325" s="7">
        <f t="shared" si="59"/>
        <v>20.950000000000003</v>
      </c>
    </row>
    <row r="326" spans="1:22" ht="13.5" x14ac:dyDescent="0.25">
      <c r="A326" s="3">
        <f>RSI!A326</f>
        <v>45390</v>
      </c>
      <c r="B326" s="2">
        <f>RSI!B326</f>
        <v>5.3220000000000001</v>
      </c>
      <c r="C326" s="2">
        <f>RSI!I326</f>
        <v>58.617495081709713</v>
      </c>
      <c r="D326" s="2">
        <f>MACD!E326</f>
        <v>3.175903245238576E-2</v>
      </c>
      <c r="E326" s="2">
        <f>MACD!F326</f>
        <v>6.6155838429510167E-3</v>
      </c>
      <c r="F326" s="2">
        <f>'Moving Avg'!D326</f>
        <v>5.3381999999999996</v>
      </c>
      <c r="G326" s="2">
        <f>'Moving Avg'!F326</f>
        <v>5.3396000000000017</v>
      </c>
      <c r="H326" s="2">
        <f>'Moving Avg'!G326</f>
        <v>5.0965000000000007</v>
      </c>
      <c r="I326" s="2">
        <f>'Moving Avg'!H326</f>
        <v>5.459669999999992</v>
      </c>
      <c r="J326" s="5" t="str">
        <f>OBV!F326</f>
        <v>BULLISH</v>
      </c>
      <c r="K326" s="5" t="str">
        <f>OBV!G326</f>
        <v>NEUTRAL</v>
      </c>
      <c r="L326" s="5" t="str">
        <f>OBV!H326</f>
        <v>BULLISH DIVERGENCE</v>
      </c>
      <c r="M326" s="7">
        <f t="shared" si="53"/>
        <v>50</v>
      </c>
      <c r="N326" s="7">
        <f t="shared" si="50"/>
        <v>0</v>
      </c>
      <c r="O326" s="7">
        <f t="shared" si="51"/>
        <v>0</v>
      </c>
      <c r="P326" s="7">
        <f t="shared" si="52"/>
        <v>66.5</v>
      </c>
      <c r="Q326" s="8">
        <f t="shared" si="54"/>
        <v>27.475000000000001</v>
      </c>
      <c r="R326" s="8">
        <f t="shared" si="55"/>
        <v>26.625</v>
      </c>
      <c r="S326" s="8">
        <f t="shared" si="56"/>
        <v>37.424999999999997</v>
      </c>
      <c r="T326" s="8">
        <f t="shared" si="57"/>
        <v>29.125</v>
      </c>
      <c r="U326" s="7">
        <f t="shared" si="58"/>
        <v>30.508333333333336</v>
      </c>
      <c r="V326" s="7">
        <f t="shared" si="59"/>
        <v>30.162500000000001</v>
      </c>
    </row>
    <row r="327" spans="1:22" ht="13.5" x14ac:dyDescent="0.25">
      <c r="A327" s="3">
        <f>RSI!A327</f>
        <v>45394</v>
      </c>
      <c r="B327" s="2">
        <f>RSI!B327</f>
        <v>5.3129999999999997</v>
      </c>
      <c r="C327" s="2">
        <f>RSI!I327</f>
        <v>56.861756923242638</v>
      </c>
      <c r="D327" s="2">
        <f>MACD!E327</f>
        <v>3.3981865667389144E-2</v>
      </c>
      <c r="E327" s="2">
        <f>MACD!F327</f>
        <v>1.2088840207838642E-2</v>
      </c>
      <c r="F327" s="2">
        <f>'Moving Avg'!D327</f>
        <v>5.3346</v>
      </c>
      <c r="G327" s="2">
        <f>'Moving Avg'!F327</f>
        <v>5.3404500000000024</v>
      </c>
      <c r="H327" s="2">
        <f>'Moving Avg'!G327</f>
        <v>5.1043000000000003</v>
      </c>
      <c r="I327" s="2">
        <f>'Moving Avg'!H327</f>
        <v>5.4565649999999923</v>
      </c>
      <c r="J327" s="5" t="str">
        <f>OBV!F327</f>
        <v>BEARISH</v>
      </c>
      <c r="K327" s="5" t="str">
        <f>OBV!G327</f>
        <v>STRONG</v>
      </c>
      <c r="L327" s="5" t="str">
        <f>OBV!H327</f>
        <v>CONFIRMED BEARISH</v>
      </c>
      <c r="M327" s="7">
        <f t="shared" si="53"/>
        <v>50</v>
      </c>
      <c r="N327" s="7">
        <f t="shared" si="50"/>
        <v>0</v>
      </c>
      <c r="O327" s="7">
        <f t="shared" si="51"/>
        <v>0</v>
      </c>
      <c r="P327" s="7">
        <f t="shared" si="52"/>
        <v>33</v>
      </c>
      <c r="Q327" s="8">
        <f t="shared" si="54"/>
        <v>22.45</v>
      </c>
      <c r="R327" s="8">
        <f t="shared" si="55"/>
        <v>18.25</v>
      </c>
      <c r="S327" s="8">
        <f t="shared" si="56"/>
        <v>22.35</v>
      </c>
      <c r="T327" s="8">
        <f t="shared" si="57"/>
        <v>20.75</v>
      </c>
      <c r="U327" s="7">
        <f t="shared" si="58"/>
        <v>21.016666666666669</v>
      </c>
      <c r="V327" s="7">
        <f t="shared" si="59"/>
        <v>20.950000000000003</v>
      </c>
    </row>
    <row r="328" spans="1:22" ht="13.5" x14ac:dyDescent="0.25">
      <c r="A328" s="3">
        <f>RSI!A328</f>
        <v>45397</v>
      </c>
      <c r="B328" s="2">
        <f>RSI!B328</f>
        <v>5.3129999999999997</v>
      </c>
      <c r="C328" s="2">
        <f>RSI!I328</f>
        <v>56.861756923242638</v>
      </c>
      <c r="D328" s="2">
        <f>MACD!E328</f>
        <v>3.5643836241339599E-2</v>
      </c>
      <c r="E328" s="2">
        <f>MACD!F328</f>
        <v>1.6799839414538834E-2</v>
      </c>
      <c r="F328" s="2">
        <f>'Moving Avg'!D328</f>
        <v>5.3255999999999997</v>
      </c>
      <c r="G328" s="2">
        <f>'Moving Avg'!F328</f>
        <v>5.3382000000000023</v>
      </c>
      <c r="H328" s="2">
        <f>'Moving Avg'!G328</f>
        <v>5.1112199999999994</v>
      </c>
      <c r="I328" s="2">
        <f>'Moving Avg'!H328</f>
        <v>5.4535049999999936</v>
      </c>
      <c r="J328" s="5" t="str">
        <f>OBV!F328</f>
        <v>BEARISH</v>
      </c>
      <c r="K328" s="5" t="str">
        <f>OBV!G328</f>
        <v>STRONG</v>
      </c>
      <c r="L328" s="5" t="str">
        <f>OBV!H328</f>
        <v>CONFIRMED BEARISH</v>
      </c>
      <c r="M328" s="7">
        <f t="shared" si="53"/>
        <v>50</v>
      </c>
      <c r="N328" s="7">
        <f t="shared" si="50"/>
        <v>0</v>
      </c>
      <c r="O328" s="7">
        <f t="shared" si="51"/>
        <v>0</v>
      </c>
      <c r="P328" s="7">
        <f t="shared" si="52"/>
        <v>33</v>
      </c>
      <c r="Q328" s="8">
        <f t="shared" si="54"/>
        <v>22.45</v>
      </c>
      <c r="R328" s="8">
        <f t="shared" si="55"/>
        <v>18.25</v>
      </c>
      <c r="S328" s="8">
        <f t="shared" si="56"/>
        <v>22.35</v>
      </c>
      <c r="T328" s="8">
        <f t="shared" si="57"/>
        <v>20.75</v>
      </c>
      <c r="U328" s="7">
        <f t="shared" si="58"/>
        <v>21.016666666666669</v>
      </c>
      <c r="V328" s="7">
        <f t="shared" si="59"/>
        <v>20.950000000000003</v>
      </c>
    </row>
    <row r="329" spans="1:22" ht="13.5" x14ac:dyDescent="0.25">
      <c r="A329" s="3">
        <f>RSI!A329</f>
        <v>45398</v>
      </c>
      <c r="B329" s="2">
        <f>RSI!B329</f>
        <v>5.3129999999999997</v>
      </c>
      <c r="C329" s="2">
        <f>RSI!I329</f>
        <v>56.861756923242645</v>
      </c>
      <c r="D329" s="2">
        <f>MACD!E329</f>
        <v>3.546282929795197E-2</v>
      </c>
      <c r="E329" s="2">
        <f>MACD!F329</f>
        <v>2.0532437391221462E-2</v>
      </c>
      <c r="F329" s="2">
        <f>'Moving Avg'!D329</f>
        <v>5.3165999999999993</v>
      </c>
      <c r="G329" s="2">
        <f>'Moving Avg'!F329</f>
        <v>5.3359500000000022</v>
      </c>
      <c r="H329" s="2">
        <f>'Moving Avg'!G329</f>
        <v>5.1207999999999991</v>
      </c>
      <c r="I329" s="2">
        <f>'Moving Avg'!H329</f>
        <v>5.4504449999999949</v>
      </c>
      <c r="J329" s="5" t="str">
        <f>OBV!F329</f>
        <v>BEARISH</v>
      </c>
      <c r="K329" s="5" t="str">
        <f>OBV!G329</f>
        <v>STRONG</v>
      </c>
      <c r="L329" s="5" t="str">
        <f>OBV!H329</f>
        <v>CONFIRMED BEARISH</v>
      </c>
      <c r="M329" s="7">
        <f t="shared" si="53"/>
        <v>50</v>
      </c>
      <c r="N329" s="7">
        <f t="shared" si="50"/>
        <v>0</v>
      </c>
      <c r="O329" s="7">
        <f t="shared" si="51"/>
        <v>0</v>
      </c>
      <c r="P329" s="7">
        <f t="shared" si="52"/>
        <v>33</v>
      </c>
      <c r="Q329" s="8">
        <f t="shared" si="54"/>
        <v>22.45</v>
      </c>
      <c r="R329" s="8">
        <f t="shared" si="55"/>
        <v>18.25</v>
      </c>
      <c r="S329" s="8">
        <f t="shared" si="56"/>
        <v>22.35</v>
      </c>
      <c r="T329" s="8">
        <f t="shared" si="57"/>
        <v>20.75</v>
      </c>
      <c r="U329" s="7">
        <f t="shared" si="58"/>
        <v>21.016666666666669</v>
      </c>
      <c r="V329" s="7">
        <f t="shared" si="59"/>
        <v>20.950000000000003</v>
      </c>
    </row>
    <row r="330" spans="1:22" ht="13.5" x14ac:dyDescent="0.25">
      <c r="A330" s="3">
        <f>RSI!A330</f>
        <v>45399</v>
      </c>
      <c r="B330" s="2">
        <f>RSI!B330</f>
        <v>5.3129999999999997</v>
      </c>
      <c r="C330" s="2">
        <f>RSI!I330</f>
        <v>56.861756923242645</v>
      </c>
      <c r="D330" s="2">
        <f>MACD!E330</f>
        <v>3.3737392754865425E-2</v>
      </c>
      <c r="E330" s="2">
        <f>MACD!F330</f>
        <v>2.3173428463950256E-2</v>
      </c>
      <c r="F330" s="2">
        <f>'Moving Avg'!D330</f>
        <v>5.3148</v>
      </c>
      <c r="G330" s="2">
        <f>'Moving Avg'!F330</f>
        <v>5.3337000000000021</v>
      </c>
      <c r="H330" s="2">
        <f>'Moving Avg'!G330</f>
        <v>5.12948</v>
      </c>
      <c r="I330" s="2">
        <f>'Moving Avg'!H330</f>
        <v>5.4475599999999966</v>
      </c>
      <c r="J330" s="5" t="str">
        <f>OBV!F330</f>
        <v>BEARISH</v>
      </c>
      <c r="K330" s="5" t="str">
        <f>OBV!G330</f>
        <v>STRONG</v>
      </c>
      <c r="L330" s="5" t="str">
        <f>OBV!H330</f>
        <v>CONFIRMED BEARISH</v>
      </c>
      <c r="M330" s="7">
        <f t="shared" si="53"/>
        <v>50</v>
      </c>
      <c r="N330" s="7">
        <f t="shared" si="50"/>
        <v>0</v>
      </c>
      <c r="O330" s="7">
        <f t="shared" si="51"/>
        <v>0</v>
      </c>
      <c r="P330" s="7">
        <f t="shared" si="52"/>
        <v>33</v>
      </c>
      <c r="Q330" s="8">
        <f t="shared" si="54"/>
        <v>22.45</v>
      </c>
      <c r="R330" s="8">
        <f t="shared" si="55"/>
        <v>18.25</v>
      </c>
      <c r="S330" s="8">
        <f t="shared" si="56"/>
        <v>22.35</v>
      </c>
      <c r="T330" s="8">
        <f t="shared" si="57"/>
        <v>20.75</v>
      </c>
      <c r="U330" s="7">
        <f t="shared" si="58"/>
        <v>21.016666666666669</v>
      </c>
      <c r="V330" s="7">
        <f t="shared" si="59"/>
        <v>20.950000000000003</v>
      </c>
    </row>
    <row r="331" spans="1:22" ht="13.5" x14ac:dyDescent="0.25">
      <c r="A331" s="3">
        <f>RSI!A331</f>
        <v>45400</v>
      </c>
      <c r="B331" s="2">
        <f>RSI!B331</f>
        <v>5.2329999999999997</v>
      </c>
      <c r="C331" s="2">
        <f>RSI!I331</f>
        <v>41.86824268967824</v>
      </c>
      <c r="D331" s="2">
        <f>MACD!E331</f>
        <v>3.9414188708231102E-2</v>
      </c>
      <c r="E331" s="2">
        <f>MACD!F331</f>
        <v>2.6421580512806426E-2</v>
      </c>
      <c r="F331" s="2">
        <f>'Moving Avg'!D331</f>
        <v>5.2969999999999997</v>
      </c>
      <c r="G331" s="2">
        <f>'Moving Avg'!F331</f>
        <v>5.3274500000000016</v>
      </c>
      <c r="H331" s="2">
        <f>'Moving Avg'!G331</f>
        <v>5.1367399999999996</v>
      </c>
      <c r="I331" s="2">
        <f>'Moving Avg'!H331</f>
        <v>5.4442749999999966</v>
      </c>
      <c r="J331" s="5" t="str">
        <f>OBV!F331</f>
        <v>BEARISH</v>
      </c>
      <c r="K331" s="5" t="str">
        <f>OBV!G331</f>
        <v>STRONG</v>
      </c>
      <c r="L331" s="5" t="str">
        <f>OBV!H331</f>
        <v>CONFIRMED BEARISH</v>
      </c>
      <c r="M331" s="7">
        <f t="shared" si="53"/>
        <v>50</v>
      </c>
      <c r="N331" s="7">
        <f t="shared" si="50"/>
        <v>0</v>
      </c>
      <c r="O331" s="7">
        <f t="shared" si="51"/>
        <v>0</v>
      </c>
      <c r="P331" s="7">
        <f t="shared" si="52"/>
        <v>33</v>
      </c>
      <c r="Q331" s="8">
        <f t="shared" si="54"/>
        <v>22.45</v>
      </c>
      <c r="R331" s="8">
        <f t="shared" si="55"/>
        <v>18.25</v>
      </c>
      <c r="S331" s="8">
        <f t="shared" si="56"/>
        <v>22.35</v>
      </c>
      <c r="T331" s="8">
        <f t="shared" si="57"/>
        <v>20.75</v>
      </c>
      <c r="U331" s="7">
        <f t="shared" si="58"/>
        <v>21.016666666666669</v>
      </c>
      <c r="V331" s="7">
        <f t="shared" si="59"/>
        <v>20.950000000000003</v>
      </c>
    </row>
    <row r="332" spans="1:22" ht="13.5" x14ac:dyDescent="0.25">
      <c r="A332" s="3">
        <f>RSI!A332</f>
        <v>45401</v>
      </c>
      <c r="B332" s="2">
        <f>RSI!B332</f>
        <v>5.2329999999999997</v>
      </c>
      <c r="C332" s="2">
        <f>RSI!I332</f>
        <v>41.86824268967824</v>
      </c>
      <c r="D332" s="2">
        <f>MACD!E332</f>
        <v>4.4529465438552407E-2</v>
      </c>
      <c r="E332" s="2">
        <f>MACD!F332</f>
        <v>3.0043157497955622E-2</v>
      </c>
      <c r="F332" s="2">
        <f>'Moving Avg'!D332</f>
        <v>5.2810000000000006</v>
      </c>
      <c r="G332" s="2">
        <f>'Moving Avg'!F332</f>
        <v>5.3212000000000019</v>
      </c>
      <c r="H332" s="2">
        <f>'Moving Avg'!G332</f>
        <v>5.1475599999999995</v>
      </c>
      <c r="I332" s="2">
        <f>'Moving Avg'!H332</f>
        <v>5.4411249999999969</v>
      </c>
      <c r="J332" s="5" t="str">
        <f>OBV!F332</f>
        <v>BEARISH</v>
      </c>
      <c r="K332" s="5" t="str">
        <f>OBV!G332</f>
        <v>STRONG</v>
      </c>
      <c r="L332" s="5" t="str">
        <f>OBV!H332</f>
        <v>CONFIRMED BEARISH</v>
      </c>
      <c r="M332" s="7">
        <f t="shared" si="53"/>
        <v>50</v>
      </c>
      <c r="N332" s="7">
        <f t="shared" si="50"/>
        <v>0</v>
      </c>
      <c r="O332" s="7">
        <f t="shared" si="51"/>
        <v>0</v>
      </c>
      <c r="P332" s="7">
        <f t="shared" si="52"/>
        <v>33</v>
      </c>
      <c r="Q332" s="8">
        <f t="shared" si="54"/>
        <v>22.45</v>
      </c>
      <c r="R332" s="8">
        <f t="shared" si="55"/>
        <v>18.25</v>
      </c>
      <c r="S332" s="8">
        <f t="shared" si="56"/>
        <v>22.35</v>
      </c>
      <c r="T332" s="8">
        <f t="shared" si="57"/>
        <v>20.75</v>
      </c>
      <c r="U332" s="7">
        <f t="shared" si="58"/>
        <v>21.016666666666669</v>
      </c>
      <c r="V332" s="7">
        <f t="shared" si="59"/>
        <v>20.950000000000003</v>
      </c>
    </row>
    <row r="333" spans="1:22" ht="13.5" x14ac:dyDescent="0.25">
      <c r="A333" s="3">
        <f>RSI!A333</f>
        <v>45404</v>
      </c>
      <c r="B333" s="2">
        <f>RSI!B333</f>
        <v>5.2329999999999997</v>
      </c>
      <c r="C333" s="2">
        <f>RSI!I333</f>
        <v>41.868242689678233</v>
      </c>
      <c r="D333" s="2">
        <f>MACD!E333</f>
        <v>5.3300357857595237E-2</v>
      </c>
      <c r="E333" s="2">
        <f>MACD!F333</f>
        <v>3.4694597569883551E-2</v>
      </c>
      <c r="F333" s="2">
        <f>'Moving Avg'!D333</f>
        <v>5.2649999999999997</v>
      </c>
      <c r="G333" s="2">
        <f>'Moving Avg'!F333</f>
        <v>5.3149500000000014</v>
      </c>
      <c r="H333" s="2">
        <f>'Moving Avg'!G333</f>
        <v>5.1567800000000004</v>
      </c>
      <c r="I333" s="2">
        <f>'Moving Avg'!H333</f>
        <v>5.4384599999999974</v>
      </c>
      <c r="J333" s="5" t="str">
        <f>OBV!F333</f>
        <v>BEARISH</v>
      </c>
      <c r="K333" s="5" t="str">
        <f>OBV!G333</f>
        <v>STRONG</v>
      </c>
      <c r="L333" s="5" t="str">
        <f>OBV!H333</f>
        <v>CONFIRMED BEARISH</v>
      </c>
      <c r="M333" s="7">
        <f t="shared" si="53"/>
        <v>50</v>
      </c>
      <c r="N333" s="7">
        <f t="shared" si="50"/>
        <v>0</v>
      </c>
      <c r="O333" s="7">
        <f t="shared" si="51"/>
        <v>0</v>
      </c>
      <c r="P333" s="7">
        <f t="shared" si="52"/>
        <v>33</v>
      </c>
      <c r="Q333" s="8">
        <f t="shared" si="54"/>
        <v>22.45</v>
      </c>
      <c r="R333" s="8">
        <f t="shared" si="55"/>
        <v>18.25</v>
      </c>
      <c r="S333" s="8">
        <f t="shared" si="56"/>
        <v>22.35</v>
      </c>
      <c r="T333" s="8">
        <f t="shared" si="57"/>
        <v>20.75</v>
      </c>
      <c r="U333" s="7">
        <f t="shared" si="58"/>
        <v>21.016666666666669</v>
      </c>
      <c r="V333" s="7">
        <f t="shared" si="59"/>
        <v>20.950000000000003</v>
      </c>
    </row>
    <row r="334" spans="1:22" ht="13.5" x14ac:dyDescent="0.25">
      <c r="A334" s="3">
        <f>RSI!A334</f>
        <v>45405</v>
      </c>
      <c r="B334" s="2">
        <f>RSI!B334</f>
        <v>5.2329999999999997</v>
      </c>
      <c r="C334" s="2">
        <f>RSI!I334</f>
        <v>41.868242689678233</v>
      </c>
      <c r="D334" s="2">
        <f>MACD!E334</f>
        <v>6.0989229606331463E-2</v>
      </c>
      <c r="E334" s="2">
        <f>MACD!F334</f>
        <v>3.9953523977173132E-2</v>
      </c>
      <c r="F334" s="2">
        <f>'Moving Avg'!D334</f>
        <v>5.2490000000000006</v>
      </c>
      <c r="G334" s="2">
        <f>'Moving Avg'!F334</f>
        <v>5.3109500000000009</v>
      </c>
      <c r="H334" s="2">
        <f>'Moving Avg'!G334</f>
        <v>5.1674199999999999</v>
      </c>
      <c r="I334" s="2">
        <f>'Moving Avg'!H334</f>
        <v>5.4357949999999997</v>
      </c>
      <c r="J334" s="5" t="str">
        <f>OBV!F334</f>
        <v>BEARISH</v>
      </c>
      <c r="K334" s="5" t="str">
        <f>OBV!G334</f>
        <v>STRONG</v>
      </c>
      <c r="L334" s="5" t="str">
        <f>OBV!H334</f>
        <v>CONFIRMED BEARISH</v>
      </c>
      <c r="M334" s="7">
        <f t="shared" si="53"/>
        <v>50</v>
      </c>
      <c r="N334" s="7">
        <f t="shared" si="50"/>
        <v>0</v>
      </c>
      <c r="O334" s="7">
        <f t="shared" si="51"/>
        <v>0</v>
      </c>
      <c r="P334" s="7">
        <f t="shared" si="52"/>
        <v>33</v>
      </c>
      <c r="Q334" s="8">
        <f t="shared" si="54"/>
        <v>22.45</v>
      </c>
      <c r="R334" s="8">
        <f t="shared" si="55"/>
        <v>18.25</v>
      </c>
      <c r="S334" s="8">
        <f t="shared" si="56"/>
        <v>22.35</v>
      </c>
      <c r="T334" s="8">
        <f t="shared" si="57"/>
        <v>20.75</v>
      </c>
      <c r="U334" s="7">
        <f t="shared" si="58"/>
        <v>21.016666666666669</v>
      </c>
      <c r="V334" s="7">
        <f t="shared" si="59"/>
        <v>20.950000000000003</v>
      </c>
    </row>
    <row r="335" spans="1:22" ht="13.5" x14ac:dyDescent="0.25">
      <c r="A335" s="3">
        <f>RSI!A335</f>
        <v>45406</v>
      </c>
      <c r="B335" s="2">
        <f>RSI!B335</f>
        <v>5.2329999999999997</v>
      </c>
      <c r="C335" s="2">
        <f>RSI!I335</f>
        <v>41.868242689678233</v>
      </c>
      <c r="D335" s="2">
        <f>MACD!E335</f>
        <v>6.2204280354129615E-2</v>
      </c>
      <c r="E335" s="2">
        <f>MACD!F335</f>
        <v>4.4403675252564431E-2</v>
      </c>
      <c r="F335" s="2">
        <f>'Moving Avg'!D335</f>
        <v>5.2329999999999997</v>
      </c>
      <c r="G335" s="2">
        <f>'Moving Avg'!F335</f>
        <v>5.305600000000001</v>
      </c>
      <c r="H335" s="2">
        <f>'Moving Avg'!G335</f>
        <v>5.1764599999999996</v>
      </c>
      <c r="I335" s="2">
        <f>'Moving Avg'!H335</f>
        <v>5.4331299999999985</v>
      </c>
      <c r="J335" s="5" t="str">
        <f>OBV!F335</f>
        <v>BEARISH</v>
      </c>
      <c r="K335" s="5" t="str">
        <f>OBV!G335</f>
        <v>STRONG</v>
      </c>
      <c r="L335" s="5" t="str">
        <f>OBV!H335</f>
        <v>CONFIRMED BEARISH</v>
      </c>
      <c r="M335" s="7">
        <f t="shared" si="53"/>
        <v>50</v>
      </c>
      <c r="N335" s="7">
        <f t="shared" si="50"/>
        <v>0</v>
      </c>
      <c r="O335" s="7">
        <f t="shared" si="51"/>
        <v>0</v>
      </c>
      <c r="P335" s="7">
        <f t="shared" si="52"/>
        <v>33</v>
      </c>
      <c r="Q335" s="8">
        <f t="shared" si="54"/>
        <v>22.45</v>
      </c>
      <c r="R335" s="8">
        <f t="shared" si="55"/>
        <v>18.25</v>
      </c>
      <c r="S335" s="8">
        <f t="shared" si="56"/>
        <v>22.35</v>
      </c>
      <c r="T335" s="8">
        <f t="shared" si="57"/>
        <v>20.75</v>
      </c>
      <c r="U335" s="7">
        <f t="shared" si="58"/>
        <v>21.016666666666669</v>
      </c>
      <c r="V335" s="7">
        <f t="shared" si="59"/>
        <v>20.950000000000003</v>
      </c>
    </row>
    <row r="336" spans="1:22" ht="13.5" x14ac:dyDescent="0.25">
      <c r="A336" s="3">
        <f>RSI!A336</f>
        <v>45407</v>
      </c>
      <c r="B336" s="2">
        <f>RSI!B336</f>
        <v>5.1890000000000001</v>
      </c>
      <c r="C336" s="2">
        <f>RSI!I336</f>
        <v>34.599779445755757</v>
      </c>
      <c r="D336" s="2">
        <f>MACD!E336</f>
        <v>6.6720866776431187E-2</v>
      </c>
      <c r="E336" s="2">
        <f>MACD!F336</f>
        <v>4.8867113557337784E-2</v>
      </c>
      <c r="F336" s="2">
        <f>'Moving Avg'!D336</f>
        <v>5.2241999999999997</v>
      </c>
      <c r="G336" s="2">
        <f>'Moving Avg'!F336</f>
        <v>5.2980500000000008</v>
      </c>
      <c r="H336" s="2">
        <f>'Moving Avg'!G336</f>
        <v>5.1846199999999998</v>
      </c>
      <c r="I336" s="2">
        <f>'Moving Avg'!H336</f>
        <v>5.4306899999999994</v>
      </c>
      <c r="J336" s="5" t="str">
        <f>OBV!F336</f>
        <v>BEARISH</v>
      </c>
      <c r="K336" s="5" t="str">
        <f>OBV!G336</f>
        <v>STRONG</v>
      </c>
      <c r="L336" s="5" t="str">
        <f>OBV!H336</f>
        <v>CONFIRMED BEARISH</v>
      </c>
      <c r="M336" s="7">
        <f t="shared" si="53"/>
        <v>50</v>
      </c>
      <c r="N336" s="7">
        <f t="shared" si="50"/>
        <v>0</v>
      </c>
      <c r="O336" s="7">
        <f t="shared" si="51"/>
        <v>0</v>
      </c>
      <c r="P336" s="7">
        <f t="shared" si="52"/>
        <v>33</v>
      </c>
      <c r="Q336" s="8">
        <f t="shared" si="54"/>
        <v>22.45</v>
      </c>
      <c r="R336" s="8">
        <f t="shared" si="55"/>
        <v>18.25</v>
      </c>
      <c r="S336" s="8">
        <f t="shared" si="56"/>
        <v>22.35</v>
      </c>
      <c r="T336" s="8">
        <f t="shared" si="57"/>
        <v>20.75</v>
      </c>
      <c r="U336" s="7">
        <f t="shared" si="58"/>
        <v>21.016666666666669</v>
      </c>
      <c r="V336" s="7">
        <f t="shared" si="59"/>
        <v>20.950000000000003</v>
      </c>
    </row>
    <row r="337" spans="1:22" ht="13.5" x14ac:dyDescent="0.25">
      <c r="A337" s="3">
        <f>RSI!A337</f>
        <v>45408</v>
      </c>
      <c r="B337" s="2">
        <f>RSI!B337</f>
        <v>5.3220000000000001</v>
      </c>
      <c r="C337" s="2">
        <f>RSI!I337</f>
        <v>58.213954777280811</v>
      </c>
      <c r="D337" s="2">
        <f>MACD!E337</f>
        <v>5.977835338334625E-2</v>
      </c>
      <c r="E337" s="2">
        <f>MACD!F337</f>
        <v>5.1049361522539478E-2</v>
      </c>
      <c r="F337" s="2">
        <f>'Moving Avg'!D337</f>
        <v>5.2419999999999991</v>
      </c>
      <c r="G337" s="2">
        <f>'Moving Avg'!F337</f>
        <v>5.297150000000002</v>
      </c>
      <c r="H337" s="2">
        <f>'Moving Avg'!G337</f>
        <v>5.1970399999999994</v>
      </c>
      <c r="I337" s="2">
        <f>'Moving Avg'!H337</f>
        <v>5.4289150000000008</v>
      </c>
      <c r="J337" s="5" t="str">
        <f>OBV!F337</f>
        <v>BULLISH</v>
      </c>
      <c r="K337" s="5" t="str">
        <f>OBV!G337</f>
        <v>NEUTRAL</v>
      </c>
      <c r="L337" s="5" t="str">
        <f>OBV!H337</f>
        <v>CONFIRMED BULLISH</v>
      </c>
      <c r="M337" s="7">
        <f t="shared" si="53"/>
        <v>50</v>
      </c>
      <c r="N337" s="7">
        <f t="shared" si="50"/>
        <v>0</v>
      </c>
      <c r="O337" s="7">
        <f t="shared" si="51"/>
        <v>0</v>
      </c>
      <c r="P337" s="7">
        <f t="shared" si="52"/>
        <v>83.5</v>
      </c>
      <c r="Q337" s="8">
        <f t="shared" si="54"/>
        <v>30.024999999999999</v>
      </c>
      <c r="R337" s="8">
        <f t="shared" si="55"/>
        <v>30.875</v>
      </c>
      <c r="S337" s="8">
        <f t="shared" si="56"/>
        <v>45.075000000000003</v>
      </c>
      <c r="T337" s="8">
        <f t="shared" si="57"/>
        <v>33.375</v>
      </c>
      <c r="U337" s="7">
        <f t="shared" si="58"/>
        <v>35.324999999999996</v>
      </c>
      <c r="V337" s="7">
        <f t="shared" si="59"/>
        <v>34.837499999999999</v>
      </c>
    </row>
    <row r="338" spans="1:22" ht="13.5" x14ac:dyDescent="0.25">
      <c r="A338" s="3">
        <f>RSI!A338</f>
        <v>45411</v>
      </c>
      <c r="B338" s="2">
        <f>RSI!B338</f>
        <v>5.3220000000000001</v>
      </c>
      <c r="C338" s="2">
        <f>RSI!I338</f>
        <v>58.213954777280819</v>
      </c>
      <c r="D338" s="2">
        <f>MACD!E338</f>
        <v>5.3555263364454042E-2</v>
      </c>
      <c r="E338" s="2">
        <f>MACD!F338</f>
        <v>5.1550541890922397E-2</v>
      </c>
      <c r="F338" s="2">
        <f>'Moving Avg'!D338</f>
        <v>5.2598000000000003</v>
      </c>
      <c r="G338" s="2">
        <f>'Moving Avg'!F338</f>
        <v>5.2962500000000023</v>
      </c>
      <c r="H338" s="2">
        <f>'Moving Avg'!G338</f>
        <v>5.20946</v>
      </c>
      <c r="I338" s="2">
        <f>'Moving Avg'!H338</f>
        <v>5.4271400000000005</v>
      </c>
      <c r="J338" s="5" t="str">
        <f>OBV!F338</f>
        <v>BULLISH</v>
      </c>
      <c r="K338" s="5" t="str">
        <f>OBV!G338</f>
        <v>NEUTRAL</v>
      </c>
      <c r="L338" s="5" t="str">
        <f>OBV!H338</f>
        <v>CONFIRMED BULLISH</v>
      </c>
      <c r="M338" s="7">
        <f t="shared" si="53"/>
        <v>50</v>
      </c>
      <c r="N338" s="7">
        <f t="shared" si="50"/>
        <v>0</v>
      </c>
      <c r="O338" s="7">
        <f t="shared" si="51"/>
        <v>0</v>
      </c>
      <c r="P338" s="7">
        <f t="shared" si="52"/>
        <v>83.5</v>
      </c>
      <c r="Q338" s="8">
        <f t="shared" si="54"/>
        <v>30.024999999999999</v>
      </c>
      <c r="R338" s="8">
        <f t="shared" si="55"/>
        <v>30.875</v>
      </c>
      <c r="S338" s="8">
        <f t="shared" si="56"/>
        <v>45.075000000000003</v>
      </c>
      <c r="T338" s="8">
        <f t="shared" si="57"/>
        <v>33.375</v>
      </c>
      <c r="U338" s="7">
        <f t="shared" si="58"/>
        <v>35.324999999999996</v>
      </c>
      <c r="V338" s="7">
        <f t="shared" si="59"/>
        <v>34.837499999999999</v>
      </c>
    </row>
    <row r="339" spans="1:22" ht="13.5" x14ac:dyDescent="0.25">
      <c r="A339" s="3">
        <f>RSI!A339</f>
        <v>45412</v>
      </c>
      <c r="B339" s="2">
        <f>RSI!B339</f>
        <v>5.3220000000000001</v>
      </c>
      <c r="C339" s="2">
        <f>RSI!I339</f>
        <v>58.213954777280819</v>
      </c>
      <c r="D339" s="2">
        <f>MACD!E339</f>
        <v>4.7966742542079999E-2</v>
      </c>
      <c r="E339" s="2">
        <f>MACD!F339</f>
        <v>5.083378202115392E-2</v>
      </c>
      <c r="F339" s="2">
        <f>'Moving Avg'!D339</f>
        <v>5.2775999999999996</v>
      </c>
      <c r="G339" s="2">
        <f>'Moving Avg'!F339</f>
        <v>5.2958000000000016</v>
      </c>
      <c r="H339" s="2">
        <f>'Moving Avg'!G339</f>
        <v>5.2220599999999999</v>
      </c>
      <c r="I339" s="2">
        <f>'Moving Avg'!H339</f>
        <v>5.4253649999999993</v>
      </c>
      <c r="J339" s="5" t="str">
        <f>OBV!F339</f>
        <v>BULLISH</v>
      </c>
      <c r="K339" s="5" t="str">
        <f>OBV!G339</f>
        <v>NEUTRAL</v>
      </c>
      <c r="L339" s="5" t="str">
        <f>OBV!H339</f>
        <v>CONFIRMED BULLISH</v>
      </c>
      <c r="M339" s="7">
        <f t="shared" si="53"/>
        <v>50</v>
      </c>
      <c r="N339" s="7">
        <f t="shared" si="50"/>
        <v>45</v>
      </c>
      <c r="O339" s="7">
        <f t="shared" si="51"/>
        <v>0</v>
      </c>
      <c r="P339" s="7">
        <f t="shared" si="52"/>
        <v>83.5</v>
      </c>
      <c r="Q339" s="8">
        <f t="shared" si="54"/>
        <v>45.774999999999999</v>
      </c>
      <c r="R339" s="8">
        <f t="shared" si="55"/>
        <v>39.875</v>
      </c>
      <c r="S339" s="8">
        <f t="shared" si="56"/>
        <v>51.825000000000003</v>
      </c>
      <c r="T339" s="8">
        <f t="shared" si="57"/>
        <v>44.625</v>
      </c>
      <c r="U339" s="7">
        <f t="shared" si="58"/>
        <v>45.82500000000001</v>
      </c>
      <c r="V339" s="7">
        <f t="shared" si="59"/>
        <v>45.525000000000006</v>
      </c>
    </row>
    <row r="340" spans="1:22" ht="13.5" x14ac:dyDescent="0.25">
      <c r="A340" s="3">
        <f>RSI!A340</f>
        <v>45414</v>
      </c>
      <c r="B340" s="2">
        <f>RSI!B340</f>
        <v>5.3220000000000001</v>
      </c>
      <c r="C340" s="2">
        <f>RSI!I340</f>
        <v>58.213954777280819</v>
      </c>
      <c r="D340" s="2">
        <f>MACD!E340</f>
        <v>4.2939078165095346E-2</v>
      </c>
      <c r="E340" s="2">
        <f>MACD!F340</f>
        <v>4.9254841249942213E-2</v>
      </c>
      <c r="F340" s="2">
        <f>'Moving Avg'!D340</f>
        <v>5.295399999999999</v>
      </c>
      <c r="G340" s="2">
        <f>'Moving Avg'!F340</f>
        <v>5.2958000000000016</v>
      </c>
      <c r="H340" s="2">
        <f>'Moving Avg'!G340</f>
        <v>5.2346599999999999</v>
      </c>
      <c r="I340" s="2">
        <f>'Moving Avg'!H340</f>
        <v>5.4235899999999981</v>
      </c>
      <c r="J340" s="5" t="str">
        <f>OBV!F340</f>
        <v>BULLISH</v>
      </c>
      <c r="K340" s="5" t="str">
        <f>OBV!G340</f>
        <v>NEUTRAL</v>
      </c>
      <c r="L340" s="5" t="str">
        <f>OBV!H340</f>
        <v>CONFIRMED BULLISH</v>
      </c>
      <c r="M340" s="7">
        <f t="shared" si="53"/>
        <v>50</v>
      </c>
      <c r="N340" s="7">
        <f t="shared" si="50"/>
        <v>45</v>
      </c>
      <c r="O340" s="7">
        <f t="shared" si="51"/>
        <v>0</v>
      </c>
      <c r="P340" s="7">
        <f t="shared" si="52"/>
        <v>83.5</v>
      </c>
      <c r="Q340" s="8">
        <f t="shared" si="54"/>
        <v>45.774999999999999</v>
      </c>
      <c r="R340" s="8">
        <f t="shared" si="55"/>
        <v>39.875</v>
      </c>
      <c r="S340" s="8">
        <f t="shared" si="56"/>
        <v>51.825000000000003</v>
      </c>
      <c r="T340" s="8">
        <f t="shared" si="57"/>
        <v>44.625</v>
      </c>
      <c r="U340" s="7">
        <f t="shared" si="58"/>
        <v>45.82500000000001</v>
      </c>
      <c r="V340" s="7">
        <f t="shared" si="59"/>
        <v>45.525000000000006</v>
      </c>
    </row>
    <row r="341" spans="1:22" ht="13.5" x14ac:dyDescent="0.25">
      <c r="A341" s="3">
        <f>RSI!A341</f>
        <v>45415</v>
      </c>
      <c r="B341" s="2">
        <f>RSI!B341</f>
        <v>5.3490000000000002</v>
      </c>
      <c r="C341" s="2">
        <f>RSI!I341</f>
        <v>61.964021700645048</v>
      </c>
      <c r="D341" s="2">
        <f>MACD!E341</f>
        <v>2.4100434243925051E-2</v>
      </c>
      <c r="E341" s="2">
        <f>MACD!F341</f>
        <v>4.4223959848738781E-2</v>
      </c>
      <c r="F341" s="2">
        <f>'Moving Avg'!D341</f>
        <v>5.3273999999999999</v>
      </c>
      <c r="G341" s="2">
        <f>'Moving Avg'!F341</f>
        <v>5.2967000000000004</v>
      </c>
      <c r="H341" s="2">
        <f>'Moving Avg'!G341</f>
        <v>5.2476199999999995</v>
      </c>
      <c r="I341" s="2">
        <f>'Moving Avg'!H341</f>
        <v>5.4219499999999972</v>
      </c>
      <c r="J341" s="5" t="str">
        <f>OBV!F341</f>
        <v>BULLISH</v>
      </c>
      <c r="K341" s="5" t="str">
        <f>OBV!G341</f>
        <v>WEAK</v>
      </c>
      <c r="L341" s="5" t="str">
        <f>OBV!H341</f>
        <v>CONFIRMED BULLISH</v>
      </c>
      <c r="M341" s="7">
        <f t="shared" si="53"/>
        <v>50</v>
      </c>
      <c r="N341" s="7">
        <f t="shared" si="50"/>
        <v>100</v>
      </c>
      <c r="O341" s="7">
        <f t="shared" si="51"/>
        <v>0</v>
      </c>
      <c r="P341" s="7">
        <f t="shared" si="52"/>
        <v>67</v>
      </c>
      <c r="Q341" s="8">
        <f t="shared" si="54"/>
        <v>62.55</v>
      </c>
      <c r="R341" s="8">
        <f t="shared" si="55"/>
        <v>46.75</v>
      </c>
      <c r="S341" s="8">
        <f t="shared" si="56"/>
        <v>52.650000000000006</v>
      </c>
      <c r="T341" s="8">
        <f t="shared" si="57"/>
        <v>54.25</v>
      </c>
      <c r="U341" s="7">
        <f t="shared" si="58"/>
        <v>53.983333333333327</v>
      </c>
      <c r="V341" s="7">
        <f t="shared" si="59"/>
        <v>54.05</v>
      </c>
    </row>
    <row r="342" spans="1:22" ht="13.5" x14ac:dyDescent="0.25">
      <c r="A342" s="3">
        <f>RSI!A342</f>
        <v>45418</v>
      </c>
      <c r="B342" s="2">
        <f>RSI!B342</f>
        <v>5.3490000000000002</v>
      </c>
      <c r="C342" s="2">
        <f>RSI!I342</f>
        <v>61.964021700645048</v>
      </c>
      <c r="D342" s="2">
        <f>MACD!E342</f>
        <v>7.7442267929344055E-3</v>
      </c>
      <c r="E342" s="2">
        <f>MACD!F342</f>
        <v>3.6928013237577911E-2</v>
      </c>
      <c r="F342" s="2">
        <f>'Moving Avg'!D342</f>
        <v>5.3328000000000007</v>
      </c>
      <c r="G342" s="2">
        <f>'Moving Avg'!F342</f>
        <v>5.2976000000000001</v>
      </c>
      <c r="H342" s="2">
        <f>'Moving Avg'!G342</f>
        <v>5.2555999999999994</v>
      </c>
      <c r="I342" s="2">
        <f>'Moving Avg'!H342</f>
        <v>5.4200899999999983</v>
      </c>
      <c r="J342" s="5" t="str">
        <f>OBV!F342</f>
        <v>BULLISH</v>
      </c>
      <c r="K342" s="5" t="str">
        <f>OBV!G342</f>
        <v>WEAK</v>
      </c>
      <c r="L342" s="5" t="str">
        <f>OBV!H342</f>
        <v>CONFIRMED BULLISH</v>
      </c>
      <c r="M342" s="7">
        <f t="shared" si="53"/>
        <v>50</v>
      </c>
      <c r="N342" s="7">
        <f t="shared" si="50"/>
        <v>100</v>
      </c>
      <c r="O342" s="7">
        <f t="shared" si="51"/>
        <v>0</v>
      </c>
      <c r="P342" s="7">
        <f t="shared" si="52"/>
        <v>67</v>
      </c>
      <c r="Q342" s="8">
        <f t="shared" si="54"/>
        <v>62.55</v>
      </c>
      <c r="R342" s="8">
        <f t="shared" si="55"/>
        <v>46.75</v>
      </c>
      <c r="S342" s="8">
        <f t="shared" si="56"/>
        <v>52.650000000000006</v>
      </c>
      <c r="T342" s="8">
        <f t="shared" si="57"/>
        <v>54.25</v>
      </c>
      <c r="U342" s="7">
        <f t="shared" si="58"/>
        <v>53.983333333333327</v>
      </c>
      <c r="V342" s="7">
        <f t="shared" si="59"/>
        <v>54.05</v>
      </c>
    </row>
    <row r="343" spans="1:22" ht="13.5" x14ac:dyDescent="0.25">
      <c r="A343" s="3">
        <f>RSI!A343</f>
        <v>45419</v>
      </c>
      <c r="B343" s="2">
        <f>RSI!B343</f>
        <v>5.3129999999999997</v>
      </c>
      <c r="C343" s="2">
        <f>RSI!I343</f>
        <v>54.412804503475641</v>
      </c>
      <c r="D343" s="2">
        <f>MACD!E343</f>
        <v>-3.8139896064786072E-3</v>
      </c>
      <c r="E343" s="2">
        <f>MACD!F343</f>
        <v>2.8779612668766608E-2</v>
      </c>
      <c r="F343" s="2">
        <f>'Moving Avg'!D343</f>
        <v>5.3309999999999995</v>
      </c>
      <c r="G343" s="2">
        <f>'Moving Avg'!F343</f>
        <v>5.29535</v>
      </c>
      <c r="H343" s="2">
        <f>'Moving Avg'!G343</f>
        <v>5.2628599999999999</v>
      </c>
      <c r="I343" s="2">
        <f>'Moving Avg'!H343</f>
        <v>5.4180499999999983</v>
      </c>
      <c r="J343" s="5" t="str">
        <f>OBV!F343</f>
        <v>BULLISH</v>
      </c>
      <c r="K343" s="5" t="str">
        <f>OBV!G343</f>
        <v>NEUTRAL</v>
      </c>
      <c r="L343" s="5" t="str">
        <f>OBV!H343</f>
        <v>BULLISH DIVERGENCE</v>
      </c>
      <c r="M343" s="7">
        <f t="shared" si="53"/>
        <v>50</v>
      </c>
      <c r="N343" s="7">
        <f t="shared" si="50"/>
        <v>100</v>
      </c>
      <c r="O343" s="7">
        <f t="shared" si="51"/>
        <v>0</v>
      </c>
      <c r="P343" s="7">
        <f t="shared" si="52"/>
        <v>66.5</v>
      </c>
      <c r="Q343" s="8">
        <f t="shared" si="54"/>
        <v>62.475000000000001</v>
      </c>
      <c r="R343" s="8">
        <f t="shared" si="55"/>
        <v>46.625</v>
      </c>
      <c r="S343" s="8">
        <f t="shared" si="56"/>
        <v>52.424999999999997</v>
      </c>
      <c r="T343" s="8">
        <f t="shared" si="57"/>
        <v>54.125</v>
      </c>
      <c r="U343" s="7">
        <f t="shared" si="58"/>
        <v>53.841666666666661</v>
      </c>
      <c r="V343" s="7">
        <f t="shared" si="59"/>
        <v>53.912499999999994</v>
      </c>
    </row>
    <row r="344" spans="1:22" ht="13.5" x14ac:dyDescent="0.25">
      <c r="A344" s="3">
        <f>RSI!A344</f>
        <v>45420</v>
      </c>
      <c r="B344" s="2">
        <f>RSI!B344</f>
        <v>5.3129999999999997</v>
      </c>
      <c r="C344" s="2">
        <f>RSI!I344</f>
        <v>54.412804503475641</v>
      </c>
      <c r="D344" s="2">
        <f>MACD!E344</f>
        <v>-1.3737788898253278E-2</v>
      </c>
      <c r="E344" s="2">
        <f>MACD!F344</f>
        <v>2.027613235536263E-2</v>
      </c>
      <c r="F344" s="2">
        <f>'Moving Avg'!D344</f>
        <v>5.3291999999999993</v>
      </c>
      <c r="G344" s="2">
        <f>'Moving Avg'!F344</f>
        <v>5.2931000000000008</v>
      </c>
      <c r="H344" s="2">
        <f>'Moving Avg'!G344</f>
        <v>5.2706600000000003</v>
      </c>
      <c r="I344" s="2">
        <f>'Moving Avg'!H344</f>
        <v>5.4160099999999991</v>
      </c>
      <c r="J344" s="5" t="str">
        <f>OBV!F344</f>
        <v>BULLISH</v>
      </c>
      <c r="K344" s="5" t="str">
        <f>OBV!G344</f>
        <v>NEUTRAL</v>
      </c>
      <c r="L344" s="5" t="str">
        <f>OBV!H344</f>
        <v>BULLISH DIVERGENCE</v>
      </c>
      <c r="M344" s="7">
        <f t="shared" si="53"/>
        <v>50</v>
      </c>
      <c r="N344" s="7">
        <f t="shared" si="50"/>
        <v>100</v>
      </c>
      <c r="O344" s="7">
        <f t="shared" si="51"/>
        <v>0</v>
      </c>
      <c r="P344" s="7">
        <f t="shared" si="52"/>
        <v>66.5</v>
      </c>
      <c r="Q344" s="8">
        <f t="shared" si="54"/>
        <v>62.475000000000001</v>
      </c>
      <c r="R344" s="8">
        <f t="shared" si="55"/>
        <v>46.625</v>
      </c>
      <c r="S344" s="8">
        <f t="shared" si="56"/>
        <v>52.424999999999997</v>
      </c>
      <c r="T344" s="8">
        <f t="shared" si="57"/>
        <v>54.125</v>
      </c>
      <c r="U344" s="7">
        <f t="shared" si="58"/>
        <v>53.841666666666661</v>
      </c>
      <c r="V344" s="7">
        <f t="shared" si="59"/>
        <v>53.912499999999994</v>
      </c>
    </row>
    <row r="345" spans="1:22" ht="13.5" x14ac:dyDescent="0.25">
      <c r="A345" s="3">
        <f>RSI!A345</f>
        <v>45421</v>
      </c>
      <c r="B345" s="2">
        <f>RSI!B345</f>
        <v>5.3129999999999997</v>
      </c>
      <c r="C345" s="2">
        <f>RSI!I345</f>
        <v>54.412804503475641</v>
      </c>
      <c r="D345" s="2">
        <f>MACD!E345</f>
        <v>-2.2267970236272916E-2</v>
      </c>
      <c r="E345" s="2">
        <f>MACD!F345</f>
        <v>1.176731183703552E-2</v>
      </c>
      <c r="F345" s="2">
        <f>'Moving Avg'!D345</f>
        <v>5.327399999999999</v>
      </c>
      <c r="G345" s="2">
        <f>'Moving Avg'!F345</f>
        <v>5.2926500000000001</v>
      </c>
      <c r="H345" s="2">
        <f>'Moving Avg'!G345</f>
        <v>5.2779199999999991</v>
      </c>
      <c r="I345" s="2">
        <f>'Moving Avg'!H345</f>
        <v>5.4137449999999987</v>
      </c>
      <c r="J345" s="5" t="str">
        <f>OBV!F345</f>
        <v>BULLISH</v>
      </c>
      <c r="K345" s="5" t="str">
        <f>OBV!G345</f>
        <v>NEUTRAL</v>
      </c>
      <c r="L345" s="5" t="str">
        <f>OBV!H345</f>
        <v>BULLISH DIVERGENCE</v>
      </c>
      <c r="M345" s="7">
        <f t="shared" si="53"/>
        <v>50</v>
      </c>
      <c r="N345" s="7">
        <f t="shared" si="50"/>
        <v>100</v>
      </c>
      <c r="O345" s="7">
        <f t="shared" si="51"/>
        <v>0</v>
      </c>
      <c r="P345" s="7">
        <f t="shared" si="52"/>
        <v>66.5</v>
      </c>
      <c r="Q345" s="8">
        <f t="shared" si="54"/>
        <v>62.475000000000001</v>
      </c>
      <c r="R345" s="8">
        <f t="shared" si="55"/>
        <v>46.625</v>
      </c>
      <c r="S345" s="8">
        <f t="shared" si="56"/>
        <v>52.424999999999997</v>
      </c>
      <c r="T345" s="8">
        <f t="shared" si="57"/>
        <v>54.125</v>
      </c>
      <c r="U345" s="7">
        <f t="shared" si="58"/>
        <v>53.841666666666661</v>
      </c>
      <c r="V345" s="7">
        <f t="shared" si="59"/>
        <v>53.912499999999994</v>
      </c>
    </row>
    <row r="346" spans="1:22" ht="13.5" x14ac:dyDescent="0.25">
      <c r="A346" s="3">
        <f>RSI!A346</f>
        <v>45422</v>
      </c>
      <c r="B346" s="2">
        <f>RSI!B346</f>
        <v>5.3129999999999997</v>
      </c>
      <c r="C346" s="2">
        <f>RSI!I346</f>
        <v>54.412804503475641</v>
      </c>
      <c r="D346" s="2">
        <f>MACD!E346</f>
        <v>-3.6378306381601E-2</v>
      </c>
      <c r="E346" s="2">
        <f>MACD!F346</f>
        <v>2.1381881933082159E-3</v>
      </c>
      <c r="F346" s="2">
        <f>'Moving Avg'!D346</f>
        <v>5.3201999999999989</v>
      </c>
      <c r="G346" s="2">
        <f>'Moving Avg'!F346</f>
        <v>5.2922000000000011</v>
      </c>
      <c r="H346" s="2">
        <f>'Moving Avg'!G346</f>
        <v>5.2851799999999995</v>
      </c>
      <c r="I346" s="2">
        <f>'Moving Avg'!H346</f>
        <v>5.4114799999999992</v>
      </c>
      <c r="J346" s="5" t="str">
        <f>OBV!F346</f>
        <v>BEARISH</v>
      </c>
      <c r="K346" s="5" t="str">
        <f>OBV!G346</f>
        <v>STRONG</v>
      </c>
      <c r="L346" s="5" t="str">
        <f>OBV!H346</f>
        <v>CONFIRMED BEARISH</v>
      </c>
      <c r="M346" s="7">
        <f t="shared" si="53"/>
        <v>50</v>
      </c>
      <c r="N346" s="7">
        <f t="shared" si="50"/>
        <v>100</v>
      </c>
      <c r="O346" s="7">
        <f t="shared" si="51"/>
        <v>0</v>
      </c>
      <c r="P346" s="7">
        <f t="shared" si="52"/>
        <v>33</v>
      </c>
      <c r="Q346" s="8">
        <f t="shared" si="54"/>
        <v>57.45</v>
      </c>
      <c r="R346" s="8">
        <f t="shared" si="55"/>
        <v>38.25</v>
      </c>
      <c r="S346" s="8">
        <f t="shared" si="56"/>
        <v>37.35</v>
      </c>
      <c r="T346" s="8">
        <f t="shared" si="57"/>
        <v>45.75</v>
      </c>
      <c r="U346" s="7">
        <f t="shared" si="58"/>
        <v>44.35</v>
      </c>
      <c r="V346" s="7">
        <f t="shared" si="59"/>
        <v>44.7</v>
      </c>
    </row>
    <row r="347" spans="1:22" ht="13.5" x14ac:dyDescent="0.25">
      <c r="A347" s="3">
        <f>RSI!A347</f>
        <v>45425</v>
      </c>
      <c r="B347" s="2">
        <f>RSI!B347</f>
        <v>5.3129999999999997</v>
      </c>
      <c r="C347" s="2">
        <f>RSI!I347</f>
        <v>54.412804503475641</v>
      </c>
      <c r="D347" s="2">
        <f>MACD!E347</f>
        <v>-2.7970412405643685E-2</v>
      </c>
      <c r="E347" s="2">
        <f>MACD!F347</f>
        <v>-3.8835319264821653E-3</v>
      </c>
      <c r="F347" s="2">
        <f>'Moving Avg'!D347</f>
        <v>5.3129999999999997</v>
      </c>
      <c r="G347" s="2">
        <f>'Moving Avg'!F347</f>
        <v>5.2922000000000011</v>
      </c>
      <c r="H347" s="2">
        <f>'Moving Avg'!G347</f>
        <v>5.2926199999999994</v>
      </c>
      <c r="I347" s="2">
        <f>'Moving Avg'!H347</f>
        <v>5.4092149999999997</v>
      </c>
      <c r="J347" s="5" t="str">
        <f>OBV!F347</f>
        <v>BEARISH</v>
      </c>
      <c r="K347" s="5" t="str">
        <f>OBV!G347</f>
        <v>STRONG</v>
      </c>
      <c r="L347" s="5" t="str">
        <f>OBV!H347</f>
        <v>CONFIRMED BEARISH</v>
      </c>
      <c r="M347" s="7">
        <f t="shared" si="53"/>
        <v>50</v>
      </c>
      <c r="N347" s="7">
        <f t="shared" si="50"/>
        <v>100</v>
      </c>
      <c r="O347" s="7">
        <f t="shared" si="51"/>
        <v>0</v>
      </c>
      <c r="P347" s="7">
        <f t="shared" si="52"/>
        <v>33</v>
      </c>
      <c r="Q347" s="8">
        <f t="shared" si="54"/>
        <v>57.45</v>
      </c>
      <c r="R347" s="8">
        <f t="shared" si="55"/>
        <v>38.25</v>
      </c>
      <c r="S347" s="8">
        <f t="shared" si="56"/>
        <v>37.35</v>
      </c>
      <c r="T347" s="8">
        <f t="shared" si="57"/>
        <v>45.75</v>
      </c>
      <c r="U347" s="7">
        <f t="shared" si="58"/>
        <v>44.35</v>
      </c>
      <c r="V347" s="7">
        <f t="shared" si="59"/>
        <v>44.7</v>
      </c>
    </row>
    <row r="348" spans="1:22" ht="13.5" x14ac:dyDescent="0.25">
      <c r="A348" s="3">
        <f>RSI!A348</f>
        <v>45426</v>
      </c>
      <c r="B348" s="2">
        <f>RSI!B348</f>
        <v>5.1980000000000004</v>
      </c>
      <c r="C348" s="2">
        <f>RSI!I348</f>
        <v>34.793192887631619</v>
      </c>
      <c r="D348" s="2">
        <f>MACD!E348</f>
        <v>-1.2443197325841204E-2</v>
      </c>
      <c r="E348" s="2">
        <f>MACD!F348</f>
        <v>-5.5954650063539738E-3</v>
      </c>
      <c r="F348" s="2">
        <f>'Moving Avg'!D348</f>
        <v>5.29</v>
      </c>
      <c r="G348" s="2">
        <f>'Moving Avg'!F348</f>
        <v>5.2864500000000003</v>
      </c>
      <c r="H348" s="2">
        <f>'Moving Avg'!G348</f>
        <v>5.2958199999999991</v>
      </c>
      <c r="I348" s="2">
        <f>'Moving Avg'!H348</f>
        <v>5.4063750000000015</v>
      </c>
      <c r="J348" s="5" t="str">
        <f>OBV!F348</f>
        <v>BEARISH</v>
      </c>
      <c r="K348" s="5" t="str">
        <f>OBV!G348</f>
        <v>STRONG</v>
      </c>
      <c r="L348" s="5" t="str">
        <f>OBV!H348</f>
        <v>CONFIRMED BEARISH</v>
      </c>
      <c r="M348" s="7">
        <f t="shared" si="53"/>
        <v>50</v>
      </c>
      <c r="N348" s="7">
        <f t="shared" si="50"/>
        <v>45</v>
      </c>
      <c r="O348" s="7">
        <f t="shared" si="51"/>
        <v>0</v>
      </c>
      <c r="P348" s="7">
        <f t="shared" si="52"/>
        <v>33</v>
      </c>
      <c r="Q348" s="8">
        <f t="shared" si="54"/>
        <v>38.200000000000003</v>
      </c>
      <c r="R348" s="8">
        <f t="shared" si="55"/>
        <v>27.25</v>
      </c>
      <c r="S348" s="8">
        <f t="shared" si="56"/>
        <v>29.1</v>
      </c>
      <c r="T348" s="8">
        <f t="shared" si="57"/>
        <v>32</v>
      </c>
      <c r="U348" s="7">
        <f t="shared" si="58"/>
        <v>31.516666666666669</v>
      </c>
      <c r="V348" s="7">
        <f t="shared" si="59"/>
        <v>31.637500000000003</v>
      </c>
    </row>
    <row r="349" spans="1:22" ht="13.5" x14ac:dyDescent="0.25">
      <c r="A349" s="3">
        <f>RSI!A349</f>
        <v>45427</v>
      </c>
      <c r="B349" s="2">
        <f>RSI!B349</f>
        <v>5.0999999999999996</v>
      </c>
      <c r="C349" s="2">
        <f>RSI!I349</f>
        <v>26.14252339845406</v>
      </c>
      <c r="D349" s="2">
        <f>MACD!E349</f>
        <v>8.5361671648973569E-3</v>
      </c>
      <c r="E349" s="2">
        <f>MACD!F349</f>
        <v>-2.7691385721037073E-3</v>
      </c>
      <c r="F349" s="2">
        <f>'Moving Avg'!D349</f>
        <v>5.2474000000000007</v>
      </c>
      <c r="G349" s="2">
        <f>'Moving Avg'!F349</f>
        <v>5.2758000000000012</v>
      </c>
      <c r="H349" s="2">
        <f>'Moving Avg'!G349</f>
        <v>5.2970599999999992</v>
      </c>
      <c r="I349" s="2">
        <f>'Moving Avg'!H349</f>
        <v>5.4030450000000023</v>
      </c>
      <c r="J349" s="5" t="str">
        <f>OBV!F349</f>
        <v>BEARISH</v>
      </c>
      <c r="K349" s="5" t="str">
        <f>OBV!G349</f>
        <v>STRONG</v>
      </c>
      <c r="L349" s="5" t="str">
        <f>OBV!H349</f>
        <v>CONFIRMED BEARISH</v>
      </c>
      <c r="M349" s="7">
        <f t="shared" si="53"/>
        <v>100</v>
      </c>
      <c r="N349" s="7">
        <f t="shared" si="50"/>
        <v>0</v>
      </c>
      <c r="O349" s="7">
        <f t="shared" si="51"/>
        <v>0</v>
      </c>
      <c r="P349" s="7">
        <f t="shared" si="52"/>
        <v>33</v>
      </c>
      <c r="Q349" s="8">
        <f t="shared" si="54"/>
        <v>39.950000000000003</v>
      </c>
      <c r="R349" s="8">
        <f t="shared" si="55"/>
        <v>28.25</v>
      </c>
      <c r="S349" s="8">
        <f t="shared" si="56"/>
        <v>29.85</v>
      </c>
      <c r="T349" s="8">
        <f t="shared" si="57"/>
        <v>33.25</v>
      </c>
      <c r="U349" s="7">
        <f t="shared" si="58"/>
        <v>32.683333333333337</v>
      </c>
      <c r="V349" s="7">
        <f t="shared" si="59"/>
        <v>32.825000000000003</v>
      </c>
    </row>
    <row r="350" spans="1:22" ht="13.5" x14ac:dyDescent="0.25">
      <c r="A350" s="3">
        <f>RSI!A350</f>
        <v>45428</v>
      </c>
      <c r="B350" s="2">
        <f>RSI!B350</f>
        <v>5.3220000000000001</v>
      </c>
      <c r="C350" s="2">
        <f>RSI!I350</f>
        <v>54.027294334499331</v>
      </c>
      <c r="D350" s="2">
        <f>MACD!E350</f>
        <v>1.0961183023283638E-2</v>
      </c>
      <c r="E350" s="2">
        <f>MACD!F350</f>
        <v>-2.3074253026238081E-5</v>
      </c>
      <c r="F350" s="2">
        <f>'Moving Avg'!D350</f>
        <v>5.2492000000000001</v>
      </c>
      <c r="G350" s="2">
        <f>'Moving Avg'!F350</f>
        <v>5.2762500000000019</v>
      </c>
      <c r="H350" s="2">
        <f>'Moving Avg'!G350</f>
        <v>5.301499999999999</v>
      </c>
      <c r="I350" s="2">
        <f>'Moving Avg'!H350</f>
        <v>5.400825000000002</v>
      </c>
      <c r="J350" s="5" t="str">
        <f>OBV!F350</f>
        <v>BEARISH</v>
      </c>
      <c r="K350" s="5" t="str">
        <f>OBV!G350</f>
        <v>STRONG</v>
      </c>
      <c r="L350" s="5" t="str">
        <f>OBV!H350</f>
        <v>BEARISH DIVERGENCE</v>
      </c>
      <c r="M350" s="7">
        <f t="shared" si="53"/>
        <v>50</v>
      </c>
      <c r="N350" s="7">
        <f t="shared" si="50"/>
        <v>0</v>
      </c>
      <c r="O350" s="7">
        <f t="shared" si="51"/>
        <v>0</v>
      </c>
      <c r="P350" s="7">
        <f t="shared" si="52"/>
        <v>33</v>
      </c>
      <c r="Q350" s="8">
        <f t="shared" si="54"/>
        <v>22.45</v>
      </c>
      <c r="R350" s="8">
        <f t="shared" si="55"/>
        <v>18.25</v>
      </c>
      <c r="S350" s="8">
        <f t="shared" si="56"/>
        <v>22.35</v>
      </c>
      <c r="T350" s="8">
        <f t="shared" si="57"/>
        <v>20.75</v>
      </c>
      <c r="U350" s="7">
        <f t="shared" si="58"/>
        <v>21.016666666666669</v>
      </c>
      <c r="V350" s="7">
        <f t="shared" si="59"/>
        <v>20.950000000000003</v>
      </c>
    </row>
    <row r="351" spans="1:22" ht="13.5" x14ac:dyDescent="0.25">
      <c r="A351" s="3">
        <f>RSI!A351</f>
        <v>45429</v>
      </c>
      <c r="B351" s="2">
        <f>RSI!B351</f>
        <v>5.3490000000000002</v>
      </c>
      <c r="C351" s="2">
        <f>RSI!I351</f>
        <v>56.193533066958366</v>
      </c>
      <c r="D351" s="2">
        <f>MACD!E351</f>
        <v>1.4890056610073366E-2</v>
      </c>
      <c r="E351" s="2">
        <f>MACD!F351</f>
        <v>2.9595519195936828E-3</v>
      </c>
      <c r="F351" s="2">
        <f>'Moving Avg'!D351</f>
        <v>5.2564000000000002</v>
      </c>
      <c r="G351" s="2">
        <f>'Moving Avg'!F351</f>
        <v>5.2820500000000017</v>
      </c>
      <c r="H351" s="2">
        <f>'Moving Avg'!G351</f>
        <v>5.308239999999997</v>
      </c>
      <c r="I351" s="2">
        <f>'Moving Avg'!H351</f>
        <v>5.3987400000000028</v>
      </c>
      <c r="J351" s="5" t="str">
        <f>OBV!F351</f>
        <v>BULLISH</v>
      </c>
      <c r="K351" s="5" t="str">
        <f>OBV!G351</f>
        <v>NEUTRAL</v>
      </c>
      <c r="L351" s="5" t="str">
        <f>OBV!H351</f>
        <v>CONFIRMED BULLISH</v>
      </c>
      <c r="M351" s="7">
        <f t="shared" si="53"/>
        <v>50</v>
      </c>
      <c r="N351" s="7">
        <f t="shared" si="50"/>
        <v>0</v>
      </c>
      <c r="O351" s="7">
        <f t="shared" si="51"/>
        <v>0</v>
      </c>
      <c r="P351" s="7">
        <f t="shared" si="52"/>
        <v>83.5</v>
      </c>
      <c r="Q351" s="8">
        <f t="shared" si="54"/>
        <v>30.024999999999999</v>
      </c>
      <c r="R351" s="8">
        <f t="shared" si="55"/>
        <v>30.875</v>
      </c>
      <c r="S351" s="8">
        <f t="shared" si="56"/>
        <v>45.075000000000003</v>
      </c>
      <c r="T351" s="8">
        <f t="shared" si="57"/>
        <v>33.375</v>
      </c>
      <c r="U351" s="7">
        <f t="shared" si="58"/>
        <v>35.324999999999996</v>
      </c>
      <c r="V351" s="7">
        <f t="shared" si="59"/>
        <v>34.837499999999999</v>
      </c>
    </row>
    <row r="352" spans="1:22" ht="13.5" x14ac:dyDescent="0.25">
      <c r="A352" s="3">
        <f>RSI!A352</f>
        <v>45432</v>
      </c>
      <c r="B352" s="2">
        <f>RSI!B352</f>
        <v>5.34</v>
      </c>
      <c r="C352" s="2">
        <f>RSI!I352</f>
        <v>55.258834870556917</v>
      </c>
      <c r="D352" s="2">
        <f>MACD!E352</f>
        <v>1.8465213333512587E-2</v>
      </c>
      <c r="E352" s="2">
        <f>MACD!F352</f>
        <v>6.060684202377464E-3</v>
      </c>
      <c r="F352" s="2">
        <f>'Moving Avg'!D352</f>
        <v>5.2618</v>
      </c>
      <c r="G352" s="2">
        <f>'Moving Avg'!F352</f>
        <v>5.2874000000000017</v>
      </c>
      <c r="H352" s="2">
        <f>'Moving Avg'!G352</f>
        <v>5.3116199999999978</v>
      </c>
      <c r="I352" s="2">
        <f>'Moving Avg'!H352</f>
        <v>5.3968350000000029</v>
      </c>
      <c r="J352" s="5" t="str">
        <f>OBV!F352</f>
        <v>BEARISH</v>
      </c>
      <c r="K352" s="5" t="str">
        <f>OBV!G352</f>
        <v>STRONG</v>
      </c>
      <c r="L352" s="5" t="str">
        <f>OBV!H352</f>
        <v>BEARISH DIVERGENCE</v>
      </c>
      <c r="M352" s="7">
        <f t="shared" si="53"/>
        <v>50</v>
      </c>
      <c r="N352" s="7">
        <f t="shared" si="50"/>
        <v>0</v>
      </c>
      <c r="O352" s="7">
        <f t="shared" si="51"/>
        <v>0</v>
      </c>
      <c r="P352" s="7">
        <f t="shared" si="52"/>
        <v>33</v>
      </c>
      <c r="Q352" s="8">
        <f t="shared" si="54"/>
        <v>22.45</v>
      </c>
      <c r="R352" s="8">
        <f t="shared" si="55"/>
        <v>18.25</v>
      </c>
      <c r="S352" s="8">
        <f t="shared" si="56"/>
        <v>22.35</v>
      </c>
      <c r="T352" s="8">
        <f t="shared" si="57"/>
        <v>20.75</v>
      </c>
      <c r="U352" s="7">
        <f t="shared" si="58"/>
        <v>21.016666666666669</v>
      </c>
      <c r="V352" s="7">
        <f t="shared" si="59"/>
        <v>20.950000000000003</v>
      </c>
    </row>
    <row r="353" spans="1:22" ht="13.5" x14ac:dyDescent="0.25">
      <c r="A353" s="3">
        <f>RSI!A353</f>
        <v>45433</v>
      </c>
      <c r="B353" s="2">
        <f>RSI!B353</f>
        <v>5.34</v>
      </c>
      <c r="C353" s="2">
        <f>RSI!I353</f>
        <v>55.258834870556917</v>
      </c>
      <c r="D353" s="2">
        <f>MACD!E353</f>
        <v>1.5619934830980675E-2</v>
      </c>
      <c r="E353" s="2">
        <f>MACD!F353</f>
        <v>7.9725343280981076E-3</v>
      </c>
      <c r="F353" s="2">
        <f>'Moving Avg'!D353</f>
        <v>5.2902000000000005</v>
      </c>
      <c r="G353" s="2">
        <f>'Moving Avg'!F353</f>
        <v>5.2927500000000016</v>
      </c>
      <c r="H353" s="2">
        <f>'Moving Avg'!G353</f>
        <v>5.3119799999999975</v>
      </c>
      <c r="I353" s="2">
        <f>'Moving Avg'!H353</f>
        <v>5.3949300000000031</v>
      </c>
      <c r="J353" s="5" t="str">
        <f>OBV!F353</f>
        <v>BULLISH</v>
      </c>
      <c r="K353" s="5" t="str">
        <f>OBV!G353</f>
        <v>NEUTRAL</v>
      </c>
      <c r="L353" s="5" t="str">
        <f>OBV!H353</f>
        <v>CONFIRMED BULLISH</v>
      </c>
      <c r="M353" s="7">
        <f t="shared" si="53"/>
        <v>50</v>
      </c>
      <c r="N353" s="7">
        <f t="shared" si="50"/>
        <v>0</v>
      </c>
      <c r="O353" s="7">
        <f t="shared" si="51"/>
        <v>0</v>
      </c>
      <c r="P353" s="7">
        <f t="shared" si="52"/>
        <v>83.5</v>
      </c>
      <c r="Q353" s="8">
        <f t="shared" si="54"/>
        <v>30.024999999999999</v>
      </c>
      <c r="R353" s="8">
        <f t="shared" si="55"/>
        <v>30.875</v>
      </c>
      <c r="S353" s="8">
        <f t="shared" si="56"/>
        <v>45.075000000000003</v>
      </c>
      <c r="T353" s="8">
        <f t="shared" si="57"/>
        <v>33.375</v>
      </c>
      <c r="U353" s="7">
        <f t="shared" si="58"/>
        <v>35.324999999999996</v>
      </c>
      <c r="V353" s="7">
        <f t="shared" si="59"/>
        <v>34.837499999999999</v>
      </c>
    </row>
    <row r="354" spans="1:22" ht="13.5" x14ac:dyDescent="0.25">
      <c r="A354" s="3">
        <f>RSI!A354</f>
        <v>45434</v>
      </c>
      <c r="B354" s="2">
        <f>RSI!B354</f>
        <v>5.3220000000000001</v>
      </c>
      <c r="C354" s="2">
        <f>RSI!I354</f>
        <v>53.206040858230182</v>
      </c>
      <c r="D354" s="2">
        <f>MACD!E354</f>
        <v>1.4238364097304945E-2</v>
      </c>
      <c r="E354" s="2">
        <f>MACD!F354</f>
        <v>9.2257002819394751E-3</v>
      </c>
      <c r="F354" s="2">
        <f>'Moving Avg'!D354</f>
        <v>5.3346</v>
      </c>
      <c r="G354" s="2">
        <f>'Moving Avg'!F354</f>
        <v>5.2972000000000019</v>
      </c>
      <c r="H354" s="2">
        <f>'Moving Avg'!G354</f>
        <v>5.3110999999999988</v>
      </c>
      <c r="I354" s="2">
        <f>'Moving Avg'!H354</f>
        <v>5.3929350000000014</v>
      </c>
      <c r="J354" s="5" t="str">
        <f>OBV!F354</f>
        <v>BEARISH</v>
      </c>
      <c r="K354" s="5" t="str">
        <f>OBV!G354</f>
        <v>NEUTRAL</v>
      </c>
      <c r="L354" s="5" t="str">
        <f>OBV!H354</f>
        <v>BEARISH DIVERGENCE</v>
      </c>
      <c r="M354" s="7">
        <f t="shared" si="53"/>
        <v>50</v>
      </c>
      <c r="N354" s="7">
        <f t="shared" si="50"/>
        <v>0</v>
      </c>
      <c r="O354" s="7">
        <f t="shared" si="51"/>
        <v>0</v>
      </c>
      <c r="P354" s="7">
        <f t="shared" si="52"/>
        <v>16.5</v>
      </c>
      <c r="Q354" s="8">
        <f t="shared" si="54"/>
        <v>19.975000000000001</v>
      </c>
      <c r="R354" s="8">
        <f t="shared" si="55"/>
        <v>14.125</v>
      </c>
      <c r="S354" s="8">
        <f t="shared" si="56"/>
        <v>14.925000000000001</v>
      </c>
      <c r="T354" s="8">
        <f t="shared" si="57"/>
        <v>16.625</v>
      </c>
      <c r="U354" s="7">
        <f t="shared" si="58"/>
        <v>16.341666666666669</v>
      </c>
      <c r="V354" s="7">
        <f t="shared" si="59"/>
        <v>16.412500000000001</v>
      </c>
    </row>
    <row r="355" spans="1:22" ht="13.5" x14ac:dyDescent="0.25">
      <c r="A355" s="3">
        <f>RSI!A355</f>
        <v>45435</v>
      </c>
      <c r="B355" s="2">
        <f>RSI!B355</f>
        <v>5.3220000000000001</v>
      </c>
      <c r="C355" s="2">
        <f>RSI!I355</f>
        <v>53.206040858230182</v>
      </c>
      <c r="D355" s="2">
        <f>MACD!E355</f>
        <v>1.2891112222234824E-2</v>
      </c>
      <c r="E355" s="2">
        <f>MACD!F355</f>
        <v>9.9587826699985456E-3</v>
      </c>
      <c r="F355" s="2">
        <f>'Moving Avg'!D355</f>
        <v>5.3346</v>
      </c>
      <c r="G355" s="2">
        <f>'Moving Avg'!F355</f>
        <v>5.3016500000000013</v>
      </c>
      <c r="H355" s="2">
        <f>'Moving Avg'!G355</f>
        <v>5.3110999999999988</v>
      </c>
      <c r="I355" s="2">
        <f>'Moving Avg'!H355</f>
        <v>5.3907150000000001</v>
      </c>
      <c r="J355" s="5" t="str">
        <f>OBV!F355</f>
        <v>BEARISH</v>
      </c>
      <c r="K355" s="5" t="str">
        <f>OBV!G355</f>
        <v>STRONG</v>
      </c>
      <c r="L355" s="5" t="str">
        <f>OBV!H355</f>
        <v>NEUTRAL</v>
      </c>
      <c r="M355" s="7">
        <f t="shared" si="53"/>
        <v>50</v>
      </c>
      <c r="N355" s="7">
        <f t="shared" si="50"/>
        <v>0</v>
      </c>
      <c r="O355" s="7">
        <f t="shared" si="51"/>
        <v>0</v>
      </c>
      <c r="P355" s="7">
        <f t="shared" si="52"/>
        <v>33</v>
      </c>
      <c r="Q355" s="8">
        <f t="shared" si="54"/>
        <v>22.45</v>
      </c>
      <c r="R355" s="8">
        <f t="shared" si="55"/>
        <v>18.25</v>
      </c>
      <c r="S355" s="8">
        <f t="shared" si="56"/>
        <v>22.35</v>
      </c>
      <c r="T355" s="8">
        <f t="shared" si="57"/>
        <v>20.75</v>
      </c>
      <c r="U355" s="7">
        <f t="shared" si="58"/>
        <v>21.016666666666669</v>
      </c>
      <c r="V355" s="7">
        <f t="shared" si="59"/>
        <v>20.950000000000003</v>
      </c>
    </row>
    <row r="356" spans="1:22" ht="13.5" x14ac:dyDescent="0.25">
      <c r="A356" s="3">
        <f>RSI!A356</f>
        <v>45436</v>
      </c>
      <c r="B356" s="2">
        <f>RSI!B356</f>
        <v>5.2329999999999997</v>
      </c>
      <c r="C356" s="2">
        <f>RSI!I356</f>
        <v>43.862279907871255</v>
      </c>
      <c r="D356" s="2">
        <f>MACD!E356</f>
        <v>1.8178694232109827E-2</v>
      </c>
      <c r="E356" s="2">
        <f>MACD!F356</f>
        <v>1.1602764982420802E-2</v>
      </c>
      <c r="F356" s="2">
        <f>'Moving Avg'!D356</f>
        <v>5.3113999999999999</v>
      </c>
      <c r="G356" s="2">
        <f>'Moving Avg'!F356</f>
        <v>5.3038500000000015</v>
      </c>
      <c r="H356" s="2">
        <f>'Moving Avg'!G356</f>
        <v>5.309499999999999</v>
      </c>
      <c r="I356" s="2">
        <f>'Moving Avg'!H356</f>
        <v>5.3880499999999998</v>
      </c>
      <c r="J356" s="5" t="str">
        <f>OBV!F356</f>
        <v>BEARISH</v>
      </c>
      <c r="K356" s="5" t="str">
        <f>OBV!G356</f>
        <v>STRONG</v>
      </c>
      <c r="L356" s="5" t="str">
        <f>OBV!H356</f>
        <v>CONFIRMED BEARISH</v>
      </c>
      <c r="M356" s="7">
        <f t="shared" si="53"/>
        <v>50</v>
      </c>
      <c r="N356" s="7">
        <f t="shared" si="50"/>
        <v>0</v>
      </c>
      <c r="O356" s="7">
        <f t="shared" si="51"/>
        <v>0</v>
      </c>
      <c r="P356" s="7">
        <f t="shared" si="52"/>
        <v>33</v>
      </c>
      <c r="Q356" s="8">
        <f t="shared" si="54"/>
        <v>22.45</v>
      </c>
      <c r="R356" s="8">
        <f t="shared" si="55"/>
        <v>18.25</v>
      </c>
      <c r="S356" s="8">
        <f t="shared" si="56"/>
        <v>22.35</v>
      </c>
      <c r="T356" s="8">
        <f t="shared" si="57"/>
        <v>20.75</v>
      </c>
      <c r="U356" s="7">
        <f t="shared" si="58"/>
        <v>21.016666666666669</v>
      </c>
      <c r="V356" s="7">
        <f t="shared" si="59"/>
        <v>20.950000000000003</v>
      </c>
    </row>
    <row r="357" spans="1:22" ht="13.5" x14ac:dyDescent="0.25">
      <c r="A357" s="3">
        <f>RSI!A357</f>
        <v>45439</v>
      </c>
      <c r="B357" s="2">
        <f>RSI!B357</f>
        <v>5.2329999999999997</v>
      </c>
      <c r="C357" s="2">
        <f>RSI!I357</f>
        <v>43.862279907871248</v>
      </c>
      <c r="D357" s="2">
        <f>MACD!E357</f>
        <v>2.3025902995036596E-2</v>
      </c>
      <c r="E357" s="2">
        <f>MACD!F357</f>
        <v>1.388739258494396E-2</v>
      </c>
      <c r="F357" s="2">
        <f>'Moving Avg'!D357</f>
        <v>5.29</v>
      </c>
      <c r="G357" s="2">
        <f>'Moving Avg'!F357</f>
        <v>5.2994000000000012</v>
      </c>
      <c r="H357" s="2">
        <f>'Moving Avg'!G357</f>
        <v>5.3082399999999996</v>
      </c>
      <c r="I357" s="2">
        <f>'Moving Avg'!H357</f>
        <v>5.3853849999999985</v>
      </c>
      <c r="J357" s="5" t="str">
        <f>OBV!F357</f>
        <v>BEARISH</v>
      </c>
      <c r="K357" s="5" t="str">
        <f>OBV!G357</f>
        <v>STRONG</v>
      </c>
      <c r="L357" s="5" t="str">
        <f>OBV!H357</f>
        <v>CONFIRMED BEARISH</v>
      </c>
      <c r="M357" s="7">
        <f t="shared" si="53"/>
        <v>50</v>
      </c>
      <c r="N357" s="7">
        <f t="shared" si="50"/>
        <v>0</v>
      </c>
      <c r="O357" s="7">
        <f t="shared" si="51"/>
        <v>0</v>
      </c>
      <c r="P357" s="7">
        <f t="shared" si="52"/>
        <v>33</v>
      </c>
      <c r="Q357" s="8">
        <f t="shared" si="54"/>
        <v>22.45</v>
      </c>
      <c r="R357" s="8">
        <f t="shared" si="55"/>
        <v>18.25</v>
      </c>
      <c r="S357" s="8">
        <f t="shared" si="56"/>
        <v>22.35</v>
      </c>
      <c r="T357" s="8">
        <f t="shared" si="57"/>
        <v>20.75</v>
      </c>
      <c r="U357" s="7">
        <f t="shared" si="58"/>
        <v>21.016666666666669</v>
      </c>
      <c r="V357" s="7">
        <f t="shared" si="59"/>
        <v>20.950000000000003</v>
      </c>
    </row>
    <row r="358" spans="1:22" ht="13.5" x14ac:dyDescent="0.25">
      <c r="A358" s="3">
        <f>RSI!A358</f>
        <v>45440</v>
      </c>
      <c r="B358" s="2">
        <f>RSI!B358</f>
        <v>5.2329999999999997</v>
      </c>
      <c r="C358" s="2">
        <f>RSI!I358</f>
        <v>43.862279907871248</v>
      </c>
      <c r="D358" s="2">
        <f>MACD!E358</f>
        <v>9.7805434446796014E-3</v>
      </c>
      <c r="E358" s="2">
        <f>MACD!F358</f>
        <v>1.3066022756891088E-2</v>
      </c>
      <c r="F358" s="2">
        <f>'Moving Avg'!D358</f>
        <v>5.2686000000000002</v>
      </c>
      <c r="G358" s="2">
        <f>'Moving Avg'!F358</f>
        <v>5.2949500000000018</v>
      </c>
      <c r="H358" s="2">
        <f>'Moving Avg'!G358</f>
        <v>5.3057399999999992</v>
      </c>
      <c r="I358" s="2">
        <f>'Moving Avg'!H358</f>
        <v>5.3827199999999991</v>
      </c>
      <c r="J358" s="5" t="str">
        <f>OBV!F358</f>
        <v>BEARISH</v>
      </c>
      <c r="K358" s="5" t="str">
        <f>OBV!G358</f>
        <v>STRONG</v>
      </c>
      <c r="L358" s="5" t="str">
        <f>OBV!H358</f>
        <v>CONFIRMED BEARISH</v>
      </c>
      <c r="M358" s="7">
        <f t="shared" si="53"/>
        <v>50</v>
      </c>
      <c r="N358" s="7">
        <f t="shared" si="50"/>
        <v>45</v>
      </c>
      <c r="O358" s="7">
        <f t="shared" si="51"/>
        <v>0</v>
      </c>
      <c r="P358" s="7">
        <f t="shared" si="52"/>
        <v>33</v>
      </c>
      <c r="Q358" s="8">
        <f t="shared" si="54"/>
        <v>38.200000000000003</v>
      </c>
      <c r="R358" s="8">
        <f t="shared" si="55"/>
        <v>27.25</v>
      </c>
      <c r="S358" s="8">
        <f t="shared" si="56"/>
        <v>29.1</v>
      </c>
      <c r="T358" s="8">
        <f t="shared" si="57"/>
        <v>32</v>
      </c>
      <c r="U358" s="7">
        <f t="shared" si="58"/>
        <v>31.516666666666669</v>
      </c>
      <c r="V358" s="7">
        <f t="shared" si="59"/>
        <v>31.637500000000003</v>
      </c>
    </row>
    <row r="359" spans="1:22" ht="13.5" x14ac:dyDescent="0.25">
      <c r="A359" s="3">
        <f>RSI!A359</f>
        <v>45441</v>
      </c>
      <c r="B359" s="2">
        <f>RSI!B359</f>
        <v>5.056</v>
      </c>
      <c r="C359" s="2">
        <f>RSI!I359</f>
        <v>30.540244260820927</v>
      </c>
      <c r="D359" s="2">
        <f>MACD!E359</f>
        <v>-3.0730065556818786E-3</v>
      </c>
      <c r="E359" s="2">
        <f>MACD!F359</f>
        <v>9.8382168943764951E-3</v>
      </c>
      <c r="F359" s="2">
        <f>'Moving Avg'!D359</f>
        <v>5.2154000000000007</v>
      </c>
      <c r="G359" s="2">
        <f>'Moving Avg'!F359</f>
        <v>5.2816500000000008</v>
      </c>
      <c r="H359" s="2">
        <f>'Moving Avg'!G359</f>
        <v>5.2996999999999987</v>
      </c>
      <c r="I359" s="2">
        <f>'Moving Avg'!H359</f>
        <v>5.3791699999999993</v>
      </c>
      <c r="J359" s="5" t="str">
        <f>OBV!F359</f>
        <v>BEARISH</v>
      </c>
      <c r="K359" s="5" t="str">
        <f>OBV!G359</f>
        <v>STRONG</v>
      </c>
      <c r="L359" s="5" t="str">
        <f>OBV!H359</f>
        <v>CONFIRMED BEARISH</v>
      </c>
      <c r="M359" s="7">
        <f t="shared" si="53"/>
        <v>50</v>
      </c>
      <c r="N359" s="7">
        <f t="shared" si="50"/>
        <v>45</v>
      </c>
      <c r="O359" s="7">
        <f t="shared" si="51"/>
        <v>0</v>
      </c>
      <c r="P359" s="7">
        <f t="shared" si="52"/>
        <v>33</v>
      </c>
      <c r="Q359" s="8">
        <f t="shared" si="54"/>
        <v>38.200000000000003</v>
      </c>
      <c r="R359" s="8">
        <f t="shared" si="55"/>
        <v>27.25</v>
      </c>
      <c r="S359" s="8">
        <f t="shared" si="56"/>
        <v>29.1</v>
      </c>
      <c r="T359" s="8">
        <f t="shared" si="57"/>
        <v>32</v>
      </c>
      <c r="U359" s="7">
        <f t="shared" si="58"/>
        <v>31.516666666666669</v>
      </c>
      <c r="V359" s="7">
        <f t="shared" si="59"/>
        <v>31.637500000000003</v>
      </c>
    </row>
    <row r="360" spans="1:22" ht="13.5" x14ac:dyDescent="0.25">
      <c r="A360" s="3">
        <f>RSI!A360</f>
        <v>45442</v>
      </c>
      <c r="B360" s="2">
        <f>RSI!B360</f>
        <v>5.1449999999999996</v>
      </c>
      <c r="C360" s="2">
        <f>RSI!I360</f>
        <v>40.350641449601554</v>
      </c>
      <c r="D360" s="2">
        <f>MACD!E360</f>
        <v>1.4954246367747004E-2</v>
      </c>
      <c r="E360" s="2">
        <f>MACD!F360</f>
        <v>1.0861422789050596E-2</v>
      </c>
      <c r="F360" s="2">
        <f>'Moving Avg'!D360</f>
        <v>5.18</v>
      </c>
      <c r="G360" s="2">
        <f>'Moving Avg'!F360</f>
        <v>5.272800000000001</v>
      </c>
      <c r="H360" s="2">
        <f>'Moving Avg'!G360</f>
        <v>5.2954400000000001</v>
      </c>
      <c r="I360" s="2">
        <f>'Moving Avg'!H360</f>
        <v>5.3760649999999996</v>
      </c>
      <c r="J360" s="5" t="str">
        <f>OBV!F360</f>
        <v>BEARISH</v>
      </c>
      <c r="K360" s="5" t="str">
        <f>OBV!G360</f>
        <v>STRONG</v>
      </c>
      <c r="L360" s="5" t="str">
        <f>OBV!H360</f>
        <v>CONFIRMED BEARISH</v>
      </c>
      <c r="M360" s="7">
        <f t="shared" si="53"/>
        <v>50</v>
      </c>
      <c r="N360" s="7">
        <f t="shared" si="50"/>
        <v>0</v>
      </c>
      <c r="O360" s="7">
        <f t="shared" si="51"/>
        <v>0</v>
      </c>
      <c r="P360" s="7">
        <f t="shared" si="52"/>
        <v>33</v>
      </c>
      <c r="Q360" s="8">
        <f t="shared" si="54"/>
        <v>22.45</v>
      </c>
      <c r="R360" s="8">
        <f t="shared" si="55"/>
        <v>18.25</v>
      </c>
      <c r="S360" s="8">
        <f t="shared" si="56"/>
        <v>22.35</v>
      </c>
      <c r="T360" s="8">
        <f t="shared" si="57"/>
        <v>20.75</v>
      </c>
      <c r="U360" s="7">
        <f t="shared" si="58"/>
        <v>21.016666666666669</v>
      </c>
      <c r="V360" s="7">
        <f t="shared" si="59"/>
        <v>20.950000000000003</v>
      </c>
    </row>
    <row r="361" spans="1:22" ht="13.5" x14ac:dyDescent="0.25">
      <c r="A361" s="3">
        <f>RSI!A361</f>
        <v>45443</v>
      </c>
      <c r="B361" s="2">
        <f>RSI!B361</f>
        <v>5.056</v>
      </c>
      <c r="C361" s="2">
        <f>RSI!I361</f>
        <v>35.023464460274823</v>
      </c>
      <c r="D361" s="2">
        <f>MACD!E361</f>
        <v>4.1671276477353025E-2</v>
      </c>
      <c r="E361" s="2">
        <f>MACD!F361</f>
        <v>1.7023393526711082E-2</v>
      </c>
      <c r="F361" s="2">
        <f>'Moving Avg'!D361</f>
        <v>5.1445999999999996</v>
      </c>
      <c r="G361" s="2">
        <f>'Moving Avg'!F361</f>
        <v>5.2581500000000005</v>
      </c>
      <c r="H361" s="2">
        <f>'Moving Avg'!G361</f>
        <v>5.2893999999999997</v>
      </c>
      <c r="I361" s="2">
        <f>'Moving Avg'!H361</f>
        <v>5.3725149999999999</v>
      </c>
      <c r="J361" s="5" t="str">
        <f>OBV!F361</f>
        <v>BEARISH</v>
      </c>
      <c r="K361" s="5" t="str">
        <f>OBV!G361</f>
        <v>STRONG</v>
      </c>
      <c r="L361" s="5" t="str">
        <f>OBV!H361</f>
        <v>CONFIRMED BEARISH</v>
      </c>
      <c r="M361" s="7">
        <f t="shared" si="53"/>
        <v>50</v>
      </c>
      <c r="N361" s="7">
        <f t="shared" si="50"/>
        <v>0</v>
      </c>
      <c r="O361" s="7">
        <f t="shared" si="51"/>
        <v>0</v>
      </c>
      <c r="P361" s="7">
        <f t="shared" si="52"/>
        <v>33</v>
      </c>
      <c r="Q361" s="8">
        <f t="shared" si="54"/>
        <v>22.45</v>
      </c>
      <c r="R361" s="8">
        <f t="shared" si="55"/>
        <v>18.25</v>
      </c>
      <c r="S361" s="8">
        <f t="shared" si="56"/>
        <v>22.35</v>
      </c>
      <c r="T361" s="8">
        <f t="shared" si="57"/>
        <v>20.75</v>
      </c>
      <c r="U361" s="7">
        <f t="shared" si="58"/>
        <v>21.016666666666669</v>
      </c>
      <c r="V361" s="7">
        <f t="shared" si="59"/>
        <v>20.950000000000003</v>
      </c>
    </row>
    <row r="362" spans="1:22" ht="13.5" x14ac:dyDescent="0.25">
      <c r="A362" s="3">
        <f>RSI!A362</f>
        <v>45446</v>
      </c>
      <c r="B362" s="2">
        <f>RSI!B362</f>
        <v>5.056</v>
      </c>
      <c r="C362" s="2">
        <f>RSI!I362</f>
        <v>35.023464460274823</v>
      </c>
      <c r="D362" s="2">
        <f>MACD!E362</f>
        <v>6.4082952187415998E-2</v>
      </c>
      <c r="E362" s="2">
        <f>MACD!F362</f>
        <v>2.6435305258852064E-2</v>
      </c>
      <c r="F362" s="2">
        <f>'Moving Avg'!D362</f>
        <v>5.1091999999999995</v>
      </c>
      <c r="G362" s="2">
        <f>'Moving Avg'!F362</f>
        <v>5.2435000000000009</v>
      </c>
      <c r="H362" s="2">
        <f>'Moving Avg'!G362</f>
        <v>5.2833600000000001</v>
      </c>
      <c r="I362" s="2">
        <f>'Moving Avg'!H362</f>
        <v>5.3690100000000003</v>
      </c>
      <c r="J362" s="5" t="str">
        <f>OBV!F362</f>
        <v>BEARISH</v>
      </c>
      <c r="K362" s="5" t="str">
        <f>OBV!G362</f>
        <v>STRONG</v>
      </c>
      <c r="L362" s="5" t="str">
        <f>OBV!H362</f>
        <v>CONFIRMED BEARISH</v>
      </c>
      <c r="M362" s="7">
        <f t="shared" si="53"/>
        <v>50</v>
      </c>
      <c r="N362" s="7">
        <f t="shared" si="50"/>
        <v>0</v>
      </c>
      <c r="O362" s="7">
        <f t="shared" si="51"/>
        <v>0</v>
      </c>
      <c r="P362" s="7">
        <f t="shared" si="52"/>
        <v>33</v>
      </c>
      <c r="Q362" s="8">
        <f t="shared" si="54"/>
        <v>22.45</v>
      </c>
      <c r="R362" s="8">
        <f t="shared" si="55"/>
        <v>18.25</v>
      </c>
      <c r="S362" s="8">
        <f t="shared" si="56"/>
        <v>22.35</v>
      </c>
      <c r="T362" s="8">
        <f t="shared" si="57"/>
        <v>20.75</v>
      </c>
      <c r="U362" s="7">
        <f t="shared" si="58"/>
        <v>21.016666666666669</v>
      </c>
      <c r="V362" s="7">
        <f t="shared" si="59"/>
        <v>20.950000000000003</v>
      </c>
    </row>
    <row r="363" spans="1:22" ht="13.5" x14ac:dyDescent="0.25">
      <c r="A363" s="3">
        <f>RSI!A363</f>
        <v>45447</v>
      </c>
      <c r="B363" s="2">
        <f>RSI!B363</f>
        <v>4.9669999999999996</v>
      </c>
      <c r="C363" s="2">
        <f>RSI!I363</f>
        <v>30.37293118806106</v>
      </c>
      <c r="D363" s="2">
        <f>MACD!E363</f>
        <v>9.0740727149006162E-2</v>
      </c>
      <c r="E363" s="2">
        <f>MACD!F363</f>
        <v>3.9296389636882888E-2</v>
      </c>
      <c r="F363" s="2">
        <f>'Moving Avg'!D363</f>
        <v>5.056</v>
      </c>
      <c r="G363" s="2">
        <f>'Moving Avg'!F363</f>
        <v>5.2262000000000004</v>
      </c>
      <c r="H363" s="2">
        <f>'Moving Avg'!G363</f>
        <v>5.2755399999999995</v>
      </c>
      <c r="I363" s="2">
        <f>'Moving Avg'!H363</f>
        <v>5.3650150000000005</v>
      </c>
      <c r="J363" s="5" t="str">
        <f>OBV!F363</f>
        <v>BEARISH</v>
      </c>
      <c r="K363" s="5" t="str">
        <f>OBV!G363</f>
        <v>STRONG</v>
      </c>
      <c r="L363" s="5" t="str">
        <f>OBV!H363</f>
        <v>CONFIRMED BEARISH</v>
      </c>
      <c r="M363" s="7">
        <f t="shared" si="53"/>
        <v>50</v>
      </c>
      <c r="N363" s="7">
        <f t="shared" si="50"/>
        <v>0</v>
      </c>
      <c r="O363" s="7">
        <f t="shared" si="51"/>
        <v>0</v>
      </c>
      <c r="P363" s="7">
        <f t="shared" si="52"/>
        <v>33</v>
      </c>
      <c r="Q363" s="8">
        <f t="shared" si="54"/>
        <v>22.45</v>
      </c>
      <c r="R363" s="8">
        <f t="shared" si="55"/>
        <v>18.25</v>
      </c>
      <c r="S363" s="8">
        <f t="shared" si="56"/>
        <v>22.35</v>
      </c>
      <c r="T363" s="8">
        <f t="shared" si="57"/>
        <v>20.75</v>
      </c>
      <c r="U363" s="7">
        <f t="shared" si="58"/>
        <v>21.016666666666669</v>
      </c>
      <c r="V363" s="7">
        <f t="shared" si="59"/>
        <v>20.950000000000003</v>
      </c>
    </row>
    <row r="364" spans="1:22" ht="13.5" x14ac:dyDescent="0.25">
      <c r="A364" s="3">
        <f>RSI!A364</f>
        <v>45448</v>
      </c>
      <c r="B364" s="2">
        <f>RSI!B364</f>
        <v>4.9409999999999998</v>
      </c>
      <c r="C364" s="2">
        <f>RSI!I364</f>
        <v>29.154994694087037</v>
      </c>
      <c r="D364" s="2">
        <f>MACD!E364</f>
        <v>0.11399977331949351</v>
      </c>
      <c r="E364" s="2">
        <f>MACD!F364</f>
        <v>5.4237066373405016E-2</v>
      </c>
      <c r="F364" s="2">
        <f>'Moving Avg'!D364</f>
        <v>5.0329999999999995</v>
      </c>
      <c r="G364" s="2">
        <f>'Moving Avg'!F364</f>
        <v>5.2076000000000002</v>
      </c>
      <c r="H364" s="2">
        <f>'Moving Avg'!G364</f>
        <v>5.2680999999999996</v>
      </c>
      <c r="I364" s="2">
        <f>'Moving Avg'!H364</f>
        <v>5.3608900000000013</v>
      </c>
      <c r="J364" s="5" t="str">
        <f>OBV!F364</f>
        <v>BEARISH</v>
      </c>
      <c r="K364" s="5" t="str">
        <f>OBV!G364</f>
        <v>STRONG</v>
      </c>
      <c r="L364" s="5" t="str">
        <f>OBV!H364</f>
        <v>CONFIRMED BEARISH</v>
      </c>
      <c r="M364" s="7">
        <f t="shared" si="53"/>
        <v>100</v>
      </c>
      <c r="N364" s="7">
        <f t="shared" si="50"/>
        <v>0</v>
      </c>
      <c r="O364" s="7">
        <f t="shared" si="51"/>
        <v>0</v>
      </c>
      <c r="P364" s="7">
        <f t="shared" si="52"/>
        <v>33</v>
      </c>
      <c r="Q364" s="8">
        <f t="shared" si="54"/>
        <v>39.950000000000003</v>
      </c>
      <c r="R364" s="8">
        <f t="shared" si="55"/>
        <v>28.25</v>
      </c>
      <c r="S364" s="8">
        <f t="shared" si="56"/>
        <v>29.85</v>
      </c>
      <c r="T364" s="8">
        <f t="shared" si="57"/>
        <v>33.25</v>
      </c>
      <c r="U364" s="7">
        <f t="shared" si="58"/>
        <v>32.683333333333337</v>
      </c>
      <c r="V364" s="7">
        <f t="shared" si="59"/>
        <v>32.825000000000003</v>
      </c>
    </row>
    <row r="365" spans="1:22" ht="13.5" x14ac:dyDescent="0.25">
      <c r="A365" s="3">
        <f>RSI!A365</f>
        <v>45449</v>
      </c>
      <c r="B365" s="2">
        <f>RSI!B365</f>
        <v>4.8789999999999996</v>
      </c>
      <c r="C365" s="2">
        <f>RSI!I365</f>
        <v>26.432999181162188</v>
      </c>
      <c r="D365" s="2">
        <f>MACD!E365</f>
        <v>0.13985800295939654</v>
      </c>
      <c r="E365" s="2">
        <f>MACD!F365</f>
        <v>7.1361253690603324E-2</v>
      </c>
      <c r="F365" s="2">
        <f>'Moving Avg'!D365</f>
        <v>4.9798</v>
      </c>
      <c r="G365" s="2">
        <f>'Moving Avg'!F365</f>
        <v>5.1859000000000002</v>
      </c>
      <c r="H365" s="2">
        <f>'Moving Avg'!G365</f>
        <v>5.2588800000000004</v>
      </c>
      <c r="I365" s="2">
        <f>'Moving Avg'!H365</f>
        <v>5.3564550000000022</v>
      </c>
      <c r="J365" s="5" t="str">
        <f>OBV!F365</f>
        <v>BEARISH</v>
      </c>
      <c r="K365" s="5" t="str">
        <f>OBV!G365</f>
        <v>STRONG</v>
      </c>
      <c r="L365" s="5" t="str">
        <f>OBV!H365</f>
        <v>CONFIRMED BEARISH</v>
      </c>
      <c r="M365" s="7">
        <f t="shared" si="53"/>
        <v>100</v>
      </c>
      <c r="N365" s="7">
        <f t="shared" si="50"/>
        <v>0</v>
      </c>
      <c r="O365" s="7">
        <f t="shared" si="51"/>
        <v>0</v>
      </c>
      <c r="P365" s="7">
        <f t="shared" si="52"/>
        <v>33</v>
      </c>
      <c r="Q365" s="8">
        <f t="shared" si="54"/>
        <v>39.950000000000003</v>
      </c>
      <c r="R365" s="8">
        <f t="shared" si="55"/>
        <v>28.25</v>
      </c>
      <c r="S365" s="8">
        <f t="shared" si="56"/>
        <v>29.85</v>
      </c>
      <c r="T365" s="8">
        <f t="shared" si="57"/>
        <v>33.25</v>
      </c>
      <c r="U365" s="7">
        <f t="shared" si="58"/>
        <v>32.683333333333337</v>
      </c>
      <c r="V365" s="7">
        <f t="shared" si="59"/>
        <v>32.825000000000003</v>
      </c>
    </row>
    <row r="366" spans="1:22" ht="13.5" x14ac:dyDescent="0.25">
      <c r="A366" s="3">
        <f>RSI!A366</f>
        <v>45450</v>
      </c>
      <c r="B366" s="2">
        <f>RSI!B366</f>
        <v>5.056</v>
      </c>
      <c r="C366" s="2">
        <f>RSI!I366</f>
        <v>42.840109159172435</v>
      </c>
      <c r="D366" s="2">
        <f>MACD!E366</f>
        <v>0.13676849053528173</v>
      </c>
      <c r="E366" s="2">
        <f>MACD!F366</f>
        <v>8.4442701059539008E-2</v>
      </c>
      <c r="F366" s="2">
        <f>'Moving Avg'!D366</f>
        <v>4.9797999999999991</v>
      </c>
      <c r="G366" s="2">
        <f>'Moving Avg'!F366</f>
        <v>5.1730499999999999</v>
      </c>
      <c r="H366" s="2">
        <f>'Moving Avg'!G366</f>
        <v>5.2532000000000005</v>
      </c>
      <c r="I366" s="2">
        <f>'Moving Avg'!H366</f>
        <v>5.3527300000000029</v>
      </c>
      <c r="J366" s="5" t="str">
        <f>OBV!F366</f>
        <v>BEARISH</v>
      </c>
      <c r="K366" s="5" t="str">
        <f>OBV!G366</f>
        <v>STRONG</v>
      </c>
      <c r="L366" s="5" t="str">
        <f>OBV!H366</f>
        <v>NEUTRAL</v>
      </c>
      <c r="M366" s="7">
        <f t="shared" si="53"/>
        <v>50</v>
      </c>
      <c r="N366" s="7">
        <f t="shared" si="50"/>
        <v>0</v>
      </c>
      <c r="O366" s="7">
        <f t="shared" si="51"/>
        <v>0</v>
      </c>
      <c r="P366" s="7">
        <f t="shared" si="52"/>
        <v>33</v>
      </c>
      <c r="Q366" s="8">
        <f t="shared" si="54"/>
        <v>22.45</v>
      </c>
      <c r="R366" s="8">
        <f t="shared" si="55"/>
        <v>18.25</v>
      </c>
      <c r="S366" s="8">
        <f t="shared" si="56"/>
        <v>22.35</v>
      </c>
      <c r="T366" s="8">
        <f t="shared" si="57"/>
        <v>20.75</v>
      </c>
      <c r="U366" s="7">
        <f t="shared" si="58"/>
        <v>21.016666666666669</v>
      </c>
      <c r="V366" s="7">
        <f t="shared" si="59"/>
        <v>20.950000000000003</v>
      </c>
    </row>
    <row r="367" spans="1:22" ht="13.5" x14ac:dyDescent="0.25">
      <c r="A367" s="3">
        <f>RSI!A367</f>
        <v>45453</v>
      </c>
      <c r="B367" s="2">
        <f>RSI!B367</f>
        <v>5.1449999999999996</v>
      </c>
      <c r="C367" s="2">
        <f>RSI!I367</f>
        <v>48.999337176689778</v>
      </c>
      <c r="D367" s="2">
        <f>MACD!E367</f>
        <v>0.12821381851598623</v>
      </c>
      <c r="E367" s="2">
        <f>MACD!F367</f>
        <v>9.3196924550828453E-2</v>
      </c>
      <c r="F367" s="2">
        <f>'Moving Avg'!D367</f>
        <v>4.9976000000000003</v>
      </c>
      <c r="G367" s="2">
        <f>'Moving Avg'!F367</f>
        <v>5.16465</v>
      </c>
      <c r="H367" s="2">
        <f>'Moving Avg'!G367</f>
        <v>5.2493000000000007</v>
      </c>
      <c r="I367" s="2">
        <f>'Moving Avg'!H367</f>
        <v>5.3494500000000018</v>
      </c>
      <c r="J367" s="5" t="str">
        <f>OBV!F367</f>
        <v>BEARISH</v>
      </c>
      <c r="K367" s="5" t="str">
        <f>OBV!G367</f>
        <v>STRONG</v>
      </c>
      <c r="L367" s="5" t="str">
        <f>OBV!H367</f>
        <v>BEARISH DIVERGENCE</v>
      </c>
      <c r="M367" s="7">
        <f t="shared" si="53"/>
        <v>50</v>
      </c>
      <c r="N367" s="7">
        <f t="shared" si="50"/>
        <v>0</v>
      </c>
      <c r="O367" s="7">
        <f t="shared" si="51"/>
        <v>0</v>
      </c>
      <c r="P367" s="7">
        <f t="shared" si="52"/>
        <v>33</v>
      </c>
      <c r="Q367" s="8">
        <f t="shared" si="54"/>
        <v>22.45</v>
      </c>
      <c r="R367" s="8">
        <f t="shared" si="55"/>
        <v>18.25</v>
      </c>
      <c r="S367" s="8">
        <f t="shared" si="56"/>
        <v>22.35</v>
      </c>
      <c r="T367" s="8">
        <f t="shared" si="57"/>
        <v>20.75</v>
      </c>
      <c r="U367" s="7">
        <f t="shared" si="58"/>
        <v>21.016666666666669</v>
      </c>
      <c r="V367" s="7">
        <f t="shared" si="59"/>
        <v>20.950000000000003</v>
      </c>
    </row>
    <row r="368" spans="1:22" ht="13.5" x14ac:dyDescent="0.25">
      <c r="A368" s="3">
        <f>RSI!A368</f>
        <v>45454</v>
      </c>
      <c r="B368" s="2">
        <f>RSI!B368</f>
        <v>5.1449999999999996</v>
      </c>
      <c r="C368" s="2">
        <f>RSI!I368</f>
        <v>48.999337176689778</v>
      </c>
      <c r="D368" s="2">
        <f>MACD!E368</f>
        <v>0.1210531630192051</v>
      </c>
      <c r="E368" s="2">
        <f>MACD!F368</f>
        <v>9.8768172244503794E-2</v>
      </c>
      <c r="F368" s="2">
        <f>'Moving Avg'!D368</f>
        <v>5.0331999999999999</v>
      </c>
      <c r="G368" s="2">
        <f>'Moving Avg'!F368</f>
        <v>5.161999999999999</v>
      </c>
      <c r="H368" s="2">
        <f>'Moving Avg'!G368</f>
        <v>5.245400000000001</v>
      </c>
      <c r="I368" s="2">
        <f>'Moving Avg'!H368</f>
        <v>5.3461700000000016</v>
      </c>
      <c r="J368" s="5" t="str">
        <f>OBV!F368</f>
        <v>BULLISH</v>
      </c>
      <c r="K368" s="5" t="str">
        <f>OBV!G368</f>
        <v>NEUTRAL</v>
      </c>
      <c r="L368" s="5" t="str">
        <f>OBV!H368</f>
        <v>CONFIRMED BULLISH</v>
      </c>
      <c r="M368" s="7">
        <f t="shared" si="53"/>
        <v>50</v>
      </c>
      <c r="N368" s="7">
        <f t="shared" si="50"/>
        <v>0</v>
      </c>
      <c r="O368" s="7">
        <f t="shared" si="51"/>
        <v>0</v>
      </c>
      <c r="P368" s="7">
        <f t="shared" si="52"/>
        <v>83.5</v>
      </c>
      <c r="Q368" s="8">
        <f t="shared" si="54"/>
        <v>30.024999999999999</v>
      </c>
      <c r="R368" s="8">
        <f t="shared" si="55"/>
        <v>30.875</v>
      </c>
      <c r="S368" s="8">
        <f t="shared" si="56"/>
        <v>45.075000000000003</v>
      </c>
      <c r="T368" s="8">
        <f t="shared" si="57"/>
        <v>33.375</v>
      </c>
      <c r="U368" s="7">
        <f t="shared" si="58"/>
        <v>35.324999999999996</v>
      </c>
      <c r="V368" s="7">
        <f t="shared" si="59"/>
        <v>34.837499999999999</v>
      </c>
    </row>
    <row r="369" spans="1:22" ht="13.5" x14ac:dyDescent="0.25">
      <c r="A369" s="3">
        <f>RSI!A369</f>
        <v>45455</v>
      </c>
      <c r="B369" s="2">
        <f>RSI!B369</f>
        <v>5.1449999999999996</v>
      </c>
      <c r="C369" s="2">
        <f>RSI!I369</f>
        <v>48.999337176689778</v>
      </c>
      <c r="D369" s="2">
        <f>MACD!E369</f>
        <v>8.783551939045342E-2</v>
      </c>
      <c r="E369" s="2">
        <f>MACD!F369</f>
        <v>9.6581641673693722E-2</v>
      </c>
      <c r="F369" s="2">
        <f>'Moving Avg'!D369</f>
        <v>5.0739999999999998</v>
      </c>
      <c r="G369" s="2">
        <f>'Moving Avg'!F369</f>
        <v>5.1642499999999982</v>
      </c>
      <c r="H369" s="2">
        <f>'Moving Avg'!G369</f>
        <v>5.2416800000000014</v>
      </c>
      <c r="I369" s="2">
        <f>'Moving Avg'!H369</f>
        <v>5.3428899999999997</v>
      </c>
      <c r="J369" s="5" t="str">
        <f>OBV!F369</f>
        <v>BULLISH</v>
      </c>
      <c r="K369" s="5" t="str">
        <f>OBV!G369</f>
        <v>WEAK</v>
      </c>
      <c r="L369" s="5" t="str">
        <f>OBV!H369</f>
        <v>CONFIRMED BULLISH</v>
      </c>
      <c r="M369" s="7">
        <f t="shared" si="53"/>
        <v>50</v>
      </c>
      <c r="N369" s="7">
        <f t="shared" si="50"/>
        <v>45</v>
      </c>
      <c r="O369" s="7">
        <f t="shared" si="51"/>
        <v>0</v>
      </c>
      <c r="P369" s="7">
        <f t="shared" si="52"/>
        <v>67</v>
      </c>
      <c r="Q369" s="8">
        <f t="shared" si="54"/>
        <v>43.3</v>
      </c>
      <c r="R369" s="8">
        <f t="shared" si="55"/>
        <v>35.75</v>
      </c>
      <c r="S369" s="8">
        <f t="shared" si="56"/>
        <v>44.400000000000006</v>
      </c>
      <c r="T369" s="8">
        <f t="shared" si="57"/>
        <v>40.5</v>
      </c>
      <c r="U369" s="7">
        <f t="shared" si="58"/>
        <v>41.15</v>
      </c>
      <c r="V369" s="7">
        <f t="shared" si="59"/>
        <v>40.987499999999997</v>
      </c>
    </row>
    <row r="370" spans="1:22" ht="13.5" x14ac:dyDescent="0.25">
      <c r="A370" s="3">
        <f>RSI!A370</f>
        <v>45456</v>
      </c>
      <c r="B370" s="2">
        <f>RSI!B370</f>
        <v>5.1449999999999996</v>
      </c>
      <c r="C370" s="2">
        <f>RSI!I370</f>
        <v>48.999337176689785</v>
      </c>
      <c r="D370" s="2">
        <f>MACD!E370</f>
        <v>7.3487388121312947E-2</v>
      </c>
      <c r="E370" s="2">
        <f>MACD!F370</f>
        <v>9.1962790963217564E-2</v>
      </c>
      <c r="F370" s="2">
        <f>'Moving Avg'!D370</f>
        <v>5.1272000000000002</v>
      </c>
      <c r="G370" s="2">
        <f>'Moving Avg'!F370</f>
        <v>5.1553999999999984</v>
      </c>
      <c r="H370" s="2">
        <f>'Moving Avg'!G370</f>
        <v>5.2381400000000022</v>
      </c>
      <c r="I370" s="2">
        <f>'Moving Avg'!H370</f>
        <v>5.3397000000000006</v>
      </c>
      <c r="J370" s="5" t="str">
        <f>OBV!F370</f>
        <v>BULLISH</v>
      </c>
      <c r="K370" s="5" t="str">
        <f>OBV!G370</f>
        <v>WEAK</v>
      </c>
      <c r="L370" s="5" t="str">
        <f>OBV!H370</f>
        <v>CONFIRMED BULLISH</v>
      </c>
      <c r="M370" s="7">
        <f t="shared" si="53"/>
        <v>50</v>
      </c>
      <c r="N370" s="7">
        <f t="shared" si="50"/>
        <v>45</v>
      </c>
      <c r="O370" s="7">
        <f t="shared" si="51"/>
        <v>0</v>
      </c>
      <c r="P370" s="7">
        <f t="shared" si="52"/>
        <v>67</v>
      </c>
      <c r="Q370" s="8">
        <f t="shared" si="54"/>
        <v>43.3</v>
      </c>
      <c r="R370" s="8">
        <f t="shared" si="55"/>
        <v>35.75</v>
      </c>
      <c r="S370" s="8">
        <f t="shared" si="56"/>
        <v>44.400000000000006</v>
      </c>
      <c r="T370" s="8">
        <f t="shared" si="57"/>
        <v>40.5</v>
      </c>
      <c r="U370" s="7">
        <f t="shared" si="58"/>
        <v>41.15</v>
      </c>
      <c r="V370" s="7">
        <f t="shared" si="59"/>
        <v>40.987499999999997</v>
      </c>
    </row>
    <row r="371" spans="1:22" ht="13.5" x14ac:dyDescent="0.25">
      <c r="A371" s="3">
        <f>RSI!A371</f>
        <v>45457</v>
      </c>
      <c r="B371" s="2">
        <f>RSI!B371</f>
        <v>5.0119999999999996</v>
      </c>
      <c r="C371" s="2">
        <f>RSI!I371</f>
        <v>40.276017630280613</v>
      </c>
      <c r="D371" s="2">
        <f>MACD!E371</f>
        <v>5.7568055780859773E-2</v>
      </c>
      <c r="E371" s="2">
        <f>MACD!F371</f>
        <v>8.5083843926746006E-2</v>
      </c>
      <c r="F371" s="2">
        <f>'Moving Avg'!D371</f>
        <v>5.1183999999999994</v>
      </c>
      <c r="G371" s="2">
        <f>'Moving Avg'!F371</f>
        <v>5.1385499999999986</v>
      </c>
      <c r="H371" s="2">
        <f>'Moving Avg'!G371</f>
        <v>5.2317600000000031</v>
      </c>
      <c r="I371" s="2">
        <f>'Moving Avg'!H371</f>
        <v>5.3358449999999991</v>
      </c>
      <c r="J371" s="5" t="str">
        <f>OBV!F371</f>
        <v>BULLISH</v>
      </c>
      <c r="K371" s="5" t="str">
        <f>OBV!G371</f>
        <v>NEUTRAL</v>
      </c>
      <c r="L371" s="5" t="str">
        <f>OBV!H371</f>
        <v>BULLISH DIVERGENCE</v>
      </c>
      <c r="M371" s="7">
        <f t="shared" si="53"/>
        <v>50</v>
      </c>
      <c r="N371" s="7">
        <f t="shared" si="50"/>
        <v>100</v>
      </c>
      <c r="O371" s="7">
        <f t="shared" si="51"/>
        <v>0</v>
      </c>
      <c r="P371" s="7">
        <f t="shared" si="52"/>
        <v>66.5</v>
      </c>
      <c r="Q371" s="8">
        <f t="shared" si="54"/>
        <v>62.475000000000001</v>
      </c>
      <c r="R371" s="8">
        <f t="shared" si="55"/>
        <v>46.625</v>
      </c>
      <c r="S371" s="8">
        <f t="shared" si="56"/>
        <v>52.424999999999997</v>
      </c>
      <c r="T371" s="8">
        <f t="shared" si="57"/>
        <v>54.125</v>
      </c>
      <c r="U371" s="7">
        <f t="shared" si="58"/>
        <v>53.841666666666661</v>
      </c>
      <c r="V371" s="7">
        <f t="shared" si="59"/>
        <v>53.912499999999994</v>
      </c>
    </row>
    <row r="372" spans="1:22" ht="13.5" x14ac:dyDescent="0.25">
      <c r="A372" s="3">
        <f>RSI!A372</f>
        <v>45461</v>
      </c>
      <c r="B372" s="2">
        <f>RSI!B372</f>
        <v>4.8789999999999996</v>
      </c>
      <c r="C372" s="2">
        <f>RSI!I372</f>
        <v>33.796433517183075</v>
      </c>
      <c r="D372" s="2">
        <f>MACD!E372</f>
        <v>5.4792874536564007E-2</v>
      </c>
      <c r="E372" s="2">
        <f>MACD!F372</f>
        <v>7.9025650048709609E-2</v>
      </c>
      <c r="F372" s="2">
        <f>'Moving Avg'!D372</f>
        <v>5.0651999999999999</v>
      </c>
      <c r="G372" s="2">
        <f>'Moving Avg'!F372</f>
        <v>5.115499999999999</v>
      </c>
      <c r="H372" s="2">
        <f>'Moving Avg'!G372</f>
        <v>5.2227200000000025</v>
      </c>
      <c r="I372" s="2">
        <f>'Moving Avg'!H372</f>
        <v>5.3314099999999982</v>
      </c>
      <c r="J372" s="5" t="str">
        <f>OBV!F372</f>
        <v>BEARISH</v>
      </c>
      <c r="K372" s="5" t="str">
        <f>OBV!G372</f>
        <v>STRONG</v>
      </c>
      <c r="L372" s="5" t="str">
        <f>OBV!H372</f>
        <v>CONFIRMED BEARISH</v>
      </c>
      <c r="M372" s="7">
        <f t="shared" si="53"/>
        <v>50</v>
      </c>
      <c r="N372" s="7">
        <f t="shared" si="50"/>
        <v>100</v>
      </c>
      <c r="O372" s="7">
        <f t="shared" si="51"/>
        <v>0</v>
      </c>
      <c r="P372" s="7">
        <f t="shared" si="52"/>
        <v>33</v>
      </c>
      <c r="Q372" s="8">
        <f t="shared" si="54"/>
        <v>57.45</v>
      </c>
      <c r="R372" s="8">
        <f t="shared" si="55"/>
        <v>38.25</v>
      </c>
      <c r="S372" s="8">
        <f t="shared" si="56"/>
        <v>37.35</v>
      </c>
      <c r="T372" s="8">
        <f t="shared" si="57"/>
        <v>45.75</v>
      </c>
      <c r="U372" s="7">
        <f t="shared" si="58"/>
        <v>44.35</v>
      </c>
      <c r="V372" s="7">
        <f t="shared" si="59"/>
        <v>44.7</v>
      </c>
    </row>
    <row r="373" spans="1:22" ht="13.5" x14ac:dyDescent="0.25">
      <c r="A373" s="3">
        <f>RSI!A373</f>
        <v>45462</v>
      </c>
      <c r="B373" s="2">
        <f>RSI!B373</f>
        <v>4.8339999999999996</v>
      </c>
      <c r="C373" s="2">
        <f>RSI!I373</f>
        <v>31.924989138326737</v>
      </c>
      <c r="D373" s="2">
        <f>MACD!E373</f>
        <v>4.3652286672381635E-2</v>
      </c>
      <c r="E373" s="2">
        <f>MACD!F373</f>
        <v>7.1950977373444025E-2</v>
      </c>
      <c r="F373" s="2">
        <f>'Moving Avg'!D373</f>
        <v>5.0029999999999992</v>
      </c>
      <c r="G373" s="2">
        <f>'Moving Avg'!F373</f>
        <v>5.0901999999999994</v>
      </c>
      <c r="H373" s="2">
        <f>'Moving Avg'!G373</f>
        <v>5.2122400000000013</v>
      </c>
      <c r="I373" s="2">
        <f>'Moving Avg'!H373</f>
        <v>5.3267499999999997</v>
      </c>
      <c r="J373" s="5" t="str">
        <f>OBV!F373</f>
        <v>BEARISH</v>
      </c>
      <c r="K373" s="5" t="str">
        <f>OBV!G373</f>
        <v>STRONG</v>
      </c>
      <c r="L373" s="5" t="str">
        <f>OBV!H373</f>
        <v>CONFIRMED BEARISH</v>
      </c>
      <c r="M373" s="7">
        <f t="shared" si="53"/>
        <v>50</v>
      </c>
      <c r="N373" s="7">
        <f t="shared" si="50"/>
        <v>100</v>
      </c>
      <c r="O373" s="7">
        <f t="shared" si="51"/>
        <v>0</v>
      </c>
      <c r="P373" s="7">
        <f t="shared" si="52"/>
        <v>33</v>
      </c>
      <c r="Q373" s="8">
        <f t="shared" si="54"/>
        <v>57.45</v>
      </c>
      <c r="R373" s="8">
        <f t="shared" si="55"/>
        <v>38.25</v>
      </c>
      <c r="S373" s="8">
        <f t="shared" si="56"/>
        <v>37.35</v>
      </c>
      <c r="T373" s="8">
        <f t="shared" si="57"/>
        <v>45.75</v>
      </c>
      <c r="U373" s="7">
        <f t="shared" si="58"/>
        <v>44.35</v>
      </c>
      <c r="V373" s="7">
        <f t="shared" si="59"/>
        <v>44.7</v>
      </c>
    </row>
    <row r="374" spans="1:22" ht="13.5" x14ac:dyDescent="0.25">
      <c r="A374" s="3">
        <f>RSI!A374</f>
        <v>45463</v>
      </c>
      <c r="B374" s="2">
        <f>RSI!B374</f>
        <v>4.8170000000000002</v>
      </c>
      <c r="C374" s="2">
        <f>RSI!I374</f>
        <v>31.221621160404368</v>
      </c>
      <c r="D374" s="2">
        <f>MACD!E374</f>
        <v>3.3201372685660147E-2</v>
      </c>
      <c r="E374" s="2">
        <f>MACD!F374</f>
        <v>6.4201056435887249E-2</v>
      </c>
      <c r="F374" s="2">
        <f>'Moving Avg'!D374</f>
        <v>4.9373999999999993</v>
      </c>
      <c r="G374" s="2">
        <f>'Moving Avg'!F374</f>
        <v>5.0649499999999987</v>
      </c>
      <c r="H374" s="2">
        <f>'Moving Avg'!G374</f>
        <v>5.2014200000000024</v>
      </c>
      <c r="I374" s="2">
        <f>'Moving Avg'!H374</f>
        <v>5.3220499999999991</v>
      </c>
      <c r="J374" s="5" t="str">
        <f>OBV!F374</f>
        <v>BEARISH</v>
      </c>
      <c r="K374" s="5" t="str">
        <f>OBV!G374</f>
        <v>STRONG</v>
      </c>
      <c r="L374" s="5" t="str">
        <f>OBV!H374</f>
        <v>CONFIRMED BEARISH</v>
      </c>
      <c r="M374" s="7">
        <f t="shared" si="53"/>
        <v>50</v>
      </c>
      <c r="N374" s="7">
        <f t="shared" si="50"/>
        <v>100</v>
      </c>
      <c r="O374" s="7">
        <f t="shared" si="51"/>
        <v>0</v>
      </c>
      <c r="P374" s="7">
        <f t="shared" si="52"/>
        <v>33</v>
      </c>
      <c r="Q374" s="8">
        <f t="shared" si="54"/>
        <v>57.45</v>
      </c>
      <c r="R374" s="8">
        <f t="shared" si="55"/>
        <v>38.25</v>
      </c>
      <c r="S374" s="8">
        <f t="shared" si="56"/>
        <v>37.35</v>
      </c>
      <c r="T374" s="8">
        <f t="shared" si="57"/>
        <v>45.75</v>
      </c>
      <c r="U374" s="7">
        <f t="shared" si="58"/>
        <v>44.35</v>
      </c>
      <c r="V374" s="7">
        <f t="shared" si="59"/>
        <v>44.7</v>
      </c>
    </row>
    <row r="375" spans="1:22" ht="13.5" x14ac:dyDescent="0.25">
      <c r="A375" s="3">
        <f>RSI!A375</f>
        <v>45464</v>
      </c>
      <c r="B375" s="2">
        <f>RSI!B375</f>
        <v>5.0999999999999996</v>
      </c>
      <c r="C375" s="2">
        <f>RSI!I375</f>
        <v>50.695761239022062</v>
      </c>
      <c r="D375" s="2">
        <f>MACD!E375</f>
        <v>-4.4533476479324818E-3</v>
      </c>
      <c r="E375" s="2">
        <f>MACD!F375</f>
        <v>5.0470175619123307E-2</v>
      </c>
      <c r="F375" s="2">
        <f>'Moving Avg'!D375</f>
        <v>4.928399999999999</v>
      </c>
      <c r="G375" s="2">
        <f>'Moving Avg'!F375</f>
        <v>5.0538499999999997</v>
      </c>
      <c r="H375" s="2">
        <f>'Moving Avg'!G375</f>
        <v>5.1969800000000035</v>
      </c>
      <c r="I375" s="2">
        <f>'Moving Avg'!H375</f>
        <v>5.318765</v>
      </c>
      <c r="J375" s="5" t="str">
        <f>OBV!F375</f>
        <v>BEARISH</v>
      </c>
      <c r="K375" s="5" t="str">
        <f>OBV!G375</f>
        <v>STRONG</v>
      </c>
      <c r="L375" s="5" t="str">
        <f>OBV!H375</f>
        <v>CONFIRMED BEARISH</v>
      </c>
      <c r="M375" s="7">
        <f t="shared" si="53"/>
        <v>50</v>
      </c>
      <c r="N375" s="7">
        <f t="shared" si="50"/>
        <v>100</v>
      </c>
      <c r="O375" s="7">
        <f t="shared" si="51"/>
        <v>0</v>
      </c>
      <c r="P375" s="7">
        <f t="shared" si="52"/>
        <v>33</v>
      </c>
      <c r="Q375" s="8">
        <f t="shared" si="54"/>
        <v>57.45</v>
      </c>
      <c r="R375" s="8">
        <f t="shared" si="55"/>
        <v>38.25</v>
      </c>
      <c r="S375" s="8">
        <f t="shared" si="56"/>
        <v>37.35</v>
      </c>
      <c r="T375" s="8">
        <f t="shared" si="57"/>
        <v>45.75</v>
      </c>
      <c r="U375" s="7">
        <f t="shared" si="58"/>
        <v>44.35</v>
      </c>
      <c r="V375" s="7">
        <f t="shared" si="59"/>
        <v>44.7</v>
      </c>
    </row>
    <row r="376" spans="1:22" ht="13.5" x14ac:dyDescent="0.25">
      <c r="A376" s="3">
        <f>RSI!A376</f>
        <v>45467</v>
      </c>
      <c r="B376" s="2">
        <f>RSI!B376</f>
        <v>5.0999999999999996</v>
      </c>
      <c r="C376" s="2">
        <f>RSI!I376</f>
        <v>50.695761239022062</v>
      </c>
      <c r="D376" s="2">
        <f>MACD!E376</f>
        <v>-9.1919080500586503E-3</v>
      </c>
      <c r="E376" s="2">
        <f>MACD!F376</f>
        <v>3.8537758885286919E-2</v>
      </c>
      <c r="F376" s="2">
        <f>'Moving Avg'!D376</f>
        <v>4.9459999999999997</v>
      </c>
      <c r="G376" s="2">
        <f>'Moving Avg'!F376</f>
        <v>5.0471999999999992</v>
      </c>
      <c r="H376" s="2">
        <f>'Moving Avg'!G376</f>
        <v>5.1925400000000028</v>
      </c>
      <c r="I376" s="2">
        <f>'Moving Avg'!H376</f>
        <v>5.3154799999999991</v>
      </c>
      <c r="J376" s="5" t="str">
        <f>OBV!F376</f>
        <v>BEARISH</v>
      </c>
      <c r="K376" s="5" t="str">
        <f>OBV!G376</f>
        <v>STRONG</v>
      </c>
      <c r="L376" s="5" t="str">
        <f>OBV!H376</f>
        <v>BEARISH DIVERGENCE</v>
      </c>
      <c r="M376" s="7">
        <f t="shared" si="53"/>
        <v>50</v>
      </c>
      <c r="N376" s="7">
        <f t="shared" si="50"/>
        <v>100</v>
      </c>
      <c r="O376" s="7">
        <f t="shared" si="51"/>
        <v>0</v>
      </c>
      <c r="P376" s="7">
        <f t="shared" si="52"/>
        <v>33</v>
      </c>
      <c r="Q376" s="8">
        <f t="shared" si="54"/>
        <v>57.45</v>
      </c>
      <c r="R376" s="8">
        <f t="shared" si="55"/>
        <v>38.25</v>
      </c>
      <c r="S376" s="8">
        <f t="shared" si="56"/>
        <v>37.35</v>
      </c>
      <c r="T376" s="8">
        <f t="shared" si="57"/>
        <v>45.75</v>
      </c>
      <c r="U376" s="7">
        <f t="shared" si="58"/>
        <v>44.35</v>
      </c>
      <c r="V376" s="7">
        <f t="shared" si="59"/>
        <v>44.7</v>
      </c>
    </row>
    <row r="377" spans="1:22" ht="13.5" x14ac:dyDescent="0.25">
      <c r="A377" s="3">
        <f>RSI!A377</f>
        <v>45468</v>
      </c>
      <c r="B377" s="2">
        <f>RSI!B377</f>
        <v>5.0380000000000003</v>
      </c>
      <c r="C377" s="2">
        <f>RSI!I377</f>
        <v>47.293392029763673</v>
      </c>
      <c r="D377" s="2">
        <f>MACD!E377</f>
        <v>4.9837714987042148E-3</v>
      </c>
      <c r="E377" s="2">
        <f>MACD!F377</f>
        <v>3.1826961407970381E-2</v>
      </c>
      <c r="F377" s="2">
        <f>'Moving Avg'!D377</f>
        <v>4.9778000000000002</v>
      </c>
      <c r="G377" s="2">
        <f>'Moving Avg'!F377</f>
        <v>5.0374499999999989</v>
      </c>
      <c r="H377" s="2">
        <f>'Moving Avg'!G377</f>
        <v>5.1870400000000032</v>
      </c>
      <c r="I377" s="2">
        <f>'Moving Avg'!H377</f>
        <v>5.3118849999999984</v>
      </c>
      <c r="J377" s="5" t="str">
        <f>OBV!F377</f>
        <v>BEARISH</v>
      </c>
      <c r="K377" s="5" t="str">
        <f>OBV!G377</f>
        <v>STRONG</v>
      </c>
      <c r="L377" s="5" t="str">
        <f>OBV!H377</f>
        <v>BEARISH DIVERGENCE</v>
      </c>
      <c r="M377" s="7">
        <f t="shared" si="53"/>
        <v>50</v>
      </c>
      <c r="N377" s="7">
        <f t="shared" si="50"/>
        <v>100</v>
      </c>
      <c r="O377" s="7">
        <f t="shared" si="51"/>
        <v>0</v>
      </c>
      <c r="P377" s="7">
        <f t="shared" si="52"/>
        <v>33</v>
      </c>
      <c r="Q377" s="8">
        <f t="shared" si="54"/>
        <v>57.45</v>
      </c>
      <c r="R377" s="8">
        <f t="shared" si="55"/>
        <v>38.25</v>
      </c>
      <c r="S377" s="8">
        <f t="shared" si="56"/>
        <v>37.35</v>
      </c>
      <c r="T377" s="8">
        <f t="shared" si="57"/>
        <v>45.75</v>
      </c>
      <c r="U377" s="7">
        <f t="shared" si="58"/>
        <v>44.35</v>
      </c>
      <c r="V377" s="7">
        <f t="shared" si="59"/>
        <v>44.7</v>
      </c>
    </row>
    <row r="378" spans="1:22" ht="13.5" x14ac:dyDescent="0.25">
      <c r="A378" s="3">
        <f>RSI!A378</f>
        <v>45469</v>
      </c>
      <c r="B378" s="2">
        <f>RSI!B378</f>
        <v>4.8869999999999996</v>
      </c>
      <c r="C378" s="2">
        <f>RSI!I378</f>
        <v>40.214539959786741</v>
      </c>
      <c r="D378" s="2">
        <f>MACD!E378</f>
        <v>2.8437836427236185E-2</v>
      </c>
      <c r="E378" s="2">
        <f>MACD!F378</f>
        <v>3.1149136411823541E-2</v>
      </c>
      <c r="F378" s="2">
        <f>'Moving Avg'!D378</f>
        <v>4.9884000000000004</v>
      </c>
      <c r="G378" s="2">
        <f>'Moving Avg'!F378</f>
        <v>5.0201499999999992</v>
      </c>
      <c r="H378" s="2">
        <f>'Moving Avg'!G378</f>
        <v>5.1785200000000025</v>
      </c>
      <c r="I378" s="2">
        <f>'Moving Avg'!H378</f>
        <v>5.3075349999999979</v>
      </c>
      <c r="J378" s="5" t="str">
        <f>OBV!F378</f>
        <v>BEARISH</v>
      </c>
      <c r="K378" s="5" t="str">
        <f>OBV!G378</f>
        <v>STRONG</v>
      </c>
      <c r="L378" s="5" t="str">
        <f>OBV!H378</f>
        <v>BEARISH DIVERGENCE</v>
      </c>
      <c r="M378" s="7">
        <f t="shared" si="53"/>
        <v>50</v>
      </c>
      <c r="N378" s="7">
        <f t="shared" si="50"/>
        <v>45</v>
      </c>
      <c r="O378" s="7">
        <f t="shared" si="51"/>
        <v>0</v>
      </c>
      <c r="P378" s="7">
        <f t="shared" si="52"/>
        <v>33</v>
      </c>
      <c r="Q378" s="8">
        <f t="shared" si="54"/>
        <v>38.200000000000003</v>
      </c>
      <c r="R378" s="8">
        <f t="shared" si="55"/>
        <v>27.25</v>
      </c>
      <c r="S378" s="8">
        <f t="shared" si="56"/>
        <v>29.1</v>
      </c>
      <c r="T378" s="8">
        <f t="shared" si="57"/>
        <v>32</v>
      </c>
      <c r="U378" s="7">
        <f t="shared" si="58"/>
        <v>31.516666666666669</v>
      </c>
      <c r="V378" s="7">
        <f t="shared" si="59"/>
        <v>31.637500000000003</v>
      </c>
    </row>
    <row r="379" spans="1:22" ht="13.5" x14ac:dyDescent="0.25">
      <c r="A379" s="3">
        <f>RSI!A379</f>
        <v>45470</v>
      </c>
      <c r="B379" s="2">
        <f>RSI!B379</f>
        <v>4.79</v>
      </c>
      <c r="C379" s="2">
        <f>RSI!I379</f>
        <v>36.441132463403825</v>
      </c>
      <c r="D379" s="2">
        <f>MACD!E379</f>
        <v>5.6614806540163265E-2</v>
      </c>
      <c r="E379" s="2">
        <f>MACD!F379</f>
        <v>3.6242270437491488E-2</v>
      </c>
      <c r="F379" s="2">
        <f>'Moving Avg'!D379</f>
        <v>4.9829999999999997</v>
      </c>
      <c r="G379" s="2">
        <f>'Moving Avg'!F379</f>
        <v>5.0068499999999982</v>
      </c>
      <c r="H379" s="2">
        <f>'Moving Avg'!G379</f>
        <v>5.1680600000000023</v>
      </c>
      <c r="I379" s="2">
        <f>'Moving Avg'!H379</f>
        <v>5.302699999999998</v>
      </c>
      <c r="J379" s="5" t="str">
        <f>OBV!F379</f>
        <v>BEARISH</v>
      </c>
      <c r="K379" s="5" t="str">
        <f>OBV!G379</f>
        <v>STRONG</v>
      </c>
      <c r="L379" s="5" t="str">
        <f>OBV!H379</f>
        <v>CONFIRMED BEARISH</v>
      </c>
      <c r="M379" s="7">
        <f t="shared" si="53"/>
        <v>50</v>
      </c>
      <c r="N379" s="7">
        <f t="shared" si="50"/>
        <v>0</v>
      </c>
      <c r="O379" s="7">
        <f t="shared" si="51"/>
        <v>0</v>
      </c>
      <c r="P379" s="7">
        <f t="shared" si="52"/>
        <v>33</v>
      </c>
      <c r="Q379" s="8">
        <f t="shared" si="54"/>
        <v>22.45</v>
      </c>
      <c r="R379" s="8">
        <f t="shared" si="55"/>
        <v>18.25</v>
      </c>
      <c r="S379" s="8">
        <f t="shared" si="56"/>
        <v>22.35</v>
      </c>
      <c r="T379" s="8">
        <f t="shared" si="57"/>
        <v>20.75</v>
      </c>
      <c r="U379" s="7">
        <f t="shared" si="58"/>
        <v>21.016666666666669</v>
      </c>
      <c r="V379" s="7">
        <f t="shared" si="59"/>
        <v>20.950000000000003</v>
      </c>
    </row>
    <row r="380" spans="1:22" ht="13.5" x14ac:dyDescent="0.25">
      <c r="A380" s="3">
        <f>RSI!A380</f>
        <v>45471</v>
      </c>
      <c r="B380" s="2">
        <f>RSI!B380</f>
        <v>4.79</v>
      </c>
      <c r="C380" s="2">
        <f>RSI!I380</f>
        <v>36.441132463403825</v>
      </c>
      <c r="D380" s="2">
        <f>MACD!E380</f>
        <v>8.2091181340431696E-2</v>
      </c>
      <c r="E380" s="2">
        <f>MACD!F380</f>
        <v>4.5412052618079533E-2</v>
      </c>
      <c r="F380" s="2">
        <f>'Moving Avg'!D380</f>
        <v>4.9209999999999994</v>
      </c>
      <c r="G380" s="2">
        <f>'Moving Avg'!F380</f>
        <v>4.9890999999999996</v>
      </c>
      <c r="H380" s="2">
        <f>'Moving Avg'!G380</f>
        <v>5.1576000000000031</v>
      </c>
      <c r="I380" s="2">
        <f>'Moving Avg'!H380</f>
        <v>5.2978649999999972</v>
      </c>
      <c r="J380" s="5" t="str">
        <f>OBV!F380</f>
        <v>BEARISH</v>
      </c>
      <c r="K380" s="5" t="str">
        <f>OBV!G380</f>
        <v>STRONG</v>
      </c>
      <c r="L380" s="5" t="str">
        <f>OBV!H380</f>
        <v>CONFIRMED BEARISH</v>
      </c>
      <c r="M380" s="7">
        <f t="shared" si="53"/>
        <v>50</v>
      </c>
      <c r="N380" s="7">
        <f t="shared" si="50"/>
        <v>0</v>
      </c>
      <c r="O380" s="7">
        <f t="shared" si="51"/>
        <v>0</v>
      </c>
      <c r="P380" s="7">
        <f t="shared" si="52"/>
        <v>33</v>
      </c>
      <c r="Q380" s="8">
        <f t="shared" si="54"/>
        <v>22.45</v>
      </c>
      <c r="R380" s="8">
        <f t="shared" si="55"/>
        <v>18.25</v>
      </c>
      <c r="S380" s="8">
        <f t="shared" si="56"/>
        <v>22.35</v>
      </c>
      <c r="T380" s="8">
        <f t="shared" si="57"/>
        <v>20.75</v>
      </c>
      <c r="U380" s="7">
        <f t="shared" si="58"/>
        <v>21.016666666666669</v>
      </c>
      <c r="V380" s="7">
        <f t="shared" si="59"/>
        <v>20.950000000000003</v>
      </c>
    </row>
    <row r="381" spans="1:22" ht="13.5" x14ac:dyDescent="0.25">
      <c r="A381" s="3">
        <f>RSI!A381</f>
        <v>45474</v>
      </c>
      <c r="B381" s="2">
        <f>RSI!B381</f>
        <v>4.79</v>
      </c>
      <c r="C381" s="2">
        <f>RSI!I381</f>
        <v>36.441132463403825</v>
      </c>
      <c r="D381" s="2">
        <f>MACD!E381</f>
        <v>8.4699837593173122E-2</v>
      </c>
      <c r="E381" s="2">
        <f>MACD!F381</f>
        <v>5.3269609613098248E-2</v>
      </c>
      <c r="F381" s="2">
        <f>'Moving Avg'!D381</f>
        <v>4.859</v>
      </c>
      <c r="G381" s="2">
        <f>'Moving Avg'!F381</f>
        <v>4.9757999999999996</v>
      </c>
      <c r="H381" s="2">
        <f>'Moving Avg'!G381</f>
        <v>5.1487400000000028</v>
      </c>
      <c r="I381" s="2">
        <f>'Moving Avg'!H381</f>
        <v>5.2930749999999964</v>
      </c>
      <c r="J381" s="5" t="str">
        <f>OBV!F381</f>
        <v>BEARISH</v>
      </c>
      <c r="K381" s="5" t="str">
        <f>OBV!G381</f>
        <v>STRONG</v>
      </c>
      <c r="L381" s="5" t="str">
        <f>OBV!H381</f>
        <v>CONFIRMED BEARISH</v>
      </c>
      <c r="M381" s="7">
        <f t="shared" si="53"/>
        <v>50</v>
      </c>
      <c r="N381" s="7">
        <f t="shared" si="50"/>
        <v>0</v>
      </c>
      <c r="O381" s="7">
        <f t="shared" si="51"/>
        <v>0</v>
      </c>
      <c r="P381" s="7">
        <f t="shared" si="52"/>
        <v>33</v>
      </c>
      <c r="Q381" s="8">
        <f t="shared" si="54"/>
        <v>22.45</v>
      </c>
      <c r="R381" s="8">
        <f t="shared" si="55"/>
        <v>18.25</v>
      </c>
      <c r="S381" s="8">
        <f t="shared" si="56"/>
        <v>22.35</v>
      </c>
      <c r="T381" s="8">
        <f t="shared" si="57"/>
        <v>20.75</v>
      </c>
      <c r="U381" s="7">
        <f t="shared" si="58"/>
        <v>21.016666666666669</v>
      </c>
      <c r="V381" s="7">
        <f t="shared" si="59"/>
        <v>20.950000000000003</v>
      </c>
    </row>
    <row r="382" spans="1:22" ht="13.5" x14ac:dyDescent="0.25">
      <c r="A382" s="3">
        <f>RSI!A382</f>
        <v>45475</v>
      </c>
      <c r="B382" s="2">
        <f>RSI!B382</f>
        <v>5.0469999999999997</v>
      </c>
      <c r="C382" s="2">
        <f>RSI!I382</f>
        <v>51.500409263740941</v>
      </c>
      <c r="D382" s="2">
        <f>MACD!E382</f>
        <v>4.8809755311495451E-2</v>
      </c>
      <c r="E382" s="2">
        <f>MACD!F382</f>
        <v>5.2377638752777692E-2</v>
      </c>
      <c r="F382" s="2">
        <f>'Moving Avg'!D382</f>
        <v>4.8607999999999993</v>
      </c>
      <c r="G382" s="2">
        <f>'Moving Avg'!F382</f>
        <v>4.9753500000000006</v>
      </c>
      <c r="H382" s="2">
        <f>'Moving Avg'!G382</f>
        <v>5.1450200000000033</v>
      </c>
      <c r="I382" s="2">
        <f>'Moving Avg'!H382</f>
        <v>5.2896149999999977</v>
      </c>
      <c r="J382" s="5" t="str">
        <f>OBV!F382</f>
        <v>BEARISH</v>
      </c>
      <c r="K382" s="5" t="str">
        <f>OBV!G382</f>
        <v>NEUTRAL</v>
      </c>
      <c r="L382" s="5" t="str">
        <f>OBV!H382</f>
        <v>BEARISH DIVERGENCE</v>
      </c>
      <c r="M382" s="7">
        <f t="shared" si="53"/>
        <v>50</v>
      </c>
      <c r="N382" s="7">
        <f t="shared" si="50"/>
        <v>45</v>
      </c>
      <c r="O382" s="7">
        <f t="shared" si="51"/>
        <v>0</v>
      </c>
      <c r="P382" s="7">
        <f t="shared" si="52"/>
        <v>16.5</v>
      </c>
      <c r="Q382" s="8">
        <f t="shared" si="54"/>
        <v>35.725000000000001</v>
      </c>
      <c r="R382" s="8">
        <f t="shared" si="55"/>
        <v>23.125</v>
      </c>
      <c r="S382" s="8">
        <f t="shared" si="56"/>
        <v>21.675000000000001</v>
      </c>
      <c r="T382" s="8">
        <f t="shared" si="57"/>
        <v>27.875</v>
      </c>
      <c r="U382" s="7">
        <f t="shared" si="58"/>
        <v>26.841666666666669</v>
      </c>
      <c r="V382" s="7">
        <f t="shared" si="59"/>
        <v>27.1</v>
      </c>
    </row>
    <row r="383" spans="1:22" ht="13.5" x14ac:dyDescent="0.25">
      <c r="A383" s="3">
        <f>RSI!A383</f>
        <v>45476</v>
      </c>
      <c r="B383" s="2">
        <f>RSI!B383</f>
        <v>5.1449999999999996</v>
      </c>
      <c r="C383" s="2">
        <f>RSI!I383</f>
        <v>55.800909122380375</v>
      </c>
      <c r="D383" s="2">
        <f>MACD!E383</f>
        <v>4.0376423522143767E-3</v>
      </c>
      <c r="E383" s="2">
        <f>MACD!F383</f>
        <v>4.2709639472665033E-2</v>
      </c>
      <c r="F383" s="2">
        <f>'Moving Avg'!D383</f>
        <v>4.9123999999999999</v>
      </c>
      <c r="G383" s="2">
        <f>'Moving Avg'!F383</f>
        <v>4.9842500000000003</v>
      </c>
      <c r="H383" s="2">
        <f>'Moving Avg'!G383</f>
        <v>5.1432600000000024</v>
      </c>
      <c r="I383" s="2">
        <f>'Moving Avg'!H383</f>
        <v>5.2866449999999974</v>
      </c>
      <c r="J383" s="5" t="str">
        <f>OBV!F383</f>
        <v>BULLISH</v>
      </c>
      <c r="K383" s="5" t="str">
        <f>OBV!G383</f>
        <v>WEAK</v>
      </c>
      <c r="L383" s="5" t="str">
        <f>OBV!H383</f>
        <v>CONFIRMED BULLISH</v>
      </c>
      <c r="M383" s="7">
        <f t="shared" si="53"/>
        <v>50</v>
      </c>
      <c r="N383" s="7">
        <f t="shared" si="50"/>
        <v>100</v>
      </c>
      <c r="O383" s="7">
        <f t="shared" si="51"/>
        <v>0</v>
      </c>
      <c r="P383" s="7">
        <f t="shared" si="52"/>
        <v>67</v>
      </c>
      <c r="Q383" s="8">
        <f t="shared" si="54"/>
        <v>62.55</v>
      </c>
      <c r="R383" s="8">
        <f t="shared" si="55"/>
        <v>46.75</v>
      </c>
      <c r="S383" s="8">
        <f t="shared" si="56"/>
        <v>52.650000000000006</v>
      </c>
      <c r="T383" s="8">
        <f t="shared" si="57"/>
        <v>54.25</v>
      </c>
      <c r="U383" s="7">
        <f t="shared" si="58"/>
        <v>53.983333333333327</v>
      </c>
      <c r="V383" s="7">
        <f t="shared" si="59"/>
        <v>54.05</v>
      </c>
    </row>
    <row r="384" spans="1:22" ht="13.5" x14ac:dyDescent="0.25">
      <c r="A384" s="3">
        <f>RSI!A384</f>
        <v>45477</v>
      </c>
      <c r="B384" s="2">
        <f>RSI!B384</f>
        <v>5.258</v>
      </c>
      <c r="C384" s="2">
        <f>RSI!I384</f>
        <v>60.18486439205595</v>
      </c>
      <c r="D384" s="2">
        <f>MACD!E384</f>
        <v>-4.5616151474598077E-2</v>
      </c>
      <c r="E384" s="2">
        <f>MACD!F384</f>
        <v>2.5044481283212409E-2</v>
      </c>
      <c r="F384" s="2">
        <f>'Moving Avg'!D384</f>
        <v>5.0059999999999993</v>
      </c>
      <c r="G384" s="2">
        <f>'Moving Avg'!F384</f>
        <v>5.0001000000000007</v>
      </c>
      <c r="H384" s="2">
        <f>'Moving Avg'!G384</f>
        <v>5.1437600000000021</v>
      </c>
      <c r="I384" s="2">
        <f>'Moving Avg'!H384</f>
        <v>5.284374999999998</v>
      </c>
      <c r="J384" s="5" t="str">
        <f>OBV!F384</f>
        <v>BULLISH</v>
      </c>
      <c r="K384" s="5" t="str">
        <f>OBV!G384</f>
        <v>NEUTRAL</v>
      </c>
      <c r="L384" s="5" t="str">
        <f>OBV!H384</f>
        <v>CONFIRMED BULLISH</v>
      </c>
      <c r="M384" s="7">
        <f t="shared" si="53"/>
        <v>50</v>
      </c>
      <c r="N384" s="7">
        <f t="shared" si="50"/>
        <v>100</v>
      </c>
      <c r="O384" s="7">
        <f t="shared" si="51"/>
        <v>0</v>
      </c>
      <c r="P384" s="7">
        <f t="shared" si="52"/>
        <v>83.5</v>
      </c>
      <c r="Q384" s="8">
        <f t="shared" si="54"/>
        <v>65.025000000000006</v>
      </c>
      <c r="R384" s="8">
        <f t="shared" si="55"/>
        <v>50.875</v>
      </c>
      <c r="S384" s="8">
        <f t="shared" si="56"/>
        <v>60.075000000000003</v>
      </c>
      <c r="T384" s="8">
        <f t="shared" si="57"/>
        <v>58.375</v>
      </c>
      <c r="U384" s="7">
        <f t="shared" si="58"/>
        <v>58.658333333333339</v>
      </c>
      <c r="V384" s="7">
        <f t="shared" si="59"/>
        <v>58.587500000000006</v>
      </c>
    </row>
    <row r="385" spans="1:22" ht="13.5" x14ac:dyDescent="0.25">
      <c r="A385" s="3">
        <f>RSI!A385</f>
        <v>45478</v>
      </c>
      <c r="B385" s="2">
        <f>RSI!B385</f>
        <v>5.399</v>
      </c>
      <c r="C385" s="2">
        <f>RSI!I385</f>
        <v>64.867469764087815</v>
      </c>
      <c r="D385" s="2">
        <f>MACD!E385</f>
        <v>-5.593047824518127E-2</v>
      </c>
      <c r="E385" s="2">
        <f>MACD!F385</f>
        <v>8.849489377533673E-3</v>
      </c>
      <c r="F385" s="2">
        <f>'Moving Avg'!D385</f>
        <v>5.1277999999999997</v>
      </c>
      <c r="G385" s="2">
        <f>'Moving Avg'!F385</f>
        <v>5.0261000000000013</v>
      </c>
      <c r="H385" s="2">
        <f>'Moving Avg'!G385</f>
        <v>5.1470800000000017</v>
      </c>
      <c r="I385" s="2">
        <f>'Moving Avg'!H385</f>
        <v>5.2827649999999968</v>
      </c>
      <c r="J385" s="5" t="str">
        <f>OBV!F385</f>
        <v>BULLISH</v>
      </c>
      <c r="K385" s="5" t="str">
        <f>OBV!G385</f>
        <v>WEAK</v>
      </c>
      <c r="L385" s="5" t="str">
        <f>OBV!H385</f>
        <v>CONFIRMED BULLISH</v>
      </c>
      <c r="M385" s="7">
        <f t="shared" si="53"/>
        <v>50</v>
      </c>
      <c r="N385" s="7">
        <f t="shared" si="50"/>
        <v>100</v>
      </c>
      <c r="O385" s="7">
        <f t="shared" si="51"/>
        <v>0</v>
      </c>
      <c r="P385" s="7">
        <f t="shared" si="52"/>
        <v>67</v>
      </c>
      <c r="Q385" s="8">
        <f t="shared" si="54"/>
        <v>62.55</v>
      </c>
      <c r="R385" s="8">
        <f t="shared" si="55"/>
        <v>46.75</v>
      </c>
      <c r="S385" s="8">
        <f t="shared" si="56"/>
        <v>52.650000000000006</v>
      </c>
      <c r="T385" s="8">
        <f t="shared" si="57"/>
        <v>54.25</v>
      </c>
      <c r="U385" s="7">
        <f t="shared" si="58"/>
        <v>53.983333333333327</v>
      </c>
      <c r="V385" s="7">
        <f t="shared" si="59"/>
        <v>54.05</v>
      </c>
    </row>
    <row r="386" spans="1:22" ht="13.5" x14ac:dyDescent="0.25">
      <c r="A386" s="3">
        <f>RSI!A386</f>
        <v>45481</v>
      </c>
      <c r="B386" s="2">
        <f>RSI!B386</f>
        <v>5.4459999999999997</v>
      </c>
      <c r="C386" s="2">
        <f>RSI!I386</f>
        <v>66.290628816752289</v>
      </c>
      <c r="D386" s="2">
        <f>MACD!E386</f>
        <v>-7.0263008014212147E-2</v>
      </c>
      <c r="E386" s="2">
        <f>MACD!F386</f>
        <v>-6.9730101008154913E-3</v>
      </c>
      <c r="F386" s="2">
        <f>'Moving Avg'!D386</f>
        <v>5.2590000000000003</v>
      </c>
      <c r="G386" s="2">
        <f>'Moving Avg'!F386</f>
        <v>5.0456000000000003</v>
      </c>
      <c r="H386" s="2">
        <f>'Moving Avg'!G386</f>
        <v>5.1522200000000025</v>
      </c>
      <c r="I386" s="2">
        <f>'Moving Avg'!H386</f>
        <v>5.2813899999999965</v>
      </c>
      <c r="J386" s="5" t="str">
        <f>OBV!F386</f>
        <v>BULLISH</v>
      </c>
      <c r="K386" s="5" t="str">
        <f>OBV!G386</f>
        <v>WEAK</v>
      </c>
      <c r="L386" s="5" t="str">
        <f>OBV!H386</f>
        <v>CONFIRMED BULLISH</v>
      </c>
      <c r="M386" s="7">
        <f t="shared" si="53"/>
        <v>50</v>
      </c>
      <c r="N386" s="7">
        <f t="shared" ref="N386:N449" si="60">IF(E386-D386&gt;0.02, 100, IF(E386-D386&lt;0,0,45))</f>
        <v>100</v>
      </c>
      <c r="O386" s="7">
        <f t="shared" ref="O386:O449" si="61">IF(F386-I386&gt;10,100,IF(F386-I386&gt;5,75, IF(F386-I386&gt;0,50,0)))</f>
        <v>0</v>
      </c>
      <c r="P386" s="7">
        <f t="shared" ref="P386:P449" si="62">IF(L386="confirmed bullish", 34, IF(L386="bullish divergence",17, 0))+IF(J386="bullish",33,IF(J386="bearish",0,16.5))+IF(K386="strong",33,IF(K386="weak",0,16.5))</f>
        <v>67</v>
      </c>
      <c r="Q386" s="8">
        <f t="shared" si="54"/>
        <v>62.55</v>
      </c>
      <c r="R386" s="8">
        <f t="shared" si="55"/>
        <v>46.75</v>
      </c>
      <c r="S386" s="8">
        <f t="shared" si="56"/>
        <v>52.650000000000006</v>
      </c>
      <c r="T386" s="8">
        <f t="shared" si="57"/>
        <v>54.25</v>
      </c>
      <c r="U386" s="7">
        <f t="shared" si="58"/>
        <v>53.983333333333327</v>
      </c>
      <c r="V386" s="7">
        <f t="shared" si="59"/>
        <v>54.05</v>
      </c>
    </row>
    <row r="387" spans="1:22" ht="13.5" x14ac:dyDescent="0.25">
      <c r="A387" s="3">
        <f>RSI!A387</f>
        <v>45482</v>
      </c>
      <c r="B387" s="2">
        <f>RSI!B387</f>
        <v>5.4459999999999997</v>
      </c>
      <c r="C387" s="2">
        <f>RSI!I387</f>
        <v>66.290628816752289</v>
      </c>
      <c r="D387" s="2">
        <f>MACD!E387</f>
        <v>-9.4172961445626591E-2</v>
      </c>
      <c r="E387" s="2">
        <f>MACD!F387</f>
        <v>-2.4413000369777713E-2</v>
      </c>
      <c r="F387" s="2">
        <f>'Moving Avg'!D387</f>
        <v>5.3387999999999991</v>
      </c>
      <c r="G387" s="2">
        <f>'Moving Avg'!F387</f>
        <v>5.0606499999999999</v>
      </c>
      <c r="H387" s="2">
        <f>'Moving Avg'!G387</f>
        <v>5.1547000000000018</v>
      </c>
      <c r="I387" s="2">
        <f>'Moving Avg'!H387</f>
        <v>5.279924999999996</v>
      </c>
      <c r="J387" s="5" t="str">
        <f>OBV!F387</f>
        <v>BULLISH</v>
      </c>
      <c r="K387" s="5" t="str">
        <f>OBV!G387</f>
        <v>WEAK</v>
      </c>
      <c r="L387" s="5" t="str">
        <f>OBV!H387</f>
        <v>CONFIRMED BULLISH</v>
      </c>
      <c r="M387" s="7">
        <f t="shared" ref="M387:M450" si="63">IF(C387&lt;30,100, IF(C387&gt;70, 0, 50))</f>
        <v>50</v>
      </c>
      <c r="N387" s="7">
        <f t="shared" si="60"/>
        <v>100</v>
      </c>
      <c r="O387" s="7">
        <f t="shared" si="61"/>
        <v>50</v>
      </c>
      <c r="P387" s="7">
        <f t="shared" si="62"/>
        <v>67</v>
      </c>
      <c r="Q387" s="8">
        <f t="shared" ref="Q387:Q450" si="64">0.35*M387+N387*0.35+O387*0.15+P387*0.15</f>
        <v>70.05</v>
      </c>
      <c r="R387" s="8">
        <f t="shared" ref="R387:R450" si="65">M387*0.2+N387*0.2+O387*0.35+P387*0.25</f>
        <v>64.25</v>
      </c>
      <c r="S387" s="8">
        <f t="shared" ref="S387:S450" si="66">M387*0.15+N387*0.15+O387*0.25+P387*0.45</f>
        <v>65.150000000000006</v>
      </c>
      <c r="T387" s="8">
        <f t="shared" ref="T387:T450" si="67">0.25*SUM(M387:P387)</f>
        <v>66.75</v>
      </c>
      <c r="U387" s="7">
        <f t="shared" ref="U387:U450" si="68">SUM(Q387:S387)/3</f>
        <v>66.483333333333334</v>
      </c>
      <c r="V387" s="7">
        <f t="shared" ref="V387:V450" si="69">SUM(Q387:T387)/4</f>
        <v>66.550000000000011</v>
      </c>
    </row>
    <row r="388" spans="1:22" ht="13.5" x14ac:dyDescent="0.25">
      <c r="A388" s="3">
        <f>RSI!A388</f>
        <v>45483</v>
      </c>
      <c r="B388" s="2">
        <f>RSI!B388</f>
        <v>5.6340000000000003</v>
      </c>
      <c r="C388" s="2">
        <f>RSI!I388</f>
        <v>71.623201311435551</v>
      </c>
      <c r="D388" s="2">
        <f>MACD!E388</f>
        <v>-0.15363890260761082</v>
      </c>
      <c r="E388" s="2">
        <f>MACD!F388</f>
        <v>-5.0258180817344338E-2</v>
      </c>
      <c r="F388" s="2">
        <f>'Moving Avg'!D388</f>
        <v>5.4366000000000003</v>
      </c>
      <c r="G388" s="2">
        <f>'Moving Avg'!F388</f>
        <v>5.0850999999999988</v>
      </c>
      <c r="H388" s="2">
        <f>'Moving Avg'!G388</f>
        <v>5.1609400000000019</v>
      </c>
      <c r="I388" s="2">
        <f>'Moving Avg'!H388</f>
        <v>5.2793999999999972</v>
      </c>
      <c r="J388" s="5" t="str">
        <f>OBV!F388</f>
        <v>BULLISH</v>
      </c>
      <c r="K388" s="5" t="str">
        <f>OBV!G388</f>
        <v>WEAK</v>
      </c>
      <c r="L388" s="5" t="str">
        <f>OBV!H388</f>
        <v>CONFIRMED BULLISH</v>
      </c>
      <c r="M388" s="7">
        <f t="shared" si="63"/>
        <v>0</v>
      </c>
      <c r="N388" s="7">
        <f t="shared" si="60"/>
        <v>100</v>
      </c>
      <c r="O388" s="7">
        <f t="shared" si="61"/>
        <v>50</v>
      </c>
      <c r="P388" s="7">
        <f t="shared" si="62"/>
        <v>67</v>
      </c>
      <c r="Q388" s="8">
        <f t="shared" si="64"/>
        <v>52.55</v>
      </c>
      <c r="R388" s="8">
        <f t="shared" si="65"/>
        <v>54.25</v>
      </c>
      <c r="S388" s="8">
        <f t="shared" si="66"/>
        <v>57.650000000000006</v>
      </c>
      <c r="T388" s="8">
        <f t="shared" si="67"/>
        <v>54.25</v>
      </c>
      <c r="U388" s="7">
        <f t="shared" si="68"/>
        <v>54.816666666666663</v>
      </c>
      <c r="V388" s="7">
        <f t="shared" si="69"/>
        <v>54.674999999999997</v>
      </c>
    </row>
    <row r="389" spans="1:22" ht="13.5" x14ac:dyDescent="0.25">
      <c r="A389" s="3">
        <f>RSI!A389</f>
        <v>45484</v>
      </c>
      <c r="B389" s="2">
        <f>RSI!B389</f>
        <v>5.8120000000000003</v>
      </c>
      <c r="C389" s="2">
        <f>RSI!I389</f>
        <v>75.564615929723828</v>
      </c>
      <c r="D389" s="2">
        <f>MACD!E389</f>
        <v>-0.23509923938571742</v>
      </c>
      <c r="E389" s="2">
        <f>MACD!F389</f>
        <v>-8.7226392531018965E-2</v>
      </c>
      <c r="F389" s="2">
        <f>'Moving Avg'!D389</f>
        <v>5.5473999999999997</v>
      </c>
      <c r="G389" s="2">
        <f>'Moving Avg'!F389</f>
        <v>5.1184499999999993</v>
      </c>
      <c r="H389" s="2">
        <f>'Moving Avg'!G389</f>
        <v>5.1707400000000003</v>
      </c>
      <c r="I389" s="2">
        <f>'Moving Avg'!H389</f>
        <v>5.279809999999995</v>
      </c>
      <c r="J389" s="5" t="str">
        <f>OBV!F389</f>
        <v>BULLISH</v>
      </c>
      <c r="K389" s="5" t="str">
        <f>OBV!G389</f>
        <v>WEAK</v>
      </c>
      <c r="L389" s="5" t="str">
        <f>OBV!H389</f>
        <v>CONFIRMED BULLISH</v>
      </c>
      <c r="M389" s="7">
        <f t="shared" si="63"/>
        <v>0</v>
      </c>
      <c r="N389" s="7">
        <f t="shared" si="60"/>
        <v>100</v>
      </c>
      <c r="O389" s="7">
        <f t="shared" si="61"/>
        <v>50</v>
      </c>
      <c r="P389" s="7">
        <f t="shared" si="62"/>
        <v>67</v>
      </c>
      <c r="Q389" s="8">
        <f t="shared" si="64"/>
        <v>52.55</v>
      </c>
      <c r="R389" s="8">
        <f t="shared" si="65"/>
        <v>54.25</v>
      </c>
      <c r="S389" s="8">
        <f t="shared" si="66"/>
        <v>57.650000000000006</v>
      </c>
      <c r="T389" s="8">
        <f t="shared" si="67"/>
        <v>54.25</v>
      </c>
      <c r="U389" s="7">
        <f t="shared" si="68"/>
        <v>54.816666666666663</v>
      </c>
      <c r="V389" s="7">
        <f t="shared" si="69"/>
        <v>54.674999999999997</v>
      </c>
    </row>
    <row r="390" spans="1:22" ht="13.5" x14ac:dyDescent="0.25">
      <c r="A390" s="3">
        <f>RSI!A390</f>
        <v>45485</v>
      </c>
      <c r="B390" s="2">
        <f>RSI!B390</f>
        <v>5.8780000000000001</v>
      </c>
      <c r="C390" s="2">
        <f>RSI!I390</f>
        <v>76.848641914767143</v>
      </c>
      <c r="D390" s="2">
        <f>MACD!E390</f>
        <v>-0.31277785948952452</v>
      </c>
      <c r="E390" s="2">
        <f>MACD!F390</f>
        <v>-0.13233668592272008</v>
      </c>
      <c r="F390" s="2">
        <f>'Moving Avg'!D390</f>
        <v>5.6432000000000002</v>
      </c>
      <c r="G390" s="2">
        <f>'Moving Avg'!F390</f>
        <v>5.1550999999999991</v>
      </c>
      <c r="H390" s="2">
        <f>'Moving Avg'!G390</f>
        <v>5.1818600000000012</v>
      </c>
      <c r="I390" s="2">
        <f>'Moving Avg'!H390</f>
        <v>5.2805499999999963</v>
      </c>
      <c r="J390" s="5" t="str">
        <f>OBV!F390</f>
        <v>BULLISH</v>
      </c>
      <c r="K390" s="5" t="str">
        <f>OBV!G390</f>
        <v>WEAK</v>
      </c>
      <c r="L390" s="5" t="str">
        <f>OBV!H390</f>
        <v>CONFIRMED BULLISH</v>
      </c>
      <c r="M390" s="7">
        <f t="shared" si="63"/>
        <v>0</v>
      </c>
      <c r="N390" s="7">
        <f t="shared" si="60"/>
        <v>100</v>
      </c>
      <c r="O390" s="7">
        <f t="shared" si="61"/>
        <v>50</v>
      </c>
      <c r="P390" s="7">
        <f t="shared" si="62"/>
        <v>67</v>
      </c>
      <c r="Q390" s="8">
        <f t="shared" si="64"/>
        <v>52.55</v>
      </c>
      <c r="R390" s="8">
        <f t="shared" si="65"/>
        <v>54.25</v>
      </c>
      <c r="S390" s="8">
        <f t="shared" si="66"/>
        <v>57.650000000000006</v>
      </c>
      <c r="T390" s="8">
        <f t="shared" si="67"/>
        <v>54.25</v>
      </c>
      <c r="U390" s="7">
        <f t="shared" si="68"/>
        <v>54.816666666666663</v>
      </c>
      <c r="V390" s="7">
        <f t="shared" si="69"/>
        <v>54.674999999999997</v>
      </c>
    </row>
    <row r="391" spans="1:22" ht="13.5" x14ac:dyDescent="0.25">
      <c r="A391" s="3">
        <f>RSI!A391</f>
        <v>45488</v>
      </c>
      <c r="B391" s="2">
        <f>RSI!B391</f>
        <v>5.9160000000000004</v>
      </c>
      <c r="C391" s="2">
        <f>RSI!I391</f>
        <v>77.579159828867404</v>
      </c>
      <c r="D391" s="2">
        <f>MACD!E391</f>
        <v>-0.38528643239718541</v>
      </c>
      <c r="E391" s="2">
        <f>MACD!F391</f>
        <v>-0.18292663521761315</v>
      </c>
      <c r="F391" s="2">
        <f>'Moving Avg'!D391</f>
        <v>5.7371999999999996</v>
      </c>
      <c r="G391" s="2">
        <f>'Moving Avg'!F391</f>
        <v>5.2002999999999986</v>
      </c>
      <c r="H391" s="2">
        <f>'Moving Avg'!G391</f>
        <v>5.1932000000000009</v>
      </c>
      <c r="I391" s="2">
        <f>'Moving Avg'!H391</f>
        <v>5.2815249999999967</v>
      </c>
      <c r="J391" s="5" t="str">
        <f>OBV!F391</f>
        <v>BULLISH</v>
      </c>
      <c r="K391" s="5" t="str">
        <f>OBV!G391</f>
        <v>WEAK</v>
      </c>
      <c r="L391" s="5" t="str">
        <f>OBV!H391</f>
        <v>CONFIRMED BULLISH</v>
      </c>
      <c r="M391" s="7">
        <f t="shared" si="63"/>
        <v>0</v>
      </c>
      <c r="N391" s="7">
        <f t="shared" si="60"/>
        <v>100</v>
      </c>
      <c r="O391" s="7">
        <f t="shared" si="61"/>
        <v>50</v>
      </c>
      <c r="P391" s="7">
        <f t="shared" si="62"/>
        <v>67</v>
      </c>
      <c r="Q391" s="8">
        <f t="shared" si="64"/>
        <v>52.55</v>
      </c>
      <c r="R391" s="8">
        <f t="shared" si="65"/>
        <v>54.25</v>
      </c>
      <c r="S391" s="8">
        <f t="shared" si="66"/>
        <v>57.650000000000006</v>
      </c>
      <c r="T391" s="8">
        <f t="shared" si="67"/>
        <v>54.25</v>
      </c>
      <c r="U391" s="7">
        <f t="shared" si="68"/>
        <v>54.816666666666663</v>
      </c>
      <c r="V391" s="7">
        <f t="shared" si="69"/>
        <v>54.674999999999997</v>
      </c>
    </row>
    <row r="392" spans="1:22" ht="13.5" x14ac:dyDescent="0.25">
      <c r="A392" s="3">
        <f>RSI!A392</f>
        <v>45489</v>
      </c>
      <c r="B392" s="2">
        <f>RSI!B392</f>
        <v>5.9630000000000001</v>
      </c>
      <c r="C392" s="2">
        <f>RSI!I392</f>
        <v>78.483486307155744</v>
      </c>
      <c r="D392" s="2">
        <f>MACD!E392</f>
        <v>-0.41447934356532734</v>
      </c>
      <c r="E392" s="2">
        <f>MACD!F392</f>
        <v>-0.229237176887156</v>
      </c>
      <c r="F392" s="2">
        <f>'Moving Avg'!D392</f>
        <v>5.8406000000000002</v>
      </c>
      <c r="G392" s="2">
        <f>'Moving Avg'!F392</f>
        <v>5.2544999999999984</v>
      </c>
      <c r="H392" s="2">
        <f>'Moving Avg'!G392</f>
        <v>5.2054800000000014</v>
      </c>
      <c r="I392" s="2">
        <f>'Moving Avg'!H392</f>
        <v>5.2828199999999974</v>
      </c>
      <c r="J392" s="5" t="str">
        <f>OBV!F392</f>
        <v>BULLISH</v>
      </c>
      <c r="K392" s="5" t="str">
        <f>OBV!G392</f>
        <v>WEAK</v>
      </c>
      <c r="L392" s="5" t="str">
        <f>OBV!H392</f>
        <v>CONFIRMED BULLISH</v>
      </c>
      <c r="M392" s="7">
        <f t="shared" si="63"/>
        <v>0</v>
      </c>
      <c r="N392" s="7">
        <f t="shared" si="60"/>
        <v>100</v>
      </c>
      <c r="O392" s="7">
        <f t="shared" si="61"/>
        <v>50</v>
      </c>
      <c r="P392" s="7">
        <f t="shared" si="62"/>
        <v>67</v>
      </c>
      <c r="Q392" s="8">
        <f t="shared" si="64"/>
        <v>52.55</v>
      </c>
      <c r="R392" s="8">
        <f t="shared" si="65"/>
        <v>54.25</v>
      </c>
      <c r="S392" s="8">
        <f t="shared" si="66"/>
        <v>57.650000000000006</v>
      </c>
      <c r="T392" s="8">
        <f t="shared" si="67"/>
        <v>54.25</v>
      </c>
      <c r="U392" s="7">
        <f t="shared" si="68"/>
        <v>54.816666666666663</v>
      </c>
      <c r="V392" s="7">
        <f t="shared" si="69"/>
        <v>54.674999999999997</v>
      </c>
    </row>
    <row r="393" spans="1:22" ht="13.5" x14ac:dyDescent="0.25">
      <c r="A393" s="3">
        <f>RSI!A393</f>
        <v>45490</v>
      </c>
      <c r="B393" s="2">
        <f>RSI!B393</f>
        <v>5.944</v>
      </c>
      <c r="C393" s="2">
        <f>RSI!I393</f>
        <v>77.12913218004131</v>
      </c>
      <c r="D393" s="2">
        <f>MACD!E393</f>
        <v>-0.42658228714646018</v>
      </c>
      <c r="E393" s="2">
        <f>MACD!F393</f>
        <v>-0.26870619893901687</v>
      </c>
      <c r="F393" s="2">
        <f>'Moving Avg'!D393</f>
        <v>5.9026000000000005</v>
      </c>
      <c r="G393" s="2">
        <f>'Moving Avg'!F393</f>
        <v>5.31</v>
      </c>
      <c r="H393" s="2">
        <f>'Moving Avg'!G393</f>
        <v>5.2181000000000006</v>
      </c>
      <c r="I393" s="2">
        <f>'Moving Avg'!H393</f>
        <v>5.283979999999997</v>
      </c>
      <c r="J393" s="5" t="str">
        <f>OBV!F393</f>
        <v>BULLISH</v>
      </c>
      <c r="K393" s="5" t="str">
        <f>OBV!G393</f>
        <v>WEAK</v>
      </c>
      <c r="L393" s="5" t="str">
        <f>OBV!H393</f>
        <v>CONFIRMED BULLISH</v>
      </c>
      <c r="M393" s="7">
        <f t="shared" si="63"/>
        <v>0</v>
      </c>
      <c r="N393" s="7">
        <f t="shared" si="60"/>
        <v>100</v>
      </c>
      <c r="O393" s="7">
        <f t="shared" si="61"/>
        <v>50</v>
      </c>
      <c r="P393" s="7">
        <f t="shared" si="62"/>
        <v>67</v>
      </c>
      <c r="Q393" s="8">
        <f t="shared" si="64"/>
        <v>52.55</v>
      </c>
      <c r="R393" s="8">
        <f t="shared" si="65"/>
        <v>54.25</v>
      </c>
      <c r="S393" s="8">
        <f t="shared" si="66"/>
        <v>57.650000000000006</v>
      </c>
      <c r="T393" s="8">
        <f t="shared" si="67"/>
        <v>54.25</v>
      </c>
      <c r="U393" s="7">
        <f t="shared" si="68"/>
        <v>54.816666666666663</v>
      </c>
      <c r="V393" s="7">
        <f t="shared" si="69"/>
        <v>54.674999999999997</v>
      </c>
    </row>
    <row r="394" spans="1:22" ht="13.5" x14ac:dyDescent="0.25">
      <c r="A394" s="3">
        <f>RSI!A394</f>
        <v>45491</v>
      </c>
      <c r="B394" s="2">
        <f>RSI!B394</f>
        <v>5.8869999999999996</v>
      </c>
      <c r="C394" s="2">
        <f>RSI!I394</f>
        <v>73.056113058660912</v>
      </c>
      <c r="D394" s="2">
        <f>MACD!E394</f>
        <v>-0.41870188924396956</v>
      </c>
      <c r="E394" s="2">
        <f>MACD!F394</f>
        <v>-0.2987053370000074</v>
      </c>
      <c r="F394" s="2">
        <f>'Moving Avg'!D394</f>
        <v>5.9176000000000002</v>
      </c>
      <c r="G394" s="2">
        <f>'Moving Avg'!F394</f>
        <v>5.3635000000000002</v>
      </c>
      <c r="H394" s="2">
        <f>'Moving Avg'!G394</f>
        <v>5.2295799999999995</v>
      </c>
      <c r="I394" s="2">
        <f>'Moving Avg'!H394</f>
        <v>5.284894999999997</v>
      </c>
      <c r="J394" s="5" t="str">
        <f>OBV!F394</f>
        <v>BULLISH</v>
      </c>
      <c r="K394" s="5" t="str">
        <f>OBV!G394</f>
        <v>WEAK</v>
      </c>
      <c r="L394" s="5" t="str">
        <f>OBV!H394</f>
        <v>CONFIRMED BULLISH</v>
      </c>
      <c r="M394" s="7">
        <f t="shared" si="63"/>
        <v>0</v>
      </c>
      <c r="N394" s="7">
        <f t="shared" si="60"/>
        <v>100</v>
      </c>
      <c r="O394" s="7">
        <f t="shared" si="61"/>
        <v>50</v>
      </c>
      <c r="P394" s="7">
        <f t="shared" si="62"/>
        <v>67</v>
      </c>
      <c r="Q394" s="8">
        <f t="shared" si="64"/>
        <v>52.55</v>
      </c>
      <c r="R394" s="8">
        <f t="shared" si="65"/>
        <v>54.25</v>
      </c>
      <c r="S394" s="8">
        <f t="shared" si="66"/>
        <v>57.650000000000006</v>
      </c>
      <c r="T394" s="8">
        <f t="shared" si="67"/>
        <v>54.25</v>
      </c>
      <c r="U394" s="7">
        <f t="shared" si="68"/>
        <v>54.816666666666663</v>
      </c>
      <c r="V394" s="7">
        <f t="shared" si="69"/>
        <v>54.674999999999997</v>
      </c>
    </row>
    <row r="395" spans="1:22" ht="13.5" x14ac:dyDescent="0.25">
      <c r="A395" s="3">
        <f>RSI!A395</f>
        <v>45492</v>
      </c>
      <c r="B395" s="2">
        <f>RSI!B395</f>
        <v>5.8869999999999996</v>
      </c>
      <c r="C395" s="2">
        <f>RSI!I395</f>
        <v>73.056113058660912</v>
      </c>
      <c r="D395" s="2">
        <f>MACD!E395</f>
        <v>-0.39323204029764192</v>
      </c>
      <c r="E395" s="2">
        <f>MACD!F395</f>
        <v>-0.31761067765953432</v>
      </c>
      <c r="F395" s="2">
        <f>'Moving Avg'!D395</f>
        <v>5.9194000000000004</v>
      </c>
      <c r="G395" s="2">
        <f>'Moving Avg'!F395</f>
        <v>5.402849999999999</v>
      </c>
      <c r="H395" s="2">
        <f>'Moving Avg'!G395</f>
        <v>5.2410599999999992</v>
      </c>
      <c r="I395" s="2">
        <f>'Moving Avg'!H395</f>
        <v>5.285809999999997</v>
      </c>
      <c r="J395" s="5" t="str">
        <f>OBV!F395</f>
        <v>BULLISH</v>
      </c>
      <c r="K395" s="5" t="str">
        <f>OBV!G395</f>
        <v>NEUTRAL</v>
      </c>
      <c r="L395" s="5" t="str">
        <f>OBV!H395</f>
        <v>CONFIRMED BULLISH</v>
      </c>
      <c r="M395" s="7">
        <f t="shared" si="63"/>
        <v>0</v>
      </c>
      <c r="N395" s="7">
        <f t="shared" si="60"/>
        <v>100</v>
      </c>
      <c r="O395" s="7">
        <f t="shared" si="61"/>
        <v>50</v>
      </c>
      <c r="P395" s="7">
        <f t="shared" si="62"/>
        <v>83.5</v>
      </c>
      <c r="Q395" s="8">
        <f t="shared" si="64"/>
        <v>55.024999999999999</v>
      </c>
      <c r="R395" s="8">
        <f t="shared" si="65"/>
        <v>58.375</v>
      </c>
      <c r="S395" s="8">
        <f t="shared" si="66"/>
        <v>65.075000000000003</v>
      </c>
      <c r="T395" s="8">
        <f t="shared" si="67"/>
        <v>58.375</v>
      </c>
      <c r="U395" s="7">
        <f t="shared" si="68"/>
        <v>59.491666666666674</v>
      </c>
      <c r="V395" s="7">
        <f t="shared" si="69"/>
        <v>59.212500000000006</v>
      </c>
    </row>
    <row r="396" spans="1:22" ht="13.5" x14ac:dyDescent="0.25">
      <c r="A396" s="3">
        <f>RSI!A396</f>
        <v>45495</v>
      </c>
      <c r="B396" s="2">
        <f>RSI!B396</f>
        <v>5.859</v>
      </c>
      <c r="C396" s="2">
        <f>RSI!I396</f>
        <v>70.922409754265558</v>
      </c>
      <c r="D396" s="2">
        <f>MACD!E396</f>
        <v>-0.36505216388331085</v>
      </c>
      <c r="E396" s="2">
        <f>MACD!F396</f>
        <v>-0.32709897490428969</v>
      </c>
      <c r="F396" s="2">
        <f>'Moving Avg'!D396</f>
        <v>5.9079999999999995</v>
      </c>
      <c r="G396" s="2">
        <f>'Moving Avg'!F396</f>
        <v>5.4407999999999994</v>
      </c>
      <c r="H396" s="2">
        <f>'Moving Avg'!G396</f>
        <v>5.2519799999999988</v>
      </c>
      <c r="I396" s="2">
        <f>'Moving Avg'!H396</f>
        <v>5.286584999999997</v>
      </c>
      <c r="J396" s="5" t="str">
        <f>OBV!F396</f>
        <v>BEARISH</v>
      </c>
      <c r="K396" s="5" t="str">
        <f>OBV!G396</f>
        <v>STRONG</v>
      </c>
      <c r="L396" s="5" t="str">
        <f>OBV!H396</f>
        <v>CONFIRMED BEARISH</v>
      </c>
      <c r="M396" s="7">
        <f t="shared" si="63"/>
        <v>0</v>
      </c>
      <c r="N396" s="7">
        <f t="shared" si="60"/>
        <v>100</v>
      </c>
      <c r="O396" s="7">
        <f t="shared" si="61"/>
        <v>50</v>
      </c>
      <c r="P396" s="7">
        <f t="shared" si="62"/>
        <v>33</v>
      </c>
      <c r="Q396" s="8">
        <f t="shared" si="64"/>
        <v>47.45</v>
      </c>
      <c r="R396" s="8">
        <f t="shared" si="65"/>
        <v>45.75</v>
      </c>
      <c r="S396" s="8">
        <f t="shared" si="66"/>
        <v>42.35</v>
      </c>
      <c r="T396" s="8">
        <f t="shared" si="67"/>
        <v>45.75</v>
      </c>
      <c r="U396" s="7">
        <f t="shared" si="68"/>
        <v>45.183333333333337</v>
      </c>
      <c r="V396" s="7">
        <f t="shared" si="69"/>
        <v>45.325000000000003</v>
      </c>
    </row>
    <row r="397" spans="1:22" ht="13.5" x14ac:dyDescent="0.25">
      <c r="A397" s="3">
        <f>RSI!A397</f>
        <v>45496</v>
      </c>
      <c r="B397" s="2">
        <f>RSI!B397</f>
        <v>5.859</v>
      </c>
      <c r="C397" s="2">
        <f>RSI!I397</f>
        <v>70.922409754265558</v>
      </c>
      <c r="D397" s="2">
        <f>MACD!E397</f>
        <v>-0.34352032721814219</v>
      </c>
      <c r="E397" s="2">
        <f>MACD!F397</f>
        <v>-0.33038324536706021</v>
      </c>
      <c r="F397" s="2">
        <f>'Moving Avg'!D397</f>
        <v>5.8872</v>
      </c>
      <c r="G397" s="2">
        <f>'Moving Avg'!F397</f>
        <v>5.4818499999999997</v>
      </c>
      <c r="H397" s="2">
        <f>'Moving Avg'!G397</f>
        <v>5.2628999999999984</v>
      </c>
      <c r="I397" s="2">
        <f>'Moving Avg'!H397</f>
        <v>5.2873599999999961</v>
      </c>
      <c r="J397" s="5" t="str">
        <f>OBV!F397</f>
        <v>BEARISH</v>
      </c>
      <c r="K397" s="5" t="str">
        <f>OBV!G397</f>
        <v>STRONG</v>
      </c>
      <c r="L397" s="5" t="str">
        <f>OBV!H397</f>
        <v>CONFIRMED BEARISH</v>
      </c>
      <c r="M397" s="7">
        <f t="shared" si="63"/>
        <v>0</v>
      </c>
      <c r="N397" s="7">
        <f t="shared" si="60"/>
        <v>45</v>
      </c>
      <c r="O397" s="7">
        <f t="shared" si="61"/>
        <v>50</v>
      </c>
      <c r="P397" s="7">
        <f t="shared" si="62"/>
        <v>33</v>
      </c>
      <c r="Q397" s="8">
        <f t="shared" si="64"/>
        <v>28.2</v>
      </c>
      <c r="R397" s="8">
        <f t="shared" si="65"/>
        <v>34.75</v>
      </c>
      <c r="S397" s="8">
        <f t="shared" si="66"/>
        <v>34.1</v>
      </c>
      <c r="T397" s="8">
        <f t="shared" si="67"/>
        <v>32</v>
      </c>
      <c r="U397" s="7">
        <f t="shared" si="68"/>
        <v>32.35</v>
      </c>
      <c r="V397" s="7">
        <f t="shared" si="69"/>
        <v>32.262500000000003</v>
      </c>
    </row>
    <row r="398" spans="1:22" ht="13.5" x14ac:dyDescent="0.25">
      <c r="A398" s="3">
        <f>RSI!A398</f>
        <v>45497</v>
      </c>
      <c r="B398" s="2">
        <f>RSI!B398</f>
        <v>5.9160000000000004</v>
      </c>
      <c r="C398" s="2">
        <f>RSI!I398</f>
        <v>72.798107186760944</v>
      </c>
      <c r="D398" s="2">
        <f>MACD!E398</f>
        <v>-0.30274159105918397</v>
      </c>
      <c r="E398" s="2">
        <f>MACD!F398</f>
        <v>-0.32485491450548498</v>
      </c>
      <c r="F398" s="2">
        <f>'Moving Avg'!D398</f>
        <v>5.8815999999999997</v>
      </c>
      <c r="G398" s="2">
        <f>'Moving Avg'!F398</f>
        <v>5.5332999999999988</v>
      </c>
      <c r="H398" s="2">
        <f>'Moving Avg'!G398</f>
        <v>5.2772599999999992</v>
      </c>
      <c r="I398" s="2">
        <f>'Moving Avg'!H398</f>
        <v>5.2883349999999965</v>
      </c>
      <c r="J398" s="5" t="str">
        <f>OBV!F398</f>
        <v>BEARISH</v>
      </c>
      <c r="K398" s="5" t="str">
        <f>OBV!G398</f>
        <v>STRONG</v>
      </c>
      <c r="L398" s="5" t="str">
        <f>OBV!H398</f>
        <v>CONFIRMED BEARISH</v>
      </c>
      <c r="M398" s="7">
        <f t="shared" si="63"/>
        <v>0</v>
      </c>
      <c r="N398" s="7">
        <f t="shared" si="60"/>
        <v>0</v>
      </c>
      <c r="O398" s="7">
        <f t="shared" si="61"/>
        <v>50</v>
      </c>
      <c r="P398" s="7">
        <f t="shared" si="62"/>
        <v>33</v>
      </c>
      <c r="Q398" s="8">
        <f t="shared" si="64"/>
        <v>12.45</v>
      </c>
      <c r="R398" s="8">
        <f t="shared" si="65"/>
        <v>25.75</v>
      </c>
      <c r="S398" s="8">
        <f t="shared" si="66"/>
        <v>27.35</v>
      </c>
      <c r="T398" s="8">
        <f t="shared" si="67"/>
        <v>20.75</v>
      </c>
      <c r="U398" s="7">
        <f t="shared" si="68"/>
        <v>21.850000000000005</v>
      </c>
      <c r="V398" s="7">
        <f t="shared" si="69"/>
        <v>21.575000000000003</v>
      </c>
    </row>
    <row r="399" spans="1:22" ht="13.5" x14ac:dyDescent="0.25">
      <c r="A399" s="3">
        <f>RSI!A399</f>
        <v>45499</v>
      </c>
      <c r="B399" s="2">
        <f>RSI!B399</f>
        <v>5.8970000000000002</v>
      </c>
      <c r="C399" s="2">
        <f>RSI!I399</f>
        <v>71.150529369875699</v>
      </c>
      <c r="D399" s="2">
        <f>MACD!E399</f>
        <v>-0.24176404459778755</v>
      </c>
      <c r="E399" s="2">
        <f>MACD!F399</f>
        <v>-0.30823674052394551</v>
      </c>
      <c r="F399" s="2">
        <f>'Moving Avg'!D399</f>
        <v>5.8835999999999995</v>
      </c>
      <c r="G399" s="2">
        <f>'Moving Avg'!F399</f>
        <v>5.5886499999999995</v>
      </c>
      <c r="H399" s="2">
        <f>'Moving Avg'!G399</f>
        <v>5.2931999999999997</v>
      </c>
      <c r="I399" s="2">
        <f>'Moving Avg'!H399</f>
        <v>5.2893899999999965</v>
      </c>
      <c r="J399" s="5" t="str">
        <f>OBV!F399</f>
        <v>BEARISH</v>
      </c>
      <c r="K399" s="5" t="str">
        <f>OBV!G399</f>
        <v>STRONG</v>
      </c>
      <c r="L399" s="5" t="str">
        <f>OBV!H399</f>
        <v>BEARISH DIVERGENCE</v>
      </c>
      <c r="M399" s="7">
        <f t="shared" si="63"/>
        <v>0</v>
      </c>
      <c r="N399" s="7">
        <f t="shared" si="60"/>
        <v>0</v>
      </c>
      <c r="O399" s="7">
        <f t="shared" si="61"/>
        <v>50</v>
      </c>
      <c r="P399" s="7">
        <f t="shared" si="62"/>
        <v>33</v>
      </c>
      <c r="Q399" s="8">
        <f t="shared" si="64"/>
        <v>12.45</v>
      </c>
      <c r="R399" s="8">
        <f t="shared" si="65"/>
        <v>25.75</v>
      </c>
      <c r="S399" s="8">
        <f t="shared" si="66"/>
        <v>27.35</v>
      </c>
      <c r="T399" s="8">
        <f t="shared" si="67"/>
        <v>20.75</v>
      </c>
      <c r="U399" s="7">
        <f t="shared" si="68"/>
        <v>21.850000000000005</v>
      </c>
      <c r="V399" s="7">
        <f t="shared" si="69"/>
        <v>21.575000000000003</v>
      </c>
    </row>
    <row r="400" spans="1:22" ht="13.5" x14ac:dyDescent="0.25">
      <c r="A400" s="3">
        <f>RSI!A400</f>
        <v>45502</v>
      </c>
      <c r="B400" s="2">
        <f>RSI!B400</f>
        <v>5.8970000000000002</v>
      </c>
      <c r="C400" s="2">
        <f>RSI!I400</f>
        <v>71.150529369875699</v>
      </c>
      <c r="D400" s="2">
        <f>MACD!E400</f>
        <v>-0.18204928261694686</v>
      </c>
      <c r="E400" s="2">
        <f>MACD!F400</f>
        <v>-0.2829992489425458</v>
      </c>
      <c r="F400" s="2">
        <f>'Moving Avg'!D400</f>
        <v>5.8855999999999993</v>
      </c>
      <c r="G400" s="2">
        <f>'Moving Avg'!F400</f>
        <v>5.6440000000000001</v>
      </c>
      <c r="H400" s="2">
        <f>'Moving Avg'!G400</f>
        <v>5.3046999999999995</v>
      </c>
      <c r="I400" s="2">
        <f>'Moving Avg'!H400</f>
        <v>5.2904449999999947</v>
      </c>
      <c r="J400" s="5" t="str">
        <f>OBV!F400</f>
        <v>BEARISH</v>
      </c>
      <c r="K400" s="5" t="str">
        <f>OBV!G400</f>
        <v>STRONG</v>
      </c>
      <c r="L400" s="5" t="str">
        <f>OBV!H400</f>
        <v>BEARISH DIVERGENCE</v>
      </c>
      <c r="M400" s="7">
        <f t="shared" si="63"/>
        <v>0</v>
      </c>
      <c r="N400" s="7">
        <f t="shared" si="60"/>
        <v>0</v>
      </c>
      <c r="O400" s="7">
        <f t="shared" si="61"/>
        <v>50</v>
      </c>
      <c r="P400" s="7">
        <f t="shared" si="62"/>
        <v>33</v>
      </c>
      <c r="Q400" s="8">
        <f t="shared" si="64"/>
        <v>12.45</v>
      </c>
      <c r="R400" s="8">
        <f t="shared" si="65"/>
        <v>25.75</v>
      </c>
      <c r="S400" s="8">
        <f t="shared" si="66"/>
        <v>27.35</v>
      </c>
      <c r="T400" s="8">
        <f t="shared" si="67"/>
        <v>20.75</v>
      </c>
      <c r="U400" s="7">
        <f t="shared" si="68"/>
        <v>21.850000000000005</v>
      </c>
      <c r="V400" s="7">
        <f t="shared" si="69"/>
        <v>21.575000000000003</v>
      </c>
    </row>
    <row r="401" spans="1:22" ht="13.5" x14ac:dyDescent="0.25">
      <c r="A401" s="3">
        <f>RSI!A401</f>
        <v>45503</v>
      </c>
      <c r="B401" s="2">
        <f>RSI!B401</f>
        <v>5.8220000000000001</v>
      </c>
      <c r="C401" s="2">
        <f>RSI!I401</f>
        <v>64.470701471871507</v>
      </c>
      <c r="D401" s="2">
        <f>MACD!E401</f>
        <v>-0.12200439180441336</v>
      </c>
      <c r="E401" s="2">
        <f>MACD!F401</f>
        <v>-0.25080027751491929</v>
      </c>
      <c r="F401" s="2">
        <f>'Moving Avg'!D401</f>
        <v>5.8782000000000005</v>
      </c>
      <c r="G401" s="2">
        <f>'Moving Avg'!F401</f>
        <v>5.6955999999999998</v>
      </c>
      <c r="H401" s="2">
        <f>'Moving Avg'!G401</f>
        <v>5.3141599999999993</v>
      </c>
      <c r="I401" s="2">
        <f>'Moving Avg'!H401</f>
        <v>5.2911249999999947</v>
      </c>
      <c r="J401" s="5" t="str">
        <f>OBV!F401</f>
        <v>BEARISH</v>
      </c>
      <c r="K401" s="5" t="str">
        <f>OBV!G401</f>
        <v>STRONG</v>
      </c>
      <c r="L401" s="5" t="str">
        <f>OBV!H401</f>
        <v>CONFIRMED BEARISH</v>
      </c>
      <c r="M401" s="7">
        <f t="shared" si="63"/>
        <v>50</v>
      </c>
      <c r="N401" s="7">
        <f t="shared" si="60"/>
        <v>0</v>
      </c>
      <c r="O401" s="7">
        <f t="shared" si="61"/>
        <v>50</v>
      </c>
      <c r="P401" s="7">
        <f t="shared" si="62"/>
        <v>33</v>
      </c>
      <c r="Q401" s="8">
        <f t="shared" si="64"/>
        <v>29.95</v>
      </c>
      <c r="R401" s="8">
        <f t="shared" si="65"/>
        <v>35.75</v>
      </c>
      <c r="S401" s="8">
        <f t="shared" si="66"/>
        <v>34.85</v>
      </c>
      <c r="T401" s="8">
        <f t="shared" si="67"/>
        <v>33.25</v>
      </c>
      <c r="U401" s="7">
        <f t="shared" si="68"/>
        <v>33.516666666666673</v>
      </c>
      <c r="V401" s="7">
        <f t="shared" si="69"/>
        <v>33.450000000000003</v>
      </c>
    </row>
    <row r="402" spans="1:22" ht="13.5" x14ac:dyDescent="0.25">
      <c r="A402" s="3">
        <f>RSI!A402</f>
        <v>45504</v>
      </c>
      <c r="B402" s="2">
        <f>RSI!B402</f>
        <v>5.9160000000000004</v>
      </c>
      <c r="C402" s="2">
        <f>RSI!I402</f>
        <v>68.466557208543151</v>
      </c>
      <c r="D402" s="2">
        <f>MACD!E402</f>
        <v>-7.2231279152949135E-2</v>
      </c>
      <c r="E402" s="2">
        <f>MACD!F402</f>
        <v>-0.21508647784252527</v>
      </c>
      <c r="F402" s="2">
        <f>'Moving Avg'!D402</f>
        <v>5.8895999999999997</v>
      </c>
      <c r="G402" s="2">
        <f>'Moving Avg'!F402</f>
        <v>5.7390499999999998</v>
      </c>
      <c r="H402" s="2">
        <f>'Moving Avg'!G402</f>
        <v>5.3256799999999984</v>
      </c>
      <c r="I402" s="2">
        <f>'Moving Avg'!H402</f>
        <v>5.2922299999999947</v>
      </c>
      <c r="J402" s="5" t="str">
        <f>OBV!F402</f>
        <v>BEARISH</v>
      </c>
      <c r="K402" s="5" t="str">
        <f>OBV!G402</f>
        <v>NEUTRAL</v>
      </c>
      <c r="L402" s="5" t="str">
        <f>OBV!H402</f>
        <v>BEARISH DIVERGENCE</v>
      </c>
      <c r="M402" s="7">
        <f t="shared" si="63"/>
        <v>50</v>
      </c>
      <c r="N402" s="7">
        <f t="shared" si="60"/>
        <v>0</v>
      </c>
      <c r="O402" s="7">
        <f t="shared" si="61"/>
        <v>50</v>
      </c>
      <c r="P402" s="7">
        <f t="shared" si="62"/>
        <v>16.5</v>
      </c>
      <c r="Q402" s="8">
        <f t="shared" si="64"/>
        <v>27.475000000000001</v>
      </c>
      <c r="R402" s="8">
        <f t="shared" si="65"/>
        <v>31.625</v>
      </c>
      <c r="S402" s="8">
        <f t="shared" si="66"/>
        <v>27.425000000000001</v>
      </c>
      <c r="T402" s="8">
        <f t="shared" si="67"/>
        <v>29.125</v>
      </c>
      <c r="U402" s="7">
        <f t="shared" si="68"/>
        <v>28.841666666666669</v>
      </c>
      <c r="V402" s="7">
        <f t="shared" si="69"/>
        <v>28.912500000000001</v>
      </c>
    </row>
    <row r="403" spans="1:22" ht="13.5" x14ac:dyDescent="0.25">
      <c r="A403" s="3">
        <f>RSI!A403</f>
        <v>45505</v>
      </c>
      <c r="B403" s="2">
        <f>RSI!B403</f>
        <v>5.9160000000000004</v>
      </c>
      <c r="C403" s="2">
        <f>RSI!I403</f>
        <v>68.466557208543151</v>
      </c>
      <c r="D403" s="2">
        <f>MACD!E403</f>
        <v>-3.4799566629403422E-2</v>
      </c>
      <c r="E403" s="2">
        <f>MACD!F403</f>
        <v>-0.17902909559990093</v>
      </c>
      <c r="F403" s="2">
        <f>'Moving Avg'!D403</f>
        <v>5.8895999999999997</v>
      </c>
      <c r="G403" s="2">
        <f>'Moving Avg'!F403</f>
        <v>5.7775999999999996</v>
      </c>
      <c r="H403" s="2">
        <f>'Moving Avg'!G403</f>
        <v>5.3371999999999993</v>
      </c>
      <c r="I403" s="2">
        <f>'Moving Avg'!H403</f>
        <v>5.2933349999999955</v>
      </c>
      <c r="J403" s="5" t="str">
        <f>OBV!F403</f>
        <v>BEARISH</v>
      </c>
      <c r="K403" s="5" t="str">
        <f>OBV!G403</f>
        <v>STRONG</v>
      </c>
      <c r="L403" s="5" t="str">
        <f>OBV!H403</f>
        <v>NEUTRAL</v>
      </c>
      <c r="M403" s="7">
        <f t="shared" si="63"/>
        <v>50</v>
      </c>
      <c r="N403" s="7">
        <f t="shared" si="60"/>
        <v>0</v>
      </c>
      <c r="O403" s="7">
        <f t="shared" si="61"/>
        <v>50</v>
      </c>
      <c r="P403" s="7">
        <f t="shared" si="62"/>
        <v>33</v>
      </c>
      <c r="Q403" s="8">
        <f t="shared" si="64"/>
        <v>29.95</v>
      </c>
      <c r="R403" s="8">
        <f t="shared" si="65"/>
        <v>35.75</v>
      </c>
      <c r="S403" s="8">
        <f t="shared" si="66"/>
        <v>34.85</v>
      </c>
      <c r="T403" s="8">
        <f t="shared" si="67"/>
        <v>33.25</v>
      </c>
      <c r="U403" s="7">
        <f t="shared" si="68"/>
        <v>33.516666666666673</v>
      </c>
      <c r="V403" s="7">
        <f t="shared" si="69"/>
        <v>33.450000000000003</v>
      </c>
    </row>
    <row r="404" spans="1:22" ht="13.5" x14ac:dyDescent="0.25">
      <c r="A404" s="3">
        <f>RSI!A404</f>
        <v>45506</v>
      </c>
      <c r="B404" s="2">
        <f>RSI!B404</f>
        <v>5.8970000000000002</v>
      </c>
      <c r="C404" s="2">
        <f>RSI!I404</f>
        <v>66.70784336646048</v>
      </c>
      <c r="D404" s="2">
        <f>MACD!E404</f>
        <v>-1.2118885118028722E-2</v>
      </c>
      <c r="E404" s="2">
        <f>MACD!F404</f>
        <v>-0.1456470535035265</v>
      </c>
      <c r="F404" s="2">
        <f>'Moving Avg'!D404</f>
        <v>5.8895999999999997</v>
      </c>
      <c r="G404" s="2">
        <f>'Moving Avg'!F404</f>
        <v>5.8095499999999998</v>
      </c>
      <c r="H404" s="2">
        <f>'Moving Avg'!G404</f>
        <v>5.3486999999999991</v>
      </c>
      <c r="I404" s="2">
        <f>'Moving Avg'!H404</f>
        <v>5.2943449999999954</v>
      </c>
      <c r="J404" s="5" t="str">
        <f>OBV!F404</f>
        <v>BEARISH</v>
      </c>
      <c r="K404" s="5" t="str">
        <f>OBV!G404</f>
        <v>STRONG</v>
      </c>
      <c r="L404" s="5" t="str">
        <f>OBV!H404</f>
        <v>NEUTRAL</v>
      </c>
      <c r="M404" s="7">
        <f t="shared" si="63"/>
        <v>50</v>
      </c>
      <c r="N404" s="7">
        <f t="shared" si="60"/>
        <v>0</v>
      </c>
      <c r="O404" s="7">
        <f t="shared" si="61"/>
        <v>50</v>
      </c>
      <c r="P404" s="7">
        <f t="shared" si="62"/>
        <v>33</v>
      </c>
      <c r="Q404" s="8">
        <f t="shared" si="64"/>
        <v>29.95</v>
      </c>
      <c r="R404" s="8">
        <f t="shared" si="65"/>
        <v>35.75</v>
      </c>
      <c r="S404" s="8">
        <f t="shared" si="66"/>
        <v>34.85</v>
      </c>
      <c r="T404" s="8">
        <f t="shared" si="67"/>
        <v>33.25</v>
      </c>
      <c r="U404" s="7">
        <f t="shared" si="68"/>
        <v>33.516666666666673</v>
      </c>
      <c r="V404" s="7">
        <f t="shared" si="69"/>
        <v>33.450000000000003</v>
      </c>
    </row>
    <row r="405" spans="1:22" ht="13.5" x14ac:dyDescent="0.25">
      <c r="A405" s="3">
        <f>RSI!A405</f>
        <v>45509</v>
      </c>
      <c r="B405" s="2">
        <f>RSI!B405</f>
        <v>5.8780000000000001</v>
      </c>
      <c r="C405" s="2">
        <f>RSI!I405</f>
        <v>64.912169350557662</v>
      </c>
      <c r="D405" s="2">
        <f>MACD!E405</f>
        <v>7.0824338452206703E-3</v>
      </c>
      <c r="E405" s="2">
        <f>MACD!F405</f>
        <v>-0.11510115603377707</v>
      </c>
      <c r="F405" s="2">
        <f>'Moving Avg'!D405</f>
        <v>5.8858000000000006</v>
      </c>
      <c r="G405" s="2">
        <f>'Moving Avg'!F405</f>
        <v>5.8335000000000008</v>
      </c>
      <c r="H405" s="2">
        <f>'Moving Avg'!G405</f>
        <v>5.35982</v>
      </c>
      <c r="I405" s="2">
        <f>'Moving Avg'!H405</f>
        <v>5.2953499999999956</v>
      </c>
      <c r="J405" s="5" t="str">
        <f>OBV!F405</f>
        <v>BEARISH</v>
      </c>
      <c r="K405" s="5" t="str">
        <f>OBV!G405</f>
        <v>STRONG</v>
      </c>
      <c r="L405" s="5" t="str">
        <f>OBV!H405</f>
        <v>CONFIRMED BEARISH</v>
      </c>
      <c r="M405" s="7">
        <f t="shared" si="63"/>
        <v>50</v>
      </c>
      <c r="N405" s="7">
        <f t="shared" si="60"/>
        <v>0</v>
      </c>
      <c r="O405" s="7">
        <f t="shared" si="61"/>
        <v>50</v>
      </c>
      <c r="P405" s="7">
        <f t="shared" si="62"/>
        <v>33</v>
      </c>
      <c r="Q405" s="8">
        <f t="shared" si="64"/>
        <v>29.95</v>
      </c>
      <c r="R405" s="8">
        <f t="shared" si="65"/>
        <v>35.75</v>
      </c>
      <c r="S405" s="8">
        <f t="shared" si="66"/>
        <v>34.85</v>
      </c>
      <c r="T405" s="8">
        <f t="shared" si="67"/>
        <v>33.25</v>
      </c>
      <c r="U405" s="7">
        <f t="shared" si="68"/>
        <v>33.516666666666673</v>
      </c>
      <c r="V405" s="7">
        <f t="shared" si="69"/>
        <v>33.450000000000003</v>
      </c>
    </row>
    <row r="406" spans="1:22" ht="13.5" x14ac:dyDescent="0.25">
      <c r="A406" s="3">
        <f>RSI!A406</f>
        <v>45510</v>
      </c>
      <c r="B406" s="2">
        <f>RSI!B406</f>
        <v>5.8120000000000003</v>
      </c>
      <c r="C406" s="2">
        <f>RSI!I406</f>
        <v>58.973582320010955</v>
      </c>
      <c r="D406" s="2">
        <f>MACD!E406</f>
        <v>2.2729251450670063E-2</v>
      </c>
      <c r="E406" s="2">
        <f>MACD!F406</f>
        <v>-8.753507453688765E-2</v>
      </c>
      <c r="F406" s="2">
        <f>'Moving Avg'!D406</f>
        <v>5.8837999999999999</v>
      </c>
      <c r="G406" s="2">
        <f>'Moving Avg'!F406</f>
        <v>5.8518000000000008</v>
      </c>
      <c r="H406" s="2">
        <f>'Moving Avg'!G406</f>
        <v>5.3713999999999995</v>
      </c>
      <c r="I406" s="2">
        <f>'Moving Avg'!H406</f>
        <v>5.2960249999999967</v>
      </c>
      <c r="J406" s="5" t="str">
        <f>OBV!F406</f>
        <v>BEARISH</v>
      </c>
      <c r="K406" s="5" t="str">
        <f>OBV!G406</f>
        <v>STRONG</v>
      </c>
      <c r="L406" s="5" t="str">
        <f>OBV!H406</f>
        <v>CONFIRMED BEARISH</v>
      </c>
      <c r="M406" s="7">
        <f t="shared" si="63"/>
        <v>50</v>
      </c>
      <c r="N406" s="7">
        <f t="shared" si="60"/>
        <v>0</v>
      </c>
      <c r="O406" s="7">
        <f t="shared" si="61"/>
        <v>50</v>
      </c>
      <c r="P406" s="7">
        <f t="shared" si="62"/>
        <v>33</v>
      </c>
      <c r="Q406" s="8">
        <f t="shared" si="64"/>
        <v>29.95</v>
      </c>
      <c r="R406" s="8">
        <f t="shared" si="65"/>
        <v>35.75</v>
      </c>
      <c r="S406" s="8">
        <f t="shared" si="66"/>
        <v>34.85</v>
      </c>
      <c r="T406" s="8">
        <f t="shared" si="67"/>
        <v>33.25</v>
      </c>
      <c r="U406" s="7">
        <f t="shared" si="68"/>
        <v>33.516666666666673</v>
      </c>
      <c r="V406" s="7">
        <f t="shared" si="69"/>
        <v>33.450000000000003</v>
      </c>
    </row>
    <row r="407" spans="1:22" ht="13.5" x14ac:dyDescent="0.25">
      <c r="A407" s="3">
        <f>RSI!A407</f>
        <v>45511</v>
      </c>
      <c r="B407" s="2">
        <f>RSI!B407</f>
        <v>5.8120000000000003</v>
      </c>
      <c r="C407" s="2">
        <f>RSI!I407</f>
        <v>58.973582320010948</v>
      </c>
      <c r="D407" s="2">
        <f>MACD!E407</f>
        <v>3.5264743860058623E-2</v>
      </c>
      <c r="E407" s="2">
        <f>MACD!F407</f>
        <v>-6.2975110857498406E-2</v>
      </c>
      <c r="F407" s="2">
        <f>'Moving Avg'!D407</f>
        <v>5.8630000000000013</v>
      </c>
      <c r="G407" s="2">
        <f>'Moving Avg'!F407</f>
        <v>5.8701000000000008</v>
      </c>
      <c r="H407" s="2">
        <f>'Moving Avg'!G407</f>
        <v>5.3829799999999999</v>
      </c>
      <c r="I407" s="2">
        <f>'Moving Avg'!H407</f>
        <v>5.2966099999999958</v>
      </c>
      <c r="J407" s="5" t="str">
        <f>OBV!F407</f>
        <v>BEARISH</v>
      </c>
      <c r="K407" s="5" t="str">
        <f>OBV!G407</f>
        <v>STRONG</v>
      </c>
      <c r="L407" s="5" t="str">
        <f>OBV!H407</f>
        <v>CONFIRMED BEARISH</v>
      </c>
      <c r="M407" s="7">
        <f t="shared" si="63"/>
        <v>50</v>
      </c>
      <c r="N407" s="7">
        <f t="shared" si="60"/>
        <v>0</v>
      </c>
      <c r="O407" s="7">
        <f t="shared" si="61"/>
        <v>50</v>
      </c>
      <c r="P407" s="7">
        <f t="shared" si="62"/>
        <v>33</v>
      </c>
      <c r="Q407" s="8">
        <f t="shared" si="64"/>
        <v>29.95</v>
      </c>
      <c r="R407" s="8">
        <f t="shared" si="65"/>
        <v>35.75</v>
      </c>
      <c r="S407" s="8">
        <f t="shared" si="66"/>
        <v>34.85</v>
      </c>
      <c r="T407" s="8">
        <f t="shared" si="67"/>
        <v>33.25</v>
      </c>
      <c r="U407" s="7">
        <f t="shared" si="68"/>
        <v>33.516666666666673</v>
      </c>
      <c r="V407" s="7">
        <f t="shared" si="69"/>
        <v>33.450000000000003</v>
      </c>
    </row>
    <row r="408" spans="1:22" ht="13.5" x14ac:dyDescent="0.25">
      <c r="A408" s="3">
        <f>RSI!A408</f>
        <v>45512</v>
      </c>
      <c r="B408" s="2">
        <f>RSI!B408</f>
        <v>5.8120000000000003</v>
      </c>
      <c r="C408" s="2">
        <f>RSI!I408</f>
        <v>58.973582320010955</v>
      </c>
      <c r="D408" s="2">
        <f>MACD!E408</f>
        <v>5.3988964478698165E-2</v>
      </c>
      <c r="E408" s="2">
        <f>MACD!F408</f>
        <v>-3.9582295790259091E-2</v>
      </c>
      <c r="F408" s="2">
        <f>'Moving Avg'!D408</f>
        <v>5.8422000000000001</v>
      </c>
      <c r="G408" s="2">
        <f>'Moving Avg'!F408</f>
        <v>5.8790000000000004</v>
      </c>
      <c r="H408" s="2">
        <f>'Moving Avg'!G408</f>
        <v>5.3945599999999994</v>
      </c>
      <c r="I408" s="2">
        <f>'Moving Avg'!H408</f>
        <v>5.297284999999996</v>
      </c>
      <c r="J408" s="5" t="str">
        <f>OBV!F408</f>
        <v>BEARISH</v>
      </c>
      <c r="K408" s="5" t="str">
        <f>OBV!G408</f>
        <v>STRONG</v>
      </c>
      <c r="L408" s="5" t="str">
        <f>OBV!H408</f>
        <v>CONFIRMED BEARISH</v>
      </c>
      <c r="M408" s="7">
        <f t="shared" si="63"/>
        <v>50</v>
      </c>
      <c r="N408" s="7">
        <f t="shared" si="60"/>
        <v>0</v>
      </c>
      <c r="O408" s="7">
        <f t="shared" si="61"/>
        <v>50</v>
      </c>
      <c r="P408" s="7">
        <f t="shared" si="62"/>
        <v>33</v>
      </c>
      <c r="Q408" s="8">
        <f t="shared" si="64"/>
        <v>29.95</v>
      </c>
      <c r="R408" s="8">
        <f t="shared" si="65"/>
        <v>35.75</v>
      </c>
      <c r="S408" s="8">
        <f t="shared" si="66"/>
        <v>34.85</v>
      </c>
      <c r="T408" s="8">
        <f t="shared" si="67"/>
        <v>33.25</v>
      </c>
      <c r="U408" s="7">
        <f t="shared" si="68"/>
        <v>33.516666666666673</v>
      </c>
      <c r="V408" s="7">
        <f t="shared" si="69"/>
        <v>33.450000000000003</v>
      </c>
    </row>
    <row r="409" spans="1:22" ht="13.5" x14ac:dyDescent="0.25">
      <c r="A409" s="3">
        <f>RSI!A409</f>
        <v>45513</v>
      </c>
      <c r="B409" s="2">
        <f>RSI!B409</f>
        <v>5.8120000000000003</v>
      </c>
      <c r="C409" s="2">
        <f>RSI!I409</f>
        <v>58.973582320010955</v>
      </c>
      <c r="D409" s="2">
        <f>MACD!E409</f>
        <v>6.6305787305508623E-2</v>
      </c>
      <c r="E409" s="2">
        <f>MACD!F409</f>
        <v>-1.840467917110555E-2</v>
      </c>
      <c r="F409" s="2">
        <f>'Moving Avg'!D409</f>
        <v>5.8252000000000006</v>
      </c>
      <c r="G409" s="2">
        <f>'Moving Avg'!F409</f>
        <v>5.8789999999999996</v>
      </c>
      <c r="H409" s="2">
        <f>'Moving Avg'!G409</f>
        <v>5.4096799999999998</v>
      </c>
      <c r="I409" s="2">
        <f>'Moving Avg'!H409</f>
        <v>5.2979599999999962</v>
      </c>
      <c r="J409" s="5" t="str">
        <f>OBV!F409</f>
        <v>BEARISH</v>
      </c>
      <c r="K409" s="5" t="str">
        <f>OBV!G409</f>
        <v>STRONG</v>
      </c>
      <c r="L409" s="5" t="str">
        <f>OBV!H409</f>
        <v>CONFIRMED BEARISH</v>
      </c>
      <c r="M409" s="7">
        <f t="shared" si="63"/>
        <v>50</v>
      </c>
      <c r="N409" s="7">
        <f t="shared" si="60"/>
        <v>0</v>
      </c>
      <c r="O409" s="7">
        <f t="shared" si="61"/>
        <v>50</v>
      </c>
      <c r="P409" s="7">
        <f t="shared" si="62"/>
        <v>33</v>
      </c>
      <c r="Q409" s="8">
        <f t="shared" si="64"/>
        <v>29.95</v>
      </c>
      <c r="R409" s="8">
        <f t="shared" si="65"/>
        <v>35.75</v>
      </c>
      <c r="S409" s="8">
        <f t="shared" si="66"/>
        <v>34.85</v>
      </c>
      <c r="T409" s="8">
        <f t="shared" si="67"/>
        <v>33.25</v>
      </c>
      <c r="U409" s="7">
        <f t="shared" si="68"/>
        <v>33.516666666666673</v>
      </c>
      <c r="V409" s="7">
        <f t="shared" si="69"/>
        <v>33.450000000000003</v>
      </c>
    </row>
    <row r="410" spans="1:22" ht="13.5" x14ac:dyDescent="0.25">
      <c r="A410" s="3">
        <f>RSI!A410</f>
        <v>45516</v>
      </c>
      <c r="B410" s="2">
        <f>RSI!B410</f>
        <v>5.7839999999999998</v>
      </c>
      <c r="C410" s="2">
        <f>RSI!I410</f>
        <v>56.047631027292624</v>
      </c>
      <c r="D410" s="2">
        <f>MACD!E410</f>
        <v>7.8242833254655864E-2</v>
      </c>
      <c r="E410" s="2">
        <f>MACD!F410</f>
        <v>9.2482331404673129E-4</v>
      </c>
      <c r="F410" s="2">
        <f>'Moving Avg'!D410</f>
        <v>5.8064</v>
      </c>
      <c r="G410" s="2">
        <f>'Moving Avg'!F410</f>
        <v>5.8742999999999999</v>
      </c>
      <c r="H410" s="2">
        <f>'Moving Avg'!G410</f>
        <v>5.4224600000000001</v>
      </c>
      <c r="I410" s="2">
        <f>'Moving Avg'!H410</f>
        <v>5.2984949999999973</v>
      </c>
      <c r="J410" s="5" t="str">
        <f>OBV!F410</f>
        <v>BEARISH</v>
      </c>
      <c r="K410" s="5" t="str">
        <f>OBV!G410</f>
        <v>STRONG</v>
      </c>
      <c r="L410" s="5" t="str">
        <f>OBV!H410</f>
        <v>CONFIRMED BEARISH</v>
      </c>
      <c r="M410" s="7">
        <f t="shared" si="63"/>
        <v>50</v>
      </c>
      <c r="N410" s="7">
        <f t="shared" si="60"/>
        <v>0</v>
      </c>
      <c r="O410" s="7">
        <f t="shared" si="61"/>
        <v>50</v>
      </c>
      <c r="P410" s="7">
        <f t="shared" si="62"/>
        <v>33</v>
      </c>
      <c r="Q410" s="8">
        <f t="shared" si="64"/>
        <v>29.95</v>
      </c>
      <c r="R410" s="8">
        <f t="shared" si="65"/>
        <v>35.75</v>
      </c>
      <c r="S410" s="8">
        <f t="shared" si="66"/>
        <v>34.85</v>
      </c>
      <c r="T410" s="8">
        <f t="shared" si="67"/>
        <v>33.25</v>
      </c>
      <c r="U410" s="7">
        <f t="shared" si="68"/>
        <v>33.516666666666673</v>
      </c>
      <c r="V410" s="7">
        <f t="shared" si="69"/>
        <v>33.450000000000003</v>
      </c>
    </row>
    <row r="411" spans="1:22" ht="13.5" x14ac:dyDescent="0.25">
      <c r="A411" s="3">
        <f>RSI!A411</f>
        <v>45518</v>
      </c>
      <c r="B411" s="2">
        <f>RSI!B411</f>
        <v>5.7279999999999998</v>
      </c>
      <c r="C411" s="2">
        <f>RSI!I411</f>
        <v>50.636501225957417</v>
      </c>
      <c r="D411" s="2">
        <f>MACD!E411</f>
        <v>8.0600999360060932E-2</v>
      </c>
      <c r="E411" s="2">
        <f>MACD!F411</f>
        <v>1.6860058523249573E-2</v>
      </c>
      <c r="F411" s="2">
        <f>'Moving Avg'!D411</f>
        <v>5.7896000000000001</v>
      </c>
      <c r="G411" s="2">
        <f>'Moving Avg'!F411</f>
        <v>5.8648999999999996</v>
      </c>
      <c r="H411" s="2">
        <f>'Moving Avg'!G411</f>
        <v>5.4358999999999993</v>
      </c>
      <c r="I411" s="2">
        <f>'Moving Avg'!H411</f>
        <v>5.2987499999999974</v>
      </c>
      <c r="J411" s="5" t="str">
        <f>OBV!F411</f>
        <v>BEARISH</v>
      </c>
      <c r="K411" s="5" t="str">
        <f>OBV!G411</f>
        <v>STRONG</v>
      </c>
      <c r="L411" s="5" t="str">
        <f>OBV!H411</f>
        <v>CONFIRMED BEARISH</v>
      </c>
      <c r="M411" s="7">
        <f t="shared" si="63"/>
        <v>50</v>
      </c>
      <c r="N411" s="7">
        <f t="shared" si="60"/>
        <v>0</v>
      </c>
      <c r="O411" s="7">
        <f t="shared" si="61"/>
        <v>50</v>
      </c>
      <c r="P411" s="7">
        <f t="shared" si="62"/>
        <v>33</v>
      </c>
      <c r="Q411" s="8">
        <f t="shared" si="64"/>
        <v>29.95</v>
      </c>
      <c r="R411" s="8">
        <f t="shared" si="65"/>
        <v>35.75</v>
      </c>
      <c r="S411" s="8">
        <f t="shared" si="66"/>
        <v>34.85</v>
      </c>
      <c r="T411" s="8">
        <f t="shared" si="67"/>
        <v>33.25</v>
      </c>
      <c r="U411" s="7">
        <f t="shared" si="68"/>
        <v>33.516666666666673</v>
      </c>
      <c r="V411" s="7">
        <f t="shared" si="69"/>
        <v>33.450000000000003</v>
      </c>
    </row>
    <row r="412" spans="1:22" ht="13.5" x14ac:dyDescent="0.25">
      <c r="A412" s="3">
        <f>RSI!A412</f>
        <v>45519</v>
      </c>
      <c r="B412" s="2">
        <f>RSI!B412</f>
        <v>5.718</v>
      </c>
      <c r="C412" s="2">
        <f>RSI!I412</f>
        <v>49.713501232243594</v>
      </c>
      <c r="D412" s="2">
        <f>MACD!E412</f>
        <v>9.7803539763326341E-2</v>
      </c>
      <c r="E412" s="2">
        <f>MACD!F412</f>
        <v>3.3048754771264927E-2</v>
      </c>
      <c r="F412" s="2">
        <f>'Moving Avg'!D412</f>
        <v>5.7708000000000004</v>
      </c>
      <c r="G412" s="2">
        <f>'Moving Avg'!F412</f>
        <v>5.8526499999999997</v>
      </c>
      <c r="H412" s="2">
        <f>'Moving Avg'!G412</f>
        <v>5.4491399999999999</v>
      </c>
      <c r="I412" s="2">
        <f>'Moving Avg'!H412</f>
        <v>5.2989549999999994</v>
      </c>
      <c r="J412" s="5" t="str">
        <f>OBV!F412</f>
        <v>BEARISH</v>
      </c>
      <c r="K412" s="5" t="str">
        <f>OBV!G412</f>
        <v>STRONG</v>
      </c>
      <c r="L412" s="5" t="str">
        <f>OBV!H412</f>
        <v>CONFIRMED BEARISH</v>
      </c>
      <c r="M412" s="7">
        <f t="shared" si="63"/>
        <v>50</v>
      </c>
      <c r="N412" s="7">
        <f t="shared" si="60"/>
        <v>0</v>
      </c>
      <c r="O412" s="7">
        <f t="shared" si="61"/>
        <v>50</v>
      </c>
      <c r="P412" s="7">
        <f t="shared" si="62"/>
        <v>33</v>
      </c>
      <c r="Q412" s="8">
        <f t="shared" si="64"/>
        <v>29.95</v>
      </c>
      <c r="R412" s="8">
        <f t="shared" si="65"/>
        <v>35.75</v>
      </c>
      <c r="S412" s="8">
        <f t="shared" si="66"/>
        <v>34.85</v>
      </c>
      <c r="T412" s="8">
        <f t="shared" si="67"/>
        <v>33.25</v>
      </c>
      <c r="U412" s="7">
        <f t="shared" si="68"/>
        <v>33.516666666666673</v>
      </c>
      <c r="V412" s="7">
        <f t="shared" si="69"/>
        <v>33.450000000000003</v>
      </c>
    </row>
    <row r="413" spans="1:22" ht="13.5" x14ac:dyDescent="0.25">
      <c r="A413" s="3">
        <f>RSI!A413</f>
        <v>45520</v>
      </c>
      <c r="B413" s="2">
        <f>RSI!B413</f>
        <v>5.718</v>
      </c>
      <c r="C413" s="2">
        <f>RSI!I413</f>
        <v>49.713501232243594</v>
      </c>
      <c r="D413" s="2">
        <f>MACD!E413</f>
        <v>0.11242315358624566</v>
      </c>
      <c r="E413" s="2">
        <f>MACD!F413</f>
        <v>4.8923634534261073E-2</v>
      </c>
      <c r="F413" s="2">
        <f>'Moving Avg'!D413</f>
        <v>5.7519999999999998</v>
      </c>
      <c r="G413" s="2">
        <f>'Moving Avg'!F413</f>
        <v>5.8413500000000003</v>
      </c>
      <c r="H413" s="2">
        <f>'Moving Avg'!G413</f>
        <v>5.4641600000000006</v>
      </c>
      <c r="I413" s="2">
        <f>'Moving Avg'!H413</f>
        <v>5.2991600000000005</v>
      </c>
      <c r="J413" s="5" t="str">
        <f>OBV!F413</f>
        <v>BEARISH</v>
      </c>
      <c r="K413" s="5" t="str">
        <f>OBV!G413</f>
        <v>STRONG</v>
      </c>
      <c r="L413" s="5" t="str">
        <f>OBV!H413</f>
        <v>CONFIRMED BEARISH</v>
      </c>
      <c r="M413" s="7">
        <f t="shared" si="63"/>
        <v>50</v>
      </c>
      <c r="N413" s="7">
        <f t="shared" si="60"/>
        <v>0</v>
      </c>
      <c r="O413" s="7">
        <f t="shared" si="61"/>
        <v>50</v>
      </c>
      <c r="P413" s="7">
        <f t="shared" si="62"/>
        <v>33</v>
      </c>
      <c r="Q413" s="8">
        <f t="shared" si="64"/>
        <v>29.95</v>
      </c>
      <c r="R413" s="8">
        <f t="shared" si="65"/>
        <v>35.75</v>
      </c>
      <c r="S413" s="8">
        <f t="shared" si="66"/>
        <v>34.85</v>
      </c>
      <c r="T413" s="8">
        <f t="shared" si="67"/>
        <v>33.25</v>
      </c>
      <c r="U413" s="7">
        <f t="shared" si="68"/>
        <v>33.516666666666673</v>
      </c>
      <c r="V413" s="7">
        <f t="shared" si="69"/>
        <v>33.450000000000003</v>
      </c>
    </row>
    <row r="414" spans="1:22" ht="13.5" x14ac:dyDescent="0.25">
      <c r="A414" s="3">
        <f>RSI!A414</f>
        <v>45523</v>
      </c>
      <c r="B414" s="2">
        <f>RSI!B414</f>
        <v>5.718</v>
      </c>
      <c r="C414" s="2">
        <f>RSI!I414</f>
        <v>49.713501232243594</v>
      </c>
      <c r="D414" s="2">
        <f>MACD!E414</f>
        <v>0.12192942477415869</v>
      </c>
      <c r="E414" s="2">
        <f>MACD!F414</f>
        <v>6.35247925822406E-2</v>
      </c>
      <c r="F414" s="2">
        <f>'Moving Avg'!D414</f>
        <v>5.7332000000000001</v>
      </c>
      <c r="G414" s="2">
        <f>'Moving Avg'!F414</f>
        <v>5.8329000000000004</v>
      </c>
      <c r="H414" s="2">
        <f>'Moving Avg'!G414</f>
        <v>5.4797000000000011</v>
      </c>
      <c r="I414" s="2">
        <f>'Moving Avg'!H414</f>
        <v>5.2993650000000025</v>
      </c>
      <c r="J414" s="5" t="str">
        <f>OBV!F414</f>
        <v>BEARISH</v>
      </c>
      <c r="K414" s="5" t="str">
        <f>OBV!G414</f>
        <v>STRONG</v>
      </c>
      <c r="L414" s="5" t="str">
        <f>OBV!H414</f>
        <v>CONFIRMED BEARISH</v>
      </c>
      <c r="M414" s="7">
        <f t="shared" si="63"/>
        <v>50</v>
      </c>
      <c r="N414" s="7">
        <f t="shared" si="60"/>
        <v>0</v>
      </c>
      <c r="O414" s="7">
        <f t="shared" si="61"/>
        <v>50</v>
      </c>
      <c r="P414" s="7">
        <f t="shared" si="62"/>
        <v>33</v>
      </c>
      <c r="Q414" s="8">
        <f t="shared" si="64"/>
        <v>29.95</v>
      </c>
      <c r="R414" s="8">
        <f t="shared" si="65"/>
        <v>35.75</v>
      </c>
      <c r="S414" s="8">
        <f t="shared" si="66"/>
        <v>34.85</v>
      </c>
      <c r="T414" s="8">
        <f t="shared" si="67"/>
        <v>33.25</v>
      </c>
      <c r="U414" s="7">
        <f t="shared" si="68"/>
        <v>33.516666666666673</v>
      </c>
      <c r="V414" s="7">
        <f t="shared" si="69"/>
        <v>33.450000000000003</v>
      </c>
    </row>
    <row r="415" spans="1:22" ht="13.5" x14ac:dyDescent="0.25">
      <c r="A415" s="3">
        <f>RSI!A415</f>
        <v>45524</v>
      </c>
      <c r="B415" s="2">
        <f>RSI!B415</f>
        <v>5.718</v>
      </c>
      <c r="C415" s="2">
        <f>RSI!I415</f>
        <v>49.713501232243594</v>
      </c>
      <c r="D415" s="2">
        <f>MACD!E415</f>
        <v>0.12710465804361615</v>
      </c>
      <c r="E415" s="2">
        <f>MACD!F415</f>
        <v>7.6240765674515709E-2</v>
      </c>
      <c r="F415" s="2">
        <f>'Moving Avg'!D415</f>
        <v>5.7200000000000006</v>
      </c>
      <c r="G415" s="2">
        <f>'Moving Avg'!F415</f>
        <v>5.8244500000000006</v>
      </c>
      <c r="H415" s="2">
        <f>'Moving Avg'!G415</f>
        <v>5.4964800000000018</v>
      </c>
      <c r="I415" s="2">
        <f>'Moving Avg'!H415</f>
        <v>5.2998350000000043</v>
      </c>
      <c r="J415" s="5" t="str">
        <f>OBV!F415</f>
        <v>BEARISH</v>
      </c>
      <c r="K415" s="5" t="str">
        <f>OBV!G415</f>
        <v>STRONG</v>
      </c>
      <c r="L415" s="5" t="str">
        <f>OBV!H415</f>
        <v>CONFIRMED BEARISH</v>
      </c>
      <c r="M415" s="7">
        <f t="shared" si="63"/>
        <v>50</v>
      </c>
      <c r="N415" s="7">
        <f t="shared" si="60"/>
        <v>0</v>
      </c>
      <c r="O415" s="7">
        <f t="shared" si="61"/>
        <v>50</v>
      </c>
      <c r="P415" s="7">
        <f t="shared" si="62"/>
        <v>33</v>
      </c>
      <c r="Q415" s="8">
        <f t="shared" si="64"/>
        <v>29.95</v>
      </c>
      <c r="R415" s="8">
        <f t="shared" si="65"/>
        <v>35.75</v>
      </c>
      <c r="S415" s="8">
        <f t="shared" si="66"/>
        <v>34.85</v>
      </c>
      <c r="T415" s="8">
        <f t="shared" si="67"/>
        <v>33.25</v>
      </c>
      <c r="U415" s="7">
        <f t="shared" si="68"/>
        <v>33.516666666666673</v>
      </c>
      <c r="V415" s="7">
        <f t="shared" si="69"/>
        <v>33.450000000000003</v>
      </c>
    </row>
    <row r="416" spans="1:22" ht="13.5" x14ac:dyDescent="0.25">
      <c r="A416" s="3">
        <f>RSI!A416</f>
        <v>45525</v>
      </c>
      <c r="B416" s="2">
        <f>RSI!B416</f>
        <v>5.6340000000000003</v>
      </c>
      <c r="C416" s="2">
        <f>RSI!I416</f>
        <v>41.223611264738324</v>
      </c>
      <c r="D416" s="2">
        <f>MACD!E416</f>
        <v>0.12760257974426104</v>
      </c>
      <c r="E416" s="2">
        <f>MACD!F416</f>
        <v>8.6513128488464777E-2</v>
      </c>
      <c r="F416" s="2">
        <f>'Moving Avg'!D416</f>
        <v>5.7012</v>
      </c>
      <c r="G416" s="2">
        <f>'Moving Avg'!F416</f>
        <v>5.8132000000000001</v>
      </c>
      <c r="H416" s="2">
        <f>'Moving Avg'!G416</f>
        <v>5.5080400000000012</v>
      </c>
      <c r="I416" s="2">
        <f>'Moving Avg'!H416</f>
        <v>5.2998400000000023</v>
      </c>
      <c r="J416" s="5" t="str">
        <f>OBV!F416</f>
        <v>BEARISH</v>
      </c>
      <c r="K416" s="5" t="str">
        <f>OBV!G416</f>
        <v>STRONG</v>
      </c>
      <c r="L416" s="5" t="str">
        <f>OBV!H416</f>
        <v>CONFIRMED BEARISH</v>
      </c>
      <c r="M416" s="7">
        <f t="shared" si="63"/>
        <v>50</v>
      </c>
      <c r="N416" s="7">
        <f t="shared" si="60"/>
        <v>0</v>
      </c>
      <c r="O416" s="7">
        <f t="shared" si="61"/>
        <v>50</v>
      </c>
      <c r="P416" s="7">
        <f t="shared" si="62"/>
        <v>33</v>
      </c>
      <c r="Q416" s="8">
        <f t="shared" si="64"/>
        <v>29.95</v>
      </c>
      <c r="R416" s="8">
        <f t="shared" si="65"/>
        <v>35.75</v>
      </c>
      <c r="S416" s="8">
        <f t="shared" si="66"/>
        <v>34.85</v>
      </c>
      <c r="T416" s="8">
        <f t="shared" si="67"/>
        <v>33.25</v>
      </c>
      <c r="U416" s="7">
        <f t="shared" si="68"/>
        <v>33.516666666666673</v>
      </c>
      <c r="V416" s="7">
        <f t="shared" si="69"/>
        <v>33.450000000000003</v>
      </c>
    </row>
    <row r="417" spans="1:22" ht="13.5" x14ac:dyDescent="0.25">
      <c r="A417" s="3">
        <f>RSI!A417</f>
        <v>45526</v>
      </c>
      <c r="B417" s="2">
        <f>RSI!B417</f>
        <v>5.6340000000000003</v>
      </c>
      <c r="C417" s="2">
        <f>RSI!I417</f>
        <v>41.223611264738324</v>
      </c>
      <c r="D417" s="2">
        <f>MACD!E417</f>
        <v>0.12856701891434863</v>
      </c>
      <c r="E417" s="2">
        <f>MACD!F417</f>
        <v>9.4923906573641553E-2</v>
      </c>
      <c r="F417" s="2">
        <f>'Moving Avg'!D417</f>
        <v>5.6844000000000001</v>
      </c>
      <c r="G417" s="2">
        <f>'Moving Avg'!F417</f>
        <v>5.8019500000000006</v>
      </c>
      <c r="H417" s="2">
        <f>'Moving Avg'!G417</f>
        <v>5.5178200000000013</v>
      </c>
      <c r="I417" s="2">
        <f>'Moving Avg'!H417</f>
        <v>5.2999350000000023</v>
      </c>
      <c r="J417" s="5" t="str">
        <f>OBV!F417</f>
        <v>BEARISH</v>
      </c>
      <c r="K417" s="5" t="str">
        <f>OBV!G417</f>
        <v>STRONG</v>
      </c>
      <c r="L417" s="5" t="str">
        <f>OBV!H417</f>
        <v>CONFIRMED BEARISH</v>
      </c>
      <c r="M417" s="7">
        <f t="shared" si="63"/>
        <v>50</v>
      </c>
      <c r="N417" s="7">
        <f t="shared" si="60"/>
        <v>0</v>
      </c>
      <c r="O417" s="7">
        <f t="shared" si="61"/>
        <v>50</v>
      </c>
      <c r="P417" s="7">
        <f t="shared" si="62"/>
        <v>33</v>
      </c>
      <c r="Q417" s="8">
        <f t="shared" si="64"/>
        <v>29.95</v>
      </c>
      <c r="R417" s="8">
        <f t="shared" si="65"/>
        <v>35.75</v>
      </c>
      <c r="S417" s="8">
        <f t="shared" si="66"/>
        <v>34.85</v>
      </c>
      <c r="T417" s="8">
        <f t="shared" si="67"/>
        <v>33.25</v>
      </c>
      <c r="U417" s="7">
        <f t="shared" si="68"/>
        <v>33.516666666666673</v>
      </c>
      <c r="V417" s="7">
        <f t="shared" si="69"/>
        <v>33.450000000000003</v>
      </c>
    </row>
    <row r="418" spans="1:22" ht="13.5" x14ac:dyDescent="0.25">
      <c r="A418" s="3">
        <f>RSI!A418</f>
        <v>45527</v>
      </c>
      <c r="B418" s="2">
        <f>RSI!B418</f>
        <v>5.6340000000000003</v>
      </c>
      <c r="C418" s="2">
        <f>RSI!I418</f>
        <v>41.223611264738324</v>
      </c>
      <c r="D418" s="2">
        <f>MACD!E418</f>
        <v>0.12988597246453804</v>
      </c>
      <c r="E418" s="2">
        <f>MACD!F418</f>
        <v>0.10191631975182086</v>
      </c>
      <c r="F418" s="2">
        <f>'Moving Avg'!D418</f>
        <v>5.6676000000000002</v>
      </c>
      <c r="G418" s="2">
        <f>'Moving Avg'!F418</f>
        <v>5.7878500000000006</v>
      </c>
      <c r="H418" s="2">
        <f>'Moving Avg'!G418</f>
        <v>5.5275999999999996</v>
      </c>
      <c r="I418" s="2">
        <f>'Moving Avg'!H418</f>
        <v>5.3000300000000014</v>
      </c>
      <c r="J418" s="5" t="str">
        <f>OBV!F418</f>
        <v>BEARISH</v>
      </c>
      <c r="K418" s="5" t="str">
        <f>OBV!G418</f>
        <v>STRONG</v>
      </c>
      <c r="L418" s="5" t="str">
        <f>OBV!H418</f>
        <v>CONFIRMED BEARISH</v>
      </c>
      <c r="M418" s="7">
        <f t="shared" si="63"/>
        <v>50</v>
      </c>
      <c r="N418" s="7">
        <f t="shared" si="60"/>
        <v>0</v>
      </c>
      <c r="O418" s="7">
        <f t="shared" si="61"/>
        <v>50</v>
      </c>
      <c r="P418" s="7">
        <f t="shared" si="62"/>
        <v>33</v>
      </c>
      <c r="Q418" s="8">
        <f t="shared" si="64"/>
        <v>29.95</v>
      </c>
      <c r="R418" s="8">
        <f t="shared" si="65"/>
        <v>35.75</v>
      </c>
      <c r="S418" s="8">
        <f t="shared" si="66"/>
        <v>34.85</v>
      </c>
      <c r="T418" s="8">
        <f t="shared" si="67"/>
        <v>33.25</v>
      </c>
      <c r="U418" s="7">
        <f t="shared" si="68"/>
        <v>33.516666666666673</v>
      </c>
      <c r="V418" s="7">
        <f t="shared" si="69"/>
        <v>33.450000000000003</v>
      </c>
    </row>
    <row r="419" spans="1:22" ht="13.5" x14ac:dyDescent="0.25">
      <c r="A419" s="3">
        <f>RSI!A419</f>
        <v>45530</v>
      </c>
      <c r="B419" s="2">
        <f>RSI!B419</f>
        <v>5.6340000000000003</v>
      </c>
      <c r="C419" s="2">
        <f>RSI!I419</f>
        <v>41.223611264738324</v>
      </c>
      <c r="D419" s="2">
        <f>MACD!E419</f>
        <v>0.13146764863674232</v>
      </c>
      <c r="E419" s="2">
        <f>MACD!F419</f>
        <v>0.10782658552880517</v>
      </c>
      <c r="F419" s="2">
        <f>'Moving Avg'!D419</f>
        <v>5.6508000000000003</v>
      </c>
      <c r="G419" s="2">
        <f>'Moving Avg'!F419</f>
        <v>5.7747000000000002</v>
      </c>
      <c r="H419" s="2">
        <f>'Moving Avg'!G419</f>
        <v>5.5373800000000006</v>
      </c>
      <c r="I419" s="2">
        <f>'Moving Avg'!H419</f>
        <v>5.3002600000000006</v>
      </c>
      <c r="J419" s="5" t="str">
        <f>OBV!F419</f>
        <v>BEARISH</v>
      </c>
      <c r="K419" s="5" t="str">
        <f>OBV!G419</f>
        <v>STRONG</v>
      </c>
      <c r="L419" s="5" t="str">
        <f>OBV!H419</f>
        <v>CONFIRMED BEARISH</v>
      </c>
      <c r="M419" s="7">
        <f t="shared" si="63"/>
        <v>50</v>
      </c>
      <c r="N419" s="7">
        <f t="shared" si="60"/>
        <v>0</v>
      </c>
      <c r="O419" s="7">
        <f t="shared" si="61"/>
        <v>50</v>
      </c>
      <c r="P419" s="7">
        <f t="shared" si="62"/>
        <v>33</v>
      </c>
      <c r="Q419" s="8">
        <f t="shared" si="64"/>
        <v>29.95</v>
      </c>
      <c r="R419" s="8">
        <f t="shared" si="65"/>
        <v>35.75</v>
      </c>
      <c r="S419" s="8">
        <f t="shared" si="66"/>
        <v>34.85</v>
      </c>
      <c r="T419" s="8">
        <f t="shared" si="67"/>
        <v>33.25</v>
      </c>
      <c r="U419" s="7">
        <f t="shared" si="68"/>
        <v>33.516666666666673</v>
      </c>
      <c r="V419" s="7">
        <f t="shared" si="69"/>
        <v>33.450000000000003</v>
      </c>
    </row>
    <row r="420" spans="1:22" ht="13.5" x14ac:dyDescent="0.25">
      <c r="A420" s="3">
        <f>RSI!A420</f>
        <v>45531</v>
      </c>
      <c r="B420" s="2">
        <f>RSI!B420</f>
        <v>5.625</v>
      </c>
      <c r="C420" s="2">
        <f>RSI!I420</f>
        <v>40.233425501102303</v>
      </c>
      <c r="D420" s="2">
        <f>MACD!E420</f>
        <v>0.12959611118035852</v>
      </c>
      <c r="E420" s="2">
        <f>MACD!F420</f>
        <v>0.11218049065911585</v>
      </c>
      <c r="F420" s="2">
        <f>'Moving Avg'!D420</f>
        <v>5.6322000000000001</v>
      </c>
      <c r="G420" s="2">
        <f>'Moving Avg'!F420</f>
        <v>5.7611000000000008</v>
      </c>
      <c r="H420" s="2">
        <f>'Moving Avg'!G420</f>
        <v>5.5469800000000014</v>
      </c>
      <c r="I420" s="2">
        <f>'Moving Avg'!H420</f>
        <v>5.3004449999999999</v>
      </c>
      <c r="J420" s="5" t="str">
        <f>OBV!F420</f>
        <v>BEARISH</v>
      </c>
      <c r="K420" s="5" t="str">
        <f>OBV!G420</f>
        <v>STRONG</v>
      </c>
      <c r="L420" s="5" t="str">
        <f>OBV!H420</f>
        <v>CONFIRMED BEARISH</v>
      </c>
      <c r="M420" s="7">
        <f t="shared" si="63"/>
        <v>50</v>
      </c>
      <c r="N420" s="7">
        <f t="shared" si="60"/>
        <v>0</v>
      </c>
      <c r="O420" s="7">
        <f t="shared" si="61"/>
        <v>50</v>
      </c>
      <c r="P420" s="7">
        <f t="shared" si="62"/>
        <v>33</v>
      </c>
      <c r="Q420" s="8">
        <f t="shared" si="64"/>
        <v>29.95</v>
      </c>
      <c r="R420" s="8">
        <f t="shared" si="65"/>
        <v>35.75</v>
      </c>
      <c r="S420" s="8">
        <f t="shared" si="66"/>
        <v>34.85</v>
      </c>
      <c r="T420" s="8">
        <f t="shared" si="67"/>
        <v>33.25</v>
      </c>
      <c r="U420" s="7">
        <f t="shared" si="68"/>
        <v>33.516666666666673</v>
      </c>
      <c r="V420" s="7">
        <f t="shared" si="69"/>
        <v>33.450000000000003</v>
      </c>
    </row>
    <row r="421" spans="1:22" ht="13.5" x14ac:dyDescent="0.25">
      <c r="A421" s="3">
        <f>RSI!A421</f>
        <v>45532</v>
      </c>
      <c r="B421" s="2">
        <f>RSI!B421</f>
        <v>5.6340000000000003</v>
      </c>
      <c r="C421" s="2">
        <f>RSI!I421</f>
        <v>41.740457240606275</v>
      </c>
      <c r="D421" s="2">
        <f>MACD!E421</f>
        <v>0.11918284267543822</v>
      </c>
      <c r="E421" s="2">
        <f>MACD!F421</f>
        <v>0.11358096106238033</v>
      </c>
      <c r="F421" s="2">
        <f>'Moving Avg'!D421</f>
        <v>5.6322000000000001</v>
      </c>
      <c r="G421" s="2">
        <f>'Moving Avg'!F421</f>
        <v>5.7517000000000005</v>
      </c>
      <c r="H421" s="2">
        <f>'Moving Avg'!G421</f>
        <v>5.5594200000000003</v>
      </c>
      <c r="I421" s="2">
        <f>'Moving Avg'!H421</f>
        <v>5.3006749999999991</v>
      </c>
      <c r="J421" s="5" t="str">
        <f>OBV!F421</f>
        <v>BEARISH</v>
      </c>
      <c r="K421" s="5" t="str">
        <f>OBV!G421</f>
        <v>NEUTRAL</v>
      </c>
      <c r="L421" s="5" t="str">
        <f>OBV!H421</f>
        <v>NEUTRAL</v>
      </c>
      <c r="M421" s="7">
        <f t="shared" si="63"/>
        <v>50</v>
      </c>
      <c r="N421" s="7">
        <f t="shared" si="60"/>
        <v>0</v>
      </c>
      <c r="O421" s="7">
        <f t="shared" si="61"/>
        <v>50</v>
      </c>
      <c r="P421" s="7">
        <f t="shared" si="62"/>
        <v>16.5</v>
      </c>
      <c r="Q421" s="8">
        <f t="shared" si="64"/>
        <v>27.475000000000001</v>
      </c>
      <c r="R421" s="8">
        <f t="shared" si="65"/>
        <v>31.625</v>
      </c>
      <c r="S421" s="8">
        <f t="shared" si="66"/>
        <v>27.425000000000001</v>
      </c>
      <c r="T421" s="8">
        <f t="shared" si="67"/>
        <v>29.125</v>
      </c>
      <c r="U421" s="7">
        <f t="shared" si="68"/>
        <v>28.841666666666669</v>
      </c>
      <c r="V421" s="7">
        <f t="shared" si="69"/>
        <v>28.912500000000001</v>
      </c>
    </row>
    <row r="422" spans="1:22" ht="13.5" x14ac:dyDescent="0.25">
      <c r="A422" s="3">
        <f>RSI!A422</f>
        <v>45533</v>
      </c>
      <c r="B422" s="2">
        <f>RSI!B422</f>
        <v>5.6340000000000003</v>
      </c>
      <c r="C422" s="2">
        <f>RSI!I422</f>
        <v>41.740457240606275</v>
      </c>
      <c r="D422" s="2">
        <f>MACD!E422</f>
        <v>0.10919885347442726</v>
      </c>
      <c r="E422" s="2">
        <f>MACD!F422</f>
        <v>0.11270453954478972</v>
      </c>
      <c r="F422" s="2">
        <f>'Moving Avg'!D422</f>
        <v>5.6322000000000001</v>
      </c>
      <c r="G422" s="2">
        <f>'Moving Avg'!F422</f>
        <v>5.7376000000000005</v>
      </c>
      <c r="H422" s="2">
        <f>'Moving Avg'!G422</f>
        <v>5.5745200000000015</v>
      </c>
      <c r="I422" s="2">
        <f>'Moving Avg'!H422</f>
        <v>5.3009049999999993</v>
      </c>
      <c r="J422" s="5" t="str">
        <f>OBV!F422</f>
        <v>BEARISH</v>
      </c>
      <c r="K422" s="5" t="str">
        <f>OBV!G422</f>
        <v>NEUTRAL</v>
      </c>
      <c r="L422" s="5" t="str">
        <f>OBV!H422</f>
        <v>NEUTRAL</v>
      </c>
      <c r="M422" s="7">
        <f t="shared" si="63"/>
        <v>50</v>
      </c>
      <c r="N422" s="7">
        <f t="shared" si="60"/>
        <v>45</v>
      </c>
      <c r="O422" s="7">
        <f t="shared" si="61"/>
        <v>50</v>
      </c>
      <c r="P422" s="7">
        <f t="shared" si="62"/>
        <v>16.5</v>
      </c>
      <c r="Q422" s="8">
        <f t="shared" si="64"/>
        <v>43.225000000000001</v>
      </c>
      <c r="R422" s="8">
        <f t="shared" si="65"/>
        <v>40.625</v>
      </c>
      <c r="S422" s="8">
        <f t="shared" si="66"/>
        <v>34.174999999999997</v>
      </c>
      <c r="T422" s="8">
        <f t="shared" si="67"/>
        <v>40.375</v>
      </c>
      <c r="U422" s="7">
        <f t="shared" si="68"/>
        <v>39.341666666666661</v>
      </c>
      <c r="V422" s="7">
        <f t="shared" si="69"/>
        <v>39.599999999999994</v>
      </c>
    </row>
    <row r="423" spans="1:22" ht="13.5" x14ac:dyDescent="0.25">
      <c r="A423" s="3">
        <f>RSI!A423</f>
        <v>45534</v>
      </c>
      <c r="B423" s="2">
        <f>RSI!B423</f>
        <v>5.681</v>
      </c>
      <c r="C423" s="2">
        <f>RSI!I423</f>
        <v>49.458957837462748</v>
      </c>
      <c r="D423" s="2">
        <f>MACD!E423</f>
        <v>9.7607991810108707E-2</v>
      </c>
      <c r="E423" s="2">
        <f>MACD!F423</f>
        <v>0.10968522999785353</v>
      </c>
      <c r="F423" s="2">
        <f>'Moving Avg'!D423</f>
        <v>5.6416000000000004</v>
      </c>
      <c r="G423" s="2">
        <f>'Moving Avg'!F423</f>
        <v>5.7258500000000003</v>
      </c>
      <c r="H423" s="2">
        <f>'Moving Avg'!G423</f>
        <v>5.5914600000000005</v>
      </c>
      <c r="I423" s="2">
        <f>'Moving Avg'!H423</f>
        <v>5.3014149999999995</v>
      </c>
      <c r="J423" s="5" t="str">
        <f>OBV!F423</f>
        <v>BULLISH</v>
      </c>
      <c r="K423" s="5" t="str">
        <f>OBV!G423</f>
        <v>WEAK</v>
      </c>
      <c r="L423" s="5" t="str">
        <f>OBV!H423</f>
        <v>CONFIRMED BULLISH</v>
      </c>
      <c r="M423" s="7">
        <f t="shared" si="63"/>
        <v>50</v>
      </c>
      <c r="N423" s="7">
        <f t="shared" si="60"/>
        <v>45</v>
      </c>
      <c r="O423" s="7">
        <f t="shared" si="61"/>
        <v>50</v>
      </c>
      <c r="P423" s="7">
        <f t="shared" si="62"/>
        <v>67</v>
      </c>
      <c r="Q423" s="8">
        <f t="shared" si="64"/>
        <v>50.8</v>
      </c>
      <c r="R423" s="8">
        <f t="shared" si="65"/>
        <v>53.25</v>
      </c>
      <c r="S423" s="8">
        <f t="shared" si="66"/>
        <v>56.900000000000006</v>
      </c>
      <c r="T423" s="8">
        <f t="shared" si="67"/>
        <v>53</v>
      </c>
      <c r="U423" s="7">
        <f t="shared" si="68"/>
        <v>53.65</v>
      </c>
      <c r="V423" s="7">
        <f t="shared" si="69"/>
        <v>53.487499999999997</v>
      </c>
    </row>
    <row r="424" spans="1:22" ht="13.5" x14ac:dyDescent="0.25">
      <c r="A424" s="3">
        <f>RSI!A424</f>
        <v>45537</v>
      </c>
      <c r="B424" s="2">
        <f>RSI!B424</f>
        <v>5.6340000000000003</v>
      </c>
      <c r="C424" s="2">
        <f>RSI!I424</f>
        <v>43.283453157613486</v>
      </c>
      <c r="D424" s="2">
        <f>MACD!E424</f>
        <v>9.1317624502621264E-2</v>
      </c>
      <c r="E424" s="2">
        <f>MACD!F424</f>
        <v>0.10601170889880708</v>
      </c>
      <c r="F424" s="2">
        <f>'Moving Avg'!D424</f>
        <v>5.6416000000000004</v>
      </c>
      <c r="G424" s="2">
        <f>'Moving Avg'!F424</f>
        <v>5.7127000000000008</v>
      </c>
      <c r="H424" s="2">
        <f>'Moving Avg'!G424</f>
        <v>5.607800000000001</v>
      </c>
      <c r="I424" s="2">
        <f>'Moving Avg'!H424</f>
        <v>5.3016899999999998</v>
      </c>
      <c r="J424" s="5" t="str">
        <f>OBV!F424</f>
        <v>BULLISH</v>
      </c>
      <c r="K424" s="5" t="str">
        <f>OBV!G424</f>
        <v>NEUTRAL</v>
      </c>
      <c r="L424" s="5" t="str">
        <f>OBV!H424</f>
        <v>NEUTRAL</v>
      </c>
      <c r="M424" s="7">
        <f t="shared" si="63"/>
        <v>50</v>
      </c>
      <c r="N424" s="7">
        <f t="shared" si="60"/>
        <v>45</v>
      </c>
      <c r="O424" s="7">
        <f t="shared" si="61"/>
        <v>50</v>
      </c>
      <c r="P424" s="7">
        <f t="shared" si="62"/>
        <v>49.5</v>
      </c>
      <c r="Q424" s="8">
        <f t="shared" si="64"/>
        <v>48.174999999999997</v>
      </c>
      <c r="R424" s="8">
        <f t="shared" si="65"/>
        <v>48.875</v>
      </c>
      <c r="S424" s="8">
        <f t="shared" si="66"/>
        <v>49.025000000000006</v>
      </c>
      <c r="T424" s="8">
        <f t="shared" si="67"/>
        <v>48.625</v>
      </c>
      <c r="U424" s="7">
        <f t="shared" si="68"/>
        <v>48.691666666666663</v>
      </c>
      <c r="V424" s="7">
        <f t="shared" si="69"/>
        <v>48.674999999999997</v>
      </c>
    </row>
    <row r="425" spans="1:22" ht="13.5" x14ac:dyDescent="0.25">
      <c r="A425" s="3">
        <f>RSI!A425</f>
        <v>45538</v>
      </c>
      <c r="B425" s="2">
        <f>RSI!B425</f>
        <v>5.6619999999999999</v>
      </c>
      <c r="C425" s="2">
        <f>RSI!I425</f>
        <v>47.489898128330609</v>
      </c>
      <c r="D425" s="2">
        <f>MACD!E425</f>
        <v>8.4231808241739259E-2</v>
      </c>
      <c r="E425" s="2">
        <f>MACD!F425</f>
        <v>0.10165572876739352</v>
      </c>
      <c r="F425" s="2">
        <f>'Moving Avg'!D425</f>
        <v>5.649</v>
      </c>
      <c r="G425" s="2">
        <f>'Moving Avg'!F425</f>
        <v>5.7019000000000002</v>
      </c>
      <c r="H425" s="2">
        <f>'Moving Avg'!G425</f>
        <v>5.61904</v>
      </c>
      <c r="I425" s="2">
        <f>'Moving Avg'!H425</f>
        <v>5.3021050000000001</v>
      </c>
      <c r="J425" s="5" t="str">
        <f>OBV!F425</f>
        <v>BULLISH</v>
      </c>
      <c r="K425" s="5" t="str">
        <f>OBV!G425</f>
        <v>WEAK</v>
      </c>
      <c r="L425" s="5" t="str">
        <f>OBV!H425</f>
        <v>CONFIRMED BULLISH</v>
      </c>
      <c r="M425" s="7">
        <f t="shared" si="63"/>
        <v>50</v>
      </c>
      <c r="N425" s="7">
        <f t="shared" si="60"/>
        <v>45</v>
      </c>
      <c r="O425" s="7">
        <f t="shared" si="61"/>
        <v>50</v>
      </c>
      <c r="P425" s="7">
        <f t="shared" si="62"/>
        <v>67</v>
      </c>
      <c r="Q425" s="8">
        <f t="shared" si="64"/>
        <v>50.8</v>
      </c>
      <c r="R425" s="8">
        <f t="shared" si="65"/>
        <v>53.25</v>
      </c>
      <c r="S425" s="8">
        <f t="shared" si="66"/>
        <v>56.900000000000006</v>
      </c>
      <c r="T425" s="8">
        <f t="shared" si="67"/>
        <v>53</v>
      </c>
      <c r="U425" s="7">
        <f t="shared" si="68"/>
        <v>53.65</v>
      </c>
      <c r="V425" s="7">
        <f t="shared" si="69"/>
        <v>53.487499999999997</v>
      </c>
    </row>
    <row r="426" spans="1:22" ht="13.5" x14ac:dyDescent="0.25">
      <c r="A426" s="3">
        <f>RSI!A426</f>
        <v>45539</v>
      </c>
      <c r="B426" s="2">
        <f>RSI!B426</f>
        <v>5.6340000000000003</v>
      </c>
      <c r="C426" s="2">
        <f>RSI!I426</f>
        <v>43.977373320208201</v>
      </c>
      <c r="D426" s="2">
        <f>MACD!E426</f>
        <v>6.7509509937723422E-2</v>
      </c>
      <c r="E426" s="2">
        <f>MACD!F426</f>
        <v>9.4826485001459501E-2</v>
      </c>
      <c r="F426" s="2">
        <f>'Moving Avg'!D426</f>
        <v>5.649</v>
      </c>
      <c r="G426" s="2">
        <f>'Moving Avg'!F426</f>
        <v>5.6930000000000005</v>
      </c>
      <c r="H426" s="2">
        <f>'Moving Avg'!G426</f>
        <v>5.6297200000000007</v>
      </c>
      <c r="I426" s="2">
        <f>'Moving Avg'!H426</f>
        <v>5.3023350000000002</v>
      </c>
      <c r="J426" s="5" t="str">
        <f>OBV!F426</f>
        <v>BULLISH</v>
      </c>
      <c r="K426" s="5" t="str">
        <f>OBV!G426</f>
        <v>NEUTRAL</v>
      </c>
      <c r="L426" s="5" t="str">
        <f>OBV!H426</f>
        <v>NEUTRAL</v>
      </c>
      <c r="M426" s="7">
        <f t="shared" si="63"/>
        <v>50</v>
      </c>
      <c r="N426" s="7">
        <f t="shared" si="60"/>
        <v>100</v>
      </c>
      <c r="O426" s="7">
        <f t="shared" si="61"/>
        <v>50</v>
      </c>
      <c r="P426" s="7">
        <f t="shared" si="62"/>
        <v>49.5</v>
      </c>
      <c r="Q426" s="8">
        <f t="shared" si="64"/>
        <v>67.424999999999997</v>
      </c>
      <c r="R426" s="8">
        <f t="shared" si="65"/>
        <v>59.875</v>
      </c>
      <c r="S426" s="8">
        <f t="shared" si="66"/>
        <v>57.275000000000006</v>
      </c>
      <c r="T426" s="8">
        <f t="shared" si="67"/>
        <v>62.375</v>
      </c>
      <c r="U426" s="7">
        <f t="shared" si="68"/>
        <v>61.524999999999999</v>
      </c>
      <c r="V426" s="7">
        <f t="shared" si="69"/>
        <v>61.737499999999997</v>
      </c>
    </row>
    <row r="427" spans="1:22" ht="13.5" x14ac:dyDescent="0.25">
      <c r="A427" s="3">
        <f>RSI!A427</f>
        <v>45540</v>
      </c>
      <c r="B427" s="2">
        <f>RSI!B427</f>
        <v>5.6340000000000003</v>
      </c>
      <c r="C427" s="2">
        <f>RSI!I427</f>
        <v>43.977373320208201</v>
      </c>
      <c r="D427" s="2">
        <f>MACD!E427</f>
        <v>5.3638655027880233E-2</v>
      </c>
      <c r="E427" s="2">
        <f>MACD!F427</f>
        <v>8.6588919006743648E-2</v>
      </c>
      <c r="F427" s="2">
        <f>'Moving Avg'!D427</f>
        <v>5.649</v>
      </c>
      <c r="G427" s="2">
        <f>'Moving Avg'!F427</f>
        <v>5.6841000000000008</v>
      </c>
      <c r="H427" s="2">
        <f>'Moving Avg'!G427</f>
        <v>5.6416400000000007</v>
      </c>
      <c r="I427" s="2">
        <f>'Moving Avg'!H427</f>
        <v>5.3025650000000004</v>
      </c>
      <c r="J427" s="5" t="str">
        <f>OBV!F427</f>
        <v>BULLISH</v>
      </c>
      <c r="K427" s="5" t="str">
        <f>OBV!G427</f>
        <v>NEUTRAL</v>
      </c>
      <c r="L427" s="5" t="str">
        <f>OBV!H427</f>
        <v>NEUTRAL</v>
      </c>
      <c r="M427" s="7">
        <f t="shared" si="63"/>
        <v>50</v>
      </c>
      <c r="N427" s="7">
        <f t="shared" si="60"/>
        <v>100</v>
      </c>
      <c r="O427" s="7">
        <f t="shared" si="61"/>
        <v>50</v>
      </c>
      <c r="P427" s="7">
        <f t="shared" si="62"/>
        <v>49.5</v>
      </c>
      <c r="Q427" s="8">
        <f t="shared" si="64"/>
        <v>67.424999999999997</v>
      </c>
      <c r="R427" s="8">
        <f t="shared" si="65"/>
        <v>59.875</v>
      </c>
      <c r="S427" s="8">
        <f t="shared" si="66"/>
        <v>57.275000000000006</v>
      </c>
      <c r="T427" s="8">
        <f t="shared" si="67"/>
        <v>62.375</v>
      </c>
      <c r="U427" s="7">
        <f t="shared" si="68"/>
        <v>61.524999999999999</v>
      </c>
      <c r="V427" s="7">
        <f t="shared" si="69"/>
        <v>61.737499999999997</v>
      </c>
    </row>
    <row r="428" spans="1:22" ht="13.5" x14ac:dyDescent="0.25">
      <c r="A428" s="3">
        <f>RSI!A428</f>
        <v>45541</v>
      </c>
      <c r="B428" s="2">
        <f>RSI!B428</f>
        <v>5.6340000000000003</v>
      </c>
      <c r="C428" s="2">
        <f>RSI!I428</f>
        <v>43.977373320208201</v>
      </c>
      <c r="D428" s="2">
        <f>MACD!E428</f>
        <v>4.2159909385946825E-2</v>
      </c>
      <c r="E428" s="2">
        <f>MACD!F428</f>
        <v>7.7703117082584289E-2</v>
      </c>
      <c r="F428" s="2">
        <f>'Moving Avg'!D428</f>
        <v>5.6395999999999997</v>
      </c>
      <c r="G428" s="2">
        <f>'Moving Avg'!F428</f>
        <v>5.6752000000000002</v>
      </c>
      <c r="H428" s="2">
        <f>'Moving Avg'!G428</f>
        <v>5.6565800000000017</v>
      </c>
      <c r="I428" s="2">
        <f>'Moving Avg'!H428</f>
        <v>5.3027950000000006</v>
      </c>
      <c r="J428" s="5" t="str">
        <f>OBV!F428</f>
        <v>BEARISH</v>
      </c>
      <c r="K428" s="5" t="str">
        <f>OBV!G428</f>
        <v>STRONG</v>
      </c>
      <c r="L428" s="5" t="str">
        <f>OBV!H428</f>
        <v>CONFIRMED BEARISH</v>
      </c>
      <c r="M428" s="7">
        <f t="shared" si="63"/>
        <v>50</v>
      </c>
      <c r="N428" s="7">
        <f t="shared" si="60"/>
        <v>100</v>
      </c>
      <c r="O428" s="7">
        <f t="shared" si="61"/>
        <v>50</v>
      </c>
      <c r="P428" s="7">
        <f t="shared" si="62"/>
        <v>33</v>
      </c>
      <c r="Q428" s="8">
        <f t="shared" si="64"/>
        <v>64.95</v>
      </c>
      <c r="R428" s="8">
        <f t="shared" si="65"/>
        <v>55.75</v>
      </c>
      <c r="S428" s="8">
        <f t="shared" si="66"/>
        <v>49.85</v>
      </c>
      <c r="T428" s="8">
        <f t="shared" si="67"/>
        <v>58.25</v>
      </c>
      <c r="U428" s="7">
        <f t="shared" si="68"/>
        <v>56.85</v>
      </c>
      <c r="V428" s="7">
        <f t="shared" si="69"/>
        <v>57.2</v>
      </c>
    </row>
    <row r="429" spans="1:22" ht="13.5" x14ac:dyDescent="0.25">
      <c r="A429" s="3">
        <f>RSI!A429</f>
        <v>45544</v>
      </c>
      <c r="B429" s="2">
        <f>RSI!B429</f>
        <v>5.6150000000000002</v>
      </c>
      <c r="C429" s="2">
        <f>RSI!I429</f>
        <v>41.383240114188133</v>
      </c>
      <c r="D429" s="2">
        <f>MACD!E429</f>
        <v>3.4093542750404993E-2</v>
      </c>
      <c r="E429" s="2">
        <f>MACD!F429</f>
        <v>6.8981202216148438E-2</v>
      </c>
      <c r="F429" s="2">
        <f>'Moving Avg'!D429</f>
        <v>5.6358000000000006</v>
      </c>
      <c r="G429" s="2">
        <f>'Moving Avg'!F429</f>
        <v>5.6653500000000001</v>
      </c>
      <c r="H429" s="2">
        <f>'Moving Avg'!G429</f>
        <v>5.6730800000000023</v>
      </c>
      <c r="I429" s="2">
        <f>'Moving Avg'!H429</f>
        <v>5.3030150000000011</v>
      </c>
      <c r="J429" s="5" t="str">
        <f>OBV!F429</f>
        <v>BEARISH</v>
      </c>
      <c r="K429" s="5" t="str">
        <f>OBV!G429</f>
        <v>STRONG</v>
      </c>
      <c r="L429" s="5" t="str">
        <f>OBV!H429</f>
        <v>CONFIRMED BEARISH</v>
      </c>
      <c r="M429" s="7">
        <f t="shared" si="63"/>
        <v>50</v>
      </c>
      <c r="N429" s="7">
        <f t="shared" si="60"/>
        <v>100</v>
      </c>
      <c r="O429" s="7">
        <f t="shared" si="61"/>
        <v>50</v>
      </c>
      <c r="P429" s="7">
        <f t="shared" si="62"/>
        <v>33</v>
      </c>
      <c r="Q429" s="8">
        <f t="shared" si="64"/>
        <v>64.95</v>
      </c>
      <c r="R429" s="8">
        <f t="shared" si="65"/>
        <v>55.75</v>
      </c>
      <c r="S429" s="8">
        <f t="shared" si="66"/>
        <v>49.85</v>
      </c>
      <c r="T429" s="8">
        <f t="shared" si="67"/>
        <v>58.25</v>
      </c>
      <c r="U429" s="7">
        <f t="shared" si="68"/>
        <v>56.85</v>
      </c>
      <c r="V429" s="7">
        <f t="shared" si="69"/>
        <v>57.2</v>
      </c>
    </row>
    <row r="430" spans="1:22" ht="13.5" x14ac:dyDescent="0.25">
      <c r="A430" s="3">
        <f>RSI!A430</f>
        <v>45545</v>
      </c>
      <c r="B430" s="2">
        <f>RSI!B430</f>
        <v>5.6150000000000002</v>
      </c>
      <c r="C430" s="2">
        <f>RSI!I430</f>
        <v>41.383240114188133</v>
      </c>
      <c r="D430" s="2">
        <f>MACD!E430</f>
        <v>2.6217118261015138E-2</v>
      </c>
      <c r="E430" s="2">
        <f>MACD!F430</f>
        <v>6.0428385425121786E-2</v>
      </c>
      <c r="F430" s="2">
        <f>'Moving Avg'!D430</f>
        <v>5.6264000000000012</v>
      </c>
      <c r="G430" s="2">
        <f>'Moving Avg'!F430</f>
        <v>5.6568999999999994</v>
      </c>
      <c r="H430" s="2">
        <f>'Moving Avg'!G430</f>
        <v>5.6895800000000021</v>
      </c>
      <c r="I430" s="2">
        <f>'Moving Avg'!H430</f>
        <v>5.3031950000000005</v>
      </c>
      <c r="J430" s="5" t="str">
        <f>OBV!F430</f>
        <v>BEARISH</v>
      </c>
      <c r="K430" s="5" t="str">
        <f>OBV!G430</f>
        <v>STRONG</v>
      </c>
      <c r="L430" s="5" t="str">
        <f>OBV!H430</f>
        <v>CONFIRMED BEARISH</v>
      </c>
      <c r="M430" s="7">
        <f t="shared" si="63"/>
        <v>50</v>
      </c>
      <c r="N430" s="7">
        <f t="shared" si="60"/>
        <v>100</v>
      </c>
      <c r="O430" s="7">
        <f t="shared" si="61"/>
        <v>50</v>
      </c>
      <c r="P430" s="7">
        <f t="shared" si="62"/>
        <v>33</v>
      </c>
      <c r="Q430" s="8">
        <f t="shared" si="64"/>
        <v>64.95</v>
      </c>
      <c r="R430" s="8">
        <f t="shared" si="65"/>
        <v>55.75</v>
      </c>
      <c r="S430" s="8">
        <f t="shared" si="66"/>
        <v>49.85</v>
      </c>
      <c r="T430" s="8">
        <f t="shared" si="67"/>
        <v>58.25</v>
      </c>
      <c r="U430" s="7">
        <f t="shared" si="68"/>
        <v>56.85</v>
      </c>
      <c r="V430" s="7">
        <f t="shared" si="69"/>
        <v>57.2</v>
      </c>
    </row>
    <row r="431" spans="1:22" ht="13.5" x14ac:dyDescent="0.25">
      <c r="A431" s="3">
        <f>RSI!A431</f>
        <v>45546</v>
      </c>
      <c r="B431" s="2">
        <f>RSI!B431</f>
        <v>5.6150000000000002</v>
      </c>
      <c r="C431" s="2">
        <f>RSI!I431</f>
        <v>41.383240114188133</v>
      </c>
      <c r="D431" s="2">
        <f>MACD!E431</f>
        <v>2.1245935333305432E-2</v>
      </c>
      <c r="E431" s="2">
        <f>MACD!F431</f>
        <v>5.2591895406758522E-2</v>
      </c>
      <c r="F431" s="2">
        <f>'Moving Avg'!D431</f>
        <v>5.6226000000000012</v>
      </c>
      <c r="G431" s="2">
        <f>'Moving Avg'!F431</f>
        <v>5.6512499999999992</v>
      </c>
      <c r="H431" s="2">
        <f>'Moving Avg'!G431</f>
        <v>5.7060800000000027</v>
      </c>
      <c r="I431" s="2">
        <f>'Moving Avg'!H431</f>
        <v>5.3034150000000011</v>
      </c>
      <c r="J431" s="5" t="str">
        <f>OBV!F431</f>
        <v>BEARISH</v>
      </c>
      <c r="K431" s="5" t="str">
        <f>OBV!G431</f>
        <v>STRONG</v>
      </c>
      <c r="L431" s="5" t="str">
        <f>OBV!H431</f>
        <v>CONFIRMED BEARISH</v>
      </c>
      <c r="M431" s="7">
        <f t="shared" si="63"/>
        <v>50</v>
      </c>
      <c r="N431" s="7">
        <f t="shared" si="60"/>
        <v>100</v>
      </c>
      <c r="O431" s="7">
        <f t="shared" si="61"/>
        <v>50</v>
      </c>
      <c r="P431" s="7">
        <f t="shared" si="62"/>
        <v>33</v>
      </c>
      <c r="Q431" s="8">
        <f t="shared" si="64"/>
        <v>64.95</v>
      </c>
      <c r="R431" s="8">
        <f t="shared" si="65"/>
        <v>55.75</v>
      </c>
      <c r="S431" s="8">
        <f t="shared" si="66"/>
        <v>49.85</v>
      </c>
      <c r="T431" s="8">
        <f t="shared" si="67"/>
        <v>58.25</v>
      </c>
      <c r="U431" s="7">
        <f t="shared" si="68"/>
        <v>56.85</v>
      </c>
      <c r="V431" s="7">
        <f t="shared" si="69"/>
        <v>57.2</v>
      </c>
    </row>
    <row r="432" spans="1:22" ht="13.5" x14ac:dyDescent="0.25">
      <c r="A432" s="3">
        <f>RSI!A432</f>
        <v>45547</v>
      </c>
      <c r="B432" s="2">
        <f>RSI!B432</f>
        <v>5.6150000000000002</v>
      </c>
      <c r="C432" s="2">
        <f>RSI!I432</f>
        <v>41.383240114188133</v>
      </c>
      <c r="D432" s="2">
        <f>MACD!E432</f>
        <v>1.7325539189563699E-2</v>
      </c>
      <c r="E432" s="2">
        <f>MACD!F432</f>
        <v>4.5538624163319559E-2</v>
      </c>
      <c r="F432" s="2">
        <f>'Moving Avg'!D432</f>
        <v>5.6188000000000002</v>
      </c>
      <c r="G432" s="2">
        <f>'Moving Avg'!F432</f>
        <v>5.6460999999999988</v>
      </c>
      <c r="H432" s="2">
        <f>'Moving Avg'!G432</f>
        <v>5.7174400000000025</v>
      </c>
      <c r="I432" s="2">
        <f>'Moving Avg'!H432</f>
        <v>5.3036800000000008</v>
      </c>
      <c r="J432" s="5" t="str">
        <f>OBV!F432</f>
        <v>BEARISH</v>
      </c>
      <c r="K432" s="5" t="str">
        <f>OBV!G432</f>
        <v>STRONG</v>
      </c>
      <c r="L432" s="5" t="str">
        <f>OBV!H432</f>
        <v>CONFIRMED BEARISH</v>
      </c>
      <c r="M432" s="7">
        <f t="shared" si="63"/>
        <v>50</v>
      </c>
      <c r="N432" s="7">
        <f t="shared" si="60"/>
        <v>100</v>
      </c>
      <c r="O432" s="7">
        <f t="shared" si="61"/>
        <v>50</v>
      </c>
      <c r="P432" s="7">
        <f t="shared" si="62"/>
        <v>33</v>
      </c>
      <c r="Q432" s="8">
        <f t="shared" si="64"/>
        <v>64.95</v>
      </c>
      <c r="R432" s="8">
        <f t="shared" si="65"/>
        <v>55.75</v>
      </c>
      <c r="S432" s="8">
        <f t="shared" si="66"/>
        <v>49.85</v>
      </c>
      <c r="T432" s="8">
        <f t="shared" si="67"/>
        <v>58.25</v>
      </c>
      <c r="U432" s="7">
        <f t="shared" si="68"/>
        <v>56.85</v>
      </c>
      <c r="V432" s="7">
        <f t="shared" si="69"/>
        <v>57.2</v>
      </c>
    </row>
    <row r="433" spans="1:22" ht="13.5" x14ac:dyDescent="0.25">
      <c r="A433" s="3">
        <f>RSI!A433</f>
        <v>45548</v>
      </c>
      <c r="B433" s="2">
        <f>RSI!B433</f>
        <v>5.6340000000000003</v>
      </c>
      <c r="C433" s="2">
        <f>RSI!I433</f>
        <v>45.692121672351675</v>
      </c>
      <c r="D433" s="2">
        <f>MACD!E433</f>
        <v>2.0096447747149249E-2</v>
      </c>
      <c r="E433" s="2">
        <f>MACD!F433</f>
        <v>4.0450188880085503E-2</v>
      </c>
      <c r="F433" s="2">
        <f>'Moving Avg'!D433</f>
        <v>5.6188000000000002</v>
      </c>
      <c r="G433" s="2">
        <f>'Moving Avg'!F433</f>
        <v>5.6418999999999988</v>
      </c>
      <c r="H433" s="2">
        <f>'Moving Avg'!G433</f>
        <v>5.7272200000000035</v>
      </c>
      <c r="I433" s="2">
        <f>'Moving Avg'!H433</f>
        <v>5.3040400000000014</v>
      </c>
      <c r="J433" s="5" t="str">
        <f>OBV!F433</f>
        <v>BULLISH</v>
      </c>
      <c r="K433" s="5" t="str">
        <f>OBV!G433</f>
        <v>NEUTRAL</v>
      </c>
      <c r="L433" s="5" t="str">
        <f>OBV!H433</f>
        <v>NEUTRAL</v>
      </c>
      <c r="M433" s="7">
        <f t="shared" si="63"/>
        <v>50</v>
      </c>
      <c r="N433" s="7">
        <f t="shared" si="60"/>
        <v>100</v>
      </c>
      <c r="O433" s="7">
        <f t="shared" si="61"/>
        <v>50</v>
      </c>
      <c r="P433" s="7">
        <f t="shared" si="62"/>
        <v>49.5</v>
      </c>
      <c r="Q433" s="8">
        <f t="shared" si="64"/>
        <v>67.424999999999997</v>
      </c>
      <c r="R433" s="8">
        <f t="shared" si="65"/>
        <v>59.875</v>
      </c>
      <c r="S433" s="8">
        <f t="shared" si="66"/>
        <v>57.275000000000006</v>
      </c>
      <c r="T433" s="8">
        <f t="shared" si="67"/>
        <v>62.375</v>
      </c>
      <c r="U433" s="7">
        <f t="shared" si="68"/>
        <v>61.524999999999999</v>
      </c>
      <c r="V433" s="7">
        <f t="shared" si="69"/>
        <v>61.737499999999997</v>
      </c>
    </row>
    <row r="434" spans="1:22" ht="13.5" x14ac:dyDescent="0.25">
      <c r="A434" s="3">
        <f>RSI!A434</f>
        <v>45551</v>
      </c>
      <c r="B434" s="2">
        <f>RSI!B434</f>
        <v>5.6340000000000003</v>
      </c>
      <c r="C434" s="2">
        <f>RSI!I434</f>
        <v>45.692121672351675</v>
      </c>
      <c r="D434" s="2">
        <f>MACD!E434</f>
        <v>1.5343211457540917E-2</v>
      </c>
      <c r="E434" s="2">
        <f>MACD!F434</f>
        <v>3.5428793395576585E-2</v>
      </c>
      <c r="F434" s="2">
        <f>'Moving Avg'!D434</f>
        <v>5.6226000000000003</v>
      </c>
      <c r="G434" s="2">
        <f>'Moving Avg'!F434</f>
        <v>5.6376999999999997</v>
      </c>
      <c r="H434" s="2">
        <f>'Moving Avg'!G434</f>
        <v>5.7347400000000031</v>
      </c>
      <c r="I434" s="2">
        <f>'Moving Avg'!H434</f>
        <v>5.3044450000000021</v>
      </c>
      <c r="J434" s="5" t="str">
        <f>OBV!F434</f>
        <v>BULLISH</v>
      </c>
      <c r="K434" s="5" t="str">
        <f>OBV!G434</f>
        <v>WEAK</v>
      </c>
      <c r="L434" s="5" t="str">
        <f>OBV!H434</f>
        <v>CONFIRMED BULLISH</v>
      </c>
      <c r="M434" s="7">
        <f t="shared" si="63"/>
        <v>50</v>
      </c>
      <c r="N434" s="7">
        <f t="shared" si="60"/>
        <v>100</v>
      </c>
      <c r="O434" s="7">
        <f t="shared" si="61"/>
        <v>50</v>
      </c>
      <c r="P434" s="7">
        <f t="shared" si="62"/>
        <v>67</v>
      </c>
      <c r="Q434" s="8">
        <f t="shared" si="64"/>
        <v>70.05</v>
      </c>
      <c r="R434" s="8">
        <f t="shared" si="65"/>
        <v>64.25</v>
      </c>
      <c r="S434" s="8">
        <f t="shared" si="66"/>
        <v>65.150000000000006</v>
      </c>
      <c r="T434" s="8">
        <f t="shared" si="67"/>
        <v>66.75</v>
      </c>
      <c r="U434" s="7">
        <f t="shared" si="68"/>
        <v>66.483333333333334</v>
      </c>
      <c r="V434" s="7">
        <f t="shared" si="69"/>
        <v>66.550000000000011</v>
      </c>
    </row>
    <row r="435" spans="1:22" ht="13.5" x14ac:dyDescent="0.25">
      <c r="A435" s="3">
        <f>RSI!A435</f>
        <v>45552</v>
      </c>
      <c r="B435" s="2">
        <f>RSI!B435</f>
        <v>5.6340000000000003</v>
      </c>
      <c r="C435" s="2">
        <f>RSI!I435</f>
        <v>45.692121672351675</v>
      </c>
      <c r="D435" s="2">
        <f>MACD!E435</f>
        <v>1.5752006826565079E-2</v>
      </c>
      <c r="E435" s="2">
        <f>MACD!F435</f>
        <v>3.1493436081774281E-2</v>
      </c>
      <c r="F435" s="2">
        <f>'Moving Avg'!D435</f>
        <v>5.6264000000000003</v>
      </c>
      <c r="G435" s="2">
        <f>'Moving Avg'!F435</f>
        <v>5.6334999999999997</v>
      </c>
      <c r="H435" s="2">
        <f>'Moving Avg'!G435</f>
        <v>5.7394400000000028</v>
      </c>
      <c r="I435" s="2">
        <f>'Moving Avg'!H435</f>
        <v>5.3048050000000027</v>
      </c>
      <c r="J435" s="5" t="str">
        <f>OBV!F435</f>
        <v>BULLISH</v>
      </c>
      <c r="K435" s="5" t="str">
        <f>OBV!G435</f>
        <v>WEAK</v>
      </c>
      <c r="L435" s="5" t="str">
        <f>OBV!H435</f>
        <v>CONFIRMED BULLISH</v>
      </c>
      <c r="M435" s="7">
        <f t="shared" si="63"/>
        <v>50</v>
      </c>
      <c r="N435" s="7">
        <f t="shared" si="60"/>
        <v>45</v>
      </c>
      <c r="O435" s="7">
        <f t="shared" si="61"/>
        <v>50</v>
      </c>
      <c r="P435" s="7">
        <f t="shared" si="62"/>
        <v>67</v>
      </c>
      <c r="Q435" s="8">
        <f t="shared" si="64"/>
        <v>50.8</v>
      </c>
      <c r="R435" s="8">
        <f t="shared" si="65"/>
        <v>53.25</v>
      </c>
      <c r="S435" s="8">
        <f t="shared" si="66"/>
        <v>56.900000000000006</v>
      </c>
      <c r="T435" s="8">
        <f t="shared" si="67"/>
        <v>53</v>
      </c>
      <c r="U435" s="7">
        <f t="shared" si="68"/>
        <v>53.65</v>
      </c>
      <c r="V435" s="7">
        <f t="shared" si="69"/>
        <v>53.487499999999997</v>
      </c>
    </row>
    <row r="436" spans="1:22" ht="13.5" x14ac:dyDescent="0.25">
      <c r="A436" s="3">
        <f>RSI!A436</f>
        <v>45553</v>
      </c>
      <c r="B436" s="2">
        <f>RSI!B436</f>
        <v>5.6340000000000003</v>
      </c>
      <c r="C436" s="2">
        <f>RSI!I436</f>
        <v>45.692121672351689</v>
      </c>
      <c r="D436" s="2">
        <f>MACD!E436</f>
        <v>1.1904174060683559E-2</v>
      </c>
      <c r="E436" s="2">
        <f>MACD!F436</f>
        <v>2.7575583677556137E-2</v>
      </c>
      <c r="F436" s="2">
        <f>'Moving Avg'!D436</f>
        <v>5.6302000000000003</v>
      </c>
      <c r="G436" s="2">
        <f>'Moving Avg'!F436</f>
        <v>5.6334999999999997</v>
      </c>
      <c r="H436" s="2">
        <f>'Moving Avg'!G436</f>
        <v>5.7432000000000043</v>
      </c>
      <c r="I436" s="2">
        <f>'Moving Avg'!H436</f>
        <v>5.3052550000000034</v>
      </c>
      <c r="J436" s="5" t="str">
        <f>OBV!F436</f>
        <v>BULLISH</v>
      </c>
      <c r="K436" s="5" t="str">
        <f>OBV!G436</f>
        <v>WEAK</v>
      </c>
      <c r="L436" s="5" t="str">
        <f>OBV!H436</f>
        <v>CONFIRMED BULLISH</v>
      </c>
      <c r="M436" s="7">
        <f t="shared" si="63"/>
        <v>50</v>
      </c>
      <c r="N436" s="7">
        <f t="shared" si="60"/>
        <v>45</v>
      </c>
      <c r="O436" s="7">
        <f t="shared" si="61"/>
        <v>50</v>
      </c>
      <c r="P436" s="7">
        <f t="shared" si="62"/>
        <v>67</v>
      </c>
      <c r="Q436" s="8">
        <f t="shared" si="64"/>
        <v>50.8</v>
      </c>
      <c r="R436" s="8">
        <f t="shared" si="65"/>
        <v>53.25</v>
      </c>
      <c r="S436" s="8">
        <f t="shared" si="66"/>
        <v>56.900000000000006</v>
      </c>
      <c r="T436" s="8">
        <f t="shared" si="67"/>
        <v>53</v>
      </c>
      <c r="U436" s="7">
        <f t="shared" si="68"/>
        <v>53.65</v>
      </c>
      <c r="V436" s="7">
        <f t="shared" si="69"/>
        <v>53.487499999999997</v>
      </c>
    </row>
    <row r="437" spans="1:22" ht="13.5" x14ac:dyDescent="0.25">
      <c r="A437" s="3">
        <f>RSI!A437</f>
        <v>45554</v>
      </c>
      <c r="B437" s="2">
        <f>RSI!B437</f>
        <v>5.7279999999999998</v>
      </c>
      <c r="C437" s="2">
        <f>RSI!I437</f>
        <v>63.53133225492742</v>
      </c>
      <c r="D437" s="2">
        <f>MACD!E437</f>
        <v>1.79086720353272E-3</v>
      </c>
      <c r="E437" s="2">
        <f>MACD!F437</f>
        <v>2.2418640382751456E-2</v>
      </c>
      <c r="F437" s="2">
        <f>'Moving Avg'!D437</f>
        <v>5.6528000000000009</v>
      </c>
      <c r="G437" s="2">
        <f>'Moving Avg'!F437</f>
        <v>5.6381999999999994</v>
      </c>
      <c r="H437" s="2">
        <f>'Moving Avg'!G437</f>
        <v>5.7488400000000039</v>
      </c>
      <c r="I437" s="2">
        <f>'Moving Avg'!H437</f>
        <v>5.3062200000000033</v>
      </c>
      <c r="J437" s="5" t="str">
        <f>OBV!F437</f>
        <v>BULLISH</v>
      </c>
      <c r="K437" s="5" t="str">
        <f>OBV!G437</f>
        <v>WEAK</v>
      </c>
      <c r="L437" s="5" t="str">
        <f>OBV!H437</f>
        <v>CONFIRMED BULLISH</v>
      </c>
      <c r="M437" s="7">
        <f t="shared" si="63"/>
        <v>50</v>
      </c>
      <c r="N437" s="7">
        <f t="shared" si="60"/>
        <v>100</v>
      </c>
      <c r="O437" s="7">
        <f t="shared" si="61"/>
        <v>50</v>
      </c>
      <c r="P437" s="7">
        <f t="shared" si="62"/>
        <v>67</v>
      </c>
      <c r="Q437" s="8">
        <f t="shared" si="64"/>
        <v>70.05</v>
      </c>
      <c r="R437" s="8">
        <f t="shared" si="65"/>
        <v>64.25</v>
      </c>
      <c r="S437" s="8">
        <f t="shared" si="66"/>
        <v>65.150000000000006</v>
      </c>
      <c r="T437" s="8">
        <f t="shared" si="67"/>
        <v>66.75</v>
      </c>
      <c r="U437" s="7">
        <f t="shared" si="68"/>
        <v>66.483333333333334</v>
      </c>
      <c r="V437" s="7">
        <f t="shared" si="69"/>
        <v>66.550000000000011</v>
      </c>
    </row>
    <row r="438" spans="1:22" ht="13.5" x14ac:dyDescent="0.25">
      <c r="A438" s="3">
        <f>RSI!A438</f>
        <v>45555</v>
      </c>
      <c r="B438" s="2">
        <f>RSI!B438</f>
        <v>5.7649999999999997</v>
      </c>
      <c r="C438" s="2">
        <f>RSI!I438</f>
        <v>67.988665721621118</v>
      </c>
      <c r="D438" s="2">
        <f>MACD!E438</f>
        <v>-9.9650383649310115E-3</v>
      </c>
      <c r="E438" s="2">
        <f>MACD!F438</f>
        <v>1.5941904633214963E-2</v>
      </c>
      <c r="F438" s="2">
        <f>'Moving Avg'!D438</f>
        <v>5.6790000000000003</v>
      </c>
      <c r="G438" s="2">
        <f>'Moving Avg'!F438</f>
        <v>5.6447499999999993</v>
      </c>
      <c r="H438" s="2">
        <f>'Moving Avg'!G438</f>
        <v>5.7514600000000033</v>
      </c>
      <c r="I438" s="2">
        <f>'Moving Avg'!H438</f>
        <v>5.3073700000000033</v>
      </c>
      <c r="J438" s="5" t="str">
        <f>OBV!F438</f>
        <v>BULLISH</v>
      </c>
      <c r="K438" s="5" t="str">
        <f>OBV!G438</f>
        <v>WEAK</v>
      </c>
      <c r="L438" s="5" t="str">
        <f>OBV!H438</f>
        <v>CONFIRMED BULLISH</v>
      </c>
      <c r="M438" s="7">
        <f t="shared" si="63"/>
        <v>50</v>
      </c>
      <c r="N438" s="7">
        <f t="shared" si="60"/>
        <v>100</v>
      </c>
      <c r="O438" s="7">
        <f t="shared" si="61"/>
        <v>50</v>
      </c>
      <c r="P438" s="7">
        <f t="shared" si="62"/>
        <v>67</v>
      </c>
      <c r="Q438" s="8">
        <f t="shared" si="64"/>
        <v>70.05</v>
      </c>
      <c r="R438" s="8">
        <f t="shared" si="65"/>
        <v>64.25</v>
      </c>
      <c r="S438" s="8">
        <f t="shared" si="66"/>
        <v>65.150000000000006</v>
      </c>
      <c r="T438" s="8">
        <f t="shared" si="67"/>
        <v>66.75</v>
      </c>
      <c r="U438" s="7">
        <f t="shared" si="68"/>
        <v>66.483333333333334</v>
      </c>
      <c r="V438" s="7">
        <f t="shared" si="69"/>
        <v>66.550000000000011</v>
      </c>
    </row>
    <row r="439" spans="1:22" ht="13.5" x14ac:dyDescent="0.25">
      <c r="A439" s="3">
        <f>RSI!A439</f>
        <v>45558</v>
      </c>
      <c r="B439" s="2">
        <f>RSI!B439</f>
        <v>5.7750000000000004</v>
      </c>
      <c r="C439" s="2">
        <f>RSI!I439</f>
        <v>69.088331315764449</v>
      </c>
      <c r="D439" s="2">
        <f>MACD!E439</f>
        <v>-2.4218639156577737E-2</v>
      </c>
      <c r="E439" s="2">
        <f>MACD!F439</f>
        <v>7.9097958752564236E-3</v>
      </c>
      <c r="F439" s="2">
        <f>'Moving Avg'!D439</f>
        <v>5.7072000000000003</v>
      </c>
      <c r="G439" s="2">
        <f>'Moving Avg'!F439</f>
        <v>5.6517999999999997</v>
      </c>
      <c r="H439" s="2">
        <f>'Moving Avg'!G439</f>
        <v>5.7507200000000021</v>
      </c>
      <c r="I439" s="2">
        <f>'Moving Avg'!H439</f>
        <v>5.3086150000000032</v>
      </c>
      <c r="J439" s="5" t="str">
        <f>OBV!F439</f>
        <v>BULLISH</v>
      </c>
      <c r="K439" s="5" t="str">
        <f>OBV!G439</f>
        <v>WEAK</v>
      </c>
      <c r="L439" s="5" t="str">
        <f>OBV!H439</f>
        <v>CONFIRMED BULLISH</v>
      </c>
      <c r="M439" s="7">
        <f t="shared" si="63"/>
        <v>50</v>
      </c>
      <c r="N439" s="7">
        <f t="shared" si="60"/>
        <v>100</v>
      </c>
      <c r="O439" s="7">
        <f t="shared" si="61"/>
        <v>50</v>
      </c>
      <c r="P439" s="7">
        <f t="shared" si="62"/>
        <v>67</v>
      </c>
      <c r="Q439" s="8">
        <f t="shared" si="64"/>
        <v>70.05</v>
      </c>
      <c r="R439" s="8">
        <f t="shared" si="65"/>
        <v>64.25</v>
      </c>
      <c r="S439" s="8">
        <f t="shared" si="66"/>
        <v>65.150000000000006</v>
      </c>
      <c r="T439" s="8">
        <f t="shared" si="67"/>
        <v>66.75</v>
      </c>
      <c r="U439" s="7">
        <f t="shared" si="68"/>
        <v>66.483333333333334</v>
      </c>
      <c r="V439" s="7">
        <f t="shared" si="69"/>
        <v>66.550000000000011</v>
      </c>
    </row>
    <row r="440" spans="1:22" ht="13.5" x14ac:dyDescent="0.25">
      <c r="A440" s="3">
        <f>RSI!A440</f>
        <v>45559</v>
      </c>
      <c r="B440" s="2">
        <f>RSI!B440</f>
        <v>5.7750000000000004</v>
      </c>
      <c r="C440" s="2">
        <f>RSI!I440</f>
        <v>69.088331315764464</v>
      </c>
      <c r="D440" s="2">
        <f>MACD!E440</f>
        <v>-3.6933356139701168E-2</v>
      </c>
      <c r="E440" s="2">
        <f>MACD!F440</f>
        <v>-1.0588345277350942E-3</v>
      </c>
      <c r="F440" s="2">
        <f>'Moving Avg'!D440</f>
        <v>5.7354000000000003</v>
      </c>
      <c r="G440" s="2">
        <f>'Moving Avg'!F440</f>
        <v>5.6593000000000009</v>
      </c>
      <c r="H440" s="2">
        <f>'Moving Avg'!G440</f>
        <v>5.7486600000000019</v>
      </c>
      <c r="I440" s="2">
        <f>'Moving Avg'!H440</f>
        <v>5.309860000000004</v>
      </c>
      <c r="J440" s="5" t="str">
        <f>OBV!F440</f>
        <v>BULLISH</v>
      </c>
      <c r="K440" s="5" t="str">
        <f>OBV!G440</f>
        <v>WEAK</v>
      </c>
      <c r="L440" s="5" t="str">
        <f>OBV!H440</f>
        <v>CONFIRMED BULLISH</v>
      </c>
      <c r="M440" s="7">
        <f t="shared" si="63"/>
        <v>50</v>
      </c>
      <c r="N440" s="7">
        <f t="shared" si="60"/>
        <v>100</v>
      </c>
      <c r="O440" s="7">
        <f t="shared" si="61"/>
        <v>50</v>
      </c>
      <c r="P440" s="7">
        <f t="shared" si="62"/>
        <v>67</v>
      </c>
      <c r="Q440" s="8">
        <f t="shared" si="64"/>
        <v>70.05</v>
      </c>
      <c r="R440" s="8">
        <f t="shared" si="65"/>
        <v>64.25</v>
      </c>
      <c r="S440" s="8">
        <f t="shared" si="66"/>
        <v>65.150000000000006</v>
      </c>
      <c r="T440" s="8">
        <f t="shared" si="67"/>
        <v>66.75</v>
      </c>
      <c r="U440" s="7">
        <f t="shared" si="68"/>
        <v>66.483333333333334</v>
      </c>
      <c r="V440" s="7">
        <f t="shared" si="69"/>
        <v>66.550000000000011</v>
      </c>
    </row>
    <row r="441" spans="1:22" ht="13.5" x14ac:dyDescent="0.25">
      <c r="A441" s="3">
        <f>RSI!A441</f>
        <v>45560</v>
      </c>
      <c r="B441" s="2">
        <f>RSI!B441</f>
        <v>5.7649999999999997</v>
      </c>
      <c r="C441" s="2">
        <f>RSI!I441</f>
        <v>66.441269112561685</v>
      </c>
      <c r="D441" s="2">
        <f>MACD!E441</f>
        <v>-4.7556757124886495E-2</v>
      </c>
      <c r="E441" s="2">
        <f>MACD!F441</f>
        <v>-1.0358419047165375E-2</v>
      </c>
      <c r="F441" s="2">
        <f>'Moving Avg'!D441</f>
        <v>5.7615999999999996</v>
      </c>
      <c r="G441" s="2">
        <f>'Moving Avg'!F441</f>
        <v>5.6658500000000007</v>
      </c>
      <c r="H441" s="2">
        <f>'Moving Avg'!G441</f>
        <v>5.7456400000000016</v>
      </c>
      <c r="I441" s="2">
        <f>'Moving Avg'!H441</f>
        <v>5.311055000000005</v>
      </c>
      <c r="J441" s="5" t="str">
        <f>OBV!F441</f>
        <v>BULLISH</v>
      </c>
      <c r="K441" s="5" t="str">
        <f>OBV!G441</f>
        <v>WEAK</v>
      </c>
      <c r="L441" s="5" t="str">
        <f>OBV!H441</f>
        <v>CONFIRMED BULLISH</v>
      </c>
      <c r="M441" s="7">
        <f t="shared" si="63"/>
        <v>50</v>
      </c>
      <c r="N441" s="7">
        <f t="shared" si="60"/>
        <v>100</v>
      </c>
      <c r="O441" s="7">
        <f t="shared" si="61"/>
        <v>50</v>
      </c>
      <c r="P441" s="7">
        <f t="shared" si="62"/>
        <v>67</v>
      </c>
      <c r="Q441" s="8">
        <f t="shared" si="64"/>
        <v>70.05</v>
      </c>
      <c r="R441" s="8">
        <f t="shared" si="65"/>
        <v>64.25</v>
      </c>
      <c r="S441" s="8">
        <f t="shared" si="66"/>
        <v>65.150000000000006</v>
      </c>
      <c r="T441" s="8">
        <f t="shared" si="67"/>
        <v>66.75</v>
      </c>
      <c r="U441" s="7">
        <f t="shared" si="68"/>
        <v>66.483333333333334</v>
      </c>
      <c r="V441" s="7">
        <f t="shared" si="69"/>
        <v>66.550000000000011</v>
      </c>
    </row>
    <row r="442" spans="1:22" ht="13.5" x14ac:dyDescent="0.25">
      <c r="A442" s="3">
        <f>RSI!A442</f>
        <v>45561</v>
      </c>
      <c r="B442" s="2">
        <f>RSI!B442</f>
        <v>5.7750000000000004</v>
      </c>
      <c r="C442" s="2">
        <f>RSI!I442</f>
        <v>67.771079985485784</v>
      </c>
      <c r="D442" s="2">
        <f>MACD!E442</f>
        <v>-5.7788119638922275E-2</v>
      </c>
      <c r="E442" s="2">
        <f>MACD!F442</f>
        <v>-1.9844359165516759E-2</v>
      </c>
      <c r="F442" s="2">
        <f>'Moving Avg'!D442</f>
        <v>5.770999999999999</v>
      </c>
      <c r="G442" s="2">
        <f>'Moving Avg'!F442</f>
        <v>5.6729000000000012</v>
      </c>
      <c r="H442" s="2">
        <f>'Moving Avg'!G442</f>
        <v>5.7418800000000019</v>
      </c>
      <c r="I442" s="2">
        <f>'Moving Avg'!H442</f>
        <v>5.3123000000000049</v>
      </c>
      <c r="J442" s="5" t="str">
        <f>OBV!F442</f>
        <v>BULLISH</v>
      </c>
      <c r="K442" s="5" t="str">
        <f>OBV!G442</f>
        <v>WEAK</v>
      </c>
      <c r="L442" s="5" t="str">
        <f>OBV!H442</f>
        <v>CONFIRMED BULLISH</v>
      </c>
      <c r="M442" s="7">
        <f t="shared" si="63"/>
        <v>50</v>
      </c>
      <c r="N442" s="7">
        <f t="shared" si="60"/>
        <v>100</v>
      </c>
      <c r="O442" s="7">
        <f t="shared" si="61"/>
        <v>50</v>
      </c>
      <c r="P442" s="7">
        <f t="shared" si="62"/>
        <v>67</v>
      </c>
      <c r="Q442" s="8">
        <f t="shared" si="64"/>
        <v>70.05</v>
      </c>
      <c r="R442" s="8">
        <f t="shared" si="65"/>
        <v>64.25</v>
      </c>
      <c r="S442" s="8">
        <f t="shared" si="66"/>
        <v>65.150000000000006</v>
      </c>
      <c r="T442" s="8">
        <f t="shared" si="67"/>
        <v>66.75</v>
      </c>
      <c r="U442" s="7">
        <f t="shared" si="68"/>
        <v>66.483333333333334</v>
      </c>
      <c r="V442" s="7">
        <f t="shared" si="69"/>
        <v>66.550000000000011</v>
      </c>
    </row>
    <row r="443" spans="1:22" ht="13.5" x14ac:dyDescent="0.25">
      <c r="A443" s="3">
        <f>RSI!A443</f>
        <v>45562</v>
      </c>
      <c r="B443" s="2">
        <f>RSI!B443</f>
        <v>5.8220000000000001</v>
      </c>
      <c r="C443" s="2">
        <f>RSI!I443</f>
        <v>73.155327357115709</v>
      </c>
      <c r="D443" s="2">
        <f>MACD!E443</f>
        <v>-6.7527356712438369E-2</v>
      </c>
      <c r="E443" s="2">
        <f>MACD!F443</f>
        <v>-2.9380958674901082E-2</v>
      </c>
      <c r="F443" s="2">
        <f>'Moving Avg'!D443</f>
        <v>5.7824000000000009</v>
      </c>
      <c r="G443" s="2">
        <f>'Moving Avg'!F443</f>
        <v>5.6799500000000007</v>
      </c>
      <c r="H443" s="2">
        <f>'Moving Avg'!G443</f>
        <v>5.7394400000000019</v>
      </c>
      <c r="I443" s="2">
        <f>'Moving Avg'!H443</f>
        <v>5.3139100000000044</v>
      </c>
      <c r="J443" s="5" t="str">
        <f>OBV!F443</f>
        <v>BULLISH</v>
      </c>
      <c r="K443" s="5" t="str">
        <f>OBV!G443</f>
        <v>WEAK</v>
      </c>
      <c r="L443" s="5" t="str">
        <f>OBV!H443</f>
        <v>CONFIRMED BULLISH</v>
      </c>
      <c r="M443" s="7">
        <f t="shared" si="63"/>
        <v>0</v>
      </c>
      <c r="N443" s="7">
        <f t="shared" si="60"/>
        <v>100</v>
      </c>
      <c r="O443" s="7">
        <f t="shared" si="61"/>
        <v>50</v>
      </c>
      <c r="P443" s="7">
        <f t="shared" si="62"/>
        <v>67</v>
      </c>
      <c r="Q443" s="8">
        <f t="shared" si="64"/>
        <v>52.55</v>
      </c>
      <c r="R443" s="8">
        <f t="shared" si="65"/>
        <v>54.25</v>
      </c>
      <c r="S443" s="8">
        <f t="shared" si="66"/>
        <v>57.650000000000006</v>
      </c>
      <c r="T443" s="8">
        <f t="shared" si="67"/>
        <v>54.25</v>
      </c>
      <c r="U443" s="7">
        <f t="shared" si="68"/>
        <v>54.816666666666663</v>
      </c>
      <c r="V443" s="7">
        <f t="shared" si="69"/>
        <v>54.674999999999997</v>
      </c>
    </row>
    <row r="444" spans="1:22" ht="13.5" x14ac:dyDescent="0.25">
      <c r="A444" s="3">
        <f>RSI!A444</f>
        <v>45565</v>
      </c>
      <c r="B444" s="2">
        <f>RSI!B444</f>
        <v>5.8220000000000001</v>
      </c>
      <c r="C444" s="2">
        <f>RSI!I444</f>
        <v>73.155327357115709</v>
      </c>
      <c r="D444" s="2">
        <f>MACD!E444</f>
        <v>-7.6530720724880652E-2</v>
      </c>
      <c r="E444" s="2">
        <f>MACD!F444</f>
        <v>-3.8810911084896996E-2</v>
      </c>
      <c r="F444" s="2">
        <f>'Moving Avg'!D444</f>
        <v>5.7917999999999994</v>
      </c>
      <c r="G444" s="2">
        <f>'Moving Avg'!F444</f>
        <v>5.689350000000001</v>
      </c>
      <c r="H444" s="2">
        <f>'Moving Avg'!G444</f>
        <v>5.7381400000000022</v>
      </c>
      <c r="I444" s="2">
        <f>'Moving Avg'!H444</f>
        <v>5.3159650000000029</v>
      </c>
      <c r="J444" s="5" t="str">
        <f>OBV!F444</f>
        <v>BULLISH</v>
      </c>
      <c r="K444" s="5" t="str">
        <f>OBV!G444</f>
        <v>WEAK</v>
      </c>
      <c r="L444" s="5" t="str">
        <f>OBV!H444</f>
        <v>CONFIRMED BULLISH</v>
      </c>
      <c r="M444" s="7">
        <f t="shared" si="63"/>
        <v>0</v>
      </c>
      <c r="N444" s="7">
        <f t="shared" si="60"/>
        <v>100</v>
      </c>
      <c r="O444" s="7">
        <f t="shared" si="61"/>
        <v>50</v>
      </c>
      <c r="P444" s="7">
        <f t="shared" si="62"/>
        <v>67</v>
      </c>
      <c r="Q444" s="8">
        <f t="shared" si="64"/>
        <v>52.55</v>
      </c>
      <c r="R444" s="8">
        <f t="shared" si="65"/>
        <v>54.25</v>
      </c>
      <c r="S444" s="8">
        <f t="shared" si="66"/>
        <v>57.650000000000006</v>
      </c>
      <c r="T444" s="8">
        <f t="shared" si="67"/>
        <v>54.25</v>
      </c>
      <c r="U444" s="7">
        <f t="shared" si="68"/>
        <v>54.816666666666663</v>
      </c>
      <c r="V444" s="7">
        <f t="shared" si="69"/>
        <v>54.674999999999997</v>
      </c>
    </row>
    <row r="445" spans="1:22" ht="13.5" x14ac:dyDescent="0.25">
      <c r="A445" s="3">
        <f>RSI!A445</f>
        <v>45566</v>
      </c>
      <c r="B445" s="2">
        <f>RSI!B445</f>
        <v>5.8220000000000001</v>
      </c>
      <c r="C445" s="2">
        <f>RSI!I445</f>
        <v>73.155327357115709</v>
      </c>
      <c r="D445" s="2">
        <f>MACD!E445</f>
        <v>-8.4854943575370712E-2</v>
      </c>
      <c r="E445" s="2">
        <f>MACD!F445</f>
        <v>-4.8019717582991742E-2</v>
      </c>
      <c r="F445" s="2">
        <f>'Moving Avg'!D445</f>
        <v>5.8011999999999997</v>
      </c>
      <c r="G445" s="2">
        <f>'Moving Avg'!F445</f>
        <v>5.6973500000000019</v>
      </c>
      <c r="H445" s="2">
        <f>'Moving Avg'!G445</f>
        <v>5.7368400000000035</v>
      </c>
      <c r="I445" s="2">
        <f>'Moving Avg'!H445</f>
        <v>5.3180650000000016</v>
      </c>
      <c r="J445" s="5" t="str">
        <f>OBV!F445</f>
        <v>BULLISH</v>
      </c>
      <c r="K445" s="5" t="str">
        <f>OBV!G445</f>
        <v>WEAK</v>
      </c>
      <c r="L445" s="5" t="str">
        <f>OBV!H445</f>
        <v>CONFIRMED BULLISH</v>
      </c>
      <c r="M445" s="7">
        <f t="shared" si="63"/>
        <v>0</v>
      </c>
      <c r="N445" s="7">
        <f t="shared" si="60"/>
        <v>100</v>
      </c>
      <c r="O445" s="7">
        <f t="shared" si="61"/>
        <v>50</v>
      </c>
      <c r="P445" s="7">
        <f t="shared" si="62"/>
        <v>67</v>
      </c>
      <c r="Q445" s="8">
        <f t="shared" si="64"/>
        <v>52.55</v>
      </c>
      <c r="R445" s="8">
        <f t="shared" si="65"/>
        <v>54.25</v>
      </c>
      <c r="S445" s="8">
        <f t="shared" si="66"/>
        <v>57.650000000000006</v>
      </c>
      <c r="T445" s="8">
        <f t="shared" si="67"/>
        <v>54.25</v>
      </c>
      <c r="U445" s="7">
        <f t="shared" si="68"/>
        <v>54.816666666666663</v>
      </c>
      <c r="V445" s="7">
        <f t="shared" si="69"/>
        <v>54.674999999999997</v>
      </c>
    </row>
    <row r="446" spans="1:22" ht="13.5" x14ac:dyDescent="0.25">
      <c r="A446" s="3">
        <f>RSI!A446</f>
        <v>45567</v>
      </c>
      <c r="B446" s="2">
        <f>RSI!B446</f>
        <v>5.8120000000000003</v>
      </c>
      <c r="C446" s="2">
        <f>RSI!I446</f>
        <v>70.045641206257443</v>
      </c>
      <c r="D446" s="2">
        <f>MACD!E446</f>
        <v>-9.1811472092702573E-2</v>
      </c>
      <c r="E446" s="2">
        <f>MACD!F446</f>
        <v>-5.6778068484933913E-2</v>
      </c>
      <c r="F446" s="2">
        <f>'Moving Avg'!D446</f>
        <v>5.8106</v>
      </c>
      <c r="G446" s="2">
        <f>'Moving Avg'!F446</f>
        <v>5.7062500000000016</v>
      </c>
      <c r="H446" s="2">
        <f>'Moving Avg'!G446</f>
        <v>5.7359000000000027</v>
      </c>
      <c r="I446" s="2">
        <f>'Moving Avg'!H446</f>
        <v>5.3198949999999998</v>
      </c>
      <c r="J446" s="5" t="str">
        <f>OBV!F446</f>
        <v>BULLISH</v>
      </c>
      <c r="K446" s="5" t="str">
        <f>OBV!G446</f>
        <v>WEAK</v>
      </c>
      <c r="L446" s="5" t="str">
        <f>OBV!H446</f>
        <v>CONFIRMED BULLISH</v>
      </c>
      <c r="M446" s="7">
        <f t="shared" si="63"/>
        <v>0</v>
      </c>
      <c r="N446" s="7">
        <f t="shared" si="60"/>
        <v>100</v>
      </c>
      <c r="O446" s="7">
        <f t="shared" si="61"/>
        <v>50</v>
      </c>
      <c r="P446" s="7">
        <f t="shared" si="62"/>
        <v>67</v>
      </c>
      <c r="Q446" s="8">
        <f t="shared" si="64"/>
        <v>52.55</v>
      </c>
      <c r="R446" s="8">
        <f t="shared" si="65"/>
        <v>54.25</v>
      </c>
      <c r="S446" s="8">
        <f t="shared" si="66"/>
        <v>57.650000000000006</v>
      </c>
      <c r="T446" s="8">
        <f t="shared" si="67"/>
        <v>54.25</v>
      </c>
      <c r="U446" s="7">
        <f t="shared" si="68"/>
        <v>54.816666666666663</v>
      </c>
      <c r="V446" s="7">
        <f t="shared" si="69"/>
        <v>54.674999999999997</v>
      </c>
    </row>
    <row r="447" spans="1:22" ht="13.5" x14ac:dyDescent="0.25">
      <c r="A447" s="3">
        <f>RSI!A447</f>
        <v>45568</v>
      </c>
      <c r="B447" s="2">
        <f>RSI!B447</f>
        <v>5.7750000000000004</v>
      </c>
      <c r="C447" s="2">
        <f>RSI!I447</f>
        <v>59.899913465939257</v>
      </c>
      <c r="D447" s="2">
        <f>MACD!E447</f>
        <v>-8.1041669967048868E-2</v>
      </c>
      <c r="E447" s="2">
        <f>MACD!F447</f>
        <v>-6.1630788781356902E-2</v>
      </c>
      <c r="F447" s="2">
        <f>'Moving Avg'!D447</f>
        <v>5.8106000000000009</v>
      </c>
      <c r="G447" s="2">
        <f>'Moving Avg'!F447</f>
        <v>5.713300000000002</v>
      </c>
      <c r="H447" s="2">
        <f>'Moving Avg'!G447</f>
        <v>5.7342200000000023</v>
      </c>
      <c r="I447" s="2">
        <f>'Moving Avg'!H447</f>
        <v>5.321625</v>
      </c>
      <c r="J447" s="5" t="str">
        <f>OBV!F447</f>
        <v>BEARISH</v>
      </c>
      <c r="K447" s="5" t="str">
        <f>OBV!G447</f>
        <v>STRONG</v>
      </c>
      <c r="L447" s="5" t="str">
        <f>OBV!H447</f>
        <v>NEUTRAL</v>
      </c>
      <c r="M447" s="7">
        <f t="shared" si="63"/>
        <v>50</v>
      </c>
      <c r="N447" s="7">
        <f t="shared" si="60"/>
        <v>45</v>
      </c>
      <c r="O447" s="7">
        <f t="shared" si="61"/>
        <v>50</v>
      </c>
      <c r="P447" s="7">
        <f t="shared" si="62"/>
        <v>33</v>
      </c>
      <c r="Q447" s="8">
        <f t="shared" si="64"/>
        <v>45.7</v>
      </c>
      <c r="R447" s="8">
        <f t="shared" si="65"/>
        <v>44.75</v>
      </c>
      <c r="S447" s="8">
        <f t="shared" si="66"/>
        <v>41.6</v>
      </c>
      <c r="T447" s="8">
        <f t="shared" si="67"/>
        <v>44.5</v>
      </c>
      <c r="U447" s="7">
        <f t="shared" si="68"/>
        <v>44.016666666666673</v>
      </c>
      <c r="V447" s="7">
        <f t="shared" si="69"/>
        <v>44.137500000000003</v>
      </c>
    </row>
    <row r="448" spans="1:22" ht="13.5" x14ac:dyDescent="0.25">
      <c r="A448" s="3">
        <f>RSI!A448</f>
        <v>45569</v>
      </c>
      <c r="B448" s="2">
        <f>RSI!B448</f>
        <v>5.7750000000000004</v>
      </c>
      <c r="C448" s="2">
        <f>RSI!I448</f>
        <v>59.89991346593925</v>
      </c>
      <c r="D448" s="2">
        <f>MACD!E448</f>
        <v>-6.6523543857581302E-2</v>
      </c>
      <c r="E448" s="2">
        <f>MACD!F448</f>
        <v>-6.2609339796601785E-2</v>
      </c>
      <c r="F448" s="2">
        <f>'Moving Avg'!D448</f>
        <v>5.8011999999999997</v>
      </c>
      <c r="G448" s="2">
        <f>'Moving Avg'!F448</f>
        <v>5.7203500000000016</v>
      </c>
      <c r="H448" s="2">
        <f>'Moving Avg'!G448</f>
        <v>5.7314000000000007</v>
      </c>
      <c r="I448" s="2">
        <f>'Moving Avg'!H448</f>
        <v>5.3234450000000004</v>
      </c>
      <c r="J448" s="5" t="str">
        <f>OBV!F448</f>
        <v>BEARISH</v>
      </c>
      <c r="K448" s="5" t="str">
        <f>OBV!G448</f>
        <v>STRONG</v>
      </c>
      <c r="L448" s="5" t="str">
        <f>OBV!H448</f>
        <v>CONFIRMED BEARISH</v>
      </c>
      <c r="M448" s="7">
        <f t="shared" si="63"/>
        <v>50</v>
      </c>
      <c r="N448" s="7">
        <f t="shared" si="60"/>
        <v>45</v>
      </c>
      <c r="O448" s="7">
        <f t="shared" si="61"/>
        <v>50</v>
      </c>
      <c r="P448" s="7">
        <f t="shared" si="62"/>
        <v>33</v>
      </c>
      <c r="Q448" s="8">
        <f t="shared" si="64"/>
        <v>45.7</v>
      </c>
      <c r="R448" s="8">
        <f t="shared" si="65"/>
        <v>44.75</v>
      </c>
      <c r="S448" s="8">
        <f t="shared" si="66"/>
        <v>41.6</v>
      </c>
      <c r="T448" s="8">
        <f t="shared" si="67"/>
        <v>44.5</v>
      </c>
      <c r="U448" s="7">
        <f t="shared" si="68"/>
        <v>44.016666666666673</v>
      </c>
      <c r="V448" s="7">
        <f t="shared" si="69"/>
        <v>44.137500000000003</v>
      </c>
    </row>
    <row r="449" spans="1:22" ht="13.5" x14ac:dyDescent="0.25">
      <c r="A449" s="3">
        <f>RSI!A449</f>
        <v>45572</v>
      </c>
      <c r="B449" s="2">
        <f>RSI!B449</f>
        <v>5.8220000000000001</v>
      </c>
      <c r="C449" s="2">
        <f>RSI!I449</f>
        <v>66.951934941563252</v>
      </c>
      <c r="D449" s="2">
        <f>MACD!E449</f>
        <v>-5.6447820622441469E-2</v>
      </c>
      <c r="E449" s="2">
        <f>MACD!F449</f>
        <v>-6.137703596176973E-2</v>
      </c>
      <c r="F449" s="2">
        <f>'Moving Avg'!D449</f>
        <v>5.8011999999999997</v>
      </c>
      <c r="G449" s="2">
        <f>'Moving Avg'!F449</f>
        <v>5.7307000000000006</v>
      </c>
      <c r="H449" s="2">
        <f>'Moving Avg'!G449</f>
        <v>5.7299000000000015</v>
      </c>
      <c r="I449" s="2">
        <f>'Moving Avg'!H449</f>
        <v>5.3254549999999998</v>
      </c>
      <c r="J449" s="5" t="str">
        <f>OBV!F449</f>
        <v>BEARISH</v>
      </c>
      <c r="K449" s="5" t="str">
        <f>OBV!G449</f>
        <v>STRONG</v>
      </c>
      <c r="L449" s="5" t="str">
        <f>OBV!H449</f>
        <v>NEUTRAL</v>
      </c>
      <c r="M449" s="7">
        <f t="shared" si="63"/>
        <v>50</v>
      </c>
      <c r="N449" s="7">
        <f t="shared" si="60"/>
        <v>0</v>
      </c>
      <c r="O449" s="7">
        <f t="shared" si="61"/>
        <v>50</v>
      </c>
      <c r="P449" s="7">
        <f t="shared" si="62"/>
        <v>33</v>
      </c>
      <c r="Q449" s="8">
        <f t="shared" si="64"/>
        <v>29.95</v>
      </c>
      <c r="R449" s="8">
        <f t="shared" si="65"/>
        <v>35.75</v>
      </c>
      <c r="S449" s="8">
        <f t="shared" si="66"/>
        <v>34.85</v>
      </c>
      <c r="T449" s="8">
        <f t="shared" si="67"/>
        <v>33.25</v>
      </c>
      <c r="U449" s="7">
        <f t="shared" si="68"/>
        <v>33.516666666666673</v>
      </c>
      <c r="V449" s="7">
        <f t="shared" si="69"/>
        <v>33.450000000000003</v>
      </c>
    </row>
    <row r="450" spans="1:22" ht="13.5" x14ac:dyDescent="0.25">
      <c r="A450" s="3">
        <f>RSI!A450</f>
        <v>45573</v>
      </c>
      <c r="B450" s="2">
        <f>RSI!B450</f>
        <v>5.6619999999999999</v>
      </c>
      <c r="C450" s="2">
        <f>RSI!I450</f>
        <v>40.707046988824779</v>
      </c>
      <c r="D450" s="2">
        <f>MACD!E450</f>
        <v>-3.6594216143371661E-2</v>
      </c>
      <c r="E450" s="2">
        <f>MACD!F450</f>
        <v>-5.6420471998090124E-2</v>
      </c>
      <c r="F450" s="2">
        <f>'Moving Avg'!D450</f>
        <v>5.7691999999999997</v>
      </c>
      <c r="G450" s="2">
        <f>'Moving Avg'!F450</f>
        <v>5.7330500000000013</v>
      </c>
      <c r="H450" s="2">
        <f>'Moving Avg'!G450</f>
        <v>5.725200000000001</v>
      </c>
      <c r="I450" s="2">
        <f>'Moving Avg'!H450</f>
        <v>5.3267549999999995</v>
      </c>
      <c r="J450" s="5" t="str">
        <f>OBV!F450</f>
        <v>BEARISH</v>
      </c>
      <c r="K450" s="5" t="str">
        <f>OBV!G450</f>
        <v>STRONG</v>
      </c>
      <c r="L450" s="5" t="str">
        <f>OBV!H450</f>
        <v>CONFIRMED BEARISH</v>
      </c>
      <c r="M450" s="7">
        <f t="shared" si="63"/>
        <v>50</v>
      </c>
      <c r="N450" s="7">
        <f t="shared" ref="N450:N513" si="70">IF(E450-D450&gt;0.02, 100, IF(E450-D450&lt;0,0,45))</f>
        <v>0</v>
      </c>
      <c r="O450" s="7">
        <f t="shared" ref="O450:O513" si="71">IF(F450-I450&gt;10,100,IF(F450-I450&gt;5,75, IF(F450-I450&gt;0,50,0)))</f>
        <v>50</v>
      </c>
      <c r="P450" s="7">
        <f t="shared" ref="P450:P513" si="72">IF(L450="confirmed bullish", 34, IF(L450="bullish divergence",17, 0))+IF(J450="bullish",33,IF(J450="bearish",0,16.5))+IF(K450="strong",33,IF(K450="weak",0,16.5))</f>
        <v>33</v>
      </c>
      <c r="Q450" s="8">
        <f t="shared" si="64"/>
        <v>29.95</v>
      </c>
      <c r="R450" s="8">
        <f t="shared" si="65"/>
        <v>35.75</v>
      </c>
      <c r="S450" s="8">
        <f t="shared" si="66"/>
        <v>34.85</v>
      </c>
      <c r="T450" s="8">
        <f t="shared" si="67"/>
        <v>33.25</v>
      </c>
      <c r="U450" s="7">
        <f t="shared" si="68"/>
        <v>33.516666666666673</v>
      </c>
      <c r="V450" s="7">
        <f t="shared" si="69"/>
        <v>33.450000000000003</v>
      </c>
    </row>
    <row r="451" spans="1:22" ht="13.5" x14ac:dyDescent="0.25">
      <c r="A451" s="3">
        <f>RSI!A451</f>
        <v>45574</v>
      </c>
      <c r="B451" s="2">
        <f>RSI!B451</f>
        <v>5.7750000000000004</v>
      </c>
      <c r="C451" s="2">
        <f>RSI!I451</f>
        <v>54.324793696390479</v>
      </c>
      <c r="D451" s="2">
        <f>MACD!E451</f>
        <v>-2.9243452336200626E-2</v>
      </c>
      <c r="E451" s="2">
        <f>MACD!F451</f>
        <v>-5.0985068065712229E-2</v>
      </c>
      <c r="F451" s="2">
        <f>'Moving Avg'!D451</f>
        <v>5.7617999999999991</v>
      </c>
      <c r="G451" s="2">
        <f>'Moving Avg'!F451</f>
        <v>5.7410500000000013</v>
      </c>
      <c r="H451" s="2">
        <f>'Moving Avg'!G451</f>
        <v>5.7242600000000001</v>
      </c>
      <c r="I451" s="2">
        <f>'Moving Avg'!H451</f>
        <v>5.3286650000000009</v>
      </c>
      <c r="J451" s="5" t="str">
        <f>OBV!F451</f>
        <v>BULLISH</v>
      </c>
      <c r="K451" s="5" t="str">
        <f>OBV!G451</f>
        <v>NEUTRAL</v>
      </c>
      <c r="L451" s="5" t="str">
        <f>OBV!H451</f>
        <v>BULLISH DIVERGENCE</v>
      </c>
      <c r="M451" s="7">
        <f t="shared" ref="M451:M514" si="73">IF(C451&lt;30,100, IF(C451&gt;70, 0, 50))</f>
        <v>50</v>
      </c>
      <c r="N451" s="7">
        <f t="shared" si="70"/>
        <v>0</v>
      </c>
      <c r="O451" s="7">
        <f t="shared" si="71"/>
        <v>50</v>
      </c>
      <c r="P451" s="7">
        <f t="shared" si="72"/>
        <v>66.5</v>
      </c>
      <c r="Q451" s="8">
        <f t="shared" ref="Q451:Q514" si="74">0.35*M451+N451*0.35+O451*0.15+P451*0.15</f>
        <v>34.975000000000001</v>
      </c>
      <c r="R451" s="8">
        <f t="shared" ref="R451:R514" si="75">M451*0.2+N451*0.2+O451*0.35+P451*0.25</f>
        <v>44.125</v>
      </c>
      <c r="S451" s="8">
        <f t="shared" ref="S451:S514" si="76">M451*0.15+N451*0.15+O451*0.25+P451*0.45</f>
        <v>49.924999999999997</v>
      </c>
      <c r="T451" s="8">
        <f t="shared" ref="T451:T514" si="77">0.25*SUM(M451:P451)</f>
        <v>41.625</v>
      </c>
      <c r="U451" s="7">
        <f t="shared" ref="U451:U514" si="78">SUM(Q451:S451)/3</f>
        <v>43.008333333333326</v>
      </c>
      <c r="V451" s="7">
        <f t="shared" ref="V451:V514" si="79">SUM(Q451:T451)/4</f>
        <v>42.662499999999994</v>
      </c>
    </row>
    <row r="452" spans="1:22" ht="13.5" x14ac:dyDescent="0.25">
      <c r="A452" s="3">
        <f>RSI!A452</f>
        <v>45575</v>
      </c>
      <c r="B452" s="2">
        <f>RSI!B452</f>
        <v>5.7750000000000004</v>
      </c>
      <c r="C452" s="2">
        <f>RSI!I452</f>
        <v>54.324793696390479</v>
      </c>
      <c r="D452" s="2">
        <f>MACD!E452</f>
        <v>-2.1726546762647736E-2</v>
      </c>
      <c r="E452" s="2">
        <f>MACD!F452</f>
        <v>-4.513336380509933E-2</v>
      </c>
      <c r="F452" s="2">
        <f>'Moving Avg'!D452</f>
        <v>5.7617999999999991</v>
      </c>
      <c r="G452" s="2">
        <f>'Moving Avg'!F452</f>
        <v>5.7490500000000022</v>
      </c>
      <c r="H452" s="2">
        <f>'Moving Avg'!G452</f>
        <v>5.7214400000000012</v>
      </c>
      <c r="I452" s="2">
        <f>'Moving Avg'!H452</f>
        <v>5.3305750000000014</v>
      </c>
      <c r="J452" s="5" t="str">
        <f>OBV!F452</f>
        <v>BULLISH</v>
      </c>
      <c r="K452" s="5" t="str">
        <f>OBV!G452</f>
        <v>WEAK</v>
      </c>
      <c r="L452" s="5" t="str">
        <f>OBV!H452</f>
        <v>NEUTRAL</v>
      </c>
      <c r="M452" s="7">
        <f t="shared" si="73"/>
        <v>50</v>
      </c>
      <c r="N452" s="7">
        <f t="shared" si="70"/>
        <v>0</v>
      </c>
      <c r="O452" s="7">
        <f t="shared" si="71"/>
        <v>50</v>
      </c>
      <c r="P452" s="7">
        <f t="shared" si="72"/>
        <v>33</v>
      </c>
      <c r="Q452" s="8">
        <f t="shared" si="74"/>
        <v>29.95</v>
      </c>
      <c r="R452" s="8">
        <f t="shared" si="75"/>
        <v>35.75</v>
      </c>
      <c r="S452" s="8">
        <f t="shared" si="76"/>
        <v>34.85</v>
      </c>
      <c r="T452" s="8">
        <f t="shared" si="77"/>
        <v>33.25</v>
      </c>
      <c r="U452" s="7">
        <f t="shared" si="78"/>
        <v>33.516666666666673</v>
      </c>
      <c r="V452" s="7">
        <f t="shared" si="79"/>
        <v>33.450000000000003</v>
      </c>
    </row>
    <row r="453" spans="1:22" ht="13.5" x14ac:dyDescent="0.25">
      <c r="A453" s="3">
        <f>RSI!A453</f>
        <v>45576</v>
      </c>
      <c r="B453" s="2">
        <f>RSI!B453</f>
        <v>5.85</v>
      </c>
      <c r="C453" s="2">
        <f>RSI!I453</f>
        <v>61.186567665532785</v>
      </c>
      <c r="D453" s="2">
        <f>MACD!E453</f>
        <v>-1.3914423629378447E-2</v>
      </c>
      <c r="E453" s="2">
        <f>MACD!F453</f>
        <v>-3.8889575769955158E-2</v>
      </c>
      <c r="F453" s="2">
        <f>'Moving Avg'!D453</f>
        <v>5.7767999999999997</v>
      </c>
      <c r="G453" s="2">
        <f>'Moving Avg'!F453</f>
        <v>5.7598500000000019</v>
      </c>
      <c r="H453" s="2">
        <f>'Moving Avg'!G453</f>
        <v>5.7201200000000014</v>
      </c>
      <c r="I453" s="2">
        <f>'Moving Avg'!H453</f>
        <v>5.3328600000000002</v>
      </c>
      <c r="J453" s="5" t="str">
        <f>OBV!F453</f>
        <v>BULLISH</v>
      </c>
      <c r="K453" s="5" t="str">
        <f>OBV!G453</f>
        <v>WEAK</v>
      </c>
      <c r="L453" s="5" t="str">
        <f>OBV!H453</f>
        <v>CONFIRMED BULLISH</v>
      </c>
      <c r="M453" s="7">
        <f t="shared" si="73"/>
        <v>50</v>
      </c>
      <c r="N453" s="7">
        <f t="shared" si="70"/>
        <v>0</v>
      </c>
      <c r="O453" s="7">
        <f t="shared" si="71"/>
        <v>50</v>
      </c>
      <c r="P453" s="7">
        <f t="shared" si="72"/>
        <v>67</v>
      </c>
      <c r="Q453" s="8">
        <f t="shared" si="74"/>
        <v>35.049999999999997</v>
      </c>
      <c r="R453" s="8">
        <f t="shared" si="75"/>
        <v>44.25</v>
      </c>
      <c r="S453" s="8">
        <f t="shared" si="76"/>
        <v>50.150000000000006</v>
      </c>
      <c r="T453" s="8">
        <f t="shared" si="77"/>
        <v>41.75</v>
      </c>
      <c r="U453" s="7">
        <f t="shared" si="78"/>
        <v>43.15</v>
      </c>
      <c r="V453" s="7">
        <f t="shared" si="79"/>
        <v>42.8</v>
      </c>
    </row>
    <row r="454" spans="1:22" ht="13.5" x14ac:dyDescent="0.25">
      <c r="A454" s="3">
        <f>RSI!A454</f>
        <v>45579</v>
      </c>
      <c r="B454" s="2">
        <f>RSI!B454</f>
        <v>5.7089999999999996</v>
      </c>
      <c r="C454" s="2">
        <f>RSI!I454</f>
        <v>46.916550474943769</v>
      </c>
      <c r="D454" s="2">
        <f>MACD!E454</f>
        <v>2.49011071867411E-3</v>
      </c>
      <c r="E454" s="2">
        <f>MACD!F454</f>
        <v>-3.0613638472229303E-2</v>
      </c>
      <c r="F454" s="2">
        <f>'Moving Avg'!D454</f>
        <v>5.7542000000000009</v>
      </c>
      <c r="G454" s="2">
        <f>'Moving Avg'!F454</f>
        <v>5.7636000000000021</v>
      </c>
      <c r="H454" s="2">
        <f>'Moving Avg'!G454</f>
        <v>5.7163600000000017</v>
      </c>
      <c r="I454" s="2">
        <f>'Moving Avg'!H454</f>
        <v>5.3344400000000007</v>
      </c>
      <c r="J454" s="5" t="str">
        <f>OBV!F454</f>
        <v>BULLISH</v>
      </c>
      <c r="K454" s="5" t="str">
        <f>OBV!G454</f>
        <v>NEUTRAL</v>
      </c>
      <c r="L454" s="5" t="str">
        <f>OBV!H454</f>
        <v>BULLISH DIVERGENCE</v>
      </c>
      <c r="M454" s="7">
        <f t="shared" si="73"/>
        <v>50</v>
      </c>
      <c r="N454" s="7">
        <f t="shared" si="70"/>
        <v>0</v>
      </c>
      <c r="O454" s="7">
        <f t="shared" si="71"/>
        <v>50</v>
      </c>
      <c r="P454" s="7">
        <f t="shared" si="72"/>
        <v>66.5</v>
      </c>
      <c r="Q454" s="8">
        <f t="shared" si="74"/>
        <v>34.975000000000001</v>
      </c>
      <c r="R454" s="8">
        <f t="shared" si="75"/>
        <v>44.125</v>
      </c>
      <c r="S454" s="8">
        <f t="shared" si="76"/>
        <v>49.924999999999997</v>
      </c>
      <c r="T454" s="8">
        <f t="shared" si="77"/>
        <v>41.625</v>
      </c>
      <c r="U454" s="7">
        <f t="shared" si="78"/>
        <v>43.008333333333326</v>
      </c>
      <c r="V454" s="7">
        <f t="shared" si="79"/>
        <v>42.662499999999994</v>
      </c>
    </row>
    <row r="455" spans="1:22" ht="13.5" x14ac:dyDescent="0.25">
      <c r="A455" s="3">
        <f>RSI!A455</f>
        <v>45581</v>
      </c>
      <c r="B455" s="2">
        <f>RSI!B455</f>
        <v>5.7750000000000004</v>
      </c>
      <c r="C455" s="2">
        <f>RSI!I455</f>
        <v>52.50079298314656</v>
      </c>
      <c r="D455" s="2">
        <f>MACD!E455</f>
        <v>1.1713149188302907E-2</v>
      </c>
      <c r="E455" s="2">
        <f>MACD!F455</f>
        <v>-2.2148280940122861E-2</v>
      </c>
      <c r="F455" s="2">
        <f>'Moving Avg'!D455</f>
        <v>5.7767999999999997</v>
      </c>
      <c r="G455" s="2">
        <f>'Moving Avg'!F455</f>
        <v>5.7706500000000016</v>
      </c>
      <c r="H455" s="2">
        <f>'Moving Avg'!G455</f>
        <v>5.7143000000000015</v>
      </c>
      <c r="I455" s="2">
        <f>'Moving Avg'!H455</f>
        <v>5.3367050000000003</v>
      </c>
      <c r="J455" s="5" t="str">
        <f>OBV!F455</f>
        <v>BULLISH</v>
      </c>
      <c r="K455" s="5" t="str">
        <f>OBV!G455</f>
        <v>WEAK</v>
      </c>
      <c r="L455" s="5" t="str">
        <f>OBV!H455</f>
        <v>CONFIRMED BULLISH</v>
      </c>
      <c r="M455" s="7">
        <f t="shared" si="73"/>
        <v>50</v>
      </c>
      <c r="N455" s="7">
        <f t="shared" si="70"/>
        <v>0</v>
      </c>
      <c r="O455" s="7">
        <f t="shared" si="71"/>
        <v>50</v>
      </c>
      <c r="P455" s="7">
        <f t="shared" si="72"/>
        <v>67</v>
      </c>
      <c r="Q455" s="8">
        <f t="shared" si="74"/>
        <v>35.049999999999997</v>
      </c>
      <c r="R455" s="8">
        <f t="shared" si="75"/>
        <v>44.25</v>
      </c>
      <c r="S455" s="8">
        <f t="shared" si="76"/>
        <v>50.150000000000006</v>
      </c>
      <c r="T455" s="8">
        <f t="shared" si="77"/>
        <v>41.75</v>
      </c>
      <c r="U455" s="7">
        <f t="shared" si="78"/>
        <v>43.15</v>
      </c>
      <c r="V455" s="7">
        <f t="shared" si="79"/>
        <v>42.8</v>
      </c>
    </row>
    <row r="456" spans="1:22" ht="13.5" x14ac:dyDescent="0.25">
      <c r="A456" s="3">
        <f>RSI!A456</f>
        <v>45582</v>
      </c>
      <c r="B456" s="2">
        <f>RSI!B456</f>
        <v>5.7750000000000004</v>
      </c>
      <c r="C456" s="2">
        <f>RSI!I456</f>
        <v>52.50079298314656</v>
      </c>
      <c r="D456" s="2">
        <f>MACD!E456</f>
        <v>1.7802844294841691E-2</v>
      </c>
      <c r="E456" s="2">
        <f>MACD!F456</f>
        <v>-1.4158055893129951E-2</v>
      </c>
      <c r="F456" s="2">
        <f>'Moving Avg'!D456</f>
        <v>5.7767999999999997</v>
      </c>
      <c r="G456" s="2">
        <f>'Moving Avg'!F456</f>
        <v>5.7777000000000012</v>
      </c>
      <c r="H456" s="2">
        <f>'Moving Avg'!G456</f>
        <v>5.7135600000000011</v>
      </c>
      <c r="I456" s="2">
        <f>'Moving Avg'!H456</f>
        <v>5.3387900000000013</v>
      </c>
      <c r="J456" s="5" t="str">
        <f>OBV!F456</f>
        <v>BULLISH</v>
      </c>
      <c r="K456" s="5" t="str">
        <f>OBV!G456</f>
        <v>WEAK</v>
      </c>
      <c r="L456" s="5" t="str">
        <f>OBV!H456</f>
        <v>NEUTRAL</v>
      </c>
      <c r="M456" s="7">
        <f t="shared" si="73"/>
        <v>50</v>
      </c>
      <c r="N456" s="7">
        <f t="shared" si="70"/>
        <v>0</v>
      </c>
      <c r="O456" s="7">
        <f t="shared" si="71"/>
        <v>50</v>
      </c>
      <c r="P456" s="7">
        <f t="shared" si="72"/>
        <v>33</v>
      </c>
      <c r="Q456" s="8">
        <f t="shared" si="74"/>
        <v>29.95</v>
      </c>
      <c r="R456" s="8">
        <f t="shared" si="75"/>
        <v>35.75</v>
      </c>
      <c r="S456" s="8">
        <f t="shared" si="76"/>
        <v>34.85</v>
      </c>
      <c r="T456" s="8">
        <f t="shared" si="77"/>
        <v>33.25</v>
      </c>
      <c r="U456" s="7">
        <f t="shared" si="78"/>
        <v>33.516666666666673</v>
      </c>
      <c r="V456" s="7">
        <f t="shared" si="79"/>
        <v>33.450000000000003</v>
      </c>
    </row>
    <row r="457" spans="1:22" ht="13.5" x14ac:dyDescent="0.25">
      <c r="A457" s="3">
        <f>RSI!A457</f>
        <v>45583</v>
      </c>
      <c r="B457" s="2">
        <f>RSI!B457</f>
        <v>5.85</v>
      </c>
      <c r="C457" s="2">
        <f>RSI!I457</f>
        <v>58.28430113044233</v>
      </c>
      <c r="D457" s="2">
        <f>MACD!E457</f>
        <v>1.1544880696888526E-2</v>
      </c>
      <c r="E457" s="2">
        <f>MACD!F457</f>
        <v>-9.0174685751262564E-3</v>
      </c>
      <c r="F457" s="2">
        <f>'Moving Avg'!D457</f>
        <v>5.7918000000000003</v>
      </c>
      <c r="G457" s="2">
        <f>'Moving Avg'!F457</f>
        <v>5.7838000000000012</v>
      </c>
      <c r="H457" s="2">
        <f>'Moving Avg'!G457</f>
        <v>5.7143200000000025</v>
      </c>
      <c r="I457" s="2">
        <f>'Moving Avg'!H457</f>
        <v>5.3412500000000014</v>
      </c>
      <c r="J457" s="5" t="str">
        <f>OBV!F457</f>
        <v>BULLISH</v>
      </c>
      <c r="K457" s="5" t="str">
        <f>OBV!G457</f>
        <v>WEAK</v>
      </c>
      <c r="L457" s="5" t="str">
        <f>OBV!H457</f>
        <v>CONFIRMED BULLISH</v>
      </c>
      <c r="M457" s="7">
        <f t="shared" si="73"/>
        <v>50</v>
      </c>
      <c r="N457" s="7">
        <f t="shared" si="70"/>
        <v>0</v>
      </c>
      <c r="O457" s="7">
        <f t="shared" si="71"/>
        <v>50</v>
      </c>
      <c r="P457" s="7">
        <f t="shared" si="72"/>
        <v>67</v>
      </c>
      <c r="Q457" s="8">
        <f t="shared" si="74"/>
        <v>35.049999999999997</v>
      </c>
      <c r="R457" s="8">
        <f t="shared" si="75"/>
        <v>44.25</v>
      </c>
      <c r="S457" s="8">
        <f t="shared" si="76"/>
        <v>50.150000000000006</v>
      </c>
      <c r="T457" s="8">
        <f t="shared" si="77"/>
        <v>41.75</v>
      </c>
      <c r="U457" s="7">
        <f t="shared" si="78"/>
        <v>43.15</v>
      </c>
      <c r="V457" s="7">
        <f t="shared" si="79"/>
        <v>42.8</v>
      </c>
    </row>
    <row r="458" spans="1:22" ht="13.5" x14ac:dyDescent="0.25">
      <c r="A458" s="3">
        <f>RSI!A458</f>
        <v>45586</v>
      </c>
      <c r="B458" s="2">
        <f>RSI!B458</f>
        <v>5.8120000000000003</v>
      </c>
      <c r="C458" s="2">
        <f>RSI!I458</f>
        <v>54.653284203105301</v>
      </c>
      <c r="D458" s="2">
        <f>MACD!E458</f>
        <v>8.4704661321461927E-3</v>
      </c>
      <c r="E458" s="2">
        <f>MACD!F458</f>
        <v>-5.5198816336717669E-3</v>
      </c>
      <c r="F458" s="2">
        <f>'Moving Avg'!D458</f>
        <v>5.7842000000000002</v>
      </c>
      <c r="G458" s="2">
        <f>'Moving Avg'!F458</f>
        <v>5.786150000000001</v>
      </c>
      <c r="H458" s="2">
        <f>'Moving Avg'!G458</f>
        <v>5.7143200000000025</v>
      </c>
      <c r="I458" s="2">
        <f>'Moving Avg'!H458</f>
        <v>5.3445850000000021</v>
      </c>
      <c r="J458" s="5" t="str">
        <f>OBV!F458</f>
        <v>BEARISH</v>
      </c>
      <c r="K458" s="5" t="str">
        <f>OBV!G458</f>
        <v>NEUTRAL</v>
      </c>
      <c r="L458" s="5" t="str">
        <f>OBV!H458</f>
        <v>CONFIRMED BEARISH</v>
      </c>
      <c r="M458" s="7">
        <f t="shared" si="73"/>
        <v>50</v>
      </c>
      <c r="N458" s="7">
        <f t="shared" si="70"/>
        <v>0</v>
      </c>
      <c r="O458" s="7">
        <f t="shared" si="71"/>
        <v>50</v>
      </c>
      <c r="P458" s="7">
        <f t="shared" si="72"/>
        <v>16.5</v>
      </c>
      <c r="Q458" s="8">
        <f t="shared" si="74"/>
        <v>27.475000000000001</v>
      </c>
      <c r="R458" s="8">
        <f t="shared" si="75"/>
        <v>31.625</v>
      </c>
      <c r="S458" s="8">
        <f t="shared" si="76"/>
        <v>27.425000000000001</v>
      </c>
      <c r="T458" s="8">
        <f t="shared" si="77"/>
        <v>29.125</v>
      </c>
      <c r="U458" s="7">
        <f t="shared" si="78"/>
        <v>28.841666666666669</v>
      </c>
      <c r="V458" s="7">
        <f t="shared" si="79"/>
        <v>28.912500000000001</v>
      </c>
    </row>
    <row r="459" spans="1:22" ht="13.5" x14ac:dyDescent="0.25">
      <c r="A459" s="3">
        <f>RSI!A459</f>
        <v>45587</v>
      </c>
      <c r="B459" s="2">
        <f>RSI!B459</f>
        <v>5.8220000000000001</v>
      </c>
      <c r="C459" s="2">
        <f>RSI!I459</f>
        <v>55.44000903992157</v>
      </c>
      <c r="D459" s="2">
        <f>MACD!E459</f>
        <v>1.2033583312110352E-2</v>
      </c>
      <c r="E459" s="2">
        <f>MACD!F459</f>
        <v>-2.0091886445153429E-3</v>
      </c>
      <c r="F459" s="2">
        <f>'Moving Avg'!D459</f>
        <v>5.8068</v>
      </c>
      <c r="G459" s="2">
        <f>'Moving Avg'!F459</f>
        <v>5.7885000000000009</v>
      </c>
      <c r="H459" s="2">
        <f>'Moving Avg'!G459</f>
        <v>5.7145200000000012</v>
      </c>
      <c r="I459" s="2">
        <f>'Moving Avg'!H459</f>
        <v>5.3482349999999999</v>
      </c>
      <c r="J459" s="5" t="str">
        <f>OBV!F459</f>
        <v>BULLISH</v>
      </c>
      <c r="K459" s="5" t="str">
        <f>OBV!G459</f>
        <v>WEAK</v>
      </c>
      <c r="L459" s="5" t="str">
        <f>OBV!H459</f>
        <v>CONFIRMED BULLISH</v>
      </c>
      <c r="M459" s="7">
        <f t="shared" si="73"/>
        <v>50</v>
      </c>
      <c r="N459" s="7">
        <f t="shared" si="70"/>
        <v>0</v>
      </c>
      <c r="O459" s="7">
        <f t="shared" si="71"/>
        <v>50</v>
      </c>
      <c r="P459" s="7">
        <f t="shared" si="72"/>
        <v>67</v>
      </c>
      <c r="Q459" s="8">
        <f t="shared" si="74"/>
        <v>35.049999999999997</v>
      </c>
      <c r="R459" s="8">
        <f t="shared" si="75"/>
        <v>44.25</v>
      </c>
      <c r="S459" s="8">
        <f t="shared" si="76"/>
        <v>50.150000000000006</v>
      </c>
      <c r="T459" s="8">
        <f t="shared" si="77"/>
        <v>41.75</v>
      </c>
      <c r="U459" s="7">
        <f t="shared" si="78"/>
        <v>43.15</v>
      </c>
      <c r="V459" s="7">
        <f t="shared" si="79"/>
        <v>42.8</v>
      </c>
    </row>
    <row r="460" spans="1:22" ht="13.5" x14ac:dyDescent="0.25">
      <c r="A460" s="3">
        <f>RSI!A460</f>
        <v>45588</v>
      </c>
      <c r="B460" s="2">
        <f>RSI!B460</f>
        <v>5.7750000000000004</v>
      </c>
      <c r="C460" s="2">
        <f>RSI!I460</f>
        <v>50.964643117331676</v>
      </c>
      <c r="D460" s="2">
        <f>MACD!E460</f>
        <v>-6.4458386501646814E-3</v>
      </c>
      <c r="E460" s="2">
        <f>MACD!F460</f>
        <v>-2.8965186456452107E-3</v>
      </c>
      <c r="F460" s="2">
        <f>'Moving Avg'!D460</f>
        <v>5.8068</v>
      </c>
      <c r="G460" s="2">
        <f>'Moving Avg'!F460</f>
        <v>5.7885000000000009</v>
      </c>
      <c r="H460" s="2">
        <f>'Moving Avg'!G460</f>
        <v>5.7143400000000009</v>
      </c>
      <c r="I460" s="2">
        <f>'Moving Avg'!H460</f>
        <v>5.3518300000000014</v>
      </c>
      <c r="J460" s="5" t="str">
        <f>OBV!F460</f>
        <v>NEUTRAL</v>
      </c>
      <c r="K460" s="5" t="str">
        <f>OBV!G460</f>
        <v>NEUTRAL</v>
      </c>
      <c r="L460" s="5" t="str">
        <f>OBV!H460</f>
        <v>NEUTRAL</v>
      </c>
      <c r="M460" s="7">
        <f t="shared" si="73"/>
        <v>50</v>
      </c>
      <c r="N460" s="7">
        <f t="shared" si="70"/>
        <v>45</v>
      </c>
      <c r="O460" s="7">
        <f t="shared" si="71"/>
        <v>50</v>
      </c>
      <c r="P460" s="7">
        <f t="shared" si="72"/>
        <v>33</v>
      </c>
      <c r="Q460" s="8">
        <f t="shared" si="74"/>
        <v>45.7</v>
      </c>
      <c r="R460" s="8">
        <f t="shared" si="75"/>
        <v>44.75</v>
      </c>
      <c r="S460" s="8">
        <f t="shared" si="76"/>
        <v>41.6</v>
      </c>
      <c r="T460" s="8">
        <f t="shared" si="77"/>
        <v>44.5</v>
      </c>
      <c r="U460" s="7">
        <f t="shared" si="78"/>
        <v>44.016666666666673</v>
      </c>
      <c r="V460" s="7">
        <f t="shared" si="79"/>
        <v>44.137500000000003</v>
      </c>
    </row>
    <row r="461" spans="1:22" ht="13.5" x14ac:dyDescent="0.25">
      <c r="A461" s="3">
        <f>RSI!A461</f>
        <v>45589</v>
      </c>
      <c r="B461" s="2">
        <f>RSI!B461</f>
        <v>5.8689999999999998</v>
      </c>
      <c r="C461" s="2">
        <f>RSI!I461</f>
        <v>58.227541580113552</v>
      </c>
      <c r="D461" s="2">
        <f>MACD!E461</f>
        <v>-1.1716658265619628E-2</v>
      </c>
      <c r="E461" s="2">
        <f>MACD!F461</f>
        <v>-4.6605465696400944E-3</v>
      </c>
      <c r="F461" s="2">
        <f>'Moving Avg'!D461</f>
        <v>5.8255999999999997</v>
      </c>
      <c r="G461" s="2">
        <f>'Moving Avg'!F461</f>
        <v>5.7937000000000003</v>
      </c>
      <c r="H461" s="2">
        <f>'Moving Avg'!G461</f>
        <v>5.7171600000000016</v>
      </c>
      <c r="I461" s="2">
        <f>'Moving Avg'!H461</f>
        <v>5.3558950000000003</v>
      </c>
      <c r="J461" s="5" t="str">
        <f>OBV!F461</f>
        <v>NEUTRAL</v>
      </c>
      <c r="K461" s="5" t="str">
        <f>OBV!G461</f>
        <v>NEUTRAL</v>
      </c>
      <c r="L461" s="5" t="str">
        <f>OBV!H461</f>
        <v>NEUTRAL</v>
      </c>
      <c r="M461" s="7">
        <f t="shared" si="73"/>
        <v>50</v>
      </c>
      <c r="N461" s="7">
        <f t="shared" si="70"/>
        <v>45</v>
      </c>
      <c r="O461" s="7">
        <f t="shared" si="71"/>
        <v>50</v>
      </c>
      <c r="P461" s="7">
        <f t="shared" si="72"/>
        <v>33</v>
      </c>
      <c r="Q461" s="8">
        <f t="shared" si="74"/>
        <v>45.7</v>
      </c>
      <c r="R461" s="8">
        <f t="shared" si="75"/>
        <v>44.75</v>
      </c>
      <c r="S461" s="8">
        <f t="shared" si="76"/>
        <v>41.6</v>
      </c>
      <c r="T461" s="8">
        <f t="shared" si="77"/>
        <v>44.5</v>
      </c>
      <c r="U461" s="7">
        <f t="shared" si="78"/>
        <v>44.016666666666673</v>
      </c>
      <c r="V461" s="7">
        <f t="shared" si="79"/>
        <v>44.137500000000003</v>
      </c>
    </row>
    <row r="462" spans="1:22" ht="13.5" x14ac:dyDescent="0.25">
      <c r="A462" s="3">
        <f>RSI!A462</f>
        <v>45590</v>
      </c>
      <c r="B462" s="2">
        <f>RSI!B462</f>
        <v>5.8689999999999998</v>
      </c>
      <c r="C462" s="2">
        <f>RSI!I462</f>
        <v>58.227541580113545</v>
      </c>
      <c r="D462" s="2">
        <f>MACD!E462</f>
        <v>-1.6783919693504679E-2</v>
      </c>
      <c r="E462" s="2">
        <f>MACD!F462</f>
        <v>-7.0852211944130118E-3</v>
      </c>
      <c r="F462" s="2">
        <f>'Moving Avg'!D462</f>
        <v>5.8293999999999997</v>
      </c>
      <c r="G462" s="2">
        <f>'Moving Avg'!F462</f>
        <v>5.7984000000000009</v>
      </c>
      <c r="H462" s="2">
        <f>'Moving Avg'!G462</f>
        <v>5.72018</v>
      </c>
      <c r="I462" s="2">
        <f>'Moving Avg'!H462</f>
        <v>5.3600049999999984</v>
      </c>
      <c r="J462" s="5" t="str">
        <f>OBV!F462</f>
        <v>NEUTRAL</v>
      </c>
      <c r="K462" s="5" t="str">
        <f>OBV!G462</f>
        <v>NEUTRAL</v>
      </c>
      <c r="L462" s="5" t="str">
        <f>OBV!H462</f>
        <v>NEUTRAL</v>
      </c>
      <c r="M462" s="7">
        <f t="shared" si="73"/>
        <v>50</v>
      </c>
      <c r="N462" s="7">
        <f t="shared" si="70"/>
        <v>45</v>
      </c>
      <c r="O462" s="7">
        <f t="shared" si="71"/>
        <v>50</v>
      </c>
      <c r="P462" s="7">
        <f t="shared" si="72"/>
        <v>33</v>
      </c>
      <c r="Q462" s="8">
        <f t="shared" si="74"/>
        <v>45.7</v>
      </c>
      <c r="R462" s="8">
        <f t="shared" si="75"/>
        <v>44.75</v>
      </c>
      <c r="S462" s="8">
        <f t="shared" si="76"/>
        <v>41.6</v>
      </c>
      <c r="T462" s="8">
        <f t="shared" si="77"/>
        <v>44.5</v>
      </c>
      <c r="U462" s="7">
        <f t="shared" si="78"/>
        <v>44.016666666666673</v>
      </c>
      <c r="V462" s="7">
        <f t="shared" si="79"/>
        <v>44.137500000000003</v>
      </c>
    </row>
    <row r="463" spans="1:22" ht="13.5" x14ac:dyDescent="0.25">
      <c r="A463" s="3">
        <f>RSI!A463</f>
        <v>45593</v>
      </c>
      <c r="B463" s="2">
        <f>RSI!B463</f>
        <v>5.8689999999999998</v>
      </c>
      <c r="C463" s="2">
        <f>RSI!I463</f>
        <v>58.227541580113545</v>
      </c>
      <c r="D463" s="2">
        <f>MACD!E463</f>
        <v>-1.0095490103459781E-2</v>
      </c>
      <c r="E463" s="2">
        <f>MACD!F463</f>
        <v>-7.687274976222366E-3</v>
      </c>
      <c r="F463" s="2">
        <f>'Moving Avg'!D463</f>
        <v>5.8407999999999998</v>
      </c>
      <c r="G463" s="2">
        <f>'Moving Avg'!F463</f>
        <v>5.8007500000000007</v>
      </c>
      <c r="H463" s="2">
        <f>'Moving Avg'!G463</f>
        <v>5.7232000000000021</v>
      </c>
      <c r="I463" s="2">
        <f>'Moving Avg'!H463</f>
        <v>5.3649549999999975</v>
      </c>
      <c r="J463" s="5" t="str">
        <f>OBV!F463</f>
        <v>NEUTRAL</v>
      </c>
      <c r="K463" s="5" t="str">
        <f>OBV!G463</f>
        <v>NEUTRAL</v>
      </c>
      <c r="L463" s="5" t="str">
        <f>OBV!H463</f>
        <v>NEUTRAL</v>
      </c>
      <c r="M463" s="7">
        <f t="shared" si="73"/>
        <v>50</v>
      </c>
      <c r="N463" s="7">
        <f t="shared" si="70"/>
        <v>45</v>
      </c>
      <c r="O463" s="7">
        <f t="shared" si="71"/>
        <v>50</v>
      </c>
      <c r="P463" s="7">
        <f t="shared" si="72"/>
        <v>33</v>
      </c>
      <c r="Q463" s="8">
        <f t="shared" si="74"/>
        <v>45.7</v>
      </c>
      <c r="R463" s="8">
        <f t="shared" si="75"/>
        <v>44.75</v>
      </c>
      <c r="S463" s="8">
        <f t="shared" si="76"/>
        <v>41.6</v>
      </c>
      <c r="T463" s="8">
        <f t="shared" si="77"/>
        <v>44.5</v>
      </c>
      <c r="U463" s="7">
        <f t="shared" si="78"/>
        <v>44.016666666666673</v>
      </c>
      <c r="V463" s="7">
        <f t="shared" si="79"/>
        <v>44.137500000000003</v>
      </c>
    </row>
    <row r="464" spans="1:22" ht="13.5" x14ac:dyDescent="0.25">
      <c r="A464" s="3">
        <f>RSI!A464</f>
        <v>45594</v>
      </c>
      <c r="B464" s="2">
        <f>RSI!B464</f>
        <v>5.8689999999999998</v>
      </c>
      <c r="C464" s="2">
        <f>RSI!I464</f>
        <v>58.227541580113545</v>
      </c>
      <c r="D464" s="2">
        <f>MACD!E464</f>
        <v>-2.6649051078742048E-2</v>
      </c>
      <c r="E464" s="2">
        <f>MACD!F464</f>
        <v>-1.1479630196726303E-2</v>
      </c>
      <c r="F464" s="2">
        <f>'Moving Avg'!D464</f>
        <v>5.8501999999999992</v>
      </c>
      <c r="G464" s="2">
        <f>'Moving Avg'!F464</f>
        <v>5.8030999999999997</v>
      </c>
      <c r="H464" s="2">
        <f>'Moving Avg'!G464</f>
        <v>5.7262200000000032</v>
      </c>
      <c r="I464" s="2">
        <f>'Moving Avg'!H464</f>
        <v>5.3694649999999964</v>
      </c>
      <c r="J464" s="5" t="str">
        <f>OBV!F464</f>
        <v>NEUTRAL</v>
      </c>
      <c r="K464" s="5" t="str">
        <f>OBV!G464</f>
        <v>NEUTRAL</v>
      </c>
      <c r="L464" s="5" t="str">
        <f>OBV!H464</f>
        <v>NEUTRAL</v>
      </c>
      <c r="M464" s="7">
        <f t="shared" si="73"/>
        <v>50</v>
      </c>
      <c r="N464" s="7">
        <f t="shared" si="70"/>
        <v>45</v>
      </c>
      <c r="O464" s="7">
        <f t="shared" si="71"/>
        <v>50</v>
      </c>
      <c r="P464" s="7">
        <f t="shared" si="72"/>
        <v>33</v>
      </c>
      <c r="Q464" s="8">
        <f t="shared" si="74"/>
        <v>45.7</v>
      </c>
      <c r="R464" s="8">
        <f t="shared" si="75"/>
        <v>44.75</v>
      </c>
      <c r="S464" s="8">
        <f t="shared" si="76"/>
        <v>41.6</v>
      </c>
      <c r="T464" s="8">
        <f t="shared" si="77"/>
        <v>44.5</v>
      </c>
      <c r="U464" s="7">
        <f t="shared" si="78"/>
        <v>44.016666666666673</v>
      </c>
      <c r="V464" s="7">
        <f t="shared" si="79"/>
        <v>44.137500000000003</v>
      </c>
    </row>
    <row r="465" spans="1:22" ht="13.5" x14ac:dyDescent="0.25">
      <c r="A465" s="3">
        <f>RSI!A465</f>
        <v>45595</v>
      </c>
      <c r="B465" s="2">
        <f>RSI!B465</f>
        <v>5.8220000000000001</v>
      </c>
      <c r="C465" s="2">
        <f>RSI!I465</f>
        <v>52.952831900852686</v>
      </c>
      <c r="D465" s="2">
        <f>MACD!E465</f>
        <v>-2.7502706531413068E-2</v>
      </c>
      <c r="E465" s="2">
        <f>MACD!F465</f>
        <v>-1.4684245463663658E-2</v>
      </c>
      <c r="F465" s="2">
        <f>'Moving Avg'!D465</f>
        <v>5.8595999999999995</v>
      </c>
      <c r="G465" s="2">
        <f>'Moving Avg'!F465</f>
        <v>5.8030999999999997</v>
      </c>
      <c r="H465" s="2">
        <f>'Moving Avg'!G465</f>
        <v>5.7283000000000017</v>
      </c>
      <c r="I465" s="2">
        <f>'Moving Avg'!H465</f>
        <v>5.3733399999999962</v>
      </c>
      <c r="J465" s="5" t="str">
        <f>OBV!F465</f>
        <v>NEUTRAL</v>
      </c>
      <c r="K465" s="5" t="str">
        <f>OBV!G465</f>
        <v>NEUTRAL</v>
      </c>
      <c r="L465" s="5" t="str">
        <f>OBV!H465</f>
        <v>NEUTRAL</v>
      </c>
      <c r="M465" s="7">
        <f t="shared" si="73"/>
        <v>50</v>
      </c>
      <c r="N465" s="7">
        <f t="shared" si="70"/>
        <v>45</v>
      </c>
      <c r="O465" s="7">
        <f t="shared" si="71"/>
        <v>50</v>
      </c>
      <c r="P465" s="7">
        <f t="shared" si="72"/>
        <v>33</v>
      </c>
      <c r="Q465" s="8">
        <f t="shared" si="74"/>
        <v>45.7</v>
      </c>
      <c r="R465" s="8">
        <f t="shared" si="75"/>
        <v>44.75</v>
      </c>
      <c r="S465" s="8">
        <f t="shared" si="76"/>
        <v>41.6</v>
      </c>
      <c r="T465" s="8">
        <f t="shared" si="77"/>
        <v>44.5</v>
      </c>
      <c r="U465" s="7">
        <f t="shared" si="78"/>
        <v>44.016666666666673</v>
      </c>
      <c r="V465" s="7">
        <f t="shared" si="79"/>
        <v>44.137500000000003</v>
      </c>
    </row>
    <row r="466" spans="1:22" ht="13.5" x14ac:dyDescent="0.25">
      <c r="A466" s="3">
        <f>RSI!A466</f>
        <v>45596</v>
      </c>
      <c r="B466" s="2">
        <f>RSI!B466</f>
        <v>5.8220000000000001</v>
      </c>
      <c r="C466" s="2">
        <f>RSI!I466</f>
        <v>52.952831900852679</v>
      </c>
      <c r="D466" s="2">
        <f>MACD!E466</f>
        <v>-2.8393716284572434E-2</v>
      </c>
      <c r="E466" s="2">
        <f>MACD!F466</f>
        <v>-1.7426139627845415E-2</v>
      </c>
      <c r="F466" s="2">
        <f>'Moving Avg'!D466</f>
        <v>5.8501999999999992</v>
      </c>
      <c r="G466" s="2">
        <f>'Moving Avg'!F466</f>
        <v>5.8036000000000012</v>
      </c>
      <c r="H466" s="2">
        <f>'Moving Avg'!G466</f>
        <v>5.7320600000000033</v>
      </c>
      <c r="I466" s="2">
        <f>'Moving Avg'!H466</f>
        <v>5.3777899999999965</v>
      </c>
      <c r="J466" s="5" t="str">
        <f>OBV!F466</f>
        <v>NEUTRAL</v>
      </c>
      <c r="K466" s="5" t="str">
        <f>OBV!G466</f>
        <v>NEUTRAL</v>
      </c>
      <c r="L466" s="5" t="str">
        <f>OBV!H466</f>
        <v>NEUTRAL</v>
      </c>
      <c r="M466" s="7">
        <f t="shared" si="73"/>
        <v>50</v>
      </c>
      <c r="N466" s="7">
        <f t="shared" si="70"/>
        <v>45</v>
      </c>
      <c r="O466" s="7">
        <f t="shared" si="71"/>
        <v>50</v>
      </c>
      <c r="P466" s="7">
        <f t="shared" si="72"/>
        <v>33</v>
      </c>
      <c r="Q466" s="8">
        <f t="shared" si="74"/>
        <v>45.7</v>
      </c>
      <c r="R466" s="8">
        <f t="shared" si="75"/>
        <v>44.75</v>
      </c>
      <c r="S466" s="8">
        <f t="shared" si="76"/>
        <v>41.6</v>
      </c>
      <c r="T466" s="8">
        <f t="shared" si="77"/>
        <v>44.5</v>
      </c>
      <c r="U466" s="7">
        <f t="shared" si="78"/>
        <v>44.016666666666673</v>
      </c>
      <c r="V466" s="7">
        <f t="shared" si="79"/>
        <v>44.137500000000003</v>
      </c>
    </row>
    <row r="467" spans="1:22" ht="13.5" x14ac:dyDescent="0.25">
      <c r="A467" s="3">
        <f>RSI!A467</f>
        <v>45597</v>
      </c>
      <c r="B467" s="2">
        <f>RSI!B467</f>
        <v>5.8220000000000001</v>
      </c>
      <c r="C467" s="2">
        <f>RSI!I467</f>
        <v>52.952831900852686</v>
      </c>
      <c r="D467" s="2">
        <f>MACD!E467</f>
        <v>-1.7765376731810889E-2</v>
      </c>
      <c r="E467" s="2">
        <f>MACD!F467</f>
        <v>-1.7493987048638512E-2</v>
      </c>
      <c r="F467" s="2">
        <f>'Moving Avg'!D467</f>
        <v>5.8407999999999998</v>
      </c>
      <c r="G467" s="2">
        <f>'Moving Avg'!F467</f>
        <v>5.8059500000000002</v>
      </c>
      <c r="H467" s="2">
        <f>'Moving Avg'!G467</f>
        <v>5.7358200000000013</v>
      </c>
      <c r="I467" s="2">
        <f>'Moving Avg'!H467</f>
        <v>5.3820649999999963</v>
      </c>
      <c r="J467" s="5" t="str">
        <f>OBV!F467</f>
        <v>NEUTRAL</v>
      </c>
      <c r="K467" s="5" t="str">
        <f>OBV!G467</f>
        <v>NEUTRAL</v>
      </c>
      <c r="L467" s="5" t="str">
        <f>OBV!H467</f>
        <v>NEUTRAL</v>
      </c>
      <c r="M467" s="7">
        <f t="shared" si="73"/>
        <v>50</v>
      </c>
      <c r="N467" s="7">
        <f t="shared" si="70"/>
        <v>45</v>
      </c>
      <c r="O467" s="7">
        <f t="shared" si="71"/>
        <v>50</v>
      </c>
      <c r="P467" s="7">
        <f t="shared" si="72"/>
        <v>33</v>
      </c>
      <c r="Q467" s="8">
        <f t="shared" si="74"/>
        <v>45.7</v>
      </c>
      <c r="R467" s="8">
        <f t="shared" si="75"/>
        <v>44.75</v>
      </c>
      <c r="S467" s="8">
        <f t="shared" si="76"/>
        <v>41.6</v>
      </c>
      <c r="T467" s="8">
        <f t="shared" si="77"/>
        <v>44.5</v>
      </c>
      <c r="U467" s="7">
        <f t="shared" si="78"/>
        <v>44.016666666666673</v>
      </c>
      <c r="V467" s="7">
        <f t="shared" si="79"/>
        <v>44.137500000000003</v>
      </c>
    </row>
    <row r="468" spans="1:22" ht="13.5" x14ac:dyDescent="0.25">
      <c r="A468" s="3">
        <f>RSI!A468</f>
        <v>45600</v>
      </c>
      <c r="B468" s="2">
        <f>RSI!B468</f>
        <v>5.7750000000000004</v>
      </c>
      <c r="C468" s="2">
        <f>RSI!I468</f>
        <v>47.570595768629779</v>
      </c>
      <c r="D468" s="2">
        <f>MACD!E468</f>
        <v>-1.1281459683557316E-2</v>
      </c>
      <c r="E468" s="2">
        <f>MACD!F468</f>
        <v>-1.6251481575622274E-2</v>
      </c>
      <c r="F468" s="2">
        <f>'Moving Avg'!D468</f>
        <v>5.8220000000000001</v>
      </c>
      <c r="G468" s="2">
        <f>'Moving Avg'!F468</f>
        <v>5.8059500000000011</v>
      </c>
      <c r="H468" s="2">
        <f>'Moving Avg'!G468</f>
        <v>5.7386400000000002</v>
      </c>
      <c r="I468" s="2">
        <f>'Moving Avg'!H468</f>
        <v>5.3861049999999979</v>
      </c>
      <c r="J468" s="5" t="str">
        <f>OBV!F468</f>
        <v>NEUTRAL</v>
      </c>
      <c r="K468" s="5" t="str">
        <f>OBV!G468</f>
        <v>NEUTRAL</v>
      </c>
      <c r="L468" s="5" t="str">
        <f>OBV!H468</f>
        <v>NEUTRAL</v>
      </c>
      <c r="M468" s="7">
        <f t="shared" si="73"/>
        <v>50</v>
      </c>
      <c r="N468" s="7">
        <f t="shared" si="70"/>
        <v>0</v>
      </c>
      <c r="O468" s="7">
        <f t="shared" si="71"/>
        <v>50</v>
      </c>
      <c r="P468" s="7">
        <f t="shared" si="72"/>
        <v>33</v>
      </c>
      <c r="Q468" s="8">
        <f t="shared" si="74"/>
        <v>29.95</v>
      </c>
      <c r="R468" s="8">
        <f t="shared" si="75"/>
        <v>35.75</v>
      </c>
      <c r="S468" s="8">
        <f t="shared" si="76"/>
        <v>34.85</v>
      </c>
      <c r="T468" s="8">
        <f t="shared" si="77"/>
        <v>33.25</v>
      </c>
      <c r="U468" s="7">
        <f t="shared" si="78"/>
        <v>33.516666666666673</v>
      </c>
      <c r="V468" s="7">
        <f t="shared" si="79"/>
        <v>33.450000000000003</v>
      </c>
    </row>
    <row r="469" spans="1:22" ht="13.5" x14ac:dyDescent="0.25">
      <c r="A469" s="3">
        <f>RSI!A469</f>
        <v>45601</v>
      </c>
      <c r="B469" s="2">
        <f>RSI!B469</f>
        <v>5.8120000000000003</v>
      </c>
      <c r="C469" s="2">
        <f>RSI!I469</f>
        <v>51.730072970159895</v>
      </c>
      <c r="D469" s="2">
        <f>MACD!E469</f>
        <v>-6.8535308316945986E-3</v>
      </c>
      <c r="E469" s="2">
        <f>MACD!F469</f>
        <v>-1.4371891426836739E-2</v>
      </c>
      <c r="F469" s="2">
        <f>'Moving Avg'!D469</f>
        <v>5.8106</v>
      </c>
      <c r="G469" s="2">
        <f>'Moving Avg'!F469</f>
        <v>5.8054500000000013</v>
      </c>
      <c r="H469" s="2">
        <f>'Moving Avg'!G469</f>
        <v>5.7422000000000013</v>
      </c>
      <c r="I469" s="2">
        <f>'Moving Avg'!H469</f>
        <v>5.3905049999999957</v>
      </c>
      <c r="J469" s="5" t="str">
        <f>OBV!F469</f>
        <v>NEUTRAL</v>
      </c>
      <c r="K469" s="5" t="str">
        <f>OBV!G469</f>
        <v>NEUTRAL</v>
      </c>
      <c r="L469" s="5" t="str">
        <f>OBV!H469</f>
        <v>NEUTRAL</v>
      </c>
      <c r="M469" s="7">
        <f t="shared" si="73"/>
        <v>50</v>
      </c>
      <c r="N469" s="7">
        <f t="shared" si="70"/>
        <v>0</v>
      </c>
      <c r="O469" s="7">
        <f t="shared" si="71"/>
        <v>50</v>
      </c>
      <c r="P469" s="7">
        <f t="shared" si="72"/>
        <v>33</v>
      </c>
      <c r="Q469" s="8">
        <f t="shared" si="74"/>
        <v>29.95</v>
      </c>
      <c r="R469" s="8">
        <f t="shared" si="75"/>
        <v>35.75</v>
      </c>
      <c r="S469" s="8">
        <f t="shared" si="76"/>
        <v>34.85</v>
      </c>
      <c r="T469" s="8">
        <f t="shared" si="77"/>
        <v>33.25</v>
      </c>
      <c r="U469" s="7">
        <f t="shared" si="78"/>
        <v>33.516666666666673</v>
      </c>
      <c r="V469" s="7">
        <f t="shared" si="79"/>
        <v>33.450000000000003</v>
      </c>
    </row>
    <row r="470" spans="1:22" ht="13.5" x14ac:dyDescent="0.25">
      <c r="A470" s="3">
        <f>RSI!A470</f>
        <v>45602</v>
      </c>
      <c r="B470" s="2">
        <f>RSI!B470</f>
        <v>5.7939999999999996</v>
      </c>
      <c r="C470" s="2">
        <f>RSI!I470</f>
        <v>49.665756193093401</v>
      </c>
      <c r="D470" s="2">
        <f>MACD!E470</f>
        <v>-9.0897286733211402E-3</v>
      </c>
      <c r="E470" s="2">
        <f>MACD!F470</f>
        <v>-1.3315458876133621E-2</v>
      </c>
      <c r="F470" s="2">
        <f>'Moving Avg'!D470</f>
        <v>5.8050000000000006</v>
      </c>
      <c r="G470" s="2">
        <f>'Moving Avg'!F470</f>
        <v>5.812050000000001</v>
      </c>
      <c r="H470" s="2">
        <f>'Moving Avg'!G470</f>
        <v>5.7455800000000012</v>
      </c>
      <c r="I470" s="2">
        <f>'Moving Avg'!H470</f>
        <v>5.3946399999999972</v>
      </c>
      <c r="J470" s="5" t="str">
        <f>OBV!F470</f>
        <v>NEUTRAL</v>
      </c>
      <c r="K470" s="5" t="str">
        <f>OBV!G470</f>
        <v>NEUTRAL</v>
      </c>
      <c r="L470" s="5" t="str">
        <f>OBV!H470</f>
        <v>NEUTRAL</v>
      </c>
      <c r="M470" s="7">
        <f t="shared" si="73"/>
        <v>50</v>
      </c>
      <c r="N470" s="7">
        <f t="shared" si="70"/>
        <v>0</v>
      </c>
      <c r="O470" s="7">
        <f t="shared" si="71"/>
        <v>50</v>
      </c>
      <c r="P470" s="7">
        <f t="shared" si="72"/>
        <v>33</v>
      </c>
      <c r="Q470" s="8">
        <f t="shared" si="74"/>
        <v>29.95</v>
      </c>
      <c r="R470" s="8">
        <f t="shared" si="75"/>
        <v>35.75</v>
      </c>
      <c r="S470" s="8">
        <f t="shared" si="76"/>
        <v>34.85</v>
      </c>
      <c r="T470" s="8">
        <f t="shared" si="77"/>
        <v>33.25</v>
      </c>
      <c r="U470" s="7">
        <f t="shared" si="78"/>
        <v>33.516666666666673</v>
      </c>
      <c r="V470" s="7">
        <f t="shared" si="79"/>
        <v>33.450000000000003</v>
      </c>
    </row>
    <row r="471" spans="1:22" ht="13.5" x14ac:dyDescent="0.25">
      <c r="A471" s="3">
        <f>RSI!A471</f>
        <v>45603</v>
      </c>
      <c r="B471" s="2">
        <f>RSI!B471</f>
        <v>5.718</v>
      </c>
      <c r="C471" s="2">
        <f>RSI!I471</f>
        <v>42.037936605342388</v>
      </c>
      <c r="D471" s="2">
        <f>MACD!E471</f>
        <v>9.1364949968957276E-3</v>
      </c>
      <c r="E471" s="2">
        <f>MACD!F471</f>
        <v>-8.8250681015277516E-3</v>
      </c>
      <c r="F471" s="2">
        <f>'Moving Avg'!D471</f>
        <v>5.7842000000000002</v>
      </c>
      <c r="G471" s="2">
        <f>'Moving Avg'!F471</f>
        <v>5.8092000000000006</v>
      </c>
      <c r="H471" s="2">
        <f>'Moving Avg'!G471</f>
        <v>5.7472600000000007</v>
      </c>
      <c r="I471" s="2">
        <f>'Moving Avg'!H471</f>
        <v>5.3983949999999981</v>
      </c>
      <c r="J471" s="5" t="str">
        <f>OBV!F471</f>
        <v>NEUTRAL</v>
      </c>
      <c r="K471" s="5" t="str">
        <f>OBV!G471</f>
        <v>NEUTRAL</v>
      </c>
      <c r="L471" s="5" t="str">
        <f>OBV!H471</f>
        <v>NEUTRAL</v>
      </c>
      <c r="M471" s="7">
        <f t="shared" si="73"/>
        <v>50</v>
      </c>
      <c r="N471" s="7">
        <f t="shared" si="70"/>
        <v>0</v>
      </c>
      <c r="O471" s="7">
        <f t="shared" si="71"/>
        <v>50</v>
      </c>
      <c r="P471" s="7">
        <f t="shared" si="72"/>
        <v>33</v>
      </c>
      <c r="Q471" s="8">
        <f t="shared" si="74"/>
        <v>29.95</v>
      </c>
      <c r="R471" s="8">
        <f t="shared" si="75"/>
        <v>35.75</v>
      </c>
      <c r="S471" s="8">
        <f t="shared" si="76"/>
        <v>34.85</v>
      </c>
      <c r="T471" s="8">
        <f t="shared" si="77"/>
        <v>33.25</v>
      </c>
      <c r="U471" s="7">
        <f t="shared" si="78"/>
        <v>33.516666666666673</v>
      </c>
      <c r="V471" s="7">
        <f t="shared" si="79"/>
        <v>33.450000000000003</v>
      </c>
    </row>
    <row r="472" spans="1:22" ht="13.5" x14ac:dyDescent="0.25">
      <c r="A472" s="3">
        <f>RSI!A472</f>
        <v>45604</v>
      </c>
      <c r="B472" s="2">
        <f>RSI!B472</f>
        <v>5.8029999999999999</v>
      </c>
      <c r="C472" s="2">
        <f>RSI!I472</f>
        <v>51.08619202156391</v>
      </c>
      <c r="D472" s="2">
        <f>MACD!E472</f>
        <v>1.8736681690120882E-2</v>
      </c>
      <c r="E472" s="2">
        <f>MACD!F472</f>
        <v>-3.3127181431980247E-3</v>
      </c>
      <c r="F472" s="2">
        <f>'Moving Avg'!D472</f>
        <v>5.7804000000000002</v>
      </c>
      <c r="G472" s="2">
        <f>'Moving Avg'!F472</f>
        <v>5.8106</v>
      </c>
      <c r="H472" s="2">
        <f>'Moving Avg'!G472</f>
        <v>5.7506400000000015</v>
      </c>
      <c r="I472" s="2">
        <f>'Moving Avg'!H472</f>
        <v>5.4022199999999989</v>
      </c>
      <c r="J472" s="5" t="str">
        <f>OBV!F472</f>
        <v>NEUTRAL</v>
      </c>
      <c r="K472" s="5" t="str">
        <f>OBV!G472</f>
        <v>NEUTRAL</v>
      </c>
      <c r="L472" s="5" t="str">
        <f>OBV!H472</f>
        <v>NEUTRAL</v>
      </c>
      <c r="M472" s="7">
        <f t="shared" si="73"/>
        <v>50</v>
      </c>
      <c r="N472" s="7">
        <f t="shared" si="70"/>
        <v>0</v>
      </c>
      <c r="O472" s="7">
        <f t="shared" si="71"/>
        <v>50</v>
      </c>
      <c r="P472" s="7">
        <f t="shared" si="72"/>
        <v>33</v>
      </c>
      <c r="Q472" s="8">
        <f t="shared" si="74"/>
        <v>29.95</v>
      </c>
      <c r="R472" s="8">
        <f t="shared" si="75"/>
        <v>35.75</v>
      </c>
      <c r="S472" s="8">
        <f t="shared" si="76"/>
        <v>34.85</v>
      </c>
      <c r="T472" s="8">
        <f t="shared" si="77"/>
        <v>33.25</v>
      </c>
      <c r="U472" s="7">
        <f t="shared" si="78"/>
        <v>33.516666666666673</v>
      </c>
      <c r="V472" s="7">
        <f t="shared" si="79"/>
        <v>33.450000000000003</v>
      </c>
    </row>
    <row r="473" spans="1:22" ht="13.5" x14ac:dyDescent="0.25">
      <c r="A473" s="3">
        <f>RSI!A473</f>
        <v>45607</v>
      </c>
      <c r="B473" s="2">
        <f>RSI!B473</f>
        <v>5.8689999999999998</v>
      </c>
      <c r="C473" s="2">
        <f>RSI!I473</f>
        <v>56.733971593047919</v>
      </c>
      <c r="D473" s="2">
        <f>MACD!E473</f>
        <v>2.1907919906293039E-2</v>
      </c>
      <c r="E473" s="2">
        <f>MACD!F473</f>
        <v>1.7314094667001878E-3</v>
      </c>
      <c r="F473" s="2">
        <f>'Moving Avg'!D473</f>
        <v>5.7991999999999999</v>
      </c>
      <c r="G473" s="2">
        <f>'Moving Avg'!F473</f>
        <v>5.8115500000000004</v>
      </c>
      <c r="H473" s="2">
        <f>'Moving Avg'!G473</f>
        <v>5.7544000000000031</v>
      </c>
      <c r="I473" s="2">
        <f>'Moving Avg'!H473</f>
        <v>5.4067299999999987</v>
      </c>
      <c r="J473" s="5" t="str">
        <f>OBV!F473</f>
        <v>NEUTRAL</v>
      </c>
      <c r="K473" s="5" t="str">
        <f>OBV!G473</f>
        <v>NEUTRAL</v>
      </c>
      <c r="L473" s="5" t="str">
        <f>OBV!H473</f>
        <v>NEUTRAL</v>
      </c>
      <c r="M473" s="7">
        <f t="shared" si="73"/>
        <v>50</v>
      </c>
      <c r="N473" s="7">
        <f t="shared" si="70"/>
        <v>0</v>
      </c>
      <c r="O473" s="7">
        <f t="shared" si="71"/>
        <v>50</v>
      </c>
      <c r="P473" s="7">
        <f t="shared" si="72"/>
        <v>33</v>
      </c>
      <c r="Q473" s="8">
        <f t="shared" si="74"/>
        <v>29.95</v>
      </c>
      <c r="R473" s="8">
        <f t="shared" si="75"/>
        <v>35.75</v>
      </c>
      <c r="S473" s="8">
        <f t="shared" si="76"/>
        <v>34.85</v>
      </c>
      <c r="T473" s="8">
        <f t="shared" si="77"/>
        <v>33.25</v>
      </c>
      <c r="U473" s="7">
        <f t="shared" si="78"/>
        <v>33.516666666666673</v>
      </c>
      <c r="V473" s="7">
        <f t="shared" si="79"/>
        <v>33.450000000000003</v>
      </c>
    </row>
    <row r="474" spans="1:22" ht="13.5" x14ac:dyDescent="0.25">
      <c r="A474" s="3">
        <f>RSI!A474</f>
        <v>45608</v>
      </c>
      <c r="B474" s="2">
        <f>RSI!B474</f>
        <v>5.8410000000000002</v>
      </c>
      <c r="C474" s="2">
        <f>RSI!I474</f>
        <v>53.891069858598989</v>
      </c>
      <c r="D474" s="2">
        <f>MACD!E474</f>
        <v>2.6216919421455209E-2</v>
      </c>
      <c r="E474" s="2">
        <f>MACD!F474</f>
        <v>6.6285114576511922E-3</v>
      </c>
      <c r="F474" s="2">
        <f>'Moving Avg'!D474</f>
        <v>5.8050000000000006</v>
      </c>
      <c r="G474" s="2">
        <f>'Moving Avg'!F474</f>
        <v>5.8181500000000002</v>
      </c>
      <c r="H474" s="2">
        <f>'Moving Avg'!G474</f>
        <v>5.7585400000000027</v>
      </c>
      <c r="I474" s="2">
        <f>'Moving Avg'!H474</f>
        <v>5.4115399999999987</v>
      </c>
      <c r="J474" s="5" t="str">
        <f>OBV!F474</f>
        <v>NEUTRAL</v>
      </c>
      <c r="K474" s="5" t="str">
        <f>OBV!G474</f>
        <v>NEUTRAL</v>
      </c>
      <c r="L474" s="5" t="str">
        <f>OBV!H474</f>
        <v>NEUTRAL</v>
      </c>
      <c r="M474" s="7">
        <f t="shared" si="73"/>
        <v>50</v>
      </c>
      <c r="N474" s="7">
        <f t="shared" si="70"/>
        <v>0</v>
      </c>
      <c r="O474" s="7">
        <f t="shared" si="71"/>
        <v>50</v>
      </c>
      <c r="P474" s="7">
        <f t="shared" si="72"/>
        <v>33</v>
      </c>
      <c r="Q474" s="8">
        <f t="shared" si="74"/>
        <v>29.95</v>
      </c>
      <c r="R474" s="8">
        <f t="shared" si="75"/>
        <v>35.75</v>
      </c>
      <c r="S474" s="8">
        <f t="shared" si="76"/>
        <v>34.85</v>
      </c>
      <c r="T474" s="8">
        <f t="shared" si="77"/>
        <v>33.25</v>
      </c>
      <c r="U474" s="7">
        <f t="shared" si="78"/>
        <v>33.516666666666673</v>
      </c>
      <c r="V474" s="7">
        <f t="shared" si="79"/>
        <v>33.450000000000003</v>
      </c>
    </row>
    <row r="475" spans="1:22" ht="13.5" x14ac:dyDescent="0.25">
      <c r="A475" s="3">
        <f>RSI!A475</f>
        <v>45609</v>
      </c>
      <c r="B475" s="2">
        <f>RSI!B475</f>
        <v>5.8120000000000003</v>
      </c>
      <c r="C475" s="2">
        <f>RSI!I475</f>
        <v>51.038469365169597</v>
      </c>
      <c r="D475" s="2">
        <f>MACD!E475</f>
        <v>2.4530615116566068E-2</v>
      </c>
      <c r="E475" s="2">
        <f>MACD!F475</f>
        <v>1.0208932189434168E-2</v>
      </c>
      <c r="F475" s="2">
        <f>'Moving Avg'!D475</f>
        <v>5.8086000000000002</v>
      </c>
      <c r="G475" s="2">
        <f>'Moving Avg'!F475</f>
        <v>5.8199999999999994</v>
      </c>
      <c r="H475" s="2">
        <f>'Moving Avg'!G475</f>
        <v>5.7615400000000019</v>
      </c>
      <c r="I475" s="2">
        <f>'Moving Avg'!H475</f>
        <v>5.4157649999999986</v>
      </c>
      <c r="J475" s="5" t="str">
        <f>OBV!F475</f>
        <v>NEUTRAL</v>
      </c>
      <c r="K475" s="5" t="str">
        <f>OBV!G475</f>
        <v>NEUTRAL</v>
      </c>
      <c r="L475" s="5" t="str">
        <f>OBV!H475</f>
        <v>NEUTRAL</v>
      </c>
      <c r="M475" s="7">
        <f t="shared" si="73"/>
        <v>50</v>
      </c>
      <c r="N475" s="7">
        <f t="shared" si="70"/>
        <v>0</v>
      </c>
      <c r="O475" s="7">
        <f t="shared" si="71"/>
        <v>50</v>
      </c>
      <c r="P475" s="7">
        <f t="shared" si="72"/>
        <v>33</v>
      </c>
      <c r="Q475" s="8">
        <f t="shared" si="74"/>
        <v>29.95</v>
      </c>
      <c r="R475" s="8">
        <f t="shared" si="75"/>
        <v>35.75</v>
      </c>
      <c r="S475" s="8">
        <f t="shared" si="76"/>
        <v>34.85</v>
      </c>
      <c r="T475" s="8">
        <f t="shared" si="77"/>
        <v>33.25</v>
      </c>
      <c r="U475" s="7">
        <f t="shared" si="78"/>
        <v>33.516666666666673</v>
      </c>
      <c r="V475" s="7">
        <f t="shared" si="79"/>
        <v>33.450000000000003</v>
      </c>
    </row>
    <row r="476" spans="1:22" ht="13.5" x14ac:dyDescent="0.25">
      <c r="A476" s="3">
        <f>RSI!A476</f>
        <v>45610</v>
      </c>
      <c r="B476" s="2">
        <f>RSI!B476</f>
        <v>5.8120000000000003</v>
      </c>
      <c r="C476" s="2">
        <f>RSI!I476</f>
        <v>51.038469365169597</v>
      </c>
      <c r="D476" s="2">
        <f>MACD!E476</f>
        <v>2.3043845474654212E-2</v>
      </c>
      <c r="E476" s="2">
        <f>MACD!F476</f>
        <v>1.2775914846478179E-2</v>
      </c>
      <c r="F476" s="2">
        <f>'Moving Avg'!D476</f>
        <v>5.8274000000000008</v>
      </c>
      <c r="G476" s="2">
        <f>'Moving Avg'!F476</f>
        <v>5.8218499999999995</v>
      </c>
      <c r="H476" s="2">
        <f>'Moving Avg'!G476</f>
        <v>5.7651000000000021</v>
      </c>
      <c r="I476" s="2">
        <f>'Moving Avg'!H476</f>
        <v>5.4209649999999989</v>
      </c>
      <c r="J476" s="5" t="str">
        <f>OBV!F476</f>
        <v>NEUTRAL</v>
      </c>
      <c r="K476" s="5" t="str">
        <f>OBV!G476</f>
        <v>NEUTRAL</v>
      </c>
      <c r="L476" s="5" t="str">
        <f>OBV!H476</f>
        <v>NEUTRAL</v>
      </c>
      <c r="M476" s="7">
        <f t="shared" si="73"/>
        <v>50</v>
      </c>
      <c r="N476" s="7">
        <f t="shared" si="70"/>
        <v>0</v>
      </c>
      <c r="O476" s="7">
        <f t="shared" si="71"/>
        <v>50</v>
      </c>
      <c r="P476" s="7">
        <f t="shared" si="72"/>
        <v>33</v>
      </c>
      <c r="Q476" s="8">
        <f t="shared" si="74"/>
        <v>29.95</v>
      </c>
      <c r="R476" s="8">
        <f t="shared" si="75"/>
        <v>35.75</v>
      </c>
      <c r="S476" s="8">
        <f t="shared" si="76"/>
        <v>34.85</v>
      </c>
      <c r="T476" s="8">
        <f t="shared" si="77"/>
        <v>33.25</v>
      </c>
      <c r="U476" s="7">
        <f t="shared" si="78"/>
        <v>33.516666666666673</v>
      </c>
      <c r="V476" s="7">
        <f t="shared" si="79"/>
        <v>33.450000000000003</v>
      </c>
    </row>
    <row r="477" spans="1:22" ht="13.5" x14ac:dyDescent="0.25">
      <c r="A477" s="3">
        <f>RSI!A477</f>
        <v>45611</v>
      </c>
      <c r="B477" s="2">
        <f>RSI!B477</f>
        <v>5.8220000000000001</v>
      </c>
      <c r="C477" s="2">
        <f>RSI!I477</f>
        <v>52.053438838590345</v>
      </c>
      <c r="D477" s="2">
        <f>MACD!E477</f>
        <v>2.0989608912191926E-2</v>
      </c>
      <c r="E477" s="2">
        <f>MACD!F477</f>
        <v>1.4418653659620929E-2</v>
      </c>
      <c r="F477" s="2">
        <f>'Moving Avg'!D477</f>
        <v>5.8312000000000008</v>
      </c>
      <c r="G477" s="2">
        <f>'Moving Avg'!F477</f>
        <v>5.8204499999999992</v>
      </c>
      <c r="H477" s="2">
        <f>'Moving Avg'!G477</f>
        <v>5.7688600000000019</v>
      </c>
      <c r="I477" s="2">
        <f>'Moving Avg'!H477</f>
        <v>5.4254599999999993</v>
      </c>
      <c r="J477" s="5" t="str">
        <f>OBV!F477</f>
        <v>NEUTRAL</v>
      </c>
      <c r="K477" s="5" t="str">
        <f>OBV!G477</f>
        <v>NEUTRAL</v>
      </c>
      <c r="L477" s="5" t="str">
        <f>OBV!H477</f>
        <v>NEUTRAL</v>
      </c>
      <c r="M477" s="7">
        <f t="shared" si="73"/>
        <v>50</v>
      </c>
      <c r="N477" s="7">
        <f t="shared" si="70"/>
        <v>0</v>
      </c>
      <c r="O477" s="7">
        <f t="shared" si="71"/>
        <v>50</v>
      </c>
      <c r="P477" s="7">
        <f t="shared" si="72"/>
        <v>33</v>
      </c>
      <c r="Q477" s="8">
        <f t="shared" si="74"/>
        <v>29.95</v>
      </c>
      <c r="R477" s="8">
        <f t="shared" si="75"/>
        <v>35.75</v>
      </c>
      <c r="S477" s="8">
        <f t="shared" si="76"/>
        <v>34.85</v>
      </c>
      <c r="T477" s="8">
        <f t="shared" si="77"/>
        <v>33.25</v>
      </c>
      <c r="U477" s="7">
        <f t="shared" si="78"/>
        <v>33.516666666666673</v>
      </c>
      <c r="V477" s="7">
        <f t="shared" si="79"/>
        <v>33.450000000000003</v>
      </c>
    </row>
    <row r="478" spans="1:22" ht="13.5" x14ac:dyDescent="0.25">
      <c r="A478" s="3">
        <f>RSI!A478</f>
        <v>45614</v>
      </c>
      <c r="B478" s="2">
        <f>RSI!B478</f>
        <v>5.8220000000000001</v>
      </c>
      <c r="C478" s="2">
        <f>RSI!I478</f>
        <v>52.053438838590345</v>
      </c>
      <c r="D478" s="2">
        <f>MACD!E478</f>
        <v>1.1910197258842459E-2</v>
      </c>
      <c r="E478" s="2">
        <f>MACD!F478</f>
        <v>1.3916962379465235E-2</v>
      </c>
      <c r="F478" s="2">
        <f>'Moving Avg'!D478</f>
        <v>5.8217999999999996</v>
      </c>
      <c r="G478" s="2">
        <f>'Moving Avg'!F478</f>
        <v>5.8209499999999998</v>
      </c>
      <c r="H478" s="2">
        <f>'Moving Avg'!G478</f>
        <v>5.7726200000000016</v>
      </c>
      <c r="I478" s="2">
        <f>'Moving Avg'!H478</f>
        <v>5.4297349999999982</v>
      </c>
      <c r="J478" s="5" t="str">
        <f>OBV!F478</f>
        <v>NEUTRAL</v>
      </c>
      <c r="K478" s="5" t="str">
        <f>OBV!G478</f>
        <v>NEUTRAL</v>
      </c>
      <c r="L478" s="5" t="str">
        <f>OBV!H478</f>
        <v>NEUTRAL</v>
      </c>
      <c r="M478" s="7">
        <f t="shared" si="73"/>
        <v>50</v>
      </c>
      <c r="N478" s="7">
        <f t="shared" si="70"/>
        <v>45</v>
      </c>
      <c r="O478" s="7">
        <f t="shared" si="71"/>
        <v>50</v>
      </c>
      <c r="P478" s="7">
        <f t="shared" si="72"/>
        <v>33</v>
      </c>
      <c r="Q478" s="8">
        <f t="shared" si="74"/>
        <v>45.7</v>
      </c>
      <c r="R478" s="8">
        <f t="shared" si="75"/>
        <v>44.75</v>
      </c>
      <c r="S478" s="8">
        <f t="shared" si="76"/>
        <v>41.6</v>
      </c>
      <c r="T478" s="8">
        <f t="shared" si="77"/>
        <v>44.5</v>
      </c>
      <c r="U478" s="7">
        <f t="shared" si="78"/>
        <v>44.016666666666673</v>
      </c>
      <c r="V478" s="7">
        <f t="shared" si="79"/>
        <v>44.137500000000003</v>
      </c>
    </row>
    <row r="479" spans="1:22" ht="13.5" x14ac:dyDescent="0.25">
      <c r="A479" s="3">
        <f>RSI!A479</f>
        <v>45615</v>
      </c>
      <c r="B479" s="2">
        <f>RSI!B479</f>
        <v>5.7939999999999996</v>
      </c>
      <c r="C479" s="2">
        <f>RSI!I479</f>
        <v>48.770359703902855</v>
      </c>
      <c r="D479" s="2">
        <f>MACD!E479</f>
        <v>1.1891738587313405E-2</v>
      </c>
      <c r="E479" s="2">
        <f>MACD!F479</f>
        <v>1.3511917621034869E-2</v>
      </c>
      <c r="F479" s="2">
        <f>'Moving Avg'!D479</f>
        <v>5.8124000000000002</v>
      </c>
      <c r="G479" s="2">
        <f>'Moving Avg'!F479</f>
        <v>5.8195499999999996</v>
      </c>
      <c r="H479" s="2">
        <f>'Moving Avg'!G479</f>
        <v>5.7762000000000011</v>
      </c>
      <c r="I479" s="2">
        <f>'Moving Avg'!H479</f>
        <v>5.4345349999999994</v>
      </c>
      <c r="J479" s="5" t="str">
        <f>OBV!F479</f>
        <v>NEUTRAL</v>
      </c>
      <c r="K479" s="5" t="str">
        <f>OBV!G479</f>
        <v>NEUTRAL</v>
      </c>
      <c r="L479" s="5" t="str">
        <f>OBV!H479</f>
        <v>NEUTRAL</v>
      </c>
      <c r="M479" s="7">
        <f t="shared" si="73"/>
        <v>50</v>
      </c>
      <c r="N479" s="7">
        <f t="shared" si="70"/>
        <v>45</v>
      </c>
      <c r="O479" s="7">
        <f t="shared" si="71"/>
        <v>50</v>
      </c>
      <c r="P479" s="7">
        <f t="shared" si="72"/>
        <v>33</v>
      </c>
      <c r="Q479" s="8">
        <f t="shared" si="74"/>
        <v>45.7</v>
      </c>
      <c r="R479" s="8">
        <f t="shared" si="75"/>
        <v>44.75</v>
      </c>
      <c r="S479" s="8">
        <f t="shared" si="76"/>
        <v>41.6</v>
      </c>
      <c r="T479" s="8">
        <f t="shared" si="77"/>
        <v>44.5</v>
      </c>
      <c r="U479" s="7">
        <f t="shared" si="78"/>
        <v>44.016666666666673</v>
      </c>
      <c r="V479" s="7">
        <f t="shared" si="79"/>
        <v>44.137500000000003</v>
      </c>
    </row>
    <row r="480" spans="1:22" ht="13.5" x14ac:dyDescent="0.25">
      <c r="A480" s="3">
        <f>RSI!A480</f>
        <v>45616</v>
      </c>
      <c r="B480" s="2">
        <f>RSI!B480</f>
        <v>5.7939999999999996</v>
      </c>
      <c r="C480" s="2">
        <f>RSI!I480</f>
        <v>48.770359703902855</v>
      </c>
      <c r="D480" s="2">
        <f>MACD!E480</f>
        <v>9.1776557126141967E-3</v>
      </c>
      <c r="E480" s="2">
        <f>MACD!F480</f>
        <v>1.2645065239350734E-2</v>
      </c>
      <c r="F480" s="2">
        <f>'Moving Avg'!D480</f>
        <v>5.8087999999999997</v>
      </c>
      <c r="G480" s="2">
        <f>'Moving Avg'!F480</f>
        <v>5.8204999999999991</v>
      </c>
      <c r="H480" s="2">
        <f>'Moving Avg'!G480</f>
        <v>5.7797800000000015</v>
      </c>
      <c r="I480" s="2">
        <f>'Moving Avg'!H480</f>
        <v>5.4391100000000003</v>
      </c>
      <c r="J480" s="5" t="str">
        <f>OBV!F480</f>
        <v>NEUTRAL</v>
      </c>
      <c r="K480" s="5" t="str">
        <f>OBV!G480</f>
        <v>NEUTRAL</v>
      </c>
      <c r="L480" s="5" t="str">
        <f>OBV!H480</f>
        <v>NEUTRAL</v>
      </c>
      <c r="M480" s="7">
        <f t="shared" si="73"/>
        <v>50</v>
      </c>
      <c r="N480" s="7">
        <f t="shared" si="70"/>
        <v>45</v>
      </c>
      <c r="O480" s="7">
        <f t="shared" si="71"/>
        <v>50</v>
      </c>
      <c r="P480" s="7">
        <f t="shared" si="72"/>
        <v>33</v>
      </c>
      <c r="Q480" s="8">
        <f t="shared" si="74"/>
        <v>45.7</v>
      </c>
      <c r="R480" s="8">
        <f t="shared" si="75"/>
        <v>44.75</v>
      </c>
      <c r="S480" s="8">
        <f t="shared" si="76"/>
        <v>41.6</v>
      </c>
      <c r="T480" s="8">
        <f t="shared" si="77"/>
        <v>44.5</v>
      </c>
      <c r="U480" s="7">
        <f t="shared" si="78"/>
        <v>44.016666666666673</v>
      </c>
      <c r="V480" s="7">
        <f t="shared" si="79"/>
        <v>44.137500000000003</v>
      </c>
    </row>
    <row r="481" spans="1:22" ht="13.5" x14ac:dyDescent="0.25">
      <c r="A481" s="3">
        <f>RSI!A481</f>
        <v>45617</v>
      </c>
      <c r="B481" s="2">
        <f>RSI!B481</f>
        <v>5.7939999999999996</v>
      </c>
      <c r="C481" s="2">
        <f>RSI!I481</f>
        <v>48.770359703902855</v>
      </c>
      <c r="D481" s="2">
        <f>MACD!E481</f>
        <v>-4.74565885545708E-3</v>
      </c>
      <c r="E481" s="2">
        <f>MACD!F481</f>
        <v>9.1669204203891734E-3</v>
      </c>
      <c r="F481" s="2">
        <f>'Moving Avg'!D481</f>
        <v>5.8052000000000001</v>
      </c>
      <c r="G481" s="2">
        <f>'Moving Avg'!F481</f>
        <v>5.816749999999999</v>
      </c>
      <c r="H481" s="2">
        <f>'Moving Avg'!G481</f>
        <v>5.7833600000000009</v>
      </c>
      <c r="I481" s="2">
        <f>'Moving Avg'!H481</f>
        <v>5.4437300000000013</v>
      </c>
      <c r="J481" s="5" t="str">
        <f>OBV!F481</f>
        <v>NEUTRAL</v>
      </c>
      <c r="K481" s="5" t="str">
        <f>OBV!G481</f>
        <v>NEUTRAL</v>
      </c>
      <c r="L481" s="5" t="str">
        <f>OBV!H481</f>
        <v>NEUTRAL</v>
      </c>
      <c r="M481" s="7">
        <f t="shared" si="73"/>
        <v>50</v>
      </c>
      <c r="N481" s="7">
        <f t="shared" si="70"/>
        <v>45</v>
      </c>
      <c r="O481" s="7">
        <f t="shared" si="71"/>
        <v>50</v>
      </c>
      <c r="P481" s="7">
        <f t="shared" si="72"/>
        <v>33</v>
      </c>
      <c r="Q481" s="8">
        <f t="shared" si="74"/>
        <v>45.7</v>
      </c>
      <c r="R481" s="8">
        <f t="shared" si="75"/>
        <v>44.75</v>
      </c>
      <c r="S481" s="8">
        <f t="shared" si="76"/>
        <v>41.6</v>
      </c>
      <c r="T481" s="8">
        <f t="shared" si="77"/>
        <v>44.5</v>
      </c>
      <c r="U481" s="7">
        <f t="shared" si="78"/>
        <v>44.016666666666673</v>
      </c>
      <c r="V481" s="7">
        <f t="shared" si="79"/>
        <v>44.137500000000003</v>
      </c>
    </row>
    <row r="482" spans="1:22" ht="13.5" x14ac:dyDescent="0.25">
      <c r="A482" s="3">
        <f>RSI!A482</f>
        <v>45618</v>
      </c>
      <c r="B482" s="2">
        <f>RSI!B482</f>
        <v>5.7750000000000004</v>
      </c>
      <c r="C482" s="2">
        <f>RSI!I482</f>
        <v>46.295663686966037</v>
      </c>
      <c r="D482" s="2">
        <f>MACD!E482</f>
        <v>-1.9819234446245559E-3</v>
      </c>
      <c r="E482" s="2">
        <f>MACD!F482</f>
        <v>6.9371516473864274E-3</v>
      </c>
      <c r="F482" s="2">
        <f>'Moving Avg'!D482</f>
        <v>5.7957999999999998</v>
      </c>
      <c r="G482" s="2">
        <f>'Moving Avg'!F482</f>
        <v>5.8120499999999993</v>
      </c>
      <c r="H482" s="2">
        <f>'Moving Avg'!G482</f>
        <v>5.7865600000000006</v>
      </c>
      <c r="I482" s="2">
        <f>'Moving Avg'!H482</f>
        <v>5.4491450000000006</v>
      </c>
      <c r="J482" s="5" t="str">
        <f>OBV!F482</f>
        <v>NEUTRAL</v>
      </c>
      <c r="K482" s="5" t="str">
        <f>OBV!G482</f>
        <v>NEUTRAL</v>
      </c>
      <c r="L482" s="5" t="str">
        <f>OBV!H482</f>
        <v>NEUTRAL</v>
      </c>
      <c r="M482" s="7">
        <f t="shared" si="73"/>
        <v>50</v>
      </c>
      <c r="N482" s="7">
        <f t="shared" si="70"/>
        <v>45</v>
      </c>
      <c r="O482" s="7">
        <f t="shared" si="71"/>
        <v>50</v>
      </c>
      <c r="P482" s="7">
        <f t="shared" si="72"/>
        <v>33</v>
      </c>
      <c r="Q482" s="8">
        <f t="shared" si="74"/>
        <v>45.7</v>
      </c>
      <c r="R482" s="8">
        <f t="shared" si="75"/>
        <v>44.75</v>
      </c>
      <c r="S482" s="8">
        <f t="shared" si="76"/>
        <v>41.6</v>
      </c>
      <c r="T482" s="8">
        <f t="shared" si="77"/>
        <v>44.5</v>
      </c>
      <c r="U482" s="7">
        <f t="shared" si="78"/>
        <v>44.016666666666673</v>
      </c>
      <c r="V482" s="7">
        <f t="shared" si="79"/>
        <v>44.137500000000003</v>
      </c>
    </row>
    <row r="483" spans="1:22" ht="13.5" x14ac:dyDescent="0.25">
      <c r="A483" s="3">
        <f>RSI!A483</f>
        <v>45621</v>
      </c>
      <c r="B483" s="2">
        <f>RSI!B483</f>
        <v>5.8029999999999999</v>
      </c>
      <c r="C483" s="2">
        <f>RSI!I483</f>
        <v>50.298130495495869</v>
      </c>
      <c r="D483" s="2">
        <f>MACD!E483</f>
        <v>8.6048427427192209E-3</v>
      </c>
      <c r="E483" s="2">
        <f>MACD!F483</f>
        <v>7.2706898664529861E-3</v>
      </c>
      <c r="F483" s="2">
        <f>'Moving Avg'!D483</f>
        <v>5.7919999999999998</v>
      </c>
      <c r="G483" s="2">
        <f>'Moving Avg'!F483</f>
        <v>5.8087499999999999</v>
      </c>
      <c r="H483" s="2">
        <f>'Moving Avg'!G483</f>
        <v>5.7899400000000005</v>
      </c>
      <c r="I483" s="2">
        <f>'Moving Avg'!H483</f>
        <v>5.4543000000000017</v>
      </c>
      <c r="J483" s="5" t="str">
        <f>OBV!F483</f>
        <v>NEUTRAL</v>
      </c>
      <c r="K483" s="5" t="str">
        <f>OBV!G483</f>
        <v>NEUTRAL</v>
      </c>
      <c r="L483" s="5" t="str">
        <f>OBV!H483</f>
        <v>NEUTRAL</v>
      </c>
      <c r="M483" s="7">
        <f t="shared" si="73"/>
        <v>50</v>
      </c>
      <c r="N483" s="7">
        <f t="shared" si="70"/>
        <v>0</v>
      </c>
      <c r="O483" s="7">
        <f t="shared" si="71"/>
        <v>50</v>
      </c>
      <c r="P483" s="7">
        <f t="shared" si="72"/>
        <v>33</v>
      </c>
      <c r="Q483" s="8">
        <f t="shared" si="74"/>
        <v>29.95</v>
      </c>
      <c r="R483" s="8">
        <f t="shared" si="75"/>
        <v>35.75</v>
      </c>
      <c r="S483" s="8">
        <f t="shared" si="76"/>
        <v>34.85</v>
      </c>
      <c r="T483" s="8">
        <f t="shared" si="77"/>
        <v>33.25</v>
      </c>
      <c r="U483" s="7">
        <f t="shared" si="78"/>
        <v>33.516666666666673</v>
      </c>
      <c r="V483" s="7">
        <f t="shared" si="79"/>
        <v>33.450000000000003</v>
      </c>
    </row>
    <row r="484" spans="1:22" ht="13.5" x14ac:dyDescent="0.25">
      <c r="A484" s="3">
        <f>RSI!A484</f>
        <v>45622</v>
      </c>
      <c r="B484" s="2">
        <f>RSI!B484</f>
        <v>5.7839999999999998</v>
      </c>
      <c r="C484" s="2">
        <f>RSI!I484</f>
        <v>47.700249295907554</v>
      </c>
      <c r="D484" s="2">
        <f>MACD!E484</f>
        <v>1.4653108641716983E-2</v>
      </c>
      <c r="E484" s="2">
        <f>MACD!F484</f>
        <v>8.7471736215057865E-3</v>
      </c>
      <c r="F484" s="2">
        <f>'Moving Avg'!D484</f>
        <v>5.79</v>
      </c>
      <c r="G484" s="2">
        <f>'Moving Avg'!F484</f>
        <v>5.8045</v>
      </c>
      <c r="H484" s="2">
        <f>'Moving Avg'!G484</f>
        <v>5.7929400000000006</v>
      </c>
      <c r="I484" s="2">
        <f>'Moving Avg'!H484</f>
        <v>5.459715000000001</v>
      </c>
      <c r="J484" s="5" t="str">
        <f>OBV!F484</f>
        <v>NEUTRAL</v>
      </c>
      <c r="K484" s="5" t="str">
        <f>OBV!G484</f>
        <v>NEUTRAL</v>
      </c>
      <c r="L484" s="5" t="str">
        <f>OBV!H484</f>
        <v>NEUTRAL</v>
      </c>
      <c r="M484" s="7">
        <f t="shared" si="73"/>
        <v>50</v>
      </c>
      <c r="N484" s="7">
        <f t="shared" si="70"/>
        <v>0</v>
      </c>
      <c r="O484" s="7">
        <f t="shared" si="71"/>
        <v>50</v>
      </c>
      <c r="P484" s="7">
        <f t="shared" si="72"/>
        <v>33</v>
      </c>
      <c r="Q484" s="8">
        <f t="shared" si="74"/>
        <v>29.95</v>
      </c>
      <c r="R484" s="8">
        <f t="shared" si="75"/>
        <v>35.75</v>
      </c>
      <c r="S484" s="8">
        <f t="shared" si="76"/>
        <v>34.85</v>
      </c>
      <c r="T484" s="8">
        <f t="shared" si="77"/>
        <v>33.25</v>
      </c>
      <c r="U484" s="7">
        <f t="shared" si="78"/>
        <v>33.516666666666673</v>
      </c>
      <c r="V484" s="7">
        <f t="shared" si="79"/>
        <v>33.450000000000003</v>
      </c>
    </row>
    <row r="485" spans="1:22" ht="13.5" x14ac:dyDescent="0.25">
      <c r="A485" s="3">
        <f>RSI!A485</f>
        <v>45623</v>
      </c>
      <c r="B485" s="2">
        <f>RSI!B485</f>
        <v>5.7279999999999998</v>
      </c>
      <c r="C485" s="2">
        <f>RSI!I485</f>
        <v>40.981686510752702</v>
      </c>
      <c r="D485" s="2">
        <f>MACD!E485</f>
        <v>1.9560973848719243E-2</v>
      </c>
      <c r="E485" s="2">
        <f>MACD!F485</f>
        <v>1.0909933666948479E-2</v>
      </c>
      <c r="F485" s="2">
        <f>'Moving Avg'!D485</f>
        <v>5.7767999999999997</v>
      </c>
      <c r="G485" s="2">
        <f>'Moving Avg'!F485</f>
        <v>5.7997999999999994</v>
      </c>
      <c r="H485" s="2">
        <f>'Moving Avg'!G485</f>
        <v>5.7948200000000023</v>
      </c>
      <c r="I485" s="2">
        <f>'Moving Avg'!H485</f>
        <v>5.464450000000002</v>
      </c>
      <c r="J485" s="5" t="str">
        <f>OBV!F485</f>
        <v>NEUTRAL</v>
      </c>
      <c r="K485" s="5" t="str">
        <f>OBV!G485</f>
        <v>NEUTRAL</v>
      </c>
      <c r="L485" s="5" t="str">
        <f>OBV!H485</f>
        <v>NEUTRAL</v>
      </c>
      <c r="M485" s="7">
        <f t="shared" si="73"/>
        <v>50</v>
      </c>
      <c r="N485" s="7">
        <f t="shared" si="70"/>
        <v>0</v>
      </c>
      <c r="O485" s="7">
        <f t="shared" si="71"/>
        <v>50</v>
      </c>
      <c r="P485" s="7">
        <f t="shared" si="72"/>
        <v>33</v>
      </c>
      <c r="Q485" s="8">
        <f t="shared" si="74"/>
        <v>29.95</v>
      </c>
      <c r="R485" s="8">
        <f t="shared" si="75"/>
        <v>35.75</v>
      </c>
      <c r="S485" s="8">
        <f t="shared" si="76"/>
        <v>34.85</v>
      </c>
      <c r="T485" s="8">
        <f t="shared" si="77"/>
        <v>33.25</v>
      </c>
      <c r="U485" s="7">
        <f t="shared" si="78"/>
        <v>33.516666666666673</v>
      </c>
      <c r="V485" s="7">
        <f t="shared" si="79"/>
        <v>33.450000000000003</v>
      </c>
    </row>
    <row r="486" spans="1:22" ht="13.5" x14ac:dyDescent="0.25">
      <c r="A486" s="3">
        <f>RSI!A486</f>
        <v>45624</v>
      </c>
      <c r="B486" s="2">
        <f>RSI!B486</f>
        <v>5.6340000000000003</v>
      </c>
      <c r="C486" s="2">
        <f>RSI!I486</f>
        <v>32.664808100310736</v>
      </c>
      <c r="D486" s="2">
        <f>MACD!E486</f>
        <v>3.1103478226298442E-2</v>
      </c>
      <c r="E486" s="2">
        <f>MACD!F486</f>
        <v>1.4948642578818474E-2</v>
      </c>
      <c r="F486" s="2">
        <f>'Moving Avg'!D486</f>
        <v>5.7447999999999997</v>
      </c>
      <c r="G486" s="2">
        <f>'Moving Avg'!F486</f>
        <v>5.7904</v>
      </c>
      <c r="H486" s="2">
        <f>'Moving Avg'!G486</f>
        <v>5.7948200000000023</v>
      </c>
      <c r="I486" s="2">
        <f>'Moving Avg'!H486</f>
        <v>5.4687150000000022</v>
      </c>
      <c r="J486" s="5" t="str">
        <f>OBV!F486</f>
        <v>NEUTRAL</v>
      </c>
      <c r="K486" s="5" t="str">
        <f>OBV!G486</f>
        <v>NEUTRAL</v>
      </c>
      <c r="L486" s="5" t="str">
        <f>OBV!H486</f>
        <v>NEUTRAL</v>
      </c>
      <c r="M486" s="7">
        <f t="shared" si="73"/>
        <v>50</v>
      </c>
      <c r="N486" s="7">
        <f t="shared" si="70"/>
        <v>0</v>
      </c>
      <c r="O486" s="7">
        <f t="shared" si="71"/>
        <v>50</v>
      </c>
      <c r="P486" s="7">
        <f t="shared" si="72"/>
        <v>33</v>
      </c>
      <c r="Q486" s="8">
        <f t="shared" si="74"/>
        <v>29.95</v>
      </c>
      <c r="R486" s="8">
        <f t="shared" si="75"/>
        <v>35.75</v>
      </c>
      <c r="S486" s="8">
        <f t="shared" si="76"/>
        <v>34.85</v>
      </c>
      <c r="T486" s="8">
        <f t="shared" si="77"/>
        <v>33.25</v>
      </c>
      <c r="U486" s="7">
        <f t="shared" si="78"/>
        <v>33.516666666666673</v>
      </c>
      <c r="V486" s="7">
        <f t="shared" si="79"/>
        <v>33.450000000000003</v>
      </c>
    </row>
    <row r="487" spans="1:22" ht="13.5" x14ac:dyDescent="0.25">
      <c r="A487" s="3">
        <f>RSI!A487</f>
        <v>45625</v>
      </c>
      <c r="B487" s="2">
        <f>RSI!B487</f>
        <v>5.7939999999999996</v>
      </c>
      <c r="C487" s="2">
        <f>RSI!I487</f>
        <v>50.922006549266037</v>
      </c>
      <c r="D487" s="2">
        <f>MACD!E487</f>
        <v>3.1507395009573003E-2</v>
      </c>
      <c r="E487" s="2">
        <f>MACD!F487</f>
        <v>1.826039306496938E-2</v>
      </c>
      <c r="F487" s="2">
        <f>'Moving Avg'!D487</f>
        <v>5.7485999999999997</v>
      </c>
      <c r="G487" s="2">
        <f>'Moving Avg'!F487</f>
        <v>5.7889999999999997</v>
      </c>
      <c r="H487" s="2">
        <f>'Moving Avg'!G487</f>
        <v>5.7961400000000012</v>
      </c>
      <c r="I487" s="2">
        <f>'Moving Avg'!H487</f>
        <v>5.4741800000000032</v>
      </c>
      <c r="J487" s="5" t="str">
        <f>OBV!F487</f>
        <v>NEUTRAL</v>
      </c>
      <c r="K487" s="5" t="str">
        <f>OBV!G487</f>
        <v>NEUTRAL</v>
      </c>
      <c r="L487" s="5" t="str">
        <f>OBV!H487</f>
        <v>NEUTRAL</v>
      </c>
      <c r="M487" s="7">
        <f t="shared" si="73"/>
        <v>50</v>
      </c>
      <c r="N487" s="7">
        <f t="shared" si="70"/>
        <v>0</v>
      </c>
      <c r="O487" s="7">
        <f t="shared" si="71"/>
        <v>50</v>
      </c>
      <c r="P487" s="7">
        <f t="shared" si="72"/>
        <v>33</v>
      </c>
      <c r="Q487" s="8">
        <f t="shared" si="74"/>
        <v>29.95</v>
      </c>
      <c r="R487" s="8">
        <f t="shared" si="75"/>
        <v>35.75</v>
      </c>
      <c r="S487" s="8">
        <f t="shared" si="76"/>
        <v>34.85</v>
      </c>
      <c r="T487" s="8">
        <f t="shared" si="77"/>
        <v>33.25</v>
      </c>
      <c r="U487" s="7">
        <f t="shared" si="78"/>
        <v>33.516666666666673</v>
      </c>
      <c r="V487" s="7">
        <f t="shared" si="79"/>
        <v>33.450000000000003</v>
      </c>
    </row>
    <row r="488" spans="1:22" ht="13.5" x14ac:dyDescent="0.25">
      <c r="A488" s="3">
        <f>RSI!A488</f>
        <v>45628</v>
      </c>
      <c r="B488" s="2">
        <f>RSI!B488</f>
        <v>5.7839999999999998</v>
      </c>
      <c r="C488" s="2">
        <f>RSI!I488</f>
        <v>50.009348823824809</v>
      </c>
      <c r="D488" s="2">
        <f>MACD!E488</f>
        <v>3.2524624455049889E-2</v>
      </c>
      <c r="E488" s="2">
        <f>MACD!F488</f>
        <v>2.1113239342985483E-2</v>
      </c>
      <c r="F488" s="2">
        <f>'Moving Avg'!D488</f>
        <v>5.7447999999999997</v>
      </c>
      <c r="G488" s="2">
        <f>'Moving Avg'!F488</f>
        <v>5.7894500000000004</v>
      </c>
      <c r="H488" s="2">
        <f>'Moving Avg'!G488</f>
        <v>5.7965200000000028</v>
      </c>
      <c r="I488" s="2">
        <f>'Moving Avg'!H488</f>
        <v>5.4795950000000042</v>
      </c>
      <c r="J488" s="5" t="str">
        <f>OBV!F488</f>
        <v>NEUTRAL</v>
      </c>
      <c r="K488" s="5" t="str">
        <f>OBV!G488</f>
        <v>NEUTRAL</v>
      </c>
      <c r="L488" s="5" t="str">
        <f>OBV!H488</f>
        <v>NEUTRAL</v>
      </c>
      <c r="M488" s="7">
        <f t="shared" si="73"/>
        <v>50</v>
      </c>
      <c r="N488" s="7">
        <f t="shared" si="70"/>
        <v>0</v>
      </c>
      <c r="O488" s="7">
        <f t="shared" si="71"/>
        <v>50</v>
      </c>
      <c r="P488" s="7">
        <f t="shared" si="72"/>
        <v>33</v>
      </c>
      <c r="Q488" s="8">
        <f t="shared" si="74"/>
        <v>29.95</v>
      </c>
      <c r="R488" s="8">
        <f t="shared" si="75"/>
        <v>35.75</v>
      </c>
      <c r="S488" s="8">
        <f t="shared" si="76"/>
        <v>34.85</v>
      </c>
      <c r="T488" s="8">
        <f t="shared" si="77"/>
        <v>33.25</v>
      </c>
      <c r="U488" s="7">
        <f t="shared" si="78"/>
        <v>33.516666666666673</v>
      </c>
      <c r="V488" s="7">
        <f t="shared" si="79"/>
        <v>33.450000000000003</v>
      </c>
    </row>
    <row r="489" spans="1:22" ht="13.5" x14ac:dyDescent="0.25">
      <c r="A489" s="3">
        <f>RSI!A489</f>
        <v>45629</v>
      </c>
      <c r="B489" s="2">
        <f>RSI!B489</f>
        <v>5.7839999999999998</v>
      </c>
      <c r="C489" s="2">
        <f>RSI!I489</f>
        <v>50.009348823824809</v>
      </c>
      <c r="D489" s="2">
        <f>MACD!E489</f>
        <v>2.9076304226235195E-2</v>
      </c>
      <c r="E489" s="2">
        <f>MACD!F489</f>
        <v>2.2705852319635424E-2</v>
      </c>
      <c r="F489" s="2">
        <f>'Moving Avg'!D489</f>
        <v>5.7447999999999997</v>
      </c>
      <c r="G489" s="2">
        <f>'Moving Avg'!F489</f>
        <v>5.7880500000000001</v>
      </c>
      <c r="H489" s="2">
        <f>'Moving Avg'!G489</f>
        <v>5.7967000000000022</v>
      </c>
      <c r="I489" s="2">
        <f>'Moving Avg'!H489</f>
        <v>5.4850550000000053</v>
      </c>
      <c r="J489" s="5" t="str">
        <f>OBV!F489</f>
        <v>NEUTRAL</v>
      </c>
      <c r="K489" s="5" t="str">
        <f>OBV!G489</f>
        <v>NEUTRAL</v>
      </c>
      <c r="L489" s="5" t="str">
        <f>OBV!H489</f>
        <v>NEUTRAL</v>
      </c>
      <c r="M489" s="7">
        <f t="shared" si="73"/>
        <v>50</v>
      </c>
      <c r="N489" s="7">
        <f t="shared" si="70"/>
        <v>0</v>
      </c>
      <c r="O489" s="7">
        <f t="shared" si="71"/>
        <v>50</v>
      </c>
      <c r="P489" s="7">
        <f t="shared" si="72"/>
        <v>33</v>
      </c>
      <c r="Q489" s="8">
        <f t="shared" si="74"/>
        <v>29.95</v>
      </c>
      <c r="R489" s="8">
        <f t="shared" si="75"/>
        <v>35.75</v>
      </c>
      <c r="S489" s="8">
        <f t="shared" si="76"/>
        <v>34.85</v>
      </c>
      <c r="T489" s="8">
        <f t="shared" si="77"/>
        <v>33.25</v>
      </c>
      <c r="U489" s="7">
        <f t="shared" si="78"/>
        <v>33.516666666666673</v>
      </c>
      <c r="V489" s="7">
        <f t="shared" si="79"/>
        <v>33.450000000000003</v>
      </c>
    </row>
    <row r="490" spans="1:22" ht="13.5" x14ac:dyDescent="0.25">
      <c r="A490" s="3">
        <f>RSI!A490</f>
        <v>45630</v>
      </c>
      <c r="B490" s="2">
        <f>RSI!B490</f>
        <v>5.7839999999999998</v>
      </c>
      <c r="C490" s="2">
        <f>RSI!I490</f>
        <v>50.009348823824809</v>
      </c>
      <c r="D490" s="2">
        <f>MACD!E490</f>
        <v>2.6157235052933103E-2</v>
      </c>
      <c r="E490" s="2">
        <f>MACD!F490</f>
        <v>2.3396128866294962E-2</v>
      </c>
      <c r="F490" s="2">
        <f>'Moving Avg'!D490</f>
        <v>5.7559999999999993</v>
      </c>
      <c r="G490" s="2">
        <f>'Moving Avg'!F490</f>
        <v>5.7875500000000013</v>
      </c>
      <c r="H490" s="2">
        <f>'Moving Avg'!G490</f>
        <v>5.7968800000000007</v>
      </c>
      <c r="I490" s="2">
        <f>'Moving Avg'!H490</f>
        <v>5.4905150000000056</v>
      </c>
      <c r="J490" s="5" t="str">
        <f>OBV!F490</f>
        <v>NEUTRAL</v>
      </c>
      <c r="K490" s="5" t="str">
        <f>OBV!G490</f>
        <v>NEUTRAL</v>
      </c>
      <c r="L490" s="5" t="str">
        <f>OBV!H490</f>
        <v>NEUTRAL</v>
      </c>
      <c r="M490" s="7">
        <f t="shared" si="73"/>
        <v>50</v>
      </c>
      <c r="N490" s="7">
        <f t="shared" si="70"/>
        <v>0</v>
      </c>
      <c r="O490" s="7">
        <f t="shared" si="71"/>
        <v>50</v>
      </c>
      <c r="P490" s="7">
        <f t="shared" si="72"/>
        <v>33</v>
      </c>
      <c r="Q490" s="8">
        <f t="shared" si="74"/>
        <v>29.95</v>
      </c>
      <c r="R490" s="8">
        <f t="shared" si="75"/>
        <v>35.75</v>
      </c>
      <c r="S490" s="8">
        <f t="shared" si="76"/>
        <v>34.85</v>
      </c>
      <c r="T490" s="8">
        <f t="shared" si="77"/>
        <v>33.25</v>
      </c>
      <c r="U490" s="7">
        <f t="shared" si="78"/>
        <v>33.516666666666673</v>
      </c>
      <c r="V490" s="7">
        <f t="shared" si="79"/>
        <v>33.450000000000003</v>
      </c>
    </row>
    <row r="491" spans="1:22" ht="13.5" x14ac:dyDescent="0.25">
      <c r="A491" s="3">
        <f>RSI!A491</f>
        <v>45631</v>
      </c>
      <c r="B491" s="2">
        <f>RSI!B491</f>
        <v>5.7839999999999998</v>
      </c>
      <c r="C491" s="2">
        <f>RSI!I491</f>
        <v>50.009348823824823</v>
      </c>
      <c r="D491" s="2">
        <f>MACD!E491</f>
        <v>2.3686087010569068E-2</v>
      </c>
      <c r="E491" s="2">
        <f>MACD!F491</f>
        <v>2.3454120495149784E-2</v>
      </c>
      <c r="F491" s="2">
        <f>'Moving Avg'!D491</f>
        <v>5.7859999999999996</v>
      </c>
      <c r="G491" s="2">
        <f>'Moving Avg'!F491</f>
        <v>5.7908500000000007</v>
      </c>
      <c r="H491" s="2">
        <f>'Moving Avg'!G491</f>
        <v>5.7972600000000014</v>
      </c>
      <c r="I491" s="2">
        <f>'Moving Avg'!H491</f>
        <v>5.4959300000000066</v>
      </c>
      <c r="J491" s="5" t="str">
        <f>OBV!F491</f>
        <v>NEUTRAL</v>
      </c>
      <c r="K491" s="5" t="str">
        <f>OBV!G491</f>
        <v>NEUTRAL</v>
      </c>
      <c r="L491" s="5" t="str">
        <f>OBV!H491</f>
        <v>NEUTRAL</v>
      </c>
      <c r="M491" s="7">
        <f t="shared" si="73"/>
        <v>50</v>
      </c>
      <c r="N491" s="7">
        <f t="shared" si="70"/>
        <v>0</v>
      </c>
      <c r="O491" s="7">
        <f t="shared" si="71"/>
        <v>50</v>
      </c>
      <c r="P491" s="7">
        <f t="shared" si="72"/>
        <v>33</v>
      </c>
      <c r="Q491" s="8">
        <f t="shared" si="74"/>
        <v>29.95</v>
      </c>
      <c r="R491" s="8">
        <f t="shared" si="75"/>
        <v>35.75</v>
      </c>
      <c r="S491" s="8">
        <f t="shared" si="76"/>
        <v>34.85</v>
      </c>
      <c r="T491" s="8">
        <f t="shared" si="77"/>
        <v>33.25</v>
      </c>
      <c r="U491" s="7">
        <f t="shared" si="78"/>
        <v>33.516666666666673</v>
      </c>
      <c r="V491" s="7">
        <f t="shared" si="79"/>
        <v>33.450000000000003</v>
      </c>
    </row>
    <row r="492" spans="1:22" ht="13.5" x14ac:dyDescent="0.25">
      <c r="A492" s="3">
        <f>RSI!A492</f>
        <v>45632</v>
      </c>
      <c r="B492" s="2">
        <f>RSI!B492</f>
        <v>5.8220000000000001</v>
      </c>
      <c r="C492" s="2">
        <f>RSI!I492</f>
        <v>54.204499517204539</v>
      </c>
      <c r="D492" s="2">
        <f>MACD!E492</f>
        <v>1.5856143820562885E-2</v>
      </c>
      <c r="E492" s="2">
        <f>MACD!F492</f>
        <v>2.1934525160232407E-2</v>
      </c>
      <c r="F492" s="2">
        <f>'Moving Avg'!D492</f>
        <v>5.7915999999999999</v>
      </c>
      <c r="G492" s="2">
        <f>'Moving Avg'!F492</f>
        <v>5.7918000000000003</v>
      </c>
      <c r="H492" s="2">
        <f>'Moving Avg'!G492</f>
        <v>5.7982000000000014</v>
      </c>
      <c r="I492" s="2">
        <f>'Moving Avg'!H492</f>
        <v>5.5002900000000059</v>
      </c>
      <c r="J492" s="5" t="str">
        <f>OBV!F492</f>
        <v>NEUTRAL</v>
      </c>
      <c r="K492" s="5" t="str">
        <f>OBV!G492</f>
        <v>NEUTRAL</v>
      </c>
      <c r="L492" s="5" t="str">
        <f>OBV!H492</f>
        <v>NEUTRAL</v>
      </c>
      <c r="M492" s="7">
        <f t="shared" si="73"/>
        <v>50</v>
      </c>
      <c r="N492" s="7">
        <f t="shared" si="70"/>
        <v>45</v>
      </c>
      <c r="O492" s="7">
        <f t="shared" si="71"/>
        <v>50</v>
      </c>
      <c r="P492" s="7">
        <f t="shared" si="72"/>
        <v>33</v>
      </c>
      <c r="Q492" s="8">
        <f t="shared" si="74"/>
        <v>45.7</v>
      </c>
      <c r="R492" s="8">
        <f t="shared" si="75"/>
        <v>44.75</v>
      </c>
      <c r="S492" s="8">
        <f t="shared" si="76"/>
        <v>41.6</v>
      </c>
      <c r="T492" s="8">
        <f t="shared" si="77"/>
        <v>44.5</v>
      </c>
      <c r="U492" s="7">
        <f t="shared" si="78"/>
        <v>44.016666666666673</v>
      </c>
      <c r="V492" s="7">
        <f t="shared" si="79"/>
        <v>44.137500000000003</v>
      </c>
    </row>
    <row r="493" spans="1:22" ht="13.5" x14ac:dyDescent="0.25">
      <c r="A493" s="3">
        <f>RSI!A493</f>
        <v>45635</v>
      </c>
      <c r="B493" s="2">
        <f>RSI!B493</f>
        <v>5.9160000000000004</v>
      </c>
      <c r="C493" s="2">
        <f>RSI!I493</f>
        <v>62.57182028385261</v>
      </c>
      <c r="D493" s="2">
        <f>MACD!E493</f>
        <v>6.3499929586416926E-3</v>
      </c>
      <c r="E493" s="2">
        <f>MACD!F493</f>
        <v>1.8817618719914265E-2</v>
      </c>
      <c r="F493" s="2">
        <f>'Moving Avg'!D493</f>
        <v>5.8179999999999996</v>
      </c>
      <c r="G493" s="2">
        <f>'Moving Avg'!F493</f>
        <v>5.7941500000000001</v>
      </c>
      <c r="H493" s="2">
        <f>'Moving Avg'!G493</f>
        <v>5.800080000000003</v>
      </c>
      <c r="I493" s="2">
        <f>'Moving Avg'!H493</f>
        <v>5.5051200000000051</v>
      </c>
      <c r="J493" s="5" t="str">
        <f>OBV!F493</f>
        <v>NEUTRAL</v>
      </c>
      <c r="K493" s="5" t="str">
        <f>OBV!G493</f>
        <v>NEUTRAL</v>
      </c>
      <c r="L493" s="5" t="str">
        <f>OBV!H493</f>
        <v>NEUTRAL</v>
      </c>
      <c r="M493" s="7">
        <f t="shared" si="73"/>
        <v>50</v>
      </c>
      <c r="N493" s="7">
        <f t="shared" si="70"/>
        <v>45</v>
      </c>
      <c r="O493" s="7">
        <f t="shared" si="71"/>
        <v>50</v>
      </c>
      <c r="P493" s="7">
        <f t="shared" si="72"/>
        <v>33</v>
      </c>
      <c r="Q493" s="8">
        <f t="shared" si="74"/>
        <v>45.7</v>
      </c>
      <c r="R493" s="8">
        <f t="shared" si="75"/>
        <v>44.75</v>
      </c>
      <c r="S493" s="8">
        <f t="shared" si="76"/>
        <v>41.6</v>
      </c>
      <c r="T493" s="8">
        <f t="shared" si="77"/>
        <v>44.5</v>
      </c>
      <c r="U493" s="7">
        <f t="shared" si="78"/>
        <v>44.016666666666673</v>
      </c>
      <c r="V493" s="7">
        <f t="shared" si="79"/>
        <v>44.137500000000003</v>
      </c>
    </row>
    <row r="494" spans="1:22" ht="13.5" x14ac:dyDescent="0.25">
      <c r="A494" s="3">
        <f>RSI!A494</f>
        <v>45636</v>
      </c>
      <c r="B494" s="2">
        <f>RSI!B494</f>
        <v>5.9059999999999997</v>
      </c>
      <c r="C494" s="2">
        <f>RSI!I494</f>
        <v>61.288892495717796</v>
      </c>
      <c r="D494" s="2">
        <f>MACD!E494</f>
        <v>-4.6402960979481378E-3</v>
      </c>
      <c r="E494" s="2">
        <f>MACD!F494</f>
        <v>1.4126035756341785E-2</v>
      </c>
      <c r="F494" s="2">
        <f>'Moving Avg'!D494</f>
        <v>5.8423999999999996</v>
      </c>
      <c r="G494" s="2">
        <f>'Moving Avg'!F494</f>
        <v>5.7974000000000014</v>
      </c>
      <c r="H494" s="2">
        <f>'Moving Avg'!G494</f>
        <v>5.8017600000000016</v>
      </c>
      <c r="I494" s="2">
        <f>'Moving Avg'!H494</f>
        <v>5.5100350000000047</v>
      </c>
      <c r="J494" s="5" t="str">
        <f>OBV!F494</f>
        <v>NEUTRAL</v>
      </c>
      <c r="K494" s="5" t="str">
        <f>OBV!G494</f>
        <v>NEUTRAL</v>
      </c>
      <c r="L494" s="5" t="str">
        <f>OBV!H494</f>
        <v>NEUTRAL</v>
      </c>
      <c r="M494" s="7">
        <f t="shared" si="73"/>
        <v>50</v>
      </c>
      <c r="N494" s="7">
        <f t="shared" si="70"/>
        <v>45</v>
      </c>
      <c r="O494" s="7">
        <f t="shared" si="71"/>
        <v>50</v>
      </c>
      <c r="P494" s="7">
        <f t="shared" si="72"/>
        <v>33</v>
      </c>
      <c r="Q494" s="8">
        <f t="shared" si="74"/>
        <v>45.7</v>
      </c>
      <c r="R494" s="8">
        <f t="shared" si="75"/>
        <v>44.75</v>
      </c>
      <c r="S494" s="8">
        <f t="shared" si="76"/>
        <v>41.6</v>
      </c>
      <c r="T494" s="8">
        <f t="shared" si="77"/>
        <v>44.5</v>
      </c>
      <c r="U494" s="7">
        <f t="shared" si="78"/>
        <v>44.016666666666673</v>
      </c>
      <c r="V494" s="7">
        <f t="shared" si="79"/>
        <v>44.137500000000003</v>
      </c>
    </row>
    <row r="495" spans="1:22" ht="13.5" x14ac:dyDescent="0.25">
      <c r="A495" s="3">
        <f>RSI!A495</f>
        <v>45637</v>
      </c>
      <c r="B495" s="2">
        <f>RSI!B495</f>
        <v>5.9059999999999997</v>
      </c>
      <c r="C495" s="2">
        <f>RSI!I495</f>
        <v>61.288892495717796</v>
      </c>
      <c r="D495" s="2">
        <f>MACD!E495</f>
        <v>-2.3203738565668708E-2</v>
      </c>
      <c r="E495" s="2">
        <f>MACD!F495</f>
        <v>6.6600808919396858E-3</v>
      </c>
      <c r="F495" s="2">
        <f>'Moving Avg'!D495</f>
        <v>5.8667999999999996</v>
      </c>
      <c r="G495" s="2">
        <f>'Moving Avg'!F495</f>
        <v>5.8021000000000011</v>
      </c>
      <c r="H495" s="2">
        <f>'Moving Avg'!G495</f>
        <v>5.8034400000000019</v>
      </c>
      <c r="I495" s="2">
        <f>'Moving Avg'!H495</f>
        <v>5.514815000000004</v>
      </c>
      <c r="J495" s="5" t="str">
        <f>OBV!F495</f>
        <v>NEUTRAL</v>
      </c>
      <c r="K495" s="5" t="str">
        <f>OBV!G495</f>
        <v>NEUTRAL</v>
      </c>
      <c r="L495" s="5" t="str">
        <f>OBV!H495</f>
        <v>NEUTRAL</v>
      </c>
      <c r="M495" s="7">
        <f t="shared" si="73"/>
        <v>50</v>
      </c>
      <c r="N495" s="7">
        <f t="shared" si="70"/>
        <v>100</v>
      </c>
      <c r="O495" s="7">
        <f t="shared" si="71"/>
        <v>50</v>
      </c>
      <c r="P495" s="7">
        <f t="shared" si="72"/>
        <v>33</v>
      </c>
      <c r="Q495" s="8">
        <f t="shared" si="74"/>
        <v>64.95</v>
      </c>
      <c r="R495" s="8">
        <f t="shared" si="75"/>
        <v>55.75</v>
      </c>
      <c r="S495" s="8">
        <f t="shared" si="76"/>
        <v>49.85</v>
      </c>
      <c r="T495" s="8">
        <f t="shared" si="77"/>
        <v>58.25</v>
      </c>
      <c r="U495" s="7">
        <f t="shared" si="78"/>
        <v>56.85</v>
      </c>
      <c r="V495" s="7">
        <f t="shared" si="79"/>
        <v>57.2</v>
      </c>
    </row>
    <row r="496" spans="1:22" ht="13.5" x14ac:dyDescent="0.25">
      <c r="A496" s="3">
        <f>RSI!A496</f>
        <v>45638</v>
      </c>
      <c r="B496" s="2">
        <f>RSI!B496</f>
        <v>5.9340000000000002</v>
      </c>
      <c r="C496" s="2">
        <f>RSI!I496</f>
        <v>63.705424452307277</v>
      </c>
      <c r="D496" s="2">
        <f>MACD!E496</f>
        <v>-5.6047418692052098E-2</v>
      </c>
      <c r="E496" s="2">
        <f>MACD!F496</f>
        <v>-5.8814190248586713E-3</v>
      </c>
      <c r="F496" s="2">
        <f>'Moving Avg'!D496</f>
        <v>5.8967999999999998</v>
      </c>
      <c r="G496" s="2">
        <f>'Moving Avg'!F496</f>
        <v>5.8082000000000011</v>
      </c>
      <c r="H496" s="2">
        <f>'Moving Avg'!G496</f>
        <v>5.8058800000000028</v>
      </c>
      <c r="I496" s="2">
        <f>'Moving Avg'!H496</f>
        <v>5.5197350000000043</v>
      </c>
      <c r="J496" s="5" t="str">
        <f>OBV!F496</f>
        <v>NEUTRAL</v>
      </c>
      <c r="K496" s="5" t="str">
        <f>OBV!G496</f>
        <v>NEUTRAL</v>
      </c>
      <c r="L496" s="5" t="str">
        <f>OBV!H496</f>
        <v>NEUTRAL</v>
      </c>
      <c r="M496" s="7">
        <f t="shared" si="73"/>
        <v>50</v>
      </c>
      <c r="N496" s="7">
        <f t="shared" si="70"/>
        <v>100</v>
      </c>
      <c r="O496" s="7">
        <f t="shared" si="71"/>
        <v>50</v>
      </c>
      <c r="P496" s="7">
        <f t="shared" si="72"/>
        <v>33</v>
      </c>
      <c r="Q496" s="8">
        <f t="shared" si="74"/>
        <v>64.95</v>
      </c>
      <c r="R496" s="8">
        <f t="shared" si="75"/>
        <v>55.75</v>
      </c>
      <c r="S496" s="8">
        <f t="shared" si="76"/>
        <v>49.85</v>
      </c>
      <c r="T496" s="8">
        <f t="shared" si="77"/>
        <v>58.25</v>
      </c>
      <c r="U496" s="7">
        <f t="shared" si="78"/>
        <v>56.85</v>
      </c>
      <c r="V496" s="7">
        <f t="shared" si="79"/>
        <v>57.2</v>
      </c>
    </row>
    <row r="497" spans="1:22" ht="13.5" x14ac:dyDescent="0.25">
      <c r="A497" s="3">
        <f>RSI!A497</f>
        <v>45639</v>
      </c>
      <c r="B497" s="2">
        <f>RSI!B497</f>
        <v>5.8970000000000002</v>
      </c>
      <c r="C497" s="2">
        <f>RSI!I497</f>
        <v>58.507863820834935</v>
      </c>
      <c r="D497" s="2">
        <f>MACD!E497</f>
        <v>-5.7203607751844743E-2</v>
      </c>
      <c r="E497" s="2">
        <f>MACD!F497</f>
        <v>-1.6145856770255887E-2</v>
      </c>
      <c r="F497" s="2">
        <f>'Moving Avg'!D497</f>
        <v>5.9117999999999995</v>
      </c>
      <c r="G497" s="2">
        <f>'Moving Avg'!F497</f>
        <v>5.8119500000000013</v>
      </c>
      <c r="H497" s="2">
        <f>'Moving Avg'!G497</f>
        <v>5.808320000000001</v>
      </c>
      <c r="I497" s="2">
        <f>'Moving Avg'!H497</f>
        <v>5.5245150000000036</v>
      </c>
      <c r="J497" s="5" t="str">
        <f>OBV!F497</f>
        <v>NEUTRAL</v>
      </c>
      <c r="K497" s="5" t="str">
        <f>OBV!G497</f>
        <v>NEUTRAL</v>
      </c>
      <c r="L497" s="5" t="str">
        <f>OBV!H497</f>
        <v>NEUTRAL</v>
      </c>
      <c r="M497" s="7">
        <f t="shared" si="73"/>
        <v>50</v>
      </c>
      <c r="N497" s="7">
        <f t="shared" si="70"/>
        <v>100</v>
      </c>
      <c r="O497" s="7">
        <f t="shared" si="71"/>
        <v>50</v>
      </c>
      <c r="P497" s="7">
        <f t="shared" si="72"/>
        <v>33</v>
      </c>
      <c r="Q497" s="8">
        <f t="shared" si="74"/>
        <v>64.95</v>
      </c>
      <c r="R497" s="8">
        <f t="shared" si="75"/>
        <v>55.75</v>
      </c>
      <c r="S497" s="8">
        <f t="shared" si="76"/>
        <v>49.85</v>
      </c>
      <c r="T497" s="8">
        <f t="shared" si="77"/>
        <v>58.25</v>
      </c>
      <c r="U497" s="7">
        <f t="shared" si="78"/>
        <v>56.85</v>
      </c>
      <c r="V497" s="7">
        <f t="shared" si="79"/>
        <v>57.2</v>
      </c>
    </row>
    <row r="498" spans="1:22" ht="13.5" x14ac:dyDescent="0.25">
      <c r="A498" s="3">
        <f>RSI!A498</f>
        <v>45642</v>
      </c>
      <c r="B498" s="2">
        <f>RSI!B498</f>
        <v>5.8869999999999996</v>
      </c>
      <c r="C498" s="2">
        <f>RSI!I498</f>
        <v>57.150714071023543</v>
      </c>
      <c r="D498" s="2">
        <f>MACD!E498</f>
        <v>-5.9429070886988455E-2</v>
      </c>
      <c r="E498" s="2">
        <f>MACD!F498</f>
        <v>-2.4802499593602402E-2</v>
      </c>
      <c r="F498" s="2">
        <f>'Moving Avg'!D498</f>
        <v>5.9060000000000006</v>
      </c>
      <c r="G498" s="2">
        <f>'Moving Avg'!F498</f>
        <v>5.8152000000000008</v>
      </c>
      <c r="H498" s="2">
        <f>'Moving Avg'!G498</f>
        <v>5.8105600000000024</v>
      </c>
      <c r="I498" s="2">
        <f>'Moving Avg'!H498</f>
        <v>5.5287600000000028</v>
      </c>
      <c r="J498" s="5" t="str">
        <f>OBV!F498</f>
        <v>NEUTRAL</v>
      </c>
      <c r="K498" s="5" t="str">
        <f>OBV!G498</f>
        <v>NEUTRAL</v>
      </c>
      <c r="L498" s="5" t="str">
        <f>OBV!H498</f>
        <v>NEUTRAL</v>
      </c>
      <c r="M498" s="7">
        <f t="shared" si="73"/>
        <v>50</v>
      </c>
      <c r="N498" s="7">
        <f t="shared" si="70"/>
        <v>100</v>
      </c>
      <c r="O498" s="7">
        <f t="shared" si="71"/>
        <v>50</v>
      </c>
      <c r="P498" s="7">
        <f t="shared" si="72"/>
        <v>33</v>
      </c>
      <c r="Q498" s="8">
        <f t="shared" si="74"/>
        <v>64.95</v>
      </c>
      <c r="R498" s="8">
        <f t="shared" si="75"/>
        <v>55.75</v>
      </c>
      <c r="S498" s="8">
        <f t="shared" si="76"/>
        <v>49.85</v>
      </c>
      <c r="T498" s="8">
        <f t="shared" si="77"/>
        <v>58.25</v>
      </c>
      <c r="U498" s="7">
        <f t="shared" si="78"/>
        <v>56.85</v>
      </c>
      <c r="V498" s="7">
        <f t="shared" si="79"/>
        <v>57.2</v>
      </c>
    </row>
    <row r="499" spans="1:22" ht="13.5" x14ac:dyDescent="0.25">
      <c r="A499" s="3">
        <f>RSI!A499</f>
        <v>45644</v>
      </c>
      <c r="B499" s="2">
        <f>RSI!B499</f>
        <v>5.7939999999999996</v>
      </c>
      <c r="C499" s="2">
        <f>RSI!I499</f>
        <v>46.376630241666184</v>
      </c>
      <c r="D499" s="2">
        <f>MACD!E499</f>
        <v>-5.4780313276210357E-2</v>
      </c>
      <c r="E499" s="2">
        <f>MACD!F499</f>
        <v>-3.0798062330123995E-2</v>
      </c>
      <c r="F499" s="2">
        <f>'Moving Avg'!D499</f>
        <v>5.8836000000000004</v>
      </c>
      <c r="G499" s="2">
        <f>'Moving Avg'!F499</f>
        <v>5.8151999999999999</v>
      </c>
      <c r="H499" s="2">
        <f>'Moving Avg'!G499</f>
        <v>5.8100000000000014</v>
      </c>
      <c r="I499" s="2">
        <f>'Moving Avg'!H499</f>
        <v>5.5325400000000027</v>
      </c>
      <c r="J499" s="5" t="str">
        <f>OBV!F499</f>
        <v>NEUTRAL</v>
      </c>
      <c r="K499" s="5" t="str">
        <f>OBV!G499</f>
        <v>NEUTRAL</v>
      </c>
      <c r="L499" s="5" t="str">
        <f>OBV!H499</f>
        <v>NEUTRAL</v>
      </c>
      <c r="M499" s="7">
        <f t="shared" si="73"/>
        <v>50</v>
      </c>
      <c r="N499" s="7">
        <f t="shared" si="70"/>
        <v>100</v>
      </c>
      <c r="O499" s="7">
        <f t="shared" si="71"/>
        <v>50</v>
      </c>
      <c r="P499" s="7">
        <f t="shared" si="72"/>
        <v>33</v>
      </c>
      <c r="Q499" s="8">
        <f t="shared" si="74"/>
        <v>64.95</v>
      </c>
      <c r="R499" s="8">
        <f t="shared" si="75"/>
        <v>55.75</v>
      </c>
      <c r="S499" s="8">
        <f t="shared" si="76"/>
        <v>49.85</v>
      </c>
      <c r="T499" s="8">
        <f t="shared" si="77"/>
        <v>58.25</v>
      </c>
      <c r="U499" s="7">
        <f t="shared" si="78"/>
        <v>56.85</v>
      </c>
      <c r="V499" s="7">
        <f t="shared" si="79"/>
        <v>57.2</v>
      </c>
    </row>
    <row r="500" spans="1:22" ht="13.5" x14ac:dyDescent="0.25">
      <c r="A500" s="3">
        <f>RSI!A500</f>
        <v>45645</v>
      </c>
      <c r="B500" s="2">
        <f>RSI!B500</f>
        <v>5.8120000000000003</v>
      </c>
      <c r="C500" s="2">
        <f>RSI!I500</f>
        <v>48.404071865185955</v>
      </c>
      <c r="D500" s="2">
        <f>MACD!E500</f>
        <v>-5.1961140637838632E-2</v>
      </c>
      <c r="E500" s="2">
        <f>MACD!F500</f>
        <v>-3.5030677991666925E-2</v>
      </c>
      <c r="F500" s="2">
        <f>'Moving Avg'!D500</f>
        <v>5.8648000000000007</v>
      </c>
      <c r="G500" s="2">
        <f>'Moving Avg'!F500</f>
        <v>5.8161000000000005</v>
      </c>
      <c r="H500" s="2">
        <f>'Moving Avg'!G500</f>
        <v>5.8130000000000015</v>
      </c>
      <c r="I500" s="2">
        <f>'Moving Avg'!H500</f>
        <v>5.5361000000000011</v>
      </c>
      <c r="J500" s="5" t="str">
        <f>OBV!F500</f>
        <v>NEUTRAL</v>
      </c>
      <c r="K500" s="5" t="str">
        <f>OBV!G500</f>
        <v>NEUTRAL</v>
      </c>
      <c r="L500" s="5" t="str">
        <f>OBV!H500</f>
        <v>NEUTRAL</v>
      </c>
      <c r="M500" s="7">
        <f t="shared" si="73"/>
        <v>50</v>
      </c>
      <c r="N500" s="7">
        <f t="shared" si="70"/>
        <v>45</v>
      </c>
      <c r="O500" s="7">
        <f t="shared" si="71"/>
        <v>50</v>
      </c>
      <c r="P500" s="7">
        <f t="shared" si="72"/>
        <v>33</v>
      </c>
      <c r="Q500" s="8">
        <f t="shared" si="74"/>
        <v>45.7</v>
      </c>
      <c r="R500" s="8">
        <f t="shared" si="75"/>
        <v>44.75</v>
      </c>
      <c r="S500" s="8">
        <f t="shared" si="76"/>
        <v>41.6</v>
      </c>
      <c r="T500" s="8">
        <f t="shared" si="77"/>
        <v>44.5</v>
      </c>
      <c r="U500" s="7">
        <f t="shared" si="78"/>
        <v>44.016666666666673</v>
      </c>
      <c r="V500" s="7">
        <f t="shared" si="79"/>
        <v>44.137500000000003</v>
      </c>
    </row>
    <row r="501" spans="1:22" ht="13.5" x14ac:dyDescent="0.25">
      <c r="A501" s="3">
        <f>RSI!A501</f>
        <v>45646</v>
      </c>
      <c r="B501" s="2">
        <f>RSI!B501</f>
        <v>5.8120000000000003</v>
      </c>
      <c r="C501" s="2">
        <f>RSI!I501</f>
        <v>48.404071865185955</v>
      </c>
      <c r="D501" s="2">
        <f>MACD!E501</f>
        <v>-4.9479325714465006E-2</v>
      </c>
      <c r="E501" s="2">
        <f>MACD!F501</f>
        <v>-3.7920407536226546E-2</v>
      </c>
      <c r="F501" s="2">
        <f>'Moving Avg'!D501</f>
        <v>5.8404000000000007</v>
      </c>
      <c r="G501" s="2">
        <f>'Moving Avg'!F501</f>
        <v>5.8170000000000002</v>
      </c>
      <c r="H501" s="2">
        <f>'Moving Avg'!G501</f>
        <v>5.813740000000001</v>
      </c>
      <c r="I501" s="2">
        <f>'Moving Avg'!H501</f>
        <v>5.5400999999999998</v>
      </c>
      <c r="J501" s="5" t="str">
        <f>OBV!F501</f>
        <v>NEUTRAL</v>
      </c>
      <c r="K501" s="5" t="str">
        <f>OBV!G501</f>
        <v>NEUTRAL</v>
      </c>
      <c r="L501" s="5" t="str">
        <f>OBV!H501</f>
        <v>NEUTRAL</v>
      </c>
      <c r="M501" s="7">
        <f t="shared" si="73"/>
        <v>50</v>
      </c>
      <c r="N501" s="7">
        <f t="shared" si="70"/>
        <v>45</v>
      </c>
      <c r="O501" s="7">
        <f t="shared" si="71"/>
        <v>50</v>
      </c>
      <c r="P501" s="7">
        <f t="shared" si="72"/>
        <v>33</v>
      </c>
      <c r="Q501" s="8">
        <f t="shared" si="74"/>
        <v>45.7</v>
      </c>
      <c r="R501" s="8">
        <f t="shared" si="75"/>
        <v>44.75</v>
      </c>
      <c r="S501" s="8">
        <f t="shared" si="76"/>
        <v>41.6</v>
      </c>
      <c r="T501" s="8">
        <f t="shared" si="77"/>
        <v>44.5</v>
      </c>
      <c r="U501" s="7">
        <f t="shared" si="78"/>
        <v>44.016666666666673</v>
      </c>
      <c r="V501" s="7">
        <f t="shared" si="79"/>
        <v>44.137500000000003</v>
      </c>
    </row>
    <row r="502" spans="1:22" ht="13.5" x14ac:dyDescent="0.25">
      <c r="A502" s="3">
        <f>RSI!A502</f>
        <v>45649</v>
      </c>
      <c r="B502" s="2">
        <f>RSI!B502</f>
        <v>5.8120000000000003</v>
      </c>
      <c r="C502" s="2">
        <f>RSI!I502</f>
        <v>48.404071865185962</v>
      </c>
      <c r="D502" s="2">
        <f>MACD!E502</f>
        <v>-4.1443951336158413E-2</v>
      </c>
      <c r="E502" s="2">
        <f>MACD!F502</f>
        <v>-3.8625116296212923E-2</v>
      </c>
      <c r="F502" s="2">
        <f>'Moving Avg'!D502</f>
        <v>5.8234000000000004</v>
      </c>
      <c r="G502" s="2">
        <f>'Moving Avg'!F502</f>
        <v>5.8188500000000003</v>
      </c>
      <c r="H502" s="2">
        <f>'Moving Avg'!G502</f>
        <v>5.8144800000000005</v>
      </c>
      <c r="I502" s="2">
        <f>'Moving Avg'!H502</f>
        <v>5.5433049999999993</v>
      </c>
      <c r="J502" s="5" t="str">
        <f>OBV!F502</f>
        <v>NEUTRAL</v>
      </c>
      <c r="K502" s="5" t="str">
        <f>OBV!G502</f>
        <v>NEUTRAL</v>
      </c>
      <c r="L502" s="5" t="str">
        <f>OBV!H502</f>
        <v>NEUTRAL</v>
      </c>
      <c r="M502" s="7">
        <f t="shared" si="73"/>
        <v>50</v>
      </c>
      <c r="N502" s="7">
        <f t="shared" si="70"/>
        <v>45</v>
      </c>
      <c r="O502" s="7">
        <f t="shared" si="71"/>
        <v>50</v>
      </c>
      <c r="P502" s="7">
        <f t="shared" si="72"/>
        <v>33</v>
      </c>
      <c r="Q502" s="8">
        <f t="shared" si="74"/>
        <v>45.7</v>
      </c>
      <c r="R502" s="8">
        <f t="shared" si="75"/>
        <v>44.75</v>
      </c>
      <c r="S502" s="8">
        <f t="shared" si="76"/>
        <v>41.6</v>
      </c>
      <c r="T502" s="8">
        <f t="shared" si="77"/>
        <v>44.5</v>
      </c>
      <c r="U502" s="7">
        <f t="shared" si="78"/>
        <v>44.016666666666673</v>
      </c>
      <c r="V502" s="7">
        <f t="shared" si="79"/>
        <v>44.137500000000003</v>
      </c>
    </row>
    <row r="503" spans="1:22" ht="13.5" x14ac:dyDescent="0.25">
      <c r="A503" s="3">
        <f>RSI!A503</f>
        <v>45650</v>
      </c>
      <c r="B503" s="2">
        <f>RSI!B503</f>
        <v>5.7839999999999998</v>
      </c>
      <c r="C503" s="2">
        <f>RSI!I503</f>
        <v>45.091761427386814</v>
      </c>
      <c r="D503" s="2">
        <f>MACD!E503</f>
        <v>-1.8026561708298416E-2</v>
      </c>
      <c r="E503" s="2">
        <f>MACD!F503</f>
        <v>-3.4505405378630026E-2</v>
      </c>
      <c r="F503" s="2">
        <f>'Moving Avg'!D503</f>
        <v>5.8027999999999995</v>
      </c>
      <c r="G503" s="2">
        <f>'Moving Avg'!F503</f>
        <v>5.8178999999999998</v>
      </c>
      <c r="H503" s="2">
        <f>'Moving Avg'!G503</f>
        <v>5.8131599999999999</v>
      </c>
      <c r="I503" s="2">
        <f>'Moving Avg'!H503</f>
        <v>5.5456149999999989</v>
      </c>
      <c r="J503" s="5" t="str">
        <f>OBV!F503</f>
        <v>NEUTRAL</v>
      </c>
      <c r="K503" s="5" t="str">
        <f>OBV!G503</f>
        <v>NEUTRAL</v>
      </c>
      <c r="L503" s="5" t="str">
        <f>OBV!H503</f>
        <v>NEUTRAL</v>
      </c>
      <c r="M503" s="7">
        <f t="shared" si="73"/>
        <v>50</v>
      </c>
      <c r="N503" s="7">
        <f t="shared" si="70"/>
        <v>0</v>
      </c>
      <c r="O503" s="7">
        <f t="shared" si="71"/>
        <v>50</v>
      </c>
      <c r="P503" s="7">
        <f t="shared" si="72"/>
        <v>33</v>
      </c>
      <c r="Q503" s="8">
        <f t="shared" si="74"/>
        <v>29.95</v>
      </c>
      <c r="R503" s="8">
        <f t="shared" si="75"/>
        <v>35.75</v>
      </c>
      <c r="S503" s="8">
        <f t="shared" si="76"/>
        <v>34.85</v>
      </c>
      <c r="T503" s="8">
        <f t="shared" si="77"/>
        <v>33.25</v>
      </c>
      <c r="U503" s="7">
        <f t="shared" si="78"/>
        <v>33.516666666666673</v>
      </c>
      <c r="V503" s="7">
        <f t="shared" si="79"/>
        <v>33.450000000000003</v>
      </c>
    </row>
    <row r="504" spans="1:22" ht="13.5" x14ac:dyDescent="0.25">
      <c r="A504" s="3">
        <f>RSI!A504</f>
        <v>45651</v>
      </c>
      <c r="B504" s="2">
        <f>RSI!B504</f>
        <v>5.7939999999999996</v>
      </c>
      <c r="C504" s="2">
        <f>RSI!I504</f>
        <v>46.499852570934834</v>
      </c>
      <c r="D504" s="2">
        <f>MACD!E504</f>
        <v>-2.4910189492288737E-4</v>
      </c>
      <c r="E504" s="2">
        <f>MACD!F504</f>
        <v>-2.76541446818886E-2</v>
      </c>
      <c r="F504" s="2">
        <f>'Moving Avg'!D504</f>
        <v>5.8027999999999995</v>
      </c>
      <c r="G504" s="2">
        <f>'Moving Avg'!F504</f>
        <v>5.8183999999999996</v>
      </c>
      <c r="H504" s="2">
        <f>'Moving Avg'!G504</f>
        <v>5.8148599999999995</v>
      </c>
      <c r="I504" s="2">
        <f>'Moving Avg'!H504</f>
        <v>5.5477549999999987</v>
      </c>
      <c r="J504" s="5" t="str">
        <f>OBV!F504</f>
        <v>NEUTRAL</v>
      </c>
      <c r="K504" s="5" t="str">
        <f>OBV!G504</f>
        <v>NEUTRAL</v>
      </c>
      <c r="L504" s="5" t="str">
        <f>OBV!H504</f>
        <v>NEUTRAL</v>
      </c>
      <c r="M504" s="7">
        <f t="shared" si="73"/>
        <v>50</v>
      </c>
      <c r="N504" s="7">
        <f t="shared" si="70"/>
        <v>0</v>
      </c>
      <c r="O504" s="7">
        <f t="shared" si="71"/>
        <v>50</v>
      </c>
      <c r="P504" s="7">
        <f t="shared" si="72"/>
        <v>33</v>
      </c>
      <c r="Q504" s="8">
        <f t="shared" si="74"/>
        <v>29.95</v>
      </c>
      <c r="R504" s="8">
        <f t="shared" si="75"/>
        <v>35.75</v>
      </c>
      <c r="S504" s="8">
        <f t="shared" si="76"/>
        <v>34.85</v>
      </c>
      <c r="T504" s="8">
        <f t="shared" si="77"/>
        <v>33.25</v>
      </c>
      <c r="U504" s="7">
        <f t="shared" si="78"/>
        <v>33.516666666666673</v>
      </c>
      <c r="V504" s="7">
        <f t="shared" si="79"/>
        <v>33.450000000000003</v>
      </c>
    </row>
    <row r="505" spans="1:22" ht="13.5" x14ac:dyDescent="0.25">
      <c r="A505" s="3">
        <f>RSI!A505</f>
        <v>45652</v>
      </c>
      <c r="B505" s="2">
        <f>RSI!B505</f>
        <v>5.7839999999999998</v>
      </c>
      <c r="C505" s="2">
        <f>RSI!I505</f>
        <v>45.250174366599147</v>
      </c>
      <c r="D505" s="2">
        <f>MACD!E505</f>
        <v>1.5699040145697118E-2</v>
      </c>
      <c r="E505" s="2">
        <f>MACD!F505</f>
        <v>-1.8983507716371455E-2</v>
      </c>
      <c r="F505" s="2">
        <f>'Moving Avg'!D505</f>
        <v>5.7972000000000001</v>
      </c>
      <c r="G505" s="2">
        <f>'Moving Avg'!F505</f>
        <v>5.8212000000000002</v>
      </c>
      <c r="H505" s="2">
        <f>'Moving Avg'!G505</f>
        <v>5.8150399999999998</v>
      </c>
      <c r="I505" s="2">
        <f>'Moving Avg'!H505</f>
        <v>5.5500649999999982</v>
      </c>
      <c r="J505" s="5" t="str">
        <f>OBV!F505</f>
        <v>BEARISH</v>
      </c>
      <c r="K505" s="5" t="str">
        <f>OBV!G505</f>
        <v>STRONG</v>
      </c>
      <c r="L505" s="5" t="str">
        <f>OBV!H505</f>
        <v>CONFIRMED BEARISH</v>
      </c>
      <c r="M505" s="7">
        <f t="shared" si="73"/>
        <v>50</v>
      </c>
      <c r="N505" s="7">
        <f t="shared" si="70"/>
        <v>0</v>
      </c>
      <c r="O505" s="7">
        <f t="shared" si="71"/>
        <v>50</v>
      </c>
      <c r="P505" s="7">
        <f t="shared" si="72"/>
        <v>33</v>
      </c>
      <c r="Q505" s="8">
        <f t="shared" si="74"/>
        <v>29.95</v>
      </c>
      <c r="R505" s="8">
        <f t="shared" si="75"/>
        <v>35.75</v>
      </c>
      <c r="S505" s="8">
        <f t="shared" si="76"/>
        <v>34.85</v>
      </c>
      <c r="T505" s="8">
        <f t="shared" si="77"/>
        <v>33.25</v>
      </c>
      <c r="U505" s="7">
        <f t="shared" si="78"/>
        <v>33.516666666666673</v>
      </c>
      <c r="V505" s="7">
        <f t="shared" si="79"/>
        <v>33.450000000000003</v>
      </c>
    </row>
    <row r="506" spans="1:22" ht="13.5" x14ac:dyDescent="0.25">
      <c r="A506" s="3">
        <f>RSI!A506</f>
        <v>45653</v>
      </c>
      <c r="B506" s="2">
        <f>RSI!B506</f>
        <v>5.7750000000000004</v>
      </c>
      <c r="C506" s="2">
        <f>RSI!I506</f>
        <v>44.101422035760727</v>
      </c>
      <c r="D506" s="2">
        <f>MACD!E506</f>
        <v>3.4379789150220219E-2</v>
      </c>
      <c r="E506" s="2">
        <f>MACD!F506</f>
        <v>-8.3108483430531215E-3</v>
      </c>
      <c r="F506" s="2">
        <f>'Moving Avg'!D506</f>
        <v>5.7897999999999996</v>
      </c>
      <c r="G506" s="2">
        <f>'Moving Avg'!F506</f>
        <v>5.8282499999999997</v>
      </c>
      <c r="H506" s="2">
        <f>'Moving Avg'!G506</f>
        <v>5.8150399999999989</v>
      </c>
      <c r="I506" s="2">
        <f>'Moving Avg'!H506</f>
        <v>5.5523749999999987</v>
      </c>
      <c r="J506" s="5" t="str">
        <f>OBV!F506</f>
        <v>BEARISH</v>
      </c>
      <c r="K506" s="5" t="str">
        <f>OBV!G506</f>
        <v>STRONG</v>
      </c>
      <c r="L506" s="5" t="str">
        <f>OBV!H506</f>
        <v>CONFIRMED BEARISH</v>
      </c>
      <c r="M506" s="7">
        <f t="shared" si="73"/>
        <v>50</v>
      </c>
      <c r="N506" s="7">
        <f t="shared" si="70"/>
        <v>0</v>
      </c>
      <c r="O506" s="7">
        <f t="shared" si="71"/>
        <v>50</v>
      </c>
      <c r="P506" s="7">
        <f t="shared" si="72"/>
        <v>33</v>
      </c>
      <c r="Q506" s="8">
        <f t="shared" si="74"/>
        <v>29.95</v>
      </c>
      <c r="R506" s="8">
        <f t="shared" si="75"/>
        <v>35.75</v>
      </c>
      <c r="S506" s="8">
        <f t="shared" si="76"/>
        <v>34.85</v>
      </c>
      <c r="T506" s="8">
        <f t="shared" si="77"/>
        <v>33.25</v>
      </c>
      <c r="U506" s="7">
        <f t="shared" si="78"/>
        <v>33.516666666666673</v>
      </c>
      <c r="V506" s="7">
        <f t="shared" si="79"/>
        <v>33.450000000000003</v>
      </c>
    </row>
    <row r="507" spans="1:22" ht="13.5" x14ac:dyDescent="0.25">
      <c r="A507" s="3">
        <f>RSI!A507</f>
        <v>45656</v>
      </c>
      <c r="B507" s="2">
        <f>RSI!B507</f>
        <v>5.7750000000000004</v>
      </c>
      <c r="C507" s="2">
        <f>RSI!I507</f>
        <v>44.101422035760727</v>
      </c>
      <c r="D507" s="2">
        <f>MACD!E507</f>
        <v>4.4743569263163252E-2</v>
      </c>
      <c r="E507" s="2">
        <f>MACD!F507</f>
        <v>2.3000351781901534E-3</v>
      </c>
      <c r="F507" s="2">
        <f>'Moving Avg'!D507</f>
        <v>5.7824</v>
      </c>
      <c r="G507" s="2">
        <f>'Moving Avg'!F507</f>
        <v>5.8272999999999993</v>
      </c>
      <c r="H507" s="2">
        <f>'Moving Avg'!G507</f>
        <v>5.8135399999999997</v>
      </c>
      <c r="I507" s="2">
        <f>'Moving Avg'!H507</f>
        <v>5.5547699999999995</v>
      </c>
      <c r="J507" s="5" t="str">
        <f>OBV!F507</f>
        <v>BEARISH</v>
      </c>
      <c r="K507" s="5" t="str">
        <f>OBV!G507</f>
        <v>STRONG</v>
      </c>
      <c r="L507" s="5" t="str">
        <f>OBV!H507</f>
        <v>CONFIRMED BEARISH</v>
      </c>
      <c r="M507" s="7">
        <f t="shared" si="73"/>
        <v>50</v>
      </c>
      <c r="N507" s="7">
        <f t="shared" si="70"/>
        <v>0</v>
      </c>
      <c r="O507" s="7">
        <f t="shared" si="71"/>
        <v>50</v>
      </c>
      <c r="P507" s="7">
        <f t="shared" si="72"/>
        <v>33</v>
      </c>
      <c r="Q507" s="8">
        <f t="shared" si="74"/>
        <v>29.95</v>
      </c>
      <c r="R507" s="8">
        <f t="shared" si="75"/>
        <v>35.75</v>
      </c>
      <c r="S507" s="8">
        <f t="shared" si="76"/>
        <v>34.85</v>
      </c>
      <c r="T507" s="8">
        <f t="shared" si="77"/>
        <v>33.25</v>
      </c>
      <c r="U507" s="7">
        <f t="shared" si="78"/>
        <v>33.516666666666673</v>
      </c>
      <c r="V507" s="7">
        <f t="shared" si="79"/>
        <v>33.450000000000003</v>
      </c>
    </row>
    <row r="508" spans="1:22" ht="13.5" x14ac:dyDescent="0.25">
      <c r="A508" s="3">
        <f>RSI!A508</f>
        <v>45657</v>
      </c>
      <c r="B508" s="2">
        <f>RSI!B508</f>
        <v>5.7750000000000004</v>
      </c>
      <c r="C508" s="2">
        <f>RSI!I508</f>
        <v>44.101422035760727</v>
      </c>
      <c r="D508" s="2">
        <f>MACD!E508</f>
        <v>5.2205293633552863E-2</v>
      </c>
      <c r="E508" s="2">
        <f>MACD!F508</f>
        <v>1.2281086869262697E-2</v>
      </c>
      <c r="F508" s="2">
        <f>'Moving Avg'!D508</f>
        <v>5.7805999999999997</v>
      </c>
      <c r="G508" s="2">
        <f>'Moving Avg'!F508</f>
        <v>5.8268500000000012</v>
      </c>
      <c r="H508" s="2">
        <f>'Moving Avg'!G508</f>
        <v>5.8127999999999993</v>
      </c>
      <c r="I508" s="2">
        <f>'Moving Avg'!H508</f>
        <v>5.5568550000000005</v>
      </c>
      <c r="J508" s="5" t="str">
        <f>OBV!F508</f>
        <v>BEARISH</v>
      </c>
      <c r="K508" s="5" t="str">
        <f>OBV!G508</f>
        <v>STRONG</v>
      </c>
      <c r="L508" s="5" t="str">
        <f>OBV!H508</f>
        <v>CONFIRMED BEARISH</v>
      </c>
      <c r="M508" s="7">
        <f t="shared" si="73"/>
        <v>50</v>
      </c>
      <c r="N508" s="7">
        <f t="shared" si="70"/>
        <v>0</v>
      </c>
      <c r="O508" s="7">
        <f t="shared" si="71"/>
        <v>50</v>
      </c>
      <c r="P508" s="7">
        <f t="shared" si="72"/>
        <v>33</v>
      </c>
      <c r="Q508" s="8">
        <f t="shared" si="74"/>
        <v>29.95</v>
      </c>
      <c r="R508" s="8">
        <f t="shared" si="75"/>
        <v>35.75</v>
      </c>
      <c r="S508" s="8">
        <f t="shared" si="76"/>
        <v>34.85</v>
      </c>
      <c r="T508" s="8">
        <f t="shared" si="77"/>
        <v>33.25</v>
      </c>
      <c r="U508" s="7">
        <f t="shared" si="78"/>
        <v>33.516666666666673</v>
      </c>
      <c r="V508" s="7">
        <f t="shared" si="79"/>
        <v>33.450000000000003</v>
      </c>
    </row>
    <row r="509" spans="1:22" ht="13.5" x14ac:dyDescent="0.25">
      <c r="A509" s="3">
        <f>RSI!A509</f>
        <v>45659</v>
      </c>
      <c r="B509" s="2">
        <f>RSI!B509</f>
        <v>5.7750000000000004</v>
      </c>
      <c r="C509" s="2">
        <f>RSI!I509</f>
        <v>44.101422035760727</v>
      </c>
      <c r="D509" s="2">
        <f>MACD!E509</f>
        <v>4.4425102828205887E-2</v>
      </c>
      <c r="E509" s="2">
        <f>MACD!F509</f>
        <v>1.8709890061051337E-2</v>
      </c>
      <c r="F509" s="2">
        <f>'Moving Avg'!D509</f>
        <v>5.7767999999999997</v>
      </c>
      <c r="G509" s="2">
        <f>'Moving Avg'!F509</f>
        <v>5.8264000000000014</v>
      </c>
      <c r="H509" s="2">
        <f>'Moving Avg'!G509</f>
        <v>5.8118599999999985</v>
      </c>
      <c r="I509" s="2">
        <f>'Moving Avg'!H509</f>
        <v>5.5589400000000015</v>
      </c>
      <c r="J509" s="5" t="str">
        <f>OBV!F509</f>
        <v>BEARISH</v>
      </c>
      <c r="K509" s="5" t="str">
        <f>OBV!G509</f>
        <v>STRONG</v>
      </c>
      <c r="L509" s="5" t="str">
        <f>OBV!H509</f>
        <v>CONFIRMED BEARISH</v>
      </c>
      <c r="M509" s="7">
        <f t="shared" si="73"/>
        <v>50</v>
      </c>
      <c r="N509" s="7">
        <f t="shared" si="70"/>
        <v>0</v>
      </c>
      <c r="O509" s="7">
        <f t="shared" si="71"/>
        <v>50</v>
      </c>
      <c r="P509" s="7">
        <f t="shared" si="72"/>
        <v>33</v>
      </c>
      <c r="Q509" s="8">
        <f t="shared" si="74"/>
        <v>29.95</v>
      </c>
      <c r="R509" s="8">
        <f t="shared" si="75"/>
        <v>35.75</v>
      </c>
      <c r="S509" s="8">
        <f t="shared" si="76"/>
        <v>34.85</v>
      </c>
      <c r="T509" s="8">
        <f t="shared" si="77"/>
        <v>33.25</v>
      </c>
      <c r="U509" s="7">
        <f t="shared" si="78"/>
        <v>33.516666666666673</v>
      </c>
      <c r="V509" s="7">
        <f t="shared" si="79"/>
        <v>33.450000000000003</v>
      </c>
    </row>
    <row r="510" spans="1:22" ht="13.5" x14ac:dyDescent="0.25">
      <c r="A510" s="3">
        <f>RSI!A510</f>
        <v>45660</v>
      </c>
      <c r="B510" s="2">
        <f>RSI!B510</f>
        <v>5.7750000000000004</v>
      </c>
      <c r="C510" s="2">
        <f>RSI!I510</f>
        <v>44.101422035760727</v>
      </c>
      <c r="D510" s="2">
        <f>MACD!E510</f>
        <v>4.0808997749050668E-2</v>
      </c>
      <c r="E510" s="2">
        <f>MACD!F510</f>
        <v>2.3129711598651202E-2</v>
      </c>
      <c r="F510" s="2">
        <f>'Moving Avg'!D510</f>
        <v>5.7750000000000004</v>
      </c>
      <c r="G510" s="2">
        <f>'Moving Avg'!F510</f>
        <v>5.8259500000000006</v>
      </c>
      <c r="H510" s="2">
        <f>'Moving Avg'!G510</f>
        <v>5.8118599999999985</v>
      </c>
      <c r="I510" s="2">
        <f>'Moving Avg'!H510</f>
        <v>5.5610250000000008</v>
      </c>
      <c r="J510" s="5" t="str">
        <f>OBV!F510</f>
        <v>BEARISH</v>
      </c>
      <c r="K510" s="5" t="str">
        <f>OBV!G510</f>
        <v>STRONG</v>
      </c>
      <c r="L510" s="5" t="str">
        <f>OBV!H510</f>
        <v>CONFIRMED BEARISH</v>
      </c>
      <c r="M510" s="7">
        <f t="shared" si="73"/>
        <v>50</v>
      </c>
      <c r="N510" s="7">
        <f t="shared" si="70"/>
        <v>0</v>
      </c>
      <c r="O510" s="7">
        <f t="shared" si="71"/>
        <v>50</v>
      </c>
      <c r="P510" s="7">
        <f t="shared" si="72"/>
        <v>33</v>
      </c>
      <c r="Q510" s="8">
        <f t="shared" si="74"/>
        <v>29.95</v>
      </c>
      <c r="R510" s="8">
        <f t="shared" si="75"/>
        <v>35.75</v>
      </c>
      <c r="S510" s="8">
        <f t="shared" si="76"/>
        <v>34.85</v>
      </c>
      <c r="T510" s="8">
        <f t="shared" si="77"/>
        <v>33.25</v>
      </c>
      <c r="U510" s="7">
        <f t="shared" si="78"/>
        <v>33.516666666666673</v>
      </c>
      <c r="V510" s="7">
        <f t="shared" si="79"/>
        <v>33.450000000000003</v>
      </c>
    </row>
    <row r="511" spans="1:22" ht="13.5" x14ac:dyDescent="0.25">
      <c r="A511" s="3">
        <f>RSI!A511</f>
        <v>45663</v>
      </c>
      <c r="B511" s="2">
        <f>RSI!B511</f>
        <v>5.718</v>
      </c>
      <c r="C511" s="2">
        <f>RSI!I511</f>
        <v>35.770595653019498</v>
      </c>
      <c r="D511" s="2">
        <f>MACD!E511</f>
        <v>4.2154681829495999E-2</v>
      </c>
      <c r="E511" s="2">
        <f>MACD!F511</f>
        <v>2.6934705644820162E-2</v>
      </c>
      <c r="F511" s="2">
        <f>'Moving Avg'!D511</f>
        <v>5.7636000000000003</v>
      </c>
      <c r="G511" s="2">
        <f>'Moving Avg'!F511</f>
        <v>5.8226500000000012</v>
      </c>
      <c r="H511" s="2">
        <f>'Moving Avg'!G511</f>
        <v>5.8088399999999982</v>
      </c>
      <c r="I511" s="2">
        <f>'Moving Avg'!H511</f>
        <v>5.562825000000001</v>
      </c>
      <c r="J511" s="5" t="str">
        <f>OBV!F511</f>
        <v>NEUTRAL</v>
      </c>
      <c r="K511" s="5" t="str">
        <f>OBV!G511</f>
        <v>NEUTRAL</v>
      </c>
      <c r="L511" s="5" t="str">
        <f>OBV!H511</f>
        <v>NEUTRAL</v>
      </c>
      <c r="M511" s="7">
        <f t="shared" si="73"/>
        <v>50</v>
      </c>
      <c r="N511" s="7">
        <f t="shared" si="70"/>
        <v>0</v>
      </c>
      <c r="O511" s="7">
        <f t="shared" si="71"/>
        <v>50</v>
      </c>
      <c r="P511" s="7">
        <f t="shared" si="72"/>
        <v>33</v>
      </c>
      <c r="Q511" s="8">
        <f t="shared" si="74"/>
        <v>29.95</v>
      </c>
      <c r="R511" s="8">
        <f t="shared" si="75"/>
        <v>35.75</v>
      </c>
      <c r="S511" s="8">
        <f t="shared" si="76"/>
        <v>34.85</v>
      </c>
      <c r="T511" s="8">
        <f t="shared" si="77"/>
        <v>33.25</v>
      </c>
      <c r="U511" s="7">
        <f t="shared" si="78"/>
        <v>33.516666666666673</v>
      </c>
      <c r="V511" s="7">
        <f t="shared" si="79"/>
        <v>33.450000000000003</v>
      </c>
    </row>
    <row r="512" spans="1:22" ht="13.5" x14ac:dyDescent="0.25">
      <c r="A512" s="3">
        <f>RSI!A512</f>
        <v>45664</v>
      </c>
      <c r="B512" s="2">
        <f>RSI!B512</f>
        <v>5.7</v>
      </c>
      <c r="C512" s="2">
        <f>RSI!I512</f>
        <v>33.611341939135656</v>
      </c>
      <c r="D512" s="2">
        <f>MACD!E512</f>
        <v>4.5133155888768428E-2</v>
      </c>
      <c r="E512" s="2">
        <f>MACD!F512</f>
        <v>3.057439569360982E-2</v>
      </c>
      <c r="F512" s="2">
        <f>'Moving Avg'!D512</f>
        <v>5.7486000000000006</v>
      </c>
      <c r="G512" s="2">
        <f>'Moving Avg'!F512</f>
        <v>5.8165500000000012</v>
      </c>
      <c r="H512" s="2">
        <f>'Moving Avg'!G512</f>
        <v>5.8054599999999992</v>
      </c>
      <c r="I512" s="2">
        <f>'Moving Avg'!H512</f>
        <v>5.564535000000002</v>
      </c>
      <c r="J512" s="5" t="str">
        <f>OBV!F512</f>
        <v>BEARISH</v>
      </c>
      <c r="K512" s="5" t="str">
        <f>OBV!G512</f>
        <v>STRONG</v>
      </c>
      <c r="L512" s="5" t="str">
        <f>OBV!H512</f>
        <v>CONFIRMED BEARISH</v>
      </c>
      <c r="M512" s="7">
        <f t="shared" si="73"/>
        <v>50</v>
      </c>
      <c r="N512" s="7">
        <f t="shared" si="70"/>
        <v>0</v>
      </c>
      <c r="O512" s="7">
        <f t="shared" si="71"/>
        <v>50</v>
      </c>
      <c r="P512" s="7">
        <f t="shared" si="72"/>
        <v>33</v>
      </c>
      <c r="Q512" s="8">
        <f t="shared" si="74"/>
        <v>29.95</v>
      </c>
      <c r="R512" s="8">
        <f t="shared" si="75"/>
        <v>35.75</v>
      </c>
      <c r="S512" s="8">
        <f t="shared" si="76"/>
        <v>34.85</v>
      </c>
      <c r="T512" s="8">
        <f t="shared" si="77"/>
        <v>33.25</v>
      </c>
      <c r="U512" s="7">
        <f t="shared" si="78"/>
        <v>33.516666666666673</v>
      </c>
      <c r="V512" s="7">
        <f t="shared" si="79"/>
        <v>33.450000000000003</v>
      </c>
    </row>
    <row r="513" spans="1:22" ht="13.5" x14ac:dyDescent="0.25">
      <c r="A513" s="3">
        <f>RSI!A513</f>
        <v>45665</v>
      </c>
      <c r="B513" s="2">
        <f>RSI!B513</f>
        <v>5.8120000000000003</v>
      </c>
      <c r="C513" s="2">
        <f>RSI!I513</f>
        <v>52.73112531283828</v>
      </c>
      <c r="D513" s="2">
        <f>MACD!E513</f>
        <v>3.5624744899436678E-2</v>
      </c>
      <c r="E513" s="2">
        <f>MACD!F513</f>
        <v>3.1584465534775195E-2</v>
      </c>
      <c r="F513" s="2">
        <f>'Moving Avg'!D513</f>
        <v>5.7560000000000002</v>
      </c>
      <c r="G513" s="2">
        <f>'Moving Avg'!F513</f>
        <v>5.8113500000000018</v>
      </c>
      <c r="H513" s="2">
        <f>'Moving Avg'!G513</f>
        <v>5.8043200000000006</v>
      </c>
      <c r="I513" s="2">
        <f>'Moving Avg'!H513</f>
        <v>5.5668050000000013</v>
      </c>
      <c r="J513" s="5" t="str">
        <f>OBV!F513</f>
        <v>BULLISH</v>
      </c>
      <c r="K513" s="5" t="str">
        <f>OBV!G513</f>
        <v>NEUTRAL</v>
      </c>
      <c r="L513" s="5" t="str">
        <f>OBV!H513</f>
        <v>CONFIRMED BULLISH</v>
      </c>
      <c r="M513" s="7">
        <f t="shared" si="73"/>
        <v>50</v>
      </c>
      <c r="N513" s="7">
        <f t="shared" si="70"/>
        <v>0</v>
      </c>
      <c r="O513" s="7">
        <f t="shared" si="71"/>
        <v>50</v>
      </c>
      <c r="P513" s="7">
        <f t="shared" si="72"/>
        <v>83.5</v>
      </c>
      <c r="Q513" s="8">
        <f t="shared" si="74"/>
        <v>37.524999999999999</v>
      </c>
      <c r="R513" s="8">
        <f t="shared" si="75"/>
        <v>48.375</v>
      </c>
      <c r="S513" s="8">
        <f t="shared" si="76"/>
        <v>57.575000000000003</v>
      </c>
      <c r="T513" s="8">
        <f t="shared" si="77"/>
        <v>45.875</v>
      </c>
      <c r="U513" s="7">
        <f t="shared" si="78"/>
        <v>47.82500000000001</v>
      </c>
      <c r="V513" s="7">
        <f t="shared" si="79"/>
        <v>47.337500000000006</v>
      </c>
    </row>
    <row r="514" spans="1:22" ht="13.5" x14ac:dyDescent="0.25">
      <c r="A514" s="3">
        <f>RSI!A514</f>
        <v>45666</v>
      </c>
      <c r="B514" s="2">
        <f>RSI!B514</f>
        <v>5.8120000000000003</v>
      </c>
      <c r="C514" s="2">
        <f>RSI!I514</f>
        <v>52.73112531283828</v>
      </c>
      <c r="D514" s="2">
        <f>MACD!E514</f>
        <v>2.8988528370478939E-2</v>
      </c>
      <c r="E514" s="2">
        <f>MACD!F514</f>
        <v>3.1065278101915943E-2</v>
      </c>
      <c r="F514" s="2">
        <f>'Moving Avg'!D514</f>
        <v>5.7634000000000007</v>
      </c>
      <c r="G514" s="2">
        <f>'Moving Avg'!F514</f>
        <v>5.8066500000000012</v>
      </c>
      <c r="H514" s="2">
        <f>'Moving Avg'!G514</f>
        <v>5.8031800000000011</v>
      </c>
      <c r="I514" s="2">
        <f>'Moving Avg'!H514</f>
        <v>5.5693000000000019</v>
      </c>
      <c r="J514" s="5" t="str">
        <f>OBV!F514</f>
        <v>BULLISH</v>
      </c>
      <c r="K514" s="5" t="str">
        <f>OBV!G514</f>
        <v>NEUTRAL</v>
      </c>
      <c r="L514" s="5" t="str">
        <f>OBV!H514</f>
        <v>CONFIRMED BULLISH</v>
      </c>
      <c r="M514" s="7">
        <f t="shared" si="73"/>
        <v>50</v>
      </c>
      <c r="N514" s="7">
        <f t="shared" ref="N514:N577" si="80">IF(E514-D514&gt;0.02, 100, IF(E514-D514&lt;0,0,45))</f>
        <v>45</v>
      </c>
      <c r="O514" s="7">
        <f t="shared" ref="O514:O577" si="81">IF(F514-I514&gt;10,100,IF(F514-I514&gt;5,75, IF(F514-I514&gt;0,50,0)))</f>
        <v>50</v>
      </c>
      <c r="P514" s="7">
        <f t="shared" ref="P514:P577" si="82">IF(L514="confirmed bullish", 34, IF(L514="bullish divergence",17, 0))+IF(J514="bullish",33,IF(J514="bearish",0,16.5))+IF(K514="strong",33,IF(K514="weak",0,16.5))</f>
        <v>83.5</v>
      </c>
      <c r="Q514" s="8">
        <f t="shared" si="74"/>
        <v>53.274999999999999</v>
      </c>
      <c r="R514" s="8">
        <f t="shared" si="75"/>
        <v>57.375</v>
      </c>
      <c r="S514" s="8">
        <f t="shared" si="76"/>
        <v>64.325000000000003</v>
      </c>
      <c r="T514" s="8">
        <f t="shared" si="77"/>
        <v>57.125</v>
      </c>
      <c r="U514" s="7">
        <f t="shared" si="78"/>
        <v>58.32500000000001</v>
      </c>
      <c r="V514" s="7">
        <f t="shared" si="79"/>
        <v>58.025000000000006</v>
      </c>
    </row>
    <row r="515" spans="1:22" ht="13.5" x14ac:dyDescent="0.25">
      <c r="A515" s="3">
        <f>RSI!A515</f>
        <v>45667</v>
      </c>
      <c r="B515" s="2">
        <f>RSI!B515</f>
        <v>5.8029999999999999</v>
      </c>
      <c r="C515" s="2">
        <f>RSI!I515</f>
        <v>51.352814442574577</v>
      </c>
      <c r="D515" s="2">
        <f>MACD!E515</f>
        <v>2.23819367495528E-2</v>
      </c>
      <c r="E515" s="2">
        <f>MACD!F515</f>
        <v>2.9328609831443316E-2</v>
      </c>
      <c r="F515" s="2">
        <f>'Moving Avg'!D515</f>
        <v>5.7690000000000001</v>
      </c>
      <c r="G515" s="2">
        <f>'Moving Avg'!F515</f>
        <v>5.8015000000000008</v>
      </c>
      <c r="H515" s="2">
        <f>'Moving Avg'!G515</f>
        <v>5.8028000000000013</v>
      </c>
      <c r="I515" s="2">
        <f>'Moving Avg'!H515</f>
        <v>5.5716150000000013</v>
      </c>
      <c r="J515" s="5" t="str">
        <f>OBV!F515</f>
        <v>BULLISH</v>
      </c>
      <c r="K515" s="5" t="str">
        <f>OBV!G515</f>
        <v>NEUTRAL</v>
      </c>
      <c r="L515" s="5" t="str">
        <f>OBV!H515</f>
        <v>CONFIRMED BULLISH</v>
      </c>
      <c r="M515" s="7">
        <f t="shared" ref="M515:M578" si="83">IF(C515&lt;30,100, IF(C515&gt;70, 0, 50))</f>
        <v>50</v>
      </c>
      <c r="N515" s="7">
        <f t="shared" si="80"/>
        <v>45</v>
      </c>
      <c r="O515" s="7">
        <f t="shared" si="81"/>
        <v>50</v>
      </c>
      <c r="P515" s="7">
        <f t="shared" si="82"/>
        <v>83.5</v>
      </c>
      <c r="Q515" s="8">
        <f t="shared" ref="Q515:Q578" si="84">0.35*M515+N515*0.35+O515*0.15+P515*0.15</f>
        <v>53.274999999999999</v>
      </c>
      <c r="R515" s="8">
        <f t="shared" ref="R515:R578" si="85">M515*0.2+N515*0.2+O515*0.35+P515*0.25</f>
        <v>57.375</v>
      </c>
      <c r="S515" s="8">
        <f t="shared" ref="S515:S578" si="86">M515*0.15+N515*0.15+O515*0.25+P515*0.45</f>
        <v>64.325000000000003</v>
      </c>
      <c r="T515" s="8">
        <f t="shared" ref="T515:T578" si="87">0.25*SUM(M515:P515)</f>
        <v>57.125</v>
      </c>
      <c r="U515" s="7">
        <f t="shared" ref="U515:U578" si="88">SUM(Q515:S515)/3</f>
        <v>58.32500000000001</v>
      </c>
      <c r="V515" s="7">
        <f t="shared" ref="V515:V578" si="89">SUM(Q515:T515)/4</f>
        <v>58.025000000000006</v>
      </c>
    </row>
    <row r="516" spans="1:22" ht="13.5" x14ac:dyDescent="0.25">
      <c r="A516" s="3">
        <f>RSI!A516</f>
        <v>45670</v>
      </c>
      <c r="B516" s="2">
        <f>RSI!B516</f>
        <v>5.8029999999999999</v>
      </c>
      <c r="C516" s="2">
        <f>RSI!I516</f>
        <v>51.352814442574577</v>
      </c>
      <c r="D516" s="2">
        <f>MACD!E516</f>
        <v>1.5349627795841592E-2</v>
      </c>
      <c r="E516" s="2">
        <f>MACD!F516</f>
        <v>2.6532813424322975E-2</v>
      </c>
      <c r="F516" s="2">
        <f>'Moving Avg'!D516</f>
        <v>5.7860000000000005</v>
      </c>
      <c r="G516" s="2">
        <f>'Moving Avg'!F516</f>
        <v>5.79495</v>
      </c>
      <c r="H516" s="2">
        <f>'Moving Avg'!G516</f>
        <v>5.8024200000000006</v>
      </c>
      <c r="I516" s="2">
        <f>'Moving Avg'!H516</f>
        <v>5.5739300000000034</v>
      </c>
      <c r="J516" s="5" t="str">
        <f>OBV!F516</f>
        <v>BULLISH</v>
      </c>
      <c r="K516" s="5" t="str">
        <f>OBV!G516</f>
        <v>NEUTRAL</v>
      </c>
      <c r="L516" s="5" t="str">
        <f>OBV!H516</f>
        <v>CONFIRMED BULLISH</v>
      </c>
      <c r="M516" s="7">
        <f t="shared" si="83"/>
        <v>50</v>
      </c>
      <c r="N516" s="7">
        <f t="shared" si="80"/>
        <v>45</v>
      </c>
      <c r="O516" s="7">
        <f t="shared" si="81"/>
        <v>50</v>
      </c>
      <c r="P516" s="7">
        <f t="shared" si="82"/>
        <v>83.5</v>
      </c>
      <c r="Q516" s="8">
        <f t="shared" si="84"/>
        <v>53.274999999999999</v>
      </c>
      <c r="R516" s="8">
        <f t="shared" si="85"/>
        <v>57.375</v>
      </c>
      <c r="S516" s="8">
        <f t="shared" si="86"/>
        <v>64.325000000000003</v>
      </c>
      <c r="T516" s="8">
        <f t="shared" si="87"/>
        <v>57.125</v>
      </c>
      <c r="U516" s="7">
        <f t="shared" si="88"/>
        <v>58.32500000000001</v>
      </c>
      <c r="V516" s="7">
        <f t="shared" si="89"/>
        <v>58.025000000000006</v>
      </c>
    </row>
    <row r="517" spans="1:22" ht="13.5" x14ac:dyDescent="0.25">
      <c r="A517" s="3">
        <f>RSI!A517</f>
        <v>45671</v>
      </c>
      <c r="B517" s="2">
        <f>RSI!B517</f>
        <v>5.8029999999999999</v>
      </c>
      <c r="C517" s="2">
        <f>RSI!I517</f>
        <v>51.352814442574577</v>
      </c>
      <c r="D517" s="2">
        <f>MACD!E517</f>
        <v>9.3459711763150821E-3</v>
      </c>
      <c r="E517" s="2">
        <f>MACD!F517</f>
        <v>2.3095444974721397E-2</v>
      </c>
      <c r="F517" s="2">
        <f>'Moving Avg'!D517</f>
        <v>5.8066000000000004</v>
      </c>
      <c r="G517" s="2">
        <f>'Moving Avg'!F517</f>
        <v>5.7902499999999995</v>
      </c>
      <c r="H517" s="2">
        <f>'Moving Avg'!G517</f>
        <v>5.8020400000000016</v>
      </c>
      <c r="I517" s="2">
        <f>'Moving Avg'!H517</f>
        <v>5.5762450000000046</v>
      </c>
      <c r="J517" s="5" t="str">
        <f>OBV!F517</f>
        <v>BULLISH</v>
      </c>
      <c r="K517" s="5" t="str">
        <f>OBV!G517</f>
        <v>WEAK</v>
      </c>
      <c r="L517" s="5" t="str">
        <f>OBV!H517</f>
        <v>CONFIRMED BULLISH</v>
      </c>
      <c r="M517" s="7">
        <f t="shared" si="83"/>
        <v>50</v>
      </c>
      <c r="N517" s="7">
        <f t="shared" si="80"/>
        <v>45</v>
      </c>
      <c r="O517" s="7">
        <f t="shared" si="81"/>
        <v>50</v>
      </c>
      <c r="P517" s="7">
        <f t="shared" si="82"/>
        <v>67</v>
      </c>
      <c r="Q517" s="8">
        <f t="shared" si="84"/>
        <v>50.8</v>
      </c>
      <c r="R517" s="8">
        <f t="shared" si="85"/>
        <v>53.25</v>
      </c>
      <c r="S517" s="8">
        <f t="shared" si="86"/>
        <v>56.900000000000006</v>
      </c>
      <c r="T517" s="8">
        <f t="shared" si="87"/>
        <v>53</v>
      </c>
      <c r="U517" s="7">
        <f t="shared" si="88"/>
        <v>53.65</v>
      </c>
      <c r="V517" s="7">
        <f t="shared" si="89"/>
        <v>53.487499999999997</v>
      </c>
    </row>
    <row r="518" spans="1:22" ht="13.5" x14ac:dyDescent="0.25">
      <c r="A518" s="3">
        <f>RSI!A518</f>
        <v>45672</v>
      </c>
      <c r="B518" s="2">
        <f>RSI!B518</f>
        <v>5.7939999999999996</v>
      </c>
      <c r="C518" s="2">
        <f>RSI!I518</f>
        <v>49.729334819400158</v>
      </c>
      <c r="D518" s="2">
        <f>MACD!E518</f>
        <v>4.883323156158248E-3</v>
      </c>
      <c r="E518" s="2">
        <f>MACD!F518</f>
        <v>1.9453020611008766E-2</v>
      </c>
      <c r="F518" s="2">
        <f>'Moving Avg'!D518</f>
        <v>5.8029999999999999</v>
      </c>
      <c r="G518" s="2">
        <f>'Moving Avg'!F518</f>
        <v>5.7855999999999996</v>
      </c>
      <c r="H518" s="2">
        <f>'Moving Avg'!G518</f>
        <v>5.8024200000000006</v>
      </c>
      <c r="I518" s="2">
        <f>'Moving Avg'!H518</f>
        <v>5.5785150000000057</v>
      </c>
      <c r="J518" s="5" t="str">
        <f>OBV!F518</f>
        <v>BEARISH</v>
      </c>
      <c r="K518" s="5" t="str">
        <f>OBV!G518</f>
        <v>STRONG</v>
      </c>
      <c r="L518" s="5" t="str">
        <f>OBV!H518</f>
        <v>CONFIRMED BEARISH</v>
      </c>
      <c r="M518" s="7">
        <f t="shared" si="83"/>
        <v>50</v>
      </c>
      <c r="N518" s="7">
        <f t="shared" si="80"/>
        <v>45</v>
      </c>
      <c r="O518" s="7">
        <f t="shared" si="81"/>
        <v>50</v>
      </c>
      <c r="P518" s="7">
        <f t="shared" si="82"/>
        <v>33</v>
      </c>
      <c r="Q518" s="8">
        <f t="shared" si="84"/>
        <v>45.7</v>
      </c>
      <c r="R518" s="8">
        <f t="shared" si="85"/>
        <v>44.75</v>
      </c>
      <c r="S518" s="8">
        <f t="shared" si="86"/>
        <v>41.6</v>
      </c>
      <c r="T518" s="8">
        <f t="shared" si="87"/>
        <v>44.5</v>
      </c>
      <c r="U518" s="7">
        <f t="shared" si="88"/>
        <v>44.016666666666673</v>
      </c>
      <c r="V518" s="7">
        <f t="shared" si="89"/>
        <v>44.137500000000003</v>
      </c>
    </row>
    <row r="519" spans="1:22" ht="13.5" x14ac:dyDescent="0.25">
      <c r="A519" s="3">
        <f>RSI!A519</f>
        <v>45673</v>
      </c>
      <c r="B519" s="2">
        <f>RSI!B519</f>
        <v>5.7939999999999996</v>
      </c>
      <c r="C519" s="2">
        <f>RSI!I519</f>
        <v>49.729334819400158</v>
      </c>
      <c r="D519" s="2">
        <f>MACD!E519</f>
        <v>1.1147718793260708E-3</v>
      </c>
      <c r="E519" s="2">
        <f>MACD!F519</f>
        <v>1.5785370864672226E-2</v>
      </c>
      <c r="F519" s="2">
        <f>'Moving Avg'!D519</f>
        <v>5.7994000000000003</v>
      </c>
      <c r="G519" s="2">
        <f>'Moving Avg'!F519</f>
        <v>5.7855999999999987</v>
      </c>
      <c r="H519" s="2">
        <f>'Moving Avg'!G519</f>
        <v>5.80206</v>
      </c>
      <c r="I519" s="2">
        <f>'Moving Avg'!H519</f>
        <v>5.5808300000000068</v>
      </c>
      <c r="J519" s="5" t="str">
        <f>OBV!F519</f>
        <v>BEARISH</v>
      </c>
      <c r="K519" s="5" t="str">
        <f>OBV!G519</f>
        <v>STRONG</v>
      </c>
      <c r="L519" s="5" t="str">
        <f>OBV!H519</f>
        <v>CONFIRMED BEARISH</v>
      </c>
      <c r="M519" s="7">
        <f t="shared" si="83"/>
        <v>50</v>
      </c>
      <c r="N519" s="7">
        <f t="shared" si="80"/>
        <v>45</v>
      </c>
      <c r="O519" s="7">
        <f t="shared" si="81"/>
        <v>50</v>
      </c>
      <c r="P519" s="7">
        <f t="shared" si="82"/>
        <v>33</v>
      </c>
      <c r="Q519" s="8">
        <f t="shared" si="84"/>
        <v>45.7</v>
      </c>
      <c r="R519" s="8">
        <f t="shared" si="85"/>
        <v>44.75</v>
      </c>
      <c r="S519" s="8">
        <f t="shared" si="86"/>
        <v>41.6</v>
      </c>
      <c r="T519" s="8">
        <f t="shared" si="87"/>
        <v>44.5</v>
      </c>
      <c r="U519" s="7">
        <f t="shared" si="88"/>
        <v>44.016666666666673</v>
      </c>
      <c r="V519" s="7">
        <f t="shared" si="89"/>
        <v>44.137500000000003</v>
      </c>
    </row>
    <row r="520" spans="1:22" ht="13.5" x14ac:dyDescent="0.25">
      <c r="A520" s="3">
        <f>RSI!A520</f>
        <v>45674</v>
      </c>
      <c r="B520" s="2">
        <f>RSI!B520</f>
        <v>5.7839999999999998</v>
      </c>
      <c r="C520" s="2">
        <f>RSI!I520</f>
        <v>47.782718744370129</v>
      </c>
      <c r="D520" s="2">
        <f>MACD!E520</f>
        <v>-1.326284213682527E-3</v>
      </c>
      <c r="E520" s="2">
        <f>MACD!F520</f>
        <v>1.2363039849001277E-2</v>
      </c>
      <c r="F520" s="2">
        <f>'Moving Avg'!D520</f>
        <v>5.7955999999999994</v>
      </c>
      <c r="G520" s="2">
        <f>'Moving Avg'!F520</f>
        <v>5.7841999999999993</v>
      </c>
      <c r="H520" s="2">
        <f>'Moving Avg'!G520</f>
        <v>5.8018600000000013</v>
      </c>
      <c r="I520" s="2">
        <f>'Moving Avg'!H520</f>
        <v>5.5831400000000073</v>
      </c>
      <c r="J520" s="5" t="str">
        <f>OBV!F520</f>
        <v>BEARISH</v>
      </c>
      <c r="K520" s="5" t="str">
        <f>OBV!G520</f>
        <v>STRONG</v>
      </c>
      <c r="L520" s="5" t="str">
        <f>OBV!H520</f>
        <v>CONFIRMED BEARISH</v>
      </c>
      <c r="M520" s="7">
        <f t="shared" si="83"/>
        <v>50</v>
      </c>
      <c r="N520" s="7">
        <f t="shared" si="80"/>
        <v>45</v>
      </c>
      <c r="O520" s="7">
        <f t="shared" si="81"/>
        <v>50</v>
      </c>
      <c r="P520" s="7">
        <f t="shared" si="82"/>
        <v>33</v>
      </c>
      <c r="Q520" s="8">
        <f t="shared" si="84"/>
        <v>45.7</v>
      </c>
      <c r="R520" s="8">
        <f t="shared" si="85"/>
        <v>44.75</v>
      </c>
      <c r="S520" s="8">
        <f t="shared" si="86"/>
        <v>41.6</v>
      </c>
      <c r="T520" s="8">
        <f t="shared" si="87"/>
        <v>44.5</v>
      </c>
      <c r="U520" s="7">
        <f t="shared" si="88"/>
        <v>44.016666666666673</v>
      </c>
      <c r="V520" s="7">
        <f t="shared" si="89"/>
        <v>44.137500000000003</v>
      </c>
    </row>
    <row r="521" spans="1:22" ht="13.5" x14ac:dyDescent="0.25">
      <c r="A521" s="3">
        <f>RSI!A521</f>
        <v>45677</v>
      </c>
      <c r="B521" s="2">
        <f>RSI!B521</f>
        <v>5.7839999999999998</v>
      </c>
      <c r="C521" s="2">
        <f>RSI!I521</f>
        <v>47.782718744370129</v>
      </c>
      <c r="D521" s="2">
        <f>MACD!E521</f>
        <v>-1.2095473070442786E-2</v>
      </c>
      <c r="E521" s="2">
        <f>MACD!F521</f>
        <v>7.4713372651124647E-3</v>
      </c>
      <c r="F521" s="2">
        <f>'Moving Avg'!D521</f>
        <v>5.7917999999999994</v>
      </c>
      <c r="G521" s="2">
        <f>'Moving Avg'!F521</f>
        <v>5.7827999999999999</v>
      </c>
      <c r="H521" s="2">
        <f>'Moving Avg'!G521</f>
        <v>5.8031800000000011</v>
      </c>
      <c r="I521" s="2">
        <f>'Moving Avg'!H521</f>
        <v>5.5854050000000077</v>
      </c>
      <c r="J521" s="5" t="str">
        <f>OBV!F521</f>
        <v>BEARISH</v>
      </c>
      <c r="K521" s="5" t="str">
        <f>OBV!G521</f>
        <v>STRONG</v>
      </c>
      <c r="L521" s="5" t="str">
        <f>OBV!H521</f>
        <v>CONFIRMED BEARISH</v>
      </c>
      <c r="M521" s="7">
        <f t="shared" si="83"/>
        <v>50</v>
      </c>
      <c r="N521" s="7">
        <f t="shared" si="80"/>
        <v>45</v>
      </c>
      <c r="O521" s="7">
        <f t="shared" si="81"/>
        <v>50</v>
      </c>
      <c r="P521" s="7">
        <f t="shared" si="82"/>
        <v>33</v>
      </c>
      <c r="Q521" s="8">
        <f t="shared" si="84"/>
        <v>45.7</v>
      </c>
      <c r="R521" s="8">
        <f t="shared" si="85"/>
        <v>44.75</v>
      </c>
      <c r="S521" s="8">
        <f t="shared" si="86"/>
        <v>41.6</v>
      </c>
      <c r="T521" s="8">
        <f t="shared" si="87"/>
        <v>44.5</v>
      </c>
      <c r="U521" s="7">
        <f t="shared" si="88"/>
        <v>44.016666666666673</v>
      </c>
      <c r="V521" s="7">
        <f t="shared" si="89"/>
        <v>44.137500000000003</v>
      </c>
    </row>
    <row r="522" spans="1:22" ht="13.5" x14ac:dyDescent="0.25">
      <c r="A522" s="3">
        <f>RSI!A522</f>
        <v>45678</v>
      </c>
      <c r="B522" s="2">
        <f>RSI!B522</f>
        <v>5.7560000000000002</v>
      </c>
      <c r="C522" s="2">
        <f>RSI!I522</f>
        <v>42.393846625587841</v>
      </c>
      <c r="D522" s="2">
        <f>MACD!E522</f>
        <v>-2.1842325045733801E-2</v>
      </c>
      <c r="E522" s="2">
        <f>MACD!F522</f>
        <v>1.6086048029432115E-3</v>
      </c>
      <c r="F522" s="2">
        <f>'Moving Avg'!D522</f>
        <v>5.7824</v>
      </c>
      <c r="G522" s="2">
        <f>'Moving Avg'!F522</f>
        <v>5.7799999999999994</v>
      </c>
      <c r="H522" s="2">
        <f>'Moving Avg'!G522</f>
        <v>5.8022400000000012</v>
      </c>
      <c r="I522" s="2">
        <f>'Moving Avg'!H522</f>
        <v>5.5875300000000072</v>
      </c>
      <c r="J522" s="5" t="str">
        <f>OBV!F522</f>
        <v>BEARISH</v>
      </c>
      <c r="K522" s="5" t="str">
        <f>OBV!G522</f>
        <v>STRONG</v>
      </c>
      <c r="L522" s="5" t="str">
        <f>OBV!H522</f>
        <v>CONFIRMED BEARISH</v>
      </c>
      <c r="M522" s="7">
        <f t="shared" si="83"/>
        <v>50</v>
      </c>
      <c r="N522" s="7">
        <f t="shared" si="80"/>
        <v>100</v>
      </c>
      <c r="O522" s="7">
        <f t="shared" si="81"/>
        <v>50</v>
      </c>
      <c r="P522" s="7">
        <f t="shared" si="82"/>
        <v>33</v>
      </c>
      <c r="Q522" s="8">
        <f t="shared" si="84"/>
        <v>64.95</v>
      </c>
      <c r="R522" s="8">
        <f t="shared" si="85"/>
        <v>55.75</v>
      </c>
      <c r="S522" s="8">
        <f t="shared" si="86"/>
        <v>49.85</v>
      </c>
      <c r="T522" s="8">
        <f t="shared" si="87"/>
        <v>58.25</v>
      </c>
      <c r="U522" s="7">
        <f t="shared" si="88"/>
        <v>56.85</v>
      </c>
      <c r="V522" s="7">
        <f t="shared" si="89"/>
        <v>57.2</v>
      </c>
    </row>
    <row r="523" spans="1:22" ht="13.5" x14ac:dyDescent="0.25">
      <c r="A523" s="3">
        <f>RSI!A523</f>
        <v>45679</v>
      </c>
      <c r="B523" s="2">
        <f>RSI!B523</f>
        <v>5.7560000000000002</v>
      </c>
      <c r="C523" s="2">
        <f>RSI!I523</f>
        <v>42.393846625587841</v>
      </c>
      <c r="D523" s="2">
        <f>MACD!E523</f>
        <v>-1.2637239555767898E-2</v>
      </c>
      <c r="E523" s="2">
        <f>MACD!F523</f>
        <v>-1.2405640687990107E-3</v>
      </c>
      <c r="F523" s="2">
        <f>'Moving Avg'!D523</f>
        <v>5.7747999999999999</v>
      </c>
      <c r="G523" s="2">
        <f>'Moving Avg'!F523</f>
        <v>5.7785999999999991</v>
      </c>
      <c r="H523" s="2">
        <f>'Moving Avg'!G523</f>
        <v>5.7999800000000006</v>
      </c>
      <c r="I523" s="2">
        <f>'Moving Avg'!H523</f>
        <v>5.5895200000000065</v>
      </c>
      <c r="J523" s="5" t="str">
        <f>OBV!F523</f>
        <v>BEARISH</v>
      </c>
      <c r="K523" s="5" t="str">
        <f>OBV!G523</f>
        <v>STRONG</v>
      </c>
      <c r="L523" s="5" t="str">
        <f>OBV!H523</f>
        <v>CONFIRMED BEARISH</v>
      </c>
      <c r="M523" s="7">
        <f t="shared" si="83"/>
        <v>50</v>
      </c>
      <c r="N523" s="7">
        <f t="shared" si="80"/>
        <v>45</v>
      </c>
      <c r="O523" s="7">
        <f t="shared" si="81"/>
        <v>50</v>
      </c>
      <c r="P523" s="7">
        <f t="shared" si="82"/>
        <v>33</v>
      </c>
      <c r="Q523" s="8">
        <f t="shared" si="84"/>
        <v>45.7</v>
      </c>
      <c r="R523" s="8">
        <f t="shared" si="85"/>
        <v>44.75</v>
      </c>
      <c r="S523" s="8">
        <f t="shared" si="86"/>
        <v>41.6</v>
      </c>
      <c r="T523" s="8">
        <f t="shared" si="87"/>
        <v>44.5</v>
      </c>
      <c r="U523" s="7">
        <f t="shared" si="88"/>
        <v>44.016666666666673</v>
      </c>
      <c r="V523" s="7">
        <f t="shared" si="89"/>
        <v>44.137500000000003</v>
      </c>
    </row>
    <row r="524" spans="1:22" ht="13.5" x14ac:dyDescent="0.25">
      <c r="A524" s="3">
        <f>RSI!A524</f>
        <v>45680</v>
      </c>
      <c r="B524" s="2">
        <f>RSI!B524</f>
        <v>5.7279999999999998</v>
      </c>
      <c r="C524" s="2">
        <f>RSI!I524</f>
        <v>37.490250132567908</v>
      </c>
      <c r="D524" s="2">
        <f>MACD!E524</f>
        <v>-2.5690131513131931E-3</v>
      </c>
      <c r="E524" s="2">
        <f>MACD!F524</f>
        <v>-1.5062538853018474E-3</v>
      </c>
      <c r="F524" s="2">
        <f>'Moving Avg'!D524</f>
        <v>5.7615999999999996</v>
      </c>
      <c r="G524" s="2">
        <f>'Moving Avg'!F524</f>
        <v>5.7752999999999997</v>
      </c>
      <c r="H524" s="2">
        <f>'Moving Avg'!G524</f>
        <v>5.7977200000000009</v>
      </c>
      <c r="I524" s="2">
        <f>'Moving Avg'!H524</f>
        <v>5.5913700000000066</v>
      </c>
      <c r="J524" s="5" t="str">
        <f>OBV!F524</f>
        <v>BEARISH</v>
      </c>
      <c r="K524" s="5" t="str">
        <f>OBV!G524</f>
        <v>STRONG</v>
      </c>
      <c r="L524" s="5" t="str">
        <f>OBV!H524</f>
        <v>CONFIRMED BEARISH</v>
      </c>
      <c r="M524" s="7">
        <f t="shared" si="83"/>
        <v>50</v>
      </c>
      <c r="N524" s="7">
        <f t="shared" si="80"/>
        <v>45</v>
      </c>
      <c r="O524" s="7">
        <f t="shared" si="81"/>
        <v>50</v>
      </c>
      <c r="P524" s="7">
        <f t="shared" si="82"/>
        <v>33</v>
      </c>
      <c r="Q524" s="8">
        <f t="shared" si="84"/>
        <v>45.7</v>
      </c>
      <c r="R524" s="8">
        <f t="shared" si="85"/>
        <v>44.75</v>
      </c>
      <c r="S524" s="8">
        <f t="shared" si="86"/>
        <v>41.6</v>
      </c>
      <c r="T524" s="8">
        <f t="shared" si="87"/>
        <v>44.5</v>
      </c>
      <c r="U524" s="7">
        <f t="shared" si="88"/>
        <v>44.016666666666673</v>
      </c>
      <c r="V524" s="7">
        <f t="shared" si="89"/>
        <v>44.137500000000003</v>
      </c>
    </row>
    <row r="525" spans="1:22" ht="13.5" x14ac:dyDescent="0.25">
      <c r="A525" s="3">
        <f>RSI!A525</f>
        <v>45681</v>
      </c>
      <c r="B525" s="2">
        <f>RSI!B525</f>
        <v>5.7279999999999998</v>
      </c>
      <c r="C525" s="2">
        <f>RSI!I525</f>
        <v>37.490250132567908</v>
      </c>
      <c r="D525" s="2">
        <f>MACD!E525</f>
        <v>4.9211244949267652E-3</v>
      </c>
      <c r="E525" s="2">
        <f>MACD!F525</f>
        <v>-2.2077820925612483E-4</v>
      </c>
      <c r="F525" s="2">
        <f>'Moving Avg'!D525</f>
        <v>5.7504000000000008</v>
      </c>
      <c r="G525" s="2">
        <f>'Moving Avg'!F525</f>
        <v>5.7724999999999991</v>
      </c>
      <c r="H525" s="2">
        <f>'Moving Avg'!G525</f>
        <v>5.7960400000000023</v>
      </c>
      <c r="I525" s="2">
        <f>'Moving Avg'!H525</f>
        <v>5.593400000000007</v>
      </c>
      <c r="J525" s="5" t="str">
        <f>OBV!F525</f>
        <v>BEARISH</v>
      </c>
      <c r="K525" s="5" t="str">
        <f>OBV!G525</f>
        <v>STRONG</v>
      </c>
      <c r="L525" s="5" t="str">
        <f>OBV!H525</f>
        <v>CONFIRMED BEARISH</v>
      </c>
      <c r="M525" s="7">
        <f t="shared" si="83"/>
        <v>50</v>
      </c>
      <c r="N525" s="7">
        <f t="shared" si="80"/>
        <v>0</v>
      </c>
      <c r="O525" s="7">
        <f t="shared" si="81"/>
        <v>50</v>
      </c>
      <c r="P525" s="7">
        <f t="shared" si="82"/>
        <v>33</v>
      </c>
      <c r="Q525" s="8">
        <f t="shared" si="84"/>
        <v>29.95</v>
      </c>
      <c r="R525" s="8">
        <f t="shared" si="85"/>
        <v>35.75</v>
      </c>
      <c r="S525" s="8">
        <f t="shared" si="86"/>
        <v>34.85</v>
      </c>
      <c r="T525" s="8">
        <f t="shared" si="87"/>
        <v>33.25</v>
      </c>
      <c r="U525" s="7">
        <f t="shared" si="88"/>
        <v>33.516666666666673</v>
      </c>
      <c r="V525" s="7">
        <f t="shared" si="89"/>
        <v>33.450000000000003</v>
      </c>
    </row>
    <row r="526" spans="1:22" ht="13.5" x14ac:dyDescent="0.25">
      <c r="A526" s="3">
        <f>RSI!A526</f>
        <v>45684</v>
      </c>
      <c r="B526" s="2">
        <f>RSI!B526</f>
        <v>5.7560000000000002</v>
      </c>
      <c r="C526" s="2">
        <f>RSI!I526</f>
        <v>44.883913019420362</v>
      </c>
      <c r="D526" s="2">
        <f>MACD!E526</f>
        <v>9.5140115454581675E-3</v>
      </c>
      <c r="E526" s="2">
        <f>MACD!F526</f>
        <v>1.7261797416867337E-3</v>
      </c>
      <c r="F526" s="2">
        <f>'Moving Avg'!D526</f>
        <v>5.7448000000000006</v>
      </c>
      <c r="G526" s="2">
        <f>'Moving Avg'!F526</f>
        <v>5.7715499999999995</v>
      </c>
      <c r="H526" s="2">
        <f>'Moving Avg'!G526</f>
        <v>5.7949200000000021</v>
      </c>
      <c r="I526" s="2">
        <f>'Moving Avg'!H526</f>
        <v>5.5955700000000057</v>
      </c>
      <c r="J526" s="5" t="str">
        <f>OBV!F526</f>
        <v>BULLISH</v>
      </c>
      <c r="K526" s="5" t="str">
        <f>OBV!G526</f>
        <v>NEUTRAL</v>
      </c>
      <c r="L526" s="5" t="str">
        <f>OBV!H526</f>
        <v>BULLISH DIVERGENCE</v>
      </c>
      <c r="M526" s="7">
        <f t="shared" si="83"/>
        <v>50</v>
      </c>
      <c r="N526" s="7">
        <f t="shared" si="80"/>
        <v>0</v>
      </c>
      <c r="O526" s="7">
        <f t="shared" si="81"/>
        <v>50</v>
      </c>
      <c r="P526" s="7">
        <f t="shared" si="82"/>
        <v>66.5</v>
      </c>
      <c r="Q526" s="8">
        <f t="shared" si="84"/>
        <v>34.975000000000001</v>
      </c>
      <c r="R526" s="8">
        <f t="shared" si="85"/>
        <v>44.125</v>
      </c>
      <c r="S526" s="8">
        <f t="shared" si="86"/>
        <v>49.924999999999997</v>
      </c>
      <c r="T526" s="8">
        <f t="shared" si="87"/>
        <v>41.625</v>
      </c>
      <c r="U526" s="7">
        <f t="shared" si="88"/>
        <v>43.008333333333326</v>
      </c>
      <c r="V526" s="7">
        <f t="shared" si="89"/>
        <v>42.662499999999994</v>
      </c>
    </row>
    <row r="527" spans="1:22" ht="13.5" x14ac:dyDescent="0.25">
      <c r="A527" s="3">
        <f>RSI!A527</f>
        <v>45685</v>
      </c>
      <c r="B527" s="2">
        <f>RSI!B527</f>
        <v>5.7560000000000002</v>
      </c>
      <c r="C527" s="2">
        <f>RSI!I527</f>
        <v>44.883913019420355</v>
      </c>
      <c r="D527" s="2">
        <f>MACD!E527</f>
        <v>1.3539618077406779E-2</v>
      </c>
      <c r="E527" s="2">
        <f>MACD!F527</f>
        <v>4.0888674088307431E-3</v>
      </c>
      <c r="F527" s="2">
        <f>'Moving Avg'!D527</f>
        <v>5.7447999999999997</v>
      </c>
      <c r="G527" s="2">
        <f>'Moving Avg'!F527</f>
        <v>5.7706</v>
      </c>
      <c r="H527" s="2">
        <f>'Moving Avg'!G527</f>
        <v>5.7936000000000014</v>
      </c>
      <c r="I527" s="2">
        <f>'Moving Avg'!H527</f>
        <v>5.5977850000000053</v>
      </c>
      <c r="J527" s="5" t="str">
        <f>OBV!F527</f>
        <v>BULLISH</v>
      </c>
      <c r="K527" s="5" t="str">
        <f>OBV!G527</f>
        <v>WEAK</v>
      </c>
      <c r="L527" s="5" t="str">
        <f>OBV!H527</f>
        <v>NEUTRAL</v>
      </c>
      <c r="M527" s="7">
        <f t="shared" si="83"/>
        <v>50</v>
      </c>
      <c r="N527" s="7">
        <f t="shared" si="80"/>
        <v>0</v>
      </c>
      <c r="O527" s="7">
        <f t="shared" si="81"/>
        <v>50</v>
      </c>
      <c r="P527" s="7">
        <f t="shared" si="82"/>
        <v>33</v>
      </c>
      <c r="Q527" s="8">
        <f t="shared" si="84"/>
        <v>29.95</v>
      </c>
      <c r="R527" s="8">
        <f t="shared" si="85"/>
        <v>35.75</v>
      </c>
      <c r="S527" s="8">
        <f t="shared" si="86"/>
        <v>34.85</v>
      </c>
      <c r="T527" s="8">
        <f t="shared" si="87"/>
        <v>33.25</v>
      </c>
      <c r="U527" s="7">
        <f t="shared" si="88"/>
        <v>33.516666666666673</v>
      </c>
      <c r="V527" s="7">
        <f t="shared" si="89"/>
        <v>33.450000000000003</v>
      </c>
    </row>
    <row r="528" spans="1:22" ht="13.5" x14ac:dyDescent="0.25">
      <c r="A528" s="3">
        <f>RSI!A528</f>
        <v>45686</v>
      </c>
      <c r="B528" s="2">
        <f>RSI!B528</f>
        <v>5.7560000000000002</v>
      </c>
      <c r="C528" s="2">
        <f>RSI!I528</f>
        <v>44.883913019420362</v>
      </c>
      <c r="D528" s="2">
        <f>MACD!E528</f>
        <v>1.569028281808027E-2</v>
      </c>
      <c r="E528" s="2">
        <f>MACD!F528</f>
        <v>6.4091504906806486E-3</v>
      </c>
      <c r="F528" s="2">
        <f>'Moving Avg'!D528</f>
        <v>5.7447999999999997</v>
      </c>
      <c r="G528" s="2">
        <f>'Moving Avg'!F528</f>
        <v>5.7696499999999995</v>
      </c>
      <c r="H528" s="2">
        <f>'Moving Avg'!G528</f>
        <v>5.7922800000000008</v>
      </c>
      <c r="I528" s="2">
        <f>'Moving Avg'!H528</f>
        <v>5.6000000000000059</v>
      </c>
      <c r="J528" s="5" t="str">
        <f>OBV!F528</f>
        <v>BULLISH</v>
      </c>
      <c r="K528" s="5" t="str">
        <f>OBV!G528</f>
        <v>WEAK</v>
      </c>
      <c r="L528" s="5" t="str">
        <f>OBV!H528</f>
        <v>NEUTRAL</v>
      </c>
      <c r="M528" s="7">
        <f t="shared" si="83"/>
        <v>50</v>
      </c>
      <c r="N528" s="7">
        <f t="shared" si="80"/>
        <v>0</v>
      </c>
      <c r="O528" s="7">
        <f t="shared" si="81"/>
        <v>50</v>
      </c>
      <c r="P528" s="7">
        <f t="shared" si="82"/>
        <v>33</v>
      </c>
      <c r="Q528" s="8">
        <f t="shared" si="84"/>
        <v>29.95</v>
      </c>
      <c r="R528" s="8">
        <f t="shared" si="85"/>
        <v>35.75</v>
      </c>
      <c r="S528" s="8">
        <f t="shared" si="86"/>
        <v>34.85</v>
      </c>
      <c r="T528" s="8">
        <f t="shared" si="87"/>
        <v>33.25</v>
      </c>
      <c r="U528" s="7">
        <f t="shared" si="88"/>
        <v>33.516666666666673</v>
      </c>
      <c r="V528" s="7">
        <f t="shared" si="89"/>
        <v>33.450000000000003</v>
      </c>
    </row>
    <row r="529" spans="1:22" ht="13.5" x14ac:dyDescent="0.25">
      <c r="A529" s="3">
        <f>RSI!A529</f>
        <v>45687</v>
      </c>
      <c r="B529" s="2">
        <f>RSI!B529</f>
        <v>5.7469999999999999</v>
      </c>
      <c r="C529" s="2">
        <f>RSI!I529</f>
        <v>42.849244877698112</v>
      </c>
      <c r="D529" s="2">
        <f>MACD!E529</f>
        <v>1.8296185018686906E-2</v>
      </c>
      <c r="E529" s="2">
        <f>MACD!F529</f>
        <v>8.7865573962819001E-3</v>
      </c>
      <c r="F529" s="2">
        <f>'Moving Avg'!D529</f>
        <v>5.7486000000000006</v>
      </c>
      <c r="G529" s="2">
        <f>'Moving Avg'!F529</f>
        <v>5.7682499999999992</v>
      </c>
      <c r="H529" s="2">
        <f>'Moving Avg'!G529</f>
        <v>5.791339999999999</v>
      </c>
      <c r="I529" s="2">
        <f>'Moving Avg'!H529</f>
        <v>5.6021700000000063</v>
      </c>
      <c r="J529" s="5" t="str">
        <f>OBV!F529</f>
        <v>BULLISH</v>
      </c>
      <c r="K529" s="5" t="str">
        <f>OBV!G529</f>
        <v>NEUTRAL</v>
      </c>
      <c r="L529" s="5" t="str">
        <f>OBV!H529</f>
        <v>CONFIRMED BULLISH</v>
      </c>
      <c r="M529" s="7">
        <f t="shared" si="83"/>
        <v>50</v>
      </c>
      <c r="N529" s="7">
        <f t="shared" si="80"/>
        <v>0</v>
      </c>
      <c r="O529" s="7">
        <f t="shared" si="81"/>
        <v>50</v>
      </c>
      <c r="P529" s="7">
        <f t="shared" si="82"/>
        <v>83.5</v>
      </c>
      <c r="Q529" s="8">
        <f t="shared" si="84"/>
        <v>37.524999999999999</v>
      </c>
      <c r="R529" s="8">
        <f t="shared" si="85"/>
        <v>48.375</v>
      </c>
      <c r="S529" s="8">
        <f t="shared" si="86"/>
        <v>57.575000000000003</v>
      </c>
      <c r="T529" s="8">
        <f t="shared" si="87"/>
        <v>45.875</v>
      </c>
      <c r="U529" s="7">
        <f t="shared" si="88"/>
        <v>47.82500000000001</v>
      </c>
      <c r="V529" s="7">
        <f t="shared" si="89"/>
        <v>47.337500000000006</v>
      </c>
    </row>
    <row r="530" spans="1:22" ht="13.5" x14ac:dyDescent="0.25">
      <c r="A530" s="3">
        <f>RSI!A530</f>
        <v>45688</v>
      </c>
      <c r="B530" s="2">
        <f>RSI!B530</f>
        <v>5.7469999999999999</v>
      </c>
      <c r="C530" s="2">
        <f>RSI!I530</f>
        <v>42.849244877698112</v>
      </c>
      <c r="D530" s="2">
        <f>MACD!E530</f>
        <v>1.9126493751143059E-2</v>
      </c>
      <c r="E530" s="2">
        <f>MACD!F530</f>
        <v>1.0854544667254133E-2</v>
      </c>
      <c r="F530" s="2">
        <f>'Moving Avg'!D530</f>
        <v>5.7523999999999997</v>
      </c>
      <c r="G530" s="2">
        <f>'Moving Avg'!F530</f>
        <v>5.7668499999999998</v>
      </c>
      <c r="H530" s="2">
        <f>'Moving Avg'!G530</f>
        <v>5.7904</v>
      </c>
      <c r="I530" s="2">
        <f>'Moving Avg'!H530</f>
        <v>5.6043400000000076</v>
      </c>
      <c r="J530" s="5" t="str">
        <f>OBV!F530</f>
        <v>BULLISH</v>
      </c>
      <c r="K530" s="5" t="str">
        <f>OBV!G530</f>
        <v>NEUTRAL</v>
      </c>
      <c r="L530" s="5" t="str">
        <f>OBV!H530</f>
        <v>CONFIRMED BULLISH</v>
      </c>
      <c r="M530" s="7">
        <f t="shared" si="83"/>
        <v>50</v>
      </c>
      <c r="N530" s="7">
        <f t="shared" si="80"/>
        <v>0</v>
      </c>
      <c r="O530" s="7">
        <f t="shared" si="81"/>
        <v>50</v>
      </c>
      <c r="P530" s="7">
        <f t="shared" si="82"/>
        <v>83.5</v>
      </c>
      <c r="Q530" s="8">
        <f t="shared" si="84"/>
        <v>37.524999999999999</v>
      </c>
      <c r="R530" s="8">
        <f t="shared" si="85"/>
        <v>48.375</v>
      </c>
      <c r="S530" s="8">
        <f t="shared" si="86"/>
        <v>57.575000000000003</v>
      </c>
      <c r="T530" s="8">
        <f t="shared" si="87"/>
        <v>45.875</v>
      </c>
      <c r="U530" s="7">
        <f t="shared" si="88"/>
        <v>47.82500000000001</v>
      </c>
      <c r="V530" s="7">
        <f t="shared" si="89"/>
        <v>47.337500000000006</v>
      </c>
    </row>
    <row r="531" spans="1:22" ht="13.5" x14ac:dyDescent="0.25">
      <c r="A531" s="3">
        <f>RSI!A531</f>
        <v>45691</v>
      </c>
      <c r="B531" s="2">
        <f>RSI!B531</f>
        <v>5.8120000000000003</v>
      </c>
      <c r="C531" s="2">
        <f>RSI!I531</f>
        <v>58.577469773929053</v>
      </c>
      <c r="D531" s="2">
        <f>MACD!E531</f>
        <v>1.5165892401914682E-2</v>
      </c>
      <c r="E531" s="2">
        <f>MACD!F531</f>
        <v>1.1716814214186244E-2</v>
      </c>
      <c r="F531" s="2">
        <f>'Moving Avg'!D531</f>
        <v>5.7636000000000003</v>
      </c>
      <c r="G531" s="2">
        <f>'Moving Avg'!F531</f>
        <v>5.7715499999999995</v>
      </c>
      <c r="H531" s="2">
        <f>'Moving Avg'!G531</f>
        <v>5.7907600000000006</v>
      </c>
      <c r="I531" s="2">
        <f>'Moving Avg'!H531</f>
        <v>5.6072350000000064</v>
      </c>
      <c r="J531" s="5" t="str">
        <f>OBV!F531</f>
        <v>BEARISH</v>
      </c>
      <c r="K531" s="5" t="str">
        <f>OBV!G531</f>
        <v>NEUTRAL</v>
      </c>
      <c r="L531" s="5" t="str">
        <f>OBV!H531</f>
        <v>BEARISH DIVERGENCE</v>
      </c>
      <c r="M531" s="7">
        <f t="shared" si="83"/>
        <v>50</v>
      </c>
      <c r="N531" s="7">
        <f t="shared" si="80"/>
        <v>0</v>
      </c>
      <c r="O531" s="7">
        <f t="shared" si="81"/>
        <v>50</v>
      </c>
      <c r="P531" s="7">
        <f t="shared" si="82"/>
        <v>16.5</v>
      </c>
      <c r="Q531" s="8">
        <f t="shared" si="84"/>
        <v>27.475000000000001</v>
      </c>
      <c r="R531" s="8">
        <f t="shared" si="85"/>
        <v>31.625</v>
      </c>
      <c r="S531" s="8">
        <f t="shared" si="86"/>
        <v>27.425000000000001</v>
      </c>
      <c r="T531" s="8">
        <f t="shared" si="87"/>
        <v>29.125</v>
      </c>
      <c r="U531" s="7">
        <f t="shared" si="88"/>
        <v>28.841666666666669</v>
      </c>
      <c r="V531" s="7">
        <f t="shared" si="89"/>
        <v>28.912500000000001</v>
      </c>
    </row>
    <row r="532" spans="1:22" ht="13.5" x14ac:dyDescent="0.25">
      <c r="A532" s="3">
        <f>RSI!A532</f>
        <v>45692</v>
      </c>
      <c r="B532" s="2">
        <f>RSI!B532</f>
        <v>5.8120000000000003</v>
      </c>
      <c r="C532" s="2">
        <f>RSI!I532</f>
        <v>58.577469773929039</v>
      </c>
      <c r="D532" s="2">
        <f>MACD!E532</f>
        <v>7.2632458473691486E-3</v>
      </c>
      <c r="E532" s="2">
        <f>MACD!F532</f>
        <v>1.0826100540822826E-2</v>
      </c>
      <c r="F532" s="2">
        <f>'Moving Avg'!D532</f>
        <v>5.7748000000000008</v>
      </c>
      <c r="G532" s="2">
        <f>'Moving Avg'!F532</f>
        <v>5.7771499999999989</v>
      </c>
      <c r="H532" s="2">
        <f>'Moving Avg'!G532</f>
        <v>5.791500000000001</v>
      </c>
      <c r="I532" s="2">
        <f>'Moving Avg'!H532</f>
        <v>5.6101300000000052</v>
      </c>
      <c r="J532" s="5" t="str">
        <f>OBV!F532</f>
        <v>BEARISH</v>
      </c>
      <c r="K532" s="5" t="str">
        <f>OBV!G532</f>
        <v>NEUTRAL</v>
      </c>
      <c r="L532" s="5" t="str">
        <f>OBV!H532</f>
        <v>BEARISH DIVERGENCE</v>
      </c>
      <c r="M532" s="7">
        <f t="shared" si="83"/>
        <v>50</v>
      </c>
      <c r="N532" s="7">
        <f t="shared" si="80"/>
        <v>45</v>
      </c>
      <c r="O532" s="7">
        <f t="shared" si="81"/>
        <v>50</v>
      </c>
      <c r="P532" s="7">
        <f t="shared" si="82"/>
        <v>16.5</v>
      </c>
      <c r="Q532" s="8">
        <f t="shared" si="84"/>
        <v>43.225000000000001</v>
      </c>
      <c r="R532" s="8">
        <f t="shared" si="85"/>
        <v>40.625</v>
      </c>
      <c r="S532" s="8">
        <f t="shared" si="86"/>
        <v>34.174999999999997</v>
      </c>
      <c r="T532" s="8">
        <f t="shared" si="87"/>
        <v>40.375</v>
      </c>
      <c r="U532" s="7">
        <f t="shared" si="88"/>
        <v>39.341666666666661</v>
      </c>
      <c r="V532" s="7">
        <f t="shared" si="89"/>
        <v>39.599999999999994</v>
      </c>
    </row>
    <row r="533" spans="1:22" ht="13.5" x14ac:dyDescent="0.25">
      <c r="A533" s="3">
        <f>RSI!A533</f>
        <v>45693</v>
      </c>
      <c r="B533" s="2">
        <f>RSI!B533</f>
        <v>5.8120000000000003</v>
      </c>
      <c r="C533" s="2">
        <f>RSI!I533</f>
        <v>58.577469773929039</v>
      </c>
      <c r="D533" s="2">
        <f>MACD!E533</f>
        <v>3.5076497588981681E-4</v>
      </c>
      <c r="E533" s="2">
        <f>MACD!F533</f>
        <v>8.7310334278362239E-3</v>
      </c>
      <c r="F533" s="2">
        <f>'Moving Avg'!D533</f>
        <v>5.7860000000000005</v>
      </c>
      <c r="G533" s="2">
        <f>'Moving Avg'!F533</f>
        <v>5.7771499999999998</v>
      </c>
      <c r="H533" s="2">
        <f>'Moving Avg'!G533</f>
        <v>5.7916800000000022</v>
      </c>
      <c r="I533" s="2">
        <f>'Moving Avg'!H533</f>
        <v>5.6130250000000048</v>
      </c>
      <c r="J533" s="5" t="str">
        <f>OBV!F533</f>
        <v>BEARISH</v>
      </c>
      <c r="K533" s="5" t="str">
        <f>OBV!G533</f>
        <v>NEUTRAL</v>
      </c>
      <c r="L533" s="5" t="str">
        <f>OBV!H533</f>
        <v>BEARISH DIVERGENCE</v>
      </c>
      <c r="M533" s="7">
        <f t="shared" si="83"/>
        <v>50</v>
      </c>
      <c r="N533" s="7">
        <f t="shared" si="80"/>
        <v>45</v>
      </c>
      <c r="O533" s="7">
        <f t="shared" si="81"/>
        <v>50</v>
      </c>
      <c r="P533" s="7">
        <f t="shared" si="82"/>
        <v>16.5</v>
      </c>
      <c r="Q533" s="8">
        <f t="shared" si="84"/>
        <v>43.225000000000001</v>
      </c>
      <c r="R533" s="8">
        <f t="shared" si="85"/>
        <v>40.625</v>
      </c>
      <c r="S533" s="8">
        <f t="shared" si="86"/>
        <v>34.174999999999997</v>
      </c>
      <c r="T533" s="8">
        <f t="shared" si="87"/>
        <v>40.375</v>
      </c>
      <c r="U533" s="7">
        <f t="shared" si="88"/>
        <v>39.341666666666661</v>
      </c>
      <c r="V533" s="7">
        <f t="shared" si="89"/>
        <v>39.599999999999994</v>
      </c>
    </row>
    <row r="534" spans="1:22" ht="13.5" x14ac:dyDescent="0.25">
      <c r="A534" s="3">
        <f>RSI!A534</f>
        <v>45694</v>
      </c>
      <c r="B534" s="2">
        <f>RSI!B534</f>
        <v>5.8120000000000003</v>
      </c>
      <c r="C534" s="2">
        <f>RSI!I534</f>
        <v>58.577469773929039</v>
      </c>
      <c r="D534" s="2">
        <f>MACD!E534</f>
        <v>-1.001486265818663E-2</v>
      </c>
      <c r="E534" s="2">
        <f>MACD!F534</f>
        <v>4.9818542106316536E-3</v>
      </c>
      <c r="F534" s="2">
        <f>'Moving Avg'!D534</f>
        <v>5.7990000000000013</v>
      </c>
      <c r="G534" s="2">
        <f>'Moving Avg'!F534</f>
        <v>5.7771499999999998</v>
      </c>
      <c r="H534" s="2">
        <f>'Moving Avg'!G534</f>
        <v>5.7922400000000014</v>
      </c>
      <c r="I534" s="2">
        <f>'Moving Avg'!H534</f>
        <v>5.6159200000000036</v>
      </c>
      <c r="J534" s="5" t="str">
        <f>OBV!F534</f>
        <v>BULLISH</v>
      </c>
      <c r="K534" s="5" t="str">
        <f>OBV!G534</f>
        <v>WEAK</v>
      </c>
      <c r="L534" s="5" t="str">
        <f>OBV!H534</f>
        <v>CONFIRMED BULLISH</v>
      </c>
      <c r="M534" s="7">
        <f t="shared" si="83"/>
        <v>50</v>
      </c>
      <c r="N534" s="7">
        <f t="shared" si="80"/>
        <v>45</v>
      </c>
      <c r="O534" s="7">
        <f t="shared" si="81"/>
        <v>50</v>
      </c>
      <c r="P534" s="7">
        <f t="shared" si="82"/>
        <v>67</v>
      </c>
      <c r="Q534" s="8">
        <f t="shared" si="84"/>
        <v>50.8</v>
      </c>
      <c r="R534" s="8">
        <f t="shared" si="85"/>
        <v>53.25</v>
      </c>
      <c r="S534" s="8">
        <f t="shared" si="86"/>
        <v>56.900000000000006</v>
      </c>
      <c r="T534" s="8">
        <f t="shared" si="87"/>
        <v>53</v>
      </c>
      <c r="U534" s="7">
        <f t="shared" si="88"/>
        <v>53.65</v>
      </c>
      <c r="V534" s="7">
        <f t="shared" si="89"/>
        <v>53.487499999999997</v>
      </c>
    </row>
    <row r="535" spans="1:22" ht="13.5" x14ac:dyDescent="0.25">
      <c r="A535" s="3">
        <f>RSI!A535</f>
        <v>45695</v>
      </c>
      <c r="B535" s="2">
        <f>RSI!B535</f>
        <v>5.7469999999999999</v>
      </c>
      <c r="C535" s="2">
        <f>RSI!I535</f>
        <v>42.752098490887903</v>
      </c>
      <c r="D535" s="2">
        <f>MACD!E535</f>
        <v>-1.4164401543480309E-2</v>
      </c>
      <c r="E535" s="2">
        <f>MACD!F535</f>
        <v>1.1526030598092612E-3</v>
      </c>
      <c r="F535" s="2">
        <f>'Moving Avg'!D535</f>
        <v>5.7990000000000004</v>
      </c>
      <c r="G535" s="2">
        <f>'Moving Avg'!F535</f>
        <v>5.7743500000000001</v>
      </c>
      <c r="H535" s="2">
        <f>'Moving Avg'!G535</f>
        <v>5.792620000000003</v>
      </c>
      <c r="I535" s="2">
        <f>'Moving Avg'!H535</f>
        <v>5.6184900000000031</v>
      </c>
      <c r="J535" s="5" t="str">
        <f>OBV!F535</f>
        <v>BULLISH</v>
      </c>
      <c r="K535" s="5" t="str">
        <f>OBV!G535</f>
        <v>WEAK</v>
      </c>
      <c r="L535" s="5" t="str">
        <f>OBV!H535</f>
        <v>NEUTRAL</v>
      </c>
      <c r="M535" s="7">
        <f t="shared" si="83"/>
        <v>50</v>
      </c>
      <c r="N535" s="7">
        <f t="shared" si="80"/>
        <v>45</v>
      </c>
      <c r="O535" s="7">
        <f t="shared" si="81"/>
        <v>50</v>
      </c>
      <c r="P535" s="7">
        <f t="shared" si="82"/>
        <v>33</v>
      </c>
      <c r="Q535" s="8">
        <f t="shared" si="84"/>
        <v>45.7</v>
      </c>
      <c r="R535" s="8">
        <f t="shared" si="85"/>
        <v>44.75</v>
      </c>
      <c r="S535" s="8">
        <f t="shared" si="86"/>
        <v>41.6</v>
      </c>
      <c r="T535" s="8">
        <f t="shared" si="87"/>
        <v>44.5</v>
      </c>
      <c r="U535" s="7">
        <f t="shared" si="88"/>
        <v>44.016666666666673</v>
      </c>
      <c r="V535" s="7">
        <f t="shared" si="89"/>
        <v>44.137500000000003</v>
      </c>
    </row>
    <row r="536" spans="1:22" ht="13.5" x14ac:dyDescent="0.25">
      <c r="A536" s="3">
        <f>RSI!A536</f>
        <v>45698</v>
      </c>
      <c r="B536" s="2">
        <f>RSI!B536</f>
        <v>5.681</v>
      </c>
      <c r="C536" s="2">
        <f>RSI!I536</f>
        <v>33.002523041689173</v>
      </c>
      <c r="D536" s="2">
        <f>MACD!E536</f>
        <v>-8.2739901112356407E-3</v>
      </c>
      <c r="E536" s="2">
        <f>MACD!F536</f>
        <v>-7.327155743997193E-4</v>
      </c>
      <c r="F536" s="2">
        <f>'Moving Avg'!D536</f>
        <v>5.7728000000000002</v>
      </c>
      <c r="G536" s="2">
        <f>'Moving Avg'!F536</f>
        <v>5.7682499999999992</v>
      </c>
      <c r="H536" s="2">
        <f>'Moving Avg'!G536</f>
        <v>5.793560000000002</v>
      </c>
      <c r="I536" s="2">
        <f>'Moving Avg'!H536</f>
        <v>5.6209500000000023</v>
      </c>
      <c r="J536" s="5" t="str">
        <f>OBV!F536</f>
        <v>BEARISH</v>
      </c>
      <c r="K536" s="5" t="str">
        <f>OBV!G536</f>
        <v>STRONG</v>
      </c>
      <c r="L536" s="5" t="str">
        <f>OBV!H536</f>
        <v>CONFIRMED BEARISH</v>
      </c>
      <c r="M536" s="7">
        <f t="shared" si="83"/>
        <v>50</v>
      </c>
      <c r="N536" s="7">
        <f t="shared" si="80"/>
        <v>45</v>
      </c>
      <c r="O536" s="7">
        <f t="shared" si="81"/>
        <v>50</v>
      </c>
      <c r="P536" s="7">
        <f t="shared" si="82"/>
        <v>33</v>
      </c>
      <c r="Q536" s="8">
        <f t="shared" si="84"/>
        <v>45.7</v>
      </c>
      <c r="R536" s="8">
        <f t="shared" si="85"/>
        <v>44.75</v>
      </c>
      <c r="S536" s="8">
        <f t="shared" si="86"/>
        <v>41.6</v>
      </c>
      <c r="T536" s="8">
        <f t="shared" si="87"/>
        <v>44.5</v>
      </c>
      <c r="U536" s="7">
        <f t="shared" si="88"/>
        <v>44.016666666666673</v>
      </c>
      <c r="V536" s="7">
        <f t="shared" si="89"/>
        <v>44.137500000000003</v>
      </c>
    </row>
    <row r="537" spans="1:22" ht="13.5" x14ac:dyDescent="0.25">
      <c r="A537" s="3">
        <f>RSI!A537</f>
        <v>45699</v>
      </c>
      <c r="B537" s="2">
        <f>RSI!B537</f>
        <v>5.718</v>
      </c>
      <c r="C537" s="2">
        <f>RSI!I537</f>
        <v>41.110436010868106</v>
      </c>
      <c r="D537" s="2">
        <f>MACD!E537</f>
        <v>-5.4507447998046743E-3</v>
      </c>
      <c r="E537" s="2">
        <f>MACD!F537</f>
        <v>-1.6763214194807103E-3</v>
      </c>
      <c r="F537" s="2">
        <f>'Moving Avg'!D537</f>
        <v>5.7540000000000004</v>
      </c>
      <c r="G537" s="2">
        <f>'Moving Avg'!F537</f>
        <v>5.7640000000000002</v>
      </c>
      <c r="H537" s="2">
        <f>'Moving Avg'!G537</f>
        <v>5.7920400000000019</v>
      </c>
      <c r="I537" s="2">
        <f>'Moving Avg'!H537</f>
        <v>5.622930000000002</v>
      </c>
      <c r="J537" s="5" t="str">
        <f>OBV!F537</f>
        <v>NEUTRAL</v>
      </c>
      <c r="K537" s="5" t="str">
        <f>OBV!G537</f>
        <v>NEUTRAL</v>
      </c>
      <c r="L537" s="5" t="str">
        <f>OBV!H537</f>
        <v>NEUTRAL</v>
      </c>
      <c r="M537" s="7">
        <f t="shared" si="83"/>
        <v>50</v>
      </c>
      <c r="N537" s="7">
        <f t="shared" si="80"/>
        <v>45</v>
      </c>
      <c r="O537" s="7">
        <f t="shared" si="81"/>
        <v>50</v>
      </c>
      <c r="P537" s="7">
        <f t="shared" si="82"/>
        <v>33</v>
      </c>
      <c r="Q537" s="8">
        <f t="shared" si="84"/>
        <v>45.7</v>
      </c>
      <c r="R537" s="8">
        <f t="shared" si="85"/>
        <v>44.75</v>
      </c>
      <c r="S537" s="8">
        <f t="shared" si="86"/>
        <v>41.6</v>
      </c>
      <c r="T537" s="8">
        <f t="shared" si="87"/>
        <v>44.5</v>
      </c>
      <c r="U537" s="7">
        <f t="shared" si="88"/>
        <v>44.016666666666673</v>
      </c>
      <c r="V537" s="7">
        <f t="shared" si="89"/>
        <v>44.137500000000003</v>
      </c>
    </row>
    <row r="538" spans="1:22" ht="13.5" x14ac:dyDescent="0.25">
      <c r="A538" s="3">
        <f>RSI!A538</f>
        <v>45700</v>
      </c>
      <c r="B538" s="2">
        <f>RSI!B538</f>
        <v>5.718</v>
      </c>
      <c r="C538" s="2">
        <f>RSI!I538</f>
        <v>41.110436010868106</v>
      </c>
      <c r="D538" s="2">
        <f>MACD!E538</f>
        <v>-2.7436352845828793E-3</v>
      </c>
      <c r="E538" s="2">
        <f>MACD!F538</f>
        <v>-1.8897841925011442E-3</v>
      </c>
      <c r="F538" s="2">
        <f>'Moving Avg'!D538</f>
        <v>5.7352000000000007</v>
      </c>
      <c r="G538" s="2">
        <f>'Moving Avg'!F538</f>
        <v>5.7601999999999993</v>
      </c>
      <c r="H538" s="2">
        <f>'Moving Avg'!G538</f>
        <v>5.7907200000000021</v>
      </c>
      <c r="I538" s="2">
        <f>'Moving Avg'!H538</f>
        <v>5.6249100000000025</v>
      </c>
      <c r="J538" s="5" t="str">
        <f>OBV!F538</f>
        <v>NEUTRAL</v>
      </c>
      <c r="K538" s="5" t="str">
        <f>OBV!G538</f>
        <v>NEUTRAL</v>
      </c>
      <c r="L538" s="5" t="str">
        <f>OBV!H538</f>
        <v>NEUTRAL</v>
      </c>
      <c r="M538" s="7">
        <f t="shared" si="83"/>
        <v>50</v>
      </c>
      <c r="N538" s="7">
        <f t="shared" si="80"/>
        <v>45</v>
      </c>
      <c r="O538" s="7">
        <f t="shared" si="81"/>
        <v>50</v>
      </c>
      <c r="P538" s="7">
        <f t="shared" si="82"/>
        <v>33</v>
      </c>
      <c r="Q538" s="8">
        <f t="shared" si="84"/>
        <v>45.7</v>
      </c>
      <c r="R538" s="8">
        <f t="shared" si="85"/>
        <v>44.75</v>
      </c>
      <c r="S538" s="8">
        <f t="shared" si="86"/>
        <v>41.6</v>
      </c>
      <c r="T538" s="8">
        <f t="shared" si="87"/>
        <v>44.5</v>
      </c>
      <c r="U538" s="7">
        <f t="shared" si="88"/>
        <v>44.016666666666673</v>
      </c>
      <c r="V538" s="7">
        <f t="shared" si="89"/>
        <v>44.137500000000003</v>
      </c>
    </row>
    <row r="539" spans="1:22" ht="13.5" x14ac:dyDescent="0.25">
      <c r="A539" s="3">
        <f>RSI!A539</f>
        <v>45701</v>
      </c>
      <c r="B539" s="2">
        <f>RSI!B539</f>
        <v>5.681</v>
      </c>
      <c r="C539" s="2">
        <f>RSI!I539</f>
        <v>36.050640329153687</v>
      </c>
      <c r="D539" s="2">
        <f>MACD!E539</f>
        <v>1.1977597519541305E-3</v>
      </c>
      <c r="E539" s="2">
        <f>MACD!F539</f>
        <v>-1.2722754036100894E-3</v>
      </c>
      <c r="F539" s="2">
        <f>'Moving Avg'!D539</f>
        <v>5.7090000000000005</v>
      </c>
      <c r="G539" s="2">
        <f>'Moving Avg'!F539</f>
        <v>5.7545500000000001</v>
      </c>
      <c r="H539" s="2">
        <f>'Moving Avg'!G539</f>
        <v>5.7886600000000019</v>
      </c>
      <c r="I539" s="2">
        <f>'Moving Avg'!H539</f>
        <v>5.6267050000000021</v>
      </c>
      <c r="J539" s="5" t="str">
        <f>OBV!F539</f>
        <v>BEARISH</v>
      </c>
      <c r="K539" s="5" t="str">
        <f>OBV!G539</f>
        <v>STRONG</v>
      </c>
      <c r="L539" s="5" t="str">
        <f>OBV!H539</f>
        <v>CONFIRMED BEARISH</v>
      </c>
      <c r="M539" s="7">
        <f t="shared" si="83"/>
        <v>50</v>
      </c>
      <c r="N539" s="7">
        <f t="shared" si="80"/>
        <v>0</v>
      </c>
      <c r="O539" s="7">
        <f t="shared" si="81"/>
        <v>50</v>
      </c>
      <c r="P539" s="7">
        <f t="shared" si="82"/>
        <v>33</v>
      </c>
      <c r="Q539" s="8">
        <f t="shared" si="84"/>
        <v>29.95</v>
      </c>
      <c r="R539" s="8">
        <f t="shared" si="85"/>
        <v>35.75</v>
      </c>
      <c r="S539" s="8">
        <f t="shared" si="86"/>
        <v>34.85</v>
      </c>
      <c r="T539" s="8">
        <f t="shared" si="87"/>
        <v>33.25</v>
      </c>
      <c r="U539" s="7">
        <f t="shared" si="88"/>
        <v>33.516666666666673</v>
      </c>
      <c r="V539" s="7">
        <f t="shared" si="89"/>
        <v>33.450000000000003</v>
      </c>
    </row>
    <row r="540" spans="1:22" ht="13.5" x14ac:dyDescent="0.25">
      <c r="A540" s="3">
        <f>RSI!A540</f>
        <v>45702</v>
      </c>
      <c r="B540" s="2">
        <f>RSI!B540</f>
        <v>5.681</v>
      </c>
      <c r="C540" s="2">
        <f>RSI!I540</f>
        <v>36.050640329153687</v>
      </c>
      <c r="D540" s="2">
        <f>MACD!E540</f>
        <v>5.0242343845452453E-3</v>
      </c>
      <c r="E540" s="2">
        <f>MACD!F540</f>
        <v>-1.2973445979022483E-5</v>
      </c>
      <c r="F540" s="2">
        <f>'Moving Avg'!D540</f>
        <v>5.6958000000000002</v>
      </c>
      <c r="G540" s="2">
        <f>'Moving Avg'!F540</f>
        <v>5.7493999999999996</v>
      </c>
      <c r="H540" s="2">
        <f>'Moving Avg'!G540</f>
        <v>5.7866000000000017</v>
      </c>
      <c r="I540" s="2">
        <f>'Moving Avg'!H540</f>
        <v>5.6285000000000016</v>
      </c>
      <c r="J540" s="5" t="str">
        <f>OBV!F540</f>
        <v>BEARISH</v>
      </c>
      <c r="K540" s="5" t="str">
        <f>OBV!G540</f>
        <v>STRONG</v>
      </c>
      <c r="L540" s="5" t="str">
        <f>OBV!H540</f>
        <v>CONFIRMED BEARISH</v>
      </c>
      <c r="M540" s="7">
        <f t="shared" si="83"/>
        <v>50</v>
      </c>
      <c r="N540" s="7">
        <f t="shared" si="80"/>
        <v>0</v>
      </c>
      <c r="O540" s="7">
        <f t="shared" si="81"/>
        <v>50</v>
      </c>
      <c r="P540" s="7">
        <f t="shared" si="82"/>
        <v>33</v>
      </c>
      <c r="Q540" s="8">
        <f t="shared" si="84"/>
        <v>29.95</v>
      </c>
      <c r="R540" s="8">
        <f t="shared" si="85"/>
        <v>35.75</v>
      </c>
      <c r="S540" s="8">
        <f t="shared" si="86"/>
        <v>34.85</v>
      </c>
      <c r="T540" s="8">
        <f t="shared" si="87"/>
        <v>33.25</v>
      </c>
      <c r="U540" s="7">
        <f t="shared" si="88"/>
        <v>33.516666666666673</v>
      </c>
      <c r="V540" s="7">
        <f t="shared" si="89"/>
        <v>33.450000000000003</v>
      </c>
    </row>
    <row r="541" spans="1:22" ht="13.5" x14ac:dyDescent="0.25">
      <c r="A541" s="3">
        <f>RSI!A541</f>
        <v>45705</v>
      </c>
      <c r="B541" s="2">
        <f>RSI!B541</f>
        <v>5.681</v>
      </c>
      <c r="C541" s="2">
        <f>RSI!I541</f>
        <v>36.050640329153687</v>
      </c>
      <c r="D541" s="2">
        <f>MACD!E541</f>
        <v>1.8717065115099629E-2</v>
      </c>
      <c r="E541" s="2">
        <f>MACD!F541</f>
        <v>3.7330342662367081E-3</v>
      </c>
      <c r="F541" s="2">
        <f>'Moving Avg'!D541</f>
        <v>5.6958000000000002</v>
      </c>
      <c r="G541" s="2">
        <f>'Moving Avg'!F541</f>
        <v>5.7442499999999992</v>
      </c>
      <c r="H541" s="2">
        <f>'Moving Avg'!G541</f>
        <v>5.7845400000000016</v>
      </c>
      <c r="I541" s="2">
        <f>'Moving Avg'!H541</f>
        <v>5.6301600000000009</v>
      </c>
      <c r="J541" s="5" t="str">
        <f>OBV!F541</f>
        <v>BULLISH</v>
      </c>
      <c r="K541" s="5" t="str">
        <f>OBV!G541</f>
        <v>NEUTRAL</v>
      </c>
      <c r="L541" s="5" t="str">
        <f>OBV!H541</f>
        <v>NEUTRAL</v>
      </c>
      <c r="M541" s="7">
        <f t="shared" si="83"/>
        <v>50</v>
      </c>
      <c r="N541" s="7">
        <f t="shared" si="80"/>
        <v>0</v>
      </c>
      <c r="O541" s="7">
        <f t="shared" si="81"/>
        <v>50</v>
      </c>
      <c r="P541" s="7">
        <f t="shared" si="82"/>
        <v>49.5</v>
      </c>
      <c r="Q541" s="8">
        <f t="shared" si="84"/>
        <v>32.424999999999997</v>
      </c>
      <c r="R541" s="8">
        <f t="shared" si="85"/>
        <v>39.875</v>
      </c>
      <c r="S541" s="8">
        <f t="shared" si="86"/>
        <v>42.275000000000006</v>
      </c>
      <c r="T541" s="8">
        <f t="shared" si="87"/>
        <v>37.375</v>
      </c>
      <c r="U541" s="7">
        <f t="shared" si="88"/>
        <v>38.19166666666667</v>
      </c>
      <c r="V541" s="7">
        <f t="shared" si="89"/>
        <v>37.987499999999997</v>
      </c>
    </row>
    <row r="542" spans="1:22" ht="13.5" x14ac:dyDescent="0.25">
      <c r="A542" s="3">
        <f>RSI!A542</f>
        <v>45706</v>
      </c>
      <c r="B542" s="2">
        <f>RSI!B542</f>
        <v>5.681</v>
      </c>
      <c r="C542" s="2">
        <f>RSI!I542</f>
        <v>36.050640329153687</v>
      </c>
      <c r="D542" s="2">
        <f>MACD!E542</f>
        <v>3.0724644005248436E-2</v>
      </c>
      <c r="E542" s="2">
        <f>MACD!F542</f>
        <v>9.131356214039054E-3</v>
      </c>
      <c r="F542" s="2">
        <f>'Moving Avg'!D542</f>
        <v>5.6884000000000006</v>
      </c>
      <c r="G542" s="2">
        <f>'Moving Avg'!F542</f>
        <v>5.740499999999999</v>
      </c>
      <c r="H542" s="2">
        <f>'Moving Avg'!G542</f>
        <v>5.7817200000000017</v>
      </c>
      <c r="I542" s="2">
        <f>'Moving Avg'!H542</f>
        <v>5.6318200000000003</v>
      </c>
      <c r="J542" s="5" t="str">
        <f>OBV!F542</f>
        <v>BEARISH</v>
      </c>
      <c r="K542" s="5" t="str">
        <f>OBV!G542</f>
        <v>STRONG</v>
      </c>
      <c r="L542" s="5" t="str">
        <f>OBV!H542</f>
        <v>CONFIRMED BEARISH</v>
      </c>
      <c r="M542" s="7">
        <f t="shared" si="83"/>
        <v>50</v>
      </c>
      <c r="N542" s="7">
        <f t="shared" si="80"/>
        <v>0</v>
      </c>
      <c r="O542" s="7">
        <f t="shared" si="81"/>
        <v>50</v>
      </c>
      <c r="P542" s="7">
        <f t="shared" si="82"/>
        <v>33</v>
      </c>
      <c r="Q542" s="8">
        <f t="shared" si="84"/>
        <v>29.95</v>
      </c>
      <c r="R542" s="8">
        <f t="shared" si="85"/>
        <v>35.75</v>
      </c>
      <c r="S542" s="8">
        <f t="shared" si="86"/>
        <v>34.85</v>
      </c>
      <c r="T542" s="8">
        <f t="shared" si="87"/>
        <v>33.25</v>
      </c>
      <c r="U542" s="7">
        <f t="shared" si="88"/>
        <v>33.516666666666673</v>
      </c>
      <c r="V542" s="7">
        <f t="shared" si="89"/>
        <v>33.450000000000003</v>
      </c>
    </row>
    <row r="543" spans="1:22" ht="13.5" x14ac:dyDescent="0.25">
      <c r="A543" s="3">
        <f>RSI!A543</f>
        <v>45707</v>
      </c>
      <c r="B543" s="2">
        <f>RSI!B543</f>
        <v>5.681</v>
      </c>
      <c r="C543" s="2">
        <f>RSI!I543</f>
        <v>36.050640329153687</v>
      </c>
      <c r="D543" s="2">
        <f>MACD!E543</f>
        <v>4.1275030383509659E-2</v>
      </c>
      <c r="E543" s="2">
        <f>MACD!F543</f>
        <v>1.5560091047933176E-2</v>
      </c>
      <c r="F543" s="2">
        <f>'Moving Avg'!D543</f>
        <v>5.681</v>
      </c>
      <c r="G543" s="2">
        <f>'Moving Avg'!F543</f>
        <v>5.7367499999999989</v>
      </c>
      <c r="H543" s="2">
        <f>'Moving Avg'!G543</f>
        <v>5.7770200000000012</v>
      </c>
      <c r="I543" s="2">
        <f>'Moving Avg'!H543</f>
        <v>5.6336599999999999</v>
      </c>
      <c r="J543" s="5" t="str">
        <f>OBV!F543</f>
        <v>BEARISH</v>
      </c>
      <c r="K543" s="5" t="str">
        <f>OBV!G543</f>
        <v>STRONG</v>
      </c>
      <c r="L543" s="5" t="str">
        <f>OBV!H543</f>
        <v>CONFIRMED BEARISH</v>
      </c>
      <c r="M543" s="7">
        <f t="shared" si="83"/>
        <v>50</v>
      </c>
      <c r="N543" s="7">
        <f t="shared" si="80"/>
        <v>0</v>
      </c>
      <c r="O543" s="7">
        <f t="shared" si="81"/>
        <v>50</v>
      </c>
      <c r="P543" s="7">
        <f t="shared" si="82"/>
        <v>33</v>
      </c>
      <c r="Q543" s="8">
        <f t="shared" si="84"/>
        <v>29.95</v>
      </c>
      <c r="R543" s="8">
        <f t="shared" si="85"/>
        <v>35.75</v>
      </c>
      <c r="S543" s="8">
        <f t="shared" si="86"/>
        <v>34.85</v>
      </c>
      <c r="T543" s="8">
        <f t="shared" si="87"/>
        <v>33.25</v>
      </c>
      <c r="U543" s="7">
        <f t="shared" si="88"/>
        <v>33.516666666666673</v>
      </c>
      <c r="V543" s="7">
        <f t="shared" si="89"/>
        <v>33.450000000000003</v>
      </c>
    </row>
    <row r="544" spans="1:22" ht="13.5" x14ac:dyDescent="0.25">
      <c r="A544" s="3">
        <f>RSI!A544</f>
        <v>45708</v>
      </c>
      <c r="B544" s="2">
        <f>RSI!B544</f>
        <v>5.6719999999999997</v>
      </c>
      <c r="C544" s="2">
        <f>RSI!I544</f>
        <v>34.552261668196053</v>
      </c>
      <c r="D544" s="2">
        <f>MACD!E544</f>
        <v>5.1230176060112598E-2</v>
      </c>
      <c r="E544" s="2">
        <f>MACD!F544</f>
        <v>2.2694108050369061E-2</v>
      </c>
      <c r="F544" s="2">
        <f>'Moving Avg'!D544</f>
        <v>5.6791999999999998</v>
      </c>
      <c r="G544" s="2">
        <f>'Moving Avg'!F544</f>
        <v>5.7339499999999992</v>
      </c>
      <c r="H544" s="2">
        <f>'Moving Avg'!G544</f>
        <v>5.7723400000000016</v>
      </c>
      <c r="I544" s="2">
        <f>'Moving Avg'!H544</f>
        <v>5.6354549999999994</v>
      </c>
      <c r="J544" s="5" t="str">
        <f>OBV!F544</f>
        <v>BEARISH</v>
      </c>
      <c r="K544" s="5" t="str">
        <f>OBV!G544</f>
        <v>STRONG</v>
      </c>
      <c r="L544" s="5" t="str">
        <f>OBV!H544</f>
        <v>CONFIRMED BEARISH</v>
      </c>
      <c r="M544" s="7">
        <f t="shared" si="83"/>
        <v>50</v>
      </c>
      <c r="N544" s="7">
        <f t="shared" si="80"/>
        <v>0</v>
      </c>
      <c r="O544" s="7">
        <f t="shared" si="81"/>
        <v>50</v>
      </c>
      <c r="P544" s="7">
        <f t="shared" si="82"/>
        <v>33</v>
      </c>
      <c r="Q544" s="8">
        <f t="shared" si="84"/>
        <v>29.95</v>
      </c>
      <c r="R544" s="8">
        <f t="shared" si="85"/>
        <v>35.75</v>
      </c>
      <c r="S544" s="8">
        <f t="shared" si="86"/>
        <v>34.85</v>
      </c>
      <c r="T544" s="8">
        <f t="shared" si="87"/>
        <v>33.25</v>
      </c>
      <c r="U544" s="7">
        <f t="shared" si="88"/>
        <v>33.516666666666673</v>
      </c>
      <c r="V544" s="7">
        <f t="shared" si="89"/>
        <v>33.450000000000003</v>
      </c>
    </row>
    <row r="545" spans="1:22" ht="13.5" x14ac:dyDescent="0.25">
      <c r="A545" s="3">
        <f>RSI!A545</f>
        <v>45709</v>
      </c>
      <c r="B545" s="2">
        <f>RSI!B545</f>
        <v>5.6340000000000003</v>
      </c>
      <c r="C545" s="2">
        <f>RSI!I545</f>
        <v>29.060225943582182</v>
      </c>
      <c r="D545" s="2">
        <f>MACD!E545</f>
        <v>5.2856228358760582E-2</v>
      </c>
      <c r="E545" s="2">
        <f>MACD!F545</f>
        <v>2.8726532112047364E-2</v>
      </c>
      <c r="F545" s="2">
        <f>'Moving Avg'!D545</f>
        <v>5.6698000000000004</v>
      </c>
      <c r="G545" s="2">
        <f>'Moving Avg'!F545</f>
        <v>5.7292499999999986</v>
      </c>
      <c r="H545" s="2">
        <f>'Moving Avg'!G545</f>
        <v>5.7669000000000015</v>
      </c>
      <c r="I545" s="2">
        <f>'Moving Avg'!H545</f>
        <v>5.6370599999999991</v>
      </c>
      <c r="J545" s="5" t="str">
        <f>OBV!F545</f>
        <v>BEARISH</v>
      </c>
      <c r="K545" s="5" t="str">
        <f>OBV!G545</f>
        <v>STRONG</v>
      </c>
      <c r="L545" s="5" t="str">
        <f>OBV!H545</f>
        <v>CONFIRMED BEARISH</v>
      </c>
      <c r="M545" s="7">
        <f t="shared" si="83"/>
        <v>100</v>
      </c>
      <c r="N545" s="7">
        <f t="shared" si="80"/>
        <v>0</v>
      </c>
      <c r="O545" s="7">
        <f t="shared" si="81"/>
        <v>50</v>
      </c>
      <c r="P545" s="7">
        <f t="shared" si="82"/>
        <v>33</v>
      </c>
      <c r="Q545" s="8">
        <f t="shared" si="84"/>
        <v>47.45</v>
      </c>
      <c r="R545" s="8">
        <f t="shared" si="85"/>
        <v>45.75</v>
      </c>
      <c r="S545" s="8">
        <f t="shared" si="86"/>
        <v>42.35</v>
      </c>
      <c r="T545" s="8">
        <f t="shared" si="87"/>
        <v>45.75</v>
      </c>
      <c r="U545" s="7">
        <f t="shared" si="88"/>
        <v>45.183333333333337</v>
      </c>
      <c r="V545" s="7">
        <f t="shared" si="89"/>
        <v>45.325000000000003</v>
      </c>
    </row>
    <row r="546" spans="1:22" ht="13.5" x14ac:dyDescent="0.25">
      <c r="A546" s="3">
        <f>RSI!A546</f>
        <v>45712</v>
      </c>
      <c r="B546" s="2">
        <f>RSI!B546</f>
        <v>5.625</v>
      </c>
      <c r="C546" s="2">
        <f>RSI!I546</f>
        <v>27.92798195152065</v>
      </c>
      <c r="D546" s="2">
        <f>MACD!E546</f>
        <v>4.532842057725972E-2</v>
      </c>
      <c r="E546" s="2">
        <f>MACD!F546</f>
        <v>3.204690980508984E-2</v>
      </c>
      <c r="F546" s="2">
        <f>'Moving Avg'!D546</f>
        <v>5.6585999999999999</v>
      </c>
      <c r="G546" s="2">
        <f>'Moving Avg'!F546</f>
        <v>5.7226999999999988</v>
      </c>
      <c r="H546" s="2">
        <f>'Moving Avg'!G546</f>
        <v>5.7607200000000027</v>
      </c>
      <c r="I546" s="2">
        <f>'Moving Avg'!H546</f>
        <v>5.6386199999999986</v>
      </c>
      <c r="J546" s="5" t="str">
        <f>OBV!F546</f>
        <v>BEARISH</v>
      </c>
      <c r="K546" s="5" t="str">
        <f>OBV!G546</f>
        <v>STRONG</v>
      </c>
      <c r="L546" s="5" t="str">
        <f>OBV!H546</f>
        <v>CONFIRMED BEARISH</v>
      </c>
      <c r="M546" s="7">
        <f t="shared" si="83"/>
        <v>100</v>
      </c>
      <c r="N546" s="7">
        <f t="shared" si="80"/>
        <v>0</v>
      </c>
      <c r="O546" s="7">
        <f t="shared" si="81"/>
        <v>50</v>
      </c>
      <c r="P546" s="7">
        <f t="shared" si="82"/>
        <v>33</v>
      </c>
      <c r="Q546" s="8">
        <f t="shared" si="84"/>
        <v>47.45</v>
      </c>
      <c r="R546" s="8">
        <f t="shared" si="85"/>
        <v>45.75</v>
      </c>
      <c r="S546" s="8">
        <f t="shared" si="86"/>
        <v>42.35</v>
      </c>
      <c r="T546" s="8">
        <f t="shared" si="87"/>
        <v>45.75</v>
      </c>
      <c r="U546" s="7">
        <f t="shared" si="88"/>
        <v>45.183333333333337</v>
      </c>
      <c r="V546" s="7">
        <f t="shared" si="89"/>
        <v>45.325000000000003</v>
      </c>
    </row>
    <row r="547" spans="1:22" ht="13.5" x14ac:dyDescent="0.25">
      <c r="A547" s="3">
        <f>RSI!A547</f>
        <v>45713</v>
      </c>
      <c r="B547" s="2">
        <f>RSI!B547</f>
        <v>5.6340000000000003</v>
      </c>
      <c r="C547" s="2">
        <f>RSI!I547</f>
        <v>30.830278265035915</v>
      </c>
      <c r="D547" s="2">
        <f>MACD!E547</f>
        <v>4.4577819944148445E-2</v>
      </c>
      <c r="E547" s="2">
        <f>MACD!F547</f>
        <v>3.4553091832901561E-2</v>
      </c>
      <c r="F547" s="2">
        <f>'Moving Avg'!D547</f>
        <v>5.6492000000000004</v>
      </c>
      <c r="G547" s="2">
        <f>'Moving Avg'!F547</f>
        <v>5.7165999999999988</v>
      </c>
      <c r="H547" s="2">
        <f>'Moving Avg'!G547</f>
        <v>5.7554600000000029</v>
      </c>
      <c r="I547" s="2">
        <f>'Moving Avg'!H547</f>
        <v>5.6402249999999983</v>
      </c>
      <c r="J547" s="5" t="str">
        <f>OBV!F547</f>
        <v>BEARISH</v>
      </c>
      <c r="K547" s="5" t="str">
        <f>OBV!G547</f>
        <v>STRONG</v>
      </c>
      <c r="L547" s="5" t="str">
        <f>OBV!H547</f>
        <v>CONFIRMED BEARISH</v>
      </c>
      <c r="M547" s="7">
        <f t="shared" si="83"/>
        <v>50</v>
      </c>
      <c r="N547" s="7">
        <f t="shared" si="80"/>
        <v>0</v>
      </c>
      <c r="O547" s="7">
        <f t="shared" si="81"/>
        <v>50</v>
      </c>
      <c r="P547" s="7">
        <f t="shared" si="82"/>
        <v>33</v>
      </c>
      <c r="Q547" s="8">
        <f t="shared" si="84"/>
        <v>29.95</v>
      </c>
      <c r="R547" s="8">
        <f t="shared" si="85"/>
        <v>35.75</v>
      </c>
      <c r="S547" s="8">
        <f t="shared" si="86"/>
        <v>34.85</v>
      </c>
      <c r="T547" s="8">
        <f t="shared" si="87"/>
        <v>33.25</v>
      </c>
      <c r="U547" s="7">
        <f t="shared" si="88"/>
        <v>33.516666666666673</v>
      </c>
      <c r="V547" s="7">
        <f t="shared" si="89"/>
        <v>33.450000000000003</v>
      </c>
    </row>
    <row r="548" spans="1:22" ht="13.5" x14ac:dyDescent="0.25">
      <c r="A548" s="3">
        <f>RSI!A548</f>
        <v>45714</v>
      </c>
      <c r="B548" s="2">
        <f>RSI!B548</f>
        <v>5.6340000000000003</v>
      </c>
      <c r="C548" s="2">
        <f>RSI!I548</f>
        <v>30.830278265035901</v>
      </c>
      <c r="D548" s="2">
        <f>MACD!E548</f>
        <v>4.4438998138216945E-2</v>
      </c>
      <c r="E548" s="2">
        <f>MACD!F548</f>
        <v>3.6530273093964637E-2</v>
      </c>
      <c r="F548" s="2">
        <f>'Moving Avg'!D548</f>
        <v>5.6398000000000001</v>
      </c>
      <c r="G548" s="2">
        <f>'Moving Avg'!F548</f>
        <v>5.7104999999999997</v>
      </c>
      <c r="H548" s="2">
        <f>'Moving Avg'!G548</f>
        <v>5.7504000000000044</v>
      </c>
      <c r="I548" s="2">
        <f>'Moving Avg'!H548</f>
        <v>5.6424049999999975</v>
      </c>
      <c r="J548" s="5" t="str">
        <f>OBV!F548</f>
        <v>BEARISH</v>
      </c>
      <c r="K548" s="5" t="str">
        <f>OBV!G548</f>
        <v>STRONG</v>
      </c>
      <c r="L548" s="5" t="str">
        <f>OBV!H548</f>
        <v>CONFIRMED BEARISH</v>
      </c>
      <c r="M548" s="7">
        <f t="shared" si="83"/>
        <v>50</v>
      </c>
      <c r="N548" s="7">
        <f t="shared" si="80"/>
        <v>0</v>
      </c>
      <c r="O548" s="7">
        <f t="shared" si="81"/>
        <v>0</v>
      </c>
      <c r="P548" s="7">
        <f t="shared" si="82"/>
        <v>33</v>
      </c>
      <c r="Q548" s="8">
        <f t="shared" si="84"/>
        <v>22.45</v>
      </c>
      <c r="R548" s="8">
        <f t="shared" si="85"/>
        <v>18.25</v>
      </c>
      <c r="S548" s="8">
        <f t="shared" si="86"/>
        <v>22.35</v>
      </c>
      <c r="T548" s="8">
        <f t="shared" si="87"/>
        <v>20.75</v>
      </c>
      <c r="U548" s="7">
        <f t="shared" si="88"/>
        <v>21.016666666666669</v>
      </c>
      <c r="V548" s="7">
        <f t="shared" si="89"/>
        <v>20.950000000000003</v>
      </c>
    </row>
    <row r="549" spans="1:22" ht="13.5" x14ac:dyDescent="0.25">
      <c r="A549" s="3">
        <f>RSI!A549</f>
        <v>45715</v>
      </c>
      <c r="B549" s="2">
        <f>RSI!B549</f>
        <v>5.5309999999999997</v>
      </c>
      <c r="C549" s="2">
        <f>RSI!I549</f>
        <v>20.091554205911621</v>
      </c>
      <c r="D549" s="2">
        <f>MACD!E549</f>
        <v>4.6718394180429001E-2</v>
      </c>
      <c r="E549" s="2">
        <f>MACD!F549</f>
        <v>3.856789731125751E-2</v>
      </c>
      <c r="F549" s="2">
        <f>'Moving Avg'!D549</f>
        <v>5.6116000000000001</v>
      </c>
      <c r="G549" s="2">
        <f>'Moving Avg'!F549</f>
        <v>5.6997</v>
      </c>
      <c r="H549" s="2">
        <f>'Moving Avg'!G549</f>
        <v>5.7451400000000046</v>
      </c>
      <c r="I549" s="2">
        <f>'Moving Avg'!H549</f>
        <v>5.6445599999999976</v>
      </c>
      <c r="J549" s="5" t="str">
        <f>OBV!F549</f>
        <v>BEARISH</v>
      </c>
      <c r="K549" s="5" t="str">
        <f>OBV!G549</f>
        <v>STRONG</v>
      </c>
      <c r="L549" s="5" t="str">
        <f>OBV!H549</f>
        <v>CONFIRMED BEARISH</v>
      </c>
      <c r="M549" s="7">
        <f t="shared" si="83"/>
        <v>100</v>
      </c>
      <c r="N549" s="7">
        <f t="shared" si="80"/>
        <v>0</v>
      </c>
      <c r="O549" s="7">
        <f t="shared" si="81"/>
        <v>0</v>
      </c>
      <c r="P549" s="7">
        <f t="shared" si="82"/>
        <v>33</v>
      </c>
      <c r="Q549" s="8">
        <f t="shared" si="84"/>
        <v>39.950000000000003</v>
      </c>
      <c r="R549" s="8">
        <f t="shared" si="85"/>
        <v>28.25</v>
      </c>
      <c r="S549" s="8">
        <f t="shared" si="86"/>
        <v>29.85</v>
      </c>
      <c r="T549" s="8">
        <f t="shared" si="87"/>
        <v>33.25</v>
      </c>
      <c r="U549" s="7">
        <f t="shared" si="88"/>
        <v>32.683333333333337</v>
      </c>
      <c r="V549" s="7">
        <f t="shared" si="89"/>
        <v>32.825000000000003</v>
      </c>
    </row>
    <row r="550" spans="1:22" ht="13.5" x14ac:dyDescent="0.25">
      <c r="A550" s="3">
        <f>RSI!A550</f>
        <v>45716</v>
      </c>
      <c r="B550" s="2">
        <f>RSI!B550</f>
        <v>5.5309999999999997</v>
      </c>
      <c r="C550" s="2">
        <f>RSI!I550</f>
        <v>20.091554205911621</v>
      </c>
      <c r="D550" s="2">
        <f>MACD!E550</f>
        <v>4.9681244137370406E-2</v>
      </c>
      <c r="E550" s="2">
        <f>MACD!F550</f>
        <v>4.0790566676480094E-2</v>
      </c>
      <c r="F550" s="2">
        <f>'Moving Avg'!D550</f>
        <v>5.5909999999999993</v>
      </c>
      <c r="G550" s="2">
        <f>'Moving Avg'!F550</f>
        <v>5.6889000000000003</v>
      </c>
      <c r="H550" s="2">
        <f>'Moving Avg'!G550</f>
        <v>5.7395200000000033</v>
      </c>
      <c r="I550" s="2">
        <f>'Moving Avg'!H550</f>
        <v>5.645604999999998</v>
      </c>
      <c r="J550" s="5" t="str">
        <f>OBV!F550</f>
        <v>BEARISH</v>
      </c>
      <c r="K550" s="5" t="str">
        <f>OBV!G550</f>
        <v>NEUTRAL</v>
      </c>
      <c r="L550" s="5" t="str">
        <f>OBV!H550</f>
        <v>CONFIRMED BEARISH</v>
      </c>
      <c r="M550" s="7">
        <f t="shared" si="83"/>
        <v>100</v>
      </c>
      <c r="N550" s="7">
        <f t="shared" si="80"/>
        <v>0</v>
      </c>
      <c r="O550" s="7">
        <f t="shared" si="81"/>
        <v>0</v>
      </c>
      <c r="P550" s="7">
        <f t="shared" si="82"/>
        <v>16.5</v>
      </c>
      <c r="Q550" s="8">
        <f t="shared" si="84"/>
        <v>37.475000000000001</v>
      </c>
      <c r="R550" s="8">
        <f t="shared" si="85"/>
        <v>24.125</v>
      </c>
      <c r="S550" s="8">
        <f t="shared" si="86"/>
        <v>22.425000000000001</v>
      </c>
      <c r="T550" s="8">
        <f t="shared" si="87"/>
        <v>29.125</v>
      </c>
      <c r="U550" s="7">
        <f t="shared" si="88"/>
        <v>28.008333333333336</v>
      </c>
      <c r="V550" s="7">
        <f t="shared" si="89"/>
        <v>28.287500000000001</v>
      </c>
    </row>
    <row r="551" spans="1:22" ht="13.5" x14ac:dyDescent="0.25">
      <c r="A551" s="3">
        <f>RSI!A551</f>
        <v>45719</v>
      </c>
      <c r="B551" s="2">
        <f>RSI!B551</f>
        <v>5.4459999999999997</v>
      </c>
      <c r="C551" s="2">
        <f>RSI!I551</f>
        <v>15.068253089723399</v>
      </c>
      <c r="D551" s="2">
        <f>MACD!E551</f>
        <v>5.944209531004585E-2</v>
      </c>
      <c r="E551" s="2">
        <f>MACD!F551</f>
        <v>4.4520872403193253E-2</v>
      </c>
      <c r="F551" s="2">
        <f>'Moving Avg'!D551</f>
        <v>5.5551999999999992</v>
      </c>
      <c r="G551" s="2">
        <f>'Moving Avg'!F551</f>
        <v>5.6705999999999994</v>
      </c>
      <c r="H551" s="2">
        <f>'Moving Avg'!G551</f>
        <v>5.7322000000000033</v>
      </c>
      <c r="I551" s="2">
        <f>'Moving Avg'!H551</f>
        <v>5.6460899999999983</v>
      </c>
      <c r="J551" s="5" t="str">
        <f>OBV!F551</f>
        <v>BEARISH</v>
      </c>
      <c r="K551" s="5" t="str">
        <f>OBV!G551</f>
        <v>NEUTRAL</v>
      </c>
      <c r="L551" s="5" t="str">
        <f>OBV!H551</f>
        <v>CONFIRMED BEARISH</v>
      </c>
      <c r="M551" s="7">
        <f t="shared" si="83"/>
        <v>100</v>
      </c>
      <c r="N551" s="7">
        <f t="shared" si="80"/>
        <v>0</v>
      </c>
      <c r="O551" s="7">
        <f t="shared" si="81"/>
        <v>0</v>
      </c>
      <c r="P551" s="7">
        <f t="shared" si="82"/>
        <v>16.5</v>
      </c>
      <c r="Q551" s="8">
        <f t="shared" si="84"/>
        <v>37.475000000000001</v>
      </c>
      <c r="R551" s="8">
        <f t="shared" si="85"/>
        <v>24.125</v>
      </c>
      <c r="S551" s="8">
        <f t="shared" si="86"/>
        <v>22.425000000000001</v>
      </c>
      <c r="T551" s="8">
        <f t="shared" si="87"/>
        <v>29.125</v>
      </c>
      <c r="U551" s="7">
        <f t="shared" si="88"/>
        <v>28.008333333333336</v>
      </c>
      <c r="V551" s="7">
        <f t="shared" si="89"/>
        <v>28.287500000000001</v>
      </c>
    </row>
    <row r="552" spans="1:22" ht="13.5" x14ac:dyDescent="0.25">
      <c r="A552" s="3">
        <f>RSI!A552</f>
        <v>45720</v>
      </c>
      <c r="B552" s="2">
        <f>RSI!B552</f>
        <v>5.4459999999999997</v>
      </c>
      <c r="C552" s="2">
        <f>RSI!I552</f>
        <v>15.068253089723399</v>
      </c>
      <c r="D552" s="2">
        <f>MACD!E552</f>
        <v>6.9090145712456419E-2</v>
      </c>
      <c r="E552" s="2">
        <f>MACD!F552</f>
        <v>4.943472706504589E-2</v>
      </c>
      <c r="F552" s="2">
        <f>'Moving Avg'!D552</f>
        <v>5.5175999999999989</v>
      </c>
      <c r="G552" s="2">
        <f>'Moving Avg'!F552</f>
        <v>5.6522999999999994</v>
      </c>
      <c r="H552" s="2">
        <f>'Moving Avg'!G552</f>
        <v>5.7248800000000042</v>
      </c>
      <c r="I552" s="2">
        <f>'Moving Avg'!H552</f>
        <v>5.6466199999999978</v>
      </c>
      <c r="J552" s="5" t="str">
        <f>OBV!F552</f>
        <v>BEARISH</v>
      </c>
      <c r="K552" s="5" t="str">
        <f>OBV!G552</f>
        <v>STRONG</v>
      </c>
      <c r="L552" s="5" t="str">
        <f>OBV!H552</f>
        <v>CONFIRMED BEARISH</v>
      </c>
      <c r="M552" s="7">
        <f t="shared" si="83"/>
        <v>100</v>
      </c>
      <c r="N552" s="7">
        <f t="shared" si="80"/>
        <v>0</v>
      </c>
      <c r="O552" s="7">
        <f t="shared" si="81"/>
        <v>0</v>
      </c>
      <c r="P552" s="7">
        <f t="shared" si="82"/>
        <v>33</v>
      </c>
      <c r="Q552" s="8">
        <f t="shared" si="84"/>
        <v>39.950000000000003</v>
      </c>
      <c r="R552" s="8">
        <f t="shared" si="85"/>
        <v>28.25</v>
      </c>
      <c r="S552" s="8">
        <f t="shared" si="86"/>
        <v>29.85</v>
      </c>
      <c r="T552" s="8">
        <f t="shared" si="87"/>
        <v>33.25</v>
      </c>
      <c r="U552" s="7">
        <f t="shared" si="88"/>
        <v>32.683333333333337</v>
      </c>
      <c r="V552" s="7">
        <f t="shared" si="89"/>
        <v>32.825000000000003</v>
      </c>
    </row>
    <row r="553" spans="1:22" ht="13.5" x14ac:dyDescent="0.25">
      <c r="A553" s="3">
        <f>RSI!A553</f>
        <v>45721</v>
      </c>
      <c r="B553" s="2">
        <f>RSI!B553</f>
        <v>5.5869999999999997</v>
      </c>
      <c r="C553" s="2">
        <f>RSI!I553</f>
        <v>42.65243957247413</v>
      </c>
      <c r="D553" s="2">
        <f>MACD!E553</f>
        <v>6.8095425706225399E-2</v>
      </c>
      <c r="E553" s="2">
        <f>MACD!F553</f>
        <v>5.3166866793281795E-2</v>
      </c>
      <c r="F553" s="2">
        <f>'Moving Avg'!D553</f>
        <v>5.5082000000000004</v>
      </c>
      <c r="G553" s="2">
        <f>'Moving Avg'!F553</f>
        <v>5.6410499999999999</v>
      </c>
      <c r="H553" s="2">
        <f>'Moving Avg'!G553</f>
        <v>5.7209400000000041</v>
      </c>
      <c r="I553" s="2">
        <f>'Moving Avg'!H553</f>
        <v>5.6478549999999981</v>
      </c>
      <c r="J553" s="5" t="str">
        <f>OBV!F553</f>
        <v>BEARISH</v>
      </c>
      <c r="K553" s="5" t="str">
        <f>OBV!G553</f>
        <v>NEUTRAL</v>
      </c>
      <c r="L553" s="5" t="str">
        <f>OBV!H553</f>
        <v>CONFIRMED BEARISH</v>
      </c>
      <c r="M553" s="7">
        <f t="shared" si="83"/>
        <v>50</v>
      </c>
      <c r="N553" s="7">
        <f t="shared" si="80"/>
        <v>0</v>
      </c>
      <c r="O553" s="7">
        <f t="shared" si="81"/>
        <v>0</v>
      </c>
      <c r="P553" s="7">
        <f t="shared" si="82"/>
        <v>16.5</v>
      </c>
      <c r="Q553" s="8">
        <f t="shared" si="84"/>
        <v>19.975000000000001</v>
      </c>
      <c r="R553" s="8">
        <f t="shared" si="85"/>
        <v>14.125</v>
      </c>
      <c r="S553" s="8">
        <f t="shared" si="86"/>
        <v>14.925000000000001</v>
      </c>
      <c r="T553" s="8">
        <f t="shared" si="87"/>
        <v>16.625</v>
      </c>
      <c r="U553" s="7">
        <f t="shared" si="88"/>
        <v>16.341666666666669</v>
      </c>
      <c r="V553" s="7">
        <f t="shared" si="89"/>
        <v>16.412500000000001</v>
      </c>
    </row>
    <row r="554" spans="1:22" ht="13.5" x14ac:dyDescent="0.25">
      <c r="A554" s="3">
        <f>RSI!A554</f>
        <v>45722</v>
      </c>
      <c r="B554" s="2">
        <f>RSI!B554</f>
        <v>5.5960000000000001</v>
      </c>
      <c r="C554" s="2">
        <f>RSI!I554</f>
        <v>43.904784678162621</v>
      </c>
      <c r="D554" s="2">
        <f>MACD!E554</f>
        <v>6.5560013442583553E-2</v>
      </c>
      <c r="E554" s="2">
        <f>MACD!F554</f>
        <v>5.5645496123142152E-2</v>
      </c>
      <c r="F554" s="2">
        <f>'Moving Avg'!D554</f>
        <v>5.5212000000000003</v>
      </c>
      <c r="G554" s="2">
        <f>'Moving Avg'!F554</f>
        <v>5.6302500000000002</v>
      </c>
      <c r="H554" s="2">
        <f>'Moving Avg'!G554</f>
        <v>5.7169800000000031</v>
      </c>
      <c r="I554" s="2">
        <f>'Moving Avg'!H554</f>
        <v>5.6492249999999977</v>
      </c>
      <c r="J554" s="5" t="str">
        <f>OBV!F554</f>
        <v>BULLISH</v>
      </c>
      <c r="K554" s="5" t="str">
        <f>OBV!G554</f>
        <v>NEUTRAL</v>
      </c>
      <c r="L554" s="5" t="str">
        <f>OBV!H554</f>
        <v>CONFIRMED BULLISH</v>
      </c>
      <c r="M554" s="7">
        <f t="shared" si="83"/>
        <v>50</v>
      </c>
      <c r="N554" s="7">
        <f t="shared" si="80"/>
        <v>0</v>
      </c>
      <c r="O554" s="7">
        <f t="shared" si="81"/>
        <v>0</v>
      </c>
      <c r="P554" s="7">
        <f t="shared" si="82"/>
        <v>83.5</v>
      </c>
      <c r="Q554" s="8">
        <f t="shared" si="84"/>
        <v>30.024999999999999</v>
      </c>
      <c r="R554" s="8">
        <f t="shared" si="85"/>
        <v>30.875</v>
      </c>
      <c r="S554" s="8">
        <f t="shared" si="86"/>
        <v>45.075000000000003</v>
      </c>
      <c r="T554" s="8">
        <f t="shared" si="87"/>
        <v>33.375</v>
      </c>
      <c r="U554" s="7">
        <f t="shared" si="88"/>
        <v>35.324999999999996</v>
      </c>
      <c r="V554" s="7">
        <f t="shared" si="89"/>
        <v>34.837499999999999</v>
      </c>
    </row>
    <row r="555" spans="1:22" ht="13.5" x14ac:dyDescent="0.25">
      <c r="A555" s="3">
        <f>RSI!A555</f>
        <v>45723</v>
      </c>
      <c r="B555" s="2">
        <f>RSI!B555</f>
        <v>5.5869999999999997</v>
      </c>
      <c r="C555" s="2">
        <f>RSI!I555</f>
        <v>42.895972589792073</v>
      </c>
      <c r="D555" s="2">
        <f>MACD!E555</f>
        <v>5.851306635918796E-2</v>
      </c>
      <c r="E555" s="2">
        <f>MACD!F555</f>
        <v>5.6219010170351316E-2</v>
      </c>
      <c r="F555" s="2">
        <f>'Moving Avg'!D555</f>
        <v>5.5324</v>
      </c>
      <c r="G555" s="2">
        <f>'Moving Avg'!F555</f>
        <v>5.6222500000000002</v>
      </c>
      <c r="H555" s="2">
        <f>'Moving Avg'!G555</f>
        <v>5.713040000000003</v>
      </c>
      <c r="I555" s="2">
        <f>'Moving Avg'!H555</f>
        <v>5.6505499999999982</v>
      </c>
      <c r="J555" s="5" t="str">
        <f>OBV!F555</f>
        <v>BEARISH</v>
      </c>
      <c r="K555" s="5" t="str">
        <f>OBV!G555</f>
        <v>NEUTRAL</v>
      </c>
      <c r="L555" s="5" t="str">
        <f>OBV!H555</f>
        <v>BEARISH DIVERGENCE</v>
      </c>
      <c r="M555" s="7">
        <f t="shared" si="83"/>
        <v>50</v>
      </c>
      <c r="N555" s="7">
        <f t="shared" si="80"/>
        <v>0</v>
      </c>
      <c r="O555" s="7">
        <f t="shared" si="81"/>
        <v>0</v>
      </c>
      <c r="P555" s="7">
        <f t="shared" si="82"/>
        <v>16.5</v>
      </c>
      <c r="Q555" s="8">
        <f t="shared" si="84"/>
        <v>19.975000000000001</v>
      </c>
      <c r="R555" s="8">
        <f t="shared" si="85"/>
        <v>14.125</v>
      </c>
      <c r="S555" s="8">
        <f t="shared" si="86"/>
        <v>14.925000000000001</v>
      </c>
      <c r="T555" s="8">
        <f t="shared" si="87"/>
        <v>16.625</v>
      </c>
      <c r="U555" s="7">
        <f t="shared" si="88"/>
        <v>16.341666666666669</v>
      </c>
      <c r="V555" s="7">
        <f t="shared" si="89"/>
        <v>16.412500000000001</v>
      </c>
    </row>
    <row r="556" spans="1:22" ht="13.5" x14ac:dyDescent="0.25">
      <c r="A556" s="3">
        <f>RSI!A556</f>
        <v>45726</v>
      </c>
      <c r="B556" s="2">
        <f>RSI!B556</f>
        <v>5.5869999999999997</v>
      </c>
      <c r="C556" s="2">
        <f>RSI!I556</f>
        <v>42.895972589792073</v>
      </c>
      <c r="D556" s="2">
        <f>MACD!E556</f>
        <v>5.1476135551864921E-2</v>
      </c>
      <c r="E556" s="2">
        <f>MACD!F556</f>
        <v>5.5270435246654044E-2</v>
      </c>
      <c r="F556" s="2">
        <f>'Moving Avg'!D556</f>
        <v>5.5605999999999991</v>
      </c>
      <c r="G556" s="2">
        <f>'Moving Avg'!F556</f>
        <v>5.6175500000000005</v>
      </c>
      <c r="H556" s="2">
        <f>'Moving Avg'!G556</f>
        <v>5.7092800000000032</v>
      </c>
      <c r="I556" s="2">
        <f>'Moving Avg'!H556</f>
        <v>5.6523199999999978</v>
      </c>
      <c r="J556" s="5" t="str">
        <f>OBV!F556</f>
        <v>BULLISH</v>
      </c>
      <c r="K556" s="5" t="str">
        <f>OBV!G556</f>
        <v>NEUTRAL</v>
      </c>
      <c r="L556" s="5" t="str">
        <f>OBV!H556</f>
        <v>CONFIRMED BULLISH</v>
      </c>
      <c r="M556" s="7">
        <f t="shared" si="83"/>
        <v>50</v>
      </c>
      <c r="N556" s="7">
        <f t="shared" si="80"/>
        <v>45</v>
      </c>
      <c r="O556" s="7">
        <f t="shared" si="81"/>
        <v>0</v>
      </c>
      <c r="P556" s="7">
        <f t="shared" si="82"/>
        <v>83.5</v>
      </c>
      <c r="Q556" s="8">
        <f t="shared" si="84"/>
        <v>45.774999999999999</v>
      </c>
      <c r="R556" s="8">
        <f t="shared" si="85"/>
        <v>39.875</v>
      </c>
      <c r="S556" s="8">
        <f t="shared" si="86"/>
        <v>51.825000000000003</v>
      </c>
      <c r="T556" s="8">
        <f t="shared" si="87"/>
        <v>44.625</v>
      </c>
      <c r="U556" s="7">
        <f t="shared" si="88"/>
        <v>45.82500000000001</v>
      </c>
      <c r="V556" s="7">
        <f t="shared" si="89"/>
        <v>45.525000000000006</v>
      </c>
    </row>
    <row r="557" spans="1:22" ht="13.5" x14ac:dyDescent="0.25">
      <c r="A557" s="3">
        <f>RSI!A557</f>
        <v>45727</v>
      </c>
      <c r="B557" s="2">
        <f>RSI!B557</f>
        <v>5.4930000000000003</v>
      </c>
      <c r="C557" s="2">
        <f>RSI!I557</f>
        <v>33.556374804282598</v>
      </c>
      <c r="D557" s="2">
        <f>MACD!E557</f>
        <v>5.4156874827586243E-2</v>
      </c>
      <c r="E557" s="2">
        <f>MACD!F557</f>
        <v>5.5047723162840484E-2</v>
      </c>
      <c r="F557" s="2">
        <f>'Moving Avg'!D557</f>
        <v>5.57</v>
      </c>
      <c r="G557" s="2">
        <f>'Moving Avg'!F557</f>
        <v>5.6063000000000009</v>
      </c>
      <c r="H557" s="2">
        <f>'Moving Avg'!G557</f>
        <v>5.7036400000000018</v>
      </c>
      <c r="I557" s="2">
        <f>'Moving Avg'!H557</f>
        <v>5.6536199999999974</v>
      </c>
      <c r="J557" s="5" t="str">
        <f>OBV!F557</f>
        <v>BEARISH</v>
      </c>
      <c r="K557" s="5" t="str">
        <f>OBV!G557</f>
        <v>NEUTRAL</v>
      </c>
      <c r="L557" s="5" t="str">
        <f>OBV!H557</f>
        <v>BEARISH DIVERGENCE</v>
      </c>
      <c r="M557" s="7">
        <f t="shared" si="83"/>
        <v>50</v>
      </c>
      <c r="N557" s="7">
        <f t="shared" si="80"/>
        <v>45</v>
      </c>
      <c r="O557" s="7">
        <f t="shared" si="81"/>
        <v>0</v>
      </c>
      <c r="P557" s="7">
        <f t="shared" si="82"/>
        <v>16.5</v>
      </c>
      <c r="Q557" s="8">
        <f t="shared" si="84"/>
        <v>35.725000000000001</v>
      </c>
      <c r="R557" s="8">
        <f t="shared" si="85"/>
        <v>23.125</v>
      </c>
      <c r="S557" s="8">
        <f t="shared" si="86"/>
        <v>21.675000000000001</v>
      </c>
      <c r="T557" s="8">
        <f t="shared" si="87"/>
        <v>27.875</v>
      </c>
      <c r="U557" s="7">
        <f t="shared" si="88"/>
        <v>26.841666666666669</v>
      </c>
      <c r="V557" s="7">
        <f t="shared" si="89"/>
        <v>27.1</v>
      </c>
    </row>
    <row r="558" spans="1:22" ht="13.5" x14ac:dyDescent="0.25">
      <c r="A558" s="3">
        <f>RSI!A558</f>
        <v>45728</v>
      </c>
      <c r="B558" s="2">
        <f>RSI!B558</f>
        <v>5.4649999999999999</v>
      </c>
      <c r="C558" s="2">
        <f>RSI!I558</f>
        <v>31.365683089921021</v>
      </c>
      <c r="D558" s="2">
        <f>MACD!E558</f>
        <v>5.9320908450131604E-2</v>
      </c>
      <c r="E558" s="2">
        <f>MACD!F558</f>
        <v>5.5902360220298715E-2</v>
      </c>
      <c r="F558" s="2">
        <f>'Moving Avg'!D558</f>
        <v>5.5455999999999994</v>
      </c>
      <c r="G558" s="2">
        <f>'Moving Avg'!F558</f>
        <v>5.5936500000000002</v>
      </c>
      <c r="H558" s="2">
        <f>'Moving Avg'!G558</f>
        <v>5.6974400000000003</v>
      </c>
      <c r="I558" s="2">
        <f>'Moving Avg'!H558</f>
        <v>5.6547799999999961</v>
      </c>
      <c r="J558" s="5" t="str">
        <f>OBV!F558</f>
        <v>BEARISH</v>
      </c>
      <c r="K558" s="5" t="str">
        <f>OBV!G558</f>
        <v>STRONG</v>
      </c>
      <c r="L558" s="5" t="str">
        <f>OBV!H558</f>
        <v>CONFIRMED BEARISH</v>
      </c>
      <c r="M558" s="7">
        <f t="shared" si="83"/>
        <v>50</v>
      </c>
      <c r="N558" s="7">
        <f t="shared" si="80"/>
        <v>0</v>
      </c>
      <c r="O558" s="7">
        <f t="shared" si="81"/>
        <v>0</v>
      </c>
      <c r="P558" s="7">
        <f t="shared" si="82"/>
        <v>33</v>
      </c>
      <c r="Q558" s="8">
        <f t="shared" si="84"/>
        <v>22.45</v>
      </c>
      <c r="R558" s="8">
        <f t="shared" si="85"/>
        <v>18.25</v>
      </c>
      <c r="S558" s="8">
        <f t="shared" si="86"/>
        <v>22.35</v>
      </c>
      <c r="T558" s="8">
        <f t="shared" si="87"/>
        <v>20.75</v>
      </c>
      <c r="U558" s="7">
        <f t="shared" si="88"/>
        <v>21.016666666666669</v>
      </c>
      <c r="V558" s="7">
        <f t="shared" si="89"/>
        <v>20.950000000000003</v>
      </c>
    </row>
    <row r="559" spans="1:22" ht="13.5" x14ac:dyDescent="0.25">
      <c r="A559" s="3">
        <f>RSI!A559</f>
        <v>45729</v>
      </c>
      <c r="B559" s="2">
        <f>RSI!B559</f>
        <v>5.4180000000000001</v>
      </c>
      <c r="C559" s="2">
        <f>RSI!I559</f>
        <v>28.054840433197242</v>
      </c>
      <c r="D559" s="2">
        <f>MACD!E559</f>
        <v>5.2252035550983678E-2</v>
      </c>
      <c r="E559" s="2">
        <f>MACD!F559</f>
        <v>5.5172295286435712E-2</v>
      </c>
      <c r="F559" s="2">
        <f>'Moving Avg'!D559</f>
        <v>5.51</v>
      </c>
      <c r="G559" s="2">
        <f>'Moving Avg'!F559</f>
        <v>5.5805000000000007</v>
      </c>
      <c r="H559" s="2">
        <f>'Moving Avg'!G559</f>
        <v>5.6903000000000006</v>
      </c>
      <c r="I559" s="2">
        <f>'Moving Avg'!H559</f>
        <v>5.6565899999999951</v>
      </c>
      <c r="J559" s="5" t="str">
        <f>OBV!F559</f>
        <v>BEARISH</v>
      </c>
      <c r="K559" s="5" t="str">
        <f>OBV!G559</f>
        <v>STRONG</v>
      </c>
      <c r="L559" s="5" t="str">
        <f>OBV!H559</f>
        <v>CONFIRMED BEARISH</v>
      </c>
      <c r="M559" s="7">
        <f t="shared" si="83"/>
        <v>100</v>
      </c>
      <c r="N559" s="7">
        <f t="shared" si="80"/>
        <v>45</v>
      </c>
      <c r="O559" s="7">
        <f t="shared" si="81"/>
        <v>0</v>
      </c>
      <c r="P559" s="7">
        <f t="shared" si="82"/>
        <v>33</v>
      </c>
      <c r="Q559" s="8">
        <f t="shared" si="84"/>
        <v>55.7</v>
      </c>
      <c r="R559" s="8">
        <f t="shared" si="85"/>
        <v>37.25</v>
      </c>
      <c r="S559" s="8">
        <f t="shared" si="86"/>
        <v>36.6</v>
      </c>
      <c r="T559" s="8">
        <f t="shared" si="87"/>
        <v>44.5</v>
      </c>
      <c r="U559" s="7">
        <f t="shared" si="88"/>
        <v>43.183333333333337</v>
      </c>
      <c r="V559" s="7">
        <f t="shared" si="89"/>
        <v>43.512500000000003</v>
      </c>
    </row>
    <row r="560" spans="1:22" ht="13.5" x14ac:dyDescent="0.25">
      <c r="A560" s="3">
        <f>RSI!A560</f>
        <v>45730</v>
      </c>
      <c r="B560" s="2">
        <f>RSI!B560</f>
        <v>5.4180000000000001</v>
      </c>
      <c r="C560" s="2">
        <f>RSI!I560</f>
        <v>28.054840433197242</v>
      </c>
      <c r="D560" s="2">
        <f>MACD!E560</f>
        <v>4.7406029313178166E-2</v>
      </c>
      <c r="E560" s="2">
        <f>MACD!F560</f>
        <v>5.3619042091784211E-2</v>
      </c>
      <c r="F560" s="2">
        <f>'Moving Avg'!D560</f>
        <v>5.4762000000000004</v>
      </c>
      <c r="G560" s="2">
        <f>'Moving Avg'!F560</f>
        <v>5.5673500000000011</v>
      </c>
      <c r="H560" s="2">
        <f>'Moving Avg'!G560</f>
        <v>5.68316</v>
      </c>
      <c r="I560" s="2">
        <f>'Moving Avg'!H560</f>
        <v>5.657954999999995</v>
      </c>
      <c r="J560" s="5" t="str">
        <f>OBV!F560</f>
        <v>BEARISH</v>
      </c>
      <c r="K560" s="5" t="str">
        <f>OBV!G560</f>
        <v>STRONG</v>
      </c>
      <c r="L560" s="5" t="str">
        <f>OBV!H560</f>
        <v>CONFIRMED BEARISH</v>
      </c>
      <c r="M560" s="7">
        <f t="shared" si="83"/>
        <v>100</v>
      </c>
      <c r="N560" s="7">
        <f t="shared" si="80"/>
        <v>45</v>
      </c>
      <c r="O560" s="7">
        <f t="shared" si="81"/>
        <v>0</v>
      </c>
      <c r="P560" s="7">
        <f t="shared" si="82"/>
        <v>33</v>
      </c>
      <c r="Q560" s="8">
        <f t="shared" si="84"/>
        <v>55.7</v>
      </c>
      <c r="R560" s="8">
        <f t="shared" si="85"/>
        <v>37.25</v>
      </c>
      <c r="S560" s="8">
        <f t="shared" si="86"/>
        <v>36.6</v>
      </c>
      <c r="T560" s="8">
        <f t="shared" si="87"/>
        <v>44.5</v>
      </c>
      <c r="U560" s="7">
        <f t="shared" si="88"/>
        <v>43.183333333333337</v>
      </c>
      <c r="V560" s="7">
        <f t="shared" si="89"/>
        <v>43.512500000000003</v>
      </c>
    </row>
    <row r="561" spans="1:22" ht="13.5" x14ac:dyDescent="0.25">
      <c r="A561" s="3">
        <f>RSI!A561</f>
        <v>45733</v>
      </c>
      <c r="B561" s="2">
        <f>RSI!B561</f>
        <v>5.4180000000000001</v>
      </c>
      <c r="C561" s="2">
        <f>RSI!I561</f>
        <v>28.054840433197242</v>
      </c>
      <c r="D561" s="2">
        <f>MACD!E561</f>
        <v>3.1279887339819012E-2</v>
      </c>
      <c r="E561" s="2">
        <f>MACD!F561</f>
        <v>4.9151211141391177E-2</v>
      </c>
      <c r="F561" s="2">
        <f>'Moving Avg'!D561</f>
        <v>5.4424000000000001</v>
      </c>
      <c r="G561" s="2">
        <f>'Moving Avg'!F561</f>
        <v>5.5542000000000007</v>
      </c>
      <c r="H561" s="2">
        <f>'Moving Avg'!G561</f>
        <v>5.6771599999999998</v>
      </c>
      <c r="I561" s="2">
        <f>'Moving Avg'!H561</f>
        <v>5.6597649999999939</v>
      </c>
      <c r="J561" s="5" t="str">
        <f>OBV!F561</f>
        <v>BEARISH</v>
      </c>
      <c r="K561" s="5" t="str">
        <f>OBV!G561</f>
        <v>STRONG</v>
      </c>
      <c r="L561" s="5" t="str">
        <f>OBV!H561</f>
        <v>CONFIRMED BEARISH</v>
      </c>
      <c r="M561" s="7">
        <f t="shared" si="83"/>
        <v>100</v>
      </c>
      <c r="N561" s="7">
        <f t="shared" si="80"/>
        <v>45</v>
      </c>
      <c r="O561" s="7">
        <f t="shared" si="81"/>
        <v>0</v>
      </c>
      <c r="P561" s="7">
        <f t="shared" si="82"/>
        <v>33</v>
      </c>
      <c r="Q561" s="8">
        <f t="shared" si="84"/>
        <v>55.7</v>
      </c>
      <c r="R561" s="8">
        <f t="shared" si="85"/>
        <v>37.25</v>
      </c>
      <c r="S561" s="8">
        <f t="shared" si="86"/>
        <v>36.6</v>
      </c>
      <c r="T561" s="8">
        <f t="shared" si="87"/>
        <v>44.5</v>
      </c>
      <c r="U561" s="7">
        <f t="shared" si="88"/>
        <v>43.183333333333337</v>
      </c>
      <c r="V561" s="7">
        <f t="shared" si="89"/>
        <v>43.512500000000003</v>
      </c>
    </row>
    <row r="562" spans="1:22" ht="13.5" x14ac:dyDescent="0.25">
      <c r="A562" s="3">
        <f>RSI!A562</f>
        <v>45734</v>
      </c>
      <c r="B562" s="2">
        <f>RSI!B562</f>
        <v>5.54</v>
      </c>
      <c r="C562" s="2">
        <f>RSI!I562</f>
        <v>46.398209738248738</v>
      </c>
      <c r="D562" s="2">
        <f>MACD!E562</f>
        <v>9.5710309522605286E-3</v>
      </c>
      <c r="E562" s="2">
        <f>MACD!F562</f>
        <v>4.1235175103565051E-2</v>
      </c>
      <c r="F562" s="2">
        <f>'Moving Avg'!D562</f>
        <v>5.4517999999999995</v>
      </c>
      <c r="G562" s="2">
        <f>'Moving Avg'!F562</f>
        <v>5.5471500000000011</v>
      </c>
      <c r="H562" s="2">
        <f>'Moving Avg'!G562</f>
        <v>5.673960000000001</v>
      </c>
      <c r="I562" s="2">
        <f>'Moving Avg'!H562</f>
        <v>5.6621849999999938</v>
      </c>
      <c r="J562" s="5" t="str">
        <f>OBV!F562</f>
        <v>BEARISH</v>
      </c>
      <c r="K562" s="5" t="str">
        <f>OBV!G562</f>
        <v>NEUTRAL</v>
      </c>
      <c r="L562" s="5" t="str">
        <f>OBV!H562</f>
        <v>BEARISH DIVERGENCE</v>
      </c>
      <c r="M562" s="7">
        <f t="shared" si="83"/>
        <v>50</v>
      </c>
      <c r="N562" s="7">
        <f t="shared" si="80"/>
        <v>100</v>
      </c>
      <c r="O562" s="7">
        <f t="shared" si="81"/>
        <v>0</v>
      </c>
      <c r="P562" s="7">
        <f t="shared" si="82"/>
        <v>16.5</v>
      </c>
      <c r="Q562" s="8">
        <f t="shared" si="84"/>
        <v>54.975000000000001</v>
      </c>
      <c r="R562" s="8">
        <f t="shared" si="85"/>
        <v>34.125</v>
      </c>
      <c r="S562" s="8">
        <f t="shared" si="86"/>
        <v>29.925000000000001</v>
      </c>
      <c r="T562" s="8">
        <f t="shared" si="87"/>
        <v>41.625</v>
      </c>
      <c r="U562" s="7">
        <f t="shared" si="88"/>
        <v>39.674999999999997</v>
      </c>
      <c r="V562" s="7">
        <f t="shared" si="89"/>
        <v>40.162499999999994</v>
      </c>
    </row>
    <row r="563" spans="1:22" ht="13.5" x14ac:dyDescent="0.25">
      <c r="A563" s="3">
        <f>RSI!A563</f>
        <v>45735</v>
      </c>
      <c r="B563" s="2">
        <f>RSI!B563</f>
        <v>5.4180000000000001</v>
      </c>
      <c r="C563" s="2">
        <f>RSI!I563</f>
        <v>36.402864989215232</v>
      </c>
      <c r="D563" s="2">
        <f>MACD!E563</f>
        <v>2.2111715765970708E-2</v>
      </c>
      <c r="E563" s="2">
        <f>MACD!F563</f>
        <v>3.7410483236046184E-2</v>
      </c>
      <c r="F563" s="2">
        <f>'Moving Avg'!D563</f>
        <v>5.4424000000000001</v>
      </c>
      <c r="G563" s="2">
        <f>'Moving Avg'!F563</f>
        <v>5.5340000000000016</v>
      </c>
      <c r="H563" s="2">
        <f>'Moving Avg'!G563</f>
        <v>5.6660800000000009</v>
      </c>
      <c r="I563" s="2">
        <f>'Moving Avg'!H563</f>
        <v>5.6644399999999937</v>
      </c>
      <c r="J563" s="5" t="str">
        <f>OBV!F563</f>
        <v>BEARISH</v>
      </c>
      <c r="K563" s="5" t="str">
        <f>OBV!G563</f>
        <v>NEUTRAL</v>
      </c>
      <c r="L563" s="5" t="str">
        <f>OBV!H563</f>
        <v>CONFIRMED BEARISH</v>
      </c>
      <c r="M563" s="7">
        <f t="shared" si="83"/>
        <v>50</v>
      </c>
      <c r="N563" s="7">
        <f t="shared" si="80"/>
        <v>45</v>
      </c>
      <c r="O563" s="7">
        <f t="shared" si="81"/>
        <v>0</v>
      </c>
      <c r="P563" s="7">
        <f t="shared" si="82"/>
        <v>16.5</v>
      </c>
      <c r="Q563" s="8">
        <f t="shared" si="84"/>
        <v>35.725000000000001</v>
      </c>
      <c r="R563" s="8">
        <f t="shared" si="85"/>
        <v>23.125</v>
      </c>
      <c r="S563" s="8">
        <f t="shared" si="86"/>
        <v>21.675000000000001</v>
      </c>
      <c r="T563" s="8">
        <f t="shared" si="87"/>
        <v>27.875</v>
      </c>
      <c r="U563" s="7">
        <f t="shared" si="88"/>
        <v>26.841666666666669</v>
      </c>
      <c r="V563" s="7">
        <f t="shared" si="89"/>
        <v>27.1</v>
      </c>
    </row>
    <row r="564" spans="1:22" ht="13.5" x14ac:dyDescent="0.25">
      <c r="A564" s="3">
        <f>RSI!A564</f>
        <v>45737</v>
      </c>
      <c r="B564" s="2">
        <f>RSI!B564</f>
        <v>5.4459999999999997</v>
      </c>
      <c r="C564" s="2">
        <f>RSI!I564</f>
        <v>39.617913668503199</v>
      </c>
      <c r="D564" s="2">
        <f>MACD!E564</f>
        <v>3.2921520497328771E-2</v>
      </c>
      <c r="E564" s="2">
        <f>MACD!F564</f>
        <v>3.6512690688302707E-2</v>
      </c>
      <c r="F564" s="2">
        <f>'Moving Avg'!D564</f>
        <v>5.4480000000000004</v>
      </c>
      <c r="G564" s="2">
        <f>'Moving Avg'!F564</f>
        <v>5.5227000000000022</v>
      </c>
      <c r="H564" s="2">
        <f>'Moving Avg'!G564</f>
        <v>5.6587600000000018</v>
      </c>
      <c r="I564" s="2">
        <f>'Moving Avg'!H564</f>
        <v>5.6669649999999931</v>
      </c>
      <c r="J564" s="5" t="str">
        <f>OBV!F564</f>
        <v>BULLISH</v>
      </c>
      <c r="K564" s="5" t="str">
        <f>OBV!G564</f>
        <v>NEUTRAL</v>
      </c>
      <c r="L564" s="5" t="str">
        <f>OBV!H564</f>
        <v>CONFIRMED BULLISH</v>
      </c>
      <c r="M564" s="7">
        <f t="shared" si="83"/>
        <v>50</v>
      </c>
      <c r="N564" s="7">
        <f t="shared" si="80"/>
        <v>45</v>
      </c>
      <c r="O564" s="7">
        <f t="shared" si="81"/>
        <v>0</v>
      </c>
      <c r="P564" s="7">
        <f t="shared" si="82"/>
        <v>83.5</v>
      </c>
      <c r="Q564" s="8">
        <f t="shared" si="84"/>
        <v>45.774999999999999</v>
      </c>
      <c r="R564" s="8">
        <f t="shared" si="85"/>
        <v>39.875</v>
      </c>
      <c r="S564" s="8">
        <f t="shared" si="86"/>
        <v>51.825000000000003</v>
      </c>
      <c r="T564" s="8">
        <f t="shared" si="87"/>
        <v>44.625</v>
      </c>
      <c r="U564" s="7">
        <f t="shared" si="88"/>
        <v>45.82500000000001</v>
      </c>
      <c r="V564" s="7">
        <f t="shared" si="89"/>
        <v>45.525000000000006</v>
      </c>
    </row>
    <row r="565" spans="1:22" ht="13.5" x14ac:dyDescent="0.25">
      <c r="A565" s="3">
        <f>RSI!A565</f>
        <v>45740</v>
      </c>
      <c r="B565" s="2">
        <f>RSI!B565</f>
        <v>5.399</v>
      </c>
      <c r="C565" s="2">
        <f>RSI!I565</f>
        <v>36.300587565540134</v>
      </c>
      <c r="D565" s="2">
        <f>MACD!E565</f>
        <v>4.4821834511956204E-2</v>
      </c>
      <c r="E565" s="2">
        <f>MACD!F565</f>
        <v>3.8174519453033406E-2</v>
      </c>
      <c r="F565" s="2">
        <f>'Moving Avg'!D565</f>
        <v>5.4442000000000004</v>
      </c>
      <c r="G565" s="2">
        <f>'Moving Avg'!F565</f>
        <v>5.510950000000002</v>
      </c>
      <c r="H565" s="2">
        <f>'Moving Avg'!G565</f>
        <v>5.6506800000000021</v>
      </c>
      <c r="I565" s="2">
        <f>'Moving Avg'!H565</f>
        <v>5.6695649999999924</v>
      </c>
      <c r="J565" s="5" t="str">
        <f>OBV!F565</f>
        <v>BULLISH</v>
      </c>
      <c r="K565" s="5" t="str">
        <f>OBV!G565</f>
        <v>NEUTRAL</v>
      </c>
      <c r="L565" s="5" t="str">
        <f>OBV!H565</f>
        <v>BULLISH DIVERGENCE</v>
      </c>
      <c r="M565" s="7">
        <f t="shared" si="83"/>
        <v>50</v>
      </c>
      <c r="N565" s="7">
        <f t="shared" si="80"/>
        <v>0</v>
      </c>
      <c r="O565" s="7">
        <f t="shared" si="81"/>
        <v>0</v>
      </c>
      <c r="P565" s="7">
        <f t="shared" si="82"/>
        <v>66.5</v>
      </c>
      <c r="Q565" s="8">
        <f t="shared" si="84"/>
        <v>27.475000000000001</v>
      </c>
      <c r="R565" s="8">
        <f t="shared" si="85"/>
        <v>26.625</v>
      </c>
      <c r="S565" s="8">
        <f t="shared" si="86"/>
        <v>37.424999999999997</v>
      </c>
      <c r="T565" s="8">
        <f t="shared" si="87"/>
        <v>29.125</v>
      </c>
      <c r="U565" s="7">
        <f t="shared" si="88"/>
        <v>30.508333333333336</v>
      </c>
      <c r="V565" s="7">
        <f t="shared" si="89"/>
        <v>30.162500000000001</v>
      </c>
    </row>
    <row r="566" spans="1:22" ht="13.5" x14ac:dyDescent="0.25">
      <c r="A566" s="3">
        <f>RSI!A566</f>
        <v>45741</v>
      </c>
      <c r="B566" s="2">
        <f>RSI!B566</f>
        <v>5.39</v>
      </c>
      <c r="C566" s="2">
        <f>RSI!I566</f>
        <v>35.684412038747141</v>
      </c>
      <c r="D566" s="2">
        <f>MACD!E566</f>
        <v>5.6443769030402713E-2</v>
      </c>
      <c r="E566" s="2">
        <f>MACD!F566</f>
        <v>4.182836936850727E-2</v>
      </c>
      <c r="F566" s="2">
        <f>'Moving Avg'!D566</f>
        <v>5.4386000000000001</v>
      </c>
      <c r="G566" s="2">
        <f>'Moving Avg'!F566</f>
        <v>5.4992000000000019</v>
      </c>
      <c r="H566" s="2">
        <f>'Moving Avg'!G566</f>
        <v>5.6424200000000022</v>
      </c>
      <c r="I566" s="2">
        <f>'Moving Avg'!H566</f>
        <v>5.6712349999999923</v>
      </c>
      <c r="J566" s="5" t="str">
        <f>OBV!F566</f>
        <v>BEARISH</v>
      </c>
      <c r="K566" s="5" t="str">
        <f>OBV!G566</f>
        <v>NEUTRAL</v>
      </c>
      <c r="L566" s="5" t="str">
        <f>OBV!H566</f>
        <v>CONFIRMED BEARISH</v>
      </c>
      <c r="M566" s="7">
        <f t="shared" si="83"/>
        <v>50</v>
      </c>
      <c r="N566" s="7">
        <f t="shared" si="80"/>
        <v>0</v>
      </c>
      <c r="O566" s="7">
        <f t="shared" si="81"/>
        <v>0</v>
      </c>
      <c r="P566" s="7">
        <f t="shared" si="82"/>
        <v>16.5</v>
      </c>
      <c r="Q566" s="8">
        <f t="shared" si="84"/>
        <v>19.975000000000001</v>
      </c>
      <c r="R566" s="8">
        <f t="shared" si="85"/>
        <v>14.125</v>
      </c>
      <c r="S566" s="8">
        <f t="shared" si="86"/>
        <v>14.925000000000001</v>
      </c>
      <c r="T566" s="8">
        <f t="shared" si="87"/>
        <v>16.625</v>
      </c>
      <c r="U566" s="7">
        <f t="shared" si="88"/>
        <v>16.341666666666669</v>
      </c>
      <c r="V566" s="7">
        <f t="shared" si="89"/>
        <v>16.412500000000001</v>
      </c>
    </row>
    <row r="567" spans="1:22" ht="13.5" x14ac:dyDescent="0.25">
      <c r="A567" s="3">
        <f>RSI!A567</f>
        <v>45742</v>
      </c>
      <c r="B567" s="2">
        <f>RSI!B567</f>
        <v>5.4089999999999998</v>
      </c>
      <c r="C567" s="2">
        <f>RSI!I567</f>
        <v>38.07419375925997</v>
      </c>
      <c r="D567" s="2">
        <f>MACD!E567</f>
        <v>5.1282107823710454E-2</v>
      </c>
      <c r="E567" s="2">
        <f>MACD!F567</f>
        <v>4.371911705954791E-2</v>
      </c>
      <c r="F567" s="2">
        <f>'Moving Avg'!D567</f>
        <v>5.4123999999999999</v>
      </c>
      <c r="G567" s="2">
        <f>'Moving Avg'!F567</f>
        <v>5.4879500000000023</v>
      </c>
      <c r="H567" s="2">
        <f>'Moving Avg'!G567</f>
        <v>5.6345400000000021</v>
      </c>
      <c r="I567" s="2">
        <f>'Moving Avg'!H567</f>
        <v>5.6725549999999929</v>
      </c>
      <c r="J567" s="5" t="str">
        <f>OBV!F567</f>
        <v>BEARISH</v>
      </c>
      <c r="K567" s="5" t="str">
        <f>OBV!G567</f>
        <v>NEUTRAL</v>
      </c>
      <c r="L567" s="5" t="str">
        <f>OBV!H567</f>
        <v>CONFIRMED BEARISH</v>
      </c>
      <c r="M567" s="7">
        <f t="shared" si="83"/>
        <v>50</v>
      </c>
      <c r="N567" s="7">
        <f t="shared" si="80"/>
        <v>0</v>
      </c>
      <c r="O567" s="7">
        <f t="shared" si="81"/>
        <v>0</v>
      </c>
      <c r="P567" s="7">
        <f t="shared" si="82"/>
        <v>16.5</v>
      </c>
      <c r="Q567" s="8">
        <f t="shared" si="84"/>
        <v>19.975000000000001</v>
      </c>
      <c r="R567" s="8">
        <f t="shared" si="85"/>
        <v>14.125</v>
      </c>
      <c r="S567" s="8">
        <f t="shared" si="86"/>
        <v>14.925000000000001</v>
      </c>
      <c r="T567" s="8">
        <f t="shared" si="87"/>
        <v>16.625</v>
      </c>
      <c r="U567" s="7">
        <f t="shared" si="88"/>
        <v>16.341666666666669</v>
      </c>
      <c r="V567" s="7">
        <f t="shared" si="89"/>
        <v>16.412500000000001</v>
      </c>
    </row>
    <row r="568" spans="1:22" ht="13.5" x14ac:dyDescent="0.25">
      <c r="A568" s="3">
        <f>RSI!A568</f>
        <v>45743</v>
      </c>
      <c r="B568" s="2">
        <f>RSI!B568</f>
        <v>5.54</v>
      </c>
      <c r="C568" s="2">
        <f>RSI!I568</f>
        <v>51.464823024359028</v>
      </c>
      <c r="D568" s="2">
        <f>MACD!E568</f>
        <v>3.359952872645966E-2</v>
      </c>
      <c r="E568" s="2">
        <f>MACD!F568</f>
        <v>4.169519939293026E-2</v>
      </c>
      <c r="F568" s="2">
        <f>'Moving Avg'!D568</f>
        <v>5.4367999999999999</v>
      </c>
      <c r="G568" s="2">
        <f>'Moving Avg'!F568</f>
        <v>5.4832500000000017</v>
      </c>
      <c r="H568" s="2">
        <f>'Moving Avg'!G568</f>
        <v>5.6294600000000017</v>
      </c>
      <c r="I568" s="2">
        <f>'Moving Avg'!H568</f>
        <v>5.6745299999999927</v>
      </c>
      <c r="J568" s="5" t="str">
        <f>OBV!F568</f>
        <v>BEARISH</v>
      </c>
      <c r="K568" s="5" t="str">
        <f>OBV!G568</f>
        <v>NEUTRAL</v>
      </c>
      <c r="L568" s="5" t="str">
        <f>OBV!H568</f>
        <v>BEARISH DIVERGENCE</v>
      </c>
      <c r="M568" s="7">
        <f t="shared" si="83"/>
        <v>50</v>
      </c>
      <c r="N568" s="7">
        <f t="shared" si="80"/>
        <v>45</v>
      </c>
      <c r="O568" s="7">
        <f t="shared" si="81"/>
        <v>0</v>
      </c>
      <c r="P568" s="7">
        <f t="shared" si="82"/>
        <v>16.5</v>
      </c>
      <c r="Q568" s="8">
        <f t="shared" si="84"/>
        <v>35.725000000000001</v>
      </c>
      <c r="R568" s="8">
        <f t="shared" si="85"/>
        <v>23.125</v>
      </c>
      <c r="S568" s="8">
        <f t="shared" si="86"/>
        <v>21.675000000000001</v>
      </c>
      <c r="T568" s="8">
        <f t="shared" si="87"/>
        <v>27.875</v>
      </c>
      <c r="U568" s="7">
        <f t="shared" si="88"/>
        <v>26.841666666666669</v>
      </c>
      <c r="V568" s="7">
        <f t="shared" si="89"/>
        <v>27.1</v>
      </c>
    </row>
    <row r="569" spans="1:22" ht="13.5" x14ac:dyDescent="0.25">
      <c r="A569" s="3">
        <f>RSI!A569</f>
        <v>45744</v>
      </c>
      <c r="B569" s="2">
        <f>RSI!B569</f>
        <v>5.4459999999999997</v>
      </c>
      <c r="C569" s="2">
        <f>RSI!I569</f>
        <v>44.096412466009077</v>
      </c>
      <c r="D569" s="2">
        <f>MACD!E569</f>
        <v>1.8240248479593824E-2</v>
      </c>
      <c r="E569" s="2">
        <f>MACD!F569</f>
        <v>3.7004209210262977E-2</v>
      </c>
      <c r="F569" s="2">
        <f>'Moving Avg'!D569</f>
        <v>5.4367999999999999</v>
      </c>
      <c r="G569" s="2">
        <f>'Moving Avg'!F569</f>
        <v>5.479000000000001</v>
      </c>
      <c r="H569" s="2">
        <f>'Moving Avg'!G569</f>
        <v>5.6224999999999996</v>
      </c>
      <c r="I569" s="2">
        <f>'Moving Avg'!H569</f>
        <v>5.6760349999999926</v>
      </c>
      <c r="J569" s="5" t="str">
        <f>OBV!F569</f>
        <v>BEARISH</v>
      </c>
      <c r="K569" s="5" t="str">
        <f>OBV!G569</f>
        <v>STRONG</v>
      </c>
      <c r="L569" s="5" t="str">
        <f>OBV!H569</f>
        <v>NEUTRAL</v>
      </c>
      <c r="M569" s="7">
        <f t="shared" si="83"/>
        <v>50</v>
      </c>
      <c r="N569" s="7">
        <f t="shared" si="80"/>
        <v>45</v>
      </c>
      <c r="O569" s="7">
        <f t="shared" si="81"/>
        <v>0</v>
      </c>
      <c r="P569" s="7">
        <f t="shared" si="82"/>
        <v>33</v>
      </c>
      <c r="Q569" s="8">
        <f t="shared" si="84"/>
        <v>38.200000000000003</v>
      </c>
      <c r="R569" s="8">
        <f t="shared" si="85"/>
        <v>27.25</v>
      </c>
      <c r="S569" s="8">
        <f t="shared" si="86"/>
        <v>29.1</v>
      </c>
      <c r="T569" s="8">
        <f t="shared" si="87"/>
        <v>32</v>
      </c>
      <c r="U569" s="7">
        <f t="shared" si="88"/>
        <v>31.516666666666669</v>
      </c>
      <c r="V569" s="7">
        <f t="shared" si="89"/>
        <v>31.637500000000003</v>
      </c>
    </row>
    <row r="570" spans="1:22" ht="13.5" x14ac:dyDescent="0.25">
      <c r="A570" s="3">
        <f>RSI!A570</f>
        <v>45749</v>
      </c>
      <c r="B570" s="2">
        <f>RSI!B570</f>
        <v>5.4089999999999998</v>
      </c>
      <c r="C570" s="2">
        <f>RSI!I570</f>
        <v>41.573301225413772</v>
      </c>
      <c r="D570" s="2">
        <f>MACD!E570</f>
        <v>8.4204106966687675E-3</v>
      </c>
      <c r="E570" s="2">
        <f>MACD!F570</f>
        <v>3.1287449507544141E-2</v>
      </c>
      <c r="F570" s="2">
        <f>'Moving Avg'!D570</f>
        <v>5.4387999999999987</v>
      </c>
      <c r="G570" s="2">
        <f>'Moving Avg'!F570</f>
        <v>5.472900000000001</v>
      </c>
      <c r="H570" s="2">
        <f>'Moving Avg'!G570</f>
        <v>5.6150000000000011</v>
      </c>
      <c r="I570" s="2">
        <f>'Moving Avg'!H570</f>
        <v>5.6773549999999933</v>
      </c>
      <c r="J570" s="5" t="str">
        <f>OBV!F570</f>
        <v>BEARISH</v>
      </c>
      <c r="K570" s="5" t="str">
        <f>OBV!G570</f>
        <v>STRONG</v>
      </c>
      <c r="L570" s="5" t="str">
        <f>OBV!H570</f>
        <v>BEARISH DIVERGENCE</v>
      </c>
      <c r="M570" s="7">
        <f t="shared" si="83"/>
        <v>50</v>
      </c>
      <c r="N570" s="7">
        <f t="shared" si="80"/>
        <v>100</v>
      </c>
      <c r="O570" s="7">
        <f t="shared" si="81"/>
        <v>0</v>
      </c>
      <c r="P570" s="7">
        <f t="shared" si="82"/>
        <v>33</v>
      </c>
      <c r="Q570" s="8">
        <f t="shared" si="84"/>
        <v>57.45</v>
      </c>
      <c r="R570" s="8">
        <f t="shared" si="85"/>
        <v>38.25</v>
      </c>
      <c r="S570" s="8">
        <f t="shared" si="86"/>
        <v>37.35</v>
      </c>
      <c r="T570" s="8">
        <f t="shared" si="87"/>
        <v>45.75</v>
      </c>
      <c r="U570" s="7">
        <f t="shared" si="88"/>
        <v>44.35</v>
      </c>
      <c r="V570" s="7">
        <f t="shared" si="89"/>
        <v>44.7</v>
      </c>
    </row>
    <row r="571" spans="1:22" ht="13.5" x14ac:dyDescent="0.25">
      <c r="A571" s="3">
        <f>RSI!A571</f>
        <v>45750</v>
      </c>
      <c r="B571" s="2">
        <f>RSI!B571</f>
        <v>5.4459999999999997</v>
      </c>
      <c r="C571" s="2">
        <f>RSI!I571</f>
        <v>44.964555116460986</v>
      </c>
      <c r="D571" s="2">
        <f>MACD!E571</f>
        <v>-2.0073301383476405E-3</v>
      </c>
      <c r="E571" s="2">
        <f>MACD!F571</f>
        <v>2.4628493578365784E-2</v>
      </c>
      <c r="F571" s="2">
        <f>'Moving Avg'!D571</f>
        <v>5.45</v>
      </c>
      <c r="G571" s="2">
        <f>'Moving Avg'!F571</f>
        <v>5.472900000000001</v>
      </c>
      <c r="H571" s="2">
        <f>'Moving Avg'!G571</f>
        <v>5.6082400000000021</v>
      </c>
      <c r="I571" s="2">
        <f>'Moving Avg'!H571</f>
        <v>5.6795249999999928</v>
      </c>
      <c r="J571" s="5" t="str">
        <f>OBV!F571</f>
        <v>BULLISH</v>
      </c>
      <c r="K571" s="5" t="str">
        <f>OBV!G571</f>
        <v>NEUTRAL</v>
      </c>
      <c r="L571" s="5" t="str">
        <f>OBV!H571</f>
        <v>CONFIRMED BULLISH</v>
      </c>
      <c r="M571" s="7">
        <f t="shared" si="83"/>
        <v>50</v>
      </c>
      <c r="N571" s="7">
        <f t="shared" si="80"/>
        <v>100</v>
      </c>
      <c r="O571" s="7">
        <f t="shared" si="81"/>
        <v>0</v>
      </c>
      <c r="P571" s="7">
        <f t="shared" si="82"/>
        <v>83.5</v>
      </c>
      <c r="Q571" s="8">
        <f t="shared" si="84"/>
        <v>65.025000000000006</v>
      </c>
      <c r="R571" s="8">
        <f t="shared" si="85"/>
        <v>50.875</v>
      </c>
      <c r="S571" s="8">
        <f t="shared" si="86"/>
        <v>60.075000000000003</v>
      </c>
      <c r="T571" s="8">
        <f t="shared" si="87"/>
        <v>58.375</v>
      </c>
      <c r="U571" s="7">
        <f t="shared" si="88"/>
        <v>58.658333333333339</v>
      </c>
      <c r="V571" s="7">
        <f t="shared" si="89"/>
        <v>58.587500000000006</v>
      </c>
    </row>
    <row r="572" spans="1:22" ht="13.5" x14ac:dyDescent="0.25">
      <c r="A572" s="3">
        <f>RSI!A572</f>
        <v>45751</v>
      </c>
      <c r="B572" s="2">
        <f>RSI!B572</f>
        <v>5.4269999999999996</v>
      </c>
      <c r="C572" s="2">
        <f>RSI!I572</f>
        <v>43.566144711966601</v>
      </c>
      <c r="D572" s="2">
        <f>MACD!E572</f>
        <v>9.7032128557374975E-3</v>
      </c>
      <c r="E572" s="2">
        <f>MACD!F572</f>
        <v>2.1643437433840128E-2</v>
      </c>
      <c r="F572" s="2">
        <f>'Moving Avg'!D572</f>
        <v>5.4535999999999998</v>
      </c>
      <c r="G572" s="2">
        <f>'Moving Avg'!F572</f>
        <v>5.4719500000000014</v>
      </c>
      <c r="H572" s="2">
        <f>'Moving Avg'!G572</f>
        <v>5.6016600000000007</v>
      </c>
      <c r="I572" s="2">
        <f>'Moving Avg'!H572</f>
        <v>5.682264999999993</v>
      </c>
      <c r="J572" s="5" t="str">
        <f>OBV!F572</f>
        <v>BEARISH</v>
      </c>
      <c r="K572" s="5" t="str">
        <f>OBV!G572</f>
        <v>STRONG</v>
      </c>
      <c r="L572" s="5" t="str">
        <f>OBV!H572</f>
        <v>BEARISH DIVERGENCE</v>
      </c>
      <c r="M572" s="7">
        <f t="shared" si="83"/>
        <v>50</v>
      </c>
      <c r="N572" s="7">
        <f t="shared" si="80"/>
        <v>45</v>
      </c>
      <c r="O572" s="7">
        <f t="shared" si="81"/>
        <v>0</v>
      </c>
      <c r="P572" s="7">
        <f t="shared" si="82"/>
        <v>33</v>
      </c>
      <c r="Q572" s="8">
        <f t="shared" si="84"/>
        <v>38.200000000000003</v>
      </c>
      <c r="R572" s="8">
        <f t="shared" si="85"/>
        <v>27.25</v>
      </c>
      <c r="S572" s="8">
        <f t="shared" si="86"/>
        <v>29.1</v>
      </c>
      <c r="T572" s="8">
        <f t="shared" si="87"/>
        <v>32</v>
      </c>
      <c r="U572" s="7">
        <f t="shared" si="88"/>
        <v>31.516666666666669</v>
      </c>
      <c r="V572" s="7">
        <f t="shared" si="89"/>
        <v>31.637500000000003</v>
      </c>
    </row>
    <row r="573" spans="1:22" ht="13.5" x14ac:dyDescent="0.25">
      <c r="A573" s="3">
        <f>RSI!A573</f>
        <v>45754</v>
      </c>
      <c r="B573" s="2">
        <f>RSI!B573</f>
        <v>5.4930000000000003</v>
      </c>
      <c r="C573" s="2">
        <f>RSI!I573</f>
        <v>49.447555632542453</v>
      </c>
      <c r="D573" s="2">
        <f>MACD!E573</f>
        <v>-3.6028085916974817E-3</v>
      </c>
      <c r="E573" s="2">
        <f>MACD!F573</f>
        <v>1.6594188228732605E-2</v>
      </c>
      <c r="F573" s="2">
        <f>'Moving Avg'!D573</f>
        <v>5.4442000000000004</v>
      </c>
      <c r="G573" s="2">
        <f>'Moving Avg'!F573</f>
        <v>5.4672499999999999</v>
      </c>
      <c r="H573" s="2">
        <f>'Moving Avg'!G573</f>
        <v>5.5964000000000009</v>
      </c>
      <c r="I573" s="2">
        <f>'Moving Avg'!H573</f>
        <v>5.6855599999999935</v>
      </c>
      <c r="J573" s="5" t="str">
        <f>OBV!F573</f>
        <v>BEARISH</v>
      </c>
      <c r="K573" s="5" t="str">
        <f>OBV!G573</f>
        <v>NEUTRAL</v>
      </c>
      <c r="L573" s="5" t="str">
        <f>OBV!H573</f>
        <v>CONFIRMED BEARISH</v>
      </c>
      <c r="M573" s="7">
        <f t="shared" si="83"/>
        <v>50</v>
      </c>
      <c r="N573" s="7">
        <f t="shared" si="80"/>
        <v>100</v>
      </c>
      <c r="O573" s="7">
        <f t="shared" si="81"/>
        <v>0</v>
      </c>
      <c r="P573" s="7">
        <f t="shared" si="82"/>
        <v>16.5</v>
      </c>
      <c r="Q573" s="8">
        <f t="shared" si="84"/>
        <v>54.975000000000001</v>
      </c>
      <c r="R573" s="8">
        <f t="shared" si="85"/>
        <v>34.125</v>
      </c>
      <c r="S573" s="8">
        <f t="shared" si="86"/>
        <v>29.925000000000001</v>
      </c>
      <c r="T573" s="8">
        <f t="shared" si="87"/>
        <v>41.625</v>
      </c>
      <c r="U573" s="7">
        <f t="shared" si="88"/>
        <v>39.674999999999997</v>
      </c>
      <c r="V573" s="7">
        <f t="shared" si="89"/>
        <v>40.162499999999994</v>
      </c>
    </row>
    <row r="574" spans="1:22" ht="13.5" x14ac:dyDescent="0.25">
      <c r="A574" s="3">
        <f>RSI!A574</f>
        <v>45755</v>
      </c>
      <c r="B574" s="2">
        <f>RSI!B574</f>
        <v>5.4930000000000003</v>
      </c>
      <c r="C574" s="2">
        <f>RSI!I574</f>
        <v>49.447555632542446</v>
      </c>
      <c r="D574" s="2">
        <f>MACD!E574</f>
        <v>-1.0533705069413202E-2</v>
      </c>
      <c r="E574" s="2">
        <f>MACD!F574</f>
        <v>1.1168609569103444E-2</v>
      </c>
      <c r="F574" s="2">
        <f>'Moving Avg'!D574</f>
        <v>5.4535999999999998</v>
      </c>
      <c r="G574" s="2">
        <f>'Moving Avg'!F574</f>
        <v>5.4620999999999995</v>
      </c>
      <c r="H574" s="2">
        <f>'Moving Avg'!G574</f>
        <v>5.5917000000000003</v>
      </c>
      <c r="I574" s="2">
        <f>'Moving Avg'!H574</f>
        <v>5.6889399999999917</v>
      </c>
      <c r="J574" s="5" t="str">
        <f>OBV!F574</f>
        <v>BULLISH</v>
      </c>
      <c r="K574" s="5" t="str">
        <f>OBV!G574</f>
        <v>NEUTRAL</v>
      </c>
      <c r="L574" s="5" t="str">
        <f>OBV!H574</f>
        <v>CONFIRMED BULLISH</v>
      </c>
      <c r="M574" s="7">
        <f t="shared" si="83"/>
        <v>50</v>
      </c>
      <c r="N574" s="7">
        <f t="shared" si="80"/>
        <v>100</v>
      </c>
      <c r="O574" s="7">
        <f t="shared" si="81"/>
        <v>0</v>
      </c>
      <c r="P574" s="7">
        <f t="shared" si="82"/>
        <v>83.5</v>
      </c>
      <c r="Q574" s="8">
        <f t="shared" si="84"/>
        <v>65.025000000000006</v>
      </c>
      <c r="R574" s="8">
        <f t="shared" si="85"/>
        <v>50.875</v>
      </c>
      <c r="S574" s="8">
        <f t="shared" si="86"/>
        <v>60.075000000000003</v>
      </c>
      <c r="T574" s="8">
        <f t="shared" si="87"/>
        <v>58.375</v>
      </c>
      <c r="U574" s="7">
        <f t="shared" si="88"/>
        <v>58.658333333333339</v>
      </c>
      <c r="V574" s="7">
        <f t="shared" si="89"/>
        <v>58.587500000000006</v>
      </c>
    </row>
    <row r="575" spans="1:22" ht="13.5" x14ac:dyDescent="0.25">
      <c r="A575" s="3">
        <f>RSI!A575</f>
        <v>45757</v>
      </c>
      <c r="B575" s="2">
        <f>RSI!B575</f>
        <v>5.399</v>
      </c>
      <c r="C575" s="2">
        <f>RSI!I575</f>
        <v>42.185518295091697</v>
      </c>
      <c r="D575" s="2">
        <f>MACD!E575</f>
        <v>-1.6647271197885338E-2</v>
      </c>
      <c r="E575" s="2">
        <f>MACD!F575</f>
        <v>5.6054334157056886E-3</v>
      </c>
      <c r="F575" s="2">
        <f>'Moving Avg'!D575</f>
        <v>5.4516000000000009</v>
      </c>
      <c r="G575" s="2">
        <f>'Moving Avg'!F575</f>
        <v>5.4527000000000001</v>
      </c>
      <c r="H575" s="2">
        <f>'Moving Avg'!G575</f>
        <v>5.5851199999999999</v>
      </c>
      <c r="I575" s="2">
        <f>'Moving Avg'!H575</f>
        <v>5.6904349999999919</v>
      </c>
      <c r="J575" s="5" t="str">
        <f>OBV!F575</f>
        <v>BULLISH</v>
      </c>
      <c r="K575" s="5" t="str">
        <f>OBV!G575</f>
        <v>NEUTRAL</v>
      </c>
      <c r="L575" s="5" t="str">
        <f>OBV!H575</f>
        <v>BULLISH DIVERGENCE</v>
      </c>
      <c r="M575" s="7">
        <f t="shared" si="83"/>
        <v>50</v>
      </c>
      <c r="N575" s="7">
        <f t="shared" si="80"/>
        <v>100</v>
      </c>
      <c r="O575" s="7">
        <f t="shared" si="81"/>
        <v>0</v>
      </c>
      <c r="P575" s="7">
        <f t="shared" si="82"/>
        <v>66.5</v>
      </c>
      <c r="Q575" s="8">
        <f t="shared" si="84"/>
        <v>62.475000000000001</v>
      </c>
      <c r="R575" s="8">
        <f t="shared" si="85"/>
        <v>46.625</v>
      </c>
      <c r="S575" s="8">
        <f t="shared" si="86"/>
        <v>52.424999999999997</v>
      </c>
      <c r="T575" s="8">
        <f t="shared" si="87"/>
        <v>54.125</v>
      </c>
      <c r="U575" s="7">
        <f t="shared" si="88"/>
        <v>53.841666666666661</v>
      </c>
      <c r="V575" s="7">
        <f t="shared" si="89"/>
        <v>53.912499999999994</v>
      </c>
    </row>
    <row r="576" spans="1:22" ht="13.5" x14ac:dyDescent="0.25">
      <c r="A576" s="3">
        <f>RSI!A576</f>
        <v>45758</v>
      </c>
      <c r="B576" s="2">
        <f>RSI!B576</f>
        <v>5.4269999999999996</v>
      </c>
      <c r="C576" s="2">
        <f>RSI!I576</f>
        <v>44.786708722844196</v>
      </c>
      <c r="D576" s="2">
        <f>MACD!E576</f>
        <v>-2.4706079176627149E-2</v>
      </c>
      <c r="E576" s="2">
        <f>MACD!F576</f>
        <v>-4.5686910276087917E-4</v>
      </c>
      <c r="F576" s="2">
        <f>'Moving Avg'!D576</f>
        <v>5.4478</v>
      </c>
      <c r="G576" s="2">
        <f>'Moving Avg'!F576</f>
        <v>5.4446999999999992</v>
      </c>
      <c r="H576" s="2">
        <f>'Moving Avg'!G576</f>
        <v>5.5785399999999994</v>
      </c>
      <c r="I576" s="2">
        <f>'Moving Avg'!H576</f>
        <v>5.6920699999999922</v>
      </c>
      <c r="J576" s="5" t="str">
        <f>OBV!F576</f>
        <v>BULLISH</v>
      </c>
      <c r="K576" s="5" t="str">
        <f>OBV!G576</f>
        <v>NEUTRAL</v>
      </c>
      <c r="L576" s="5" t="str">
        <f>OBV!H576</f>
        <v>BULLISH DIVERGENCE</v>
      </c>
      <c r="M576" s="7">
        <f t="shared" si="83"/>
        <v>50</v>
      </c>
      <c r="N576" s="7">
        <f t="shared" si="80"/>
        <v>100</v>
      </c>
      <c r="O576" s="7">
        <f t="shared" si="81"/>
        <v>0</v>
      </c>
      <c r="P576" s="7">
        <f t="shared" si="82"/>
        <v>66.5</v>
      </c>
      <c r="Q576" s="8">
        <f t="shared" si="84"/>
        <v>62.475000000000001</v>
      </c>
      <c r="R576" s="8">
        <f t="shared" si="85"/>
        <v>46.625</v>
      </c>
      <c r="S576" s="8">
        <f t="shared" si="86"/>
        <v>52.424999999999997</v>
      </c>
      <c r="T576" s="8">
        <f t="shared" si="87"/>
        <v>54.125</v>
      </c>
      <c r="U576" s="7">
        <f t="shared" si="88"/>
        <v>53.841666666666661</v>
      </c>
      <c r="V576" s="7">
        <f t="shared" si="89"/>
        <v>53.912499999999994</v>
      </c>
    </row>
    <row r="577" spans="1:22" ht="13.5" x14ac:dyDescent="0.25">
      <c r="A577" s="3">
        <f>RSI!A577</f>
        <v>45761</v>
      </c>
      <c r="B577" s="2">
        <f>RSI!B577</f>
        <v>5.4269999999999996</v>
      </c>
      <c r="C577" s="2">
        <f>RSI!I577</f>
        <v>44.786708722844196</v>
      </c>
      <c r="D577" s="2">
        <f>MACD!E577</f>
        <v>-2.8236984810380505E-2</v>
      </c>
      <c r="E577" s="2">
        <f>MACD!F577</f>
        <v>-6.0128922442848048E-3</v>
      </c>
      <c r="F577" s="2">
        <f>'Moving Avg'!D577</f>
        <v>5.4478</v>
      </c>
      <c r="G577" s="2">
        <f>'Moving Avg'!F577</f>
        <v>5.4413999999999989</v>
      </c>
      <c r="H577" s="2">
        <f>'Moving Avg'!G577</f>
        <v>5.5719599999999989</v>
      </c>
      <c r="I577" s="2">
        <f>'Moving Avg'!H577</f>
        <v>5.6940149999999914</v>
      </c>
      <c r="J577" s="5" t="str">
        <f>OBV!F577</f>
        <v>BULLISH</v>
      </c>
      <c r="K577" s="5" t="str">
        <f>OBV!G577</f>
        <v>NEUTRAL</v>
      </c>
      <c r="L577" s="5" t="str">
        <f>OBV!H577</f>
        <v>NEUTRAL</v>
      </c>
      <c r="M577" s="7">
        <f t="shared" si="83"/>
        <v>50</v>
      </c>
      <c r="N577" s="7">
        <f t="shared" si="80"/>
        <v>100</v>
      </c>
      <c r="O577" s="7">
        <f t="shared" si="81"/>
        <v>0</v>
      </c>
      <c r="P577" s="7">
        <f t="shared" si="82"/>
        <v>49.5</v>
      </c>
      <c r="Q577" s="8">
        <f t="shared" si="84"/>
        <v>59.924999999999997</v>
      </c>
      <c r="R577" s="8">
        <f t="shared" si="85"/>
        <v>42.375</v>
      </c>
      <c r="S577" s="8">
        <f t="shared" si="86"/>
        <v>44.775000000000006</v>
      </c>
      <c r="T577" s="8">
        <f t="shared" si="87"/>
        <v>49.875</v>
      </c>
      <c r="U577" s="7">
        <f t="shared" si="88"/>
        <v>49.024999999999999</v>
      </c>
      <c r="V577" s="7">
        <f t="shared" si="89"/>
        <v>49.237499999999997</v>
      </c>
    </row>
    <row r="578" spans="1:22" ht="13.5" x14ac:dyDescent="0.25">
      <c r="A578" s="3">
        <f>RSI!A578</f>
        <v>45762</v>
      </c>
      <c r="B578" s="2">
        <f>RSI!B578</f>
        <v>5.4269999999999996</v>
      </c>
      <c r="C578" s="2">
        <f>RSI!I578</f>
        <v>44.786708722844196</v>
      </c>
      <c r="D578" s="2">
        <f>MACD!E578</f>
        <v>-1.0732856918758138E-2</v>
      </c>
      <c r="E578" s="2">
        <f>MACD!F578</f>
        <v>-6.9568851791794719E-3</v>
      </c>
      <c r="F578" s="2">
        <f>'Moving Avg'!D578</f>
        <v>5.4345999999999997</v>
      </c>
      <c r="G578" s="2">
        <f>'Moving Avg'!F578</f>
        <v>5.439499999999998</v>
      </c>
      <c r="H578" s="2">
        <f>'Moving Avg'!G578</f>
        <v>5.5653800000000002</v>
      </c>
      <c r="I578" s="2">
        <f>'Moving Avg'!H578</f>
        <v>5.6967149999999913</v>
      </c>
      <c r="J578" s="5" t="str">
        <f>OBV!F578</f>
        <v>BULLISH</v>
      </c>
      <c r="K578" s="5" t="str">
        <f>OBV!G578</f>
        <v>NEUTRAL</v>
      </c>
      <c r="L578" s="5" t="str">
        <f>OBV!H578</f>
        <v>BULLISH DIVERGENCE</v>
      </c>
      <c r="M578" s="7">
        <f t="shared" si="83"/>
        <v>50</v>
      </c>
      <c r="N578" s="7">
        <f t="shared" ref="N578:N641" si="90">IF(E578-D578&gt;0.02, 100, IF(E578-D578&lt;0,0,45))</f>
        <v>45</v>
      </c>
      <c r="O578" s="7">
        <f t="shared" ref="O578:O641" si="91">IF(F578-I578&gt;10,100,IF(F578-I578&gt;5,75, IF(F578-I578&gt;0,50,0)))</f>
        <v>0</v>
      </c>
      <c r="P578" s="7">
        <f t="shared" ref="P578:P641" si="92">IF(L578="confirmed bullish", 34, IF(L578="bullish divergence",17, 0))+IF(J578="bullish",33,IF(J578="bearish",0,16.5))+IF(K578="strong",33,IF(K578="weak",0,16.5))</f>
        <v>66.5</v>
      </c>
      <c r="Q578" s="8">
        <f t="shared" si="84"/>
        <v>43.225000000000001</v>
      </c>
      <c r="R578" s="8">
        <f t="shared" si="85"/>
        <v>35.625</v>
      </c>
      <c r="S578" s="8">
        <f t="shared" si="86"/>
        <v>44.174999999999997</v>
      </c>
      <c r="T578" s="8">
        <f t="shared" si="87"/>
        <v>40.375</v>
      </c>
      <c r="U578" s="7">
        <f t="shared" si="88"/>
        <v>41.008333333333333</v>
      </c>
      <c r="V578" s="7">
        <f t="shared" si="89"/>
        <v>40.849999999999994</v>
      </c>
    </row>
    <row r="579" spans="1:22" ht="13.5" x14ac:dyDescent="0.25">
      <c r="A579" s="3">
        <f>RSI!A579</f>
        <v>45763</v>
      </c>
      <c r="B579" s="2">
        <f>RSI!B579</f>
        <v>5.4269999999999996</v>
      </c>
      <c r="C579" s="2">
        <f>RSI!I579</f>
        <v>44.786708722844196</v>
      </c>
      <c r="D579" s="2">
        <f>MACD!E579</f>
        <v>-1.0070274018841197E-2</v>
      </c>
      <c r="E579" s="2">
        <f>MACD!F579</f>
        <v>-7.5795629471118176E-3</v>
      </c>
      <c r="F579" s="2">
        <f>'Moving Avg'!D579</f>
        <v>5.4214000000000002</v>
      </c>
      <c r="G579" s="2">
        <f>'Moving Avg'!F579</f>
        <v>5.4399499999999978</v>
      </c>
      <c r="H579" s="2">
        <f>'Moving Avg'!G579</f>
        <v>5.55898</v>
      </c>
      <c r="I579" s="2">
        <f>'Moving Avg'!H579</f>
        <v>5.6998999999999906</v>
      </c>
      <c r="J579" s="5" t="str">
        <f>OBV!F579</f>
        <v>BULLISH</v>
      </c>
      <c r="K579" s="5" t="str">
        <f>OBV!G579</f>
        <v>NEUTRAL</v>
      </c>
      <c r="L579" s="5" t="str">
        <f>OBV!H579</f>
        <v>BULLISH DIVERGENCE</v>
      </c>
      <c r="M579" s="7">
        <f t="shared" ref="M579:M642" si="93">IF(C579&lt;30,100, IF(C579&gt;70, 0, 50))</f>
        <v>50</v>
      </c>
      <c r="N579" s="7">
        <f t="shared" si="90"/>
        <v>45</v>
      </c>
      <c r="O579" s="7">
        <f t="shared" si="91"/>
        <v>0</v>
      </c>
      <c r="P579" s="7">
        <f t="shared" si="92"/>
        <v>66.5</v>
      </c>
      <c r="Q579" s="8">
        <f t="shared" ref="Q579:Q642" si="94">0.35*M579+N579*0.35+O579*0.15+P579*0.15</f>
        <v>43.225000000000001</v>
      </c>
      <c r="R579" s="8">
        <f t="shared" ref="R579:R642" si="95">M579*0.2+N579*0.2+O579*0.35+P579*0.25</f>
        <v>35.625</v>
      </c>
      <c r="S579" s="8">
        <f t="shared" ref="S579:S642" si="96">M579*0.15+N579*0.15+O579*0.25+P579*0.45</f>
        <v>44.174999999999997</v>
      </c>
      <c r="T579" s="8">
        <f t="shared" ref="T579:T642" si="97">0.25*SUM(M579:P579)</f>
        <v>40.375</v>
      </c>
      <c r="U579" s="7">
        <f t="shared" ref="U579:U642" si="98">SUM(Q579:S579)/3</f>
        <v>41.008333333333333</v>
      </c>
      <c r="V579" s="7">
        <f t="shared" ref="V579:V642" si="99">SUM(Q579:T579)/4</f>
        <v>40.849999999999994</v>
      </c>
    </row>
    <row r="580" spans="1:22" ht="13.5" x14ac:dyDescent="0.25">
      <c r="A580" s="3">
        <f>RSI!A580</f>
        <v>45764</v>
      </c>
      <c r="B580" s="2">
        <f>RSI!B580</f>
        <v>5.4459999999999997</v>
      </c>
      <c r="C580" s="2">
        <f>RSI!I580</f>
        <v>46.964597431813537</v>
      </c>
      <c r="D580" s="2">
        <f>MACD!E580</f>
        <v>-1.6319586287921517E-2</v>
      </c>
      <c r="E580" s="2">
        <f>MACD!F580</f>
        <v>-9.3275676152737574E-3</v>
      </c>
      <c r="F580" s="2">
        <f>'Moving Avg'!D580</f>
        <v>5.4307999999999996</v>
      </c>
      <c r="G580" s="2">
        <f>'Moving Avg'!F580</f>
        <v>5.4413499999999981</v>
      </c>
      <c r="H580" s="2">
        <f>'Moving Avg'!G580</f>
        <v>5.5529600000000006</v>
      </c>
      <c r="I580" s="2">
        <f>'Moving Avg'!H580</f>
        <v>5.7031799999999917</v>
      </c>
      <c r="J580" s="5" t="str">
        <f>OBV!F580</f>
        <v>BULLISH</v>
      </c>
      <c r="K580" s="5" t="str">
        <f>OBV!G580</f>
        <v>WEAK</v>
      </c>
      <c r="L580" s="5" t="str">
        <f>OBV!H580</f>
        <v>CONFIRMED BULLISH</v>
      </c>
      <c r="M580" s="7">
        <f t="shared" si="93"/>
        <v>50</v>
      </c>
      <c r="N580" s="7">
        <f t="shared" si="90"/>
        <v>45</v>
      </c>
      <c r="O580" s="7">
        <f t="shared" si="91"/>
        <v>0</v>
      </c>
      <c r="P580" s="7">
        <f t="shared" si="92"/>
        <v>67</v>
      </c>
      <c r="Q580" s="8">
        <f t="shared" si="94"/>
        <v>43.3</v>
      </c>
      <c r="R580" s="8">
        <f t="shared" si="95"/>
        <v>35.75</v>
      </c>
      <c r="S580" s="8">
        <f t="shared" si="96"/>
        <v>44.400000000000006</v>
      </c>
      <c r="T580" s="8">
        <f t="shared" si="97"/>
        <v>40.5</v>
      </c>
      <c r="U580" s="7">
        <f t="shared" si="98"/>
        <v>41.15</v>
      </c>
      <c r="V580" s="7">
        <f t="shared" si="99"/>
        <v>40.987499999999997</v>
      </c>
    </row>
    <row r="581" spans="1:22" ht="13.5" x14ac:dyDescent="0.25">
      <c r="A581" s="3">
        <f>RSI!A581</f>
        <v>45765</v>
      </c>
      <c r="B581" s="2">
        <f>RSI!B581</f>
        <v>5.4459999999999997</v>
      </c>
      <c r="C581" s="2">
        <f>RSI!I581</f>
        <v>46.964597431813537</v>
      </c>
      <c r="D581" s="2">
        <f>MACD!E581</f>
        <v>-1.5759137652153754E-2</v>
      </c>
      <c r="E581" s="2">
        <f>MACD!F581</f>
        <v>-1.0613881622649757E-2</v>
      </c>
      <c r="F581" s="2">
        <f>'Moving Avg'!D581</f>
        <v>5.4345999999999988</v>
      </c>
      <c r="G581" s="2">
        <f>'Moving Avg'!F581</f>
        <v>5.4427499999999984</v>
      </c>
      <c r="H581" s="2">
        <f>'Moving Avg'!G581</f>
        <v>5.5456399999999997</v>
      </c>
      <c r="I581" s="2">
        <f>'Moving Avg'!H581</f>
        <v>5.7064599999999919</v>
      </c>
      <c r="J581" s="5" t="str">
        <f>OBV!F581</f>
        <v>BULLISH</v>
      </c>
      <c r="K581" s="5" t="str">
        <f>OBV!G581</f>
        <v>NEUTRAL</v>
      </c>
      <c r="L581" s="5" t="str">
        <f>OBV!H581</f>
        <v>CONFIRMED BULLISH</v>
      </c>
      <c r="M581" s="7">
        <f t="shared" si="93"/>
        <v>50</v>
      </c>
      <c r="N581" s="7">
        <f t="shared" si="90"/>
        <v>45</v>
      </c>
      <c r="O581" s="7">
        <f t="shared" si="91"/>
        <v>0</v>
      </c>
      <c r="P581" s="7">
        <f t="shared" si="92"/>
        <v>83.5</v>
      </c>
      <c r="Q581" s="8">
        <f t="shared" si="94"/>
        <v>45.774999999999999</v>
      </c>
      <c r="R581" s="8">
        <f t="shared" si="95"/>
        <v>39.875</v>
      </c>
      <c r="S581" s="8">
        <f t="shared" si="96"/>
        <v>51.825000000000003</v>
      </c>
      <c r="T581" s="8">
        <f t="shared" si="97"/>
        <v>44.625</v>
      </c>
      <c r="U581" s="7">
        <f t="shared" si="98"/>
        <v>45.82500000000001</v>
      </c>
      <c r="V581" s="7">
        <f t="shared" si="99"/>
        <v>45.525000000000006</v>
      </c>
    </row>
    <row r="582" spans="1:22" ht="13.5" x14ac:dyDescent="0.25">
      <c r="A582" s="3">
        <f>RSI!A582</f>
        <v>45768</v>
      </c>
      <c r="B582" s="2">
        <f>RSI!B582</f>
        <v>5.4930000000000003</v>
      </c>
      <c r="C582" s="2">
        <f>RSI!I582</f>
        <v>52.356135228049929</v>
      </c>
      <c r="D582" s="2">
        <f>MACD!E582</f>
        <v>-2.1545006810431033E-2</v>
      </c>
      <c r="E582" s="2">
        <f>MACD!F582</f>
        <v>-1.2800106660206013E-2</v>
      </c>
      <c r="F582" s="2">
        <f>'Moving Avg'!D582</f>
        <v>5.4477999999999991</v>
      </c>
      <c r="G582" s="2">
        <f>'Moving Avg'!F582</f>
        <v>5.4403999999999986</v>
      </c>
      <c r="H582" s="2">
        <f>'Moving Avg'!G582</f>
        <v>5.5392599999999996</v>
      </c>
      <c r="I582" s="2">
        <f>'Moving Avg'!H582</f>
        <v>5.7086899999999927</v>
      </c>
      <c r="J582" s="5" t="str">
        <f>OBV!F582</f>
        <v>BULLISH</v>
      </c>
      <c r="K582" s="5" t="str">
        <f>OBV!G582</f>
        <v>WEAK</v>
      </c>
      <c r="L582" s="5" t="str">
        <f>OBV!H582</f>
        <v>CONFIRMED BULLISH</v>
      </c>
      <c r="M582" s="7">
        <f t="shared" si="93"/>
        <v>50</v>
      </c>
      <c r="N582" s="7">
        <f t="shared" si="90"/>
        <v>45</v>
      </c>
      <c r="O582" s="7">
        <f t="shared" si="91"/>
        <v>0</v>
      </c>
      <c r="P582" s="7">
        <f t="shared" si="92"/>
        <v>67</v>
      </c>
      <c r="Q582" s="8">
        <f t="shared" si="94"/>
        <v>43.3</v>
      </c>
      <c r="R582" s="8">
        <f t="shared" si="95"/>
        <v>35.75</v>
      </c>
      <c r="S582" s="8">
        <f t="shared" si="96"/>
        <v>44.400000000000006</v>
      </c>
      <c r="T582" s="8">
        <f t="shared" si="97"/>
        <v>40.5</v>
      </c>
      <c r="U582" s="7">
        <f t="shared" si="98"/>
        <v>41.15</v>
      </c>
      <c r="V582" s="7">
        <f t="shared" si="99"/>
        <v>40.987499999999997</v>
      </c>
    </row>
    <row r="583" spans="1:22" ht="13.5" x14ac:dyDescent="0.25">
      <c r="A583" s="3">
        <f>RSI!A583</f>
        <v>45769</v>
      </c>
      <c r="B583" s="2">
        <f>RSI!B583</f>
        <v>5.6340000000000003</v>
      </c>
      <c r="C583" s="2">
        <f>RSI!I583</f>
        <v>64.135410822063932</v>
      </c>
      <c r="D583" s="2">
        <f>MACD!E583</f>
        <v>-2.6875303081897783E-2</v>
      </c>
      <c r="E583" s="2">
        <f>MACD!F583</f>
        <v>-1.5615145944544367E-2</v>
      </c>
      <c r="F583" s="2">
        <f>'Moving Avg'!D583</f>
        <v>5.4891999999999994</v>
      </c>
      <c r="G583" s="2">
        <f>'Moving Avg'!F583</f>
        <v>5.4511999999999983</v>
      </c>
      <c r="H583" s="2">
        <f>'Moving Avg'!G583</f>
        <v>5.5356999999999994</v>
      </c>
      <c r="I583" s="2">
        <f>'Moving Avg'!H583</f>
        <v>5.7111349999999925</v>
      </c>
      <c r="J583" s="5" t="str">
        <f>OBV!F583</f>
        <v>BULLISH</v>
      </c>
      <c r="K583" s="5" t="str">
        <f>OBV!G583</f>
        <v>WEAK</v>
      </c>
      <c r="L583" s="5" t="str">
        <f>OBV!H583</f>
        <v>CONFIRMED BULLISH</v>
      </c>
      <c r="M583" s="7">
        <f t="shared" si="93"/>
        <v>50</v>
      </c>
      <c r="N583" s="7">
        <f t="shared" si="90"/>
        <v>45</v>
      </c>
      <c r="O583" s="7">
        <f t="shared" si="91"/>
        <v>0</v>
      </c>
      <c r="P583" s="7">
        <f t="shared" si="92"/>
        <v>67</v>
      </c>
      <c r="Q583" s="8">
        <f t="shared" si="94"/>
        <v>43.3</v>
      </c>
      <c r="R583" s="8">
        <f t="shared" si="95"/>
        <v>35.75</v>
      </c>
      <c r="S583" s="8">
        <f t="shared" si="96"/>
        <v>44.400000000000006</v>
      </c>
      <c r="T583" s="8">
        <f t="shared" si="97"/>
        <v>40.5</v>
      </c>
      <c r="U583" s="7">
        <f t="shared" si="98"/>
        <v>41.15</v>
      </c>
      <c r="V583" s="7">
        <f t="shared" si="99"/>
        <v>40.987499999999997</v>
      </c>
    </row>
    <row r="584" spans="1:22" ht="13.5" x14ac:dyDescent="0.25">
      <c r="A584" s="3">
        <f>RSI!A584</f>
        <v>45770</v>
      </c>
      <c r="B584" s="2">
        <f>RSI!B584</f>
        <v>5.4180000000000001</v>
      </c>
      <c r="C584" s="2">
        <f>RSI!I584</f>
        <v>45.554645662714741</v>
      </c>
      <c r="D584" s="2">
        <f>MACD!E584</f>
        <v>-1.6352027475987185E-2</v>
      </c>
      <c r="E584" s="2">
        <f>MACD!F584</f>
        <v>-1.5762522250832932E-2</v>
      </c>
      <c r="F584" s="2">
        <f>'Moving Avg'!D584</f>
        <v>5.4873999999999992</v>
      </c>
      <c r="G584" s="2">
        <f>'Moving Avg'!F584</f>
        <v>5.449799999999998</v>
      </c>
      <c r="H584" s="2">
        <f>'Moving Avg'!G584</f>
        <v>5.5278199999999993</v>
      </c>
      <c r="I584" s="2">
        <f>'Moving Avg'!H584</f>
        <v>5.7119349999999915</v>
      </c>
      <c r="J584" s="5" t="str">
        <f>OBV!F584</f>
        <v>BULLISH</v>
      </c>
      <c r="K584" s="5" t="str">
        <f>OBV!G584</f>
        <v>WEAK</v>
      </c>
      <c r="L584" s="5" t="str">
        <f>OBV!H584</f>
        <v>BULLISH DIVERGENCE</v>
      </c>
      <c r="M584" s="7">
        <f t="shared" si="93"/>
        <v>50</v>
      </c>
      <c r="N584" s="7">
        <f t="shared" si="90"/>
        <v>45</v>
      </c>
      <c r="O584" s="7">
        <f t="shared" si="91"/>
        <v>0</v>
      </c>
      <c r="P584" s="7">
        <f t="shared" si="92"/>
        <v>50</v>
      </c>
      <c r="Q584" s="8">
        <f t="shared" si="94"/>
        <v>40.75</v>
      </c>
      <c r="R584" s="8">
        <f t="shared" si="95"/>
        <v>31.5</v>
      </c>
      <c r="S584" s="8">
        <f t="shared" si="96"/>
        <v>36.75</v>
      </c>
      <c r="T584" s="8">
        <f t="shared" si="97"/>
        <v>36.25</v>
      </c>
      <c r="U584" s="7">
        <f t="shared" si="98"/>
        <v>36.333333333333336</v>
      </c>
      <c r="V584" s="7">
        <f t="shared" si="99"/>
        <v>36.3125</v>
      </c>
    </row>
    <row r="585" spans="1:22" ht="13.5" x14ac:dyDescent="0.25">
      <c r="A585" s="3">
        <f>RSI!A585</f>
        <v>45771</v>
      </c>
      <c r="B585" s="2">
        <f>RSI!B585</f>
        <v>5.625</v>
      </c>
      <c r="C585" s="2">
        <f>RSI!I585</f>
        <v>58.086623976873412</v>
      </c>
      <c r="D585" s="2">
        <f>MACD!E585</f>
        <v>-3.6861118924622183E-2</v>
      </c>
      <c r="E585" s="2">
        <f>MACD!F585</f>
        <v>-1.9982241585590782E-2</v>
      </c>
      <c r="F585" s="2">
        <f>'Moving Avg'!D585</f>
        <v>5.5232000000000001</v>
      </c>
      <c r="G585" s="2">
        <f>'Moving Avg'!F585</f>
        <v>5.4611000000000001</v>
      </c>
      <c r="H585" s="2">
        <f>'Moving Avg'!G585</f>
        <v>5.5253799999999993</v>
      </c>
      <c r="I585" s="2">
        <f>'Moving Avg'!H585</f>
        <v>5.7130649999999923</v>
      </c>
      <c r="J585" s="5" t="str">
        <f>OBV!F585</f>
        <v>BULLISH</v>
      </c>
      <c r="K585" s="5" t="str">
        <f>OBV!G585</f>
        <v>WEAK</v>
      </c>
      <c r="L585" s="5" t="str">
        <f>OBV!H585</f>
        <v>CONFIRMED BULLISH</v>
      </c>
      <c r="M585" s="7">
        <f t="shared" si="93"/>
        <v>50</v>
      </c>
      <c r="N585" s="7">
        <f t="shared" si="90"/>
        <v>45</v>
      </c>
      <c r="O585" s="7">
        <f t="shared" si="91"/>
        <v>0</v>
      </c>
      <c r="P585" s="7">
        <f t="shared" si="92"/>
        <v>67</v>
      </c>
      <c r="Q585" s="8">
        <f t="shared" si="94"/>
        <v>43.3</v>
      </c>
      <c r="R585" s="8">
        <f t="shared" si="95"/>
        <v>35.75</v>
      </c>
      <c r="S585" s="8">
        <f t="shared" si="96"/>
        <v>44.400000000000006</v>
      </c>
      <c r="T585" s="8">
        <f t="shared" si="97"/>
        <v>40.5</v>
      </c>
      <c r="U585" s="7">
        <f t="shared" si="98"/>
        <v>41.15</v>
      </c>
      <c r="V585" s="7">
        <f t="shared" si="99"/>
        <v>40.987499999999997</v>
      </c>
    </row>
    <row r="586" spans="1:22" ht="13.5" x14ac:dyDescent="0.25">
      <c r="A586" s="3">
        <f>RSI!A586</f>
        <v>45772</v>
      </c>
      <c r="B586" s="2">
        <f>RSI!B586</f>
        <v>5.5590000000000002</v>
      </c>
      <c r="C586" s="2">
        <f>RSI!I586</f>
        <v>53.832032579036856</v>
      </c>
      <c r="D586" s="2">
        <f>MACD!E586</f>
        <v>-4.5888343063301029E-2</v>
      </c>
      <c r="E586" s="2">
        <f>MACD!F586</f>
        <v>-2.5163461881132831E-2</v>
      </c>
      <c r="F586" s="2">
        <f>'Moving Avg'!D586</f>
        <v>5.5458000000000007</v>
      </c>
      <c r="G586" s="2">
        <f>'Moving Avg'!F586</f>
        <v>5.4695499999999999</v>
      </c>
      <c r="H586" s="2">
        <f>'Moving Avg'!G586</f>
        <v>5.5229399999999984</v>
      </c>
      <c r="I586" s="2">
        <f>'Moving Avg'!H586</f>
        <v>5.7136299999999922</v>
      </c>
      <c r="J586" s="5" t="str">
        <f>OBV!F586</f>
        <v>BULLISH</v>
      </c>
      <c r="K586" s="5" t="str">
        <f>OBV!G586</f>
        <v>NEUTRAL</v>
      </c>
      <c r="L586" s="5" t="str">
        <f>OBV!H586</f>
        <v>CONFIRMED BULLISH</v>
      </c>
      <c r="M586" s="7">
        <f t="shared" si="93"/>
        <v>50</v>
      </c>
      <c r="N586" s="7">
        <f t="shared" si="90"/>
        <v>100</v>
      </c>
      <c r="O586" s="7">
        <f t="shared" si="91"/>
        <v>0</v>
      </c>
      <c r="P586" s="7">
        <f t="shared" si="92"/>
        <v>83.5</v>
      </c>
      <c r="Q586" s="8">
        <f t="shared" si="94"/>
        <v>65.025000000000006</v>
      </c>
      <c r="R586" s="8">
        <f t="shared" si="95"/>
        <v>50.875</v>
      </c>
      <c r="S586" s="8">
        <f t="shared" si="96"/>
        <v>60.075000000000003</v>
      </c>
      <c r="T586" s="8">
        <f t="shared" si="97"/>
        <v>58.375</v>
      </c>
      <c r="U586" s="7">
        <f t="shared" si="98"/>
        <v>58.658333333333339</v>
      </c>
      <c r="V586" s="7">
        <f t="shared" si="99"/>
        <v>58.587500000000006</v>
      </c>
    </row>
    <row r="587" spans="1:22" ht="13.5" x14ac:dyDescent="0.25">
      <c r="A587" s="3">
        <f>RSI!A587</f>
        <v>45775</v>
      </c>
      <c r="B587" s="2">
        <f>RSI!B587</f>
        <v>5.4459999999999997</v>
      </c>
      <c r="C587" s="2">
        <f>RSI!I587</f>
        <v>47.42693211902079</v>
      </c>
      <c r="D587" s="2">
        <f>MACD!E587</f>
        <v>-4.5571913621373028E-2</v>
      </c>
      <c r="E587" s="2">
        <f>MACD!F587</f>
        <v>-2.9245152229180872E-2</v>
      </c>
      <c r="F587" s="2">
        <f>'Moving Avg'!D587</f>
        <v>5.5364000000000004</v>
      </c>
      <c r="G587" s="2">
        <f>'Moving Avg'!F587</f>
        <v>5.4714</v>
      </c>
      <c r="H587" s="2">
        <f>'Moving Avg'!G587</f>
        <v>5.5175000000000001</v>
      </c>
      <c r="I587" s="2">
        <f>'Moving Avg'!H587</f>
        <v>5.7136299999999922</v>
      </c>
      <c r="J587" s="5" t="str">
        <f>OBV!F587</f>
        <v>BEARISH</v>
      </c>
      <c r="K587" s="5" t="str">
        <f>OBV!G587</f>
        <v>NEUTRAL</v>
      </c>
      <c r="L587" s="5" t="str">
        <f>OBV!H587</f>
        <v>CONFIRMED BEARISH</v>
      </c>
      <c r="M587" s="7">
        <f t="shared" si="93"/>
        <v>50</v>
      </c>
      <c r="N587" s="7">
        <f t="shared" si="90"/>
        <v>45</v>
      </c>
      <c r="O587" s="7">
        <f t="shared" si="91"/>
        <v>0</v>
      </c>
      <c r="P587" s="7">
        <f t="shared" si="92"/>
        <v>16.5</v>
      </c>
      <c r="Q587" s="8">
        <f t="shared" si="94"/>
        <v>35.725000000000001</v>
      </c>
      <c r="R587" s="8">
        <f t="shared" si="95"/>
        <v>23.125</v>
      </c>
      <c r="S587" s="8">
        <f t="shared" si="96"/>
        <v>21.675000000000001</v>
      </c>
      <c r="T587" s="8">
        <f t="shared" si="97"/>
        <v>27.875</v>
      </c>
      <c r="U587" s="7">
        <f t="shared" si="98"/>
        <v>26.841666666666669</v>
      </c>
      <c r="V587" s="7">
        <f t="shared" si="99"/>
        <v>27.1</v>
      </c>
    </row>
    <row r="588" spans="1:22" ht="13.5" x14ac:dyDescent="0.25">
      <c r="A588" s="3">
        <f>RSI!A588</f>
        <v>45776</v>
      </c>
      <c r="B588" s="2">
        <f>RSI!B588</f>
        <v>5.4459999999999997</v>
      </c>
      <c r="C588" s="2">
        <f>RSI!I588</f>
        <v>47.42693211902079</v>
      </c>
      <c r="D588" s="2">
        <f>MACD!E588</f>
        <v>-4.5021184986000051E-2</v>
      </c>
      <c r="E588" s="2">
        <f>MACD!F588</f>
        <v>-3.2400358780544709E-2</v>
      </c>
      <c r="F588" s="2">
        <f>'Moving Avg'!D588</f>
        <v>5.4988000000000001</v>
      </c>
      <c r="G588" s="2">
        <f>'Moving Avg'!F588</f>
        <v>5.4667000000000003</v>
      </c>
      <c r="H588" s="2">
        <f>'Moving Avg'!G588</f>
        <v>5.51206</v>
      </c>
      <c r="I588" s="2">
        <f>'Moving Avg'!H588</f>
        <v>5.7126899999999914</v>
      </c>
      <c r="J588" s="5" t="str">
        <f>OBV!F588</f>
        <v>BEARISH</v>
      </c>
      <c r="K588" s="5" t="str">
        <f>OBV!G588</f>
        <v>STRONG</v>
      </c>
      <c r="L588" s="5" t="str">
        <f>OBV!H588</f>
        <v>CONFIRMED BEARISH</v>
      </c>
      <c r="M588" s="7">
        <f t="shared" si="93"/>
        <v>50</v>
      </c>
      <c r="N588" s="7">
        <f t="shared" si="90"/>
        <v>45</v>
      </c>
      <c r="O588" s="7">
        <f t="shared" si="91"/>
        <v>0</v>
      </c>
      <c r="P588" s="7">
        <f t="shared" si="92"/>
        <v>33</v>
      </c>
      <c r="Q588" s="8">
        <f t="shared" si="94"/>
        <v>38.200000000000003</v>
      </c>
      <c r="R588" s="8">
        <f t="shared" si="95"/>
        <v>27.25</v>
      </c>
      <c r="S588" s="8">
        <f t="shared" si="96"/>
        <v>29.1</v>
      </c>
      <c r="T588" s="8">
        <f t="shared" si="97"/>
        <v>32</v>
      </c>
      <c r="U588" s="7">
        <f t="shared" si="98"/>
        <v>31.516666666666669</v>
      </c>
      <c r="V588" s="7">
        <f t="shared" si="99"/>
        <v>31.637500000000003</v>
      </c>
    </row>
    <row r="589" spans="1:22" ht="13.5" x14ac:dyDescent="0.25">
      <c r="A589" s="3">
        <f>RSI!A589</f>
        <v>45777</v>
      </c>
      <c r="B589" s="2">
        <f>RSI!B589</f>
        <v>5.6340000000000003</v>
      </c>
      <c r="C589" s="2">
        <f>RSI!I589</f>
        <v>57.243066414164325</v>
      </c>
      <c r="D589" s="2">
        <f>MACD!E589</f>
        <v>-5.8219090642206872E-2</v>
      </c>
      <c r="E589" s="2">
        <f>MACD!F589</f>
        <v>-3.7564105152877142E-2</v>
      </c>
      <c r="F589" s="2">
        <f>'Moving Avg'!D589</f>
        <v>5.5419999999999998</v>
      </c>
      <c r="G589" s="2">
        <f>'Moving Avg'!F589</f>
        <v>5.4760999999999997</v>
      </c>
      <c r="H589" s="2">
        <f>'Moving Avg'!G589</f>
        <v>5.5111200000000009</v>
      </c>
      <c r="I589" s="2">
        <f>'Moving Avg'!H589</f>
        <v>5.7117999999999913</v>
      </c>
      <c r="J589" s="5" t="str">
        <f>OBV!F589</f>
        <v>BEARISH</v>
      </c>
      <c r="K589" s="5" t="str">
        <f>OBV!G589</f>
        <v>NEUTRAL</v>
      </c>
      <c r="L589" s="5" t="str">
        <f>OBV!H589</f>
        <v>BEARISH DIVERGENCE</v>
      </c>
      <c r="M589" s="7">
        <f t="shared" si="93"/>
        <v>50</v>
      </c>
      <c r="N589" s="7">
        <f t="shared" si="90"/>
        <v>100</v>
      </c>
      <c r="O589" s="7">
        <f t="shared" si="91"/>
        <v>0</v>
      </c>
      <c r="P589" s="7">
        <f t="shared" si="92"/>
        <v>16.5</v>
      </c>
      <c r="Q589" s="8">
        <f t="shared" si="94"/>
        <v>54.975000000000001</v>
      </c>
      <c r="R589" s="8">
        <f t="shared" si="95"/>
        <v>34.125</v>
      </c>
      <c r="S589" s="8">
        <f t="shared" si="96"/>
        <v>29.925000000000001</v>
      </c>
      <c r="T589" s="8">
        <f t="shared" si="97"/>
        <v>41.625</v>
      </c>
      <c r="U589" s="7">
        <f t="shared" si="98"/>
        <v>39.674999999999997</v>
      </c>
      <c r="V589" s="7">
        <f t="shared" si="99"/>
        <v>40.162499999999994</v>
      </c>
    </row>
    <row r="590" spans="1:22" ht="13.5" x14ac:dyDescent="0.25">
      <c r="A590" s="3">
        <f>RSI!A590</f>
        <v>45779</v>
      </c>
      <c r="B590" s="2">
        <f>RSI!B590</f>
        <v>5.6340000000000003</v>
      </c>
      <c r="C590" s="2">
        <f>RSI!I590</f>
        <v>57.243066414164325</v>
      </c>
      <c r="D590" s="2">
        <f>MACD!E590</f>
        <v>-6.7331762131916939E-2</v>
      </c>
      <c r="E590" s="2">
        <f>MACD!F590</f>
        <v>-4.3517636548685103E-2</v>
      </c>
      <c r="F590" s="2">
        <f>'Moving Avg'!D590</f>
        <v>5.5438000000000001</v>
      </c>
      <c r="G590" s="2">
        <f>'Moving Avg'!F590</f>
        <v>5.4873500000000002</v>
      </c>
      <c r="H590" s="2">
        <f>'Moving Avg'!G590</f>
        <v>5.5101800000000001</v>
      </c>
      <c r="I590" s="2">
        <f>'Moving Avg'!H590</f>
        <v>5.7105799999999922</v>
      </c>
      <c r="J590" s="5" t="str">
        <f>OBV!F590</f>
        <v>BEARISH</v>
      </c>
      <c r="K590" s="5" t="str">
        <f>OBV!G590</f>
        <v>NEUTRAL</v>
      </c>
      <c r="L590" s="5" t="str">
        <f>OBV!H590</f>
        <v>BEARISH DIVERGENCE</v>
      </c>
      <c r="M590" s="7">
        <f t="shared" si="93"/>
        <v>50</v>
      </c>
      <c r="N590" s="7">
        <f t="shared" si="90"/>
        <v>100</v>
      </c>
      <c r="O590" s="7">
        <f t="shared" si="91"/>
        <v>0</v>
      </c>
      <c r="P590" s="7">
        <f t="shared" si="92"/>
        <v>16.5</v>
      </c>
      <c r="Q590" s="8">
        <f t="shared" si="94"/>
        <v>54.975000000000001</v>
      </c>
      <c r="R590" s="8">
        <f t="shared" si="95"/>
        <v>34.125</v>
      </c>
      <c r="S590" s="8">
        <f t="shared" si="96"/>
        <v>29.925000000000001</v>
      </c>
      <c r="T590" s="8">
        <f t="shared" si="97"/>
        <v>41.625</v>
      </c>
      <c r="U590" s="7">
        <f t="shared" si="98"/>
        <v>39.674999999999997</v>
      </c>
      <c r="V590" s="7">
        <f t="shared" si="99"/>
        <v>40.162499999999994</v>
      </c>
    </row>
    <row r="591" spans="1:22" ht="13.5" x14ac:dyDescent="0.25">
      <c r="A591" s="3">
        <f>RSI!A591</f>
        <v>45782</v>
      </c>
      <c r="B591" s="2">
        <f>RSI!B591</f>
        <v>5.6340000000000003</v>
      </c>
      <c r="C591" s="2">
        <f>RSI!I591</f>
        <v>57.243066414164325</v>
      </c>
      <c r="D591" s="2">
        <f>MACD!E591</f>
        <v>-7.5846456180756583E-2</v>
      </c>
      <c r="E591" s="2">
        <f>MACD!F591</f>
        <v>-4.9983400475099402E-2</v>
      </c>
      <c r="F591" s="2">
        <f>'Moving Avg'!D591</f>
        <v>5.5587999999999997</v>
      </c>
      <c r="G591" s="2">
        <f>'Moving Avg'!F591</f>
        <v>5.4967499999999996</v>
      </c>
      <c r="H591" s="2">
        <f>'Moving Avg'!G591</f>
        <v>5.5092400000000001</v>
      </c>
      <c r="I591" s="2">
        <f>'Moving Avg'!H591</f>
        <v>5.7091699999999914</v>
      </c>
      <c r="J591" s="5" t="str">
        <f>OBV!F591</f>
        <v>BEARISH</v>
      </c>
      <c r="K591" s="5" t="str">
        <f>OBV!G591</f>
        <v>NEUTRAL</v>
      </c>
      <c r="L591" s="5" t="str">
        <f>OBV!H591</f>
        <v>BEARISH DIVERGENCE</v>
      </c>
      <c r="M591" s="7">
        <f t="shared" si="93"/>
        <v>50</v>
      </c>
      <c r="N591" s="7">
        <f t="shared" si="90"/>
        <v>100</v>
      </c>
      <c r="O591" s="7">
        <f t="shared" si="91"/>
        <v>0</v>
      </c>
      <c r="P591" s="7">
        <f t="shared" si="92"/>
        <v>16.5</v>
      </c>
      <c r="Q591" s="8">
        <f t="shared" si="94"/>
        <v>54.975000000000001</v>
      </c>
      <c r="R591" s="8">
        <f t="shared" si="95"/>
        <v>34.125</v>
      </c>
      <c r="S591" s="8">
        <f t="shared" si="96"/>
        <v>29.925000000000001</v>
      </c>
      <c r="T591" s="8">
        <f t="shared" si="97"/>
        <v>41.625</v>
      </c>
      <c r="U591" s="7">
        <f t="shared" si="98"/>
        <v>39.674999999999997</v>
      </c>
      <c r="V591" s="7">
        <f t="shared" si="99"/>
        <v>40.162499999999994</v>
      </c>
    </row>
    <row r="592" spans="1:22" ht="13.5" x14ac:dyDescent="0.25">
      <c r="A592" s="3">
        <f>RSI!A592</f>
        <v>45783</v>
      </c>
      <c r="B592" s="2">
        <f>RSI!B592</f>
        <v>5.6340000000000003</v>
      </c>
      <c r="C592" s="2">
        <f>RSI!I592</f>
        <v>57.243066414164325</v>
      </c>
      <c r="D592" s="2">
        <f>MACD!E592</f>
        <v>-7.6564846604425085E-2</v>
      </c>
      <c r="E592" s="2">
        <f>MACD!F592</f>
        <v>-5.5299689700964542E-2</v>
      </c>
      <c r="F592" s="2">
        <f>'Moving Avg'!D592</f>
        <v>5.5964</v>
      </c>
      <c r="G592" s="2">
        <f>'Moving Avg'!F592</f>
        <v>5.5070999999999994</v>
      </c>
      <c r="H592" s="2">
        <f>'Moving Avg'!G592</f>
        <v>5.5082999999999993</v>
      </c>
      <c r="I592" s="2">
        <f>'Moving Avg'!H592</f>
        <v>5.7075249999999915</v>
      </c>
      <c r="J592" s="5" t="str">
        <f>OBV!F592</f>
        <v>BULLISH</v>
      </c>
      <c r="K592" s="5" t="str">
        <f>OBV!G592</f>
        <v>NEUTRAL</v>
      </c>
      <c r="L592" s="5" t="str">
        <f>OBV!H592</f>
        <v>CONFIRMED BULLISH</v>
      </c>
      <c r="M592" s="7">
        <f t="shared" si="93"/>
        <v>50</v>
      </c>
      <c r="N592" s="7">
        <f t="shared" si="90"/>
        <v>100</v>
      </c>
      <c r="O592" s="7">
        <f t="shared" si="91"/>
        <v>0</v>
      </c>
      <c r="P592" s="7">
        <f t="shared" si="92"/>
        <v>83.5</v>
      </c>
      <c r="Q592" s="8">
        <f t="shared" si="94"/>
        <v>65.025000000000006</v>
      </c>
      <c r="R592" s="8">
        <f t="shared" si="95"/>
        <v>50.875</v>
      </c>
      <c r="S592" s="8">
        <f t="shared" si="96"/>
        <v>60.075000000000003</v>
      </c>
      <c r="T592" s="8">
        <f t="shared" si="97"/>
        <v>58.375</v>
      </c>
      <c r="U592" s="7">
        <f t="shared" si="98"/>
        <v>58.658333333333339</v>
      </c>
      <c r="V592" s="7">
        <f t="shared" si="99"/>
        <v>58.587500000000006</v>
      </c>
    </row>
    <row r="593" spans="1:22" ht="13.5" x14ac:dyDescent="0.25">
      <c r="A593" s="3">
        <f>RSI!A593</f>
        <v>45784</v>
      </c>
      <c r="B593" s="2">
        <f>RSI!B593</f>
        <v>5.5209999999999999</v>
      </c>
      <c r="C593" s="2">
        <f>RSI!I593</f>
        <v>49.735442868463487</v>
      </c>
      <c r="D593" s="2">
        <f>MACD!E593</f>
        <v>-4.779931378417146E-2</v>
      </c>
      <c r="E593" s="2">
        <f>MACD!F593</f>
        <v>-5.3799614517605926E-2</v>
      </c>
      <c r="F593" s="2">
        <f>'Moving Avg'!D593</f>
        <v>5.6114000000000006</v>
      </c>
      <c r="G593" s="2">
        <f>'Moving Avg'!F593</f>
        <v>5.5084999999999997</v>
      </c>
      <c r="H593" s="2">
        <f>'Moving Avg'!G593</f>
        <v>5.5050999999999997</v>
      </c>
      <c r="I593" s="2">
        <f>'Moving Avg'!H593</f>
        <v>5.7054099999999925</v>
      </c>
      <c r="J593" s="5" t="str">
        <f>OBV!F593</f>
        <v>BEARISH</v>
      </c>
      <c r="K593" s="5" t="str">
        <f>OBV!G593</f>
        <v>NEUTRAL</v>
      </c>
      <c r="L593" s="5" t="str">
        <f>OBV!H593</f>
        <v>BEARISH DIVERGENCE</v>
      </c>
      <c r="M593" s="7">
        <f t="shared" si="93"/>
        <v>50</v>
      </c>
      <c r="N593" s="7">
        <f t="shared" si="90"/>
        <v>0</v>
      </c>
      <c r="O593" s="7">
        <f t="shared" si="91"/>
        <v>0</v>
      </c>
      <c r="P593" s="7">
        <f t="shared" si="92"/>
        <v>16.5</v>
      </c>
      <c r="Q593" s="8">
        <f t="shared" si="94"/>
        <v>19.975000000000001</v>
      </c>
      <c r="R593" s="8">
        <f t="shared" si="95"/>
        <v>14.125</v>
      </c>
      <c r="S593" s="8">
        <f t="shared" si="96"/>
        <v>14.925000000000001</v>
      </c>
      <c r="T593" s="8">
        <f t="shared" si="97"/>
        <v>16.625</v>
      </c>
      <c r="U593" s="7">
        <f t="shared" si="98"/>
        <v>16.341666666666669</v>
      </c>
      <c r="V593" s="7">
        <f t="shared" si="99"/>
        <v>16.412500000000001</v>
      </c>
    </row>
    <row r="594" spans="1:22" ht="13.5" x14ac:dyDescent="0.25">
      <c r="A594" s="3">
        <f>RSI!A594</f>
        <v>45785</v>
      </c>
      <c r="B594" s="2">
        <f>RSI!B594</f>
        <v>5.5209999999999999</v>
      </c>
      <c r="C594" s="2">
        <f>RSI!I594</f>
        <v>49.735442868463487</v>
      </c>
      <c r="D594" s="2">
        <f>MACD!E594</f>
        <v>-5.666051383913917E-2</v>
      </c>
      <c r="E594" s="2">
        <f>MACD!F594</f>
        <v>-5.4371794381912579E-2</v>
      </c>
      <c r="F594" s="2">
        <f>'Moving Avg'!D594</f>
        <v>5.5888000000000009</v>
      </c>
      <c r="G594" s="2">
        <f>'Moving Avg'!F594</f>
        <v>5.5099</v>
      </c>
      <c r="H594" s="2">
        <f>'Moving Avg'!G594</f>
        <v>5.5020800000000012</v>
      </c>
      <c r="I594" s="2">
        <f>'Moving Avg'!H594</f>
        <v>5.7035799999999925</v>
      </c>
      <c r="J594" s="5" t="str">
        <f>OBV!F594</f>
        <v>BEARISH</v>
      </c>
      <c r="K594" s="5" t="str">
        <f>OBV!G594</f>
        <v>NEUTRAL</v>
      </c>
      <c r="L594" s="5" t="str">
        <f>OBV!H594</f>
        <v>CONFIRMED BEARISH</v>
      </c>
      <c r="M594" s="7">
        <f t="shared" si="93"/>
        <v>50</v>
      </c>
      <c r="N594" s="7">
        <f t="shared" si="90"/>
        <v>45</v>
      </c>
      <c r="O594" s="7">
        <f t="shared" si="91"/>
        <v>0</v>
      </c>
      <c r="P594" s="7">
        <f t="shared" si="92"/>
        <v>16.5</v>
      </c>
      <c r="Q594" s="8">
        <f t="shared" si="94"/>
        <v>35.725000000000001</v>
      </c>
      <c r="R594" s="8">
        <f t="shared" si="95"/>
        <v>23.125</v>
      </c>
      <c r="S594" s="8">
        <f t="shared" si="96"/>
        <v>21.675000000000001</v>
      </c>
      <c r="T594" s="8">
        <f t="shared" si="97"/>
        <v>27.875</v>
      </c>
      <c r="U594" s="7">
        <f t="shared" si="98"/>
        <v>26.841666666666669</v>
      </c>
      <c r="V594" s="7">
        <f t="shared" si="99"/>
        <v>27.1</v>
      </c>
    </row>
    <row r="595" spans="1:22" ht="13.5" x14ac:dyDescent="0.25">
      <c r="A595" s="3">
        <f>RSI!A595</f>
        <v>45786</v>
      </c>
      <c r="B595" s="2">
        <f>RSI!B595</f>
        <v>5.54</v>
      </c>
      <c r="C595" s="2">
        <f>RSI!I595</f>
        <v>50.988925570408824</v>
      </c>
      <c r="D595" s="2">
        <f>MACD!E595</f>
        <v>-3.3692388368369741E-2</v>
      </c>
      <c r="E595" s="2">
        <f>MACD!F595</f>
        <v>-5.0235913179204013E-2</v>
      </c>
      <c r="F595" s="2">
        <f>'Moving Avg'!D595</f>
        <v>5.57</v>
      </c>
      <c r="G595" s="2">
        <f>'Moving Avg'!F595</f>
        <v>5.5169499999999996</v>
      </c>
      <c r="H595" s="2">
        <f>'Moving Avg'!G595</f>
        <v>5.5002000000000013</v>
      </c>
      <c r="I595" s="2">
        <f>'Moving Avg'!H595</f>
        <v>5.7018449999999925</v>
      </c>
      <c r="J595" s="5" t="str">
        <f>OBV!F595</f>
        <v>BULLISH</v>
      </c>
      <c r="K595" s="5" t="str">
        <f>OBV!G595</f>
        <v>NEUTRAL</v>
      </c>
      <c r="L595" s="5" t="str">
        <f>OBV!H595</f>
        <v>BULLISH DIVERGENCE</v>
      </c>
      <c r="M595" s="7">
        <f t="shared" si="93"/>
        <v>50</v>
      </c>
      <c r="N595" s="7">
        <f t="shared" si="90"/>
        <v>0</v>
      </c>
      <c r="O595" s="7">
        <f t="shared" si="91"/>
        <v>0</v>
      </c>
      <c r="P595" s="7">
        <f t="shared" si="92"/>
        <v>66.5</v>
      </c>
      <c r="Q595" s="8">
        <f t="shared" si="94"/>
        <v>27.475000000000001</v>
      </c>
      <c r="R595" s="8">
        <f t="shared" si="95"/>
        <v>26.625</v>
      </c>
      <c r="S595" s="8">
        <f t="shared" si="96"/>
        <v>37.424999999999997</v>
      </c>
      <c r="T595" s="8">
        <f t="shared" si="97"/>
        <v>29.125</v>
      </c>
      <c r="U595" s="7">
        <f t="shared" si="98"/>
        <v>30.508333333333336</v>
      </c>
      <c r="V595" s="7">
        <f t="shared" si="99"/>
        <v>30.162500000000001</v>
      </c>
    </row>
    <row r="596" spans="1:22" ht="13.5" x14ac:dyDescent="0.25">
      <c r="A596" s="3">
        <f>RSI!A596</f>
        <v>45789</v>
      </c>
      <c r="B596" s="2">
        <f>RSI!B596</f>
        <v>5.625</v>
      </c>
      <c r="C596" s="2">
        <f>RSI!I596</f>
        <v>56.245785273376704</v>
      </c>
      <c r="D596" s="2">
        <f>MACD!E596</f>
        <v>-3.079494090986401E-2</v>
      </c>
      <c r="E596" s="2">
        <f>MACD!F596</f>
        <v>-4.6347718725336016E-2</v>
      </c>
      <c r="F596" s="2">
        <f>'Moving Avg'!D596</f>
        <v>5.5682</v>
      </c>
      <c r="G596" s="2">
        <f>'Moving Avg'!F596</f>
        <v>5.5268500000000005</v>
      </c>
      <c r="H596" s="2">
        <f>'Moving Avg'!G596</f>
        <v>5.5002000000000013</v>
      </c>
      <c r="I596" s="2">
        <f>'Moving Avg'!H596</f>
        <v>5.7006749999999933</v>
      </c>
      <c r="J596" s="5" t="str">
        <f>OBV!F596</f>
        <v>BULLISH</v>
      </c>
      <c r="K596" s="5" t="str">
        <f>OBV!G596</f>
        <v>NEUTRAL</v>
      </c>
      <c r="L596" s="5" t="str">
        <f>OBV!H596</f>
        <v>BULLISH DIVERGENCE</v>
      </c>
      <c r="M596" s="7">
        <f t="shared" si="93"/>
        <v>50</v>
      </c>
      <c r="N596" s="7">
        <f t="shared" si="90"/>
        <v>0</v>
      </c>
      <c r="O596" s="7">
        <f t="shared" si="91"/>
        <v>0</v>
      </c>
      <c r="P596" s="7">
        <f t="shared" si="92"/>
        <v>66.5</v>
      </c>
      <c r="Q596" s="8">
        <f t="shared" si="94"/>
        <v>27.475000000000001</v>
      </c>
      <c r="R596" s="8">
        <f t="shared" si="95"/>
        <v>26.625</v>
      </c>
      <c r="S596" s="8">
        <f t="shared" si="96"/>
        <v>37.424999999999997</v>
      </c>
      <c r="T596" s="8">
        <f t="shared" si="97"/>
        <v>29.125</v>
      </c>
      <c r="U596" s="7">
        <f t="shared" si="98"/>
        <v>30.508333333333336</v>
      </c>
      <c r="V596" s="7">
        <f t="shared" si="99"/>
        <v>30.162500000000001</v>
      </c>
    </row>
    <row r="597" spans="1:22" ht="13.5" x14ac:dyDescent="0.25">
      <c r="A597" s="3">
        <f>RSI!A597</f>
        <v>45790</v>
      </c>
      <c r="B597" s="2">
        <f>RSI!B597</f>
        <v>5.625</v>
      </c>
      <c r="C597" s="2">
        <f>RSI!I597</f>
        <v>56.245785273376718</v>
      </c>
      <c r="D597" s="2">
        <f>MACD!E597</f>
        <v>-4.6310673631436039E-2</v>
      </c>
      <c r="E597" s="2">
        <f>MACD!F597</f>
        <v>-4.6340309706556025E-2</v>
      </c>
      <c r="F597" s="2">
        <f>'Moving Avg'!D597</f>
        <v>5.5663999999999998</v>
      </c>
      <c r="G597" s="2">
        <f>'Moving Avg'!F597</f>
        <v>5.5367499999999996</v>
      </c>
      <c r="H597" s="2">
        <f>'Moving Avg'!G597</f>
        <v>5.500020000000001</v>
      </c>
      <c r="I597" s="2">
        <f>'Moving Avg'!H597</f>
        <v>5.6995049999999949</v>
      </c>
      <c r="J597" s="5" t="str">
        <f>OBV!F597</f>
        <v>BULLISH</v>
      </c>
      <c r="K597" s="5" t="str">
        <f>OBV!G597</f>
        <v>NEUTRAL</v>
      </c>
      <c r="L597" s="5" t="str">
        <f>OBV!H597</f>
        <v>BULLISH DIVERGENCE</v>
      </c>
      <c r="M597" s="7">
        <f t="shared" si="93"/>
        <v>50</v>
      </c>
      <c r="N597" s="7">
        <f t="shared" si="90"/>
        <v>0</v>
      </c>
      <c r="O597" s="7">
        <f t="shared" si="91"/>
        <v>0</v>
      </c>
      <c r="P597" s="7">
        <f t="shared" si="92"/>
        <v>66.5</v>
      </c>
      <c r="Q597" s="8">
        <f t="shared" si="94"/>
        <v>27.475000000000001</v>
      </c>
      <c r="R597" s="8">
        <f t="shared" si="95"/>
        <v>26.625</v>
      </c>
      <c r="S597" s="8">
        <f t="shared" si="96"/>
        <v>37.424999999999997</v>
      </c>
      <c r="T597" s="8">
        <f t="shared" si="97"/>
        <v>29.125</v>
      </c>
      <c r="U597" s="7">
        <f t="shared" si="98"/>
        <v>30.508333333333336</v>
      </c>
      <c r="V597" s="7">
        <f t="shared" si="99"/>
        <v>30.162500000000001</v>
      </c>
    </row>
    <row r="598" spans="1:22" ht="13.5" x14ac:dyDescent="0.25">
      <c r="A598" s="3">
        <f>RSI!A598</f>
        <v>45791</v>
      </c>
      <c r="B598" s="2">
        <f>RSI!B598</f>
        <v>5.625</v>
      </c>
      <c r="C598" s="2">
        <f>RSI!I598</f>
        <v>56.245785273376704</v>
      </c>
      <c r="D598" s="2">
        <f>MACD!E598</f>
        <v>-5.997900355709529E-2</v>
      </c>
      <c r="E598" s="2">
        <f>MACD!F598</f>
        <v>-4.9068048476663878E-2</v>
      </c>
      <c r="F598" s="2">
        <f>'Moving Avg'!D598</f>
        <v>5.5872000000000002</v>
      </c>
      <c r="G598" s="2">
        <f>'Moving Avg'!F598</f>
        <v>5.5466500000000005</v>
      </c>
      <c r="H598" s="2">
        <f>'Moving Avg'!G598</f>
        <v>5.4998400000000007</v>
      </c>
      <c r="I598" s="2">
        <f>'Moving Avg'!H598</f>
        <v>5.6980499999999958</v>
      </c>
      <c r="J598" s="5" t="str">
        <f>OBV!F598</f>
        <v>BULLISH</v>
      </c>
      <c r="K598" s="5" t="str">
        <f>OBV!G598</f>
        <v>WEAK</v>
      </c>
      <c r="L598" s="5" t="str">
        <f>OBV!H598</f>
        <v>CONFIRMED BULLISH</v>
      </c>
      <c r="M598" s="7">
        <f t="shared" si="93"/>
        <v>50</v>
      </c>
      <c r="N598" s="7">
        <f t="shared" si="90"/>
        <v>45</v>
      </c>
      <c r="O598" s="7">
        <f t="shared" si="91"/>
        <v>0</v>
      </c>
      <c r="P598" s="7">
        <f t="shared" si="92"/>
        <v>67</v>
      </c>
      <c r="Q598" s="8">
        <f t="shared" si="94"/>
        <v>43.3</v>
      </c>
      <c r="R598" s="8">
        <f t="shared" si="95"/>
        <v>35.75</v>
      </c>
      <c r="S598" s="8">
        <f t="shared" si="96"/>
        <v>44.400000000000006</v>
      </c>
      <c r="T598" s="8">
        <f t="shared" si="97"/>
        <v>40.5</v>
      </c>
      <c r="U598" s="7">
        <f t="shared" si="98"/>
        <v>41.15</v>
      </c>
      <c r="V598" s="7">
        <f t="shared" si="99"/>
        <v>40.987499999999997</v>
      </c>
    </row>
    <row r="599" spans="1:22" ht="13.5" x14ac:dyDescent="0.25">
      <c r="A599" s="3">
        <f>RSI!A599</f>
        <v>45792</v>
      </c>
      <c r="B599" s="2">
        <f>RSI!B599</f>
        <v>5.4930000000000003</v>
      </c>
      <c r="C599" s="2">
        <f>RSI!I599</f>
        <v>46.559642691524083</v>
      </c>
      <c r="D599" s="2">
        <f>MACD!E599</f>
        <v>-3.3343318985380677E-2</v>
      </c>
      <c r="E599" s="2">
        <f>MACD!F599</f>
        <v>-4.5923102578407246E-2</v>
      </c>
      <c r="F599" s="2">
        <f>'Moving Avg'!D599</f>
        <v>5.5815999999999999</v>
      </c>
      <c r="G599" s="2">
        <f>'Moving Avg'!F599</f>
        <v>5.5499499999999999</v>
      </c>
      <c r="H599" s="2">
        <f>'Moving Avg'!G599</f>
        <v>5.4990800000000002</v>
      </c>
      <c r="I599" s="2">
        <f>'Moving Avg'!H599</f>
        <v>5.6960299999999959</v>
      </c>
      <c r="J599" s="5" t="str">
        <f>OBV!F599</f>
        <v>BULLISH</v>
      </c>
      <c r="K599" s="5" t="str">
        <f>OBV!G599</f>
        <v>NEUTRAL</v>
      </c>
      <c r="L599" s="5" t="str">
        <f>OBV!H599</f>
        <v>BULLISH DIVERGENCE</v>
      </c>
      <c r="M599" s="7">
        <f t="shared" si="93"/>
        <v>50</v>
      </c>
      <c r="N599" s="7">
        <f t="shared" si="90"/>
        <v>0</v>
      </c>
      <c r="O599" s="7">
        <f t="shared" si="91"/>
        <v>0</v>
      </c>
      <c r="P599" s="7">
        <f t="shared" si="92"/>
        <v>66.5</v>
      </c>
      <c r="Q599" s="8">
        <f t="shared" si="94"/>
        <v>27.475000000000001</v>
      </c>
      <c r="R599" s="8">
        <f t="shared" si="95"/>
        <v>26.625</v>
      </c>
      <c r="S599" s="8">
        <f t="shared" si="96"/>
        <v>37.424999999999997</v>
      </c>
      <c r="T599" s="8">
        <f t="shared" si="97"/>
        <v>29.125</v>
      </c>
      <c r="U599" s="7">
        <f t="shared" si="98"/>
        <v>30.508333333333336</v>
      </c>
      <c r="V599" s="7">
        <f t="shared" si="99"/>
        <v>30.162500000000001</v>
      </c>
    </row>
    <row r="600" spans="1:22" ht="13.5" x14ac:dyDescent="0.25">
      <c r="A600" s="3">
        <f>RSI!A600</f>
        <v>45793</v>
      </c>
      <c r="B600" s="2">
        <f>RSI!B600</f>
        <v>5.4649999999999999</v>
      </c>
      <c r="C600" s="2">
        <f>RSI!I600</f>
        <v>44.797334615602416</v>
      </c>
      <c r="D600" s="2">
        <f>MACD!E600</f>
        <v>-8.4140126230920487E-3</v>
      </c>
      <c r="E600" s="2">
        <f>MACD!F600</f>
        <v>-3.8421284587344208E-2</v>
      </c>
      <c r="F600" s="2">
        <f>'Moving Avg'!D600</f>
        <v>5.5666000000000002</v>
      </c>
      <c r="G600" s="2">
        <f>'Moving Avg'!F600</f>
        <v>5.5509000000000004</v>
      </c>
      <c r="H600" s="2">
        <f>'Moving Avg'!G600</f>
        <v>5.4977599999999986</v>
      </c>
      <c r="I600" s="2">
        <f>'Moving Avg'!H600</f>
        <v>5.693869999999996</v>
      </c>
      <c r="J600" s="5" t="str">
        <f>OBV!F600</f>
        <v>BEARISH</v>
      </c>
      <c r="K600" s="5" t="str">
        <f>OBV!G600</f>
        <v>NEUTRAL</v>
      </c>
      <c r="L600" s="5" t="str">
        <f>OBV!H600</f>
        <v>CONFIRMED BEARISH</v>
      </c>
      <c r="M600" s="7">
        <f t="shared" si="93"/>
        <v>50</v>
      </c>
      <c r="N600" s="7">
        <f t="shared" si="90"/>
        <v>0</v>
      </c>
      <c r="O600" s="7">
        <f t="shared" si="91"/>
        <v>0</v>
      </c>
      <c r="P600" s="7">
        <f t="shared" si="92"/>
        <v>16.5</v>
      </c>
      <c r="Q600" s="8">
        <f t="shared" si="94"/>
        <v>19.975000000000001</v>
      </c>
      <c r="R600" s="8">
        <f t="shared" si="95"/>
        <v>14.125</v>
      </c>
      <c r="S600" s="8">
        <f t="shared" si="96"/>
        <v>14.925000000000001</v>
      </c>
      <c r="T600" s="8">
        <f t="shared" si="97"/>
        <v>16.625</v>
      </c>
      <c r="U600" s="7">
        <f t="shared" si="98"/>
        <v>16.341666666666669</v>
      </c>
      <c r="V600" s="7">
        <f t="shared" si="99"/>
        <v>16.412500000000001</v>
      </c>
    </row>
    <row r="601" spans="1:22" ht="13.5" x14ac:dyDescent="0.25">
      <c r="A601" s="3">
        <f>RSI!A601</f>
        <v>45796</v>
      </c>
      <c r="B601" s="2">
        <f>RSI!B601</f>
        <v>5.5960000000000001</v>
      </c>
      <c r="C601" s="2">
        <f>RSI!I601</f>
        <v>53.638809539840686</v>
      </c>
      <c r="D601" s="2">
        <f>MACD!E601</f>
        <v>3.4356036165714698E-3</v>
      </c>
      <c r="E601" s="2">
        <f>MACD!F601</f>
        <v>-3.0049906946561074E-2</v>
      </c>
      <c r="F601" s="2">
        <f>'Moving Avg'!D601</f>
        <v>5.5608000000000004</v>
      </c>
      <c r="G601" s="2">
        <f>'Moving Avg'!F601</f>
        <v>5.5584000000000007</v>
      </c>
      <c r="H601" s="2">
        <f>'Moving Avg'!G601</f>
        <v>5.5007599999999979</v>
      </c>
      <c r="I601" s="2">
        <f>'Moving Avg'!H601</f>
        <v>5.692739999999997</v>
      </c>
      <c r="J601" s="5" t="str">
        <f>OBV!F601</f>
        <v>BEARISH</v>
      </c>
      <c r="K601" s="5" t="str">
        <f>OBV!G601</f>
        <v>NEUTRAL</v>
      </c>
      <c r="L601" s="5" t="str">
        <f>OBV!H601</f>
        <v>CONFIRMED BEARISH</v>
      </c>
      <c r="M601" s="7">
        <f t="shared" si="93"/>
        <v>50</v>
      </c>
      <c r="N601" s="7">
        <f t="shared" si="90"/>
        <v>0</v>
      </c>
      <c r="O601" s="7">
        <f t="shared" si="91"/>
        <v>0</v>
      </c>
      <c r="P601" s="7">
        <f t="shared" si="92"/>
        <v>16.5</v>
      </c>
      <c r="Q601" s="8">
        <f t="shared" si="94"/>
        <v>19.975000000000001</v>
      </c>
      <c r="R601" s="8">
        <f t="shared" si="95"/>
        <v>14.125</v>
      </c>
      <c r="S601" s="8">
        <f t="shared" si="96"/>
        <v>14.925000000000001</v>
      </c>
      <c r="T601" s="8">
        <f t="shared" si="97"/>
        <v>16.625</v>
      </c>
      <c r="U601" s="7">
        <f t="shared" si="98"/>
        <v>16.341666666666669</v>
      </c>
      <c r="V601" s="7">
        <f t="shared" si="99"/>
        <v>16.412500000000001</v>
      </c>
    </row>
    <row r="602" spans="1:22" ht="13.5" x14ac:dyDescent="0.25">
      <c r="A602" s="3">
        <f>RSI!A602</f>
        <v>45797</v>
      </c>
      <c r="B602" s="2">
        <f>RSI!B602</f>
        <v>5.5679999999999996</v>
      </c>
      <c r="C602" s="2">
        <f>RSI!I602</f>
        <v>51.731627142119379</v>
      </c>
      <c r="D602" s="2">
        <f>MACD!E602</f>
        <v>1.5187461312985207E-2</v>
      </c>
      <c r="E602" s="2">
        <f>MACD!F602</f>
        <v>-2.1002433294651821E-2</v>
      </c>
      <c r="F602" s="2">
        <f>'Moving Avg'!D602</f>
        <v>5.5494000000000003</v>
      </c>
      <c r="G602" s="2">
        <f>'Moving Avg'!F602</f>
        <v>5.5621500000000008</v>
      </c>
      <c r="H602" s="2">
        <f>'Moving Avg'!G602</f>
        <v>5.5031999999999996</v>
      </c>
      <c r="I602" s="2">
        <f>'Moving Avg'!H602</f>
        <v>5.6909999999999981</v>
      </c>
      <c r="J602" s="5" t="str">
        <f>OBV!F602</f>
        <v>BEARISH</v>
      </c>
      <c r="K602" s="5" t="str">
        <f>OBV!G602</f>
        <v>STRONG</v>
      </c>
      <c r="L602" s="5" t="str">
        <f>OBV!H602</f>
        <v>CONFIRMED BEARISH</v>
      </c>
      <c r="M602" s="7">
        <f t="shared" si="93"/>
        <v>50</v>
      </c>
      <c r="N602" s="7">
        <f t="shared" si="90"/>
        <v>0</v>
      </c>
      <c r="O602" s="7">
        <f t="shared" si="91"/>
        <v>0</v>
      </c>
      <c r="P602" s="7">
        <f t="shared" si="92"/>
        <v>33</v>
      </c>
      <c r="Q602" s="8">
        <f t="shared" si="94"/>
        <v>22.45</v>
      </c>
      <c r="R602" s="8">
        <f t="shared" si="95"/>
        <v>18.25</v>
      </c>
      <c r="S602" s="8">
        <f t="shared" si="96"/>
        <v>22.35</v>
      </c>
      <c r="T602" s="8">
        <f t="shared" si="97"/>
        <v>20.75</v>
      </c>
      <c r="U602" s="7">
        <f t="shared" si="98"/>
        <v>21.016666666666669</v>
      </c>
      <c r="V602" s="7">
        <f t="shared" si="99"/>
        <v>20.950000000000003</v>
      </c>
    </row>
    <row r="603" spans="1:22" ht="13.5" x14ac:dyDescent="0.25">
      <c r="A603" s="3">
        <f>RSI!A603</f>
        <v>45798</v>
      </c>
      <c r="B603" s="2">
        <f>RSI!B603</f>
        <v>5.5679999999999996</v>
      </c>
      <c r="C603" s="2">
        <f>RSI!I603</f>
        <v>51.731627142119379</v>
      </c>
      <c r="D603" s="2">
        <f>MACD!E603</f>
        <v>7.589202114299809E-3</v>
      </c>
      <c r="E603" s="2">
        <f>MACD!F603</f>
        <v>-1.5284106212861494E-2</v>
      </c>
      <c r="F603" s="2">
        <f>'Moving Avg'!D603</f>
        <v>5.5379999999999994</v>
      </c>
      <c r="G603" s="2">
        <f>'Moving Avg'!F603</f>
        <v>5.5588500000000005</v>
      </c>
      <c r="H603" s="2">
        <f>'Moving Avg'!G603</f>
        <v>5.502819999999998</v>
      </c>
      <c r="I603" s="2">
        <f>'Moving Avg'!H603</f>
        <v>5.6892599999999973</v>
      </c>
      <c r="J603" s="5" t="str">
        <f>OBV!F603</f>
        <v>BEARISH</v>
      </c>
      <c r="K603" s="5" t="str">
        <f>OBV!G603</f>
        <v>STRONG</v>
      </c>
      <c r="L603" s="5" t="str">
        <f>OBV!H603</f>
        <v>CONFIRMED BEARISH</v>
      </c>
      <c r="M603" s="7">
        <f t="shared" si="93"/>
        <v>50</v>
      </c>
      <c r="N603" s="7">
        <f t="shared" si="90"/>
        <v>0</v>
      </c>
      <c r="O603" s="7">
        <f t="shared" si="91"/>
        <v>0</v>
      </c>
      <c r="P603" s="7">
        <f t="shared" si="92"/>
        <v>33</v>
      </c>
      <c r="Q603" s="8">
        <f t="shared" si="94"/>
        <v>22.45</v>
      </c>
      <c r="R603" s="8">
        <f t="shared" si="95"/>
        <v>18.25</v>
      </c>
      <c r="S603" s="8">
        <f t="shared" si="96"/>
        <v>22.35</v>
      </c>
      <c r="T603" s="8">
        <f t="shared" si="97"/>
        <v>20.75</v>
      </c>
      <c r="U603" s="7">
        <f t="shared" si="98"/>
        <v>21.016666666666669</v>
      </c>
      <c r="V603" s="7">
        <f t="shared" si="99"/>
        <v>20.950000000000003</v>
      </c>
    </row>
    <row r="604" spans="1:22" ht="13.5" x14ac:dyDescent="0.25">
      <c r="A604" s="3">
        <f>RSI!A604</f>
        <v>45799</v>
      </c>
      <c r="B604" s="2">
        <f>RSI!B604</f>
        <v>5.5019999999999998</v>
      </c>
      <c r="C604" s="2">
        <f>RSI!I604</f>
        <v>47.148746743277762</v>
      </c>
      <c r="D604" s="2">
        <f>MACD!E604</f>
        <v>5.9029397550531826E-3</v>
      </c>
      <c r="E604" s="2">
        <f>MACD!F604</f>
        <v>-1.1046697019278559E-2</v>
      </c>
      <c r="F604" s="2">
        <f>'Moving Avg'!D604</f>
        <v>5.5397999999999987</v>
      </c>
      <c r="G604" s="2">
        <f>'Moving Avg'!F604</f>
        <v>5.5630499999999996</v>
      </c>
      <c r="H604" s="2">
        <f>'Moving Avg'!G604</f>
        <v>5.5009399999999982</v>
      </c>
      <c r="I604" s="2">
        <f>'Moving Avg'!H604</f>
        <v>5.6872849999999975</v>
      </c>
      <c r="J604" s="5" t="str">
        <f>OBV!F604</f>
        <v>BEARISH</v>
      </c>
      <c r="K604" s="5" t="str">
        <f>OBV!G604</f>
        <v>STRONG</v>
      </c>
      <c r="L604" s="5" t="str">
        <f>OBV!H604</f>
        <v>BEARISH DIVERGENCE</v>
      </c>
      <c r="M604" s="7">
        <f t="shared" si="93"/>
        <v>50</v>
      </c>
      <c r="N604" s="7">
        <f t="shared" si="90"/>
        <v>0</v>
      </c>
      <c r="O604" s="7">
        <f t="shared" si="91"/>
        <v>0</v>
      </c>
      <c r="P604" s="7">
        <f t="shared" si="92"/>
        <v>33</v>
      </c>
      <c r="Q604" s="8">
        <f t="shared" si="94"/>
        <v>22.45</v>
      </c>
      <c r="R604" s="8">
        <f t="shared" si="95"/>
        <v>18.25</v>
      </c>
      <c r="S604" s="8">
        <f t="shared" si="96"/>
        <v>22.35</v>
      </c>
      <c r="T604" s="8">
        <f t="shared" si="97"/>
        <v>20.75</v>
      </c>
      <c r="U604" s="7">
        <f t="shared" si="98"/>
        <v>21.016666666666669</v>
      </c>
      <c r="V604" s="7">
        <f t="shared" si="99"/>
        <v>20.950000000000003</v>
      </c>
    </row>
    <row r="605" spans="1:22" ht="13.5" x14ac:dyDescent="0.25">
      <c r="A605" s="3">
        <f>RSI!A605</f>
        <v>45800</v>
      </c>
      <c r="B605" s="2">
        <f>RSI!B605</f>
        <v>5.5869999999999997</v>
      </c>
      <c r="C605" s="2">
        <f>RSI!I605</f>
        <v>52.931947724182244</v>
      </c>
      <c r="D605" s="2">
        <f>MACD!E605</f>
        <v>1.3578289065838689E-3</v>
      </c>
      <c r="E605" s="2">
        <f>MACD!F605</f>
        <v>-8.5657918341060738E-3</v>
      </c>
      <c r="F605" s="2">
        <f>'Moving Avg'!D605</f>
        <v>5.5641999999999996</v>
      </c>
      <c r="G605" s="2">
        <f>'Moving Avg'!F605</f>
        <v>5.5611499999999996</v>
      </c>
      <c r="H605" s="2">
        <f>'Moving Avg'!G605</f>
        <v>5.5009399999999982</v>
      </c>
      <c r="I605" s="2">
        <f>'Moving Avg'!H605</f>
        <v>5.6858299999999975</v>
      </c>
      <c r="J605" s="5" t="str">
        <f>OBV!F605</f>
        <v>BULLISH</v>
      </c>
      <c r="K605" s="5" t="str">
        <f>OBV!G605</f>
        <v>NEUTRAL</v>
      </c>
      <c r="L605" s="5" t="str">
        <f>OBV!H605</f>
        <v>CONFIRMED BULLISH</v>
      </c>
      <c r="M605" s="7">
        <f t="shared" si="93"/>
        <v>50</v>
      </c>
      <c r="N605" s="7">
        <f t="shared" si="90"/>
        <v>0</v>
      </c>
      <c r="O605" s="7">
        <f t="shared" si="91"/>
        <v>0</v>
      </c>
      <c r="P605" s="7">
        <f t="shared" si="92"/>
        <v>83.5</v>
      </c>
      <c r="Q605" s="8">
        <f t="shared" si="94"/>
        <v>30.024999999999999</v>
      </c>
      <c r="R605" s="8">
        <f t="shared" si="95"/>
        <v>30.875</v>
      </c>
      <c r="S605" s="8">
        <f t="shared" si="96"/>
        <v>45.075000000000003</v>
      </c>
      <c r="T605" s="8">
        <f t="shared" si="97"/>
        <v>33.375</v>
      </c>
      <c r="U605" s="7">
        <f t="shared" si="98"/>
        <v>35.324999999999996</v>
      </c>
      <c r="V605" s="7">
        <f t="shared" si="99"/>
        <v>34.837499999999999</v>
      </c>
    </row>
    <row r="606" spans="1:22" ht="13.5" x14ac:dyDescent="0.25">
      <c r="A606" s="3">
        <f>RSI!A606</f>
        <v>45803</v>
      </c>
      <c r="B606" s="2">
        <f>RSI!B606</f>
        <v>5.5869999999999997</v>
      </c>
      <c r="C606" s="2">
        <f>RSI!I606</f>
        <v>52.931947724182244</v>
      </c>
      <c r="D606" s="2">
        <f>MACD!E606</f>
        <v>1.0322681331213168E-2</v>
      </c>
      <c r="E606" s="2">
        <f>MACD!F606</f>
        <v>-4.7880972010422261E-3</v>
      </c>
      <c r="F606" s="2">
        <f>'Moving Avg'!D606</f>
        <v>5.5623999999999993</v>
      </c>
      <c r="G606" s="2">
        <f>'Moving Avg'!F606</f>
        <v>5.5625499999999999</v>
      </c>
      <c r="H606" s="2">
        <f>'Moving Avg'!G606</f>
        <v>5.5009399999999991</v>
      </c>
      <c r="I606" s="2">
        <f>'Moving Avg'!H606</f>
        <v>5.6847049999999975</v>
      </c>
      <c r="J606" s="5" t="str">
        <f>OBV!F606</f>
        <v>BEARISH</v>
      </c>
      <c r="K606" s="5" t="str">
        <f>OBV!G606</f>
        <v>NEUTRAL</v>
      </c>
      <c r="L606" s="5" t="str">
        <f>OBV!H606</f>
        <v>CONFIRMED BEARISH</v>
      </c>
      <c r="M606" s="7">
        <f t="shared" si="93"/>
        <v>50</v>
      </c>
      <c r="N606" s="7">
        <f t="shared" si="90"/>
        <v>0</v>
      </c>
      <c r="O606" s="7">
        <f t="shared" si="91"/>
        <v>0</v>
      </c>
      <c r="P606" s="7">
        <f t="shared" si="92"/>
        <v>16.5</v>
      </c>
      <c r="Q606" s="8">
        <f t="shared" si="94"/>
        <v>19.975000000000001</v>
      </c>
      <c r="R606" s="8">
        <f t="shared" si="95"/>
        <v>14.125</v>
      </c>
      <c r="S606" s="8">
        <f t="shared" si="96"/>
        <v>14.925000000000001</v>
      </c>
      <c r="T606" s="8">
        <f t="shared" si="97"/>
        <v>16.625</v>
      </c>
      <c r="U606" s="7">
        <f t="shared" si="98"/>
        <v>16.341666666666669</v>
      </c>
      <c r="V606" s="7">
        <f t="shared" si="99"/>
        <v>16.412500000000001</v>
      </c>
    </row>
    <row r="607" spans="1:22" ht="13.5" x14ac:dyDescent="0.25">
      <c r="A607" s="3">
        <f>RSI!A607</f>
        <v>45804</v>
      </c>
      <c r="B607" s="2">
        <f>RSI!B607</f>
        <v>5.625</v>
      </c>
      <c r="C607" s="2">
        <f>RSI!I607</f>
        <v>55.458960190007325</v>
      </c>
      <c r="D607" s="2">
        <f>MACD!E607</f>
        <v>1.4847022332489246E-2</v>
      </c>
      <c r="E607" s="2">
        <f>MACD!F607</f>
        <v>-8.6107329433593189E-4</v>
      </c>
      <c r="F607" s="2">
        <f>'Moving Avg'!D607</f>
        <v>5.5738000000000003</v>
      </c>
      <c r="G607" s="2">
        <f>'Moving Avg'!F607</f>
        <v>5.5715000000000003</v>
      </c>
      <c r="H607" s="2">
        <f>'Moving Avg'!G607</f>
        <v>5.5035799999999995</v>
      </c>
      <c r="I607" s="2">
        <f>'Moving Avg'!H607</f>
        <v>5.6837699999999982</v>
      </c>
      <c r="J607" s="5" t="str">
        <f>OBV!F607</f>
        <v>BULLISH</v>
      </c>
      <c r="K607" s="5" t="str">
        <f>OBV!G607</f>
        <v>NEUTRAL</v>
      </c>
      <c r="L607" s="5" t="str">
        <f>OBV!H607</f>
        <v>CONFIRMED BULLISH</v>
      </c>
      <c r="M607" s="7">
        <f t="shared" si="93"/>
        <v>50</v>
      </c>
      <c r="N607" s="7">
        <f t="shared" si="90"/>
        <v>0</v>
      </c>
      <c r="O607" s="7">
        <f t="shared" si="91"/>
        <v>0</v>
      </c>
      <c r="P607" s="7">
        <f t="shared" si="92"/>
        <v>83.5</v>
      </c>
      <c r="Q607" s="8">
        <f t="shared" si="94"/>
        <v>30.024999999999999</v>
      </c>
      <c r="R607" s="8">
        <f t="shared" si="95"/>
        <v>30.875</v>
      </c>
      <c r="S607" s="8">
        <f t="shared" si="96"/>
        <v>45.075000000000003</v>
      </c>
      <c r="T607" s="8">
        <f t="shared" si="97"/>
        <v>33.375</v>
      </c>
      <c r="U607" s="7">
        <f t="shared" si="98"/>
        <v>35.324999999999996</v>
      </c>
      <c r="V607" s="7">
        <f t="shared" si="99"/>
        <v>34.837499999999999</v>
      </c>
    </row>
    <row r="608" spans="1:22" ht="13.5" x14ac:dyDescent="0.25">
      <c r="A608" s="3">
        <f>RSI!A608</f>
        <v>45805</v>
      </c>
      <c r="B608" s="2">
        <f>RSI!B608</f>
        <v>5.6340000000000003</v>
      </c>
      <c r="C608" s="2">
        <f>RSI!I608</f>
        <v>56.0606578244848</v>
      </c>
      <c r="D608" s="2">
        <f>MACD!E608</f>
        <v>1.7555870440809862E-2</v>
      </c>
      <c r="E608" s="2">
        <f>MACD!F608</f>
        <v>2.8223154526932272E-3</v>
      </c>
      <c r="F608" s="2">
        <f>'Moving Avg'!D608</f>
        <v>5.5869999999999997</v>
      </c>
      <c r="G608" s="2">
        <f>'Moving Avg'!F608</f>
        <v>5.5809000000000006</v>
      </c>
      <c r="H608" s="2">
        <f>'Moving Avg'!G608</f>
        <v>5.5069599999999994</v>
      </c>
      <c r="I608" s="2">
        <f>'Moving Avg'!H608</f>
        <v>5.682879999999999</v>
      </c>
      <c r="J608" s="5" t="str">
        <f>OBV!F608</f>
        <v>BULLISH</v>
      </c>
      <c r="K608" s="5" t="str">
        <f>OBV!G608</f>
        <v>WEAK</v>
      </c>
      <c r="L608" s="5" t="str">
        <f>OBV!H608</f>
        <v>CONFIRMED BULLISH</v>
      </c>
      <c r="M608" s="7">
        <f t="shared" si="93"/>
        <v>50</v>
      </c>
      <c r="N608" s="7">
        <f t="shared" si="90"/>
        <v>0</v>
      </c>
      <c r="O608" s="7">
        <f t="shared" si="91"/>
        <v>0</v>
      </c>
      <c r="P608" s="7">
        <f t="shared" si="92"/>
        <v>67</v>
      </c>
      <c r="Q608" s="8">
        <f t="shared" si="94"/>
        <v>27.549999999999997</v>
      </c>
      <c r="R608" s="8">
        <f t="shared" si="95"/>
        <v>26.75</v>
      </c>
      <c r="S608" s="8">
        <f t="shared" si="96"/>
        <v>37.650000000000006</v>
      </c>
      <c r="T608" s="8">
        <f t="shared" si="97"/>
        <v>29.25</v>
      </c>
      <c r="U608" s="7">
        <f t="shared" si="98"/>
        <v>30.650000000000002</v>
      </c>
      <c r="V608" s="7">
        <f t="shared" si="99"/>
        <v>30.3</v>
      </c>
    </row>
    <row r="609" spans="1:22" ht="13.5" x14ac:dyDescent="0.25">
      <c r="A609" s="3">
        <f>RSI!A609</f>
        <v>45806</v>
      </c>
      <c r="B609" s="2">
        <f>RSI!B609</f>
        <v>5.6340000000000003</v>
      </c>
      <c r="C609" s="2">
        <f>RSI!I609</f>
        <v>56.0606578244848</v>
      </c>
      <c r="D609" s="2">
        <f>MACD!E609</f>
        <v>-9.3213597507268986E-4</v>
      </c>
      <c r="E609" s="2">
        <f>MACD!F609</f>
        <v>2.071425167140044E-3</v>
      </c>
      <c r="F609" s="2">
        <f>'Moving Avg'!D609</f>
        <v>5.6134000000000004</v>
      </c>
      <c r="G609" s="2">
        <f>'Moving Avg'!F609</f>
        <v>5.5809000000000006</v>
      </c>
      <c r="H609" s="2">
        <f>'Moving Avg'!G609</f>
        <v>5.5112799999999993</v>
      </c>
      <c r="I609" s="2">
        <f>'Moving Avg'!H609</f>
        <v>5.6819899999999981</v>
      </c>
      <c r="J609" s="5" t="str">
        <f>OBV!F609</f>
        <v>BULLISH</v>
      </c>
      <c r="K609" s="5" t="str">
        <f>OBV!G609</f>
        <v>WEAK</v>
      </c>
      <c r="L609" s="5" t="str">
        <f>OBV!H609</f>
        <v>CONFIRMED BULLISH</v>
      </c>
      <c r="M609" s="7">
        <f t="shared" si="93"/>
        <v>50</v>
      </c>
      <c r="N609" s="7">
        <f t="shared" si="90"/>
        <v>45</v>
      </c>
      <c r="O609" s="7">
        <f t="shared" si="91"/>
        <v>0</v>
      </c>
      <c r="P609" s="7">
        <f t="shared" si="92"/>
        <v>67</v>
      </c>
      <c r="Q609" s="8">
        <f t="shared" si="94"/>
        <v>43.3</v>
      </c>
      <c r="R609" s="8">
        <f t="shared" si="95"/>
        <v>35.75</v>
      </c>
      <c r="S609" s="8">
        <f t="shared" si="96"/>
        <v>44.400000000000006</v>
      </c>
      <c r="T609" s="8">
        <f t="shared" si="97"/>
        <v>40.5</v>
      </c>
      <c r="U609" s="7">
        <f t="shared" si="98"/>
        <v>41.15</v>
      </c>
      <c r="V609" s="7">
        <f t="shared" si="99"/>
        <v>40.987499999999997</v>
      </c>
    </row>
    <row r="610" spans="1:22" ht="13.5" x14ac:dyDescent="0.25">
      <c r="A610" s="3">
        <f>RSI!A610</f>
        <v>45807</v>
      </c>
      <c r="B610" s="2">
        <f>RSI!B610</f>
        <v>5.625</v>
      </c>
      <c r="C610" s="2">
        <f>RSI!I610</f>
        <v>55.195900709093159</v>
      </c>
      <c r="D610" s="2">
        <f>MACD!E610</f>
        <v>-2.0654281902330318E-2</v>
      </c>
      <c r="E610" s="2">
        <f>MACD!F610</f>
        <v>-2.4737162467540286E-3</v>
      </c>
      <c r="F610" s="2">
        <f>'Moving Avg'!D610</f>
        <v>5.6210000000000004</v>
      </c>
      <c r="G610" s="2">
        <f>'Moving Avg'!F610</f>
        <v>5.5804500000000008</v>
      </c>
      <c r="H610" s="2">
        <f>'Moving Avg'!G610</f>
        <v>5.5154200000000007</v>
      </c>
      <c r="I610" s="2">
        <f>'Moving Avg'!H610</f>
        <v>5.6811949999999989</v>
      </c>
      <c r="J610" s="5" t="str">
        <f>OBV!F610</f>
        <v>BULLISH</v>
      </c>
      <c r="K610" s="5" t="str">
        <f>OBV!G610</f>
        <v>NEUTRAL</v>
      </c>
      <c r="L610" s="5" t="str">
        <f>OBV!H610</f>
        <v>CONFIRMED BULLISH</v>
      </c>
      <c r="M610" s="7">
        <f t="shared" si="93"/>
        <v>50</v>
      </c>
      <c r="N610" s="7">
        <f t="shared" si="90"/>
        <v>45</v>
      </c>
      <c r="O610" s="7">
        <f t="shared" si="91"/>
        <v>0</v>
      </c>
      <c r="P610" s="7">
        <f t="shared" si="92"/>
        <v>83.5</v>
      </c>
      <c r="Q610" s="8">
        <f t="shared" si="94"/>
        <v>45.774999999999999</v>
      </c>
      <c r="R610" s="8">
        <f t="shared" si="95"/>
        <v>39.875</v>
      </c>
      <c r="S610" s="8">
        <f t="shared" si="96"/>
        <v>51.825000000000003</v>
      </c>
      <c r="T610" s="8">
        <f t="shared" si="97"/>
        <v>44.625</v>
      </c>
      <c r="U610" s="7">
        <f t="shared" si="98"/>
        <v>45.82500000000001</v>
      </c>
      <c r="V610" s="7">
        <f t="shared" si="99"/>
        <v>45.525000000000006</v>
      </c>
    </row>
    <row r="611" spans="1:22" ht="13.5" x14ac:dyDescent="0.25">
      <c r="A611" s="3">
        <f>RSI!A611</f>
        <v>45810</v>
      </c>
      <c r="B611" s="2">
        <f>RSI!B611</f>
        <v>5.6150000000000002</v>
      </c>
      <c r="C611" s="2">
        <f>RSI!I611</f>
        <v>54.195573809674386</v>
      </c>
      <c r="D611" s="2">
        <f>MACD!E611</f>
        <v>-1.6799504131351561E-2</v>
      </c>
      <c r="E611" s="2">
        <f>MACD!F611</f>
        <v>-5.3388738236735348E-3</v>
      </c>
      <c r="F611" s="2">
        <f>'Moving Avg'!D611</f>
        <v>5.6266000000000007</v>
      </c>
      <c r="G611" s="2">
        <f>'Moving Avg'!F611</f>
        <v>5.5795000000000003</v>
      </c>
      <c r="H611" s="2">
        <f>'Moving Avg'!G611</f>
        <v>5.5193600000000007</v>
      </c>
      <c r="I611" s="2">
        <f>'Moving Avg'!H611</f>
        <v>5.680629999999999</v>
      </c>
      <c r="J611" s="5" t="str">
        <f>OBV!F611</f>
        <v>BEARISH</v>
      </c>
      <c r="K611" s="5" t="str">
        <f>OBV!G611</f>
        <v>NEUTRAL</v>
      </c>
      <c r="L611" s="5" t="str">
        <f>OBV!H611</f>
        <v>BEARISH DIVERGENCE</v>
      </c>
      <c r="M611" s="7">
        <f t="shared" si="93"/>
        <v>50</v>
      </c>
      <c r="N611" s="7">
        <f t="shared" si="90"/>
        <v>45</v>
      </c>
      <c r="O611" s="7">
        <f t="shared" si="91"/>
        <v>0</v>
      </c>
      <c r="P611" s="7">
        <f t="shared" si="92"/>
        <v>16.5</v>
      </c>
      <c r="Q611" s="8">
        <f t="shared" si="94"/>
        <v>35.725000000000001</v>
      </c>
      <c r="R611" s="8">
        <f t="shared" si="95"/>
        <v>23.125</v>
      </c>
      <c r="S611" s="8">
        <f t="shared" si="96"/>
        <v>21.675000000000001</v>
      </c>
      <c r="T611" s="8">
        <f t="shared" si="97"/>
        <v>27.875</v>
      </c>
      <c r="U611" s="7">
        <f t="shared" si="98"/>
        <v>26.841666666666669</v>
      </c>
      <c r="V611" s="7">
        <f t="shared" si="99"/>
        <v>27.1</v>
      </c>
    </row>
    <row r="612" spans="1:22" ht="13.5" x14ac:dyDescent="0.25">
      <c r="A612" s="3">
        <f>RSI!A612</f>
        <v>45811</v>
      </c>
      <c r="B612" s="2">
        <f>RSI!B612</f>
        <v>5.6150000000000002</v>
      </c>
      <c r="C612" s="2">
        <f>RSI!I612</f>
        <v>54.195573809674379</v>
      </c>
      <c r="D612" s="2">
        <f>MACD!E612</f>
        <v>-1.8112148280797769E-2</v>
      </c>
      <c r="E612" s="2">
        <f>MACD!F612</f>
        <v>-7.8935287150983819E-3</v>
      </c>
      <c r="F612" s="2">
        <f>'Moving Avg'!D612</f>
        <v>5.6246000000000009</v>
      </c>
      <c r="G612" s="2">
        <f>'Moving Avg'!F612</f>
        <v>5.5785499999999999</v>
      </c>
      <c r="H612" s="2">
        <f>'Moving Avg'!G612</f>
        <v>5.5208600000000017</v>
      </c>
      <c r="I612" s="2">
        <f>'Moving Avg'!H612</f>
        <v>5.680114999999998</v>
      </c>
      <c r="J612" s="5" t="str">
        <f>OBV!F612</f>
        <v>BEARISH</v>
      </c>
      <c r="K612" s="5" t="str">
        <f>OBV!G612</f>
        <v>NEUTRAL</v>
      </c>
      <c r="L612" s="5" t="str">
        <f>OBV!H612</f>
        <v>CONFIRMED BEARISH</v>
      </c>
      <c r="M612" s="7">
        <f t="shared" si="93"/>
        <v>50</v>
      </c>
      <c r="N612" s="7">
        <f t="shared" si="90"/>
        <v>45</v>
      </c>
      <c r="O612" s="7">
        <f t="shared" si="91"/>
        <v>0</v>
      </c>
      <c r="P612" s="7">
        <f t="shared" si="92"/>
        <v>16.5</v>
      </c>
      <c r="Q612" s="8">
        <f t="shared" si="94"/>
        <v>35.725000000000001</v>
      </c>
      <c r="R612" s="8">
        <f t="shared" si="95"/>
        <v>23.125</v>
      </c>
      <c r="S612" s="8">
        <f t="shared" si="96"/>
        <v>21.675000000000001</v>
      </c>
      <c r="T612" s="8">
        <f t="shared" si="97"/>
        <v>27.875</v>
      </c>
      <c r="U612" s="7">
        <f t="shared" si="98"/>
        <v>26.841666666666669</v>
      </c>
      <c r="V612" s="7">
        <f t="shared" si="99"/>
        <v>27.1</v>
      </c>
    </row>
    <row r="613" spans="1:22" ht="13.5" x14ac:dyDescent="0.25">
      <c r="A613" s="3">
        <f>RSI!A613</f>
        <v>45812</v>
      </c>
      <c r="B613" s="2">
        <f>RSI!B613</f>
        <v>5.5209999999999999</v>
      </c>
      <c r="C613" s="2">
        <f>RSI!I613</f>
        <v>45.254423776592894</v>
      </c>
      <c r="D613" s="2">
        <f>MACD!E613</f>
        <v>-1.2506816508644825E-2</v>
      </c>
      <c r="E613" s="2">
        <f>MACD!F613</f>
        <v>-8.8161862738076711E-3</v>
      </c>
      <c r="F613" s="2">
        <f>'Moving Avg'!D613</f>
        <v>5.6020000000000012</v>
      </c>
      <c r="G613" s="2">
        <f>'Moving Avg'!F613</f>
        <v>5.5785499999999999</v>
      </c>
      <c r="H613" s="2">
        <f>'Moving Avg'!G613</f>
        <v>5.5229200000000018</v>
      </c>
      <c r="I613" s="2">
        <f>'Moving Avg'!H613</f>
        <v>5.6791299999999989</v>
      </c>
      <c r="J613" s="5" t="str">
        <f>OBV!F613</f>
        <v>BEARISH</v>
      </c>
      <c r="K613" s="5" t="str">
        <f>OBV!G613</f>
        <v>STRONG</v>
      </c>
      <c r="L613" s="5" t="str">
        <f>OBV!H613</f>
        <v>CONFIRMED BEARISH</v>
      </c>
      <c r="M613" s="7">
        <f t="shared" si="93"/>
        <v>50</v>
      </c>
      <c r="N613" s="7">
        <f t="shared" si="90"/>
        <v>45</v>
      </c>
      <c r="O613" s="7">
        <f t="shared" si="91"/>
        <v>0</v>
      </c>
      <c r="P613" s="7">
        <f t="shared" si="92"/>
        <v>33</v>
      </c>
      <c r="Q613" s="8">
        <f t="shared" si="94"/>
        <v>38.200000000000003</v>
      </c>
      <c r="R613" s="8">
        <f t="shared" si="95"/>
        <v>27.25</v>
      </c>
      <c r="S613" s="8">
        <f t="shared" si="96"/>
        <v>29.1</v>
      </c>
      <c r="T613" s="8">
        <f t="shared" si="97"/>
        <v>32</v>
      </c>
      <c r="U613" s="7">
        <f t="shared" si="98"/>
        <v>31.516666666666669</v>
      </c>
      <c r="V613" s="7">
        <f t="shared" si="99"/>
        <v>31.637500000000003</v>
      </c>
    </row>
    <row r="614" spans="1:22" ht="13.5" x14ac:dyDescent="0.25">
      <c r="A614" s="3">
        <f>RSI!A614</f>
        <v>45813</v>
      </c>
      <c r="B614" s="2">
        <f>RSI!B614</f>
        <v>5.5209999999999999</v>
      </c>
      <c r="C614" s="2">
        <f>RSI!I614</f>
        <v>45.254423776592894</v>
      </c>
      <c r="D614" s="2">
        <f>MACD!E614</f>
        <v>-1.7590880601589198E-2</v>
      </c>
      <c r="E614" s="2">
        <f>MACD!F614</f>
        <v>-1.0571125139363978E-2</v>
      </c>
      <c r="F614" s="2">
        <f>'Moving Avg'!D614</f>
        <v>5.5794000000000006</v>
      </c>
      <c r="G614" s="2">
        <f>'Moving Avg'!F614</f>
        <v>5.5785499999999999</v>
      </c>
      <c r="H614" s="2">
        <f>'Moving Avg'!G614</f>
        <v>5.524420000000001</v>
      </c>
      <c r="I614" s="2">
        <f>'Moving Avg'!H614</f>
        <v>5.6781449999999998</v>
      </c>
      <c r="J614" s="5" t="str">
        <f>OBV!F614</f>
        <v>BEARISH</v>
      </c>
      <c r="K614" s="5" t="str">
        <f>OBV!G614</f>
        <v>STRONG</v>
      </c>
      <c r="L614" s="5" t="str">
        <f>OBV!H614</f>
        <v>CONFIRMED BEARISH</v>
      </c>
      <c r="M614" s="7">
        <f t="shared" si="93"/>
        <v>50</v>
      </c>
      <c r="N614" s="7">
        <f t="shared" si="90"/>
        <v>45</v>
      </c>
      <c r="O614" s="7">
        <f t="shared" si="91"/>
        <v>0</v>
      </c>
      <c r="P614" s="7">
        <f t="shared" si="92"/>
        <v>33</v>
      </c>
      <c r="Q614" s="8">
        <f t="shared" si="94"/>
        <v>38.200000000000003</v>
      </c>
      <c r="R614" s="8">
        <f t="shared" si="95"/>
        <v>27.25</v>
      </c>
      <c r="S614" s="8">
        <f t="shared" si="96"/>
        <v>29.1</v>
      </c>
      <c r="T614" s="8">
        <f t="shared" si="97"/>
        <v>32</v>
      </c>
      <c r="U614" s="7">
        <f t="shared" si="98"/>
        <v>31.516666666666669</v>
      </c>
      <c r="V614" s="7">
        <f t="shared" si="99"/>
        <v>31.637500000000003</v>
      </c>
    </row>
    <row r="615" spans="1:22" ht="13.5" x14ac:dyDescent="0.25">
      <c r="A615" s="3">
        <f>RSI!A615</f>
        <v>45817</v>
      </c>
      <c r="B615" s="2">
        <f>RSI!B615</f>
        <v>5.5679999999999996</v>
      </c>
      <c r="C615" s="2">
        <f>RSI!I615</f>
        <v>50.034543702273801</v>
      </c>
      <c r="D615" s="2">
        <f>MACD!E615</f>
        <v>-1.1994738445331166E-2</v>
      </c>
      <c r="E615" s="2">
        <f>MACD!F615</f>
        <v>-1.0855847800557416E-2</v>
      </c>
      <c r="F615" s="2">
        <f>'Moving Avg'!D615</f>
        <v>5.5680000000000005</v>
      </c>
      <c r="G615" s="2">
        <f>'Moving Avg'!F615</f>
        <v>5.5799499999999993</v>
      </c>
      <c r="H615" s="2">
        <f>'Moving Avg'!G615</f>
        <v>5.5278000000000009</v>
      </c>
      <c r="I615" s="2">
        <f>'Moving Avg'!H615</f>
        <v>5.6773949999999989</v>
      </c>
      <c r="J615" s="5" t="str">
        <f>OBV!F615</f>
        <v>BEARISH</v>
      </c>
      <c r="K615" s="5" t="str">
        <f>OBV!G615</f>
        <v>NEUTRAL</v>
      </c>
      <c r="L615" s="5" t="str">
        <f>OBV!H615</f>
        <v>CONFIRMED BEARISH</v>
      </c>
      <c r="M615" s="7">
        <f t="shared" si="93"/>
        <v>50</v>
      </c>
      <c r="N615" s="7">
        <f t="shared" si="90"/>
        <v>45</v>
      </c>
      <c r="O615" s="7">
        <f t="shared" si="91"/>
        <v>0</v>
      </c>
      <c r="P615" s="7">
        <f t="shared" si="92"/>
        <v>16.5</v>
      </c>
      <c r="Q615" s="8">
        <f t="shared" si="94"/>
        <v>35.725000000000001</v>
      </c>
      <c r="R615" s="8">
        <f t="shared" si="95"/>
        <v>23.125</v>
      </c>
      <c r="S615" s="8">
        <f t="shared" si="96"/>
        <v>21.675000000000001</v>
      </c>
      <c r="T615" s="8">
        <f t="shared" si="97"/>
        <v>27.875</v>
      </c>
      <c r="U615" s="7">
        <f t="shared" si="98"/>
        <v>26.841666666666669</v>
      </c>
      <c r="V615" s="7">
        <f t="shared" si="99"/>
        <v>27.1</v>
      </c>
    </row>
    <row r="616" spans="1:22" ht="13.5" x14ac:dyDescent="0.25">
      <c r="A616" s="3">
        <f>RSI!A616</f>
        <v>45818</v>
      </c>
      <c r="B616" s="2">
        <f>RSI!B616</f>
        <v>5.6150000000000002</v>
      </c>
      <c r="C616" s="2">
        <f>RSI!I616</f>
        <v>54.329061262887741</v>
      </c>
      <c r="D616" s="2">
        <f>MACD!E616</f>
        <v>-1.0738561673957037E-2</v>
      </c>
      <c r="E616" s="2">
        <f>MACD!F616</f>
        <v>-1.0832390575237341E-2</v>
      </c>
      <c r="F616" s="2">
        <f>'Moving Avg'!D616</f>
        <v>5.5680000000000005</v>
      </c>
      <c r="G616" s="2">
        <f>'Moving Avg'!F616</f>
        <v>5.5794499999999996</v>
      </c>
      <c r="H616" s="2">
        <f>'Moving Avg'!G616</f>
        <v>5.5323000000000011</v>
      </c>
      <c r="I616" s="2">
        <f>'Moving Avg'!H616</f>
        <v>5.6772999999999989</v>
      </c>
      <c r="J616" s="5" t="str">
        <f>OBV!F616</f>
        <v>BULLISH</v>
      </c>
      <c r="K616" s="5" t="str">
        <f>OBV!G616</f>
        <v>NEUTRAL</v>
      </c>
      <c r="L616" s="5" t="str">
        <f>OBV!H616</f>
        <v>NEUTRAL</v>
      </c>
      <c r="M616" s="7">
        <f t="shared" si="93"/>
        <v>50</v>
      </c>
      <c r="N616" s="7">
        <f t="shared" si="90"/>
        <v>0</v>
      </c>
      <c r="O616" s="7">
        <f t="shared" si="91"/>
        <v>0</v>
      </c>
      <c r="P616" s="7">
        <f t="shared" si="92"/>
        <v>49.5</v>
      </c>
      <c r="Q616" s="8">
        <f t="shared" si="94"/>
        <v>24.925000000000001</v>
      </c>
      <c r="R616" s="8">
        <f t="shared" si="95"/>
        <v>22.375</v>
      </c>
      <c r="S616" s="8">
        <f t="shared" si="96"/>
        <v>29.775000000000002</v>
      </c>
      <c r="T616" s="8">
        <f t="shared" si="97"/>
        <v>24.875</v>
      </c>
      <c r="U616" s="7">
        <f t="shared" si="98"/>
        <v>25.691666666666666</v>
      </c>
      <c r="V616" s="7">
        <f t="shared" si="99"/>
        <v>25.487500000000001</v>
      </c>
    </row>
    <row r="617" spans="1:22" ht="13.5" x14ac:dyDescent="0.25">
      <c r="A617" s="3">
        <f>RSI!A617</f>
        <v>45819</v>
      </c>
      <c r="B617" s="2">
        <f>RSI!B617</f>
        <v>5.6150000000000002</v>
      </c>
      <c r="C617" s="2">
        <f>RSI!I617</f>
        <v>54.329061262887741</v>
      </c>
      <c r="D617" s="2">
        <f>MACD!E617</f>
        <v>-4.1049352955422336E-3</v>
      </c>
      <c r="E617" s="2">
        <f>MACD!F617</f>
        <v>-9.4868995192983196E-3</v>
      </c>
      <c r="F617" s="2">
        <f>'Moving Avg'!D617</f>
        <v>5.5680000000000005</v>
      </c>
      <c r="G617" s="2">
        <f>'Moving Avg'!F617</f>
        <v>5.578949999999999</v>
      </c>
      <c r="H617" s="2">
        <f>'Moving Avg'!G617</f>
        <v>5.5364200000000006</v>
      </c>
      <c r="I617" s="2">
        <f>'Moving Avg'!H617</f>
        <v>5.6772049999999989</v>
      </c>
      <c r="J617" s="5" t="str">
        <f>OBV!F617</f>
        <v>BULLISH</v>
      </c>
      <c r="K617" s="5" t="str">
        <f>OBV!G617</f>
        <v>NEUTRAL</v>
      </c>
      <c r="L617" s="5" t="str">
        <f>OBV!H617</f>
        <v>NEUTRAL</v>
      </c>
      <c r="M617" s="7">
        <f t="shared" si="93"/>
        <v>50</v>
      </c>
      <c r="N617" s="7">
        <f t="shared" si="90"/>
        <v>0</v>
      </c>
      <c r="O617" s="7">
        <f t="shared" si="91"/>
        <v>0</v>
      </c>
      <c r="P617" s="7">
        <f t="shared" si="92"/>
        <v>49.5</v>
      </c>
      <c r="Q617" s="8">
        <f t="shared" si="94"/>
        <v>24.925000000000001</v>
      </c>
      <c r="R617" s="8">
        <f t="shared" si="95"/>
        <v>22.375</v>
      </c>
      <c r="S617" s="8">
        <f t="shared" si="96"/>
        <v>29.775000000000002</v>
      </c>
      <c r="T617" s="8">
        <f t="shared" si="97"/>
        <v>24.875</v>
      </c>
      <c r="U617" s="7">
        <f t="shared" si="98"/>
        <v>25.691666666666666</v>
      </c>
      <c r="V617" s="7">
        <f t="shared" si="99"/>
        <v>25.487500000000001</v>
      </c>
    </row>
    <row r="618" spans="1:22" ht="13.5" x14ac:dyDescent="0.25">
      <c r="A618" s="3">
        <f>RSI!A618</f>
        <v>45820</v>
      </c>
      <c r="B618" s="2">
        <f>RSI!B618</f>
        <v>5.6150000000000002</v>
      </c>
      <c r="C618" s="2">
        <f>RSI!I618</f>
        <v>54.329061262887748</v>
      </c>
      <c r="D618" s="2">
        <f>MACD!E618</f>
        <v>2.6377057165563045E-3</v>
      </c>
      <c r="E618" s="2">
        <f>MACD!F618</f>
        <v>-7.0619784721273953E-3</v>
      </c>
      <c r="F618" s="2">
        <f>'Moving Avg'!D618</f>
        <v>5.5868000000000011</v>
      </c>
      <c r="G618" s="2">
        <f>'Moving Avg'!F618</f>
        <v>5.5784499999999984</v>
      </c>
      <c r="H618" s="2">
        <f>'Moving Avg'!G618</f>
        <v>5.5379200000000006</v>
      </c>
      <c r="I618" s="2">
        <f>'Moving Avg'!H618</f>
        <v>5.677109999999999</v>
      </c>
      <c r="J618" s="5" t="str">
        <f>OBV!F618</f>
        <v>BULLISH</v>
      </c>
      <c r="K618" s="5" t="str">
        <f>OBV!G618</f>
        <v>WEAK</v>
      </c>
      <c r="L618" s="5" t="str">
        <f>OBV!H618</f>
        <v>CONFIRMED BULLISH</v>
      </c>
      <c r="M618" s="7">
        <f t="shared" si="93"/>
        <v>50</v>
      </c>
      <c r="N618" s="7">
        <f t="shared" si="90"/>
        <v>0</v>
      </c>
      <c r="O618" s="7">
        <f t="shared" si="91"/>
        <v>0</v>
      </c>
      <c r="P618" s="7">
        <f t="shared" si="92"/>
        <v>67</v>
      </c>
      <c r="Q618" s="8">
        <f t="shared" si="94"/>
        <v>27.549999999999997</v>
      </c>
      <c r="R618" s="8">
        <f t="shared" si="95"/>
        <v>26.75</v>
      </c>
      <c r="S618" s="8">
        <f t="shared" si="96"/>
        <v>37.650000000000006</v>
      </c>
      <c r="T618" s="8">
        <f t="shared" si="97"/>
        <v>29.25</v>
      </c>
      <c r="U618" s="7">
        <f t="shared" si="98"/>
        <v>30.650000000000002</v>
      </c>
      <c r="V618" s="7">
        <f t="shared" si="99"/>
        <v>30.3</v>
      </c>
    </row>
    <row r="619" spans="1:22" ht="13.5" x14ac:dyDescent="0.25">
      <c r="A619" s="3">
        <f>RSI!A619</f>
        <v>45821</v>
      </c>
      <c r="B619" s="2">
        <f>RSI!B619</f>
        <v>5.54</v>
      </c>
      <c r="C619" s="2">
        <f>RSI!I619</f>
        <v>46.383485683404579</v>
      </c>
      <c r="D619" s="2">
        <f>MACD!E619</f>
        <v>1.3662422113880801E-2</v>
      </c>
      <c r="E619" s="2">
        <f>MACD!F619</f>
        <v>-2.9170983549257567E-3</v>
      </c>
      <c r="F619" s="2">
        <f>'Moving Avg'!D619</f>
        <v>5.5906000000000002</v>
      </c>
      <c r="G619" s="2">
        <f>'Moving Avg'!F619</f>
        <v>5.5807999999999982</v>
      </c>
      <c r="H619" s="2">
        <f>'Moving Avg'!G619</f>
        <v>5.5398000000000005</v>
      </c>
      <c r="I619" s="2">
        <f>'Moving Avg'!H619</f>
        <v>5.6766399999999999</v>
      </c>
      <c r="J619" s="5" t="str">
        <f>OBV!F619</f>
        <v>BULLISH</v>
      </c>
      <c r="K619" s="5" t="str">
        <f>OBV!G619</f>
        <v>NEUTRAL</v>
      </c>
      <c r="L619" s="5" t="str">
        <f>OBV!H619</f>
        <v>CONFIRMED BULLISH</v>
      </c>
      <c r="M619" s="7">
        <f t="shared" si="93"/>
        <v>50</v>
      </c>
      <c r="N619" s="7">
        <f t="shared" si="90"/>
        <v>0</v>
      </c>
      <c r="O619" s="7">
        <f t="shared" si="91"/>
        <v>0</v>
      </c>
      <c r="P619" s="7">
        <f t="shared" si="92"/>
        <v>83.5</v>
      </c>
      <c r="Q619" s="8">
        <f t="shared" si="94"/>
        <v>30.024999999999999</v>
      </c>
      <c r="R619" s="8">
        <f t="shared" si="95"/>
        <v>30.875</v>
      </c>
      <c r="S619" s="8">
        <f t="shared" si="96"/>
        <v>45.075000000000003</v>
      </c>
      <c r="T619" s="8">
        <f t="shared" si="97"/>
        <v>33.375</v>
      </c>
      <c r="U619" s="7">
        <f t="shared" si="98"/>
        <v>35.324999999999996</v>
      </c>
      <c r="V619" s="7">
        <f t="shared" si="99"/>
        <v>34.837499999999999</v>
      </c>
    </row>
    <row r="620" spans="1:22" ht="13.5" x14ac:dyDescent="0.25">
      <c r="A620" s="3">
        <f>RSI!A620</f>
        <v>45824</v>
      </c>
      <c r="B620" s="2">
        <f>RSI!B620</f>
        <v>5.54</v>
      </c>
      <c r="C620" s="2">
        <f>RSI!I620</f>
        <v>46.383485683404579</v>
      </c>
      <c r="D620" s="2">
        <f>MACD!E620</f>
        <v>2.1830932999375996E-2</v>
      </c>
      <c r="E620" s="2">
        <f>MACD!F620</f>
        <v>2.0325079159345936E-3</v>
      </c>
      <c r="F620" s="2">
        <f>'Moving Avg'!D620</f>
        <v>5.5849999999999991</v>
      </c>
      <c r="G620" s="2">
        <f>'Moving Avg'!F620</f>
        <v>5.5845500000000001</v>
      </c>
      <c r="H620" s="2">
        <f>'Moving Avg'!G620</f>
        <v>5.5424200000000008</v>
      </c>
      <c r="I620" s="2">
        <f>'Moving Avg'!H620</f>
        <v>5.676215</v>
      </c>
      <c r="J620" s="5" t="str">
        <f>OBV!F620</f>
        <v>BEARISH</v>
      </c>
      <c r="K620" s="5" t="str">
        <f>OBV!G620</f>
        <v>NEUTRAL</v>
      </c>
      <c r="L620" s="5" t="str">
        <f>OBV!H620</f>
        <v>CONFIRMED BEARISH</v>
      </c>
      <c r="M620" s="7">
        <f t="shared" si="93"/>
        <v>50</v>
      </c>
      <c r="N620" s="7">
        <f t="shared" si="90"/>
        <v>0</v>
      </c>
      <c r="O620" s="7">
        <f t="shared" si="91"/>
        <v>0</v>
      </c>
      <c r="P620" s="7">
        <f t="shared" si="92"/>
        <v>16.5</v>
      </c>
      <c r="Q620" s="8">
        <f t="shared" si="94"/>
        <v>19.975000000000001</v>
      </c>
      <c r="R620" s="8">
        <f t="shared" si="95"/>
        <v>14.125</v>
      </c>
      <c r="S620" s="8">
        <f t="shared" si="96"/>
        <v>14.925000000000001</v>
      </c>
      <c r="T620" s="8">
        <f t="shared" si="97"/>
        <v>16.625</v>
      </c>
      <c r="U620" s="7">
        <f t="shared" si="98"/>
        <v>16.341666666666669</v>
      </c>
      <c r="V620" s="7">
        <f t="shared" si="99"/>
        <v>16.412500000000001</v>
      </c>
    </row>
    <row r="621" spans="1:22" ht="13.5" x14ac:dyDescent="0.25">
      <c r="A621" s="3">
        <f>RSI!A621</f>
        <v>45825</v>
      </c>
      <c r="B621" s="2">
        <f>RSI!B621</f>
        <v>5.54</v>
      </c>
      <c r="C621" s="2">
        <f>RSI!I621</f>
        <v>46.383485683404579</v>
      </c>
      <c r="D621" s="2">
        <f>MACD!E621</f>
        <v>2.7412177334172227E-2</v>
      </c>
      <c r="E621" s="2">
        <f>MACD!F621</f>
        <v>7.1084417995821211E-3</v>
      </c>
      <c r="F621" s="2">
        <f>'Moving Avg'!D621</f>
        <v>5.5699999999999994</v>
      </c>
      <c r="G621" s="2">
        <f>'Moving Avg'!F621</f>
        <v>5.5817500000000004</v>
      </c>
      <c r="H621" s="2">
        <f>'Moving Avg'!G621</f>
        <v>5.5443000000000016</v>
      </c>
      <c r="I621" s="2">
        <f>'Moving Avg'!H621</f>
        <v>5.6757450000000009</v>
      </c>
      <c r="J621" s="5" t="str">
        <f>OBV!F621</f>
        <v>BEARISH</v>
      </c>
      <c r="K621" s="5" t="str">
        <f>OBV!G621</f>
        <v>NEUTRAL</v>
      </c>
      <c r="L621" s="5" t="str">
        <f>OBV!H621</f>
        <v>CONFIRMED BEARISH</v>
      </c>
      <c r="M621" s="7">
        <f t="shared" si="93"/>
        <v>50</v>
      </c>
      <c r="N621" s="7">
        <f t="shared" si="90"/>
        <v>0</v>
      </c>
      <c r="O621" s="7">
        <f t="shared" si="91"/>
        <v>0</v>
      </c>
      <c r="P621" s="7">
        <f t="shared" si="92"/>
        <v>16.5</v>
      </c>
      <c r="Q621" s="8">
        <f t="shared" si="94"/>
        <v>19.975000000000001</v>
      </c>
      <c r="R621" s="8">
        <f t="shared" si="95"/>
        <v>14.125</v>
      </c>
      <c r="S621" s="8">
        <f t="shared" si="96"/>
        <v>14.925000000000001</v>
      </c>
      <c r="T621" s="8">
        <f t="shared" si="97"/>
        <v>16.625</v>
      </c>
      <c r="U621" s="7">
        <f t="shared" si="98"/>
        <v>16.341666666666669</v>
      </c>
      <c r="V621" s="7">
        <f t="shared" si="99"/>
        <v>16.412500000000001</v>
      </c>
    </row>
    <row r="622" spans="1:22" ht="13.5" x14ac:dyDescent="0.25">
      <c r="A622" s="3">
        <f>RSI!A622</f>
        <v>45826</v>
      </c>
      <c r="B622" s="2">
        <f>RSI!B622</f>
        <v>5.5869999999999997</v>
      </c>
      <c r="C622" s="2">
        <f>RSI!I622</f>
        <v>51.890482301652447</v>
      </c>
      <c r="D622" s="2">
        <f>MACD!E622</f>
        <v>2.8845777000076289E-2</v>
      </c>
      <c r="E622" s="2">
        <f>MACD!F622</f>
        <v>1.1455908839680956E-2</v>
      </c>
      <c r="F622" s="2">
        <f>'Moving Avg'!D622</f>
        <v>5.5644</v>
      </c>
      <c r="G622" s="2">
        <f>'Moving Avg'!F622</f>
        <v>5.5827000000000009</v>
      </c>
      <c r="H622" s="2">
        <f>'Moving Avg'!G622</f>
        <v>5.5475000000000012</v>
      </c>
      <c r="I622" s="2">
        <f>'Moving Avg'!H622</f>
        <v>5.6755100000000001</v>
      </c>
      <c r="J622" s="5" t="str">
        <f>OBV!F622</f>
        <v>BEARISH</v>
      </c>
      <c r="K622" s="5" t="str">
        <f>OBV!G622</f>
        <v>NEUTRAL</v>
      </c>
      <c r="L622" s="5" t="str">
        <f>OBV!H622</f>
        <v>CONFIRMED BEARISH</v>
      </c>
      <c r="M622" s="7">
        <f t="shared" si="93"/>
        <v>50</v>
      </c>
      <c r="N622" s="7">
        <f t="shared" si="90"/>
        <v>0</v>
      </c>
      <c r="O622" s="7">
        <f t="shared" si="91"/>
        <v>0</v>
      </c>
      <c r="P622" s="7">
        <f t="shared" si="92"/>
        <v>16.5</v>
      </c>
      <c r="Q622" s="8">
        <f t="shared" si="94"/>
        <v>19.975000000000001</v>
      </c>
      <c r="R622" s="8">
        <f t="shared" si="95"/>
        <v>14.125</v>
      </c>
      <c r="S622" s="8">
        <f t="shared" si="96"/>
        <v>14.925000000000001</v>
      </c>
      <c r="T622" s="8">
        <f t="shared" si="97"/>
        <v>16.625</v>
      </c>
      <c r="U622" s="7">
        <f t="shared" si="98"/>
        <v>16.341666666666669</v>
      </c>
      <c r="V622" s="7">
        <f t="shared" si="99"/>
        <v>16.412500000000001</v>
      </c>
    </row>
    <row r="623" spans="1:22" ht="13.5" x14ac:dyDescent="0.25">
      <c r="A623" s="3">
        <f>RSI!A623</f>
        <v>45827</v>
      </c>
      <c r="B623" s="2">
        <f>RSI!B623</f>
        <v>5.54</v>
      </c>
      <c r="C623" s="2">
        <f>RSI!I623</f>
        <v>46.722436015632951</v>
      </c>
      <c r="D623" s="2">
        <f>MACD!E623</f>
        <v>1.8979272157121585E-2</v>
      </c>
      <c r="E623" s="2">
        <f>MACD!F623</f>
        <v>1.2960581503169083E-2</v>
      </c>
      <c r="F623" s="2">
        <f>'Moving Avg'!D623</f>
        <v>5.5494000000000003</v>
      </c>
      <c r="G623" s="2">
        <f>'Moving Avg'!F623</f>
        <v>5.5813000000000006</v>
      </c>
      <c r="H623" s="2">
        <f>'Moving Avg'!G623</f>
        <v>5.548440000000002</v>
      </c>
      <c r="I623" s="2">
        <f>'Moving Avg'!H623</f>
        <v>5.6748050000000001</v>
      </c>
      <c r="J623" s="5" t="str">
        <f>OBV!F623</f>
        <v>BEARISH</v>
      </c>
      <c r="K623" s="5" t="str">
        <f>OBV!G623</f>
        <v>NEUTRAL</v>
      </c>
      <c r="L623" s="5" t="str">
        <f>OBV!H623</f>
        <v>CONFIRMED BEARISH</v>
      </c>
      <c r="M623" s="7">
        <f t="shared" si="93"/>
        <v>50</v>
      </c>
      <c r="N623" s="7">
        <f t="shared" si="90"/>
        <v>0</v>
      </c>
      <c r="O623" s="7">
        <f t="shared" si="91"/>
        <v>0</v>
      </c>
      <c r="P623" s="7">
        <f t="shared" si="92"/>
        <v>16.5</v>
      </c>
      <c r="Q623" s="8">
        <f t="shared" si="94"/>
        <v>19.975000000000001</v>
      </c>
      <c r="R623" s="8">
        <f t="shared" si="95"/>
        <v>14.125</v>
      </c>
      <c r="S623" s="8">
        <f t="shared" si="96"/>
        <v>14.925000000000001</v>
      </c>
      <c r="T623" s="8">
        <f t="shared" si="97"/>
        <v>16.625</v>
      </c>
      <c r="U623" s="7">
        <f t="shared" si="98"/>
        <v>16.341666666666669</v>
      </c>
      <c r="V623" s="7">
        <f t="shared" si="99"/>
        <v>16.412500000000001</v>
      </c>
    </row>
    <row r="624" spans="1:22" ht="13.5" x14ac:dyDescent="0.25">
      <c r="A624" s="3">
        <f>RSI!A624</f>
        <v>45828</v>
      </c>
      <c r="B624" s="2">
        <f>RSI!B624</f>
        <v>5.54</v>
      </c>
      <c r="C624" s="2">
        <f>RSI!I624</f>
        <v>46.722436015632951</v>
      </c>
      <c r="D624" s="2">
        <f>MACD!E624</f>
        <v>1.0816292326806476E-2</v>
      </c>
      <c r="E624" s="2">
        <f>MACD!F624</f>
        <v>1.2531723667896563E-2</v>
      </c>
      <c r="F624" s="2">
        <f>'Moving Avg'!D624</f>
        <v>5.5494000000000003</v>
      </c>
      <c r="G624" s="2">
        <f>'Moving Avg'!F624</f>
        <v>5.5832000000000015</v>
      </c>
      <c r="H624" s="2">
        <f>'Moving Avg'!G624</f>
        <v>5.5493800000000011</v>
      </c>
      <c r="I624" s="2">
        <f>'Moving Avg'!H624</f>
        <v>5.6743350000000001</v>
      </c>
      <c r="J624" s="5" t="str">
        <f>OBV!F624</f>
        <v>BEARISH</v>
      </c>
      <c r="K624" s="5" t="str">
        <f>OBV!G624</f>
        <v>NEUTRAL</v>
      </c>
      <c r="L624" s="5" t="str">
        <f>OBV!H624</f>
        <v>NEUTRAL</v>
      </c>
      <c r="M624" s="7">
        <f t="shared" si="93"/>
        <v>50</v>
      </c>
      <c r="N624" s="7">
        <f t="shared" si="90"/>
        <v>45</v>
      </c>
      <c r="O624" s="7">
        <f t="shared" si="91"/>
        <v>0</v>
      </c>
      <c r="P624" s="7">
        <f t="shared" si="92"/>
        <v>16.5</v>
      </c>
      <c r="Q624" s="8">
        <f t="shared" si="94"/>
        <v>35.725000000000001</v>
      </c>
      <c r="R624" s="8">
        <f t="shared" si="95"/>
        <v>23.125</v>
      </c>
      <c r="S624" s="8">
        <f t="shared" si="96"/>
        <v>21.675000000000001</v>
      </c>
      <c r="T624" s="8">
        <f t="shared" si="97"/>
        <v>27.875</v>
      </c>
      <c r="U624" s="7">
        <f t="shared" si="98"/>
        <v>26.841666666666669</v>
      </c>
      <c r="V624" s="7">
        <f t="shared" si="99"/>
        <v>27.1</v>
      </c>
    </row>
    <row r="625" spans="1:22" ht="13.5" x14ac:dyDescent="0.25">
      <c r="A625" s="3">
        <f>RSI!A625</f>
        <v>45831</v>
      </c>
      <c r="B625" s="2">
        <f>RSI!B625</f>
        <v>5.5869999999999997</v>
      </c>
      <c r="C625" s="2">
        <f>RSI!I625</f>
        <v>52.23914582053829</v>
      </c>
      <c r="D625" s="2">
        <f>MACD!E625</f>
        <v>7.8302962508978169E-3</v>
      </c>
      <c r="E625" s="2">
        <f>MACD!F625</f>
        <v>1.1591438184496813E-2</v>
      </c>
      <c r="F625" s="2">
        <f>'Moving Avg'!D625</f>
        <v>5.5587999999999997</v>
      </c>
      <c r="G625" s="2">
        <f>'Moving Avg'!F625</f>
        <v>5.5832000000000015</v>
      </c>
      <c r="H625" s="2">
        <f>'Moving Avg'!G625</f>
        <v>5.5531400000000009</v>
      </c>
      <c r="I625" s="2">
        <f>'Moving Avg'!H625</f>
        <v>5.6739599999999992</v>
      </c>
      <c r="J625" s="5" t="str">
        <f>OBV!F625</f>
        <v>BULLISH</v>
      </c>
      <c r="K625" s="5" t="str">
        <f>OBV!G625</f>
        <v>NEUTRAL</v>
      </c>
      <c r="L625" s="5" t="str">
        <f>OBV!H625</f>
        <v>CONFIRMED BULLISH</v>
      </c>
      <c r="M625" s="7">
        <f t="shared" si="93"/>
        <v>50</v>
      </c>
      <c r="N625" s="7">
        <f t="shared" si="90"/>
        <v>45</v>
      </c>
      <c r="O625" s="7">
        <f t="shared" si="91"/>
        <v>0</v>
      </c>
      <c r="P625" s="7">
        <f t="shared" si="92"/>
        <v>83.5</v>
      </c>
      <c r="Q625" s="8">
        <f t="shared" si="94"/>
        <v>45.774999999999999</v>
      </c>
      <c r="R625" s="8">
        <f t="shared" si="95"/>
        <v>39.875</v>
      </c>
      <c r="S625" s="8">
        <f t="shared" si="96"/>
        <v>51.825000000000003</v>
      </c>
      <c r="T625" s="8">
        <f t="shared" si="97"/>
        <v>44.625</v>
      </c>
      <c r="U625" s="7">
        <f t="shared" si="98"/>
        <v>45.82500000000001</v>
      </c>
      <c r="V625" s="7">
        <f t="shared" si="99"/>
        <v>45.525000000000006</v>
      </c>
    </row>
    <row r="626" spans="1:22" ht="13.5" x14ac:dyDescent="0.25">
      <c r="A626" s="3">
        <f>RSI!A626</f>
        <v>45832</v>
      </c>
      <c r="B626" s="2">
        <f>RSI!B626</f>
        <v>5.6340000000000003</v>
      </c>
      <c r="C626" s="2">
        <f>RSI!I626</f>
        <v>57.03072321738987</v>
      </c>
      <c r="D626" s="2">
        <f>MACD!E626</f>
        <v>8.9343700233230905E-3</v>
      </c>
      <c r="E626" s="2">
        <f>MACD!F626</f>
        <v>1.1060024552262069E-2</v>
      </c>
      <c r="F626" s="2">
        <f>'Moving Avg'!D626</f>
        <v>5.5775999999999994</v>
      </c>
      <c r="G626" s="2">
        <f>'Moving Avg'!F626</f>
        <v>5.5855500000000022</v>
      </c>
      <c r="H626" s="2">
        <f>'Moving Avg'!G626</f>
        <v>5.5572800000000022</v>
      </c>
      <c r="I626" s="2">
        <f>'Moving Avg'!H626</f>
        <v>5.6739599999999992</v>
      </c>
      <c r="J626" s="5" t="str">
        <f>OBV!F626</f>
        <v>BULLISH</v>
      </c>
      <c r="K626" s="5" t="str">
        <f>OBV!G626</f>
        <v>WEAK</v>
      </c>
      <c r="L626" s="5" t="str">
        <f>OBV!H626</f>
        <v>CONFIRMED BULLISH</v>
      </c>
      <c r="M626" s="7">
        <f t="shared" si="93"/>
        <v>50</v>
      </c>
      <c r="N626" s="7">
        <f t="shared" si="90"/>
        <v>45</v>
      </c>
      <c r="O626" s="7">
        <f t="shared" si="91"/>
        <v>0</v>
      </c>
      <c r="P626" s="7">
        <f t="shared" si="92"/>
        <v>67</v>
      </c>
      <c r="Q626" s="8">
        <f t="shared" si="94"/>
        <v>43.3</v>
      </c>
      <c r="R626" s="8">
        <f t="shared" si="95"/>
        <v>35.75</v>
      </c>
      <c r="S626" s="8">
        <f t="shared" si="96"/>
        <v>44.400000000000006</v>
      </c>
      <c r="T626" s="8">
        <f t="shared" si="97"/>
        <v>40.5</v>
      </c>
      <c r="U626" s="7">
        <f t="shared" si="98"/>
        <v>41.15</v>
      </c>
      <c r="V626" s="7">
        <f t="shared" si="99"/>
        <v>40.987499999999997</v>
      </c>
    </row>
    <row r="627" spans="1:22" ht="13.5" x14ac:dyDescent="0.25">
      <c r="A627" s="3">
        <f>RSI!A627</f>
        <v>45833</v>
      </c>
      <c r="B627" s="2">
        <f>RSI!B627</f>
        <v>5.5869999999999997</v>
      </c>
      <c r="C627" s="2">
        <f>RSI!I627</f>
        <v>51.469838276709169</v>
      </c>
      <c r="D627" s="2">
        <f>MACD!E627</f>
        <v>1.2962526169545185E-2</v>
      </c>
      <c r="E627" s="2">
        <f>MACD!F627</f>
        <v>1.1440524875718693E-2</v>
      </c>
      <c r="F627" s="2">
        <f>'Moving Avg'!D627</f>
        <v>5.5776000000000003</v>
      </c>
      <c r="G627" s="2">
        <f>'Moving Avg'!F627</f>
        <v>5.5836500000000022</v>
      </c>
      <c r="H627" s="2">
        <f>'Moving Avg'!G627</f>
        <v>5.5604800000000001</v>
      </c>
      <c r="I627" s="2">
        <f>'Moving Avg'!H627</f>
        <v>5.6737249999999992</v>
      </c>
      <c r="J627" s="5" t="str">
        <f>OBV!F627</f>
        <v>BEARISH</v>
      </c>
      <c r="K627" s="5" t="str">
        <f>OBV!G627</f>
        <v>NEUTRAL</v>
      </c>
      <c r="L627" s="5" t="str">
        <f>OBV!H627</f>
        <v>NEUTRAL</v>
      </c>
      <c r="M627" s="7">
        <f t="shared" si="93"/>
        <v>50</v>
      </c>
      <c r="N627" s="7">
        <f t="shared" si="90"/>
        <v>0</v>
      </c>
      <c r="O627" s="7">
        <f t="shared" si="91"/>
        <v>0</v>
      </c>
      <c r="P627" s="7">
        <f t="shared" si="92"/>
        <v>16.5</v>
      </c>
      <c r="Q627" s="8">
        <f t="shared" si="94"/>
        <v>19.975000000000001</v>
      </c>
      <c r="R627" s="8">
        <f t="shared" si="95"/>
        <v>14.125</v>
      </c>
      <c r="S627" s="8">
        <f t="shared" si="96"/>
        <v>14.925000000000001</v>
      </c>
      <c r="T627" s="8">
        <f t="shared" si="97"/>
        <v>16.625</v>
      </c>
      <c r="U627" s="7">
        <f t="shared" si="98"/>
        <v>16.341666666666669</v>
      </c>
      <c r="V627" s="7">
        <f t="shared" si="99"/>
        <v>16.412500000000001</v>
      </c>
    </row>
    <row r="628" spans="1:22" ht="13.5" x14ac:dyDescent="0.25">
      <c r="A628" s="3">
        <f>RSI!A628</f>
        <v>45835</v>
      </c>
      <c r="B628" s="2">
        <f>RSI!B628</f>
        <v>5.5209999999999999</v>
      </c>
      <c r="C628" s="2">
        <f>RSI!I628</f>
        <v>44.855565155211394</v>
      </c>
      <c r="D628" s="2">
        <f>MACD!E628</f>
        <v>2.1178745074197813E-2</v>
      </c>
      <c r="E628" s="2">
        <f>MACD!F628</f>
        <v>1.3388168915414517E-2</v>
      </c>
      <c r="F628" s="2">
        <f>'Moving Avg'!D628</f>
        <v>5.5738000000000003</v>
      </c>
      <c r="G628" s="2">
        <f>'Moving Avg'!F628</f>
        <v>5.5780000000000021</v>
      </c>
      <c r="H628" s="2">
        <f>'Moving Avg'!G628</f>
        <v>5.56236</v>
      </c>
      <c r="I628" s="2">
        <f>'Moving Avg'!H628</f>
        <v>5.6731599999999993</v>
      </c>
      <c r="J628" s="5" t="str">
        <f>OBV!F628</f>
        <v>BEARISH</v>
      </c>
      <c r="K628" s="5" t="str">
        <f>OBV!G628</f>
        <v>NEUTRAL</v>
      </c>
      <c r="L628" s="5" t="str">
        <f>OBV!H628</f>
        <v>CONFIRMED BEARISH</v>
      </c>
      <c r="M628" s="7">
        <f t="shared" si="93"/>
        <v>50</v>
      </c>
      <c r="N628" s="7">
        <f t="shared" si="90"/>
        <v>0</v>
      </c>
      <c r="O628" s="7">
        <f t="shared" si="91"/>
        <v>0</v>
      </c>
      <c r="P628" s="7">
        <f t="shared" si="92"/>
        <v>16.5</v>
      </c>
      <c r="Q628" s="8">
        <f t="shared" si="94"/>
        <v>19.975000000000001</v>
      </c>
      <c r="R628" s="8">
        <f t="shared" si="95"/>
        <v>14.125</v>
      </c>
      <c r="S628" s="8">
        <f t="shared" si="96"/>
        <v>14.925000000000001</v>
      </c>
      <c r="T628" s="8">
        <f t="shared" si="97"/>
        <v>16.625</v>
      </c>
      <c r="U628" s="7">
        <f t="shared" si="98"/>
        <v>16.341666666666669</v>
      </c>
      <c r="V628" s="7">
        <f t="shared" si="99"/>
        <v>16.412500000000001</v>
      </c>
    </row>
    <row r="629" spans="1:22" ht="13.5" x14ac:dyDescent="0.25">
      <c r="A629" s="3">
        <f>RSI!A629</f>
        <v>45838</v>
      </c>
      <c r="B629" s="2">
        <f>RSI!B629</f>
        <v>5.5209999999999999</v>
      </c>
      <c r="C629" s="2">
        <f>RSI!I629</f>
        <v>44.855565155211401</v>
      </c>
      <c r="D629" s="2">
        <f>MACD!E629</f>
        <v>1.6907363930274144E-2</v>
      </c>
      <c r="E629" s="2">
        <f>MACD!F629</f>
        <v>1.4092007918386443E-2</v>
      </c>
      <c r="F629" s="2">
        <f>'Moving Avg'!D629</f>
        <v>5.57</v>
      </c>
      <c r="G629" s="2">
        <f>'Moving Avg'!F629</f>
        <v>5.5723500000000019</v>
      </c>
      <c r="H629" s="2">
        <f>'Moving Avg'!G629</f>
        <v>5.5642399999999999</v>
      </c>
      <c r="I629" s="2">
        <f>'Moving Avg'!H629</f>
        <v>5.6726899999999993</v>
      </c>
      <c r="J629" s="5" t="str">
        <f>OBV!F629</f>
        <v>BEARISH</v>
      </c>
      <c r="K629" s="5" t="str">
        <f>OBV!G629</f>
        <v>NEUTRAL</v>
      </c>
      <c r="L629" s="5" t="str">
        <f>OBV!H629</f>
        <v>CONFIRMED BEARISH</v>
      </c>
      <c r="M629" s="7">
        <f t="shared" si="93"/>
        <v>50</v>
      </c>
      <c r="N629" s="7">
        <f t="shared" si="90"/>
        <v>0</v>
      </c>
      <c r="O629" s="7">
        <f t="shared" si="91"/>
        <v>0</v>
      </c>
      <c r="P629" s="7">
        <f t="shared" si="92"/>
        <v>16.5</v>
      </c>
      <c r="Q629" s="8">
        <f t="shared" si="94"/>
        <v>19.975000000000001</v>
      </c>
      <c r="R629" s="8">
        <f t="shared" si="95"/>
        <v>14.125</v>
      </c>
      <c r="S629" s="8">
        <f t="shared" si="96"/>
        <v>14.925000000000001</v>
      </c>
      <c r="T629" s="8">
        <f t="shared" si="97"/>
        <v>16.625</v>
      </c>
      <c r="U629" s="7">
        <f t="shared" si="98"/>
        <v>16.341666666666669</v>
      </c>
      <c r="V629" s="7">
        <f t="shared" si="99"/>
        <v>16.412500000000001</v>
      </c>
    </row>
    <row r="630" spans="1:22" ht="13.5" x14ac:dyDescent="0.25">
      <c r="A630" s="3">
        <f>RSI!A630</f>
        <v>45839</v>
      </c>
      <c r="B630" s="2">
        <f>RSI!B630</f>
        <v>5.5119999999999996</v>
      </c>
      <c r="C630" s="2">
        <f>RSI!I630</f>
        <v>43.962103889249967</v>
      </c>
      <c r="D630" s="2">
        <f>MACD!E630</f>
        <v>1.4251354613179501E-2</v>
      </c>
      <c r="E630" s="2">
        <f>MACD!F630</f>
        <v>1.4123877257345055E-2</v>
      </c>
      <c r="F630" s="2">
        <f>'Moving Avg'!D630</f>
        <v>5.5550000000000006</v>
      </c>
      <c r="G630" s="2">
        <f>'Moving Avg'!F630</f>
        <v>5.5667000000000018</v>
      </c>
      <c r="H630" s="2">
        <f>'Moving Avg'!G630</f>
        <v>5.5655600000000005</v>
      </c>
      <c r="I630" s="2">
        <f>'Moving Avg'!H630</f>
        <v>5.6721749999999984</v>
      </c>
      <c r="J630" s="5" t="str">
        <f>OBV!F630</f>
        <v>BEARISH</v>
      </c>
      <c r="K630" s="5" t="str">
        <f>OBV!G630</f>
        <v>STRONG</v>
      </c>
      <c r="L630" s="5" t="str">
        <f>OBV!H630</f>
        <v>CONFIRMED BEARISH</v>
      </c>
      <c r="M630" s="7">
        <f t="shared" si="93"/>
        <v>50</v>
      </c>
      <c r="N630" s="7">
        <f t="shared" si="90"/>
        <v>0</v>
      </c>
      <c r="O630" s="7">
        <f t="shared" si="91"/>
        <v>0</v>
      </c>
      <c r="P630" s="7">
        <f t="shared" si="92"/>
        <v>33</v>
      </c>
      <c r="Q630" s="8">
        <f t="shared" si="94"/>
        <v>22.45</v>
      </c>
      <c r="R630" s="8">
        <f t="shared" si="95"/>
        <v>18.25</v>
      </c>
      <c r="S630" s="8">
        <f t="shared" si="96"/>
        <v>22.35</v>
      </c>
      <c r="T630" s="8">
        <f t="shared" si="97"/>
        <v>20.75</v>
      </c>
      <c r="U630" s="7">
        <f t="shared" si="98"/>
        <v>21.016666666666669</v>
      </c>
      <c r="V630" s="7">
        <f t="shared" si="99"/>
        <v>20.950000000000003</v>
      </c>
    </row>
    <row r="631" spans="1:22" ht="13.5" x14ac:dyDescent="0.25">
      <c r="A631" s="3">
        <f>RSI!A631</f>
        <v>45840</v>
      </c>
      <c r="B631" s="2">
        <f>RSI!B631</f>
        <v>5.5119999999999996</v>
      </c>
      <c r="C631" s="2">
        <f>RSI!I631</f>
        <v>43.962103889249967</v>
      </c>
      <c r="D631" s="2">
        <f>MACD!E631</f>
        <v>1.2327115352058549E-2</v>
      </c>
      <c r="E631" s="2">
        <f>MACD!F631</f>
        <v>1.3764524876287754E-2</v>
      </c>
      <c r="F631" s="2">
        <f>'Moving Avg'!D631</f>
        <v>5.5306000000000006</v>
      </c>
      <c r="G631" s="2">
        <f>'Moving Avg'!F631</f>
        <v>5.5615500000000013</v>
      </c>
      <c r="H631" s="2">
        <f>'Moving Avg'!G631</f>
        <v>5.5668800000000003</v>
      </c>
      <c r="I631" s="2">
        <f>'Moving Avg'!H631</f>
        <v>5.6716599999999984</v>
      </c>
      <c r="J631" s="5" t="str">
        <f>OBV!F631</f>
        <v>BEARISH</v>
      </c>
      <c r="K631" s="5" t="str">
        <f>OBV!G631</f>
        <v>STRONG</v>
      </c>
      <c r="L631" s="5" t="str">
        <f>OBV!H631</f>
        <v>CONFIRMED BEARISH</v>
      </c>
      <c r="M631" s="7">
        <f t="shared" si="93"/>
        <v>50</v>
      </c>
      <c r="N631" s="7">
        <f t="shared" si="90"/>
        <v>45</v>
      </c>
      <c r="O631" s="7">
        <f t="shared" si="91"/>
        <v>0</v>
      </c>
      <c r="P631" s="7">
        <f t="shared" si="92"/>
        <v>33</v>
      </c>
      <c r="Q631" s="8">
        <f t="shared" si="94"/>
        <v>38.200000000000003</v>
      </c>
      <c r="R631" s="8">
        <f t="shared" si="95"/>
        <v>27.25</v>
      </c>
      <c r="S631" s="8">
        <f t="shared" si="96"/>
        <v>29.1</v>
      </c>
      <c r="T631" s="8">
        <f t="shared" si="97"/>
        <v>32</v>
      </c>
      <c r="U631" s="7">
        <f t="shared" si="98"/>
        <v>31.516666666666669</v>
      </c>
      <c r="V631" s="7">
        <f t="shared" si="99"/>
        <v>31.637500000000003</v>
      </c>
    </row>
    <row r="632" spans="1:22" ht="13.5" x14ac:dyDescent="0.25">
      <c r="A632" s="3">
        <f>RSI!A632</f>
        <v>45841</v>
      </c>
      <c r="B632" s="2">
        <f>RSI!B632</f>
        <v>5.5869999999999997</v>
      </c>
      <c r="C632" s="2">
        <f>RSI!I632</f>
        <v>53.008346729133727</v>
      </c>
      <c r="D632" s="2">
        <f>MACD!E632</f>
        <v>1.2673342536626109E-2</v>
      </c>
      <c r="E632" s="2">
        <f>MACD!F632</f>
        <v>1.3546288408355426E-2</v>
      </c>
      <c r="F632" s="2">
        <f>'Moving Avg'!D632</f>
        <v>5.5305999999999997</v>
      </c>
      <c r="G632" s="2">
        <f>'Moving Avg'!F632</f>
        <v>5.560150000000001</v>
      </c>
      <c r="H632" s="2">
        <f>'Moving Avg'!G632</f>
        <v>5.5687600000000002</v>
      </c>
      <c r="I632" s="2">
        <f>'Moving Avg'!H632</f>
        <v>5.6715199999999983</v>
      </c>
      <c r="J632" s="5" t="str">
        <f>OBV!F632</f>
        <v>BEARISH</v>
      </c>
      <c r="K632" s="5" t="str">
        <f>OBV!G632</f>
        <v>NEUTRAL</v>
      </c>
      <c r="L632" s="5" t="str">
        <f>OBV!H632</f>
        <v>NEUTRAL</v>
      </c>
      <c r="M632" s="7">
        <f t="shared" si="93"/>
        <v>50</v>
      </c>
      <c r="N632" s="7">
        <f t="shared" si="90"/>
        <v>45</v>
      </c>
      <c r="O632" s="7">
        <f t="shared" si="91"/>
        <v>0</v>
      </c>
      <c r="P632" s="7">
        <f t="shared" si="92"/>
        <v>16.5</v>
      </c>
      <c r="Q632" s="8">
        <f t="shared" si="94"/>
        <v>35.725000000000001</v>
      </c>
      <c r="R632" s="8">
        <f t="shared" si="95"/>
        <v>23.125</v>
      </c>
      <c r="S632" s="8">
        <f t="shared" si="96"/>
        <v>21.675000000000001</v>
      </c>
      <c r="T632" s="8">
        <f t="shared" si="97"/>
        <v>27.875</v>
      </c>
      <c r="U632" s="7">
        <f t="shared" si="98"/>
        <v>26.841666666666669</v>
      </c>
      <c r="V632" s="7">
        <f t="shared" si="99"/>
        <v>27.1</v>
      </c>
    </row>
    <row r="633" spans="1:22" ht="13.5" x14ac:dyDescent="0.25">
      <c r="A633" s="3">
        <f>RSI!A633</f>
        <v>45842</v>
      </c>
      <c r="B633" s="2">
        <f>RSI!B633</f>
        <v>5.72</v>
      </c>
      <c r="C633" s="2">
        <f>RSI!I633</f>
        <v>64.081662955874322</v>
      </c>
      <c r="D633" s="2">
        <f>MACD!E633</f>
        <v>-4.2824434872787975E-3</v>
      </c>
      <c r="E633" s="2">
        <f>MACD!F633</f>
        <v>9.9805420292285833E-3</v>
      </c>
      <c r="F633" s="2">
        <f>'Moving Avg'!D633</f>
        <v>5.5703999999999994</v>
      </c>
      <c r="G633" s="2">
        <f>'Moving Avg'!F633</f>
        <v>5.5701000000000009</v>
      </c>
      <c r="H633" s="2">
        <f>'Moving Avg'!G633</f>
        <v>5.5704799999999999</v>
      </c>
      <c r="I633" s="2">
        <f>'Moving Avg'!H633</f>
        <v>5.671949999999998</v>
      </c>
      <c r="J633" s="5" t="str">
        <f>OBV!F633</f>
        <v>BEARISH</v>
      </c>
      <c r="K633" s="5" t="str">
        <f>OBV!G633</f>
        <v>NEUTRAL</v>
      </c>
      <c r="L633" s="5" t="str">
        <f>OBV!H633</f>
        <v>CONFIRMED BEARISH</v>
      </c>
      <c r="M633" s="7">
        <f t="shared" si="93"/>
        <v>50</v>
      </c>
      <c r="N633" s="7">
        <f t="shared" si="90"/>
        <v>45</v>
      </c>
      <c r="O633" s="7">
        <f t="shared" si="91"/>
        <v>0</v>
      </c>
      <c r="P633" s="7">
        <f t="shared" si="92"/>
        <v>16.5</v>
      </c>
      <c r="Q633" s="8">
        <f t="shared" si="94"/>
        <v>35.725000000000001</v>
      </c>
      <c r="R633" s="8">
        <f t="shared" si="95"/>
        <v>23.125</v>
      </c>
      <c r="S633" s="8">
        <f t="shared" si="96"/>
        <v>21.675000000000001</v>
      </c>
      <c r="T633" s="8">
        <f t="shared" si="97"/>
        <v>27.875</v>
      </c>
      <c r="U633" s="7">
        <f t="shared" si="98"/>
        <v>26.841666666666669</v>
      </c>
      <c r="V633" s="7">
        <f t="shared" si="99"/>
        <v>27.1</v>
      </c>
    </row>
    <row r="634" spans="1:22" ht="13.5" x14ac:dyDescent="0.25">
      <c r="A634" s="3">
        <f>RSI!A634</f>
        <v>45845</v>
      </c>
      <c r="B634" s="2">
        <f>RSI!B634</f>
        <v>5.72</v>
      </c>
      <c r="C634" s="2">
        <f>RSI!I634</f>
        <v>64.081662955874322</v>
      </c>
      <c r="D634" s="2">
        <f>MACD!E634</f>
        <v>-1.9569370503303318E-2</v>
      </c>
      <c r="E634" s="2">
        <f>MACD!F634</f>
        <v>4.0705595227222028E-3</v>
      </c>
      <c r="F634" s="2">
        <f>'Moving Avg'!D634</f>
        <v>5.610199999999999</v>
      </c>
      <c r="G634" s="2">
        <f>'Moving Avg'!F634</f>
        <v>5.5800500000000008</v>
      </c>
      <c r="H634" s="2">
        <f>'Moving Avg'!G634</f>
        <v>5.5765200000000004</v>
      </c>
      <c r="I634" s="2">
        <f>'Moving Avg'!H634</f>
        <v>5.6723799999999995</v>
      </c>
      <c r="J634" s="5" t="str">
        <f>OBV!F634</f>
        <v>BEARISH</v>
      </c>
      <c r="K634" s="5" t="str">
        <f>OBV!G634</f>
        <v>NEUTRAL</v>
      </c>
      <c r="L634" s="5" t="str">
        <f>OBV!H634</f>
        <v>CONFIRMED BEARISH</v>
      </c>
      <c r="M634" s="7">
        <f t="shared" si="93"/>
        <v>50</v>
      </c>
      <c r="N634" s="7">
        <f t="shared" si="90"/>
        <v>100</v>
      </c>
      <c r="O634" s="7">
        <f t="shared" si="91"/>
        <v>0</v>
      </c>
      <c r="P634" s="7">
        <f t="shared" si="92"/>
        <v>16.5</v>
      </c>
      <c r="Q634" s="8">
        <f t="shared" si="94"/>
        <v>54.975000000000001</v>
      </c>
      <c r="R634" s="8">
        <f t="shared" si="95"/>
        <v>34.125</v>
      </c>
      <c r="S634" s="8">
        <f t="shared" si="96"/>
        <v>29.925000000000001</v>
      </c>
      <c r="T634" s="8">
        <f t="shared" si="97"/>
        <v>41.625</v>
      </c>
      <c r="U634" s="7">
        <f t="shared" si="98"/>
        <v>39.674999999999997</v>
      </c>
      <c r="V634" s="7">
        <f t="shared" si="99"/>
        <v>40.162499999999994</v>
      </c>
    </row>
    <row r="635" spans="1:22" ht="13.5" x14ac:dyDescent="0.25">
      <c r="A635" s="3">
        <f>RSI!A635</f>
        <v>45846</v>
      </c>
      <c r="B635" s="2">
        <f>RSI!B635</f>
        <v>5.75</v>
      </c>
      <c r="C635" s="2">
        <f>RSI!I635</f>
        <v>66.167272334748986</v>
      </c>
      <c r="D635" s="2">
        <f>MACD!E635</f>
        <v>-2.8366029897586742E-2</v>
      </c>
      <c r="E635" s="2">
        <f>MACD!F635</f>
        <v>-2.4167583613395865E-3</v>
      </c>
      <c r="F635" s="2">
        <f>'Moving Avg'!D635</f>
        <v>5.6577999999999999</v>
      </c>
      <c r="G635" s="2">
        <f>'Moving Avg'!F635</f>
        <v>5.5891500000000001</v>
      </c>
      <c r="H635" s="2">
        <f>'Moving Avg'!G635</f>
        <v>5.5790200000000008</v>
      </c>
      <c r="I635" s="2">
        <f>'Moving Avg'!H635</f>
        <v>5.672959999999998</v>
      </c>
      <c r="J635" s="5" t="str">
        <f>OBV!F635</f>
        <v>BULLISH</v>
      </c>
      <c r="K635" s="5" t="str">
        <f>OBV!G635</f>
        <v>NEUTRAL</v>
      </c>
      <c r="L635" s="5" t="str">
        <f>OBV!H635</f>
        <v>BULLISH DIVERGENCE</v>
      </c>
      <c r="M635" s="7">
        <f t="shared" si="93"/>
        <v>50</v>
      </c>
      <c r="N635" s="7">
        <f t="shared" si="90"/>
        <v>100</v>
      </c>
      <c r="O635" s="7">
        <f t="shared" si="91"/>
        <v>0</v>
      </c>
      <c r="P635" s="7">
        <f t="shared" si="92"/>
        <v>66.5</v>
      </c>
      <c r="Q635" s="8">
        <f t="shared" si="94"/>
        <v>62.475000000000001</v>
      </c>
      <c r="R635" s="8">
        <f t="shared" si="95"/>
        <v>46.625</v>
      </c>
      <c r="S635" s="8">
        <f t="shared" si="96"/>
        <v>52.424999999999997</v>
      </c>
      <c r="T635" s="8">
        <f t="shared" si="97"/>
        <v>54.125</v>
      </c>
      <c r="U635" s="7">
        <f t="shared" si="98"/>
        <v>53.841666666666661</v>
      </c>
      <c r="V635" s="7">
        <f t="shared" si="99"/>
        <v>53.912499999999994</v>
      </c>
    </row>
    <row r="636" spans="1:22" ht="13.5" x14ac:dyDescent="0.25">
      <c r="A636" s="3">
        <f>RSI!A636</f>
        <v>45847</v>
      </c>
      <c r="B636" s="2">
        <f>RSI!B636</f>
        <v>5.7</v>
      </c>
      <c r="C636" s="2">
        <f>RSI!I636</f>
        <v>59.922194015932547</v>
      </c>
      <c r="D636" s="2">
        <f>MACD!E636</f>
        <v>-2.5857816831597269E-2</v>
      </c>
      <c r="E636" s="2">
        <f>MACD!F636</f>
        <v>-7.1049700553911235E-3</v>
      </c>
      <c r="F636" s="2">
        <f>'Moving Avg'!D636</f>
        <v>5.6953999999999994</v>
      </c>
      <c r="G636" s="2">
        <f>'Moving Avg'!F636</f>
        <v>5.5934000000000008</v>
      </c>
      <c r="H636" s="2">
        <f>'Moving Avg'!G636</f>
        <v>5.5818399999999997</v>
      </c>
      <c r="I636" s="2">
        <f>'Moving Avg'!H636</f>
        <v>5.6732899999999997</v>
      </c>
      <c r="J636" s="5" t="str">
        <f>OBV!F636</f>
        <v>BULLISH</v>
      </c>
      <c r="K636" s="5" t="str">
        <f>OBV!G636</f>
        <v>NEUTRAL</v>
      </c>
      <c r="L636" s="5" t="str">
        <f>OBV!H636</f>
        <v>BULLISH DIVERGENCE</v>
      </c>
      <c r="M636" s="7">
        <f t="shared" si="93"/>
        <v>50</v>
      </c>
      <c r="N636" s="7">
        <f t="shared" si="90"/>
        <v>45</v>
      </c>
      <c r="O636" s="7">
        <f t="shared" si="91"/>
        <v>50</v>
      </c>
      <c r="P636" s="7">
        <f t="shared" si="92"/>
        <v>66.5</v>
      </c>
      <c r="Q636" s="8">
        <f t="shared" si="94"/>
        <v>50.725000000000001</v>
      </c>
      <c r="R636" s="8">
        <f t="shared" si="95"/>
        <v>53.125</v>
      </c>
      <c r="S636" s="8">
        <f t="shared" si="96"/>
        <v>56.674999999999997</v>
      </c>
      <c r="T636" s="8">
        <f t="shared" si="97"/>
        <v>52.875</v>
      </c>
      <c r="U636" s="7">
        <f t="shared" si="98"/>
        <v>53.508333333333326</v>
      </c>
      <c r="V636" s="7">
        <f t="shared" si="99"/>
        <v>53.349999999999994</v>
      </c>
    </row>
    <row r="637" spans="1:22" ht="13.5" x14ac:dyDescent="0.25">
      <c r="A637" s="3">
        <f>RSI!A637</f>
        <v>45848</v>
      </c>
      <c r="B637" s="2">
        <f>RSI!B637</f>
        <v>5.7</v>
      </c>
      <c r="C637" s="2">
        <f>RSI!I637</f>
        <v>59.922194015932547</v>
      </c>
      <c r="D637" s="2">
        <f>MACD!E637</f>
        <v>-3.1580922642214126E-2</v>
      </c>
      <c r="E637" s="2">
        <f>MACD!F637</f>
        <v>-1.2000160572755724E-2</v>
      </c>
      <c r="F637" s="2">
        <f>'Moving Avg'!D637</f>
        <v>5.7179999999999991</v>
      </c>
      <c r="G637" s="2">
        <f>'Moving Avg'!F637</f>
        <v>5.5976500000000007</v>
      </c>
      <c r="H637" s="2">
        <f>'Moving Avg'!G637</f>
        <v>5.5869199999999992</v>
      </c>
      <c r="I637" s="2">
        <f>'Moving Avg'!H637</f>
        <v>5.6731499999999997</v>
      </c>
      <c r="J637" s="5" t="str">
        <f>OBV!F637</f>
        <v>BEARISH</v>
      </c>
      <c r="K637" s="5" t="str">
        <f>OBV!G637</f>
        <v>NEUTRAL</v>
      </c>
      <c r="L637" s="5" t="str">
        <f>OBV!H637</f>
        <v>CONFIRMED BEARISH</v>
      </c>
      <c r="M637" s="7">
        <f t="shared" si="93"/>
        <v>50</v>
      </c>
      <c r="N637" s="7">
        <f t="shared" si="90"/>
        <v>45</v>
      </c>
      <c r="O637" s="7">
        <f t="shared" si="91"/>
        <v>50</v>
      </c>
      <c r="P637" s="7">
        <f t="shared" si="92"/>
        <v>16.5</v>
      </c>
      <c r="Q637" s="8">
        <f t="shared" si="94"/>
        <v>43.225000000000001</v>
      </c>
      <c r="R637" s="8">
        <f t="shared" si="95"/>
        <v>40.625</v>
      </c>
      <c r="S637" s="8">
        <f t="shared" si="96"/>
        <v>34.174999999999997</v>
      </c>
      <c r="T637" s="8">
        <f t="shared" si="97"/>
        <v>40.375</v>
      </c>
      <c r="U637" s="7">
        <f t="shared" si="98"/>
        <v>39.341666666666661</v>
      </c>
      <c r="V637" s="7">
        <f t="shared" si="99"/>
        <v>39.599999999999994</v>
      </c>
    </row>
    <row r="638" spans="1:22" ht="13.5" x14ac:dyDescent="0.25">
      <c r="A638" s="3">
        <f>RSI!A638</f>
        <v>45849</v>
      </c>
      <c r="B638" s="2">
        <f>RSI!B638</f>
        <v>5.68</v>
      </c>
      <c r="C638" s="2">
        <f>RSI!I638</f>
        <v>57.408567629551065</v>
      </c>
      <c r="D638" s="2">
        <f>MACD!E638</f>
        <v>-4.566505485688932E-2</v>
      </c>
      <c r="E638" s="2">
        <f>MACD!F638</f>
        <v>-1.8733139429582442E-2</v>
      </c>
      <c r="F638" s="2">
        <f>'Moving Avg'!D638</f>
        <v>5.7099999999999991</v>
      </c>
      <c r="G638" s="2">
        <f>'Moving Avg'!F638</f>
        <v>5.6009000000000002</v>
      </c>
      <c r="H638" s="2">
        <f>'Moving Avg'!G638</f>
        <v>5.5915999999999988</v>
      </c>
      <c r="I638" s="2">
        <f>'Moving Avg'!H638</f>
        <v>5.6727250000000007</v>
      </c>
      <c r="J638" s="5" t="str">
        <f>OBV!F638</f>
        <v>BEARISH</v>
      </c>
      <c r="K638" s="5" t="str">
        <f>OBV!G638</f>
        <v>NEUTRAL</v>
      </c>
      <c r="L638" s="5" t="str">
        <f>OBV!H638</f>
        <v>CONFIRMED BEARISH</v>
      </c>
      <c r="M638" s="7">
        <f t="shared" si="93"/>
        <v>50</v>
      </c>
      <c r="N638" s="7">
        <f t="shared" si="90"/>
        <v>100</v>
      </c>
      <c r="O638" s="7">
        <f t="shared" si="91"/>
        <v>50</v>
      </c>
      <c r="P638" s="7">
        <f t="shared" si="92"/>
        <v>16.5</v>
      </c>
      <c r="Q638" s="8">
        <f t="shared" si="94"/>
        <v>62.475000000000001</v>
      </c>
      <c r="R638" s="8">
        <f t="shared" si="95"/>
        <v>51.625</v>
      </c>
      <c r="S638" s="8">
        <f t="shared" si="96"/>
        <v>42.424999999999997</v>
      </c>
      <c r="T638" s="8">
        <f t="shared" si="97"/>
        <v>54.125</v>
      </c>
      <c r="U638" s="7">
        <f t="shared" si="98"/>
        <v>52.17499999999999</v>
      </c>
      <c r="V638" s="7">
        <f t="shared" si="99"/>
        <v>52.662499999999994</v>
      </c>
    </row>
    <row r="639" spans="1:22" ht="13.5" x14ac:dyDescent="0.25">
      <c r="A639" s="3">
        <f>RSI!A639</f>
        <v>45852</v>
      </c>
      <c r="B639" s="2">
        <f>RSI!B639</f>
        <v>5.69</v>
      </c>
      <c r="C639" s="2">
        <f>RSI!I639</f>
        <v>58.349350679746451</v>
      </c>
      <c r="D639" s="2">
        <f>MACD!E639</f>
        <v>-5.8731938445514942E-2</v>
      </c>
      <c r="E639" s="2">
        <f>MACD!F639</f>
        <v>-2.673289923276894E-2</v>
      </c>
      <c r="F639" s="2">
        <f>'Moving Avg'!D639</f>
        <v>5.7039999999999997</v>
      </c>
      <c r="G639" s="2">
        <f>'Moving Avg'!F639</f>
        <v>5.6084000000000005</v>
      </c>
      <c r="H639" s="2">
        <f>'Moving Avg'!G639</f>
        <v>5.5927199999999981</v>
      </c>
      <c r="I639" s="2">
        <f>'Moving Avg'!H639</f>
        <v>5.6723000000000017</v>
      </c>
      <c r="J639" s="5" t="str">
        <f>OBV!F639</f>
        <v>BULLISH</v>
      </c>
      <c r="K639" s="5" t="str">
        <f>OBV!G639</f>
        <v>NEUTRAL</v>
      </c>
      <c r="L639" s="5" t="str">
        <f>OBV!H639</f>
        <v>BULLISH DIVERGENCE</v>
      </c>
      <c r="M639" s="7">
        <f t="shared" si="93"/>
        <v>50</v>
      </c>
      <c r="N639" s="7">
        <f t="shared" si="90"/>
        <v>100</v>
      </c>
      <c r="O639" s="7">
        <f t="shared" si="91"/>
        <v>50</v>
      </c>
      <c r="P639" s="7">
        <f t="shared" si="92"/>
        <v>66.5</v>
      </c>
      <c r="Q639" s="8">
        <f t="shared" si="94"/>
        <v>69.974999999999994</v>
      </c>
      <c r="R639" s="8">
        <f t="shared" si="95"/>
        <v>64.125</v>
      </c>
      <c r="S639" s="8">
        <f t="shared" si="96"/>
        <v>64.924999999999997</v>
      </c>
      <c r="T639" s="8">
        <f t="shared" si="97"/>
        <v>66.625</v>
      </c>
      <c r="U639" s="7">
        <f t="shared" si="98"/>
        <v>66.341666666666654</v>
      </c>
      <c r="V639" s="7">
        <f t="shared" si="99"/>
        <v>66.412499999999994</v>
      </c>
    </row>
    <row r="640" spans="1:22" ht="13.5" x14ac:dyDescent="0.25">
      <c r="A640" s="3">
        <f>RSI!A640</f>
        <v>45853</v>
      </c>
      <c r="B640" s="2">
        <f>RSI!B640</f>
        <v>5.67</v>
      </c>
      <c r="C640" s="2">
        <f>RSI!I640</f>
        <v>55.699431200372977</v>
      </c>
      <c r="D640" s="2">
        <f>MACD!E640</f>
        <v>-7.0129275291925808E-2</v>
      </c>
      <c r="E640" s="2">
        <f>MACD!F640</f>
        <v>-3.5412174444600319E-2</v>
      </c>
      <c r="F640" s="2">
        <f>'Moving Avg'!D640</f>
        <v>5.6879999999999997</v>
      </c>
      <c r="G640" s="2">
        <f>'Moving Avg'!F640</f>
        <v>5.6149000000000004</v>
      </c>
      <c r="H640" s="2">
        <f>'Moving Avg'!G640</f>
        <v>5.5934399999999984</v>
      </c>
      <c r="I640" s="2">
        <f>'Moving Avg'!H640</f>
        <v>5.6717750000000011</v>
      </c>
      <c r="J640" s="5" t="str">
        <f>OBV!F640</f>
        <v>BEARISH</v>
      </c>
      <c r="K640" s="5" t="str">
        <f>OBV!G640</f>
        <v>STRONG</v>
      </c>
      <c r="L640" s="5" t="str">
        <f>OBV!H640</f>
        <v>CONFIRMED BEARISH</v>
      </c>
      <c r="M640" s="7">
        <f t="shared" si="93"/>
        <v>50</v>
      </c>
      <c r="N640" s="7">
        <f t="shared" si="90"/>
        <v>100</v>
      </c>
      <c r="O640" s="7">
        <f t="shared" si="91"/>
        <v>50</v>
      </c>
      <c r="P640" s="7">
        <f t="shared" si="92"/>
        <v>33</v>
      </c>
      <c r="Q640" s="8">
        <f t="shared" si="94"/>
        <v>64.95</v>
      </c>
      <c r="R640" s="8">
        <f t="shared" si="95"/>
        <v>55.75</v>
      </c>
      <c r="S640" s="8">
        <f t="shared" si="96"/>
        <v>49.85</v>
      </c>
      <c r="T640" s="8">
        <f t="shared" si="97"/>
        <v>58.25</v>
      </c>
      <c r="U640" s="7">
        <f t="shared" si="98"/>
        <v>56.85</v>
      </c>
      <c r="V640" s="7">
        <f t="shared" si="99"/>
        <v>57.2</v>
      </c>
    </row>
    <row r="641" spans="1:22" ht="13.5" x14ac:dyDescent="0.25">
      <c r="A641" s="3">
        <f>RSI!A641</f>
        <v>45854</v>
      </c>
      <c r="B641" s="2">
        <f>RSI!B641</f>
        <v>5.67</v>
      </c>
      <c r="C641" s="2">
        <f>RSI!I641</f>
        <v>55.699431200372977</v>
      </c>
      <c r="D641" s="2">
        <f>MACD!E641</f>
        <v>-8.0060188487354189E-2</v>
      </c>
      <c r="E641" s="2">
        <f>MACD!F641</f>
        <v>-4.4341777253151096E-2</v>
      </c>
      <c r="F641" s="2">
        <f>'Moving Avg'!D641</f>
        <v>5.6820000000000004</v>
      </c>
      <c r="G641" s="2">
        <f>'Moving Avg'!F641</f>
        <v>5.6213999999999995</v>
      </c>
      <c r="H641" s="2">
        <f>'Moving Avg'!G641</f>
        <v>5.5941599999999987</v>
      </c>
      <c r="I641" s="2">
        <f>'Moving Avg'!H641</f>
        <v>5.6713000000000022</v>
      </c>
      <c r="J641" s="5" t="str">
        <f>OBV!F641</f>
        <v>BEARISH</v>
      </c>
      <c r="K641" s="5" t="str">
        <f>OBV!G641</f>
        <v>NEUTRAL</v>
      </c>
      <c r="L641" s="5" t="str">
        <f>OBV!H641</f>
        <v>CONFIRMED BEARISH</v>
      </c>
      <c r="M641" s="7">
        <f t="shared" si="93"/>
        <v>50</v>
      </c>
      <c r="N641" s="7">
        <f t="shared" si="90"/>
        <v>100</v>
      </c>
      <c r="O641" s="7">
        <f t="shared" si="91"/>
        <v>50</v>
      </c>
      <c r="P641" s="7">
        <f t="shared" si="92"/>
        <v>16.5</v>
      </c>
      <c r="Q641" s="8">
        <f t="shared" si="94"/>
        <v>62.475000000000001</v>
      </c>
      <c r="R641" s="8">
        <f t="shared" si="95"/>
        <v>51.625</v>
      </c>
      <c r="S641" s="8">
        <f t="shared" si="96"/>
        <v>42.424999999999997</v>
      </c>
      <c r="T641" s="8">
        <f t="shared" si="97"/>
        <v>54.125</v>
      </c>
      <c r="U641" s="7">
        <f t="shared" si="98"/>
        <v>52.17499999999999</v>
      </c>
      <c r="V641" s="7">
        <f t="shared" si="99"/>
        <v>52.662499999999994</v>
      </c>
    </row>
    <row r="642" spans="1:22" ht="13.5" x14ac:dyDescent="0.25">
      <c r="A642" s="3">
        <f>RSI!A642</f>
        <v>45855</v>
      </c>
      <c r="B642" s="2">
        <f>RSI!B642</f>
        <v>5.66</v>
      </c>
      <c r="C642" s="2">
        <f>RSI!I642</f>
        <v>54.270216176893221</v>
      </c>
      <c r="D642" s="2">
        <f>MACD!E642</f>
        <v>-7.6449819184770895E-2</v>
      </c>
      <c r="E642" s="2">
        <f>MACD!F642</f>
        <v>-5.0763385639475064E-2</v>
      </c>
      <c r="F642" s="2">
        <f>'Moving Avg'!D642</f>
        <v>5.6740000000000004</v>
      </c>
      <c r="G642" s="2">
        <f>'Moving Avg'!F642</f>
        <v>5.6250499999999999</v>
      </c>
      <c r="H642" s="2">
        <f>'Moving Avg'!G642</f>
        <v>5.5946799999999994</v>
      </c>
      <c r="I642" s="2">
        <f>'Moving Avg'!H642</f>
        <v>5.6707250000000018</v>
      </c>
      <c r="J642" s="5" t="str">
        <f>OBV!F642</f>
        <v>BEARISH</v>
      </c>
      <c r="K642" s="5" t="str">
        <f>OBV!G642</f>
        <v>STRONG</v>
      </c>
      <c r="L642" s="5" t="str">
        <f>OBV!H642</f>
        <v>CONFIRMED BEARISH</v>
      </c>
      <c r="M642" s="7">
        <f t="shared" si="93"/>
        <v>50</v>
      </c>
      <c r="N642" s="7">
        <f t="shared" ref="N642:N691" si="100">IF(E642-D642&gt;0.02, 100, IF(E642-D642&lt;0,0,45))</f>
        <v>100</v>
      </c>
      <c r="O642" s="7">
        <f t="shared" ref="O642:O691" si="101">IF(F642-I642&gt;10,100,IF(F642-I642&gt;5,75, IF(F642-I642&gt;0,50,0)))</f>
        <v>50</v>
      </c>
      <c r="P642" s="7">
        <f t="shared" ref="P642:P691" si="102">IF(L642="confirmed bullish", 34, IF(L642="bullish divergence",17, 0))+IF(J642="bullish",33,IF(J642="bearish",0,16.5))+IF(K642="strong",33,IF(K642="weak",0,16.5))</f>
        <v>33</v>
      </c>
      <c r="Q642" s="8">
        <f t="shared" si="94"/>
        <v>64.95</v>
      </c>
      <c r="R642" s="8">
        <f t="shared" si="95"/>
        <v>55.75</v>
      </c>
      <c r="S642" s="8">
        <f t="shared" si="96"/>
        <v>49.85</v>
      </c>
      <c r="T642" s="8">
        <f t="shared" si="97"/>
        <v>58.25</v>
      </c>
      <c r="U642" s="7">
        <f t="shared" si="98"/>
        <v>56.85</v>
      </c>
      <c r="V642" s="7">
        <f t="shared" si="99"/>
        <v>57.2</v>
      </c>
    </row>
    <row r="643" spans="1:22" ht="13.5" x14ac:dyDescent="0.25">
      <c r="A643" s="3">
        <f>RSI!A643</f>
        <v>45856</v>
      </c>
      <c r="B643" s="2">
        <f>RSI!B643</f>
        <v>5.7</v>
      </c>
      <c r="C643" s="2">
        <f>RSI!I643</f>
        <v>58.821765088135507</v>
      </c>
      <c r="D643" s="2">
        <f>MACD!E643</f>
        <v>-5.6083292589473643E-2</v>
      </c>
      <c r="E643" s="2">
        <f>MACD!F643</f>
        <v>-5.1827367029474783E-2</v>
      </c>
      <c r="F643" s="2">
        <f>'Moving Avg'!D643</f>
        <v>5.6779999999999999</v>
      </c>
      <c r="G643" s="2">
        <f>'Moving Avg'!F643</f>
        <v>5.6330500000000008</v>
      </c>
      <c r="H643" s="2">
        <f>'Moving Avg'!G643</f>
        <v>5.5982599999999989</v>
      </c>
      <c r="I643" s="2">
        <f>'Moving Avg'!H643</f>
        <v>5.6701150000000027</v>
      </c>
      <c r="J643" s="5" t="str">
        <f>OBV!F643</f>
        <v>BULLISH</v>
      </c>
      <c r="K643" s="5" t="str">
        <f>OBV!G643</f>
        <v>NEUTRAL</v>
      </c>
      <c r="L643" s="5" t="str">
        <f>OBV!H643</f>
        <v>CONFIRMED BULLISH</v>
      </c>
      <c r="M643" s="7">
        <f t="shared" ref="M643:M691" si="103">IF(C643&lt;30,100, IF(C643&gt;70, 0, 50))</f>
        <v>50</v>
      </c>
      <c r="N643" s="7">
        <f t="shared" si="100"/>
        <v>45</v>
      </c>
      <c r="O643" s="7">
        <f t="shared" si="101"/>
        <v>50</v>
      </c>
      <c r="P643" s="7">
        <f t="shared" si="102"/>
        <v>83.5</v>
      </c>
      <c r="Q643" s="8">
        <f t="shared" ref="Q643:Q691" si="104">0.35*M643+N643*0.35+O643*0.15+P643*0.15</f>
        <v>53.274999999999999</v>
      </c>
      <c r="R643" s="8">
        <f t="shared" ref="R643:R691" si="105">M643*0.2+N643*0.2+O643*0.35+P643*0.25</f>
        <v>57.375</v>
      </c>
      <c r="S643" s="8">
        <f t="shared" ref="S643:S691" si="106">M643*0.15+N643*0.15+O643*0.25+P643*0.45</f>
        <v>64.325000000000003</v>
      </c>
      <c r="T643" s="8">
        <f t="shared" ref="T643:T691" si="107">0.25*SUM(M643:P643)</f>
        <v>57.125</v>
      </c>
      <c r="U643" s="7">
        <f t="shared" ref="U643:U691" si="108">SUM(Q643:S643)/3</f>
        <v>58.32500000000001</v>
      </c>
      <c r="V643" s="7">
        <f t="shared" ref="V643:V691" si="109">SUM(Q643:T643)/4</f>
        <v>58.025000000000006</v>
      </c>
    </row>
    <row r="644" spans="1:22" ht="13.5" x14ac:dyDescent="0.25">
      <c r="A644" s="3">
        <f>RSI!A644</f>
        <v>45859</v>
      </c>
      <c r="B644" s="2">
        <f>RSI!B644</f>
        <v>5.7</v>
      </c>
      <c r="C644" s="2">
        <f>RSI!I644</f>
        <v>58.821765088135514</v>
      </c>
      <c r="D644" s="2">
        <f>MACD!E644</f>
        <v>-3.9259566139147495E-2</v>
      </c>
      <c r="E644" s="2">
        <f>MACD!F644</f>
        <v>-4.9313806851409327E-2</v>
      </c>
      <c r="F644" s="2">
        <f>'Moving Avg'!D644</f>
        <v>5.68</v>
      </c>
      <c r="G644" s="2">
        <f>'Moving Avg'!F644</f>
        <v>5.6410499999999999</v>
      </c>
      <c r="H644" s="2">
        <f>'Moving Avg'!G644</f>
        <v>5.6018399999999984</v>
      </c>
      <c r="I644" s="2">
        <f>'Moving Avg'!H644</f>
        <v>5.6695050000000027</v>
      </c>
      <c r="J644" s="5" t="str">
        <f>OBV!F644</f>
        <v>BEARISH</v>
      </c>
      <c r="K644" s="5" t="str">
        <f>OBV!G644</f>
        <v>NEUTRAL</v>
      </c>
      <c r="L644" s="5" t="str">
        <f>OBV!H644</f>
        <v>BEARISH DIVERGENCE</v>
      </c>
      <c r="M644" s="7">
        <f t="shared" si="103"/>
        <v>50</v>
      </c>
      <c r="N644" s="7">
        <f t="shared" si="100"/>
        <v>0</v>
      </c>
      <c r="O644" s="7">
        <f t="shared" si="101"/>
        <v>50</v>
      </c>
      <c r="P644" s="7">
        <f t="shared" si="102"/>
        <v>16.5</v>
      </c>
      <c r="Q644" s="8">
        <f t="shared" si="104"/>
        <v>27.475000000000001</v>
      </c>
      <c r="R644" s="8">
        <f t="shared" si="105"/>
        <v>31.625</v>
      </c>
      <c r="S644" s="8">
        <f t="shared" si="106"/>
        <v>27.425000000000001</v>
      </c>
      <c r="T644" s="8">
        <f t="shared" si="107"/>
        <v>29.125</v>
      </c>
      <c r="U644" s="7">
        <f t="shared" si="108"/>
        <v>28.841666666666669</v>
      </c>
      <c r="V644" s="7">
        <f t="shared" si="109"/>
        <v>28.912500000000001</v>
      </c>
    </row>
    <row r="645" spans="1:22" ht="13.5" x14ac:dyDescent="0.25">
      <c r="A645" s="3">
        <f>RSI!A645</f>
        <v>45860</v>
      </c>
      <c r="B645" s="2">
        <f>RSI!B645</f>
        <v>5.7</v>
      </c>
      <c r="C645" s="2">
        <f>RSI!I645</f>
        <v>58.821765088135507</v>
      </c>
      <c r="D645" s="2">
        <f>MACD!E645</f>
        <v>-2.0787876571066732E-2</v>
      </c>
      <c r="E645" s="2">
        <f>MACD!F645</f>
        <v>-4.3608620795340808E-2</v>
      </c>
      <c r="F645" s="2">
        <f>'Moving Avg'!D645</f>
        <v>5.6859999999999999</v>
      </c>
      <c r="G645" s="2">
        <f>'Moving Avg'!F645</f>
        <v>5.6467000000000009</v>
      </c>
      <c r="H645" s="2">
        <f>'Moving Avg'!G645</f>
        <v>5.6050399999999971</v>
      </c>
      <c r="I645" s="2">
        <f>'Moving Avg'!H645</f>
        <v>5.6688950000000027</v>
      </c>
      <c r="J645" s="5" t="str">
        <f>OBV!F645</f>
        <v>BEARISH</v>
      </c>
      <c r="K645" s="5" t="str">
        <f>OBV!G645</f>
        <v>NEUTRAL</v>
      </c>
      <c r="L645" s="5" t="str">
        <f>OBV!H645</f>
        <v>BEARISH DIVERGENCE</v>
      </c>
      <c r="M645" s="7">
        <f t="shared" si="103"/>
        <v>50</v>
      </c>
      <c r="N645" s="7">
        <f t="shared" si="100"/>
        <v>0</v>
      </c>
      <c r="O645" s="7">
        <f t="shared" si="101"/>
        <v>50</v>
      </c>
      <c r="P645" s="7">
        <f t="shared" si="102"/>
        <v>16.5</v>
      </c>
      <c r="Q645" s="8">
        <f t="shared" si="104"/>
        <v>27.475000000000001</v>
      </c>
      <c r="R645" s="8">
        <f t="shared" si="105"/>
        <v>31.625</v>
      </c>
      <c r="S645" s="8">
        <f t="shared" si="106"/>
        <v>27.425000000000001</v>
      </c>
      <c r="T645" s="8">
        <f t="shared" si="107"/>
        <v>29.125</v>
      </c>
      <c r="U645" s="7">
        <f t="shared" si="108"/>
        <v>28.841666666666669</v>
      </c>
      <c r="V645" s="7">
        <f t="shared" si="109"/>
        <v>28.912500000000001</v>
      </c>
    </row>
    <row r="646" spans="1:22" ht="13.5" x14ac:dyDescent="0.25">
      <c r="A646" s="3">
        <f>RSI!A646</f>
        <v>45861</v>
      </c>
      <c r="B646" s="2">
        <f>RSI!B646</f>
        <v>5.69</v>
      </c>
      <c r="C646" s="2">
        <f>RSI!I646</f>
        <v>57.048798201608527</v>
      </c>
      <c r="D646" s="2">
        <f>MACD!E646</f>
        <v>-1.2460622618055694E-2</v>
      </c>
      <c r="E646" s="2">
        <f>MACD!F646</f>
        <v>-3.7379021159883785E-2</v>
      </c>
      <c r="F646" s="2">
        <f>'Moving Avg'!D646</f>
        <v>5.6899999999999995</v>
      </c>
      <c r="G646" s="2">
        <f>'Moving Avg'!F646</f>
        <v>5.6495000000000006</v>
      </c>
      <c r="H646" s="2">
        <f>'Moving Avg'!G646</f>
        <v>5.6063399999999968</v>
      </c>
      <c r="I646" s="2">
        <f>'Moving Avg'!H646</f>
        <v>5.6682850000000045</v>
      </c>
      <c r="J646" s="5" t="str">
        <f>OBV!F646</f>
        <v>BEARISH</v>
      </c>
      <c r="K646" s="5" t="str">
        <f>OBV!G646</f>
        <v>NEUTRAL</v>
      </c>
      <c r="L646" s="5" t="str">
        <f>OBV!H646</f>
        <v>BEARISH DIVERGENCE</v>
      </c>
      <c r="M646" s="7">
        <f t="shared" si="103"/>
        <v>50</v>
      </c>
      <c r="N646" s="7">
        <f t="shared" si="100"/>
        <v>0</v>
      </c>
      <c r="O646" s="7">
        <f t="shared" si="101"/>
        <v>50</v>
      </c>
      <c r="P646" s="7">
        <f t="shared" si="102"/>
        <v>16.5</v>
      </c>
      <c r="Q646" s="8">
        <f t="shared" si="104"/>
        <v>27.475000000000001</v>
      </c>
      <c r="R646" s="8">
        <f t="shared" si="105"/>
        <v>31.625</v>
      </c>
      <c r="S646" s="8">
        <f t="shared" si="106"/>
        <v>27.425000000000001</v>
      </c>
      <c r="T646" s="8">
        <f t="shared" si="107"/>
        <v>29.125</v>
      </c>
      <c r="U646" s="7">
        <f t="shared" si="108"/>
        <v>28.841666666666669</v>
      </c>
      <c r="V646" s="7">
        <f t="shared" si="109"/>
        <v>28.912500000000001</v>
      </c>
    </row>
    <row r="647" spans="1:22" ht="13.5" x14ac:dyDescent="0.25">
      <c r="A647" s="3">
        <f>RSI!A647</f>
        <v>45862</v>
      </c>
      <c r="B647" s="2">
        <f>RSI!B647</f>
        <v>5.66</v>
      </c>
      <c r="C647" s="2">
        <f>RSI!I647</f>
        <v>51.986379276445078</v>
      </c>
      <c r="D647" s="2">
        <f>MACD!E647</f>
        <v>-3.4582370694797859E-3</v>
      </c>
      <c r="E647" s="2">
        <f>MACD!F647</f>
        <v>-3.0594864341802985E-2</v>
      </c>
      <c r="F647" s="2">
        <f>'Moving Avg'!D647</f>
        <v>5.69</v>
      </c>
      <c r="G647" s="2">
        <f>'Moving Avg'!F647</f>
        <v>5.6531500000000001</v>
      </c>
      <c r="H647" s="2">
        <f>'Moving Avg'!G647</f>
        <v>5.6070399999999969</v>
      </c>
      <c r="I647" s="2">
        <f>'Moving Avg'!H647</f>
        <v>5.667710000000004</v>
      </c>
      <c r="J647" s="5" t="str">
        <f>OBV!F647</f>
        <v>BEARISH</v>
      </c>
      <c r="K647" s="5" t="str">
        <f>OBV!G647</f>
        <v>NEUTRAL</v>
      </c>
      <c r="L647" s="5" t="str">
        <f>OBV!H647</f>
        <v>NEUTRAL</v>
      </c>
      <c r="M647" s="7">
        <f t="shared" si="103"/>
        <v>50</v>
      </c>
      <c r="N647" s="7">
        <f t="shared" si="100"/>
        <v>0</v>
      </c>
      <c r="O647" s="7">
        <f t="shared" si="101"/>
        <v>50</v>
      </c>
      <c r="P647" s="7">
        <f t="shared" si="102"/>
        <v>16.5</v>
      </c>
      <c r="Q647" s="8">
        <f t="shared" si="104"/>
        <v>27.475000000000001</v>
      </c>
      <c r="R647" s="8">
        <f t="shared" si="105"/>
        <v>31.625</v>
      </c>
      <c r="S647" s="8">
        <f t="shared" si="106"/>
        <v>27.425000000000001</v>
      </c>
      <c r="T647" s="8">
        <f t="shared" si="107"/>
        <v>29.125</v>
      </c>
      <c r="U647" s="7">
        <f t="shared" si="108"/>
        <v>28.841666666666669</v>
      </c>
      <c r="V647" s="7">
        <f t="shared" si="109"/>
        <v>28.912500000000001</v>
      </c>
    </row>
    <row r="648" spans="1:22" ht="13.5" x14ac:dyDescent="0.25">
      <c r="A648" s="3">
        <f>RSI!A648</f>
        <v>45866</v>
      </c>
      <c r="B648" s="2">
        <f>RSI!B648</f>
        <v>5.69</v>
      </c>
      <c r="C648" s="2">
        <f>RSI!I648</f>
        <v>56.174534789111398</v>
      </c>
      <c r="D648" s="2">
        <f>MACD!E648</f>
        <v>-1.2089807329092039E-3</v>
      </c>
      <c r="E648" s="2">
        <f>MACD!F648</f>
        <v>-2.4717687620024228E-2</v>
      </c>
      <c r="F648" s="2">
        <f>'Moving Avg'!D648</f>
        <v>5.6880000000000006</v>
      </c>
      <c r="G648" s="2">
        <f>'Moving Avg'!F648</f>
        <v>5.6616</v>
      </c>
      <c r="H648" s="2">
        <f>'Moving Avg'!G648</f>
        <v>5.6083399999999974</v>
      </c>
      <c r="I648" s="2">
        <f>'Moving Avg'!H648</f>
        <v>5.6672850000000041</v>
      </c>
      <c r="J648" s="5" t="str">
        <f>OBV!F648</f>
        <v>BEARISH</v>
      </c>
      <c r="K648" s="5" t="str">
        <f>OBV!G648</f>
        <v>NEUTRAL</v>
      </c>
      <c r="L648" s="5" t="str">
        <f>OBV!H648</f>
        <v>CONFIRMED BEARISH</v>
      </c>
      <c r="M648" s="7">
        <f t="shared" si="103"/>
        <v>50</v>
      </c>
      <c r="N648" s="7">
        <f t="shared" si="100"/>
        <v>0</v>
      </c>
      <c r="O648" s="7">
        <f t="shared" si="101"/>
        <v>50</v>
      </c>
      <c r="P648" s="7">
        <f t="shared" si="102"/>
        <v>16.5</v>
      </c>
      <c r="Q648" s="8">
        <f t="shared" si="104"/>
        <v>27.475000000000001</v>
      </c>
      <c r="R648" s="8">
        <f t="shared" si="105"/>
        <v>31.625</v>
      </c>
      <c r="S648" s="8">
        <f t="shared" si="106"/>
        <v>27.425000000000001</v>
      </c>
      <c r="T648" s="8">
        <f t="shared" si="107"/>
        <v>29.125</v>
      </c>
      <c r="U648" s="7">
        <f t="shared" si="108"/>
        <v>28.841666666666669</v>
      </c>
      <c r="V648" s="7">
        <f t="shared" si="109"/>
        <v>28.912500000000001</v>
      </c>
    </row>
    <row r="649" spans="1:22" ht="13.5" x14ac:dyDescent="0.25">
      <c r="A649" s="3">
        <f>RSI!A649</f>
        <v>45867</v>
      </c>
      <c r="B649" s="2">
        <f>RSI!B649</f>
        <v>5.66</v>
      </c>
      <c r="C649" s="2">
        <f>RSI!I649</f>
        <v>51.350730784477491</v>
      </c>
      <c r="D649" s="2">
        <f>MACD!E649</f>
        <v>4.2137583425567726E-3</v>
      </c>
      <c r="E649" s="2">
        <f>MACD!F649</f>
        <v>-1.8931398427508031E-2</v>
      </c>
      <c r="F649" s="2">
        <f>'Moving Avg'!D649</f>
        <v>5.6800000000000006</v>
      </c>
      <c r="G649" s="2">
        <f>'Moving Avg'!F649</f>
        <v>5.6685499999999998</v>
      </c>
      <c r="H649" s="2">
        <f>'Moving Avg'!G649</f>
        <v>5.611679999999998</v>
      </c>
      <c r="I649" s="2">
        <f>'Moving Avg'!H649</f>
        <v>5.6664750000000046</v>
      </c>
      <c r="J649" s="5" t="str">
        <f>OBV!F649</f>
        <v>BEARISH</v>
      </c>
      <c r="K649" s="5" t="str">
        <f>OBV!G649</f>
        <v>NEUTRAL</v>
      </c>
      <c r="L649" s="5" t="str">
        <f>OBV!H649</f>
        <v>CONFIRMED BEARISH</v>
      </c>
      <c r="M649" s="7">
        <f t="shared" si="103"/>
        <v>50</v>
      </c>
      <c r="N649" s="7">
        <f t="shared" si="100"/>
        <v>0</v>
      </c>
      <c r="O649" s="7">
        <f t="shared" si="101"/>
        <v>50</v>
      </c>
      <c r="P649" s="7">
        <f t="shared" si="102"/>
        <v>16.5</v>
      </c>
      <c r="Q649" s="8">
        <f t="shared" si="104"/>
        <v>27.475000000000001</v>
      </c>
      <c r="R649" s="8">
        <f t="shared" si="105"/>
        <v>31.625</v>
      </c>
      <c r="S649" s="8">
        <f t="shared" si="106"/>
        <v>27.425000000000001</v>
      </c>
      <c r="T649" s="8">
        <f t="shared" si="107"/>
        <v>29.125</v>
      </c>
      <c r="U649" s="7">
        <f t="shared" si="108"/>
        <v>28.841666666666669</v>
      </c>
      <c r="V649" s="7">
        <f t="shared" si="109"/>
        <v>28.912500000000001</v>
      </c>
    </row>
    <row r="650" spans="1:22" ht="13.5" x14ac:dyDescent="0.25">
      <c r="A650" s="3">
        <f>RSI!A650</f>
        <v>45868</v>
      </c>
      <c r="B650" s="2">
        <f>RSI!B650</f>
        <v>5.67</v>
      </c>
      <c r="C650" s="2">
        <f>RSI!I650</f>
        <v>52.805535371537154</v>
      </c>
      <c r="D650" s="2">
        <f>MACD!E650</f>
        <v>4.9385395744163674E-3</v>
      </c>
      <c r="E650" s="2">
        <f>MACD!F650</f>
        <v>-1.4157410827123152E-2</v>
      </c>
      <c r="F650" s="2">
        <f>'Moving Avg'!D650</f>
        <v>5.6740000000000013</v>
      </c>
      <c r="G650" s="2">
        <f>'Moving Avg'!F650</f>
        <v>5.67645</v>
      </c>
      <c r="H650" s="2">
        <f>'Moving Avg'!G650</f>
        <v>5.6157799999999982</v>
      </c>
      <c r="I650" s="2">
        <f>'Moving Avg'!H650</f>
        <v>5.6665150000000049</v>
      </c>
      <c r="J650" s="5" t="str">
        <f>OBV!F650</f>
        <v>BEARISH</v>
      </c>
      <c r="K650" s="5" t="str">
        <f>OBV!G650</f>
        <v>NEUTRAL</v>
      </c>
      <c r="L650" s="5" t="str">
        <f>OBV!H650</f>
        <v>CONFIRMED BEARISH</v>
      </c>
      <c r="M650" s="7">
        <f t="shared" si="103"/>
        <v>50</v>
      </c>
      <c r="N650" s="7">
        <f t="shared" si="100"/>
        <v>0</v>
      </c>
      <c r="O650" s="7">
        <f t="shared" si="101"/>
        <v>50</v>
      </c>
      <c r="P650" s="7">
        <f t="shared" si="102"/>
        <v>16.5</v>
      </c>
      <c r="Q650" s="8">
        <f t="shared" si="104"/>
        <v>27.475000000000001</v>
      </c>
      <c r="R650" s="8">
        <f t="shared" si="105"/>
        <v>31.625</v>
      </c>
      <c r="S650" s="8">
        <f t="shared" si="106"/>
        <v>27.425000000000001</v>
      </c>
      <c r="T650" s="8">
        <f t="shared" si="107"/>
        <v>29.125</v>
      </c>
      <c r="U650" s="7">
        <f t="shared" si="108"/>
        <v>28.841666666666669</v>
      </c>
      <c r="V650" s="7">
        <f t="shared" si="109"/>
        <v>28.912500000000001</v>
      </c>
    </row>
    <row r="651" spans="1:22" ht="13.5" x14ac:dyDescent="0.25">
      <c r="A651" s="3">
        <f>RSI!A651</f>
        <v>45869</v>
      </c>
      <c r="B651" s="2">
        <f>RSI!B651</f>
        <v>5.67</v>
      </c>
      <c r="C651" s="2">
        <f>RSI!I651</f>
        <v>52.805535371537154</v>
      </c>
      <c r="D651" s="2">
        <f>MACD!E651</f>
        <v>5.4501084646263465E-3</v>
      </c>
      <c r="E651" s="2">
        <f>MACD!F651</f>
        <v>-1.0235906968773252E-2</v>
      </c>
      <c r="F651" s="2">
        <f>'Moving Avg'!D651</f>
        <v>5.67</v>
      </c>
      <c r="G651" s="2">
        <f>'Moving Avg'!F651</f>
        <v>5.6843500000000002</v>
      </c>
      <c r="H651" s="2">
        <f>'Moving Avg'!G651</f>
        <v>5.617259999999999</v>
      </c>
      <c r="I651" s="2">
        <f>'Moving Avg'!H651</f>
        <v>5.6659900000000052</v>
      </c>
      <c r="J651" s="5" t="str">
        <f>OBV!F651</f>
        <v>BULLISH</v>
      </c>
      <c r="K651" s="5" t="str">
        <f>OBV!G651</f>
        <v>NEUTRAL</v>
      </c>
      <c r="L651" s="5" t="str">
        <f>OBV!H651</f>
        <v>BULLISH DIVERGENCE</v>
      </c>
      <c r="M651" s="7">
        <f t="shared" si="103"/>
        <v>50</v>
      </c>
      <c r="N651" s="7">
        <f t="shared" si="100"/>
        <v>0</v>
      </c>
      <c r="O651" s="7">
        <f t="shared" si="101"/>
        <v>50</v>
      </c>
      <c r="P651" s="7">
        <f t="shared" si="102"/>
        <v>66.5</v>
      </c>
      <c r="Q651" s="8">
        <f t="shared" si="104"/>
        <v>34.975000000000001</v>
      </c>
      <c r="R651" s="8">
        <f t="shared" si="105"/>
        <v>44.125</v>
      </c>
      <c r="S651" s="8">
        <f t="shared" si="106"/>
        <v>49.924999999999997</v>
      </c>
      <c r="T651" s="8">
        <f t="shared" si="107"/>
        <v>41.625</v>
      </c>
      <c r="U651" s="7">
        <f t="shared" si="108"/>
        <v>43.008333333333326</v>
      </c>
      <c r="V651" s="7">
        <f t="shared" si="109"/>
        <v>42.662499999999994</v>
      </c>
    </row>
    <row r="652" spans="1:22" ht="13.5" x14ac:dyDescent="0.25">
      <c r="A652" s="3">
        <f>RSI!A652</f>
        <v>45870</v>
      </c>
      <c r="B652" s="2">
        <f>RSI!B652</f>
        <v>5.7</v>
      </c>
      <c r="C652" s="2">
        <f>RSI!I652</f>
        <v>57.25311224307891</v>
      </c>
      <c r="D652" s="2">
        <f>MACD!E652</f>
        <v>2.028117042828903E-3</v>
      </c>
      <c r="E652" s="2">
        <f>MACD!F652</f>
        <v>-7.7831021664528204E-3</v>
      </c>
      <c r="F652" s="2">
        <f>'Moving Avg'!D652</f>
        <v>5.6780000000000008</v>
      </c>
      <c r="G652" s="2">
        <f>'Moving Avg'!F652</f>
        <v>5.6899999999999995</v>
      </c>
      <c r="H652" s="2">
        <f>'Moving Avg'!G652</f>
        <v>5.6198999999999986</v>
      </c>
      <c r="I652" s="2">
        <f>'Moving Avg'!H652</f>
        <v>5.6656150000000052</v>
      </c>
      <c r="J652" s="5" t="str">
        <f>OBV!F652</f>
        <v>BULLISH</v>
      </c>
      <c r="K652" s="5" t="str">
        <f>OBV!G652</f>
        <v>WEAK</v>
      </c>
      <c r="L652" s="5" t="str">
        <f>OBV!H652</f>
        <v>CONFIRMED BULLISH</v>
      </c>
      <c r="M652" s="7">
        <f t="shared" si="103"/>
        <v>50</v>
      </c>
      <c r="N652" s="7">
        <f t="shared" si="100"/>
        <v>0</v>
      </c>
      <c r="O652" s="7">
        <f t="shared" si="101"/>
        <v>50</v>
      </c>
      <c r="P652" s="7">
        <f t="shared" si="102"/>
        <v>67</v>
      </c>
      <c r="Q652" s="8">
        <f t="shared" si="104"/>
        <v>35.049999999999997</v>
      </c>
      <c r="R652" s="8">
        <f t="shared" si="105"/>
        <v>44.25</v>
      </c>
      <c r="S652" s="8">
        <f t="shared" si="106"/>
        <v>50.150000000000006</v>
      </c>
      <c r="T652" s="8">
        <f t="shared" si="107"/>
        <v>41.75</v>
      </c>
      <c r="U652" s="7">
        <f t="shared" si="108"/>
        <v>43.15</v>
      </c>
      <c r="V652" s="7">
        <f t="shared" si="109"/>
        <v>42.8</v>
      </c>
    </row>
    <row r="653" spans="1:22" ht="13.5" x14ac:dyDescent="0.25">
      <c r="A653" s="3">
        <f>RSI!A653</f>
        <v>45873</v>
      </c>
      <c r="B653" s="2">
        <f>RSI!B653</f>
        <v>5.7</v>
      </c>
      <c r="C653" s="2">
        <f>RSI!I653</f>
        <v>57.25311224307891</v>
      </c>
      <c r="D653" s="2">
        <f>MACD!E653</f>
        <v>5.0219628856629228E-3</v>
      </c>
      <c r="E653" s="2">
        <f>MACD!F653</f>
        <v>-5.2220891560296719E-3</v>
      </c>
      <c r="F653" s="2">
        <f>'Moving Avg'!D653</f>
        <v>5.68</v>
      </c>
      <c r="G653" s="2">
        <f>'Moving Avg'!F653</f>
        <v>5.6890000000000001</v>
      </c>
      <c r="H653" s="2">
        <f>'Moving Avg'!G653</f>
        <v>5.6225399999999981</v>
      </c>
      <c r="I653" s="2">
        <f>'Moving Avg'!H653</f>
        <v>5.6648650000000043</v>
      </c>
      <c r="J653" s="5" t="str">
        <f>OBV!F653</f>
        <v>BULLISH</v>
      </c>
      <c r="K653" s="5" t="str">
        <f>OBV!G653</f>
        <v>NEUTRAL</v>
      </c>
      <c r="L653" s="5" t="str">
        <f>OBV!H653</f>
        <v>CONFIRMED BULLISH</v>
      </c>
      <c r="M653" s="7">
        <f t="shared" si="103"/>
        <v>50</v>
      </c>
      <c r="N653" s="7">
        <f t="shared" si="100"/>
        <v>0</v>
      </c>
      <c r="O653" s="7">
        <f t="shared" si="101"/>
        <v>50</v>
      </c>
      <c r="P653" s="7">
        <f t="shared" si="102"/>
        <v>83.5</v>
      </c>
      <c r="Q653" s="8">
        <f t="shared" si="104"/>
        <v>37.524999999999999</v>
      </c>
      <c r="R653" s="8">
        <f t="shared" si="105"/>
        <v>48.375</v>
      </c>
      <c r="S653" s="8">
        <f t="shared" si="106"/>
        <v>57.575000000000003</v>
      </c>
      <c r="T653" s="8">
        <f t="shared" si="107"/>
        <v>45.875</v>
      </c>
      <c r="U653" s="7">
        <f t="shared" si="108"/>
        <v>47.82500000000001</v>
      </c>
      <c r="V653" s="7">
        <f t="shared" si="109"/>
        <v>47.337500000000006</v>
      </c>
    </row>
    <row r="654" spans="1:22" ht="13.5" x14ac:dyDescent="0.25">
      <c r="A654" s="3">
        <f>RSI!A654</f>
        <v>45874</v>
      </c>
      <c r="B654" s="2">
        <f>RSI!B654</f>
        <v>5.6</v>
      </c>
      <c r="C654" s="2">
        <f>RSI!I654</f>
        <v>41.964641960659321</v>
      </c>
      <c r="D654" s="2">
        <f>MACD!E654</f>
        <v>1.4717745664115434E-2</v>
      </c>
      <c r="E654" s="2">
        <f>MACD!F654</f>
        <v>-1.2341221920006504E-3</v>
      </c>
      <c r="F654" s="2">
        <f>'Moving Avg'!D654</f>
        <v>5.6679999999999993</v>
      </c>
      <c r="G654" s="2">
        <f>'Moving Avg'!F654</f>
        <v>5.6829999999999998</v>
      </c>
      <c r="H654" s="2">
        <f>'Moving Avg'!G654</f>
        <v>5.6244999999999985</v>
      </c>
      <c r="I654" s="2">
        <f>'Moving Avg'!H654</f>
        <v>5.6643200000000036</v>
      </c>
      <c r="J654" s="5" t="str">
        <f>OBV!F654</f>
        <v>BULLISH</v>
      </c>
      <c r="K654" s="5" t="str">
        <f>OBV!G654</f>
        <v>WEAK</v>
      </c>
      <c r="L654" s="5" t="str">
        <f>OBV!H654</f>
        <v>BULLISH DIVERGENCE</v>
      </c>
      <c r="M654" s="7">
        <f t="shared" si="103"/>
        <v>50</v>
      </c>
      <c r="N654" s="7">
        <f t="shared" si="100"/>
        <v>0</v>
      </c>
      <c r="O654" s="7">
        <f t="shared" si="101"/>
        <v>50</v>
      </c>
      <c r="P654" s="7">
        <f t="shared" si="102"/>
        <v>50</v>
      </c>
      <c r="Q654" s="8">
        <f t="shared" si="104"/>
        <v>32.5</v>
      </c>
      <c r="R654" s="8">
        <f t="shared" si="105"/>
        <v>40</v>
      </c>
      <c r="S654" s="8">
        <f t="shared" si="106"/>
        <v>42.5</v>
      </c>
      <c r="T654" s="8">
        <f t="shared" si="107"/>
        <v>37.5</v>
      </c>
      <c r="U654" s="7">
        <f t="shared" si="108"/>
        <v>38.333333333333336</v>
      </c>
      <c r="V654" s="7">
        <f t="shared" si="109"/>
        <v>38.125</v>
      </c>
    </row>
    <row r="655" spans="1:22" ht="13.5" x14ac:dyDescent="0.25">
      <c r="A655" s="3">
        <f>RSI!A655</f>
        <v>45875</v>
      </c>
      <c r="B655" s="2">
        <f>RSI!B655</f>
        <v>5.66</v>
      </c>
      <c r="C655" s="2">
        <f>RSI!I655</f>
        <v>50.504767187297809</v>
      </c>
      <c r="D655" s="2">
        <f>MACD!E655</f>
        <v>1.884158977071948E-2</v>
      </c>
      <c r="E655" s="2">
        <f>MACD!F655</f>
        <v>2.7810202005433757E-3</v>
      </c>
      <c r="F655" s="2">
        <f>'Moving Avg'!D655</f>
        <v>5.6660000000000004</v>
      </c>
      <c r="G655" s="2">
        <f>'Moving Avg'!F655</f>
        <v>5.6784999999999997</v>
      </c>
      <c r="H655" s="2">
        <f>'Moving Avg'!G655</f>
        <v>5.6259599999999992</v>
      </c>
      <c r="I655" s="2">
        <f>'Moving Avg'!H655</f>
        <v>5.6637450000000031</v>
      </c>
      <c r="J655" s="5" t="str">
        <f>OBV!F655</f>
        <v>BULLISH</v>
      </c>
      <c r="K655" s="5" t="str">
        <f>OBV!G655</f>
        <v>WEAK</v>
      </c>
      <c r="L655" s="5" t="str">
        <f>OBV!H655</f>
        <v>BULLISH DIVERGENCE</v>
      </c>
      <c r="M655" s="7">
        <f t="shared" si="103"/>
        <v>50</v>
      </c>
      <c r="N655" s="7">
        <f t="shared" si="100"/>
        <v>0</v>
      </c>
      <c r="O655" s="7">
        <f t="shared" si="101"/>
        <v>50</v>
      </c>
      <c r="P655" s="7">
        <f t="shared" si="102"/>
        <v>50</v>
      </c>
      <c r="Q655" s="8">
        <f t="shared" si="104"/>
        <v>32.5</v>
      </c>
      <c r="R655" s="8">
        <f t="shared" si="105"/>
        <v>40</v>
      </c>
      <c r="S655" s="8">
        <f t="shared" si="106"/>
        <v>42.5</v>
      </c>
      <c r="T655" s="8">
        <f t="shared" si="107"/>
        <v>37.5</v>
      </c>
      <c r="U655" s="7">
        <f t="shared" si="108"/>
        <v>38.333333333333336</v>
      </c>
      <c r="V655" s="7">
        <f t="shared" si="109"/>
        <v>38.125</v>
      </c>
    </row>
    <row r="656" spans="1:22" ht="13.5" x14ac:dyDescent="0.25">
      <c r="A656" s="3">
        <f>RSI!A656</f>
        <v>45876</v>
      </c>
      <c r="B656" s="2">
        <f>RSI!B656</f>
        <v>5.65</v>
      </c>
      <c r="C656" s="2">
        <f>RSI!I656</f>
        <v>49.205149656850494</v>
      </c>
      <c r="D656" s="2">
        <f>MACD!E656</f>
        <v>2.1515922449446556E-2</v>
      </c>
      <c r="E656" s="2">
        <f>MACD!F656</f>
        <v>6.5280006503240125E-3</v>
      </c>
      <c r="F656" s="2">
        <f>'Moving Avg'!D656</f>
        <v>5.6620000000000008</v>
      </c>
      <c r="G656" s="2">
        <f>'Moving Avg'!F656</f>
        <v>5.6760000000000002</v>
      </c>
      <c r="H656" s="2">
        <f>'Moving Avg'!G656</f>
        <v>5.6272199999999986</v>
      </c>
      <c r="I656" s="2">
        <f>'Moving Avg'!H656</f>
        <v>5.6631200000000037</v>
      </c>
      <c r="J656" s="5" t="str">
        <f>OBV!F656</f>
        <v>BULLISH</v>
      </c>
      <c r="K656" s="5" t="str">
        <f>OBV!G656</f>
        <v>NEUTRAL</v>
      </c>
      <c r="L656" s="5" t="str">
        <f>OBV!H656</f>
        <v>BULLISH DIVERGENCE</v>
      </c>
      <c r="M656" s="7">
        <f t="shared" si="103"/>
        <v>50</v>
      </c>
      <c r="N656" s="7">
        <f t="shared" si="100"/>
        <v>0</v>
      </c>
      <c r="O656" s="7">
        <f t="shared" si="101"/>
        <v>0</v>
      </c>
      <c r="P656" s="7">
        <f t="shared" si="102"/>
        <v>66.5</v>
      </c>
      <c r="Q656" s="8">
        <f t="shared" si="104"/>
        <v>27.475000000000001</v>
      </c>
      <c r="R656" s="8">
        <f t="shared" si="105"/>
        <v>26.625</v>
      </c>
      <c r="S656" s="8">
        <f t="shared" si="106"/>
        <v>37.424999999999997</v>
      </c>
      <c r="T656" s="8">
        <f t="shared" si="107"/>
        <v>29.125</v>
      </c>
      <c r="U656" s="7">
        <f t="shared" si="108"/>
        <v>30.508333333333336</v>
      </c>
      <c r="V656" s="7">
        <f t="shared" si="109"/>
        <v>30.162500000000001</v>
      </c>
    </row>
    <row r="657" spans="1:22" ht="13.5" x14ac:dyDescent="0.25">
      <c r="A657" s="3">
        <f>RSI!A657</f>
        <v>45877</v>
      </c>
      <c r="B657" s="2">
        <f>RSI!B657</f>
        <v>5.58</v>
      </c>
      <c r="C657" s="2">
        <f>RSI!I657</f>
        <v>41.210895329208995</v>
      </c>
      <c r="D657" s="2">
        <f>MACD!E657</f>
        <v>2.4391642668398106E-2</v>
      </c>
      <c r="E657" s="2">
        <f>MACD!F657</f>
        <v>1.0100729053938832E-2</v>
      </c>
      <c r="F657" s="2">
        <f>'Moving Avg'!D657</f>
        <v>5.6379999999999999</v>
      </c>
      <c r="G657" s="2">
        <f>'Moving Avg'!F657</f>
        <v>5.67</v>
      </c>
      <c r="H657" s="2">
        <f>'Moving Avg'!G657</f>
        <v>5.626319999999998</v>
      </c>
      <c r="I657" s="2">
        <f>'Moving Avg'!H657</f>
        <v>5.6617700000000033</v>
      </c>
      <c r="J657" s="5" t="str">
        <f>OBV!F657</f>
        <v>BEARISH</v>
      </c>
      <c r="K657" s="5" t="str">
        <f>OBV!G657</f>
        <v>NEUTRAL</v>
      </c>
      <c r="L657" s="5" t="str">
        <f>OBV!H657</f>
        <v>CONFIRMED BEARISH</v>
      </c>
      <c r="M657" s="7">
        <f t="shared" si="103"/>
        <v>50</v>
      </c>
      <c r="N657" s="7">
        <f t="shared" si="100"/>
        <v>0</v>
      </c>
      <c r="O657" s="7">
        <f t="shared" si="101"/>
        <v>0</v>
      </c>
      <c r="P657" s="7">
        <f t="shared" si="102"/>
        <v>16.5</v>
      </c>
      <c r="Q657" s="8">
        <f t="shared" si="104"/>
        <v>19.975000000000001</v>
      </c>
      <c r="R657" s="8">
        <f t="shared" si="105"/>
        <v>14.125</v>
      </c>
      <c r="S657" s="8">
        <f t="shared" si="106"/>
        <v>14.925000000000001</v>
      </c>
      <c r="T657" s="8">
        <f t="shared" si="107"/>
        <v>16.625</v>
      </c>
      <c r="U657" s="7">
        <f t="shared" si="108"/>
        <v>16.341666666666669</v>
      </c>
      <c r="V657" s="7">
        <f t="shared" si="109"/>
        <v>16.412500000000001</v>
      </c>
    </row>
    <row r="658" spans="1:22" ht="13.5" x14ac:dyDescent="0.25">
      <c r="A658" s="3">
        <f>RSI!A658</f>
        <v>45880</v>
      </c>
      <c r="B658" s="2">
        <f>RSI!B658</f>
        <v>5.64</v>
      </c>
      <c r="C658" s="2">
        <f>RSI!I658</f>
        <v>48.877719698746304</v>
      </c>
      <c r="D658" s="2">
        <f>MACD!E658</f>
        <v>2.7449353464803039E-2</v>
      </c>
      <c r="E658" s="2">
        <f>MACD!F658</f>
        <v>1.3570453936111674E-2</v>
      </c>
      <c r="F658" s="2">
        <f>'Moving Avg'!D658</f>
        <v>5.6260000000000003</v>
      </c>
      <c r="G658" s="2">
        <f>'Moving Avg'!F658</f>
        <v>5.6680000000000001</v>
      </c>
      <c r="H658" s="2">
        <f>'Moving Avg'!G658</f>
        <v>5.6264399999999979</v>
      </c>
      <c r="I658" s="2">
        <f>'Moving Avg'!H658</f>
        <v>5.6609100000000039</v>
      </c>
      <c r="J658" s="5" t="str">
        <f>OBV!F658</f>
        <v>BULLISH</v>
      </c>
      <c r="K658" s="5" t="str">
        <f>OBV!G658</f>
        <v>NEUTRAL</v>
      </c>
      <c r="L658" s="5" t="str">
        <f>OBV!H658</f>
        <v>BULLISH DIVERGENCE</v>
      </c>
      <c r="M658" s="7">
        <f t="shared" si="103"/>
        <v>50</v>
      </c>
      <c r="N658" s="7">
        <f t="shared" si="100"/>
        <v>0</v>
      </c>
      <c r="O658" s="7">
        <f t="shared" si="101"/>
        <v>0</v>
      </c>
      <c r="P658" s="7">
        <f t="shared" si="102"/>
        <v>66.5</v>
      </c>
      <c r="Q658" s="8">
        <f t="shared" si="104"/>
        <v>27.475000000000001</v>
      </c>
      <c r="R658" s="8">
        <f t="shared" si="105"/>
        <v>26.625</v>
      </c>
      <c r="S658" s="8">
        <f t="shared" si="106"/>
        <v>37.424999999999997</v>
      </c>
      <c r="T658" s="8">
        <f t="shared" si="107"/>
        <v>29.125</v>
      </c>
      <c r="U658" s="7">
        <f t="shared" si="108"/>
        <v>30.508333333333336</v>
      </c>
      <c r="V658" s="7">
        <f t="shared" si="109"/>
        <v>30.162500000000001</v>
      </c>
    </row>
    <row r="659" spans="1:22" ht="13.5" x14ac:dyDescent="0.25">
      <c r="A659" s="3">
        <f>RSI!A659</f>
        <v>45881</v>
      </c>
      <c r="B659" s="2">
        <f>RSI!B659</f>
        <v>5.64</v>
      </c>
      <c r="C659" s="2">
        <f>RSI!I659</f>
        <v>48.877719698746304</v>
      </c>
      <c r="D659" s="2">
        <f>MACD!E659</f>
        <v>2.5486598636176971E-2</v>
      </c>
      <c r="E659" s="2">
        <f>MACD!F659</f>
        <v>1.5953682876124732E-2</v>
      </c>
      <c r="F659" s="2">
        <f>'Moving Avg'!D659</f>
        <v>5.6340000000000003</v>
      </c>
      <c r="G659" s="2">
        <f>'Moving Avg'!F659</f>
        <v>5.6654999999999998</v>
      </c>
      <c r="H659" s="2">
        <f>'Moving Avg'!G659</f>
        <v>5.626559999999996</v>
      </c>
      <c r="I659" s="2">
        <f>'Moving Avg'!H659</f>
        <v>5.6600000000000046</v>
      </c>
      <c r="J659" s="5" t="str">
        <f>OBV!F659</f>
        <v>BULLISH</v>
      </c>
      <c r="K659" s="5" t="str">
        <f>OBV!G659</f>
        <v>NEUTRAL</v>
      </c>
      <c r="L659" s="5" t="str">
        <f>OBV!H659</f>
        <v>CONFIRMED BULLISH</v>
      </c>
      <c r="M659" s="7">
        <f t="shared" si="103"/>
        <v>50</v>
      </c>
      <c r="N659" s="7">
        <f t="shared" si="100"/>
        <v>0</v>
      </c>
      <c r="O659" s="7">
        <f t="shared" si="101"/>
        <v>0</v>
      </c>
      <c r="P659" s="7">
        <f t="shared" si="102"/>
        <v>83.5</v>
      </c>
      <c r="Q659" s="8">
        <f t="shared" si="104"/>
        <v>30.024999999999999</v>
      </c>
      <c r="R659" s="8">
        <f t="shared" si="105"/>
        <v>30.875</v>
      </c>
      <c r="S659" s="8">
        <f t="shared" si="106"/>
        <v>45.075000000000003</v>
      </c>
      <c r="T659" s="8">
        <f t="shared" si="107"/>
        <v>33.375</v>
      </c>
      <c r="U659" s="7">
        <f t="shared" si="108"/>
        <v>35.324999999999996</v>
      </c>
      <c r="V659" s="7">
        <f t="shared" si="109"/>
        <v>34.837499999999999</v>
      </c>
    </row>
    <row r="660" spans="1:22" ht="13.5" x14ac:dyDescent="0.25">
      <c r="A660" s="3">
        <f>RSI!A660</f>
        <v>45883</v>
      </c>
      <c r="B660" s="2">
        <f>RSI!B660</f>
        <v>5.64</v>
      </c>
      <c r="C660" s="2">
        <f>RSI!I660</f>
        <v>48.877719698746304</v>
      </c>
      <c r="D660" s="2">
        <f>MACD!E660</f>
        <v>2.5424763956926277E-2</v>
      </c>
      <c r="E660" s="2">
        <f>MACD!F660</f>
        <v>1.7847899092285041E-2</v>
      </c>
      <c r="F660" s="2">
        <f>'Moving Avg'!D660</f>
        <v>5.6300000000000008</v>
      </c>
      <c r="G660" s="2">
        <f>'Moving Avg'!F660</f>
        <v>5.6639999999999997</v>
      </c>
      <c r="H660" s="2">
        <f>'Moving Avg'!G660</f>
        <v>5.6268599999999971</v>
      </c>
      <c r="I660" s="2">
        <f>'Moving Avg'!H660</f>
        <v>5.6593250000000044</v>
      </c>
      <c r="J660" s="5" t="str">
        <f>OBV!F660</f>
        <v>BEARISH</v>
      </c>
      <c r="K660" s="5" t="str">
        <f>OBV!G660</f>
        <v>NEUTRAL</v>
      </c>
      <c r="L660" s="5" t="str">
        <f>OBV!H660</f>
        <v>CONFIRMED BEARISH</v>
      </c>
      <c r="M660" s="7">
        <f t="shared" si="103"/>
        <v>50</v>
      </c>
      <c r="N660" s="7">
        <f t="shared" si="100"/>
        <v>0</v>
      </c>
      <c r="O660" s="7">
        <f t="shared" si="101"/>
        <v>0</v>
      </c>
      <c r="P660" s="7">
        <f t="shared" si="102"/>
        <v>16.5</v>
      </c>
      <c r="Q660" s="8">
        <f t="shared" si="104"/>
        <v>19.975000000000001</v>
      </c>
      <c r="R660" s="8">
        <f t="shared" si="105"/>
        <v>14.125</v>
      </c>
      <c r="S660" s="8">
        <f t="shared" si="106"/>
        <v>14.925000000000001</v>
      </c>
      <c r="T660" s="8">
        <f t="shared" si="107"/>
        <v>16.625</v>
      </c>
      <c r="U660" s="7">
        <f t="shared" si="108"/>
        <v>16.341666666666669</v>
      </c>
      <c r="V660" s="7">
        <f t="shared" si="109"/>
        <v>16.412500000000001</v>
      </c>
    </row>
    <row r="661" spans="1:22" ht="13.5" x14ac:dyDescent="0.25">
      <c r="A661" s="3">
        <f>RSI!A661</f>
        <v>45884</v>
      </c>
      <c r="B661" s="2">
        <f>RSI!B661</f>
        <v>5.52</v>
      </c>
      <c r="C661" s="2">
        <f>RSI!I661</f>
        <v>36.867594882445978</v>
      </c>
      <c r="D661" s="2">
        <f>MACD!E661</f>
        <v>3.4317346314129971E-2</v>
      </c>
      <c r="E661" s="2">
        <f>MACD!F661</f>
        <v>2.1141788536654028E-2</v>
      </c>
      <c r="F661" s="2">
        <f>'Moving Avg'!D661</f>
        <v>5.6040000000000001</v>
      </c>
      <c r="G661" s="2">
        <f>'Moving Avg'!F661</f>
        <v>5.6564999999999994</v>
      </c>
      <c r="H661" s="2">
        <f>'Moving Avg'!G661</f>
        <v>5.6249599999999962</v>
      </c>
      <c r="I661" s="2">
        <f>'Moving Avg'!H661</f>
        <v>5.6575800000000038</v>
      </c>
      <c r="J661" s="5" t="str">
        <f>OBV!F661</f>
        <v>BEARISH</v>
      </c>
      <c r="K661" s="5" t="str">
        <f>OBV!G661</f>
        <v>NEUTRAL</v>
      </c>
      <c r="L661" s="5" t="str">
        <f>OBV!H661</f>
        <v>CONFIRMED BEARISH</v>
      </c>
      <c r="M661" s="7">
        <f t="shared" si="103"/>
        <v>50</v>
      </c>
      <c r="N661" s="7">
        <f t="shared" si="100"/>
        <v>0</v>
      </c>
      <c r="O661" s="7">
        <f t="shared" si="101"/>
        <v>0</v>
      </c>
      <c r="P661" s="7">
        <f t="shared" si="102"/>
        <v>16.5</v>
      </c>
      <c r="Q661" s="8">
        <f t="shared" si="104"/>
        <v>19.975000000000001</v>
      </c>
      <c r="R661" s="8">
        <f t="shared" si="105"/>
        <v>14.125</v>
      </c>
      <c r="S661" s="8">
        <f t="shared" si="106"/>
        <v>14.925000000000001</v>
      </c>
      <c r="T661" s="8">
        <f t="shared" si="107"/>
        <v>16.625</v>
      </c>
      <c r="U661" s="7">
        <f t="shared" si="108"/>
        <v>16.341666666666669</v>
      </c>
      <c r="V661" s="7">
        <f t="shared" si="109"/>
        <v>16.412500000000001</v>
      </c>
    </row>
    <row r="662" spans="1:22" ht="13.5" x14ac:dyDescent="0.25">
      <c r="A662" s="3">
        <f>RSI!A662</f>
        <v>45887</v>
      </c>
      <c r="B662" s="2">
        <f>RSI!B662</f>
        <v>5.56</v>
      </c>
      <c r="C662" s="2">
        <f>RSI!I662</f>
        <v>41.984897247563318</v>
      </c>
      <c r="D662" s="2">
        <f>MACD!E662</f>
        <v>4.4255211735710454E-2</v>
      </c>
      <c r="E662" s="2">
        <f>MACD!F662</f>
        <v>2.5764473176465318E-2</v>
      </c>
      <c r="F662" s="2">
        <f>'Moving Avg'!D662</f>
        <v>5.6</v>
      </c>
      <c r="G662" s="2">
        <f>'Moving Avg'!F662</f>
        <v>5.6515000000000004</v>
      </c>
      <c r="H662" s="2">
        <f>'Moving Avg'!G662</f>
        <v>5.623859999999997</v>
      </c>
      <c r="I662" s="2">
        <f>'Moving Avg'!H662</f>
        <v>5.6560350000000037</v>
      </c>
      <c r="J662" s="5" t="str">
        <f>OBV!F662</f>
        <v>BEARISH</v>
      </c>
      <c r="K662" s="5" t="str">
        <f>OBV!G662</f>
        <v>NEUTRAL</v>
      </c>
      <c r="L662" s="5" t="str">
        <f>OBV!H662</f>
        <v>CONFIRMED BEARISH</v>
      </c>
      <c r="M662" s="7">
        <f t="shared" si="103"/>
        <v>50</v>
      </c>
      <c r="N662" s="7">
        <f t="shared" si="100"/>
        <v>0</v>
      </c>
      <c r="O662" s="7">
        <f t="shared" si="101"/>
        <v>0</v>
      </c>
      <c r="P662" s="7">
        <f t="shared" si="102"/>
        <v>16.5</v>
      </c>
      <c r="Q662" s="8">
        <f t="shared" si="104"/>
        <v>19.975000000000001</v>
      </c>
      <c r="R662" s="8">
        <f t="shared" si="105"/>
        <v>14.125</v>
      </c>
      <c r="S662" s="8">
        <f t="shared" si="106"/>
        <v>14.925000000000001</v>
      </c>
      <c r="T662" s="8">
        <f t="shared" si="107"/>
        <v>16.625</v>
      </c>
      <c r="U662" s="7">
        <f t="shared" si="108"/>
        <v>16.341666666666669</v>
      </c>
      <c r="V662" s="7">
        <f t="shared" si="109"/>
        <v>16.412500000000001</v>
      </c>
    </row>
    <row r="663" spans="1:22" ht="13.5" x14ac:dyDescent="0.25">
      <c r="A663" s="3">
        <f>RSI!A663</f>
        <v>45888</v>
      </c>
      <c r="B663" s="2">
        <f>RSI!B663</f>
        <v>5.69</v>
      </c>
      <c r="C663" s="2">
        <f>RSI!I663</f>
        <v>54.806280317874979</v>
      </c>
      <c r="D663" s="2">
        <f>MACD!E663</f>
        <v>4.350276770149808E-2</v>
      </c>
      <c r="E663" s="2">
        <f>MACD!F663</f>
        <v>2.9312132081471869E-2</v>
      </c>
      <c r="F663" s="2">
        <f>'Moving Avg'!D663</f>
        <v>5.6099999999999994</v>
      </c>
      <c r="G663" s="2">
        <f>'Moving Avg'!F663</f>
        <v>5.6510000000000007</v>
      </c>
      <c r="H663" s="2">
        <f>'Moving Avg'!G663</f>
        <v>5.6272399999999969</v>
      </c>
      <c r="I663" s="2">
        <f>'Moving Avg'!H663</f>
        <v>5.6551400000000038</v>
      </c>
      <c r="J663" s="5" t="str">
        <f>OBV!F663</f>
        <v>BEARISH</v>
      </c>
      <c r="K663" s="5" t="str">
        <f>OBV!G663</f>
        <v>NEUTRAL</v>
      </c>
      <c r="L663" s="5" t="str">
        <f>OBV!H663</f>
        <v>BEARISH DIVERGENCE</v>
      </c>
      <c r="M663" s="7">
        <f t="shared" si="103"/>
        <v>50</v>
      </c>
      <c r="N663" s="7">
        <f t="shared" si="100"/>
        <v>0</v>
      </c>
      <c r="O663" s="7">
        <f t="shared" si="101"/>
        <v>0</v>
      </c>
      <c r="P663" s="7">
        <f t="shared" si="102"/>
        <v>16.5</v>
      </c>
      <c r="Q663" s="8">
        <f t="shared" si="104"/>
        <v>19.975000000000001</v>
      </c>
      <c r="R663" s="8">
        <f t="shared" si="105"/>
        <v>14.125</v>
      </c>
      <c r="S663" s="8">
        <f t="shared" si="106"/>
        <v>14.925000000000001</v>
      </c>
      <c r="T663" s="8">
        <f t="shared" si="107"/>
        <v>16.625</v>
      </c>
      <c r="U663" s="7">
        <f t="shared" si="108"/>
        <v>16.341666666666669</v>
      </c>
      <c r="V663" s="7">
        <f t="shared" si="109"/>
        <v>16.412500000000001</v>
      </c>
    </row>
    <row r="664" spans="1:22" ht="13.5" x14ac:dyDescent="0.25">
      <c r="A664" s="3">
        <f>RSI!A664</f>
        <v>45889</v>
      </c>
      <c r="B664" s="2">
        <f>RSI!B664</f>
        <v>5.74</v>
      </c>
      <c r="C664" s="2">
        <f>RSI!I664</f>
        <v>58.596322653380234</v>
      </c>
      <c r="D664" s="2">
        <f>MACD!E664</f>
        <v>2.3443129011428532E-2</v>
      </c>
      <c r="E664" s="2">
        <f>MACD!F664</f>
        <v>2.8138331467463203E-2</v>
      </c>
      <c r="F664" s="2">
        <f>'Moving Avg'!D664</f>
        <v>5.63</v>
      </c>
      <c r="G664" s="2">
        <f>'Moving Avg'!F664</f>
        <v>5.6530000000000005</v>
      </c>
      <c r="H664" s="2">
        <f>'Moving Avg'!G664</f>
        <v>5.6316199999999972</v>
      </c>
      <c r="I664" s="2">
        <f>'Moving Avg'!H664</f>
        <v>5.6544950000000052</v>
      </c>
      <c r="J664" s="5" t="str">
        <f>OBV!F664</f>
        <v>BULLISH</v>
      </c>
      <c r="K664" s="5" t="str">
        <f>OBV!G664</f>
        <v>NEUTRAL</v>
      </c>
      <c r="L664" s="5" t="str">
        <f>OBV!H664</f>
        <v>CONFIRMED BULLISH</v>
      </c>
      <c r="M664" s="7">
        <f t="shared" si="103"/>
        <v>50</v>
      </c>
      <c r="N664" s="7">
        <f t="shared" si="100"/>
        <v>45</v>
      </c>
      <c r="O664" s="7">
        <f t="shared" si="101"/>
        <v>0</v>
      </c>
      <c r="P664" s="7">
        <f t="shared" si="102"/>
        <v>83.5</v>
      </c>
      <c r="Q664" s="8">
        <f t="shared" si="104"/>
        <v>45.774999999999999</v>
      </c>
      <c r="R664" s="8">
        <f t="shared" si="105"/>
        <v>39.875</v>
      </c>
      <c r="S664" s="8">
        <f t="shared" si="106"/>
        <v>51.825000000000003</v>
      </c>
      <c r="T664" s="8">
        <f t="shared" si="107"/>
        <v>44.625</v>
      </c>
      <c r="U664" s="7">
        <f t="shared" si="108"/>
        <v>45.82500000000001</v>
      </c>
      <c r="V664" s="7">
        <f t="shared" si="109"/>
        <v>45.525000000000006</v>
      </c>
    </row>
    <row r="665" spans="1:22" ht="13.5" x14ac:dyDescent="0.25">
      <c r="A665" s="3">
        <f>RSI!A665</f>
        <v>45890</v>
      </c>
      <c r="B665" s="2">
        <f>RSI!B665</f>
        <v>5.74</v>
      </c>
      <c r="C665" s="2">
        <f>RSI!I665</f>
        <v>58.596322653380241</v>
      </c>
      <c r="D665" s="2">
        <f>MACD!E665</f>
        <v>1.5095057342439766E-2</v>
      </c>
      <c r="E665" s="2">
        <f>MACD!F665</f>
        <v>2.5529676642458518E-2</v>
      </c>
      <c r="F665" s="2">
        <f>'Moving Avg'!D665</f>
        <v>5.65</v>
      </c>
      <c r="G665" s="2">
        <f>'Moving Avg'!F665</f>
        <v>5.6550000000000002</v>
      </c>
      <c r="H665" s="2">
        <f>'Moving Avg'!G665</f>
        <v>5.6350599999999975</v>
      </c>
      <c r="I665" s="2">
        <f>'Moving Avg'!H665</f>
        <v>5.6540850000000047</v>
      </c>
      <c r="J665" s="5" t="str">
        <f>OBV!F665</f>
        <v>BULLISH</v>
      </c>
      <c r="K665" s="5" t="str">
        <f>OBV!G665</f>
        <v>NEUTRAL</v>
      </c>
      <c r="L665" s="5" t="str">
        <f>OBV!H665</f>
        <v>CONFIRMED BULLISH</v>
      </c>
      <c r="M665" s="7">
        <f t="shared" si="103"/>
        <v>50</v>
      </c>
      <c r="N665" s="7">
        <f t="shared" si="100"/>
        <v>45</v>
      </c>
      <c r="O665" s="7">
        <f t="shared" si="101"/>
        <v>0</v>
      </c>
      <c r="P665" s="7">
        <f t="shared" si="102"/>
        <v>83.5</v>
      </c>
      <c r="Q665" s="8">
        <f t="shared" si="104"/>
        <v>45.774999999999999</v>
      </c>
      <c r="R665" s="8">
        <f t="shared" si="105"/>
        <v>39.875</v>
      </c>
      <c r="S665" s="8">
        <f t="shared" si="106"/>
        <v>51.825000000000003</v>
      </c>
      <c r="T665" s="8">
        <f t="shared" si="107"/>
        <v>44.625</v>
      </c>
      <c r="U665" s="7">
        <f t="shared" si="108"/>
        <v>45.82500000000001</v>
      </c>
      <c r="V665" s="7">
        <f t="shared" si="109"/>
        <v>45.525000000000006</v>
      </c>
    </row>
    <row r="666" spans="1:22" ht="13.5" x14ac:dyDescent="0.25">
      <c r="A666" s="3">
        <f>RSI!A666</f>
        <v>45891</v>
      </c>
      <c r="B666" s="2">
        <f>RSI!B666</f>
        <v>5.74</v>
      </c>
      <c r="C666" s="2">
        <f>RSI!I666</f>
        <v>58.596322653380241</v>
      </c>
      <c r="D666" s="2">
        <f>MACD!E666</f>
        <v>5.9323794554275722E-3</v>
      </c>
      <c r="E666" s="2">
        <f>MACD!F666</f>
        <v>2.161021720505233E-2</v>
      </c>
      <c r="F666" s="2">
        <f>'Moving Avg'!D666</f>
        <v>5.6940000000000008</v>
      </c>
      <c r="G666" s="2">
        <f>'Moving Avg'!F666</f>
        <v>5.6574999999999989</v>
      </c>
      <c r="H666" s="2">
        <f>'Moving Avg'!G666</f>
        <v>5.637559999999997</v>
      </c>
      <c r="I666" s="2">
        <f>'Moving Avg'!H666</f>
        <v>5.6536750000000042</v>
      </c>
      <c r="J666" s="5" t="str">
        <f>OBV!F666</f>
        <v>BULLISH</v>
      </c>
      <c r="K666" s="5" t="str">
        <f>OBV!G666</f>
        <v>WEAK</v>
      </c>
      <c r="L666" s="5" t="str">
        <f>OBV!H666</f>
        <v>CONFIRMED BULLISH</v>
      </c>
      <c r="M666" s="7">
        <f t="shared" si="103"/>
        <v>50</v>
      </c>
      <c r="N666" s="7">
        <f t="shared" si="100"/>
        <v>45</v>
      </c>
      <c r="O666" s="7">
        <f t="shared" si="101"/>
        <v>50</v>
      </c>
      <c r="P666" s="7">
        <f t="shared" si="102"/>
        <v>67</v>
      </c>
      <c r="Q666" s="8">
        <f t="shared" si="104"/>
        <v>50.8</v>
      </c>
      <c r="R666" s="8">
        <f t="shared" si="105"/>
        <v>53.25</v>
      </c>
      <c r="S666" s="8">
        <f t="shared" si="106"/>
        <v>56.900000000000006</v>
      </c>
      <c r="T666" s="8">
        <f t="shared" si="107"/>
        <v>53</v>
      </c>
      <c r="U666" s="7">
        <f t="shared" si="108"/>
        <v>53.65</v>
      </c>
      <c r="V666" s="7">
        <f t="shared" si="109"/>
        <v>53.487499999999997</v>
      </c>
    </row>
    <row r="667" spans="1:22" ht="13.5" x14ac:dyDescent="0.25">
      <c r="A667" s="3">
        <f>RSI!A667</f>
        <v>45894</v>
      </c>
      <c r="B667" s="2">
        <f>RSI!B667</f>
        <v>5.7</v>
      </c>
      <c r="C667" s="2">
        <f>RSI!I667</f>
        <v>54.065950750194169</v>
      </c>
      <c r="D667" s="2">
        <f>MACD!E667</f>
        <v>-1.014587107662468E-2</v>
      </c>
      <c r="E667" s="2">
        <f>MACD!F667</f>
        <v>1.5258999548716928E-2</v>
      </c>
      <c r="F667" s="2">
        <f>'Moving Avg'!D667</f>
        <v>5.7220000000000004</v>
      </c>
      <c r="G667" s="2">
        <f>'Moving Avg'!F667</f>
        <v>5.6594999999999995</v>
      </c>
      <c r="H667" s="2">
        <f>'Moving Avg'!G667</f>
        <v>5.6392599999999984</v>
      </c>
      <c r="I667" s="2">
        <f>'Moving Avg'!H667</f>
        <v>5.6530650000000051</v>
      </c>
      <c r="J667" s="5" t="str">
        <f>OBV!F667</f>
        <v>BULLISH</v>
      </c>
      <c r="K667" s="5" t="str">
        <f>OBV!G667</f>
        <v>NEUTRAL</v>
      </c>
      <c r="L667" s="5" t="str">
        <f>OBV!H667</f>
        <v>CONFIRMED BULLISH</v>
      </c>
      <c r="M667" s="7">
        <f t="shared" si="103"/>
        <v>50</v>
      </c>
      <c r="N667" s="7">
        <f t="shared" si="100"/>
        <v>100</v>
      </c>
      <c r="O667" s="7">
        <f t="shared" si="101"/>
        <v>50</v>
      </c>
      <c r="P667" s="7">
        <f t="shared" si="102"/>
        <v>83.5</v>
      </c>
      <c r="Q667" s="8">
        <f t="shared" si="104"/>
        <v>72.525000000000006</v>
      </c>
      <c r="R667" s="8">
        <f t="shared" si="105"/>
        <v>68.375</v>
      </c>
      <c r="S667" s="8">
        <f t="shared" si="106"/>
        <v>72.575000000000003</v>
      </c>
      <c r="T667" s="8">
        <f t="shared" si="107"/>
        <v>70.875</v>
      </c>
      <c r="U667" s="7">
        <f t="shared" si="108"/>
        <v>71.158333333333346</v>
      </c>
      <c r="V667" s="7">
        <f t="shared" si="109"/>
        <v>71.087500000000006</v>
      </c>
    </row>
    <row r="668" spans="1:22" ht="13.5" x14ac:dyDescent="0.25">
      <c r="A668" s="3">
        <f>RSI!A668</f>
        <v>45895</v>
      </c>
      <c r="B668" s="2">
        <f>RSI!B668</f>
        <v>5.7</v>
      </c>
      <c r="C668" s="2">
        <f>RSI!I668</f>
        <v>54.065950750194169</v>
      </c>
      <c r="D668" s="2">
        <f>MACD!E668</f>
        <v>-1.4763920683484422E-2</v>
      </c>
      <c r="E668" s="2">
        <f>MACD!F668</f>
        <v>9.254415502276658E-3</v>
      </c>
      <c r="F668" s="2">
        <f>'Moving Avg'!D668</f>
        <v>5.7239999999999993</v>
      </c>
      <c r="G668" s="2">
        <f>'Moving Avg'!F668</f>
        <v>5.6599999999999984</v>
      </c>
      <c r="H668" s="2">
        <f>'Moving Avg'!G668</f>
        <v>5.640959999999998</v>
      </c>
      <c r="I668" s="2">
        <f>'Moving Avg'!H668</f>
        <v>5.6526900000000033</v>
      </c>
      <c r="J668" s="5" t="str">
        <f>OBV!F668</f>
        <v>BEARISH</v>
      </c>
      <c r="K668" s="5" t="str">
        <f>OBV!G668</f>
        <v>NEUTRAL</v>
      </c>
      <c r="L668" s="5" t="str">
        <f>OBV!H668</f>
        <v>BEARISH DIVERGENCE</v>
      </c>
      <c r="M668" s="7">
        <f t="shared" si="103"/>
        <v>50</v>
      </c>
      <c r="N668" s="7">
        <f t="shared" si="100"/>
        <v>100</v>
      </c>
      <c r="O668" s="7">
        <f t="shared" si="101"/>
        <v>50</v>
      </c>
      <c r="P668" s="7">
        <f t="shared" si="102"/>
        <v>16.5</v>
      </c>
      <c r="Q668" s="8">
        <f t="shared" si="104"/>
        <v>62.475000000000001</v>
      </c>
      <c r="R668" s="8">
        <f t="shared" si="105"/>
        <v>51.625</v>
      </c>
      <c r="S668" s="8">
        <f t="shared" si="106"/>
        <v>42.424999999999997</v>
      </c>
      <c r="T668" s="8">
        <f t="shared" si="107"/>
        <v>54.125</v>
      </c>
      <c r="U668" s="7">
        <f t="shared" si="108"/>
        <v>52.17499999999999</v>
      </c>
      <c r="V668" s="7">
        <f t="shared" si="109"/>
        <v>52.662499999999994</v>
      </c>
    </row>
    <row r="669" spans="1:22" ht="13.5" x14ac:dyDescent="0.25">
      <c r="A669" s="3">
        <f>RSI!A669</f>
        <v>45896</v>
      </c>
      <c r="B669" s="2">
        <f>RSI!B669</f>
        <v>5.69</v>
      </c>
      <c r="C669" s="2">
        <f>RSI!I669</f>
        <v>52.880540296792887</v>
      </c>
      <c r="D669" s="2">
        <f>MACD!E669</f>
        <v>-1.8156820852009758E-2</v>
      </c>
      <c r="E669" s="2">
        <f>MACD!F669</f>
        <v>3.7721682314193752E-3</v>
      </c>
      <c r="F669" s="2">
        <f>'Moving Avg'!D669</f>
        <v>5.7140000000000004</v>
      </c>
      <c r="G669" s="2">
        <f>'Moving Avg'!F669</f>
        <v>5.6614999999999993</v>
      </c>
      <c r="H669" s="2">
        <f>'Moving Avg'!G669</f>
        <v>5.6439599999999972</v>
      </c>
      <c r="I669" s="2">
        <f>'Moving Avg'!H669</f>
        <v>5.6520800000000033</v>
      </c>
      <c r="J669" s="5" t="str">
        <f>OBV!F669</f>
        <v>BEARISH</v>
      </c>
      <c r="K669" s="5" t="str">
        <f>OBV!G669</f>
        <v>STRONG</v>
      </c>
      <c r="L669" s="5" t="str">
        <f>OBV!H669</f>
        <v>CONFIRMED BEARISH</v>
      </c>
      <c r="M669" s="7">
        <f t="shared" si="103"/>
        <v>50</v>
      </c>
      <c r="N669" s="7">
        <f t="shared" si="100"/>
        <v>100</v>
      </c>
      <c r="O669" s="7">
        <f t="shared" si="101"/>
        <v>50</v>
      </c>
      <c r="P669" s="7">
        <f t="shared" si="102"/>
        <v>33</v>
      </c>
      <c r="Q669" s="8">
        <f t="shared" si="104"/>
        <v>64.95</v>
      </c>
      <c r="R669" s="8">
        <f t="shared" si="105"/>
        <v>55.75</v>
      </c>
      <c r="S669" s="8">
        <f t="shared" si="106"/>
        <v>49.85</v>
      </c>
      <c r="T669" s="8">
        <f t="shared" si="107"/>
        <v>58.25</v>
      </c>
      <c r="U669" s="7">
        <f t="shared" si="108"/>
        <v>56.85</v>
      </c>
      <c r="V669" s="7">
        <f t="shared" si="109"/>
        <v>57.2</v>
      </c>
    </row>
    <row r="670" spans="1:22" ht="13.5" x14ac:dyDescent="0.25">
      <c r="A670" s="3">
        <f>RSI!A670</f>
        <v>45897</v>
      </c>
      <c r="B670" s="2">
        <f>RSI!B670</f>
        <v>5.69</v>
      </c>
      <c r="C670" s="2">
        <f>RSI!I670</f>
        <v>52.880540296792887</v>
      </c>
      <c r="D670" s="2">
        <f>MACD!E670</f>
        <v>-2.1177961202256235E-2</v>
      </c>
      <c r="E670" s="2">
        <f>MACD!F670</f>
        <v>-1.2178576553157471E-3</v>
      </c>
      <c r="F670" s="2">
        <f>'Moving Avg'!D670</f>
        <v>5.7040000000000006</v>
      </c>
      <c r="G670" s="2">
        <f>'Moving Avg'!F670</f>
        <v>5.6624999999999996</v>
      </c>
      <c r="H670" s="2">
        <f>'Moving Avg'!G670</f>
        <v>5.6469599999999982</v>
      </c>
      <c r="I670" s="2">
        <f>'Moving Avg'!H670</f>
        <v>5.6515600000000026</v>
      </c>
      <c r="J670" s="5" t="str">
        <f>OBV!F670</f>
        <v>BEARISH</v>
      </c>
      <c r="K670" s="5" t="str">
        <f>OBV!G670</f>
        <v>STRONG</v>
      </c>
      <c r="L670" s="5" t="str">
        <f>OBV!H670</f>
        <v>CONFIRMED BEARISH</v>
      </c>
      <c r="M670" s="7">
        <f t="shared" si="103"/>
        <v>50</v>
      </c>
      <c r="N670" s="7">
        <f t="shared" si="100"/>
        <v>45</v>
      </c>
      <c r="O670" s="7">
        <f t="shared" si="101"/>
        <v>50</v>
      </c>
      <c r="P670" s="7">
        <f t="shared" si="102"/>
        <v>33</v>
      </c>
      <c r="Q670" s="8">
        <f t="shared" si="104"/>
        <v>45.7</v>
      </c>
      <c r="R670" s="8">
        <f t="shared" si="105"/>
        <v>44.75</v>
      </c>
      <c r="S670" s="8">
        <f t="shared" si="106"/>
        <v>41.6</v>
      </c>
      <c r="T670" s="8">
        <f t="shared" si="107"/>
        <v>44.5</v>
      </c>
      <c r="U670" s="7">
        <f t="shared" si="108"/>
        <v>44.016666666666673</v>
      </c>
      <c r="V670" s="7">
        <f t="shared" si="109"/>
        <v>44.137500000000003</v>
      </c>
    </row>
    <row r="671" spans="1:22" ht="13.5" x14ac:dyDescent="0.25">
      <c r="A671" s="3">
        <f>RSI!A671</f>
        <v>45898</v>
      </c>
      <c r="B671" s="2">
        <f>RSI!B671</f>
        <v>5.7</v>
      </c>
      <c r="C671" s="2">
        <f>RSI!I671</f>
        <v>54.048988200016424</v>
      </c>
      <c r="D671" s="2">
        <f>MACD!E671</f>
        <v>-4.3075686990030171E-2</v>
      </c>
      <c r="E671" s="2">
        <f>MACD!F671</f>
        <v>-9.5894235222586319E-3</v>
      </c>
      <c r="F671" s="2">
        <f>'Moving Avg'!D671</f>
        <v>5.6959999999999997</v>
      </c>
      <c r="G671" s="2">
        <f>'Moving Avg'!F671</f>
        <v>5.6639999999999997</v>
      </c>
      <c r="H671" s="2">
        <f>'Moving Avg'!G671</f>
        <v>5.6501599999999987</v>
      </c>
      <c r="I671" s="2">
        <f>'Moving Avg'!H671</f>
        <v>5.6514700000000024</v>
      </c>
      <c r="J671" s="5" t="str">
        <f>OBV!F671</f>
        <v>BEARISH</v>
      </c>
      <c r="K671" s="5" t="str">
        <f>OBV!G671</f>
        <v>NEUTRAL</v>
      </c>
      <c r="L671" s="5" t="str">
        <f>OBV!H671</f>
        <v>CONFIRMED BEARISH</v>
      </c>
      <c r="M671" s="7">
        <f t="shared" si="103"/>
        <v>50</v>
      </c>
      <c r="N671" s="7">
        <f t="shared" si="100"/>
        <v>100</v>
      </c>
      <c r="O671" s="7">
        <f t="shared" si="101"/>
        <v>50</v>
      </c>
      <c r="P671" s="7">
        <f t="shared" si="102"/>
        <v>16.5</v>
      </c>
      <c r="Q671" s="8">
        <f t="shared" si="104"/>
        <v>62.475000000000001</v>
      </c>
      <c r="R671" s="8">
        <f t="shared" si="105"/>
        <v>51.625</v>
      </c>
      <c r="S671" s="8">
        <f t="shared" si="106"/>
        <v>42.424999999999997</v>
      </c>
      <c r="T671" s="8">
        <f t="shared" si="107"/>
        <v>54.125</v>
      </c>
      <c r="U671" s="7">
        <f t="shared" si="108"/>
        <v>52.17499999999999</v>
      </c>
      <c r="V671" s="7">
        <f t="shared" si="109"/>
        <v>52.662499999999994</v>
      </c>
    </row>
    <row r="672" spans="1:22" ht="13.5" x14ac:dyDescent="0.25">
      <c r="A672" s="3">
        <f>RSI!A672</f>
        <v>45901</v>
      </c>
      <c r="B672" s="2">
        <f>RSI!B672</f>
        <v>6</v>
      </c>
      <c r="C672" s="2">
        <f>RSI!I672</f>
        <v>74.487989588954036</v>
      </c>
      <c r="D672" s="2">
        <f>MACD!E672</f>
        <v>-7.7860791957773401E-2</v>
      </c>
      <c r="E672" s="2">
        <f>MACD!F672</f>
        <v>-2.3243697209361584E-2</v>
      </c>
      <c r="F672" s="2">
        <f>'Moving Avg'!D672</f>
        <v>5.7560000000000002</v>
      </c>
      <c r="G672" s="2">
        <f>'Moving Avg'!F672</f>
        <v>5.6789999999999994</v>
      </c>
      <c r="H672" s="2">
        <f>'Moving Avg'!G672</f>
        <v>5.6584199999999987</v>
      </c>
      <c r="I672" s="2">
        <f>'Moving Avg'!H672</f>
        <v>5.6524550000000042</v>
      </c>
      <c r="J672" s="5" t="str">
        <f>OBV!F672</f>
        <v>BULLISH</v>
      </c>
      <c r="K672" s="5" t="str">
        <f>OBV!G672</f>
        <v>NEUTRAL</v>
      </c>
      <c r="L672" s="5" t="str">
        <f>OBV!H672</f>
        <v>CONFIRMED BULLISH</v>
      </c>
      <c r="M672" s="7">
        <f t="shared" si="103"/>
        <v>0</v>
      </c>
      <c r="N672" s="7">
        <f t="shared" si="100"/>
        <v>100</v>
      </c>
      <c r="O672" s="7">
        <f t="shared" si="101"/>
        <v>50</v>
      </c>
      <c r="P672" s="7">
        <f t="shared" si="102"/>
        <v>83.5</v>
      </c>
      <c r="Q672" s="8">
        <f t="shared" si="104"/>
        <v>55.024999999999999</v>
      </c>
      <c r="R672" s="8">
        <f t="shared" si="105"/>
        <v>58.375</v>
      </c>
      <c r="S672" s="8">
        <f t="shared" si="106"/>
        <v>65.075000000000003</v>
      </c>
      <c r="T672" s="8">
        <f t="shared" si="107"/>
        <v>58.375</v>
      </c>
      <c r="U672" s="7">
        <f t="shared" si="108"/>
        <v>59.491666666666674</v>
      </c>
      <c r="V672" s="7">
        <f t="shared" si="109"/>
        <v>59.212500000000006</v>
      </c>
    </row>
    <row r="673" spans="1:22" ht="13.5" x14ac:dyDescent="0.25">
      <c r="A673" s="3">
        <f>RSI!A673</f>
        <v>45902</v>
      </c>
      <c r="B673" s="2">
        <f>RSI!B673</f>
        <v>6.06</v>
      </c>
      <c r="C673" s="2">
        <f>RSI!I673</f>
        <v>76.718434275903689</v>
      </c>
      <c r="D673" s="2">
        <f>MACD!E673</f>
        <v>-9.3685466311899113E-2</v>
      </c>
      <c r="E673" s="2">
        <f>MACD!F673</f>
        <v>-3.7332051029869091E-2</v>
      </c>
      <c r="F673" s="2">
        <f>'Moving Avg'!D673</f>
        <v>5.8280000000000003</v>
      </c>
      <c r="G673" s="2">
        <f>'Moving Avg'!F673</f>
        <v>5.697000000000001</v>
      </c>
      <c r="H673" s="2">
        <f>'Moving Avg'!G673</f>
        <v>5.6688199999999993</v>
      </c>
      <c r="I673" s="2">
        <f>'Moving Avg'!H673</f>
        <v>5.6534100000000036</v>
      </c>
      <c r="J673" s="5" t="str">
        <f>OBV!F673</f>
        <v>BULLISH</v>
      </c>
      <c r="K673" s="5" t="str">
        <f>OBV!G673</f>
        <v>WEAK</v>
      </c>
      <c r="L673" s="5" t="str">
        <f>OBV!H673</f>
        <v>CONFIRMED BULLISH</v>
      </c>
      <c r="M673" s="7">
        <f t="shared" si="103"/>
        <v>0</v>
      </c>
      <c r="N673" s="7">
        <f t="shared" si="100"/>
        <v>100</v>
      </c>
      <c r="O673" s="7">
        <f t="shared" si="101"/>
        <v>50</v>
      </c>
      <c r="P673" s="7">
        <f t="shared" si="102"/>
        <v>67</v>
      </c>
      <c r="Q673" s="8">
        <f t="shared" si="104"/>
        <v>52.55</v>
      </c>
      <c r="R673" s="8">
        <f t="shared" si="105"/>
        <v>54.25</v>
      </c>
      <c r="S673" s="8">
        <f t="shared" si="106"/>
        <v>57.650000000000006</v>
      </c>
      <c r="T673" s="8">
        <f t="shared" si="107"/>
        <v>54.25</v>
      </c>
      <c r="U673" s="7">
        <f t="shared" si="108"/>
        <v>54.816666666666663</v>
      </c>
      <c r="V673" s="7">
        <f t="shared" si="109"/>
        <v>54.674999999999997</v>
      </c>
    </row>
    <row r="674" spans="1:22" ht="13.5" x14ac:dyDescent="0.25">
      <c r="A674" s="3">
        <f>RSI!A674</f>
        <v>45903</v>
      </c>
      <c r="B674" s="2">
        <f>RSI!B674</f>
        <v>6.05</v>
      </c>
      <c r="C674" s="2">
        <f>RSI!I674</f>
        <v>75.533162680765017</v>
      </c>
      <c r="D674" s="2">
        <f>MACD!E674</f>
        <v>-0.10079955059149182</v>
      </c>
      <c r="E674" s="2">
        <f>MACD!F674</f>
        <v>-5.0025550942193638E-2</v>
      </c>
      <c r="F674" s="2">
        <f>'Moving Avg'!D674</f>
        <v>5.9</v>
      </c>
      <c r="G674" s="2">
        <f>'Moving Avg'!F674</f>
        <v>5.7195</v>
      </c>
      <c r="H674" s="2">
        <f>'Moving Avg'!G674</f>
        <v>5.6790199999999995</v>
      </c>
      <c r="I674" s="2">
        <f>'Moving Avg'!H674</f>
        <v>5.6544550000000022</v>
      </c>
      <c r="J674" s="5" t="str">
        <f>OBV!F674</f>
        <v>BULLISH</v>
      </c>
      <c r="K674" s="5" t="str">
        <f>OBV!G674</f>
        <v>WEAK</v>
      </c>
      <c r="L674" s="5" t="str">
        <f>OBV!H674</f>
        <v>CONFIRMED BULLISH</v>
      </c>
      <c r="M674" s="7">
        <f t="shared" si="103"/>
        <v>0</v>
      </c>
      <c r="N674" s="7">
        <f t="shared" si="100"/>
        <v>100</v>
      </c>
      <c r="O674" s="7">
        <f t="shared" si="101"/>
        <v>50</v>
      </c>
      <c r="P674" s="7">
        <f t="shared" si="102"/>
        <v>67</v>
      </c>
      <c r="Q674" s="8">
        <f t="shared" si="104"/>
        <v>52.55</v>
      </c>
      <c r="R674" s="8">
        <f t="shared" si="105"/>
        <v>54.25</v>
      </c>
      <c r="S674" s="8">
        <f t="shared" si="106"/>
        <v>57.650000000000006</v>
      </c>
      <c r="T674" s="8">
        <f t="shared" si="107"/>
        <v>54.25</v>
      </c>
      <c r="U674" s="7">
        <f t="shared" si="108"/>
        <v>54.816666666666663</v>
      </c>
      <c r="V674" s="7">
        <f t="shared" si="109"/>
        <v>54.674999999999997</v>
      </c>
    </row>
    <row r="675" spans="1:22" ht="13.5" x14ac:dyDescent="0.25">
      <c r="A675" s="3">
        <f>RSI!A675</f>
        <v>45905</v>
      </c>
      <c r="B675" s="2">
        <f>RSI!B675</f>
        <v>5.95</v>
      </c>
      <c r="C675" s="2">
        <f>RSI!I675</f>
        <v>64.758586631268884</v>
      </c>
      <c r="D675" s="2">
        <f>MACD!E675</f>
        <v>-0.1013499066442618</v>
      </c>
      <c r="E675" s="2">
        <f>MACD!F675</f>
        <v>-6.0290422082607271E-2</v>
      </c>
      <c r="F675" s="2">
        <f>'Moving Avg'!D675</f>
        <v>5.952</v>
      </c>
      <c r="G675" s="2">
        <f>'Moving Avg'!F675</f>
        <v>5.734</v>
      </c>
      <c r="H675" s="2">
        <f>'Moving Avg'!G675</f>
        <v>5.6862799999999991</v>
      </c>
      <c r="I675" s="2">
        <f>'Moving Avg'!H675</f>
        <v>5.6551450000000036</v>
      </c>
      <c r="J675" s="5" t="str">
        <f>OBV!F675</f>
        <v>BULLISH</v>
      </c>
      <c r="K675" s="5" t="str">
        <f>OBV!G675</f>
        <v>NEUTRAL</v>
      </c>
      <c r="L675" s="5" t="str">
        <f>OBV!H675</f>
        <v>CONFIRMED BULLISH</v>
      </c>
      <c r="M675" s="7">
        <f t="shared" si="103"/>
        <v>50</v>
      </c>
      <c r="N675" s="7">
        <f t="shared" si="100"/>
        <v>100</v>
      </c>
      <c r="O675" s="7">
        <f t="shared" si="101"/>
        <v>50</v>
      </c>
      <c r="P675" s="7">
        <f t="shared" si="102"/>
        <v>83.5</v>
      </c>
      <c r="Q675" s="8">
        <f t="shared" si="104"/>
        <v>72.525000000000006</v>
      </c>
      <c r="R675" s="8">
        <f t="shared" si="105"/>
        <v>68.375</v>
      </c>
      <c r="S675" s="8">
        <f t="shared" si="106"/>
        <v>72.575000000000003</v>
      </c>
      <c r="T675" s="8">
        <f t="shared" si="107"/>
        <v>70.875</v>
      </c>
      <c r="U675" s="7">
        <f t="shared" si="108"/>
        <v>71.158333333333346</v>
      </c>
      <c r="V675" s="7">
        <f t="shared" si="109"/>
        <v>71.087500000000006</v>
      </c>
    </row>
    <row r="676" spans="1:22" ht="13.5" x14ac:dyDescent="0.25">
      <c r="A676" s="3">
        <f>RSI!A676</f>
        <v>45908</v>
      </c>
      <c r="B676" s="2">
        <f>RSI!B676</f>
        <v>6</v>
      </c>
      <c r="C676" s="2">
        <f>RSI!I676</f>
        <v>67.272391055154614</v>
      </c>
      <c r="D676" s="2">
        <f>MACD!E676</f>
        <v>-0.10672297868965952</v>
      </c>
      <c r="E676" s="2">
        <f>MACD!F676</f>
        <v>-6.9576933404017716E-2</v>
      </c>
      <c r="F676" s="2">
        <f>'Moving Avg'!D676</f>
        <v>6.0119999999999996</v>
      </c>
      <c r="G676" s="2">
        <f>'Moving Avg'!F676</f>
        <v>5.7515000000000001</v>
      </c>
      <c r="H676" s="2">
        <f>'Moving Avg'!G676</f>
        <v>5.6935999999999982</v>
      </c>
      <c r="I676" s="2">
        <f>'Moving Avg'!H676</f>
        <v>5.6560850000000036</v>
      </c>
      <c r="J676" s="5" t="str">
        <f>OBV!F676</f>
        <v>BULLISH</v>
      </c>
      <c r="K676" s="5" t="str">
        <f>OBV!G676</f>
        <v>NEUTRAL</v>
      </c>
      <c r="L676" s="5" t="str">
        <f>OBV!H676</f>
        <v>CONFIRMED BULLISH</v>
      </c>
      <c r="M676" s="7">
        <f t="shared" si="103"/>
        <v>50</v>
      </c>
      <c r="N676" s="7">
        <f t="shared" si="100"/>
        <v>100</v>
      </c>
      <c r="O676" s="7">
        <f t="shared" si="101"/>
        <v>50</v>
      </c>
      <c r="P676" s="7">
        <f t="shared" si="102"/>
        <v>83.5</v>
      </c>
      <c r="Q676" s="8">
        <f t="shared" si="104"/>
        <v>72.525000000000006</v>
      </c>
      <c r="R676" s="8">
        <f t="shared" si="105"/>
        <v>68.375</v>
      </c>
      <c r="S676" s="8">
        <f t="shared" si="106"/>
        <v>72.575000000000003</v>
      </c>
      <c r="T676" s="8">
        <f t="shared" si="107"/>
        <v>70.875</v>
      </c>
      <c r="U676" s="7">
        <f t="shared" si="108"/>
        <v>71.158333333333346</v>
      </c>
      <c r="V676" s="7">
        <f t="shared" si="109"/>
        <v>71.087500000000006</v>
      </c>
    </row>
    <row r="677" spans="1:22" ht="13.5" x14ac:dyDescent="0.25">
      <c r="A677" s="3">
        <f>RSI!A677</f>
        <v>45909</v>
      </c>
      <c r="B677" s="2">
        <f>RSI!B677</f>
        <v>5.93</v>
      </c>
      <c r="C677" s="2">
        <f>RSI!I677</f>
        <v>60.740088278180593</v>
      </c>
      <c r="D677" s="2">
        <f>MACD!E677</f>
        <v>-0.11364805817035961</v>
      </c>
      <c r="E677" s="2">
        <f>MACD!F677</f>
        <v>-7.8391158357286106E-2</v>
      </c>
      <c r="F677" s="2">
        <f>'Moving Avg'!D677</f>
        <v>5.9979999999999993</v>
      </c>
      <c r="G677" s="2">
        <f>'Moving Avg'!F677</f>
        <v>5.769000000000001</v>
      </c>
      <c r="H677" s="2">
        <f>'Moving Avg'!G677</f>
        <v>5.7004599999999979</v>
      </c>
      <c r="I677" s="2">
        <f>'Moving Avg'!H677</f>
        <v>5.6566250000000036</v>
      </c>
      <c r="J677" s="5" t="str">
        <f>OBV!F677</f>
        <v>BEARISH</v>
      </c>
      <c r="K677" s="5" t="str">
        <f>OBV!G677</f>
        <v>STRONG</v>
      </c>
      <c r="L677" s="5" t="str">
        <f>OBV!H677</f>
        <v>CONFIRMED BEARISH</v>
      </c>
      <c r="M677" s="7">
        <f t="shared" si="103"/>
        <v>50</v>
      </c>
      <c r="N677" s="7">
        <f t="shared" si="100"/>
        <v>100</v>
      </c>
      <c r="O677" s="7">
        <f t="shared" si="101"/>
        <v>50</v>
      </c>
      <c r="P677" s="7">
        <f t="shared" si="102"/>
        <v>33</v>
      </c>
      <c r="Q677" s="8">
        <f t="shared" si="104"/>
        <v>64.95</v>
      </c>
      <c r="R677" s="8">
        <f t="shared" si="105"/>
        <v>55.75</v>
      </c>
      <c r="S677" s="8">
        <f t="shared" si="106"/>
        <v>49.85</v>
      </c>
      <c r="T677" s="8">
        <f t="shared" si="107"/>
        <v>58.25</v>
      </c>
      <c r="U677" s="7">
        <f t="shared" si="108"/>
        <v>56.85</v>
      </c>
      <c r="V677" s="7">
        <f t="shared" si="109"/>
        <v>57.2</v>
      </c>
    </row>
    <row r="678" spans="1:22" ht="13.5" x14ac:dyDescent="0.25">
      <c r="A678" s="3">
        <f>RSI!A678</f>
        <v>45910</v>
      </c>
      <c r="B678" s="2">
        <f>RSI!B678</f>
        <v>5.95</v>
      </c>
      <c r="C678" s="2">
        <f>RSI!I678</f>
        <v>61.879051700590594</v>
      </c>
      <c r="D678" s="2">
        <f>MACD!E678</f>
        <v>-0.1218811197786529</v>
      </c>
      <c r="E678" s="2">
        <f>MACD!F678</f>
        <v>-8.7089150641559462E-2</v>
      </c>
      <c r="F678" s="2">
        <f>'Moving Avg'!D678</f>
        <v>5.976</v>
      </c>
      <c r="G678" s="2">
        <f>'Moving Avg'!F678</f>
        <v>5.7845000000000004</v>
      </c>
      <c r="H678" s="2">
        <f>'Moving Avg'!G678</f>
        <v>5.709039999999999</v>
      </c>
      <c r="I678" s="2">
        <f>'Moving Avg'!H678</f>
        <v>5.6572650000000033</v>
      </c>
      <c r="J678" s="5" t="str">
        <f>OBV!F678</f>
        <v>BEARISH</v>
      </c>
      <c r="K678" s="5" t="str">
        <f>OBV!G678</f>
        <v>STRONG</v>
      </c>
      <c r="L678" s="5" t="str">
        <f>OBV!H678</f>
        <v>CONFIRMED BEARISH</v>
      </c>
      <c r="M678" s="7">
        <f t="shared" si="103"/>
        <v>50</v>
      </c>
      <c r="N678" s="7">
        <f t="shared" si="100"/>
        <v>100</v>
      </c>
      <c r="O678" s="7">
        <f t="shared" si="101"/>
        <v>50</v>
      </c>
      <c r="P678" s="7">
        <f t="shared" si="102"/>
        <v>33</v>
      </c>
      <c r="Q678" s="8">
        <f t="shared" si="104"/>
        <v>64.95</v>
      </c>
      <c r="R678" s="8">
        <f t="shared" si="105"/>
        <v>55.75</v>
      </c>
      <c r="S678" s="8">
        <f t="shared" si="106"/>
        <v>49.85</v>
      </c>
      <c r="T678" s="8">
        <f t="shared" si="107"/>
        <v>58.25</v>
      </c>
      <c r="U678" s="7">
        <f t="shared" si="108"/>
        <v>56.85</v>
      </c>
      <c r="V678" s="7">
        <f t="shared" si="109"/>
        <v>57.2</v>
      </c>
    </row>
    <row r="679" spans="1:22" ht="13.5" x14ac:dyDescent="0.25">
      <c r="A679" s="3">
        <f>RSI!A679</f>
        <v>45911</v>
      </c>
      <c r="B679" s="2">
        <f>RSI!B679</f>
        <v>6.14</v>
      </c>
      <c r="C679" s="2">
        <f>RSI!I679</f>
        <v>70.603908962163302</v>
      </c>
      <c r="D679" s="2">
        <f>MACD!E679</f>
        <v>-0.14540410400419734</v>
      </c>
      <c r="E679" s="2">
        <f>MACD!F679</f>
        <v>-9.875214131408705E-2</v>
      </c>
      <c r="F679" s="2">
        <f>'Moving Avg'!D679</f>
        <v>5.9939999999999998</v>
      </c>
      <c r="G679" s="2">
        <f>'Moving Avg'!F679</f>
        <v>5.8094999999999999</v>
      </c>
      <c r="H679" s="2">
        <f>'Moving Avg'!G679</f>
        <v>5.7214199999999984</v>
      </c>
      <c r="I679" s="2">
        <f>'Moving Avg'!H679</f>
        <v>5.6589950000000036</v>
      </c>
      <c r="J679" s="5" t="str">
        <f>OBV!F679</f>
        <v>BULLISH</v>
      </c>
      <c r="K679" s="5" t="str">
        <f>OBV!G679</f>
        <v>NEUTRAL</v>
      </c>
      <c r="L679" s="5" t="str">
        <f>OBV!H679</f>
        <v>CONFIRMED BULLISH</v>
      </c>
      <c r="M679" s="7">
        <f t="shared" si="103"/>
        <v>0</v>
      </c>
      <c r="N679" s="7">
        <f t="shared" si="100"/>
        <v>100</v>
      </c>
      <c r="O679" s="7">
        <f t="shared" si="101"/>
        <v>50</v>
      </c>
      <c r="P679" s="7">
        <f t="shared" si="102"/>
        <v>83.5</v>
      </c>
      <c r="Q679" s="8">
        <f t="shared" si="104"/>
        <v>55.024999999999999</v>
      </c>
      <c r="R679" s="8">
        <f t="shared" si="105"/>
        <v>58.375</v>
      </c>
      <c r="S679" s="8">
        <f t="shared" si="106"/>
        <v>65.075000000000003</v>
      </c>
      <c r="T679" s="8">
        <f t="shared" si="107"/>
        <v>58.375</v>
      </c>
      <c r="U679" s="7">
        <f t="shared" si="108"/>
        <v>59.491666666666674</v>
      </c>
      <c r="V679" s="7">
        <f t="shared" si="109"/>
        <v>59.212500000000006</v>
      </c>
    </row>
    <row r="680" spans="1:22" ht="13.5" x14ac:dyDescent="0.25">
      <c r="A680" s="3">
        <f>RSI!A680</f>
        <v>45912</v>
      </c>
      <c r="B680" s="2">
        <f>RSI!B680</f>
        <v>6.2</v>
      </c>
      <c r="C680" s="2">
        <f>RSI!I680</f>
        <v>72.726733613323503</v>
      </c>
      <c r="D680" s="2">
        <f>MACD!E680</f>
        <v>-0.17174941524638498</v>
      </c>
      <c r="E680" s="2">
        <f>MACD!F680</f>
        <v>-0.11335159610054664</v>
      </c>
      <c r="F680" s="2">
        <f>'Moving Avg'!D680</f>
        <v>6.0439999999999996</v>
      </c>
      <c r="G680" s="2">
        <f>'Moving Avg'!F680</f>
        <v>5.8375000000000004</v>
      </c>
      <c r="H680" s="2">
        <f>'Moving Avg'!G680</f>
        <v>5.7351799999999988</v>
      </c>
      <c r="I680" s="2">
        <f>'Moving Avg'!H680</f>
        <v>5.661025000000004</v>
      </c>
      <c r="J680" s="5" t="str">
        <f>OBV!F680</f>
        <v>BULLISH</v>
      </c>
      <c r="K680" s="5" t="str">
        <f>OBV!G680</f>
        <v>NEUTRAL</v>
      </c>
      <c r="L680" s="5" t="str">
        <f>OBV!H680</f>
        <v>CONFIRMED BULLISH</v>
      </c>
      <c r="M680" s="7">
        <f t="shared" si="103"/>
        <v>0</v>
      </c>
      <c r="N680" s="7">
        <f t="shared" si="100"/>
        <v>100</v>
      </c>
      <c r="O680" s="7">
        <f t="shared" si="101"/>
        <v>50</v>
      </c>
      <c r="P680" s="7">
        <f t="shared" si="102"/>
        <v>83.5</v>
      </c>
      <c r="Q680" s="8">
        <f t="shared" si="104"/>
        <v>55.024999999999999</v>
      </c>
      <c r="R680" s="8">
        <f t="shared" si="105"/>
        <v>58.375</v>
      </c>
      <c r="S680" s="8">
        <f t="shared" si="106"/>
        <v>65.075000000000003</v>
      </c>
      <c r="T680" s="8">
        <f t="shared" si="107"/>
        <v>58.375</v>
      </c>
      <c r="U680" s="7">
        <f t="shared" si="108"/>
        <v>59.491666666666674</v>
      </c>
      <c r="V680" s="7">
        <f t="shared" si="109"/>
        <v>59.212500000000006</v>
      </c>
    </row>
    <row r="681" spans="1:22" ht="13.5" x14ac:dyDescent="0.25">
      <c r="A681" s="3">
        <f>RSI!A681</f>
        <v>45915</v>
      </c>
      <c r="B681" s="2">
        <f>RSI!B681</f>
        <v>6.1</v>
      </c>
      <c r="C681" s="2">
        <f>RSI!I681</f>
        <v>64.381830617502445</v>
      </c>
      <c r="D681" s="2">
        <f>MACD!E681</f>
        <v>-0.18729916718546225</v>
      </c>
      <c r="E681" s="2">
        <f>MACD!F681</f>
        <v>-0.12814111031752976</v>
      </c>
      <c r="F681" s="2">
        <f>'Moving Avg'!D681</f>
        <v>6.0640000000000001</v>
      </c>
      <c r="G681" s="2">
        <f>'Moving Avg'!F681</f>
        <v>5.8665000000000003</v>
      </c>
      <c r="H681" s="2">
        <f>'Moving Avg'!G681</f>
        <v>5.7469399999999995</v>
      </c>
      <c r="I681" s="2">
        <f>'Moving Avg'!H681</f>
        <v>5.662555000000002</v>
      </c>
      <c r="J681" s="5" t="str">
        <f>OBV!F681</f>
        <v>BULLISH</v>
      </c>
      <c r="K681" s="5" t="str">
        <f>OBV!G681</f>
        <v>NEUTRAL</v>
      </c>
      <c r="L681" s="5" t="str">
        <f>OBV!H681</f>
        <v>CONFIRMED BULLISH</v>
      </c>
      <c r="M681" s="7">
        <f t="shared" si="103"/>
        <v>50</v>
      </c>
      <c r="N681" s="7">
        <f t="shared" si="100"/>
        <v>100</v>
      </c>
      <c r="O681" s="7">
        <f t="shared" si="101"/>
        <v>50</v>
      </c>
      <c r="P681" s="7">
        <f t="shared" si="102"/>
        <v>83.5</v>
      </c>
      <c r="Q681" s="8">
        <f t="shared" si="104"/>
        <v>72.525000000000006</v>
      </c>
      <c r="R681" s="8">
        <f t="shared" si="105"/>
        <v>68.375</v>
      </c>
      <c r="S681" s="8">
        <f t="shared" si="106"/>
        <v>72.575000000000003</v>
      </c>
      <c r="T681" s="8">
        <f t="shared" si="107"/>
        <v>70.875</v>
      </c>
      <c r="U681" s="7">
        <f t="shared" si="108"/>
        <v>71.158333333333346</v>
      </c>
      <c r="V681" s="7">
        <f t="shared" si="109"/>
        <v>71.087500000000006</v>
      </c>
    </row>
    <row r="682" spans="1:22" ht="13.5" x14ac:dyDescent="0.25">
      <c r="A682" s="3">
        <f>RSI!A682</f>
        <v>45916</v>
      </c>
      <c r="B682" s="2">
        <f>RSI!B682</f>
        <v>6.12</v>
      </c>
      <c r="C682" s="2">
        <f>RSI!I682</f>
        <v>65.24086558454465</v>
      </c>
      <c r="D682" s="2">
        <f>MACD!E682</f>
        <v>-0.15723359771111589</v>
      </c>
      <c r="E682" s="2">
        <f>MACD!F682</f>
        <v>-0.13395960779624699</v>
      </c>
      <c r="F682" s="2">
        <f>'Moving Avg'!D682</f>
        <v>6.1020000000000003</v>
      </c>
      <c r="G682" s="2">
        <f>'Moving Avg'!F682</f>
        <v>5.8944999999999999</v>
      </c>
      <c r="H682" s="2">
        <f>'Moving Avg'!G682</f>
        <v>5.7575999999999992</v>
      </c>
      <c r="I682" s="2">
        <f>'Moving Avg'!H682</f>
        <v>5.6642800000000024</v>
      </c>
      <c r="J682" s="5" t="str">
        <f>OBV!F682</f>
        <v>BULLISH</v>
      </c>
      <c r="K682" s="5" t="str">
        <f>OBV!G682</f>
        <v>WEAK</v>
      </c>
      <c r="L682" s="5" t="str">
        <f>OBV!H682</f>
        <v>CONFIRMED BULLISH</v>
      </c>
      <c r="M682" s="7">
        <f t="shared" si="103"/>
        <v>50</v>
      </c>
      <c r="N682" s="7">
        <f t="shared" si="100"/>
        <v>100</v>
      </c>
      <c r="O682" s="7">
        <f t="shared" si="101"/>
        <v>50</v>
      </c>
      <c r="P682" s="7">
        <f t="shared" si="102"/>
        <v>67</v>
      </c>
      <c r="Q682" s="8">
        <f t="shared" si="104"/>
        <v>70.05</v>
      </c>
      <c r="R682" s="8">
        <f t="shared" si="105"/>
        <v>64.25</v>
      </c>
      <c r="S682" s="8">
        <f t="shared" si="106"/>
        <v>65.150000000000006</v>
      </c>
      <c r="T682" s="8">
        <f t="shared" si="107"/>
        <v>66.75</v>
      </c>
      <c r="U682" s="7">
        <f t="shared" si="108"/>
        <v>66.483333333333334</v>
      </c>
      <c r="V682" s="7">
        <f t="shared" si="109"/>
        <v>66.550000000000011</v>
      </c>
    </row>
    <row r="683" spans="1:22" ht="13.5" x14ac:dyDescent="0.25">
      <c r="A683" s="3">
        <f>RSI!A683</f>
        <v>45917</v>
      </c>
      <c r="B683" s="2">
        <f>RSI!B683</f>
        <v>6.23</v>
      </c>
      <c r="C683" s="2">
        <f>RSI!I683</f>
        <v>69.585623104555253</v>
      </c>
      <c r="D683" s="2">
        <f>MACD!E683</f>
        <v>-0.13217101652510621</v>
      </c>
      <c r="E683" s="2">
        <f>MACD!F683</f>
        <v>-0.13360188954201885</v>
      </c>
      <c r="F683" s="2">
        <f>'Moving Avg'!D683</f>
        <v>6.1579999999999995</v>
      </c>
      <c r="G683" s="2">
        <f>'Moving Avg'!F683</f>
        <v>5.9215</v>
      </c>
      <c r="H683" s="2">
        <f>'Moving Avg'!G683</f>
        <v>5.7677999999999994</v>
      </c>
      <c r="I683" s="2">
        <f>'Moving Avg'!H683</f>
        <v>5.6664150000000015</v>
      </c>
      <c r="J683" s="5" t="str">
        <f>OBV!F683</f>
        <v>BULLISH</v>
      </c>
      <c r="K683" s="5" t="str">
        <f>OBV!G683</f>
        <v>WEAK</v>
      </c>
      <c r="L683" s="5" t="str">
        <f>OBV!H683</f>
        <v>CONFIRMED BULLISH</v>
      </c>
      <c r="M683" s="7">
        <f t="shared" si="103"/>
        <v>50</v>
      </c>
      <c r="N683" s="7">
        <f t="shared" si="100"/>
        <v>0</v>
      </c>
      <c r="O683" s="7">
        <f t="shared" si="101"/>
        <v>50</v>
      </c>
      <c r="P683" s="7">
        <f t="shared" si="102"/>
        <v>67</v>
      </c>
      <c r="Q683" s="8">
        <f t="shared" si="104"/>
        <v>35.049999999999997</v>
      </c>
      <c r="R683" s="8">
        <f t="shared" si="105"/>
        <v>44.25</v>
      </c>
      <c r="S683" s="8">
        <f t="shared" si="106"/>
        <v>50.150000000000006</v>
      </c>
      <c r="T683" s="8">
        <f t="shared" si="107"/>
        <v>41.75</v>
      </c>
      <c r="U683" s="7">
        <f t="shared" si="108"/>
        <v>43.15</v>
      </c>
      <c r="V683" s="7">
        <f t="shared" si="109"/>
        <v>42.8</v>
      </c>
    </row>
    <row r="684" spans="1:22" ht="13.5" x14ac:dyDescent="0.25">
      <c r="A684" s="3">
        <f>RSI!A684</f>
        <v>45918</v>
      </c>
      <c r="B684" s="2">
        <f>RSI!B684</f>
        <v>6.27</v>
      </c>
      <c r="C684" s="2">
        <f>RSI!I684</f>
        <v>71.004918874390015</v>
      </c>
      <c r="D684" s="2">
        <f>MACD!E684</f>
        <v>-0.11746761512267412</v>
      </c>
      <c r="E684" s="2">
        <f>MACD!F684</f>
        <v>-0.13037503465814992</v>
      </c>
      <c r="F684" s="2">
        <f>'Moving Avg'!D684</f>
        <v>6.1840000000000002</v>
      </c>
      <c r="G684" s="2">
        <f>'Moving Avg'!F684</f>
        <v>5.9479999999999995</v>
      </c>
      <c r="H684" s="2">
        <f>'Moving Avg'!G684</f>
        <v>5.7788000000000004</v>
      </c>
      <c r="I684" s="2">
        <f>'Moving Avg'!H684</f>
        <v>5.668845000000001</v>
      </c>
      <c r="J684" s="5" t="str">
        <f>OBV!F684</f>
        <v>BULLISH</v>
      </c>
      <c r="K684" s="5" t="str">
        <f>OBV!G684</f>
        <v>WEAK</v>
      </c>
      <c r="L684" s="5" t="str">
        <f>OBV!H684</f>
        <v>CONFIRMED BULLISH</v>
      </c>
      <c r="M684" s="7">
        <f t="shared" si="103"/>
        <v>0</v>
      </c>
      <c r="N684" s="7">
        <f t="shared" si="100"/>
        <v>0</v>
      </c>
      <c r="O684" s="7">
        <f t="shared" si="101"/>
        <v>50</v>
      </c>
      <c r="P684" s="7">
        <f t="shared" si="102"/>
        <v>67</v>
      </c>
      <c r="Q684" s="8">
        <f t="shared" si="104"/>
        <v>17.549999999999997</v>
      </c>
      <c r="R684" s="8">
        <f t="shared" si="105"/>
        <v>34.25</v>
      </c>
      <c r="S684" s="8">
        <f t="shared" si="106"/>
        <v>42.650000000000006</v>
      </c>
      <c r="T684" s="8">
        <f t="shared" si="107"/>
        <v>29.25</v>
      </c>
      <c r="U684" s="7">
        <f t="shared" si="108"/>
        <v>31.483333333333334</v>
      </c>
      <c r="V684" s="7">
        <f t="shared" si="109"/>
        <v>30.925000000000001</v>
      </c>
    </row>
    <row r="685" spans="1:22" ht="13.5" x14ac:dyDescent="0.25">
      <c r="A685" s="3">
        <f>RSI!A685</f>
        <v>45919</v>
      </c>
      <c r="B685" s="2">
        <f>RSI!B685</f>
        <v>6.34</v>
      </c>
      <c r="C685" s="2">
        <f>RSI!I685</f>
        <v>73.348789600218197</v>
      </c>
      <c r="D685" s="2">
        <f>MACD!E685</f>
        <v>-0.12768611698546817</v>
      </c>
      <c r="E685" s="2">
        <f>MACD!F685</f>
        <v>-0.12983725112361358</v>
      </c>
      <c r="F685" s="2">
        <f>'Moving Avg'!D685</f>
        <v>6.2119999999999997</v>
      </c>
      <c r="G685" s="2">
        <f>'Moving Avg'!F685</f>
        <v>5.9780000000000006</v>
      </c>
      <c r="H685" s="2">
        <f>'Moving Avg'!G685</f>
        <v>5.7905999999999995</v>
      </c>
      <c r="I685" s="2">
        <f>'Moving Avg'!H685</f>
        <v>5.6719050000000015</v>
      </c>
      <c r="J685" s="5" t="str">
        <f>OBV!F685</f>
        <v>BULLISH</v>
      </c>
      <c r="K685" s="5" t="str">
        <f>OBV!G685</f>
        <v>WEAK</v>
      </c>
      <c r="L685" s="5" t="str">
        <f>OBV!H685</f>
        <v>CONFIRMED BULLISH</v>
      </c>
      <c r="M685" s="7">
        <f t="shared" si="103"/>
        <v>0</v>
      </c>
      <c r="N685" s="7">
        <f t="shared" si="100"/>
        <v>0</v>
      </c>
      <c r="O685" s="7">
        <f t="shared" si="101"/>
        <v>50</v>
      </c>
      <c r="P685" s="7">
        <f t="shared" si="102"/>
        <v>67</v>
      </c>
      <c r="Q685" s="8">
        <f t="shared" si="104"/>
        <v>17.549999999999997</v>
      </c>
      <c r="R685" s="8">
        <f t="shared" si="105"/>
        <v>34.25</v>
      </c>
      <c r="S685" s="8">
        <f t="shared" si="106"/>
        <v>42.650000000000006</v>
      </c>
      <c r="T685" s="8">
        <f t="shared" si="107"/>
        <v>29.25</v>
      </c>
      <c r="U685" s="7">
        <f t="shared" si="108"/>
        <v>31.483333333333334</v>
      </c>
      <c r="V685" s="7">
        <f t="shared" si="109"/>
        <v>30.925000000000001</v>
      </c>
    </row>
    <row r="686" spans="1:22" ht="13.5" x14ac:dyDescent="0.25">
      <c r="A686" s="3">
        <f>RSI!A686</f>
        <v>45922</v>
      </c>
      <c r="B686" s="2">
        <f>RSI!B686</f>
        <v>6.49</v>
      </c>
      <c r="C686" s="2">
        <f>RSI!I686</f>
        <v>77.538841331144795</v>
      </c>
      <c r="D686" s="2">
        <f>MACD!E686</f>
        <v>-0.14210020115733801</v>
      </c>
      <c r="E686" s="2">
        <f>MACD!F686</f>
        <v>-0.13228984113035847</v>
      </c>
      <c r="F686" s="2">
        <f>'Moving Avg'!D686</f>
        <v>6.2900000000000009</v>
      </c>
      <c r="G686" s="2">
        <f>'Moving Avg'!F686</f>
        <v>6.0155000000000003</v>
      </c>
      <c r="H686" s="2">
        <f>'Moving Avg'!G686</f>
        <v>5.8063999999999991</v>
      </c>
      <c r="I686" s="2">
        <f>'Moving Avg'!H686</f>
        <v>5.6761850000000011</v>
      </c>
      <c r="J686" s="5" t="str">
        <f>OBV!F686</f>
        <v>BULLISH</v>
      </c>
      <c r="K686" s="5" t="str">
        <f>OBV!G686</f>
        <v>WEAK</v>
      </c>
      <c r="L686" s="5" t="str">
        <f>OBV!H686</f>
        <v>CONFIRMED BULLISH</v>
      </c>
      <c r="M686" s="7">
        <f t="shared" si="103"/>
        <v>0</v>
      </c>
      <c r="N686" s="7">
        <f t="shared" si="100"/>
        <v>45</v>
      </c>
      <c r="O686" s="7">
        <f t="shared" si="101"/>
        <v>50</v>
      </c>
      <c r="P686" s="7">
        <f t="shared" si="102"/>
        <v>67</v>
      </c>
      <c r="Q686" s="8">
        <f t="shared" si="104"/>
        <v>33.299999999999997</v>
      </c>
      <c r="R686" s="8">
        <f t="shared" si="105"/>
        <v>43.25</v>
      </c>
      <c r="S686" s="8">
        <f t="shared" si="106"/>
        <v>49.400000000000006</v>
      </c>
      <c r="T686" s="8">
        <f t="shared" si="107"/>
        <v>40.5</v>
      </c>
      <c r="U686" s="7">
        <f t="shared" si="108"/>
        <v>41.983333333333334</v>
      </c>
      <c r="V686" s="7">
        <f t="shared" si="109"/>
        <v>41.612499999999997</v>
      </c>
    </row>
    <row r="687" spans="1:22" ht="13.5" x14ac:dyDescent="0.25">
      <c r="A687" s="3">
        <f>RSI!A687</f>
        <v>45923</v>
      </c>
      <c r="B687" s="2">
        <f>RSI!B687</f>
        <v>6.48</v>
      </c>
      <c r="C687" s="2">
        <f>RSI!I687</f>
        <v>76.673394164861278</v>
      </c>
      <c r="D687" s="2">
        <f>MACD!E687</f>
        <v>-0.16738644714775219</v>
      </c>
      <c r="E687" s="2">
        <f>MACD!F687</f>
        <v>-0.13930916233383722</v>
      </c>
      <c r="F687" s="2">
        <f>'Moving Avg'!D687</f>
        <v>6.3620000000000001</v>
      </c>
      <c r="G687" s="2">
        <f>'Moving Avg'!F687</f>
        <v>6.0545</v>
      </c>
      <c r="H687" s="2">
        <f>'Moving Avg'!G687</f>
        <v>5.8219999999999992</v>
      </c>
      <c r="I687" s="2">
        <f>'Moving Avg'!H687</f>
        <v>5.679615000000001</v>
      </c>
      <c r="J687" s="5" t="str">
        <f>OBV!F687</f>
        <v>BULLISH</v>
      </c>
      <c r="K687" s="5" t="str">
        <f>OBV!G687</f>
        <v>STRONG</v>
      </c>
      <c r="L687" s="5" t="str">
        <f>OBV!H687</f>
        <v>CONFIRMED BULLISH</v>
      </c>
      <c r="M687" s="7">
        <f t="shared" si="103"/>
        <v>0</v>
      </c>
      <c r="N687" s="7">
        <f t="shared" si="100"/>
        <v>100</v>
      </c>
      <c r="O687" s="7">
        <f t="shared" si="101"/>
        <v>50</v>
      </c>
      <c r="P687" s="7">
        <f t="shared" si="102"/>
        <v>100</v>
      </c>
      <c r="Q687" s="8">
        <f t="shared" si="104"/>
        <v>57.5</v>
      </c>
      <c r="R687" s="8">
        <f t="shared" si="105"/>
        <v>62.5</v>
      </c>
      <c r="S687" s="8">
        <f t="shared" si="106"/>
        <v>72.5</v>
      </c>
      <c r="T687" s="8">
        <f t="shared" si="107"/>
        <v>62.5</v>
      </c>
      <c r="U687" s="7">
        <f t="shared" si="108"/>
        <v>64.166666666666671</v>
      </c>
      <c r="V687" s="7">
        <f t="shared" si="109"/>
        <v>63.75</v>
      </c>
    </row>
    <row r="688" spans="1:22" ht="13.5" x14ac:dyDescent="0.25">
      <c r="A688" s="3">
        <f>RSI!A688</f>
        <v>45924</v>
      </c>
      <c r="B688" s="2">
        <f>RSI!B688</f>
        <v>6.5</v>
      </c>
      <c r="C688" s="2">
        <f>RSI!I688</f>
        <v>77.221003102488481</v>
      </c>
      <c r="D688" s="2">
        <f>MACD!E688</f>
        <v>-0.18996243534938362</v>
      </c>
      <c r="E688" s="2">
        <f>MACD!F688</f>
        <v>-0.14943981693694652</v>
      </c>
      <c r="F688" s="2">
        <f>'Moving Avg'!D688</f>
        <v>6.4159999999999995</v>
      </c>
      <c r="G688" s="2">
        <f>'Moving Avg'!F688</f>
        <v>6.0945</v>
      </c>
      <c r="H688" s="2">
        <f>'Moving Avg'!G688</f>
        <v>5.8383999999999991</v>
      </c>
      <c r="I688" s="2">
        <f>'Moving Avg'!H688</f>
        <v>5.6831950000000013</v>
      </c>
      <c r="J688" s="5" t="str">
        <f>OBV!F688</f>
        <v>BULLISH</v>
      </c>
      <c r="K688" s="5" t="str">
        <f>OBV!G688</f>
        <v>STRONG</v>
      </c>
      <c r="L688" s="5" t="str">
        <f>OBV!H688</f>
        <v>CONFIRMED BULLISH</v>
      </c>
      <c r="M688" s="7">
        <f t="shared" si="103"/>
        <v>0</v>
      </c>
      <c r="N688" s="7">
        <f t="shared" si="100"/>
        <v>100</v>
      </c>
      <c r="O688" s="7">
        <f t="shared" si="101"/>
        <v>50</v>
      </c>
      <c r="P688" s="7">
        <f t="shared" si="102"/>
        <v>100</v>
      </c>
      <c r="Q688" s="8">
        <f t="shared" si="104"/>
        <v>57.5</v>
      </c>
      <c r="R688" s="8">
        <f t="shared" si="105"/>
        <v>62.5</v>
      </c>
      <c r="S688" s="8">
        <f t="shared" si="106"/>
        <v>72.5</v>
      </c>
      <c r="T688" s="8">
        <f t="shared" si="107"/>
        <v>62.5</v>
      </c>
      <c r="U688" s="7">
        <f t="shared" si="108"/>
        <v>64.166666666666671</v>
      </c>
      <c r="V688" s="7">
        <f t="shared" si="109"/>
        <v>63.75</v>
      </c>
    </row>
    <row r="689" spans="1:22" ht="13.5" x14ac:dyDescent="0.25">
      <c r="A689" s="3">
        <f>RSI!A689</f>
        <v>45925</v>
      </c>
      <c r="B689" s="2">
        <f>RSI!B689</f>
        <v>6.48</v>
      </c>
      <c r="C689" s="2">
        <f>RSI!I689</f>
        <v>75.316875899046011</v>
      </c>
      <c r="D689" s="2">
        <f>MACD!E689</f>
        <v>-0.18104091687089685</v>
      </c>
      <c r="E689" s="2">
        <f>MACD!F689</f>
        <v>-0.15576003692373658</v>
      </c>
      <c r="F689" s="2">
        <f>'Moving Avg'!D689</f>
        <v>6.4580000000000011</v>
      </c>
      <c r="G689" s="2">
        <f>'Moving Avg'!F689</f>
        <v>6.1340000000000003</v>
      </c>
      <c r="H689" s="2">
        <f>'Moving Avg'!G689</f>
        <v>5.8541999999999996</v>
      </c>
      <c r="I689" s="2">
        <f>'Moving Avg'!H689</f>
        <v>5.686675000000001</v>
      </c>
      <c r="J689" s="5" t="str">
        <f>OBV!F689</f>
        <v>BULLISH</v>
      </c>
      <c r="K689" s="5" t="str">
        <f>OBV!G689</f>
        <v>STRONG</v>
      </c>
      <c r="L689" s="5" t="str">
        <f>OBV!H689</f>
        <v>CONFIRMED BULLISH</v>
      </c>
      <c r="M689" s="7">
        <f t="shared" si="103"/>
        <v>0</v>
      </c>
      <c r="N689" s="7">
        <f t="shared" si="100"/>
        <v>100</v>
      </c>
      <c r="O689" s="7">
        <f t="shared" si="101"/>
        <v>50</v>
      </c>
      <c r="P689" s="7">
        <f t="shared" si="102"/>
        <v>100</v>
      </c>
      <c r="Q689" s="8">
        <f t="shared" si="104"/>
        <v>57.5</v>
      </c>
      <c r="R689" s="8">
        <f t="shared" si="105"/>
        <v>62.5</v>
      </c>
      <c r="S689" s="8">
        <f t="shared" si="106"/>
        <v>72.5</v>
      </c>
      <c r="T689" s="8">
        <f t="shared" si="107"/>
        <v>62.5</v>
      </c>
      <c r="U689" s="7">
        <f t="shared" si="108"/>
        <v>64.166666666666671</v>
      </c>
      <c r="V689" s="7">
        <f t="shared" si="109"/>
        <v>63.75</v>
      </c>
    </row>
    <row r="690" spans="1:22" ht="13.5" x14ac:dyDescent="0.25">
      <c r="A690" s="3">
        <f>RSI!A690</f>
        <v>45926</v>
      </c>
      <c r="B690" s="2">
        <f>RSI!B690</f>
        <v>6.44</v>
      </c>
      <c r="C690" s="2">
        <f>RSI!I690</f>
        <v>71.518536098494721</v>
      </c>
      <c r="D690" s="2">
        <f>MACD!E690</f>
        <v>-0.16366889052027656</v>
      </c>
      <c r="E690" s="2">
        <f>MACD!F690</f>
        <v>-0.15734180764304456</v>
      </c>
      <c r="F690" s="2">
        <f>'Moving Avg'!D690</f>
        <v>6.4779999999999998</v>
      </c>
      <c r="G690" s="2">
        <f>'Moving Avg'!F690</f>
        <v>6.1715</v>
      </c>
      <c r="H690" s="2">
        <f>'Moving Avg'!G690</f>
        <v>5.8696000000000002</v>
      </c>
      <c r="I690" s="2">
        <f>'Moving Avg'!H690</f>
        <v>5.6899550000000021</v>
      </c>
      <c r="J690" s="5" t="str">
        <f>OBV!F690</f>
        <v>BULLISH</v>
      </c>
      <c r="K690" s="5" t="str">
        <f>OBV!G690</f>
        <v>STRONG</v>
      </c>
      <c r="L690" s="5" t="str">
        <f>OBV!H690</f>
        <v>CONFIRMED BULLISH</v>
      </c>
      <c r="M690" s="7">
        <f t="shared" si="103"/>
        <v>0</v>
      </c>
      <c r="N690" s="7">
        <f t="shared" si="100"/>
        <v>45</v>
      </c>
      <c r="O690" s="7">
        <f t="shared" si="101"/>
        <v>50</v>
      </c>
      <c r="P690" s="7">
        <f t="shared" si="102"/>
        <v>100</v>
      </c>
      <c r="Q690" s="8">
        <f t="shared" si="104"/>
        <v>38.25</v>
      </c>
      <c r="R690" s="8">
        <f t="shared" si="105"/>
        <v>51.5</v>
      </c>
      <c r="S690" s="8">
        <f t="shared" si="106"/>
        <v>64.25</v>
      </c>
      <c r="T690" s="8">
        <f t="shared" si="107"/>
        <v>48.75</v>
      </c>
      <c r="U690" s="7">
        <f t="shared" si="108"/>
        <v>51.333333333333336</v>
      </c>
      <c r="V690" s="7">
        <f t="shared" si="109"/>
        <v>50.6875</v>
      </c>
    </row>
    <row r="691" spans="1:22" ht="13.5" x14ac:dyDescent="0.25">
      <c r="A691" s="3">
        <f>RSI!A691</f>
        <v>45929</v>
      </c>
      <c r="B691" s="2">
        <f>RSI!B691</f>
        <v>6.45</v>
      </c>
      <c r="C691" s="2">
        <f>RSI!I691</f>
        <v>71.900068538057667</v>
      </c>
      <c r="D691" s="2">
        <f>MACD!E691</f>
        <v>-0.16705355488352058</v>
      </c>
      <c r="E691" s="2">
        <f>MACD!F691</f>
        <v>-0.15928415709113977</v>
      </c>
      <c r="F691" s="2">
        <f>'Moving Avg'!D691</f>
        <v>6.4700000000000006</v>
      </c>
      <c r="G691" s="2">
        <f>'Moving Avg'!F691</f>
        <v>6.2090000000000005</v>
      </c>
      <c r="H691" s="2">
        <f>'Moving Avg'!G691</f>
        <v>5.8852000000000002</v>
      </c>
      <c r="I691" s="2">
        <f>'Moving Avg'!H691</f>
        <v>5.693285000000003</v>
      </c>
      <c r="J691" s="5" t="str">
        <f>OBV!F691</f>
        <v>BULLISH</v>
      </c>
      <c r="K691" s="5" t="str">
        <f>OBV!G691</f>
        <v>NEUTRAL</v>
      </c>
      <c r="L691" s="5" t="str">
        <f>OBV!H691</f>
        <v>BULLISH DIVERGENCE</v>
      </c>
      <c r="M691" s="7">
        <f t="shared" si="103"/>
        <v>0</v>
      </c>
      <c r="N691" s="7">
        <f t="shared" si="100"/>
        <v>45</v>
      </c>
      <c r="O691" s="7">
        <f t="shared" si="101"/>
        <v>50</v>
      </c>
      <c r="P691" s="7">
        <f t="shared" si="102"/>
        <v>66.5</v>
      </c>
      <c r="Q691" s="8">
        <f t="shared" si="104"/>
        <v>33.225000000000001</v>
      </c>
      <c r="R691" s="8">
        <f t="shared" si="105"/>
        <v>43.125</v>
      </c>
      <c r="S691" s="8">
        <f t="shared" si="106"/>
        <v>49.174999999999997</v>
      </c>
      <c r="T691" s="8">
        <f t="shared" si="107"/>
        <v>40.375</v>
      </c>
      <c r="U691" s="7">
        <f t="shared" si="108"/>
        <v>41.841666666666661</v>
      </c>
      <c r="V691" s="7">
        <f t="shared" si="109"/>
        <v>41.474999999999994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691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691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2026-01-01T20:02:04Z</dcterms:modified>
</cp:coreProperties>
</file>