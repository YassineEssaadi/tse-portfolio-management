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EF342B95-499E-498E-95FE-5D027F05EBDB}" xr6:coauthVersionLast="47" xr6:coauthVersionMax="47" xr10:uidLastSave="{00000000-0000-0000-0000-000000000000}"/>
  <bookViews>
    <workbookView xWindow="28680" yWindow="-120" windowWidth="24240" windowHeight="13020" xr2:uid="{CDBA4A18-6FE6-41E6-A072-ED67DD98700A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11" i="1" l="1"/>
  <c r="K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<sst xmlns="http://schemas.openxmlformats.org/spreadsheetml/2006/main" count="16" uniqueCount="16">
  <si>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AIR LIQUIDE TUNISIE,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</si>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</sst>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D5C1-2EAF-4A03-8534-CBE07B4E680A}">
  <dimension ref="A1:K2511"/>
  <sheetViews>
    <sheetView showGridLines="0" tabSelected="1" topLeftCell="A2492" workbookViewId="0">
      <selection activeCell="J2505" sqref="J250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175.98</v>
      </c>
      <c r="D5" s="4">
        <v>91.989000000000004</v>
      </c>
      <c r="E5" s="4">
        <v>1</v>
      </c>
      <c r="F5" s="4"/>
      <c r="G5" s="4"/>
      <c r="H5" s="1"/>
    </row>
    <row r="6" spans="1:11" ht="13.5" x14ac:dyDescent="0.25">
      <c r="A6" s="1"/>
      <c r="B6" s="3">
        <v>42311</v>
      </c>
      <c r="C6" s="4">
        <v>175.98</v>
      </c>
      <c r="D6" s="4">
        <v>91.989000000000004</v>
      </c>
      <c r="E6" s="4">
        <v>0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175.98</v>
      </c>
      <c r="D7" s="4">
        <v>91.989000000000004</v>
      </c>
      <c r="E7" s="4">
        <v>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175.98</v>
      </c>
      <c r="D8" s="4">
        <v>91.989000000000004</v>
      </c>
      <c r="E8" s="4">
        <v>0</v>
      </c>
      <c r="F8" s="4"/>
      <c r="G8" s="4"/>
      <c r="H8" s="5">
        <f t="shared" si="0"/>
        <v>0</v>
      </c>
      <c r="J8" t="s">
        <v>9</v>
      </c>
      <c r="K8" s="6">
        <f>AVERAGE(H6:H2511)</f>
        <v>3.1063184885508932E-4</v>
      </c>
    </row>
    <row r="9" spans="1:11" ht="13.5" x14ac:dyDescent="0.25">
      <c r="A9" s="1"/>
      <c r="B9" s="3">
        <v>42314</v>
      </c>
      <c r="C9" s="4">
        <v>172</v>
      </c>
      <c r="D9" s="4">
        <v>89.908600000000007</v>
      </c>
      <c r="E9" s="4">
        <v>1</v>
      </c>
      <c r="F9" s="4"/>
      <c r="G9" s="4"/>
      <c r="H9" s="5">
        <f t="shared" si="0"/>
        <v>-2.2615747535031334E-2</v>
      </c>
      <c r="J9" t="s">
        <v>10</v>
      </c>
      <c r="K9" s="6">
        <f>K8*K6</f>
        <v>7.8279225911482508E-2</v>
      </c>
    </row>
    <row r="10" spans="1:11" ht="13.5" x14ac:dyDescent="0.25">
      <c r="A10" s="1"/>
      <c r="B10" s="3">
        <v>42317</v>
      </c>
      <c r="C10" s="4">
        <v>172</v>
      </c>
      <c r="D10" s="4">
        <v>89.908600000000007</v>
      </c>
      <c r="E10" s="4">
        <v>0</v>
      </c>
      <c r="F10" s="4"/>
      <c r="G10" s="4"/>
      <c r="H10" s="5">
        <f t="shared" si="0"/>
        <v>0</v>
      </c>
      <c r="J10" t="s">
        <v>11</v>
      </c>
      <c r="K10" s="6">
        <f>STDEV(H6:H2511)</f>
        <v>1.4588886219902371E-2</v>
      </c>
    </row>
    <row r="11" spans="1:11" ht="13.5" x14ac:dyDescent="0.25">
      <c r="A11" s="1"/>
      <c r="B11" s="3">
        <v>42318</v>
      </c>
      <c r="C11" s="4">
        <v>172</v>
      </c>
      <c r="D11" s="4">
        <v>89.908600000000007</v>
      </c>
      <c r="E11" s="4">
        <v>0</v>
      </c>
      <c r="F11" s="4"/>
      <c r="G11" s="4"/>
      <c r="H11" s="5">
        <f t="shared" si="0"/>
        <v>0</v>
      </c>
      <c r="J11" t="s">
        <v>12</v>
      </c>
      <c r="K11" s="6">
        <f>K10*SQRT(K6)</f>
        <v>0.23159138905967303</v>
      </c>
    </row>
    <row r="12" spans="1:11" ht="13.5" x14ac:dyDescent="0.25">
      <c r="A12" s="1"/>
      <c r="B12" s="3">
        <v>42319</v>
      </c>
      <c r="C12" s="4">
        <v>172</v>
      </c>
      <c r="D12" s="4">
        <v>89.908600000000007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166.84</v>
      </c>
      <c r="D13" s="4">
        <v>87.211299999999994</v>
      </c>
      <c r="E13" s="4">
        <v>0</v>
      </c>
      <c r="F13" s="4"/>
      <c r="G13" s="4"/>
      <c r="H13" s="5">
        <f t="shared" si="0"/>
        <v>-3.000046714107452E-2</v>
      </c>
    </row>
    <row r="14" spans="1:11" ht="13.5" x14ac:dyDescent="0.25">
      <c r="A14" s="1"/>
      <c r="B14" s="3">
        <v>42321</v>
      </c>
      <c r="C14" s="4">
        <v>166.84</v>
      </c>
      <c r="D14" s="4">
        <v>87.211299999999994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159.34</v>
      </c>
      <c r="D15" s="4">
        <v>83.290899999999993</v>
      </c>
      <c r="E15" s="4">
        <v>28</v>
      </c>
      <c r="F15" s="4"/>
      <c r="G15" s="4"/>
      <c r="H15" s="5">
        <f t="shared" si="0"/>
        <v>-4.4952890279126682E-2</v>
      </c>
    </row>
    <row r="16" spans="1:11" ht="13.5" x14ac:dyDescent="0.25">
      <c r="A16" s="1"/>
      <c r="B16" s="3">
        <v>42325</v>
      </c>
      <c r="C16" s="4">
        <v>154.56</v>
      </c>
      <c r="D16" s="4">
        <v>80.792299999999997</v>
      </c>
      <c r="E16" s="4">
        <v>27</v>
      </c>
      <c r="F16" s="4"/>
      <c r="G16" s="4"/>
      <c r="H16" s="5">
        <f t="shared" si="0"/>
        <v>-2.9998475223583804E-2</v>
      </c>
    </row>
    <row r="17" spans="1:8" ht="13.5" x14ac:dyDescent="0.25">
      <c r="A17" s="1"/>
      <c r="B17" s="3">
        <v>42326</v>
      </c>
      <c r="C17" s="4">
        <v>154.56</v>
      </c>
      <c r="D17" s="4">
        <v>80.792299999999997</v>
      </c>
      <c r="E17" s="4">
        <v>15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154.56</v>
      </c>
      <c r="D18" s="4">
        <v>80.792299999999997</v>
      </c>
      <c r="E18" s="4">
        <v>13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154.56</v>
      </c>
      <c r="D19" s="4">
        <v>80.792299999999997</v>
      </c>
      <c r="E19" s="4">
        <v>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159.1</v>
      </c>
      <c r="D20" s="4">
        <v>83.165400000000005</v>
      </c>
      <c r="E20" s="4">
        <v>2</v>
      </c>
      <c r="F20" s="4"/>
      <c r="G20" s="4"/>
      <c r="H20" s="5">
        <f t="shared" si="0"/>
        <v>2.9372848650180871E-2</v>
      </c>
    </row>
    <row r="21" spans="1:8" ht="13.5" x14ac:dyDescent="0.25">
      <c r="A21" s="1"/>
      <c r="B21" s="3">
        <v>42332</v>
      </c>
      <c r="C21" s="4">
        <v>159.1</v>
      </c>
      <c r="D21" s="4">
        <v>83.165400000000005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163.87</v>
      </c>
      <c r="D22" s="4">
        <v>85.658799999999999</v>
      </c>
      <c r="E22" s="4">
        <v>1</v>
      </c>
      <c r="F22" s="4"/>
      <c r="G22" s="4"/>
      <c r="H22" s="5">
        <f t="shared" si="0"/>
        <v>2.9981218150817453E-2</v>
      </c>
    </row>
    <row r="23" spans="1:8" ht="13.5" x14ac:dyDescent="0.25">
      <c r="A23" s="1"/>
      <c r="B23" s="3">
        <v>42334</v>
      </c>
      <c r="C23" s="4">
        <v>163.87</v>
      </c>
      <c r="D23" s="4">
        <v>85.658799999999999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163.87</v>
      </c>
      <c r="D24" s="4">
        <v>85.658799999999999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163.87</v>
      </c>
      <c r="D25" s="4">
        <v>85.658799999999999</v>
      </c>
      <c r="E25" s="4">
        <v>0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163.87</v>
      </c>
      <c r="D26" s="4">
        <v>85.658799999999999</v>
      </c>
      <c r="E26" s="4">
        <v>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163.87</v>
      </c>
      <c r="D27" s="4">
        <v>85.658799999999999</v>
      </c>
      <c r="E27" s="4">
        <v>0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163.87</v>
      </c>
      <c r="D28" s="4">
        <v>85.658799999999999</v>
      </c>
      <c r="E28" s="4">
        <v>0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163.87</v>
      </c>
      <c r="D29" s="4">
        <v>85.658799999999999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163.87</v>
      </c>
      <c r="D30" s="4">
        <v>85.658799999999999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163.87</v>
      </c>
      <c r="D31" s="4">
        <v>85.658799999999999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163.87</v>
      </c>
      <c r="D32" s="4">
        <v>85.658799999999999</v>
      </c>
      <c r="E32" s="4">
        <v>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163.68</v>
      </c>
      <c r="D33" s="4">
        <v>85.5595</v>
      </c>
      <c r="E33" s="4">
        <v>2</v>
      </c>
      <c r="F33" s="4"/>
      <c r="G33" s="4"/>
      <c r="H33" s="5">
        <f t="shared" si="0"/>
        <v>-1.1592504214394726E-3</v>
      </c>
    </row>
    <row r="34" spans="1:8" ht="13.5" x14ac:dyDescent="0.25">
      <c r="A34" s="1"/>
      <c r="B34" s="3">
        <v>42349</v>
      </c>
      <c r="C34" s="4">
        <v>163.68</v>
      </c>
      <c r="D34" s="4">
        <v>85.5595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163.68</v>
      </c>
      <c r="D35" s="4">
        <v>85.5595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163.54</v>
      </c>
      <c r="D36" s="4">
        <v>85.4863</v>
      </c>
      <c r="E36" s="4">
        <v>3</v>
      </c>
      <c r="F36" s="4"/>
      <c r="G36" s="4"/>
      <c r="H36" s="5">
        <f t="shared" si="0"/>
        <v>-8.5554497162793064E-4</v>
      </c>
    </row>
    <row r="37" spans="1:8" ht="13.5" x14ac:dyDescent="0.25">
      <c r="A37" s="1"/>
      <c r="B37" s="3">
        <v>42354</v>
      </c>
      <c r="C37" s="4">
        <v>158.63999999999999</v>
      </c>
      <c r="D37" s="4">
        <v>82.924999999999997</v>
      </c>
      <c r="E37" s="4">
        <v>5</v>
      </c>
      <c r="F37" s="4"/>
      <c r="G37" s="4"/>
      <c r="H37" s="5">
        <f t="shared" si="0"/>
        <v>-2.9961525998902779E-2</v>
      </c>
    </row>
    <row r="38" spans="1:8" ht="13.5" x14ac:dyDescent="0.25">
      <c r="A38" s="1"/>
      <c r="B38" s="3">
        <v>42355</v>
      </c>
      <c r="C38" s="4">
        <v>154.63999999999999</v>
      </c>
      <c r="D38" s="4">
        <v>80.834100000000007</v>
      </c>
      <c r="E38" s="4">
        <v>13</v>
      </c>
      <c r="F38" s="4"/>
      <c r="G38" s="4"/>
      <c r="H38" s="5">
        <f t="shared" si="0"/>
        <v>-2.521435031655099E-2</v>
      </c>
    </row>
    <row r="39" spans="1:8" ht="13.5" x14ac:dyDescent="0.25">
      <c r="A39" s="1"/>
      <c r="B39" s="3">
        <v>42356</v>
      </c>
      <c r="C39" s="4">
        <v>145.52000000000001</v>
      </c>
      <c r="D39" s="4">
        <v>76.066800000000001</v>
      </c>
      <c r="E39" s="4">
        <v>2</v>
      </c>
      <c r="F39" s="4"/>
      <c r="G39" s="4"/>
      <c r="H39" s="5">
        <f t="shared" si="0"/>
        <v>-5.8976347853195686E-2</v>
      </c>
    </row>
    <row r="40" spans="1:8" ht="13.5" x14ac:dyDescent="0.25">
      <c r="A40" s="1"/>
      <c r="B40" s="3">
        <v>42359</v>
      </c>
      <c r="C40" s="4">
        <v>154.30000000000001</v>
      </c>
      <c r="D40" s="4">
        <v>80.656400000000005</v>
      </c>
      <c r="E40" s="4">
        <v>2</v>
      </c>
      <c r="F40" s="4"/>
      <c r="G40" s="4"/>
      <c r="H40" s="5">
        <f t="shared" si="0"/>
        <v>6.0336441128061184E-2</v>
      </c>
    </row>
    <row r="41" spans="1:8" ht="13.5" x14ac:dyDescent="0.25">
      <c r="A41" s="1"/>
      <c r="B41" s="3">
        <v>42360</v>
      </c>
      <c r="C41" s="4">
        <v>149.69999999999999</v>
      </c>
      <c r="D41" s="4">
        <v>78.251800000000003</v>
      </c>
      <c r="E41" s="4">
        <v>26</v>
      </c>
      <c r="F41" s="4"/>
      <c r="G41" s="4"/>
      <c r="H41" s="5">
        <f t="shared" si="0"/>
        <v>-2.9812885276307918E-2</v>
      </c>
    </row>
    <row r="42" spans="1:8" ht="13.5" x14ac:dyDescent="0.25">
      <c r="A42" s="1"/>
      <c r="B42" s="3">
        <v>42361</v>
      </c>
      <c r="C42" s="4">
        <v>149.69999999999999</v>
      </c>
      <c r="D42" s="4">
        <v>78.251800000000003</v>
      </c>
      <c r="E42" s="4">
        <v>8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149.69999999999999</v>
      </c>
      <c r="D43" s="4">
        <v>78.251800000000003</v>
      </c>
      <c r="E43" s="4">
        <v>11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145.21</v>
      </c>
      <c r="D44" s="4">
        <v>75.904799999999994</v>
      </c>
      <c r="E44" s="4">
        <v>1</v>
      </c>
      <c r="F44" s="4"/>
      <c r="G44" s="4"/>
      <c r="H44" s="5">
        <f t="shared" si="0"/>
        <v>-2.9992920290651568E-2</v>
      </c>
    </row>
    <row r="45" spans="1:8" ht="13.5" x14ac:dyDescent="0.25">
      <c r="A45" s="1"/>
      <c r="B45" s="3">
        <v>42367</v>
      </c>
      <c r="C45" s="4">
        <v>145.21</v>
      </c>
      <c r="D45" s="4">
        <v>75.904799999999994</v>
      </c>
      <c r="E45" s="4">
        <v>0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145.08000000000001</v>
      </c>
      <c r="D46" s="4">
        <v>75.836799999999997</v>
      </c>
      <c r="E46" s="4">
        <v>2</v>
      </c>
      <c r="F46" s="4"/>
      <c r="G46" s="4"/>
      <c r="H46" s="5">
        <f t="shared" si="0"/>
        <v>-8.9585902340824088E-4</v>
      </c>
    </row>
    <row r="47" spans="1:8" ht="13.5" x14ac:dyDescent="0.25">
      <c r="A47" s="1"/>
      <c r="B47" s="3">
        <v>42369</v>
      </c>
      <c r="C47" s="4">
        <v>149.43</v>
      </c>
      <c r="D47" s="4">
        <v>78.110699999999994</v>
      </c>
      <c r="E47" s="4">
        <v>11</v>
      </c>
      <c r="F47" s="4"/>
      <c r="G47" s="4"/>
      <c r="H47" s="5">
        <f t="shared" si="0"/>
        <v>2.9984123802692067E-2</v>
      </c>
    </row>
    <row r="48" spans="1:8" ht="13.5" x14ac:dyDescent="0.25">
      <c r="A48" s="1"/>
      <c r="B48" s="3">
        <v>42373</v>
      </c>
      <c r="C48" s="4">
        <v>153.91</v>
      </c>
      <c r="D48" s="4">
        <v>80.452500000000001</v>
      </c>
      <c r="E48" s="4">
        <v>8</v>
      </c>
      <c r="F48" s="4"/>
      <c r="G48" s="4"/>
      <c r="H48" s="5">
        <f t="shared" si="0"/>
        <v>2.9980527635778537E-2</v>
      </c>
    </row>
    <row r="49" spans="1:8" ht="13.5" x14ac:dyDescent="0.25">
      <c r="A49" s="1"/>
      <c r="B49" s="3">
        <v>42374</v>
      </c>
      <c r="C49" s="4">
        <v>153.91</v>
      </c>
      <c r="D49" s="4">
        <v>80.452500000000001</v>
      </c>
      <c r="E49" s="4">
        <v>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42375</v>
      </c>
      <c r="C50" s="4">
        <v>153</v>
      </c>
      <c r="D50" s="4">
        <v>79.976799999999997</v>
      </c>
      <c r="E50" s="4">
        <v>32</v>
      </c>
      <c r="F50" s="4"/>
      <c r="G50" s="4"/>
      <c r="H50" s="5">
        <f t="shared" si="0"/>
        <v>-5.9128056928001412E-3</v>
      </c>
    </row>
    <row r="51" spans="1:8" ht="13.5" x14ac:dyDescent="0.25">
      <c r="A51" s="1"/>
      <c r="B51" s="3">
        <v>42376</v>
      </c>
      <c r="C51" s="4">
        <v>153</v>
      </c>
      <c r="D51" s="4">
        <v>79.976799999999997</v>
      </c>
      <c r="E51" s="4">
        <v>22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148.41</v>
      </c>
      <c r="D52" s="4">
        <v>77.577500000000001</v>
      </c>
      <c r="E52" s="4">
        <v>0</v>
      </c>
      <c r="F52" s="4"/>
      <c r="G52" s="4"/>
      <c r="H52" s="5">
        <f t="shared" si="0"/>
        <v>-2.9999949985495752E-2</v>
      </c>
    </row>
    <row r="53" spans="1:8" ht="13.5" x14ac:dyDescent="0.25">
      <c r="A53" s="1"/>
      <c r="B53" s="3">
        <v>42380</v>
      </c>
      <c r="C53" s="4">
        <v>139.38</v>
      </c>
      <c r="D53" s="4">
        <v>72.857299999999995</v>
      </c>
      <c r="E53" s="4">
        <v>44</v>
      </c>
      <c r="F53" s="4"/>
      <c r="G53" s="4"/>
      <c r="H53" s="5">
        <f t="shared" si="0"/>
        <v>-6.0844961490122848E-2</v>
      </c>
    </row>
    <row r="54" spans="1:8" ht="13.5" x14ac:dyDescent="0.25">
      <c r="A54" s="1"/>
      <c r="B54" s="3">
        <v>42381</v>
      </c>
      <c r="C54" s="4">
        <v>139.38</v>
      </c>
      <c r="D54" s="4">
        <v>72.857299999999995</v>
      </c>
      <c r="E54" s="4">
        <v>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139.38</v>
      </c>
      <c r="D55" s="4">
        <v>72.857299999999995</v>
      </c>
      <c r="E55" s="4">
        <v>0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143.68</v>
      </c>
      <c r="D56" s="4">
        <v>75.105000000000004</v>
      </c>
      <c r="E56" s="4">
        <v>57</v>
      </c>
      <c r="F56" s="4"/>
      <c r="G56" s="4"/>
      <c r="H56" s="5">
        <f t="shared" si="0"/>
        <v>3.0850717772961792E-2</v>
      </c>
    </row>
    <row r="57" spans="1:8" ht="13.5" x14ac:dyDescent="0.25">
      <c r="A57" s="1"/>
      <c r="B57" s="3">
        <v>42387</v>
      </c>
      <c r="C57" s="4">
        <v>139.6</v>
      </c>
      <c r="D57" s="4">
        <v>72.972300000000004</v>
      </c>
      <c r="E57" s="4">
        <v>5</v>
      </c>
      <c r="F57" s="4"/>
      <c r="G57" s="4"/>
      <c r="H57" s="5">
        <f t="shared" si="0"/>
        <v>-2.8396245256640699E-2</v>
      </c>
    </row>
    <row r="58" spans="1:8" ht="13.5" x14ac:dyDescent="0.25">
      <c r="A58" s="1"/>
      <c r="B58" s="3">
        <v>42388</v>
      </c>
      <c r="C58" s="4">
        <v>142.99</v>
      </c>
      <c r="D58" s="4">
        <v>74.744299999999996</v>
      </c>
      <c r="E58" s="4">
        <v>215</v>
      </c>
      <c r="F58" s="4"/>
      <c r="G58" s="4"/>
      <c r="H58" s="5">
        <f t="shared" si="0"/>
        <v>2.4283186907908771E-2</v>
      </c>
    </row>
    <row r="59" spans="1:8" ht="13.5" x14ac:dyDescent="0.25">
      <c r="A59" s="1"/>
      <c r="B59" s="3">
        <v>42389</v>
      </c>
      <c r="C59" s="4">
        <v>142.91</v>
      </c>
      <c r="D59" s="4">
        <v>74.702500000000001</v>
      </c>
      <c r="E59" s="4">
        <v>21</v>
      </c>
      <c r="F59" s="4"/>
      <c r="G59" s="4"/>
      <c r="H59" s="5">
        <f t="shared" si="0"/>
        <v>-5.5923996880022895E-4</v>
      </c>
    </row>
    <row r="60" spans="1:8" ht="13.5" x14ac:dyDescent="0.25">
      <c r="A60" s="1"/>
      <c r="B60" s="3">
        <v>42390</v>
      </c>
      <c r="C60" s="4">
        <v>143</v>
      </c>
      <c r="D60" s="4">
        <v>74.749600000000001</v>
      </c>
      <c r="E60" s="4">
        <v>57</v>
      </c>
      <c r="F60" s="4"/>
      <c r="G60" s="4"/>
      <c r="H60" s="5">
        <f t="shared" si="0"/>
        <v>6.3050098724942759E-4</v>
      </c>
    </row>
    <row r="61" spans="1:8" ht="13.5" x14ac:dyDescent="0.25">
      <c r="A61" s="1"/>
      <c r="B61" s="3">
        <v>42391</v>
      </c>
      <c r="C61" s="4">
        <v>143</v>
      </c>
      <c r="D61" s="4">
        <v>74.749600000000001</v>
      </c>
      <c r="E61" s="4">
        <v>0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147.29</v>
      </c>
      <c r="D62" s="4">
        <v>76.992099999999994</v>
      </c>
      <c r="E62" s="4">
        <v>42</v>
      </c>
      <c r="F62" s="4"/>
      <c r="G62" s="4"/>
      <c r="H62" s="5">
        <f t="shared" si="0"/>
        <v>3.0000160535976012E-2</v>
      </c>
    </row>
    <row r="63" spans="1:8" ht="13.5" x14ac:dyDescent="0.25">
      <c r="A63" s="1"/>
      <c r="B63" s="3">
        <v>42395</v>
      </c>
      <c r="C63" s="4">
        <v>147.29</v>
      </c>
      <c r="D63" s="4">
        <v>76.992099999999994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147.29</v>
      </c>
      <c r="D64" s="4">
        <v>76.992099999999994</v>
      </c>
      <c r="E64" s="4">
        <v>33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143.5</v>
      </c>
      <c r="D65" s="4">
        <v>75.010900000000007</v>
      </c>
      <c r="E65" s="4">
        <v>187</v>
      </c>
      <c r="F65" s="4"/>
      <c r="G65" s="4"/>
      <c r="H65" s="5">
        <f t="shared" si="0"/>
        <v>-2.5732510218580699E-2</v>
      </c>
    </row>
    <row r="66" spans="1:8" ht="13.5" x14ac:dyDescent="0.25">
      <c r="A66" s="1"/>
      <c r="B66" s="3">
        <v>42398</v>
      </c>
      <c r="C66" s="4">
        <v>147.69999999999999</v>
      </c>
      <c r="D66" s="4">
        <v>77.206400000000002</v>
      </c>
      <c r="E66" s="4">
        <v>22</v>
      </c>
      <c r="F66" s="4"/>
      <c r="G66" s="4"/>
      <c r="H66" s="5">
        <f t="shared" si="0"/>
        <v>2.9269079560437155E-2</v>
      </c>
    </row>
    <row r="67" spans="1:8" ht="13.5" x14ac:dyDescent="0.25">
      <c r="A67" s="1"/>
      <c r="B67" s="3">
        <v>42401</v>
      </c>
      <c r="C67" s="4">
        <v>147.69999999999999</v>
      </c>
      <c r="D67" s="4">
        <v>77.206400000000002</v>
      </c>
      <c r="E67" s="4">
        <v>20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146</v>
      </c>
      <c r="D68" s="4">
        <v>76.317700000000002</v>
      </c>
      <c r="E68" s="4">
        <v>23</v>
      </c>
      <c r="F68" s="4"/>
      <c r="G68" s="4"/>
      <c r="H68" s="5">
        <f t="shared" si="0"/>
        <v>-1.1510703775852778E-2</v>
      </c>
    </row>
    <row r="69" spans="1:8" ht="13.5" x14ac:dyDescent="0.25">
      <c r="A69" s="1"/>
      <c r="B69" s="3">
        <v>42403</v>
      </c>
      <c r="C69" s="4">
        <v>146</v>
      </c>
      <c r="D69" s="4">
        <v>76.317700000000002</v>
      </c>
      <c r="E69" s="4">
        <v>8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146</v>
      </c>
      <c r="D70" s="4">
        <v>76.317700000000002</v>
      </c>
      <c r="E70" s="4">
        <v>28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146</v>
      </c>
      <c r="D71" s="4">
        <v>76.317700000000002</v>
      </c>
      <c r="E71" s="4">
        <v>45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146</v>
      </c>
      <c r="D72" s="4">
        <v>76.317700000000002</v>
      </c>
      <c r="E72" s="4">
        <v>51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42409</v>
      </c>
      <c r="C73" s="4">
        <v>140</v>
      </c>
      <c r="D73" s="4">
        <v>73.181399999999996</v>
      </c>
      <c r="E73" s="4">
        <v>66</v>
      </c>
      <c r="F73" s="4"/>
      <c r="G73" s="4"/>
      <c r="H73" s="5">
        <f t="shared" si="1"/>
        <v>-4.1095316027605723E-2</v>
      </c>
    </row>
    <row r="74" spans="1:8" ht="13.5" x14ac:dyDescent="0.25">
      <c r="A74" s="1"/>
      <c r="B74" s="3">
        <v>42410</v>
      </c>
      <c r="C74" s="4">
        <v>139</v>
      </c>
      <c r="D74" s="4">
        <v>72.658699999999996</v>
      </c>
      <c r="E74" s="4">
        <v>279</v>
      </c>
      <c r="F74" s="4"/>
      <c r="G74" s="4"/>
      <c r="H74" s="5">
        <f t="shared" si="1"/>
        <v>-7.1425252864799034E-3</v>
      </c>
    </row>
    <row r="75" spans="1:8" ht="13.5" x14ac:dyDescent="0.25">
      <c r="A75" s="1"/>
      <c r="B75" s="3">
        <v>42411</v>
      </c>
      <c r="C75" s="4">
        <v>135</v>
      </c>
      <c r="D75" s="4">
        <v>70.567800000000005</v>
      </c>
      <c r="E75" s="4">
        <v>6</v>
      </c>
      <c r="F75" s="4"/>
      <c r="G75" s="4"/>
      <c r="H75" s="5">
        <f t="shared" si="1"/>
        <v>-2.8777008121532464E-2</v>
      </c>
    </row>
    <row r="76" spans="1:8" ht="13.5" x14ac:dyDescent="0.25">
      <c r="A76" s="1"/>
      <c r="B76" s="3">
        <v>42412</v>
      </c>
      <c r="C76" s="4">
        <v>135</v>
      </c>
      <c r="D76" s="4">
        <v>70.567800000000005</v>
      </c>
      <c r="E76" s="4">
        <v>38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135</v>
      </c>
      <c r="D77" s="4">
        <v>70.567800000000005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135.01</v>
      </c>
      <c r="D78" s="4">
        <v>70.572999999999993</v>
      </c>
      <c r="E78" s="4">
        <v>3</v>
      </c>
      <c r="F78" s="4"/>
      <c r="G78" s="4"/>
      <c r="H78" s="5">
        <f t="shared" si="1"/>
        <v>7.3687999342304575E-5</v>
      </c>
    </row>
    <row r="79" spans="1:8" ht="13.5" x14ac:dyDescent="0.25">
      <c r="A79" s="1"/>
      <c r="B79" s="3">
        <v>42417</v>
      </c>
      <c r="C79" s="4">
        <v>135.1</v>
      </c>
      <c r="D79" s="4">
        <v>70.62</v>
      </c>
      <c r="E79" s="4">
        <v>113</v>
      </c>
      <c r="F79" s="4"/>
      <c r="G79" s="4"/>
      <c r="H79" s="5">
        <f t="shared" si="1"/>
        <v>6.6597707338516513E-4</v>
      </c>
    </row>
    <row r="80" spans="1:8" ht="13.5" x14ac:dyDescent="0.25">
      <c r="A80" s="1"/>
      <c r="B80" s="3">
        <v>42418</v>
      </c>
      <c r="C80" s="4">
        <v>135.1</v>
      </c>
      <c r="D80" s="4">
        <v>70.62</v>
      </c>
      <c r="E80" s="4">
        <v>23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135</v>
      </c>
      <c r="D81" s="4">
        <v>70.567800000000005</v>
      </c>
      <c r="E81" s="4">
        <v>5</v>
      </c>
      <c r="F81" s="4"/>
      <c r="G81" s="4"/>
      <c r="H81" s="5">
        <f t="shared" si="1"/>
        <v>-7.3916737468138107E-4</v>
      </c>
    </row>
    <row r="82" spans="1:8" ht="13.5" x14ac:dyDescent="0.25">
      <c r="A82" s="1"/>
      <c r="B82" s="3">
        <v>42422</v>
      </c>
      <c r="C82" s="4">
        <v>132</v>
      </c>
      <c r="D82" s="4">
        <v>68.999600000000001</v>
      </c>
      <c r="E82" s="4">
        <v>32</v>
      </c>
      <c r="F82" s="4"/>
      <c r="G82" s="4"/>
      <c r="H82" s="5">
        <f t="shared" si="1"/>
        <v>-2.2222600109398399E-2</v>
      </c>
    </row>
    <row r="83" spans="1:8" ht="13.5" x14ac:dyDescent="0.25">
      <c r="A83" s="1"/>
      <c r="B83" s="3">
        <v>42423</v>
      </c>
      <c r="C83" s="4">
        <v>129.99</v>
      </c>
      <c r="D83" s="4">
        <v>67.948899999999995</v>
      </c>
      <c r="E83" s="4">
        <v>136</v>
      </c>
      <c r="F83" s="4"/>
      <c r="G83" s="4"/>
      <c r="H83" s="5">
        <f t="shared" si="1"/>
        <v>-1.5227624507968251E-2</v>
      </c>
    </row>
    <row r="84" spans="1:8" ht="13.5" x14ac:dyDescent="0.25">
      <c r="A84" s="1"/>
      <c r="B84" s="3">
        <v>42424</v>
      </c>
      <c r="C84" s="4">
        <v>129</v>
      </c>
      <c r="D84" s="4">
        <v>67.431399999999996</v>
      </c>
      <c r="E84" s="4">
        <v>1</v>
      </c>
      <c r="F84" s="4"/>
      <c r="G84" s="4"/>
      <c r="H84" s="5">
        <f t="shared" si="1"/>
        <v>-7.6160173306705232E-3</v>
      </c>
    </row>
    <row r="85" spans="1:8" ht="13.5" x14ac:dyDescent="0.25">
      <c r="A85" s="1"/>
      <c r="B85" s="3">
        <v>42425</v>
      </c>
      <c r="C85" s="4">
        <v>134.5</v>
      </c>
      <c r="D85" s="4">
        <v>70.306399999999996</v>
      </c>
      <c r="E85" s="4">
        <v>9</v>
      </c>
      <c r="F85" s="4"/>
      <c r="G85" s="4"/>
      <c r="H85" s="5">
        <f t="shared" si="1"/>
        <v>4.2635923323555494E-2</v>
      </c>
    </row>
    <row r="86" spans="1:8" ht="13.5" x14ac:dyDescent="0.25">
      <c r="A86" s="1"/>
      <c r="B86" s="3">
        <v>42426</v>
      </c>
      <c r="C86" s="4">
        <v>134.5</v>
      </c>
      <c r="D86" s="4">
        <v>70.306399999999996</v>
      </c>
      <c r="E86" s="4">
        <v>0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133.4</v>
      </c>
      <c r="D87" s="4">
        <v>69.731399999999994</v>
      </c>
      <c r="E87" s="4">
        <v>38</v>
      </c>
      <c r="F87" s="4"/>
      <c r="G87" s="4"/>
      <c r="H87" s="5">
        <f t="shared" si="1"/>
        <v>-8.1784873069877407E-3</v>
      </c>
    </row>
    <row r="88" spans="1:8" ht="13.5" x14ac:dyDescent="0.25">
      <c r="A88" s="1"/>
      <c r="B88" s="3">
        <v>42430</v>
      </c>
      <c r="C88" s="4">
        <v>128</v>
      </c>
      <c r="D88" s="4">
        <v>66.908699999999996</v>
      </c>
      <c r="E88" s="4">
        <v>67</v>
      </c>
      <c r="F88" s="4"/>
      <c r="G88" s="4"/>
      <c r="H88" s="5">
        <f t="shared" si="1"/>
        <v>-4.0479611767439028E-2</v>
      </c>
    </row>
    <row r="89" spans="1:8" ht="13.5" x14ac:dyDescent="0.25">
      <c r="A89" s="1"/>
      <c r="B89" s="3">
        <v>42431</v>
      </c>
      <c r="C89" s="4">
        <v>127.8</v>
      </c>
      <c r="D89" s="4">
        <v>66.804199999999994</v>
      </c>
      <c r="E89" s="4">
        <v>21</v>
      </c>
      <c r="F89" s="4"/>
      <c r="G89" s="4"/>
      <c r="H89" s="5">
        <f t="shared" si="1"/>
        <v>-1.5618297769946449E-3</v>
      </c>
    </row>
    <row r="90" spans="1:8" ht="13.5" x14ac:dyDescent="0.25">
      <c r="A90" s="1"/>
      <c r="B90" s="3">
        <v>42432</v>
      </c>
      <c r="C90" s="4">
        <v>127.99</v>
      </c>
      <c r="D90" s="4">
        <v>66.903499999999994</v>
      </c>
      <c r="E90" s="4">
        <v>27</v>
      </c>
      <c r="F90" s="4"/>
      <c r="G90" s="4"/>
      <c r="H90" s="5">
        <f t="shared" si="1"/>
        <v>1.4864334877148369E-3</v>
      </c>
    </row>
    <row r="91" spans="1:8" ht="13.5" x14ac:dyDescent="0.25">
      <c r="A91" s="1"/>
      <c r="B91" s="3">
        <v>42433</v>
      </c>
      <c r="C91" s="4">
        <v>127.99</v>
      </c>
      <c r="D91" s="4">
        <v>66.903499999999994</v>
      </c>
      <c r="E91" s="4">
        <v>48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125.99</v>
      </c>
      <c r="D92" s="4">
        <v>65.858000000000004</v>
      </c>
      <c r="E92" s="4">
        <v>136</v>
      </c>
      <c r="F92" s="4"/>
      <c r="G92" s="4"/>
      <c r="H92" s="5">
        <f t="shared" si="1"/>
        <v>-1.5626985135306672E-2</v>
      </c>
    </row>
    <row r="93" spans="1:8" ht="13.5" x14ac:dyDescent="0.25">
      <c r="A93" s="1"/>
      <c r="B93" s="3">
        <v>42437</v>
      </c>
      <c r="C93" s="4">
        <v>125.99</v>
      </c>
      <c r="D93" s="4">
        <v>65.858000000000004</v>
      </c>
      <c r="E93" s="4">
        <v>11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124.99</v>
      </c>
      <c r="D94" s="4">
        <v>65.335300000000004</v>
      </c>
      <c r="E94" s="4">
        <v>63</v>
      </c>
      <c r="F94" s="4"/>
      <c r="G94" s="4"/>
      <c r="H94" s="5">
        <f t="shared" si="1"/>
        <v>-7.9367730571836426E-3</v>
      </c>
    </row>
    <row r="95" spans="1:8" ht="13.5" x14ac:dyDescent="0.25">
      <c r="A95" s="1"/>
      <c r="B95" s="3">
        <v>42439</v>
      </c>
      <c r="C95" s="4">
        <v>122.94</v>
      </c>
      <c r="D95" s="4">
        <v>64.2637</v>
      </c>
      <c r="E95" s="4">
        <v>3</v>
      </c>
      <c r="F95" s="4"/>
      <c r="G95" s="4"/>
      <c r="H95" s="5">
        <f t="shared" si="1"/>
        <v>-1.6401547096286443E-2</v>
      </c>
    </row>
    <row r="96" spans="1:8" ht="13.5" x14ac:dyDescent="0.25">
      <c r="A96" s="1"/>
      <c r="B96" s="3">
        <v>42440</v>
      </c>
      <c r="C96" s="4">
        <v>128.47</v>
      </c>
      <c r="D96" s="4">
        <v>67.154399999999995</v>
      </c>
      <c r="E96" s="4">
        <v>0</v>
      </c>
      <c r="F96" s="4"/>
      <c r="G96" s="4"/>
      <c r="H96" s="5">
        <f t="shared" si="1"/>
        <v>4.4981848228471052E-2</v>
      </c>
    </row>
    <row r="97" spans="1:8" ht="13.5" x14ac:dyDescent="0.25">
      <c r="A97" s="1"/>
      <c r="B97" s="3">
        <v>42443</v>
      </c>
      <c r="C97" s="4">
        <v>128.72999999999999</v>
      </c>
      <c r="D97" s="4">
        <v>67.290300000000002</v>
      </c>
      <c r="E97" s="4">
        <v>204</v>
      </c>
      <c r="F97" s="4"/>
      <c r="G97" s="4"/>
      <c r="H97" s="5">
        <f t="shared" si="1"/>
        <v>2.0236946499411295E-3</v>
      </c>
    </row>
    <row r="98" spans="1:8" ht="13.5" x14ac:dyDescent="0.25">
      <c r="A98" s="1"/>
      <c r="B98" s="3">
        <v>42444</v>
      </c>
      <c r="C98" s="4">
        <v>128.72999999999999</v>
      </c>
      <c r="D98" s="4">
        <v>67.290300000000002</v>
      </c>
      <c r="E98" s="4">
        <v>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132.4</v>
      </c>
      <c r="D99" s="4">
        <v>69.208699999999993</v>
      </c>
      <c r="E99" s="4">
        <v>8</v>
      </c>
      <c r="F99" s="4"/>
      <c r="G99" s="4"/>
      <c r="H99" s="5">
        <f t="shared" si="1"/>
        <v>2.8509309662759583E-2</v>
      </c>
    </row>
    <row r="100" spans="1:8" ht="13.5" x14ac:dyDescent="0.25">
      <c r="A100" s="1"/>
      <c r="B100" s="3">
        <v>42446</v>
      </c>
      <c r="C100" s="4">
        <v>132.4</v>
      </c>
      <c r="D100" s="4">
        <v>69.208699999999993</v>
      </c>
      <c r="E100" s="4">
        <v>38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128.72999999999999</v>
      </c>
      <c r="D101" s="4">
        <v>67.290300000000002</v>
      </c>
      <c r="E101" s="4">
        <v>1</v>
      </c>
      <c r="F101" s="4"/>
      <c r="G101" s="4"/>
      <c r="H101" s="5">
        <f t="shared" si="1"/>
        <v>-2.7719058442074354E-2</v>
      </c>
    </row>
    <row r="102" spans="1:8" ht="13.5" x14ac:dyDescent="0.25">
      <c r="A102" s="1"/>
      <c r="B102" s="3">
        <v>42450</v>
      </c>
      <c r="C102" s="4">
        <v>128.72999999999999</v>
      </c>
      <c r="D102" s="4">
        <v>67.290300000000002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128.72999999999999</v>
      </c>
      <c r="D103" s="4">
        <v>67.290300000000002</v>
      </c>
      <c r="E103" s="4">
        <v>0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128.72999999999999</v>
      </c>
      <c r="D104" s="4">
        <v>67.290300000000002</v>
      </c>
      <c r="E104" s="4">
        <v>50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122</v>
      </c>
      <c r="D105" s="4">
        <v>63.772399999999998</v>
      </c>
      <c r="E105" s="4">
        <v>55</v>
      </c>
      <c r="F105" s="4"/>
      <c r="G105" s="4"/>
      <c r="H105" s="5">
        <f t="shared" si="1"/>
        <v>-5.2279451867505489E-2</v>
      </c>
    </row>
    <row r="106" spans="1:8" ht="13.5" x14ac:dyDescent="0.25">
      <c r="A106" s="1"/>
      <c r="B106" s="3">
        <v>42454</v>
      </c>
      <c r="C106" s="4">
        <v>122</v>
      </c>
      <c r="D106" s="4">
        <v>63.772399999999998</v>
      </c>
      <c r="E106" s="4">
        <v>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122</v>
      </c>
      <c r="D107" s="4">
        <v>63.772399999999998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122</v>
      </c>
      <c r="D108" s="4">
        <v>63.772399999999998</v>
      </c>
      <c r="E108" s="4">
        <v>16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122</v>
      </c>
      <c r="D109" s="4">
        <v>63.772399999999998</v>
      </c>
      <c r="E109" s="4">
        <v>31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122</v>
      </c>
      <c r="D110" s="4">
        <v>63.772399999999998</v>
      </c>
      <c r="E110" s="4">
        <v>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42461</v>
      </c>
      <c r="C111" s="4">
        <v>122</v>
      </c>
      <c r="D111" s="4">
        <v>63.772399999999998</v>
      </c>
      <c r="E111" s="4">
        <v>20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122</v>
      </c>
      <c r="D112" s="4">
        <v>63.772399999999998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122</v>
      </c>
      <c r="D113" s="4">
        <v>63.772399999999998</v>
      </c>
      <c r="E113" s="4">
        <v>1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122</v>
      </c>
      <c r="D114" s="4">
        <v>63.772399999999998</v>
      </c>
      <c r="E114" s="4">
        <v>4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120</v>
      </c>
      <c r="D115" s="4">
        <v>62.726900000000001</v>
      </c>
      <c r="E115" s="4">
        <v>8</v>
      </c>
      <c r="F115" s="4"/>
      <c r="G115" s="4"/>
      <c r="H115" s="5">
        <f t="shared" si="1"/>
        <v>-1.6394239514272584E-2</v>
      </c>
    </row>
    <row r="116" spans="1:8" ht="13.5" x14ac:dyDescent="0.25">
      <c r="A116" s="1"/>
      <c r="B116" s="3">
        <v>42468</v>
      </c>
      <c r="C116" s="4">
        <v>120</v>
      </c>
      <c r="D116" s="4">
        <v>62.726900000000001</v>
      </c>
      <c r="E116" s="4">
        <v>4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122</v>
      </c>
      <c r="D117" s="4">
        <v>63.772399999999998</v>
      </c>
      <c r="E117" s="4">
        <v>8</v>
      </c>
      <c r="F117" s="4"/>
      <c r="G117" s="4"/>
      <c r="H117" s="5">
        <f t="shared" si="1"/>
        <v>1.6667490343058512E-2</v>
      </c>
    </row>
    <row r="118" spans="1:8" ht="13.5" x14ac:dyDescent="0.25">
      <c r="A118" s="1"/>
      <c r="B118" s="3">
        <v>42472</v>
      </c>
      <c r="C118" s="4">
        <v>120</v>
      </c>
      <c r="D118" s="4">
        <v>62.726900000000001</v>
      </c>
      <c r="E118" s="4">
        <v>2</v>
      </c>
      <c r="F118" s="4"/>
      <c r="G118" s="4"/>
      <c r="H118" s="5">
        <f t="shared" si="1"/>
        <v>-1.6394239514272584E-2</v>
      </c>
    </row>
    <row r="119" spans="1:8" ht="13.5" x14ac:dyDescent="0.25">
      <c r="A119" s="1"/>
      <c r="B119" s="3">
        <v>42473</v>
      </c>
      <c r="C119" s="4">
        <v>122.99</v>
      </c>
      <c r="D119" s="4">
        <v>64.289900000000003</v>
      </c>
      <c r="E119" s="4">
        <v>1</v>
      </c>
      <c r="F119" s="4"/>
      <c r="G119" s="4"/>
      <c r="H119" s="5">
        <f t="shared" si="1"/>
        <v>2.491753936508902E-2</v>
      </c>
    </row>
    <row r="120" spans="1:8" ht="13.5" x14ac:dyDescent="0.25">
      <c r="A120" s="1"/>
      <c r="B120" s="3">
        <v>42474</v>
      </c>
      <c r="C120" s="4">
        <v>122.99</v>
      </c>
      <c r="D120" s="4">
        <v>64.289900000000003</v>
      </c>
      <c r="E120" s="4">
        <v>0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122.99</v>
      </c>
      <c r="D121" s="4">
        <v>64.289900000000003</v>
      </c>
      <c r="E121" s="4">
        <v>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123</v>
      </c>
      <c r="D122" s="4">
        <v>64.295100000000005</v>
      </c>
      <c r="E122" s="4">
        <v>1</v>
      </c>
      <c r="F122" s="4"/>
      <c r="G122" s="4"/>
      <c r="H122" s="5">
        <f t="shared" si="1"/>
        <v>8.0883622466391953E-5</v>
      </c>
    </row>
    <row r="123" spans="1:8" ht="13.5" x14ac:dyDescent="0.25">
      <c r="A123" s="1"/>
      <c r="B123" s="3">
        <v>42479</v>
      </c>
      <c r="C123" s="4">
        <v>122.99</v>
      </c>
      <c r="D123" s="4">
        <v>64.289900000000003</v>
      </c>
      <c r="E123" s="4">
        <v>5</v>
      </c>
      <c r="F123" s="4"/>
      <c r="G123" s="4"/>
      <c r="H123" s="5">
        <f t="shared" si="1"/>
        <v>-8.0877080835119501E-5</v>
      </c>
    </row>
    <row r="124" spans="1:8" ht="13.5" x14ac:dyDescent="0.25">
      <c r="A124" s="1"/>
      <c r="B124" s="3">
        <v>42480</v>
      </c>
      <c r="C124" s="4">
        <v>120.01</v>
      </c>
      <c r="D124" s="4">
        <v>62.732100000000003</v>
      </c>
      <c r="E124" s="4">
        <v>346</v>
      </c>
      <c r="F124" s="4"/>
      <c r="G124" s="4"/>
      <c r="H124" s="5">
        <f t="shared" si="1"/>
        <v>-2.4230866745787446E-2</v>
      </c>
    </row>
    <row r="125" spans="1:8" ht="13.5" x14ac:dyDescent="0.25">
      <c r="A125" s="1"/>
      <c r="B125" s="3">
        <v>42481</v>
      </c>
      <c r="C125" s="4">
        <v>123.6</v>
      </c>
      <c r="D125" s="4">
        <v>64.608699999999999</v>
      </c>
      <c r="E125" s="4">
        <v>10</v>
      </c>
      <c r="F125" s="4"/>
      <c r="G125" s="4"/>
      <c r="H125" s="5">
        <f t="shared" si="1"/>
        <v>2.991450947760391E-2</v>
      </c>
    </row>
    <row r="126" spans="1:8" ht="13.5" x14ac:dyDescent="0.25">
      <c r="A126" s="1"/>
      <c r="B126" s="3">
        <v>42482</v>
      </c>
      <c r="C126" s="4">
        <v>125.66</v>
      </c>
      <c r="D126" s="4">
        <v>65.685500000000005</v>
      </c>
      <c r="E126" s="4">
        <v>8</v>
      </c>
      <c r="F126" s="4"/>
      <c r="G126" s="4"/>
      <c r="H126" s="5">
        <f t="shared" si="1"/>
        <v>1.6666486092430367E-2</v>
      </c>
    </row>
    <row r="127" spans="1:8" ht="13.5" x14ac:dyDescent="0.25">
      <c r="A127" s="1"/>
      <c r="B127" s="3">
        <v>42485</v>
      </c>
      <c r="C127" s="4">
        <v>125.66</v>
      </c>
      <c r="D127" s="4">
        <v>65.685500000000005</v>
      </c>
      <c r="E127" s="4">
        <v>59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128.96</v>
      </c>
      <c r="D128" s="4">
        <v>67.410499999999999</v>
      </c>
      <c r="E128" s="4">
        <v>18</v>
      </c>
      <c r="F128" s="4"/>
      <c r="G128" s="4"/>
      <c r="H128" s="5">
        <f t="shared" si="1"/>
        <v>2.626150368041644E-2</v>
      </c>
    </row>
    <row r="129" spans="1:8" ht="13.5" x14ac:dyDescent="0.25">
      <c r="A129" s="1"/>
      <c r="B129" s="3">
        <v>42487</v>
      </c>
      <c r="C129" s="4">
        <v>129.01</v>
      </c>
      <c r="D129" s="4">
        <v>67.436700000000002</v>
      </c>
      <c r="E129" s="4">
        <v>80</v>
      </c>
      <c r="F129" s="4"/>
      <c r="G129" s="4"/>
      <c r="H129" s="5">
        <f t="shared" si="1"/>
        <v>3.8866348714225365E-4</v>
      </c>
    </row>
    <row r="130" spans="1:8" ht="13.5" x14ac:dyDescent="0.25">
      <c r="A130" s="1"/>
      <c r="B130" s="3">
        <v>42488</v>
      </c>
      <c r="C130" s="4">
        <v>130.01</v>
      </c>
      <c r="D130" s="4">
        <v>67.959400000000002</v>
      </c>
      <c r="E130" s="4">
        <v>49</v>
      </c>
      <c r="F130" s="4"/>
      <c r="G130" s="4"/>
      <c r="H130" s="5">
        <f t="shared" si="1"/>
        <v>7.7509723933703806E-3</v>
      </c>
    </row>
    <row r="131" spans="1:8" ht="13.5" x14ac:dyDescent="0.25">
      <c r="A131" s="1"/>
      <c r="B131" s="3">
        <v>42489</v>
      </c>
      <c r="C131" s="4">
        <v>130.01</v>
      </c>
      <c r="D131" s="4">
        <v>67.959400000000002</v>
      </c>
      <c r="E131" s="4">
        <v>20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130.01</v>
      </c>
      <c r="D132" s="4">
        <v>67.959400000000002</v>
      </c>
      <c r="E132" s="4">
        <v>31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132.1</v>
      </c>
      <c r="D133" s="4">
        <v>69.051900000000003</v>
      </c>
      <c r="E133" s="4">
        <v>69</v>
      </c>
      <c r="F133" s="4"/>
      <c r="G133" s="4"/>
      <c r="H133" s="5">
        <f t="shared" si="1"/>
        <v>1.6075774653690308E-2</v>
      </c>
    </row>
    <row r="134" spans="1:8" ht="13.5" x14ac:dyDescent="0.25">
      <c r="A134" s="1"/>
      <c r="B134" s="3">
        <v>42494</v>
      </c>
      <c r="C134" s="4">
        <v>132.1</v>
      </c>
      <c r="D134" s="4">
        <v>69.051900000000003</v>
      </c>
      <c r="E134" s="4">
        <v>2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132.1</v>
      </c>
      <c r="D135" s="4">
        <v>69.051900000000003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134.11000000000001</v>
      </c>
      <c r="D136" s="4">
        <v>70.102599999999995</v>
      </c>
      <c r="E136" s="4">
        <v>5</v>
      </c>
      <c r="F136" s="4"/>
      <c r="G136" s="4"/>
      <c r="H136" s="5">
        <f t="shared" si="2"/>
        <v>1.5216091085111226E-2</v>
      </c>
    </row>
    <row r="137" spans="1:8" ht="13.5" x14ac:dyDescent="0.25">
      <c r="A137" s="1"/>
      <c r="B137" s="3">
        <v>42499</v>
      </c>
      <c r="C137" s="4">
        <v>134.11000000000001</v>
      </c>
      <c r="D137" s="4">
        <v>70.102599999999995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138.11000000000001</v>
      </c>
      <c r="D138" s="4">
        <v>72.193399999999997</v>
      </c>
      <c r="E138" s="4">
        <v>5</v>
      </c>
      <c r="F138" s="4"/>
      <c r="G138" s="4"/>
      <c r="H138" s="5">
        <f t="shared" si="2"/>
        <v>2.9824856710022191E-2</v>
      </c>
    </row>
    <row r="139" spans="1:8" ht="13.5" x14ac:dyDescent="0.25">
      <c r="A139" s="1"/>
      <c r="B139" s="3">
        <v>42501</v>
      </c>
      <c r="C139" s="4">
        <v>141.1</v>
      </c>
      <c r="D139" s="4">
        <v>73.756399999999999</v>
      </c>
      <c r="E139" s="4">
        <v>45</v>
      </c>
      <c r="F139" s="4"/>
      <c r="G139" s="4"/>
      <c r="H139" s="5">
        <f t="shared" si="2"/>
        <v>2.1650178548177568E-2</v>
      </c>
    </row>
    <row r="140" spans="1:8" ht="13.5" x14ac:dyDescent="0.25">
      <c r="A140" s="1"/>
      <c r="B140" s="3">
        <v>42502</v>
      </c>
      <c r="C140" s="4">
        <v>149.08000000000001</v>
      </c>
      <c r="D140" s="4">
        <v>77.927700000000002</v>
      </c>
      <c r="E140" s="4">
        <v>11</v>
      </c>
      <c r="F140" s="4"/>
      <c r="G140" s="4"/>
      <c r="H140" s="5">
        <f t="shared" si="2"/>
        <v>5.6555092168272883E-2</v>
      </c>
    </row>
    <row r="141" spans="1:8" ht="13.5" x14ac:dyDescent="0.25">
      <c r="A141" s="1"/>
      <c r="B141" s="3">
        <v>42503</v>
      </c>
      <c r="C141" s="4">
        <v>149.11000000000001</v>
      </c>
      <c r="D141" s="4">
        <v>77.943399999999997</v>
      </c>
      <c r="E141" s="4">
        <v>25</v>
      </c>
      <c r="F141" s="4"/>
      <c r="G141" s="4"/>
      <c r="H141" s="5">
        <f t="shared" si="2"/>
        <v>2.014687973595446E-4</v>
      </c>
    </row>
    <row r="142" spans="1:8" ht="13.5" x14ac:dyDescent="0.25">
      <c r="A142" s="1"/>
      <c r="B142" s="3">
        <v>42506</v>
      </c>
      <c r="C142" s="4">
        <v>153</v>
      </c>
      <c r="D142" s="4">
        <v>79.976799999999997</v>
      </c>
      <c r="E142" s="4">
        <v>21</v>
      </c>
      <c r="F142" s="4"/>
      <c r="G142" s="4"/>
      <c r="H142" s="5">
        <f t="shared" si="2"/>
        <v>2.6088161409433003E-2</v>
      </c>
    </row>
    <row r="143" spans="1:8" ht="13.5" x14ac:dyDescent="0.25">
      <c r="A143" s="1"/>
      <c r="B143" s="3">
        <v>42507</v>
      </c>
      <c r="C143" s="4">
        <v>153</v>
      </c>
      <c r="D143" s="4">
        <v>79.976799999999997</v>
      </c>
      <c r="E143" s="4">
        <v>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153.1</v>
      </c>
      <c r="D144" s="4">
        <v>80.0291</v>
      </c>
      <c r="E144" s="4">
        <v>20</v>
      </c>
      <c r="F144" s="4"/>
      <c r="G144" s="4"/>
      <c r="H144" s="5">
        <f t="shared" si="2"/>
        <v>6.539396424963547E-4</v>
      </c>
    </row>
    <row r="145" spans="1:8" ht="13.5" x14ac:dyDescent="0.25">
      <c r="A145" s="1"/>
      <c r="B145" s="3">
        <v>42509</v>
      </c>
      <c r="C145" s="4">
        <v>153</v>
      </c>
      <c r="D145" s="4">
        <v>79.976799999999997</v>
      </c>
      <c r="E145" s="4">
        <v>15</v>
      </c>
      <c r="F145" s="4"/>
      <c r="G145" s="4"/>
      <c r="H145" s="5">
        <f t="shared" si="2"/>
        <v>-6.5351228490639597E-4</v>
      </c>
    </row>
    <row r="146" spans="1:8" ht="13.5" x14ac:dyDescent="0.25">
      <c r="A146" s="1"/>
      <c r="B146" s="3">
        <v>42510</v>
      </c>
      <c r="C146" s="4">
        <v>147.5</v>
      </c>
      <c r="D146" s="4">
        <v>77.101799999999997</v>
      </c>
      <c r="E146" s="4">
        <v>76</v>
      </c>
      <c r="F146" s="4"/>
      <c r="G146" s="4"/>
      <c r="H146" s="5">
        <f t="shared" si="2"/>
        <v>-3.5947924898220483E-2</v>
      </c>
    </row>
    <row r="147" spans="1:8" ht="13.5" x14ac:dyDescent="0.25">
      <c r="A147" s="1"/>
      <c r="B147" s="3">
        <v>42513</v>
      </c>
      <c r="C147" s="4">
        <v>147.5</v>
      </c>
      <c r="D147" s="4">
        <v>77.101799999999997</v>
      </c>
      <c r="E147" s="4">
        <v>31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150</v>
      </c>
      <c r="D148" s="4">
        <v>78.408600000000007</v>
      </c>
      <c r="E148" s="4">
        <v>2</v>
      </c>
      <c r="F148" s="4"/>
      <c r="G148" s="4"/>
      <c r="H148" s="5">
        <f t="shared" si="2"/>
        <v>1.6949020645432529E-2</v>
      </c>
    </row>
    <row r="149" spans="1:8" ht="13.5" x14ac:dyDescent="0.25">
      <c r="A149" s="1"/>
      <c r="B149" s="3">
        <v>42515</v>
      </c>
      <c r="C149" s="4">
        <v>147</v>
      </c>
      <c r="D149" s="4">
        <v>76.840500000000006</v>
      </c>
      <c r="E149" s="4">
        <v>25</v>
      </c>
      <c r="F149" s="4"/>
      <c r="G149" s="4"/>
      <c r="H149" s="5">
        <f t="shared" si="2"/>
        <v>-1.9999081733381299E-2</v>
      </c>
    </row>
    <row r="150" spans="1:8" ht="13.5" x14ac:dyDescent="0.25">
      <c r="A150" s="1"/>
      <c r="B150" s="3">
        <v>42516</v>
      </c>
      <c r="C150" s="4">
        <v>147</v>
      </c>
      <c r="D150" s="4">
        <v>76.840500000000006</v>
      </c>
      <c r="E150" s="4">
        <v>1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147</v>
      </c>
      <c r="D151" s="4">
        <v>76.840500000000006</v>
      </c>
      <c r="E151" s="4">
        <v>0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147</v>
      </c>
      <c r="D152" s="4">
        <v>76.840500000000006</v>
      </c>
      <c r="E152" s="4">
        <v>14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147</v>
      </c>
      <c r="D153" s="4">
        <v>76.840500000000006</v>
      </c>
      <c r="E153" s="4">
        <v>6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147</v>
      </c>
      <c r="D154" s="4">
        <v>76.840500000000006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147</v>
      </c>
      <c r="D155" s="4">
        <v>76.840500000000006</v>
      </c>
      <c r="E155" s="4">
        <v>31</v>
      </c>
      <c r="F155" s="4"/>
      <c r="G155" s="4"/>
      <c r="H155" s="5">
        <f t="shared" si="2"/>
        <v>0</v>
      </c>
    </row>
    <row r="156" spans="1:8" ht="13.5" x14ac:dyDescent="0.25">
      <c r="A156" s="1"/>
      <c r="B156" s="3">
        <v>42524</v>
      </c>
      <c r="C156" s="4">
        <v>146.5</v>
      </c>
      <c r="D156" s="4">
        <v>76.579099999999997</v>
      </c>
      <c r="E156" s="4">
        <v>125</v>
      </c>
      <c r="F156" s="4"/>
      <c r="G156" s="4"/>
      <c r="H156" s="5">
        <f t="shared" si="2"/>
        <v>-3.4018518880018864E-3</v>
      </c>
    </row>
    <row r="157" spans="1:8" ht="13.5" x14ac:dyDescent="0.25">
      <c r="A157" s="1"/>
      <c r="B157" s="3">
        <v>42527</v>
      </c>
      <c r="C157" s="4">
        <v>146</v>
      </c>
      <c r="D157" s="4">
        <v>76.317700000000002</v>
      </c>
      <c r="E157" s="4">
        <v>35</v>
      </c>
      <c r="F157" s="4"/>
      <c r="G157" s="4"/>
      <c r="H157" s="5">
        <f t="shared" si="2"/>
        <v>-3.4134639869101984E-3</v>
      </c>
    </row>
    <row r="158" spans="1:8" ht="13.5" x14ac:dyDescent="0.25">
      <c r="A158" s="1"/>
      <c r="B158" s="3">
        <v>42528</v>
      </c>
      <c r="C158" s="4">
        <v>146</v>
      </c>
      <c r="D158" s="4">
        <v>76.317700000000002</v>
      </c>
      <c r="E158" s="4">
        <v>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146</v>
      </c>
      <c r="D159" s="4">
        <v>76.317700000000002</v>
      </c>
      <c r="E159" s="4">
        <v>8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146</v>
      </c>
      <c r="D160" s="4">
        <v>76.317700000000002</v>
      </c>
      <c r="E160" s="4">
        <v>0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147</v>
      </c>
      <c r="D161" s="4">
        <v>76.840500000000006</v>
      </c>
      <c r="E161" s="4">
        <v>30</v>
      </c>
      <c r="F161" s="4"/>
      <c r="G161" s="4"/>
      <c r="H161" s="5">
        <f t="shared" si="2"/>
        <v>6.8503112646214927E-3</v>
      </c>
    </row>
    <row r="162" spans="1:8" ht="13.5" x14ac:dyDescent="0.25">
      <c r="A162" s="1"/>
      <c r="B162" s="3">
        <v>42534</v>
      </c>
      <c r="C162" s="4">
        <v>147</v>
      </c>
      <c r="D162" s="4">
        <v>76.840500000000006</v>
      </c>
      <c r="E162" s="4">
        <v>99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149.5</v>
      </c>
      <c r="D163" s="4">
        <v>78.147300000000001</v>
      </c>
      <c r="E163" s="4">
        <v>1</v>
      </c>
      <c r="F163" s="4"/>
      <c r="G163" s="4"/>
      <c r="H163" s="5">
        <f t="shared" si="2"/>
        <v>1.7006656645909324E-2</v>
      </c>
    </row>
    <row r="164" spans="1:8" ht="13.5" x14ac:dyDescent="0.25">
      <c r="A164" s="1"/>
      <c r="B164" s="3">
        <v>42536</v>
      </c>
      <c r="C164" s="4">
        <v>145.02000000000001</v>
      </c>
      <c r="D164" s="4">
        <v>75.805499999999995</v>
      </c>
      <c r="E164" s="4">
        <v>0</v>
      </c>
      <c r="F164" s="4"/>
      <c r="G164" s="4"/>
      <c r="H164" s="5">
        <f t="shared" si="2"/>
        <v>-2.9966486366131733E-2</v>
      </c>
    </row>
    <row r="165" spans="1:8" ht="13.5" x14ac:dyDescent="0.25">
      <c r="A165" s="1"/>
      <c r="B165" s="3">
        <v>42537</v>
      </c>
      <c r="C165" s="4">
        <v>149.5</v>
      </c>
      <c r="D165" s="4">
        <v>78.147300000000001</v>
      </c>
      <c r="E165" s="4">
        <v>45</v>
      </c>
      <c r="F165" s="4"/>
      <c r="G165" s="4"/>
      <c r="H165" s="5">
        <f t="shared" si="2"/>
        <v>3.0892217583156981E-2</v>
      </c>
    </row>
    <row r="166" spans="1:8" ht="13.5" x14ac:dyDescent="0.25">
      <c r="A166" s="1"/>
      <c r="B166" s="3">
        <v>42538</v>
      </c>
      <c r="C166" s="4">
        <v>145.02000000000001</v>
      </c>
      <c r="D166" s="4">
        <v>75.805499999999995</v>
      </c>
      <c r="E166" s="4">
        <v>0</v>
      </c>
      <c r="F166" s="4"/>
      <c r="G166" s="4"/>
      <c r="H166" s="5">
        <f t="shared" si="2"/>
        <v>-2.9966486366131733E-2</v>
      </c>
    </row>
    <row r="167" spans="1:8" ht="13.5" x14ac:dyDescent="0.25">
      <c r="A167" s="1"/>
      <c r="B167" s="3">
        <v>42541</v>
      </c>
      <c r="C167" s="4">
        <v>144.22</v>
      </c>
      <c r="D167" s="4">
        <v>78.000299999999996</v>
      </c>
      <c r="E167" s="4">
        <v>8</v>
      </c>
      <c r="F167" s="4"/>
      <c r="G167" s="4"/>
      <c r="H167" s="5">
        <f t="shared" si="2"/>
        <v>2.8953044304173191E-2</v>
      </c>
    </row>
    <row r="168" spans="1:8" ht="13.5" x14ac:dyDescent="0.25">
      <c r="A168" s="1"/>
      <c r="B168" s="3">
        <v>42542</v>
      </c>
      <c r="C168" s="4">
        <v>148.54</v>
      </c>
      <c r="D168" s="4">
        <v>80.336699999999993</v>
      </c>
      <c r="E168" s="4">
        <v>1</v>
      </c>
      <c r="F168" s="4"/>
      <c r="G168" s="4"/>
      <c r="H168" s="5">
        <f t="shared" si="2"/>
        <v>2.9953730947188634E-2</v>
      </c>
    </row>
    <row r="169" spans="1:8" ht="13.5" x14ac:dyDescent="0.25">
      <c r="A169" s="1"/>
      <c r="B169" s="3">
        <v>42543</v>
      </c>
      <c r="C169" s="4">
        <v>148.54</v>
      </c>
      <c r="D169" s="4">
        <v>80.336699999999993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148</v>
      </c>
      <c r="D170" s="4">
        <v>80.044700000000006</v>
      </c>
      <c r="E170" s="4">
        <v>230</v>
      </c>
      <c r="F170" s="4"/>
      <c r="G170" s="4"/>
      <c r="H170" s="5">
        <f t="shared" si="2"/>
        <v>-3.6347024460799036E-3</v>
      </c>
    </row>
    <row r="171" spans="1:8" ht="13.5" x14ac:dyDescent="0.25">
      <c r="A171" s="1"/>
      <c r="B171" s="3">
        <v>42545</v>
      </c>
      <c r="C171" s="4">
        <v>148</v>
      </c>
      <c r="D171" s="4">
        <v>80.044700000000006</v>
      </c>
      <c r="E171" s="4">
        <v>1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148</v>
      </c>
      <c r="D172" s="4">
        <v>80.044700000000006</v>
      </c>
      <c r="E172" s="4">
        <v>7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148</v>
      </c>
      <c r="D173" s="4">
        <v>80.044700000000006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148</v>
      </c>
      <c r="D174" s="4">
        <v>80.044700000000006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148</v>
      </c>
      <c r="D175" s="4">
        <v>80.044700000000006</v>
      </c>
      <c r="E175" s="4">
        <v>0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148</v>
      </c>
      <c r="D176" s="4">
        <v>80.044700000000006</v>
      </c>
      <c r="E176" s="4">
        <v>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141.34</v>
      </c>
      <c r="D177" s="4">
        <v>76.442700000000002</v>
      </c>
      <c r="E177" s="4">
        <v>9</v>
      </c>
      <c r="F177" s="4"/>
      <c r="G177" s="4"/>
      <c r="H177" s="5">
        <f t="shared" si="2"/>
        <v>-4.4999856330275506E-2</v>
      </c>
    </row>
    <row r="178" spans="1:8" ht="13.5" x14ac:dyDescent="0.25">
      <c r="A178" s="1"/>
      <c r="B178" s="3">
        <v>42559</v>
      </c>
      <c r="C178" s="4">
        <v>141.34</v>
      </c>
      <c r="D178" s="4">
        <v>76.442700000000002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141.34</v>
      </c>
      <c r="D179" s="4">
        <v>76.442700000000002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141.34</v>
      </c>
      <c r="D180" s="4">
        <v>76.442700000000002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141.34</v>
      </c>
      <c r="D181" s="4">
        <v>76.442700000000002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42565</v>
      </c>
      <c r="C182" s="4">
        <v>141.34</v>
      </c>
      <c r="D182" s="4">
        <v>76.442700000000002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141.34</v>
      </c>
      <c r="D183" s="4">
        <v>76.442700000000002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141.34</v>
      </c>
      <c r="D184" s="4">
        <v>76.442700000000002</v>
      </c>
      <c r="E184" s="4">
        <v>0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138</v>
      </c>
      <c r="D185" s="4">
        <v>74.636300000000006</v>
      </c>
      <c r="E185" s="4">
        <v>20</v>
      </c>
      <c r="F185" s="4"/>
      <c r="G185" s="4"/>
      <c r="H185" s="5">
        <f t="shared" si="2"/>
        <v>-2.363077180685659E-2</v>
      </c>
    </row>
    <row r="186" spans="1:8" ht="13.5" x14ac:dyDescent="0.25">
      <c r="A186" s="1"/>
      <c r="B186" s="3">
        <v>42571</v>
      </c>
      <c r="C186" s="4">
        <v>138</v>
      </c>
      <c r="D186" s="4">
        <v>74.636300000000006</v>
      </c>
      <c r="E186" s="4">
        <v>10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138</v>
      </c>
      <c r="D187" s="4">
        <v>74.636300000000006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137.1</v>
      </c>
      <c r="D188" s="4">
        <v>74.149500000000003</v>
      </c>
      <c r="E188" s="4">
        <v>13</v>
      </c>
      <c r="F188" s="4"/>
      <c r="G188" s="4"/>
      <c r="H188" s="5">
        <f t="shared" si="2"/>
        <v>-6.5222954514090638E-3</v>
      </c>
    </row>
    <row r="189" spans="1:8" ht="13.5" x14ac:dyDescent="0.25">
      <c r="A189" s="1"/>
      <c r="B189" s="3">
        <v>42577</v>
      </c>
      <c r="C189" s="4">
        <v>137.1</v>
      </c>
      <c r="D189" s="4">
        <v>74.149500000000003</v>
      </c>
      <c r="E189" s="4">
        <v>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137.1</v>
      </c>
      <c r="D190" s="4">
        <v>74.149500000000003</v>
      </c>
      <c r="E190" s="4">
        <v>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137.1</v>
      </c>
      <c r="D191" s="4">
        <v>74.149500000000003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137.1</v>
      </c>
      <c r="D192" s="4">
        <v>74.149500000000003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137.1</v>
      </c>
      <c r="D193" s="4">
        <v>74.149500000000003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137.1</v>
      </c>
      <c r="D194" s="4">
        <v>74.149500000000003</v>
      </c>
      <c r="E194" s="4">
        <v>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137</v>
      </c>
      <c r="D195" s="4">
        <v>74.095399999999998</v>
      </c>
      <c r="E195" s="4">
        <v>35</v>
      </c>
      <c r="F195" s="4"/>
      <c r="G195" s="4"/>
      <c r="H195" s="5">
        <f t="shared" si="2"/>
        <v>-7.2960707759331302E-4</v>
      </c>
    </row>
    <row r="196" spans="1:8" ht="13.5" x14ac:dyDescent="0.25">
      <c r="A196" s="1"/>
      <c r="B196" s="3">
        <v>42586</v>
      </c>
      <c r="C196" s="4">
        <v>137</v>
      </c>
      <c r="D196" s="4">
        <v>74.095399999999998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137</v>
      </c>
      <c r="D197" s="4">
        <v>74.095399999999998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137</v>
      </c>
      <c r="D198" s="4">
        <v>74.095399999999998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137</v>
      </c>
      <c r="D199" s="4">
        <v>74.095399999999998</v>
      </c>
      <c r="E199" s="4">
        <v>0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137</v>
      </c>
      <c r="D200" s="4">
        <v>74.095399999999998</v>
      </c>
      <c r="E200" s="4">
        <v>1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137</v>
      </c>
      <c r="D201" s="4">
        <v>74.095399999999998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137</v>
      </c>
      <c r="D202" s="4">
        <v>74.095399999999998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137</v>
      </c>
      <c r="D203" s="4">
        <v>74.095399999999998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137.88999999999999</v>
      </c>
      <c r="D204" s="4">
        <v>74.576800000000006</v>
      </c>
      <c r="E204" s="4">
        <v>21</v>
      </c>
      <c r="F204" s="4"/>
      <c r="G204" s="4"/>
      <c r="H204" s="5">
        <f t="shared" si="3"/>
        <v>6.4970295052055567E-3</v>
      </c>
    </row>
    <row r="205" spans="1:8" ht="13.5" x14ac:dyDescent="0.25">
      <c r="A205" s="1"/>
      <c r="B205" s="3">
        <v>42599</v>
      </c>
      <c r="C205" s="4">
        <v>137.88999999999999</v>
      </c>
      <c r="D205" s="4">
        <v>74.576800000000006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137.88</v>
      </c>
      <c r="D206" s="4">
        <v>74.571399999999997</v>
      </c>
      <c r="E206" s="4">
        <v>1</v>
      </c>
      <c r="F206" s="4"/>
      <c r="G206" s="4"/>
      <c r="H206" s="5">
        <f t="shared" si="3"/>
        <v>-7.2408577466567757E-5</v>
      </c>
    </row>
    <row r="207" spans="1:8" ht="13.5" x14ac:dyDescent="0.25">
      <c r="A207" s="1"/>
      <c r="B207" s="3">
        <v>42601</v>
      </c>
      <c r="C207" s="4">
        <v>137.88</v>
      </c>
      <c r="D207" s="4">
        <v>74.571399999999997</v>
      </c>
      <c r="E207" s="4">
        <v>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137.88</v>
      </c>
      <c r="D208" s="4">
        <v>74.571399999999997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137.88</v>
      </c>
      <c r="D209" s="4">
        <v>74.571399999999997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137.88</v>
      </c>
      <c r="D210" s="4">
        <v>74.571399999999997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136</v>
      </c>
      <c r="D211" s="4">
        <v>73.554599999999994</v>
      </c>
      <c r="E211" s="4">
        <v>27</v>
      </c>
      <c r="F211" s="4"/>
      <c r="G211" s="4"/>
      <c r="H211" s="5">
        <f t="shared" si="3"/>
        <v>-1.3635254266380991E-2</v>
      </c>
    </row>
    <row r="212" spans="1:8" ht="13.5" x14ac:dyDescent="0.25">
      <c r="A212" s="1"/>
      <c r="B212" s="3">
        <v>42608</v>
      </c>
      <c r="C212" s="4">
        <v>136</v>
      </c>
      <c r="D212" s="4">
        <v>73.554599999999994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136</v>
      </c>
      <c r="D213" s="4">
        <v>73.554599999999994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136</v>
      </c>
      <c r="D214" s="4">
        <v>73.554599999999994</v>
      </c>
      <c r="E214" s="4">
        <v>0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136</v>
      </c>
      <c r="D215" s="4">
        <v>73.554599999999994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134.11000000000001</v>
      </c>
      <c r="D216" s="4">
        <v>72.532399999999996</v>
      </c>
      <c r="E216" s="4">
        <v>8</v>
      </c>
      <c r="F216" s="4"/>
      <c r="G216" s="4"/>
      <c r="H216" s="5">
        <f t="shared" si="3"/>
        <v>-1.3897159389079651E-2</v>
      </c>
    </row>
    <row r="217" spans="1:8" ht="13.5" x14ac:dyDescent="0.25">
      <c r="A217" s="1"/>
      <c r="B217" s="3">
        <v>42615</v>
      </c>
      <c r="C217" s="4">
        <v>134.11000000000001</v>
      </c>
      <c r="D217" s="4">
        <v>72.532399999999996</v>
      </c>
      <c r="E217" s="4">
        <v>2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129.47999999999999</v>
      </c>
      <c r="D218" s="4">
        <v>70.028300000000002</v>
      </c>
      <c r="E218" s="4">
        <v>0</v>
      </c>
      <c r="F218" s="4"/>
      <c r="G218" s="4"/>
      <c r="H218" s="5">
        <f t="shared" si="3"/>
        <v>-3.4523881741125265E-2</v>
      </c>
    </row>
    <row r="219" spans="1:8" ht="13.5" x14ac:dyDescent="0.25">
      <c r="A219" s="1"/>
      <c r="B219" s="3">
        <v>42619</v>
      </c>
      <c r="C219" s="4">
        <v>129.47999999999999</v>
      </c>
      <c r="D219" s="4">
        <v>72.5381</v>
      </c>
      <c r="E219" s="4">
        <v>0</v>
      </c>
      <c r="F219" s="4"/>
      <c r="G219" s="4"/>
      <c r="H219" s="5">
        <f t="shared" si="3"/>
        <v>3.5839796196680464E-2</v>
      </c>
    </row>
    <row r="220" spans="1:8" ht="13.5" x14ac:dyDescent="0.25">
      <c r="A220" s="1"/>
      <c r="B220" s="3">
        <v>42620</v>
      </c>
      <c r="C220" s="4">
        <v>129.47999999999999</v>
      </c>
      <c r="D220" s="4">
        <v>72.5381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129.47999999999999</v>
      </c>
      <c r="D221" s="4">
        <v>72.5381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129.47999999999999</v>
      </c>
      <c r="D222" s="4">
        <v>72.5381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129.47999999999999</v>
      </c>
      <c r="D223" s="4">
        <v>72.5381</v>
      </c>
      <c r="E223" s="4">
        <v>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129.47999999999999</v>
      </c>
      <c r="D224" s="4">
        <v>72.5381</v>
      </c>
      <c r="E224" s="4">
        <v>0</v>
      </c>
      <c r="F224" s="4"/>
      <c r="G224" s="4"/>
      <c r="H224" s="5">
        <f t="shared" si="3"/>
        <v>0</v>
      </c>
    </row>
    <row r="225" spans="1:8" ht="13.5" x14ac:dyDescent="0.25">
      <c r="A225" s="1"/>
      <c r="B225" s="3">
        <v>42629</v>
      </c>
      <c r="C225" s="4">
        <v>129.47999999999999</v>
      </c>
      <c r="D225" s="4">
        <v>72.5381</v>
      </c>
      <c r="E225" s="4">
        <v>0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129.47999999999999</v>
      </c>
      <c r="D226" s="4">
        <v>72.5381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129.47999999999999</v>
      </c>
      <c r="D227" s="4">
        <v>72.5381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126.51</v>
      </c>
      <c r="D228" s="4">
        <v>70.874200000000002</v>
      </c>
      <c r="E228" s="4">
        <v>45</v>
      </c>
      <c r="F228" s="4"/>
      <c r="G228" s="4"/>
      <c r="H228" s="5">
        <f t="shared" si="3"/>
        <v>-2.2938290360513966E-2</v>
      </c>
    </row>
    <row r="229" spans="1:8" ht="13.5" x14ac:dyDescent="0.25">
      <c r="A229" s="1"/>
      <c r="B229" s="3">
        <v>42635</v>
      </c>
      <c r="C229" s="4">
        <v>126.51</v>
      </c>
      <c r="D229" s="4">
        <v>70.874200000000002</v>
      </c>
      <c r="E229" s="4">
        <v>0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126.51</v>
      </c>
      <c r="D230" s="4">
        <v>70.874200000000002</v>
      </c>
      <c r="E230" s="4">
        <v>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126.51</v>
      </c>
      <c r="D231" s="4">
        <v>70.874200000000002</v>
      </c>
      <c r="E231" s="4">
        <v>0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126.51</v>
      </c>
      <c r="D232" s="4">
        <v>70.874200000000002</v>
      </c>
      <c r="E232" s="4">
        <v>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126.51</v>
      </c>
      <c r="D233" s="4">
        <v>70.874200000000002</v>
      </c>
      <c r="E233" s="4">
        <v>0</v>
      </c>
      <c r="F233" s="4"/>
      <c r="G233" s="4"/>
      <c r="H233" s="5">
        <f t="shared" si="3"/>
        <v>0</v>
      </c>
    </row>
    <row r="234" spans="1:8" ht="13.5" x14ac:dyDescent="0.25">
      <c r="A234" s="1"/>
      <c r="B234" s="3">
        <v>42642</v>
      </c>
      <c r="C234" s="4">
        <v>126.51</v>
      </c>
      <c r="D234" s="4">
        <v>70.874200000000002</v>
      </c>
      <c r="E234" s="4">
        <v>0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126.51</v>
      </c>
      <c r="D235" s="4">
        <v>70.874200000000002</v>
      </c>
      <c r="E235" s="4">
        <v>8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126.51</v>
      </c>
      <c r="D236" s="4">
        <v>70.874200000000002</v>
      </c>
      <c r="E236" s="4">
        <v>0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126.51</v>
      </c>
      <c r="D237" s="4">
        <v>70.874200000000002</v>
      </c>
      <c r="E237" s="4">
        <v>50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42649</v>
      </c>
      <c r="C238" s="4">
        <v>126.51</v>
      </c>
      <c r="D238" s="4">
        <v>70.874200000000002</v>
      </c>
      <c r="E238" s="4">
        <v>0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126.5</v>
      </c>
      <c r="D239" s="4">
        <v>70.868600000000001</v>
      </c>
      <c r="E239" s="4">
        <v>20</v>
      </c>
      <c r="F239" s="4"/>
      <c r="G239" s="4"/>
      <c r="H239" s="5">
        <f t="shared" si="3"/>
        <v>-7.901323753920552E-5</v>
      </c>
    </row>
    <row r="240" spans="1:8" ht="13.5" x14ac:dyDescent="0.25">
      <c r="A240" s="1"/>
      <c r="B240" s="3">
        <v>42653</v>
      </c>
      <c r="C240" s="4">
        <v>126.5</v>
      </c>
      <c r="D240" s="4">
        <v>70.868600000000001</v>
      </c>
      <c r="E240" s="4">
        <v>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124.6</v>
      </c>
      <c r="D241" s="4">
        <v>69.804199999999994</v>
      </c>
      <c r="E241" s="4">
        <v>2</v>
      </c>
      <c r="F241" s="4"/>
      <c r="G241" s="4"/>
      <c r="H241" s="5">
        <f t="shared" si="3"/>
        <v>-1.5019345662253892E-2</v>
      </c>
    </row>
    <row r="242" spans="1:8" ht="13.5" x14ac:dyDescent="0.25">
      <c r="A242" s="1"/>
      <c r="B242" s="3">
        <v>42655</v>
      </c>
      <c r="C242" s="4">
        <v>124.6</v>
      </c>
      <c r="D242" s="4">
        <v>69.804199999999994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124.6</v>
      </c>
      <c r="D243" s="4">
        <v>69.804199999999994</v>
      </c>
      <c r="E243" s="4">
        <v>6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124.6</v>
      </c>
      <c r="D244" s="4">
        <v>69.804199999999994</v>
      </c>
      <c r="E244" s="4">
        <v>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122.7</v>
      </c>
      <c r="D245" s="4">
        <v>68.739800000000002</v>
      </c>
      <c r="E245" s="4">
        <v>1</v>
      </c>
      <c r="F245" s="4"/>
      <c r="G245" s="4"/>
      <c r="H245" s="5">
        <f t="shared" si="3"/>
        <v>-1.5248366144157402E-2</v>
      </c>
    </row>
    <row r="246" spans="1:8" ht="13.5" x14ac:dyDescent="0.25">
      <c r="A246" s="1"/>
      <c r="B246" s="3">
        <v>42661</v>
      </c>
      <c r="C246" s="4">
        <v>122.7</v>
      </c>
      <c r="D246" s="4">
        <v>68.739800000000002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122.7</v>
      </c>
      <c r="D247" s="4">
        <v>68.739800000000002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122.7</v>
      </c>
      <c r="D248" s="4">
        <v>68.739800000000002</v>
      </c>
      <c r="E248" s="4">
        <v>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119.9</v>
      </c>
      <c r="D249" s="4">
        <v>67.171099999999996</v>
      </c>
      <c r="E249" s="4">
        <v>1</v>
      </c>
      <c r="F249" s="4"/>
      <c r="G249" s="4"/>
      <c r="H249" s="5">
        <f t="shared" si="3"/>
        <v>-2.2820840328310627E-2</v>
      </c>
    </row>
    <row r="250" spans="1:8" ht="13.5" x14ac:dyDescent="0.25">
      <c r="A250" s="1"/>
      <c r="B250" s="3">
        <v>42667</v>
      </c>
      <c r="C250" s="4">
        <v>122.7</v>
      </c>
      <c r="D250" s="4">
        <v>68.739800000000002</v>
      </c>
      <c r="E250" s="4">
        <v>1</v>
      </c>
      <c r="F250" s="4"/>
      <c r="G250" s="4"/>
      <c r="H250" s="5">
        <f t="shared" si="3"/>
        <v>2.3353793521321029E-2</v>
      </c>
    </row>
    <row r="251" spans="1:8" ht="13.5" x14ac:dyDescent="0.25">
      <c r="A251" s="1"/>
      <c r="B251" s="3">
        <v>42668</v>
      </c>
      <c r="C251" s="4">
        <v>120</v>
      </c>
      <c r="D251" s="4">
        <v>67.227199999999996</v>
      </c>
      <c r="E251" s="4">
        <v>1</v>
      </c>
      <c r="F251" s="4"/>
      <c r="G251" s="4"/>
      <c r="H251" s="5">
        <f t="shared" si="3"/>
        <v>-2.2004719245619076E-2</v>
      </c>
    </row>
    <row r="252" spans="1:8" ht="13.5" x14ac:dyDescent="0.25">
      <c r="A252" s="1"/>
      <c r="B252" s="3">
        <v>42669</v>
      </c>
      <c r="C252" s="4">
        <v>120</v>
      </c>
      <c r="D252" s="4">
        <v>67.227199999999996</v>
      </c>
      <c r="E252" s="4">
        <v>9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123.6</v>
      </c>
      <c r="D253" s="4">
        <v>69.244</v>
      </c>
      <c r="E253" s="4">
        <v>26</v>
      </c>
      <c r="F253" s="4"/>
      <c r="G253" s="4"/>
      <c r="H253" s="5">
        <f t="shared" si="3"/>
        <v>2.9999762001094849E-2</v>
      </c>
    </row>
    <row r="254" spans="1:8" ht="13.5" x14ac:dyDescent="0.25">
      <c r="A254" s="1"/>
      <c r="B254" s="3">
        <v>42671</v>
      </c>
      <c r="C254" s="4">
        <v>126.5</v>
      </c>
      <c r="D254" s="4">
        <v>70.868600000000001</v>
      </c>
      <c r="E254" s="4">
        <v>1</v>
      </c>
      <c r="F254" s="4"/>
      <c r="G254" s="4"/>
      <c r="H254" s="5">
        <f t="shared" si="3"/>
        <v>2.3461960603084756E-2</v>
      </c>
    </row>
    <row r="255" spans="1:8" ht="13.5" x14ac:dyDescent="0.25">
      <c r="A255" s="1"/>
      <c r="B255" s="3">
        <v>42674</v>
      </c>
      <c r="C255" s="4">
        <v>126.5</v>
      </c>
      <c r="D255" s="4">
        <v>70.868600000000001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126.5</v>
      </c>
      <c r="D256" s="4">
        <v>70.868600000000001</v>
      </c>
      <c r="E256" s="4">
        <v>40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130</v>
      </c>
      <c r="D257" s="4">
        <v>72.829400000000007</v>
      </c>
      <c r="E257" s="4">
        <v>185</v>
      </c>
      <c r="F257" s="4"/>
      <c r="G257" s="4"/>
      <c r="H257" s="5">
        <f t="shared" si="3"/>
        <v>2.7668106890781051E-2</v>
      </c>
    </row>
    <row r="258" spans="1:8" ht="13.5" x14ac:dyDescent="0.25">
      <c r="A258" s="1"/>
      <c r="B258" s="3">
        <v>42677</v>
      </c>
      <c r="C258" s="4">
        <v>133.91</v>
      </c>
      <c r="D258" s="4">
        <v>75.019900000000007</v>
      </c>
      <c r="E258" s="4">
        <v>118</v>
      </c>
      <c r="F258" s="4"/>
      <c r="G258" s="4"/>
      <c r="H258" s="5">
        <f t="shared" si="3"/>
        <v>3.0077139177310259E-2</v>
      </c>
    </row>
    <row r="259" spans="1:8" ht="13.5" x14ac:dyDescent="0.25">
      <c r="A259" s="1"/>
      <c r="B259" s="3">
        <v>42678</v>
      </c>
      <c r="C259" s="4">
        <v>141.07</v>
      </c>
      <c r="D259" s="4">
        <v>79.031099999999995</v>
      </c>
      <c r="E259" s="4">
        <v>16</v>
      </c>
      <c r="F259" s="4"/>
      <c r="G259" s="4"/>
      <c r="H259" s="5">
        <f t="shared" si="3"/>
        <v>5.3468479696720306E-2</v>
      </c>
    </row>
    <row r="260" spans="1:8" ht="13.5" x14ac:dyDescent="0.25">
      <c r="A260" s="1"/>
      <c r="B260" s="3">
        <v>42681</v>
      </c>
      <c r="C260" s="4">
        <v>147.41</v>
      </c>
      <c r="D260" s="4">
        <v>82.582999999999998</v>
      </c>
      <c r="E260" s="4">
        <v>138</v>
      </c>
      <c r="F260" s="4"/>
      <c r="G260" s="4"/>
      <c r="H260" s="5">
        <f t="shared" si="3"/>
        <v>4.4943066716773568E-2</v>
      </c>
    </row>
    <row r="261" spans="1:8" ht="13.5" x14ac:dyDescent="0.25">
      <c r="A261" s="1"/>
      <c r="B261" s="3">
        <v>42682</v>
      </c>
      <c r="C261" s="4">
        <v>149</v>
      </c>
      <c r="D261" s="4">
        <v>83.473699999999994</v>
      </c>
      <c r="E261" s="4">
        <v>144</v>
      </c>
      <c r="F261" s="4"/>
      <c r="G261" s="4"/>
      <c r="H261" s="5">
        <f t="shared" si="3"/>
        <v>1.0785512756862736E-2</v>
      </c>
    </row>
    <row r="262" spans="1:8" ht="13.5" x14ac:dyDescent="0.25">
      <c r="A262" s="1"/>
      <c r="B262" s="3">
        <v>42683</v>
      </c>
      <c r="C262" s="4">
        <v>149.01</v>
      </c>
      <c r="D262" s="4">
        <v>83.479299999999995</v>
      </c>
      <c r="E262" s="4">
        <v>15</v>
      </c>
      <c r="F262" s="4"/>
      <c r="G262" s="4"/>
      <c r="H262" s="5">
        <f t="shared" si="3"/>
        <v>6.7086998659471905E-5</v>
      </c>
    </row>
    <row r="263" spans="1:8" ht="13.5" x14ac:dyDescent="0.25">
      <c r="A263" s="1"/>
      <c r="B263" s="3">
        <v>42684</v>
      </c>
      <c r="C263" s="4">
        <v>153.44</v>
      </c>
      <c r="D263" s="4">
        <v>85.961100000000002</v>
      </c>
      <c r="E263" s="4">
        <v>79</v>
      </c>
      <c r="F263" s="4"/>
      <c r="G263" s="4"/>
      <c r="H263" s="5">
        <f t="shared" ref="H263:H326" si="4">(D263-D262)/D262</f>
        <v>2.9729525762674184E-2</v>
      </c>
    </row>
    <row r="264" spans="1:8" ht="13.5" x14ac:dyDescent="0.25">
      <c r="A264" s="1"/>
      <c r="B264" s="3">
        <v>42685</v>
      </c>
      <c r="C264" s="4">
        <v>153.43</v>
      </c>
      <c r="D264" s="4">
        <v>85.955500000000001</v>
      </c>
      <c r="E264" s="4">
        <v>8</v>
      </c>
      <c r="F264" s="4"/>
      <c r="G264" s="4"/>
      <c r="H264" s="5">
        <f t="shared" si="4"/>
        <v>-6.5145746157286959E-5</v>
      </c>
    </row>
    <row r="265" spans="1:8" ht="13.5" x14ac:dyDescent="0.25">
      <c r="A265" s="1"/>
      <c r="B265" s="3">
        <v>42688</v>
      </c>
      <c r="C265" s="4">
        <v>153.43</v>
      </c>
      <c r="D265" s="4">
        <v>85.955500000000001</v>
      </c>
      <c r="E265" s="4">
        <v>0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153.43</v>
      </c>
      <c r="D266" s="4">
        <v>85.955500000000001</v>
      </c>
      <c r="E266" s="4">
        <v>0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153.43</v>
      </c>
      <c r="D267" s="4">
        <v>85.955500000000001</v>
      </c>
      <c r="E267" s="4">
        <v>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149.1</v>
      </c>
      <c r="D268" s="4">
        <v>83.529700000000005</v>
      </c>
      <c r="E268" s="4">
        <v>6</v>
      </c>
      <c r="F268" s="4"/>
      <c r="G268" s="4"/>
      <c r="H268" s="5">
        <f t="shared" si="4"/>
        <v>-2.8221579770927926E-2</v>
      </c>
    </row>
    <row r="269" spans="1:8" ht="13.5" x14ac:dyDescent="0.25">
      <c r="A269" s="1"/>
      <c r="B269" s="3">
        <v>42692</v>
      </c>
      <c r="C269" s="4">
        <v>149</v>
      </c>
      <c r="D269" s="4">
        <v>83.473699999999994</v>
      </c>
      <c r="E269" s="4">
        <v>17</v>
      </c>
      <c r="F269" s="4"/>
      <c r="G269" s="4"/>
      <c r="H269" s="5">
        <f t="shared" si="4"/>
        <v>-6.7042022178951429E-4</v>
      </c>
    </row>
    <row r="270" spans="1:8" ht="13.5" x14ac:dyDescent="0.25">
      <c r="A270" s="1"/>
      <c r="B270" s="3">
        <v>42695</v>
      </c>
      <c r="C270" s="4">
        <v>149</v>
      </c>
      <c r="D270" s="4">
        <v>83.473699999999994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149.01</v>
      </c>
      <c r="D271" s="4">
        <v>83.479299999999995</v>
      </c>
      <c r="E271" s="4">
        <v>5</v>
      </c>
      <c r="F271" s="4"/>
      <c r="G271" s="4"/>
      <c r="H271" s="5">
        <f t="shared" si="4"/>
        <v>6.7086998659471905E-5</v>
      </c>
    </row>
    <row r="272" spans="1:8" ht="13.5" x14ac:dyDescent="0.25">
      <c r="A272" s="1"/>
      <c r="B272" s="3">
        <v>42697</v>
      </c>
      <c r="C272" s="4">
        <v>149.01</v>
      </c>
      <c r="D272" s="4">
        <v>83.479299999999995</v>
      </c>
      <c r="E272" s="4">
        <v>6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149.01</v>
      </c>
      <c r="D273" s="4">
        <v>83.479299999999995</v>
      </c>
      <c r="E273" s="4">
        <v>2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149.01</v>
      </c>
      <c r="D274" s="4">
        <v>83.479299999999995</v>
      </c>
      <c r="E274" s="4">
        <v>1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149.01</v>
      </c>
      <c r="D275" s="4">
        <v>83.479299999999995</v>
      </c>
      <c r="E275" s="4">
        <v>16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149.01</v>
      </c>
      <c r="D276" s="4">
        <v>83.479299999999995</v>
      </c>
      <c r="E276" s="4">
        <v>6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148.99</v>
      </c>
      <c r="D277" s="4">
        <v>83.468100000000007</v>
      </c>
      <c r="E277" s="4">
        <v>11</v>
      </c>
      <c r="F277" s="4"/>
      <c r="G277" s="4"/>
      <c r="H277" s="5">
        <f t="shared" si="4"/>
        <v>-1.3416499659182706E-4</v>
      </c>
    </row>
    <row r="278" spans="1:8" ht="13.5" x14ac:dyDescent="0.25">
      <c r="A278" s="1"/>
      <c r="B278" s="3">
        <v>42705</v>
      </c>
      <c r="C278" s="4">
        <v>144.53</v>
      </c>
      <c r="D278" s="4">
        <v>80.969499999999996</v>
      </c>
      <c r="E278" s="4">
        <v>0</v>
      </c>
      <c r="F278" s="4"/>
      <c r="G278" s="4"/>
      <c r="H278" s="5">
        <f t="shared" si="4"/>
        <v>-2.9934789458487855E-2</v>
      </c>
    </row>
    <row r="279" spans="1:8" ht="13.5" x14ac:dyDescent="0.25">
      <c r="A279" s="1"/>
      <c r="B279" s="3">
        <v>42706</v>
      </c>
      <c r="C279" s="4">
        <v>144.53</v>
      </c>
      <c r="D279" s="4">
        <v>80.969499999999996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144.53</v>
      </c>
      <c r="D280" s="4">
        <v>80.969499999999996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144.53</v>
      </c>
      <c r="D281" s="4">
        <v>80.969499999999996</v>
      </c>
      <c r="E281" s="4">
        <v>0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144.53</v>
      </c>
      <c r="D282" s="4">
        <v>80.969499999999996</v>
      </c>
      <c r="E282" s="4">
        <v>0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144.53</v>
      </c>
      <c r="D283" s="4">
        <v>80.969499999999996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144.53</v>
      </c>
      <c r="D284" s="4">
        <v>80.969499999999996</v>
      </c>
      <c r="E284" s="4">
        <v>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144.53</v>
      </c>
      <c r="D285" s="4">
        <v>80.969499999999996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144.53</v>
      </c>
      <c r="D286" s="4">
        <v>80.969499999999996</v>
      </c>
      <c r="E286" s="4">
        <v>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144.53</v>
      </c>
      <c r="D287" s="4">
        <v>80.969499999999996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137.74</v>
      </c>
      <c r="D288" s="4">
        <v>77.165599999999998</v>
      </c>
      <c r="E288" s="4">
        <v>6</v>
      </c>
      <c r="F288" s="4"/>
      <c r="G288" s="4"/>
      <c r="H288" s="5">
        <f t="shared" si="4"/>
        <v>-4.697941817597983E-2</v>
      </c>
    </row>
    <row r="289" spans="1:8" ht="13.5" x14ac:dyDescent="0.25">
      <c r="A289" s="1"/>
      <c r="B289" s="3">
        <v>42723</v>
      </c>
      <c r="C289" s="4">
        <v>140</v>
      </c>
      <c r="D289" s="4">
        <v>78.431700000000006</v>
      </c>
      <c r="E289" s="4">
        <v>11</v>
      </c>
      <c r="F289" s="4"/>
      <c r="G289" s="4"/>
      <c r="H289" s="5">
        <f t="shared" si="4"/>
        <v>1.6407570212633723E-2</v>
      </c>
    </row>
    <row r="290" spans="1:8" ht="13.5" x14ac:dyDescent="0.25">
      <c r="A290" s="1"/>
      <c r="B290" s="3">
        <v>42724</v>
      </c>
      <c r="C290" s="4">
        <v>140</v>
      </c>
      <c r="D290" s="4">
        <v>78.431700000000006</v>
      </c>
      <c r="E290" s="4">
        <v>5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140</v>
      </c>
      <c r="D291" s="4">
        <v>78.431700000000006</v>
      </c>
      <c r="E291" s="4">
        <v>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137</v>
      </c>
      <c r="D292" s="4">
        <v>76.751000000000005</v>
      </c>
      <c r="E292" s="4">
        <v>35</v>
      </c>
      <c r="F292" s="4"/>
      <c r="G292" s="4"/>
      <c r="H292" s="5">
        <f t="shared" si="4"/>
        <v>-2.1428835534611661E-2</v>
      </c>
    </row>
    <row r="293" spans="1:8" ht="13.5" x14ac:dyDescent="0.25">
      <c r="A293" s="1"/>
      <c r="B293" s="3">
        <v>42727</v>
      </c>
      <c r="C293" s="4">
        <v>138.97999999999999</v>
      </c>
      <c r="D293" s="4">
        <v>77.860299999999995</v>
      </c>
      <c r="E293" s="4">
        <v>1</v>
      </c>
      <c r="F293" s="4"/>
      <c r="G293" s="4"/>
      <c r="H293" s="5">
        <f t="shared" si="4"/>
        <v>1.4453231879714796E-2</v>
      </c>
    </row>
    <row r="294" spans="1:8" ht="13.5" x14ac:dyDescent="0.25">
      <c r="A294" s="1"/>
      <c r="B294" s="3">
        <v>42730</v>
      </c>
      <c r="C294" s="4">
        <v>138.97999999999999</v>
      </c>
      <c r="D294" s="4">
        <v>77.860299999999995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138.97</v>
      </c>
      <c r="D295" s="4">
        <v>77.854699999999994</v>
      </c>
      <c r="E295" s="4">
        <v>40</v>
      </c>
      <c r="F295" s="4"/>
      <c r="G295" s="4"/>
      <c r="H295" s="5">
        <f t="shared" si="4"/>
        <v>-7.1923688966021965E-5</v>
      </c>
    </row>
    <row r="296" spans="1:8" ht="13.5" x14ac:dyDescent="0.25">
      <c r="A296" s="1"/>
      <c r="B296" s="3">
        <v>42732</v>
      </c>
      <c r="C296" s="4">
        <v>138.97</v>
      </c>
      <c r="D296" s="4">
        <v>77.854699999999994</v>
      </c>
      <c r="E296" s="4">
        <v>0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42733</v>
      </c>
      <c r="C297" s="4">
        <v>136.9</v>
      </c>
      <c r="D297" s="4">
        <v>76.694999999999993</v>
      </c>
      <c r="E297" s="4">
        <v>10</v>
      </c>
      <c r="F297" s="4"/>
      <c r="G297" s="4"/>
      <c r="H297" s="5">
        <f t="shared" si="4"/>
        <v>-1.4895696727365218E-2</v>
      </c>
    </row>
    <row r="298" spans="1:8" ht="13.5" x14ac:dyDescent="0.25">
      <c r="A298" s="1"/>
      <c r="B298" s="3">
        <v>42734</v>
      </c>
      <c r="C298" s="4">
        <v>136.9</v>
      </c>
      <c r="D298" s="4">
        <v>76.694999999999993</v>
      </c>
      <c r="E298" s="4">
        <v>0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136.9</v>
      </c>
      <c r="D299" s="4">
        <v>76.694999999999993</v>
      </c>
      <c r="E299" s="4">
        <v>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136.9</v>
      </c>
      <c r="D300" s="4">
        <v>76.694999999999993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138.6</v>
      </c>
      <c r="D301" s="4">
        <v>77.647400000000005</v>
      </c>
      <c r="E301" s="4">
        <v>15</v>
      </c>
      <c r="F301" s="4"/>
      <c r="G301" s="4"/>
      <c r="H301" s="5">
        <f t="shared" si="4"/>
        <v>1.2418019427602994E-2</v>
      </c>
    </row>
    <row r="302" spans="1:8" ht="13.5" x14ac:dyDescent="0.25">
      <c r="A302" s="1"/>
      <c r="B302" s="3">
        <v>42740</v>
      </c>
      <c r="C302" s="4">
        <v>138.6</v>
      </c>
      <c r="D302" s="4">
        <v>77.647400000000005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138.6</v>
      </c>
      <c r="D303" s="4">
        <v>77.647400000000005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138.6</v>
      </c>
      <c r="D304" s="4">
        <v>77.647400000000005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138.6</v>
      </c>
      <c r="D305" s="4">
        <v>77.647400000000005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138.6</v>
      </c>
      <c r="D306" s="4">
        <v>77.647400000000005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138.6</v>
      </c>
      <c r="D307" s="4">
        <v>77.647400000000005</v>
      </c>
      <c r="E307" s="4">
        <v>0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138.6</v>
      </c>
      <c r="D308" s="4">
        <v>77.647400000000005</v>
      </c>
      <c r="E308" s="4">
        <v>0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138.6</v>
      </c>
      <c r="D309" s="4">
        <v>77.647400000000005</v>
      </c>
      <c r="E309" s="4">
        <v>0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134.44999999999999</v>
      </c>
      <c r="D310" s="4">
        <v>75.322400000000002</v>
      </c>
      <c r="E310" s="4">
        <v>10</v>
      </c>
      <c r="F310" s="4"/>
      <c r="G310" s="4"/>
      <c r="H310" s="5">
        <f t="shared" si="4"/>
        <v>-2.9943050250233784E-2</v>
      </c>
    </row>
    <row r="311" spans="1:8" ht="13.5" x14ac:dyDescent="0.25">
      <c r="A311" s="1"/>
      <c r="B311" s="3">
        <v>42753</v>
      </c>
      <c r="C311" s="4">
        <v>130.41</v>
      </c>
      <c r="D311" s="4">
        <v>73.059100000000001</v>
      </c>
      <c r="E311" s="4">
        <v>8</v>
      </c>
      <c r="F311" s="4"/>
      <c r="G311" s="4"/>
      <c r="H311" s="5">
        <f t="shared" si="4"/>
        <v>-3.0048166282540135E-2</v>
      </c>
    </row>
    <row r="312" spans="1:8" ht="13.5" x14ac:dyDescent="0.25">
      <c r="A312" s="1"/>
      <c r="B312" s="3">
        <v>42754</v>
      </c>
      <c r="C312" s="4">
        <v>130.41</v>
      </c>
      <c r="D312" s="4">
        <v>73.059100000000001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130.41</v>
      </c>
      <c r="D313" s="4">
        <v>73.059100000000001</v>
      </c>
      <c r="E313" s="4">
        <v>0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130.41</v>
      </c>
      <c r="D314" s="4">
        <v>73.059100000000001</v>
      </c>
      <c r="E314" s="4">
        <v>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130.41</v>
      </c>
      <c r="D315" s="4">
        <v>73.059100000000001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130</v>
      </c>
      <c r="D316" s="4">
        <v>72.829400000000007</v>
      </c>
      <c r="E316" s="4">
        <v>9</v>
      </c>
      <c r="F316" s="4"/>
      <c r="G316" s="4"/>
      <c r="H316" s="5">
        <f t="shared" si="4"/>
        <v>-3.1440299702568744E-3</v>
      </c>
    </row>
    <row r="317" spans="1:8" ht="13.5" x14ac:dyDescent="0.25">
      <c r="A317" s="1"/>
      <c r="B317" s="3">
        <v>42761</v>
      </c>
      <c r="C317" s="4">
        <v>130</v>
      </c>
      <c r="D317" s="4">
        <v>72.829400000000007</v>
      </c>
      <c r="E317" s="4">
        <v>35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127.4</v>
      </c>
      <c r="D318" s="4">
        <v>71.372799999999998</v>
      </c>
      <c r="E318" s="4">
        <v>3</v>
      </c>
      <c r="F318" s="4"/>
      <c r="G318" s="4"/>
      <c r="H318" s="5">
        <f t="shared" si="4"/>
        <v>-2.000016476862378E-2</v>
      </c>
    </row>
    <row r="319" spans="1:8" ht="13.5" x14ac:dyDescent="0.25">
      <c r="A319" s="1"/>
      <c r="B319" s="3">
        <v>42765</v>
      </c>
      <c r="C319" s="4">
        <v>127.4</v>
      </c>
      <c r="D319" s="4">
        <v>71.372799999999998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127.4</v>
      </c>
      <c r="D320" s="4">
        <v>71.372799999999998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128</v>
      </c>
      <c r="D321" s="4">
        <v>71.709000000000003</v>
      </c>
      <c r="E321" s="4">
        <v>18</v>
      </c>
      <c r="F321" s="4"/>
      <c r="G321" s="4"/>
      <c r="H321" s="5">
        <f t="shared" si="4"/>
        <v>4.7104779411765432E-3</v>
      </c>
    </row>
    <row r="322" spans="1:8" ht="13.5" x14ac:dyDescent="0.25">
      <c r="A322" s="1"/>
      <c r="B322" s="3">
        <v>42768</v>
      </c>
      <c r="C322" s="4">
        <v>128</v>
      </c>
      <c r="D322" s="4">
        <v>71.709000000000003</v>
      </c>
      <c r="E322" s="4">
        <v>67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128</v>
      </c>
      <c r="D323" s="4">
        <v>71.709000000000003</v>
      </c>
      <c r="E323" s="4">
        <v>16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128</v>
      </c>
      <c r="D324" s="4">
        <v>71.709000000000003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127.1</v>
      </c>
      <c r="D325" s="4">
        <v>71.204800000000006</v>
      </c>
      <c r="E325" s="4">
        <v>3</v>
      </c>
      <c r="F325" s="4"/>
      <c r="G325" s="4"/>
      <c r="H325" s="5">
        <f t="shared" si="4"/>
        <v>-7.0311955263634594E-3</v>
      </c>
    </row>
    <row r="326" spans="1:8" ht="13.5" x14ac:dyDescent="0.25">
      <c r="A326" s="1"/>
      <c r="B326" s="3">
        <v>42774</v>
      </c>
      <c r="C326" s="4">
        <v>127</v>
      </c>
      <c r="D326" s="4">
        <v>71.148700000000005</v>
      </c>
      <c r="E326" s="4">
        <v>2</v>
      </c>
      <c r="F326" s="4"/>
      <c r="G326" s="4"/>
      <c r="H326" s="5">
        <f t="shared" si="4"/>
        <v>-7.8786823360223884E-4</v>
      </c>
    </row>
    <row r="327" spans="1:8" ht="13.5" x14ac:dyDescent="0.25">
      <c r="A327" s="1"/>
      <c r="B327" s="3">
        <v>42775</v>
      </c>
      <c r="C327" s="4">
        <v>126.99</v>
      </c>
      <c r="D327" s="4">
        <v>71.143100000000004</v>
      </c>
      <c r="E327" s="4">
        <v>392</v>
      </c>
      <c r="F327" s="4"/>
      <c r="G327" s="4"/>
      <c r="H327" s="5">
        <f t="shared" ref="H327:H390" si="5">(D327-D326)/D326</f>
        <v>-7.870839523422296E-5</v>
      </c>
    </row>
    <row r="328" spans="1:8" ht="13.5" x14ac:dyDescent="0.25">
      <c r="A328" s="1"/>
      <c r="B328" s="3">
        <v>42776</v>
      </c>
      <c r="C328" s="4">
        <v>126.99</v>
      </c>
      <c r="D328" s="4">
        <v>71.143100000000004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123.5</v>
      </c>
      <c r="D329" s="4">
        <v>69.188000000000002</v>
      </c>
      <c r="E329" s="4">
        <v>2</v>
      </c>
      <c r="F329" s="4"/>
      <c r="G329" s="4"/>
      <c r="H329" s="5">
        <f t="shared" si="5"/>
        <v>-2.7481231489772044E-2</v>
      </c>
    </row>
    <row r="330" spans="1:8" ht="13.5" x14ac:dyDescent="0.25">
      <c r="A330" s="1"/>
      <c r="B330" s="3">
        <v>42780</v>
      </c>
      <c r="C330" s="4">
        <v>123.5</v>
      </c>
      <c r="D330" s="4">
        <v>69.188000000000002</v>
      </c>
      <c r="E330" s="4">
        <v>2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123.5</v>
      </c>
      <c r="D331" s="4">
        <v>69.188000000000002</v>
      </c>
      <c r="E331" s="4">
        <v>76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123.5</v>
      </c>
      <c r="D332" s="4">
        <v>69.188000000000002</v>
      </c>
      <c r="E332" s="4">
        <v>10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123</v>
      </c>
      <c r="D333" s="4">
        <v>68.907799999999995</v>
      </c>
      <c r="E333" s="4">
        <v>22</v>
      </c>
      <c r="F333" s="4"/>
      <c r="G333" s="4"/>
      <c r="H333" s="5">
        <f t="shared" si="5"/>
        <v>-4.0498352315431543E-3</v>
      </c>
    </row>
    <row r="334" spans="1:8" ht="13.5" x14ac:dyDescent="0.25">
      <c r="A334" s="1"/>
      <c r="B334" s="3">
        <v>42786</v>
      </c>
      <c r="C334" s="4">
        <v>123</v>
      </c>
      <c r="D334" s="4">
        <v>68.907799999999995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121</v>
      </c>
      <c r="D335" s="4">
        <v>67.787400000000005</v>
      </c>
      <c r="E335" s="4">
        <v>5</v>
      </c>
      <c r="F335" s="4"/>
      <c r="G335" s="4"/>
      <c r="H335" s="5">
        <f t="shared" si="5"/>
        <v>-1.6259407498135037E-2</v>
      </c>
    </row>
    <row r="336" spans="1:8" ht="13.5" x14ac:dyDescent="0.25">
      <c r="A336" s="1"/>
      <c r="B336" s="3">
        <v>42788</v>
      </c>
      <c r="C336" s="4">
        <v>121</v>
      </c>
      <c r="D336" s="4">
        <v>67.787400000000005</v>
      </c>
      <c r="E336" s="4">
        <v>25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121</v>
      </c>
      <c r="D337" s="4">
        <v>67.787400000000005</v>
      </c>
      <c r="E337" s="4">
        <v>3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120</v>
      </c>
      <c r="D338" s="4">
        <v>67.227199999999996</v>
      </c>
      <c r="E338" s="4">
        <v>106</v>
      </c>
      <c r="F338" s="4"/>
      <c r="G338" s="4"/>
      <c r="H338" s="5">
        <f t="shared" si="5"/>
        <v>-8.2640726742729317E-3</v>
      </c>
    </row>
    <row r="339" spans="1:8" ht="13.5" x14ac:dyDescent="0.25">
      <c r="A339" s="1"/>
      <c r="B339" s="3">
        <v>42793</v>
      </c>
      <c r="C339" s="4">
        <v>119.9</v>
      </c>
      <c r="D339" s="4">
        <v>67.171099999999996</v>
      </c>
      <c r="E339" s="4">
        <v>9</v>
      </c>
      <c r="F339" s="4"/>
      <c r="G339" s="4"/>
      <c r="H339" s="5">
        <f t="shared" si="5"/>
        <v>-8.3448366137516819E-4</v>
      </c>
    </row>
    <row r="340" spans="1:8" ht="13.5" x14ac:dyDescent="0.25">
      <c r="A340" s="1"/>
      <c r="B340" s="3">
        <v>42794</v>
      </c>
      <c r="C340" s="4">
        <v>120</v>
      </c>
      <c r="D340" s="4">
        <v>67.227199999999996</v>
      </c>
      <c r="E340" s="4">
        <v>25</v>
      </c>
      <c r="F340" s="4"/>
      <c r="G340" s="4"/>
      <c r="H340" s="5">
        <f t="shared" si="5"/>
        <v>8.3518060594512679E-4</v>
      </c>
    </row>
    <row r="341" spans="1:8" ht="13.5" x14ac:dyDescent="0.25">
      <c r="A341" s="1"/>
      <c r="B341" s="3">
        <v>42795</v>
      </c>
      <c r="C341" s="4">
        <v>120</v>
      </c>
      <c r="D341" s="4">
        <v>67.227199999999996</v>
      </c>
      <c r="E341" s="4">
        <v>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120</v>
      </c>
      <c r="D342" s="4">
        <v>67.227199999999996</v>
      </c>
      <c r="E342" s="4">
        <v>18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120</v>
      </c>
      <c r="D343" s="4">
        <v>67.227199999999996</v>
      </c>
      <c r="E343" s="4">
        <v>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120</v>
      </c>
      <c r="D344" s="4">
        <v>67.227199999999996</v>
      </c>
      <c r="E344" s="4">
        <v>85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120</v>
      </c>
      <c r="D345" s="4">
        <v>67.227199999999996</v>
      </c>
      <c r="E345" s="4">
        <v>15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120</v>
      </c>
      <c r="D346" s="4">
        <v>67.227199999999996</v>
      </c>
      <c r="E346" s="4">
        <v>15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120</v>
      </c>
      <c r="D347" s="4">
        <v>67.227199999999996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120</v>
      </c>
      <c r="D348" s="4">
        <v>67.227199999999996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119.6</v>
      </c>
      <c r="D349" s="4">
        <v>67.003100000000003</v>
      </c>
      <c r="E349" s="4">
        <v>7</v>
      </c>
      <c r="F349" s="4"/>
      <c r="G349" s="4"/>
      <c r="H349" s="5">
        <f t="shared" si="5"/>
        <v>-3.3334721660279302E-3</v>
      </c>
    </row>
    <row r="350" spans="1:8" ht="13.5" x14ac:dyDescent="0.25">
      <c r="A350" s="1"/>
      <c r="B350" s="3">
        <v>42808</v>
      </c>
      <c r="C350" s="4">
        <v>114.22</v>
      </c>
      <c r="D350" s="4">
        <v>63.988999999999997</v>
      </c>
      <c r="E350" s="4">
        <v>0</v>
      </c>
      <c r="F350" s="4"/>
      <c r="G350" s="4"/>
      <c r="H350" s="5">
        <f t="shared" si="5"/>
        <v>-4.49844857924485E-2</v>
      </c>
    </row>
    <row r="351" spans="1:8" ht="13.5" x14ac:dyDescent="0.25">
      <c r="A351" s="1"/>
      <c r="B351" s="3">
        <v>42809</v>
      </c>
      <c r="C351" s="4">
        <v>107.67</v>
      </c>
      <c r="D351" s="4">
        <v>60.319600000000001</v>
      </c>
      <c r="E351" s="4">
        <v>141</v>
      </c>
      <c r="F351" s="4"/>
      <c r="G351" s="4"/>
      <c r="H351" s="5">
        <f t="shared" si="5"/>
        <v>-5.7344231039709891E-2</v>
      </c>
    </row>
    <row r="352" spans="1:8" ht="13.5" x14ac:dyDescent="0.25">
      <c r="A352" s="1"/>
      <c r="B352" s="3">
        <v>42810</v>
      </c>
      <c r="C352" s="4">
        <v>108</v>
      </c>
      <c r="D352" s="4">
        <v>60.504399999999997</v>
      </c>
      <c r="E352" s="4">
        <v>20</v>
      </c>
      <c r="F352" s="4"/>
      <c r="G352" s="4"/>
      <c r="H352" s="5">
        <f t="shared" si="5"/>
        <v>3.0636807936391427E-3</v>
      </c>
    </row>
    <row r="353" spans="1:8" ht="13.5" x14ac:dyDescent="0.25">
      <c r="A353" s="1"/>
      <c r="B353" s="3">
        <v>42811</v>
      </c>
      <c r="C353" s="4">
        <v>103.14</v>
      </c>
      <c r="D353" s="4">
        <v>57.781700000000001</v>
      </c>
      <c r="E353" s="4">
        <v>100</v>
      </c>
      <c r="F353" s="4"/>
      <c r="G353" s="4"/>
      <c r="H353" s="5">
        <f t="shared" si="5"/>
        <v>-4.5000033055447149E-2</v>
      </c>
    </row>
    <row r="354" spans="1:8" ht="13.5" x14ac:dyDescent="0.25">
      <c r="A354" s="1"/>
      <c r="B354" s="3">
        <v>42815</v>
      </c>
      <c r="C354" s="4">
        <v>103.15</v>
      </c>
      <c r="D354" s="4">
        <v>57.787300000000002</v>
      </c>
      <c r="E354" s="4">
        <v>57</v>
      </c>
      <c r="F354" s="4"/>
      <c r="G354" s="4"/>
      <c r="H354" s="5">
        <f t="shared" si="5"/>
        <v>9.6916497783920507E-5</v>
      </c>
    </row>
    <row r="355" spans="1:8" ht="13.5" x14ac:dyDescent="0.25">
      <c r="A355" s="1"/>
      <c r="B355" s="3">
        <v>42816</v>
      </c>
      <c r="C355" s="4">
        <v>103</v>
      </c>
      <c r="D355" s="4">
        <v>57.703299999999999</v>
      </c>
      <c r="E355" s="4">
        <v>69</v>
      </c>
      <c r="F355" s="4"/>
      <c r="G355" s="4"/>
      <c r="H355" s="5">
        <f t="shared" si="5"/>
        <v>-1.453606588298868E-3</v>
      </c>
    </row>
    <row r="356" spans="1:8" ht="13.5" x14ac:dyDescent="0.25">
      <c r="A356" s="1"/>
      <c r="B356" s="3">
        <v>42817</v>
      </c>
      <c r="C356" s="4">
        <v>106.1</v>
      </c>
      <c r="D356" s="4">
        <v>59.44</v>
      </c>
      <c r="E356" s="4">
        <v>476</v>
      </c>
      <c r="F356" s="4"/>
      <c r="G356" s="4"/>
      <c r="H356" s="5">
        <f t="shared" si="5"/>
        <v>3.0097065505785614E-2</v>
      </c>
    </row>
    <row r="357" spans="1:8" ht="13.5" x14ac:dyDescent="0.25">
      <c r="A357" s="1"/>
      <c r="B357" s="3">
        <v>42818</v>
      </c>
      <c r="C357" s="4">
        <v>109</v>
      </c>
      <c r="D357" s="4">
        <v>61.064700000000002</v>
      </c>
      <c r="E357" s="4">
        <v>3</v>
      </c>
      <c r="F357" s="4"/>
      <c r="G357" s="4"/>
      <c r="H357" s="5">
        <f t="shared" si="5"/>
        <v>2.7333445491251756E-2</v>
      </c>
    </row>
    <row r="358" spans="1:8" ht="13.5" x14ac:dyDescent="0.25">
      <c r="A358" s="1"/>
      <c r="B358" s="3">
        <v>42821</v>
      </c>
      <c r="C358" s="4">
        <v>106.96</v>
      </c>
      <c r="D358" s="4">
        <v>59.921799999999998</v>
      </c>
      <c r="E358" s="4">
        <v>1</v>
      </c>
      <c r="F358" s="4"/>
      <c r="G358" s="4"/>
      <c r="H358" s="5">
        <f t="shared" si="5"/>
        <v>-1.8716214113882561E-2</v>
      </c>
    </row>
    <row r="359" spans="1:8" ht="13.5" x14ac:dyDescent="0.25">
      <c r="A359" s="1"/>
      <c r="B359" s="3">
        <v>42822</v>
      </c>
      <c r="C359" s="4">
        <v>111.77</v>
      </c>
      <c r="D359" s="4">
        <v>62.616500000000002</v>
      </c>
      <c r="E359" s="4">
        <v>1</v>
      </c>
      <c r="F359" s="4"/>
      <c r="G359" s="4"/>
      <c r="H359" s="5">
        <f t="shared" si="5"/>
        <v>4.4970277928900744E-2</v>
      </c>
    </row>
    <row r="360" spans="1:8" ht="13.5" x14ac:dyDescent="0.25">
      <c r="A360" s="1"/>
      <c r="B360" s="3">
        <v>42823</v>
      </c>
      <c r="C360" s="4">
        <v>111.77</v>
      </c>
      <c r="D360" s="4">
        <v>62.616500000000002</v>
      </c>
      <c r="E360" s="4">
        <v>0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111.77</v>
      </c>
      <c r="D361" s="4">
        <v>62.616500000000002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110</v>
      </c>
      <c r="D362" s="4">
        <v>61.624899999999997</v>
      </c>
      <c r="E362" s="4">
        <v>20</v>
      </c>
      <c r="F362" s="4"/>
      <c r="G362" s="4"/>
      <c r="H362" s="5">
        <f t="shared" si="5"/>
        <v>-1.5836081544002064E-2</v>
      </c>
    </row>
    <row r="363" spans="1:8" ht="13.5" x14ac:dyDescent="0.25">
      <c r="A363" s="1"/>
      <c r="B363" s="3">
        <v>42828</v>
      </c>
      <c r="C363" s="4">
        <v>110</v>
      </c>
      <c r="D363" s="4">
        <v>61.624899999999997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110</v>
      </c>
      <c r="D364" s="4">
        <v>61.624899999999997</v>
      </c>
      <c r="E364" s="4">
        <v>0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110</v>
      </c>
      <c r="D365" s="4">
        <v>61.624899999999997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110</v>
      </c>
      <c r="D366" s="4">
        <v>61.624899999999997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110</v>
      </c>
      <c r="D367" s="4">
        <v>61.624899999999997</v>
      </c>
      <c r="E367" s="4">
        <v>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105.05</v>
      </c>
      <c r="D368" s="4">
        <v>58.851799999999997</v>
      </c>
      <c r="E368" s="4">
        <v>21</v>
      </c>
      <c r="F368" s="4"/>
      <c r="G368" s="4"/>
      <c r="H368" s="5">
        <f t="shared" si="5"/>
        <v>-4.4999667342259374E-2</v>
      </c>
    </row>
    <row r="369" spans="1:8" ht="13.5" x14ac:dyDescent="0.25">
      <c r="A369" s="1"/>
      <c r="B369" s="3">
        <v>42836</v>
      </c>
      <c r="C369" s="4">
        <v>105.05</v>
      </c>
      <c r="D369" s="4">
        <v>58.851799999999997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105.05</v>
      </c>
      <c r="D370" s="4">
        <v>58.851799999999997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105.05</v>
      </c>
      <c r="D371" s="4">
        <v>58.851799999999997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108.1</v>
      </c>
      <c r="D372" s="4">
        <v>60.560499999999998</v>
      </c>
      <c r="E372" s="4">
        <v>124</v>
      </c>
      <c r="F372" s="4"/>
      <c r="G372" s="4"/>
      <c r="H372" s="5">
        <f t="shared" si="5"/>
        <v>2.9033946285415238E-2</v>
      </c>
    </row>
    <row r="373" spans="1:8" ht="13.5" x14ac:dyDescent="0.25">
      <c r="A373" s="1"/>
      <c r="B373" s="3">
        <v>42842</v>
      </c>
      <c r="C373" s="4">
        <v>108.1</v>
      </c>
      <c r="D373" s="4">
        <v>60.560499999999998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108</v>
      </c>
      <c r="D374" s="4">
        <v>60.504399999999997</v>
      </c>
      <c r="E374" s="4">
        <v>2</v>
      </c>
      <c r="F374" s="4"/>
      <c r="G374" s="4"/>
      <c r="H374" s="5">
        <f t="shared" si="5"/>
        <v>-9.2634638089184713E-4</v>
      </c>
    </row>
    <row r="375" spans="1:8" ht="13.5" x14ac:dyDescent="0.25">
      <c r="A375" s="1"/>
      <c r="B375" s="3">
        <v>42844</v>
      </c>
      <c r="C375" s="4">
        <v>108</v>
      </c>
      <c r="D375" s="4">
        <v>60.504399999999997</v>
      </c>
      <c r="E375" s="4">
        <v>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108</v>
      </c>
      <c r="D376" s="4">
        <v>60.504399999999997</v>
      </c>
      <c r="E376" s="4">
        <v>78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108</v>
      </c>
      <c r="D377" s="4">
        <v>60.504399999999997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113.3</v>
      </c>
      <c r="D378" s="4">
        <v>63.473599999999998</v>
      </c>
      <c r="E378" s="4">
        <v>163</v>
      </c>
      <c r="F378" s="4"/>
      <c r="G378" s="4"/>
      <c r="H378" s="5">
        <f t="shared" si="5"/>
        <v>4.9074116923727873E-2</v>
      </c>
    </row>
    <row r="379" spans="1:8" ht="13.5" x14ac:dyDescent="0.25">
      <c r="A379" s="1"/>
      <c r="B379" s="3">
        <v>42850</v>
      </c>
      <c r="C379" s="4">
        <v>113</v>
      </c>
      <c r="D379" s="4">
        <v>63.305599999999998</v>
      </c>
      <c r="E379" s="4">
        <v>4</v>
      </c>
      <c r="F379" s="4"/>
      <c r="G379" s="4"/>
      <c r="H379" s="5">
        <f t="shared" si="5"/>
        <v>-2.6467696806231136E-3</v>
      </c>
    </row>
    <row r="380" spans="1:8" ht="13.5" x14ac:dyDescent="0.25">
      <c r="A380" s="1"/>
      <c r="B380" s="3">
        <v>42851</v>
      </c>
      <c r="C380" s="4">
        <v>113</v>
      </c>
      <c r="D380" s="4">
        <v>63.305599999999998</v>
      </c>
      <c r="E380" s="4">
        <v>1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112.95</v>
      </c>
      <c r="D381" s="4">
        <v>63.2776</v>
      </c>
      <c r="E381" s="4">
        <v>22</v>
      </c>
      <c r="F381" s="4"/>
      <c r="G381" s="4"/>
      <c r="H381" s="5">
        <f t="shared" si="5"/>
        <v>-4.4229894353735994E-4</v>
      </c>
    </row>
    <row r="382" spans="1:8" ht="13.5" x14ac:dyDescent="0.25">
      <c r="A382" s="1"/>
      <c r="B382" s="3">
        <v>42853</v>
      </c>
      <c r="C382" s="4">
        <v>112.94</v>
      </c>
      <c r="D382" s="4">
        <v>63.271999999999998</v>
      </c>
      <c r="E382" s="4">
        <v>1</v>
      </c>
      <c r="F382" s="4"/>
      <c r="G382" s="4"/>
      <c r="H382" s="5">
        <f t="shared" si="5"/>
        <v>-8.8498931691485767E-5</v>
      </c>
    </row>
    <row r="383" spans="1:8" ht="13.5" x14ac:dyDescent="0.25">
      <c r="A383" s="1"/>
      <c r="B383" s="3">
        <v>42857</v>
      </c>
      <c r="C383" s="4">
        <v>112.94</v>
      </c>
      <c r="D383" s="4">
        <v>63.271999999999998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108</v>
      </c>
      <c r="D384" s="4">
        <v>60.504399999999997</v>
      </c>
      <c r="E384" s="4">
        <v>13</v>
      </c>
      <c r="F384" s="4"/>
      <c r="G384" s="4"/>
      <c r="H384" s="5">
        <f t="shared" si="5"/>
        <v>-4.3741307371349125E-2</v>
      </c>
    </row>
    <row r="385" spans="1:8" ht="13.5" x14ac:dyDescent="0.25">
      <c r="A385" s="1"/>
      <c r="B385" s="3">
        <v>42859</v>
      </c>
      <c r="C385" s="4">
        <v>108</v>
      </c>
      <c r="D385" s="4">
        <v>60.504399999999997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110.99</v>
      </c>
      <c r="D386" s="4">
        <v>62.179499999999997</v>
      </c>
      <c r="E386" s="4">
        <v>2</v>
      </c>
      <c r="F386" s="4"/>
      <c r="G386" s="4"/>
      <c r="H386" s="5">
        <f t="shared" si="5"/>
        <v>2.7685589808344527E-2</v>
      </c>
    </row>
    <row r="387" spans="1:8" ht="13.5" x14ac:dyDescent="0.25">
      <c r="A387" s="1"/>
      <c r="B387" s="3">
        <v>42863</v>
      </c>
      <c r="C387" s="4">
        <v>107.67</v>
      </c>
      <c r="D387" s="4">
        <v>60.319600000000001</v>
      </c>
      <c r="E387" s="4">
        <v>0</v>
      </c>
      <c r="F387" s="4"/>
      <c r="G387" s="4"/>
      <c r="H387" s="5">
        <f t="shared" si="5"/>
        <v>-2.9911787647054031E-2</v>
      </c>
    </row>
    <row r="388" spans="1:8" ht="13.5" x14ac:dyDescent="0.25">
      <c r="A388" s="1"/>
      <c r="B388" s="3">
        <v>42864</v>
      </c>
      <c r="C388" s="4">
        <v>108</v>
      </c>
      <c r="D388" s="4">
        <v>60.504399999999997</v>
      </c>
      <c r="E388" s="4">
        <v>48</v>
      </c>
      <c r="F388" s="4"/>
      <c r="G388" s="4"/>
      <c r="H388" s="5">
        <f t="shared" si="5"/>
        <v>3.0636807936391427E-3</v>
      </c>
    </row>
    <row r="389" spans="1:8" ht="13.5" x14ac:dyDescent="0.25">
      <c r="A389" s="1"/>
      <c r="B389" s="3">
        <v>42865</v>
      </c>
      <c r="C389" s="4">
        <v>108</v>
      </c>
      <c r="D389" s="4">
        <v>60.504399999999997</v>
      </c>
      <c r="E389" s="4">
        <v>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108</v>
      </c>
      <c r="D390" s="4">
        <v>60.504399999999997</v>
      </c>
      <c r="E390" s="4">
        <v>29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108</v>
      </c>
      <c r="D391" s="4">
        <v>60.504399999999997</v>
      </c>
      <c r="E391" s="4">
        <v>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108</v>
      </c>
      <c r="D392" s="4">
        <v>60.504399999999997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108</v>
      </c>
      <c r="D393" s="4">
        <v>60.504399999999997</v>
      </c>
      <c r="E393" s="4">
        <v>1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108</v>
      </c>
      <c r="D394" s="4">
        <v>60.504399999999997</v>
      </c>
      <c r="E394" s="4">
        <v>0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108</v>
      </c>
      <c r="D395" s="4">
        <v>60.504399999999997</v>
      </c>
      <c r="E395" s="4">
        <v>26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108</v>
      </c>
      <c r="D396" s="4">
        <v>60.504399999999997</v>
      </c>
      <c r="E396" s="4">
        <v>4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109</v>
      </c>
      <c r="D397" s="4">
        <v>61.064700000000002</v>
      </c>
      <c r="E397" s="4">
        <v>1</v>
      </c>
      <c r="F397" s="4"/>
      <c r="G397" s="4"/>
      <c r="H397" s="5">
        <f t="shared" si="6"/>
        <v>9.2604835350818312E-3</v>
      </c>
    </row>
    <row r="398" spans="1:8" ht="13.5" x14ac:dyDescent="0.25">
      <c r="A398" s="1"/>
      <c r="B398" s="3">
        <v>42878</v>
      </c>
      <c r="C398" s="4">
        <v>108</v>
      </c>
      <c r="D398" s="4">
        <v>60.504399999999997</v>
      </c>
      <c r="E398" s="4">
        <v>1</v>
      </c>
      <c r="F398" s="4"/>
      <c r="G398" s="4"/>
      <c r="H398" s="5">
        <f t="shared" si="6"/>
        <v>-9.175513840238389E-3</v>
      </c>
    </row>
    <row r="399" spans="1:8" ht="13.5" x14ac:dyDescent="0.25">
      <c r="A399" s="1"/>
      <c r="B399" s="3">
        <v>42879</v>
      </c>
      <c r="C399" s="4">
        <v>108.5</v>
      </c>
      <c r="D399" s="4">
        <v>60.784599999999998</v>
      </c>
      <c r="E399" s="4">
        <v>12</v>
      </c>
      <c r="F399" s="4"/>
      <c r="G399" s="4"/>
      <c r="H399" s="5">
        <f t="shared" si="6"/>
        <v>4.6310681537210631E-3</v>
      </c>
    </row>
    <row r="400" spans="1:8" ht="13.5" x14ac:dyDescent="0.25">
      <c r="A400" s="1"/>
      <c r="B400" s="3">
        <v>42880</v>
      </c>
      <c r="C400" s="4">
        <v>108.5</v>
      </c>
      <c r="D400" s="4">
        <v>60.784599999999998</v>
      </c>
      <c r="E400" s="4">
        <v>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108.5</v>
      </c>
      <c r="D401" s="4">
        <v>60.784599999999998</v>
      </c>
      <c r="E401" s="4">
        <v>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108.5</v>
      </c>
      <c r="D402" s="4">
        <v>60.784599999999998</v>
      </c>
      <c r="E402" s="4">
        <v>10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105.25</v>
      </c>
      <c r="D403" s="4">
        <v>58.963799999999999</v>
      </c>
      <c r="E403" s="4">
        <v>4</v>
      </c>
      <c r="F403" s="4"/>
      <c r="G403" s="4"/>
      <c r="H403" s="5">
        <f t="shared" si="6"/>
        <v>-2.9954955696015084E-2</v>
      </c>
    </row>
    <row r="404" spans="1:8" ht="13.5" x14ac:dyDescent="0.25">
      <c r="A404" s="1"/>
      <c r="B404" s="3">
        <v>42886</v>
      </c>
      <c r="C404" s="4">
        <v>105.25</v>
      </c>
      <c r="D404" s="4">
        <v>58.963799999999999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105.25</v>
      </c>
      <c r="D405" s="4">
        <v>58.963799999999999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108.4</v>
      </c>
      <c r="D406" s="4">
        <v>60.728499999999997</v>
      </c>
      <c r="E406" s="4">
        <v>0</v>
      </c>
      <c r="F406" s="4"/>
      <c r="G406" s="4"/>
      <c r="H406" s="5">
        <f t="shared" si="6"/>
        <v>2.9928532421587443E-2</v>
      </c>
    </row>
    <row r="407" spans="1:8" ht="13.5" x14ac:dyDescent="0.25">
      <c r="A407" s="1"/>
      <c r="B407" s="3">
        <v>42891</v>
      </c>
      <c r="C407" s="4">
        <v>108.5</v>
      </c>
      <c r="D407" s="4">
        <v>60.784599999999998</v>
      </c>
      <c r="E407" s="4">
        <v>9</v>
      </c>
      <c r="F407" s="4"/>
      <c r="G407" s="4"/>
      <c r="H407" s="5">
        <f t="shared" si="6"/>
        <v>9.2378372592770625E-4</v>
      </c>
    </row>
    <row r="408" spans="1:8" ht="13.5" x14ac:dyDescent="0.25">
      <c r="A408" s="1"/>
      <c r="B408" s="3">
        <v>42892</v>
      </c>
      <c r="C408" s="4">
        <v>108.5</v>
      </c>
      <c r="D408" s="4">
        <v>60.784599999999998</v>
      </c>
      <c r="E408" s="4">
        <v>10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108.5</v>
      </c>
      <c r="D409" s="4">
        <v>60.784599999999998</v>
      </c>
      <c r="E409" s="4">
        <v>43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106</v>
      </c>
      <c r="D410" s="4">
        <v>59.384</v>
      </c>
      <c r="E410" s="4">
        <v>19</v>
      </c>
      <c r="F410" s="4"/>
      <c r="G410" s="4"/>
      <c r="H410" s="5">
        <f t="shared" si="6"/>
        <v>-2.3042020511774317E-2</v>
      </c>
    </row>
    <row r="411" spans="1:8" ht="13.5" x14ac:dyDescent="0.25">
      <c r="A411" s="1"/>
      <c r="B411" s="3">
        <v>42895</v>
      </c>
      <c r="C411" s="4">
        <v>106</v>
      </c>
      <c r="D411" s="4">
        <v>59.384</v>
      </c>
      <c r="E411" s="4">
        <v>0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106</v>
      </c>
      <c r="D412" s="4">
        <v>59.384</v>
      </c>
      <c r="E412" s="4">
        <v>12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105</v>
      </c>
      <c r="D413" s="4">
        <v>58.823799999999999</v>
      </c>
      <c r="E413" s="4">
        <v>55</v>
      </c>
      <c r="F413" s="4"/>
      <c r="G413" s="4"/>
      <c r="H413" s="5">
        <f t="shared" si="6"/>
        <v>-9.4335174457766714E-3</v>
      </c>
    </row>
    <row r="414" spans="1:8" ht="13.5" x14ac:dyDescent="0.25">
      <c r="A414" s="1"/>
      <c r="B414" s="3">
        <v>42900</v>
      </c>
      <c r="C414" s="4">
        <v>104</v>
      </c>
      <c r="D414" s="4">
        <v>58.263500000000001</v>
      </c>
      <c r="E414" s="4">
        <v>10</v>
      </c>
      <c r="F414" s="4"/>
      <c r="G414" s="4"/>
      <c r="H414" s="5">
        <f t="shared" si="6"/>
        <v>-9.525056184741516E-3</v>
      </c>
    </row>
    <row r="415" spans="1:8" ht="13.5" x14ac:dyDescent="0.25">
      <c r="A415" s="1"/>
      <c r="B415" s="3">
        <v>42901</v>
      </c>
      <c r="C415" s="4">
        <v>104</v>
      </c>
      <c r="D415" s="4">
        <v>58.263500000000001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104</v>
      </c>
      <c r="D416" s="4">
        <v>58.263500000000001</v>
      </c>
      <c r="E416" s="4">
        <v>36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104</v>
      </c>
      <c r="D417" s="4">
        <v>58.263500000000001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104</v>
      </c>
      <c r="D418" s="4">
        <v>58.263500000000001</v>
      </c>
      <c r="E418" s="4">
        <v>9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104</v>
      </c>
      <c r="D419" s="4">
        <v>58.263500000000001</v>
      </c>
      <c r="E419" s="4">
        <v>5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104</v>
      </c>
      <c r="D420" s="4">
        <v>58.263500000000001</v>
      </c>
      <c r="E420" s="4">
        <v>91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104</v>
      </c>
      <c r="D421" s="4">
        <v>58.263500000000001</v>
      </c>
      <c r="E421" s="4">
        <v>19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104</v>
      </c>
      <c r="D422" s="4">
        <v>58.263500000000001</v>
      </c>
      <c r="E422" s="4">
        <v>21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104</v>
      </c>
      <c r="D423" s="4">
        <v>58.263500000000001</v>
      </c>
      <c r="E423" s="4">
        <v>0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104</v>
      </c>
      <c r="D424" s="4">
        <v>58.263500000000001</v>
      </c>
      <c r="E424" s="4">
        <v>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100.3</v>
      </c>
      <c r="D425" s="4">
        <v>58.264899999999997</v>
      </c>
      <c r="E425" s="4">
        <v>0</v>
      </c>
      <c r="F425" s="4"/>
      <c r="G425" s="4"/>
      <c r="H425" s="5">
        <f t="shared" si="6"/>
        <v>2.4028765865365746E-5</v>
      </c>
    </row>
    <row r="426" spans="1:8" ht="13.5" x14ac:dyDescent="0.25">
      <c r="A426" s="1"/>
      <c r="B426" s="3">
        <v>42920</v>
      </c>
      <c r="C426" s="4">
        <v>100.3</v>
      </c>
      <c r="D426" s="4">
        <v>58.264899999999997</v>
      </c>
      <c r="E426" s="4">
        <v>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100.3</v>
      </c>
      <c r="D427" s="4">
        <v>58.264899999999997</v>
      </c>
      <c r="E427" s="4">
        <v>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100.3</v>
      </c>
      <c r="D428" s="4">
        <v>58.264899999999997</v>
      </c>
      <c r="E428" s="4">
        <v>4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100.3</v>
      </c>
      <c r="D429" s="4">
        <v>58.264899999999997</v>
      </c>
      <c r="E429" s="4">
        <v>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42926</v>
      </c>
      <c r="C430" s="4">
        <v>100.01</v>
      </c>
      <c r="D430" s="4">
        <v>58.096499999999999</v>
      </c>
      <c r="E430" s="4">
        <v>10</v>
      </c>
      <c r="F430" s="4"/>
      <c r="G430" s="4"/>
      <c r="H430" s="5">
        <f t="shared" si="6"/>
        <v>-2.8902478164383417E-3</v>
      </c>
    </row>
    <row r="431" spans="1:8" ht="13.5" x14ac:dyDescent="0.25">
      <c r="A431" s="1"/>
      <c r="B431" s="3">
        <v>42927</v>
      </c>
      <c r="C431" s="4">
        <v>100.01</v>
      </c>
      <c r="D431" s="4">
        <v>58.096499999999999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100.01</v>
      </c>
      <c r="D432" s="4">
        <v>58.096499999999999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100.01</v>
      </c>
      <c r="D433" s="4">
        <v>58.096499999999999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100</v>
      </c>
      <c r="D434" s="4">
        <v>58.090699999999998</v>
      </c>
      <c r="E434" s="4">
        <v>51</v>
      </c>
      <c r="F434" s="4"/>
      <c r="G434" s="4"/>
      <c r="H434" s="5">
        <f t="shared" si="6"/>
        <v>-9.9833897050608794E-5</v>
      </c>
    </row>
    <row r="435" spans="1:8" ht="13.5" x14ac:dyDescent="0.25">
      <c r="A435" s="1"/>
      <c r="B435" s="3">
        <v>42933</v>
      </c>
      <c r="C435" s="4">
        <v>100</v>
      </c>
      <c r="D435" s="4">
        <v>58.090699999999998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100</v>
      </c>
      <c r="D436" s="4">
        <v>58.090699999999998</v>
      </c>
      <c r="E436" s="4">
        <v>20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100</v>
      </c>
      <c r="D437" s="4">
        <v>58.090699999999998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100</v>
      </c>
      <c r="D438" s="4">
        <v>58.090699999999998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100</v>
      </c>
      <c r="D439" s="4">
        <v>58.090699999999998</v>
      </c>
      <c r="E439" s="4">
        <v>59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100</v>
      </c>
      <c r="D440" s="4">
        <v>58.090699999999998</v>
      </c>
      <c r="E440" s="4">
        <v>11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100</v>
      </c>
      <c r="D441" s="4">
        <v>58.090699999999998</v>
      </c>
      <c r="E441" s="4">
        <v>44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100</v>
      </c>
      <c r="D442" s="4">
        <v>58.090699999999998</v>
      </c>
      <c r="E442" s="4">
        <v>66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100</v>
      </c>
      <c r="D443" s="4">
        <v>58.090699999999998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100</v>
      </c>
      <c r="D444" s="4">
        <v>58.090699999999998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102.99</v>
      </c>
      <c r="D445" s="4">
        <v>59.827599999999997</v>
      </c>
      <c r="E445" s="4">
        <v>2</v>
      </c>
      <c r="F445" s="4"/>
      <c r="G445" s="4"/>
      <c r="H445" s="5">
        <f t="shared" si="6"/>
        <v>2.9899794631498649E-2</v>
      </c>
    </row>
    <row r="446" spans="1:8" ht="13.5" x14ac:dyDescent="0.25">
      <c r="A446" s="1"/>
      <c r="B446" s="3">
        <v>42949</v>
      </c>
      <c r="C446" s="4">
        <v>98.5</v>
      </c>
      <c r="D446" s="4">
        <v>57.219299999999997</v>
      </c>
      <c r="E446" s="4">
        <v>11</v>
      </c>
      <c r="F446" s="4"/>
      <c r="G446" s="4"/>
      <c r="H446" s="5">
        <f t="shared" si="6"/>
        <v>-4.3596935193790154E-2</v>
      </c>
    </row>
    <row r="447" spans="1:8" ht="13.5" x14ac:dyDescent="0.25">
      <c r="A447" s="1"/>
      <c r="B447" s="3">
        <v>42950</v>
      </c>
      <c r="C447" s="4">
        <v>98.5</v>
      </c>
      <c r="D447" s="4">
        <v>57.219299999999997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99</v>
      </c>
      <c r="D448" s="4">
        <v>57.509799999999998</v>
      </c>
      <c r="E448" s="4">
        <v>132</v>
      </c>
      <c r="F448" s="4"/>
      <c r="G448" s="4"/>
      <c r="H448" s="5">
        <f t="shared" si="6"/>
        <v>5.076958299035492E-3</v>
      </c>
    </row>
    <row r="449" spans="1:8" ht="13.5" x14ac:dyDescent="0.25">
      <c r="A449" s="1"/>
      <c r="B449" s="3">
        <v>42954</v>
      </c>
      <c r="C449" s="4">
        <v>99</v>
      </c>
      <c r="D449" s="4">
        <v>57.509799999999998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100</v>
      </c>
      <c r="D450" s="4">
        <v>58.090699999999998</v>
      </c>
      <c r="E450" s="4">
        <v>7</v>
      </c>
      <c r="F450" s="4"/>
      <c r="G450" s="4"/>
      <c r="H450" s="5">
        <f t="shared" si="6"/>
        <v>1.0100887153146068E-2</v>
      </c>
    </row>
    <row r="451" spans="1:8" ht="13.5" x14ac:dyDescent="0.25">
      <c r="A451" s="1"/>
      <c r="B451" s="3">
        <v>42956</v>
      </c>
      <c r="C451" s="4">
        <v>100</v>
      </c>
      <c r="D451" s="4">
        <v>58.090699999999998</v>
      </c>
      <c r="E451" s="4">
        <v>32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100</v>
      </c>
      <c r="D452" s="4">
        <v>58.090699999999998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103</v>
      </c>
      <c r="D453" s="4">
        <v>59.833399999999997</v>
      </c>
      <c r="E453" s="4">
        <v>1</v>
      </c>
      <c r="F453" s="4"/>
      <c r="G453" s="4"/>
      <c r="H453" s="5">
        <f t="shared" si="6"/>
        <v>2.9999638496351382E-2</v>
      </c>
    </row>
    <row r="454" spans="1:8" ht="13.5" x14ac:dyDescent="0.25">
      <c r="A454" s="1"/>
      <c r="B454" s="3">
        <v>42961</v>
      </c>
      <c r="C454" s="4">
        <v>103</v>
      </c>
      <c r="D454" s="4">
        <v>59.833399999999997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103</v>
      </c>
      <c r="D455" s="4">
        <v>59.833399999999997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103</v>
      </c>
      <c r="D456" s="4">
        <v>59.833399999999997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103</v>
      </c>
      <c r="D457" s="4">
        <v>59.833399999999997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103</v>
      </c>
      <c r="D458" s="4">
        <v>59.833399999999997</v>
      </c>
      <c r="E458" s="4">
        <v>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103</v>
      </c>
      <c r="D459" s="4">
        <v>59.833399999999997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103</v>
      </c>
      <c r="D460" s="4">
        <v>59.833399999999997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102</v>
      </c>
      <c r="D461" s="4">
        <v>59.252499999999998</v>
      </c>
      <c r="E461" s="4">
        <v>55</v>
      </c>
      <c r="F461" s="4"/>
      <c r="G461" s="4"/>
      <c r="H461" s="5">
        <f t="shared" si="7"/>
        <v>-9.7086242800843645E-3</v>
      </c>
    </row>
    <row r="462" spans="1:8" ht="13.5" x14ac:dyDescent="0.25">
      <c r="A462" s="1"/>
      <c r="B462" s="3">
        <v>42971</v>
      </c>
      <c r="C462" s="4">
        <v>102</v>
      </c>
      <c r="D462" s="4">
        <v>59.252499999999998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100</v>
      </c>
      <c r="D463" s="4">
        <v>58.090699999999998</v>
      </c>
      <c r="E463" s="4">
        <v>16</v>
      </c>
      <c r="F463" s="4"/>
      <c r="G463" s="4"/>
      <c r="H463" s="5">
        <f t="shared" si="7"/>
        <v>-1.9607611493185934E-2</v>
      </c>
    </row>
    <row r="464" spans="1:8" ht="13.5" x14ac:dyDescent="0.25">
      <c r="A464" s="1"/>
      <c r="B464" s="3">
        <v>42975</v>
      </c>
      <c r="C464" s="4">
        <v>100</v>
      </c>
      <c r="D464" s="4">
        <v>58.090699999999998</v>
      </c>
      <c r="E464" s="4">
        <v>4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100</v>
      </c>
      <c r="D465" s="4">
        <v>58.090699999999998</v>
      </c>
      <c r="E465" s="4">
        <v>20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100</v>
      </c>
      <c r="D466" s="4">
        <v>58.090699999999998</v>
      </c>
      <c r="E466" s="4">
        <v>15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102</v>
      </c>
      <c r="D467" s="4">
        <v>59.252499999999998</v>
      </c>
      <c r="E467" s="4">
        <v>10</v>
      </c>
      <c r="F467" s="4"/>
      <c r="G467" s="4"/>
      <c r="H467" s="5">
        <f t="shared" si="7"/>
        <v>1.999975899756759E-2</v>
      </c>
    </row>
    <row r="468" spans="1:8" ht="13.5" x14ac:dyDescent="0.25">
      <c r="A468" s="1"/>
      <c r="B468" s="3">
        <v>42982</v>
      </c>
      <c r="C468" s="4">
        <v>102</v>
      </c>
      <c r="D468" s="4">
        <v>59.252499999999998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102</v>
      </c>
      <c r="D469" s="4">
        <v>59.252499999999998</v>
      </c>
      <c r="E469" s="4">
        <v>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102</v>
      </c>
      <c r="D470" s="4">
        <v>59.252499999999998</v>
      </c>
      <c r="E470" s="4">
        <v>0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102</v>
      </c>
      <c r="D471" s="4">
        <v>59.252499999999998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102</v>
      </c>
      <c r="D472" s="4">
        <v>59.252499999999998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102</v>
      </c>
      <c r="D473" s="4">
        <v>59.252499999999998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102</v>
      </c>
      <c r="D474" s="4">
        <v>59.252499999999998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98.94</v>
      </c>
      <c r="D475" s="4">
        <v>57.474899999999998</v>
      </c>
      <c r="E475" s="4">
        <v>0</v>
      </c>
      <c r="F475" s="4"/>
      <c r="G475" s="4"/>
      <c r="H475" s="5">
        <f t="shared" si="7"/>
        <v>-3.00004219231256E-2</v>
      </c>
    </row>
    <row r="476" spans="1:8" ht="13.5" x14ac:dyDescent="0.25">
      <c r="A476" s="1"/>
      <c r="B476" s="3">
        <v>42992</v>
      </c>
      <c r="C476" s="4">
        <v>101.99</v>
      </c>
      <c r="D476" s="4">
        <v>59.246699999999997</v>
      </c>
      <c r="E476" s="4">
        <v>1</v>
      </c>
      <c r="F476" s="4"/>
      <c r="G476" s="4"/>
      <c r="H476" s="5">
        <f t="shared" si="7"/>
        <v>3.0827369860582602E-2</v>
      </c>
    </row>
    <row r="477" spans="1:8" ht="13.5" x14ac:dyDescent="0.25">
      <c r="A477" s="1"/>
      <c r="B477" s="3">
        <v>42993</v>
      </c>
      <c r="C477" s="4">
        <v>101.99</v>
      </c>
      <c r="D477" s="4">
        <v>59.246699999999997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101.99</v>
      </c>
      <c r="D478" s="4">
        <v>59.246699999999997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102</v>
      </c>
      <c r="D479" s="4">
        <v>59.252499999999998</v>
      </c>
      <c r="E479" s="4">
        <v>16</v>
      </c>
      <c r="F479" s="4"/>
      <c r="G479" s="4"/>
      <c r="H479" s="5">
        <f t="shared" si="7"/>
        <v>9.789574778005684E-5</v>
      </c>
    </row>
    <row r="480" spans="1:8" ht="13.5" x14ac:dyDescent="0.25">
      <c r="A480" s="1"/>
      <c r="B480" s="3">
        <v>42998</v>
      </c>
      <c r="C480" s="4">
        <v>102</v>
      </c>
      <c r="D480" s="4">
        <v>59.252499999999998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102</v>
      </c>
      <c r="D481" s="4">
        <v>59.252499999999998</v>
      </c>
      <c r="E481" s="4">
        <v>35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98.81</v>
      </c>
      <c r="D482" s="4">
        <v>57.3994</v>
      </c>
      <c r="E482" s="4">
        <v>0</v>
      </c>
      <c r="F482" s="4"/>
      <c r="G482" s="4"/>
      <c r="H482" s="5">
        <f t="shared" si="7"/>
        <v>-3.1274629762457241E-2</v>
      </c>
    </row>
    <row r="483" spans="1:8" ht="13.5" x14ac:dyDescent="0.25">
      <c r="A483" s="1"/>
      <c r="B483" s="3">
        <v>43004</v>
      </c>
      <c r="C483" s="4">
        <v>98.81</v>
      </c>
      <c r="D483" s="4">
        <v>59.253999999999998</v>
      </c>
      <c r="E483" s="4">
        <v>0</v>
      </c>
      <c r="F483" s="4"/>
      <c r="G483" s="4"/>
      <c r="H483" s="5">
        <f t="shared" si="7"/>
        <v>3.2310442269431347E-2</v>
      </c>
    </row>
    <row r="484" spans="1:8" ht="13.5" x14ac:dyDescent="0.25">
      <c r="A484" s="1"/>
      <c r="B484" s="3">
        <v>43005</v>
      </c>
      <c r="C484" s="4">
        <v>98.81</v>
      </c>
      <c r="D484" s="4">
        <v>59.253999999999998</v>
      </c>
      <c r="E484" s="4">
        <v>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98.81</v>
      </c>
      <c r="D485" s="4">
        <v>59.253999999999998</v>
      </c>
      <c r="E485" s="4">
        <v>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98.81</v>
      </c>
      <c r="D486" s="4">
        <v>59.253999999999998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99.6</v>
      </c>
      <c r="D487" s="4">
        <v>59.727800000000002</v>
      </c>
      <c r="E487" s="4">
        <v>7</v>
      </c>
      <c r="F487" s="4"/>
      <c r="G487" s="4"/>
      <c r="H487" s="5">
        <f t="shared" si="7"/>
        <v>7.9960846525129817E-3</v>
      </c>
    </row>
    <row r="488" spans="1:8" ht="13.5" x14ac:dyDescent="0.25">
      <c r="A488" s="1"/>
      <c r="B488" s="3">
        <v>43011</v>
      </c>
      <c r="C488" s="4">
        <v>99.6</v>
      </c>
      <c r="D488" s="4">
        <v>59.727800000000002</v>
      </c>
      <c r="E488" s="4">
        <v>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99.6</v>
      </c>
      <c r="D489" s="4">
        <v>59.727800000000002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95.12</v>
      </c>
      <c r="D490" s="4">
        <v>57.041200000000003</v>
      </c>
      <c r="E490" s="4">
        <v>0</v>
      </c>
      <c r="F490" s="4"/>
      <c r="G490" s="4"/>
      <c r="H490" s="5">
        <f t="shared" si="7"/>
        <v>-4.4980729241659634E-2</v>
      </c>
    </row>
    <row r="491" spans="1:8" ht="13.5" x14ac:dyDescent="0.25">
      <c r="A491" s="1"/>
      <c r="B491" s="3">
        <v>43014</v>
      </c>
      <c r="C491" s="4">
        <v>90.84</v>
      </c>
      <c r="D491" s="4">
        <v>54.474600000000002</v>
      </c>
      <c r="E491" s="4">
        <v>70</v>
      </c>
      <c r="F491" s="4"/>
      <c r="G491" s="4"/>
      <c r="H491" s="5">
        <f t="shared" si="7"/>
        <v>-4.4995547078252228E-2</v>
      </c>
    </row>
    <row r="492" spans="1:8" ht="13.5" x14ac:dyDescent="0.25">
      <c r="A492" s="1"/>
      <c r="B492" s="3">
        <v>43017</v>
      </c>
      <c r="C492" s="4">
        <v>90.84</v>
      </c>
      <c r="D492" s="4">
        <v>54.474600000000002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91</v>
      </c>
      <c r="D493" s="4">
        <v>54.570599999999999</v>
      </c>
      <c r="E493" s="4">
        <v>41</v>
      </c>
      <c r="F493" s="4"/>
      <c r="G493" s="4"/>
      <c r="H493" s="5">
        <f t="shared" si="7"/>
        <v>1.7622892136885178E-3</v>
      </c>
    </row>
    <row r="494" spans="1:8" ht="13.5" x14ac:dyDescent="0.25">
      <c r="A494" s="1"/>
      <c r="B494" s="3">
        <v>43019</v>
      </c>
      <c r="C494" s="4">
        <v>91</v>
      </c>
      <c r="D494" s="4">
        <v>54.570599999999999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91</v>
      </c>
      <c r="D495" s="4">
        <v>54.570599999999999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91</v>
      </c>
      <c r="D496" s="4">
        <v>54.570599999999999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91</v>
      </c>
      <c r="D497" s="4">
        <v>54.570599999999999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93.73</v>
      </c>
      <c r="D498" s="4">
        <v>56.207700000000003</v>
      </c>
      <c r="E498" s="4">
        <v>1</v>
      </c>
      <c r="F498" s="4"/>
      <c r="G498" s="4"/>
      <c r="H498" s="5">
        <f t="shared" si="7"/>
        <v>2.9999670152059971E-2</v>
      </c>
    </row>
    <row r="499" spans="1:8" ht="13.5" x14ac:dyDescent="0.25">
      <c r="A499" s="1"/>
      <c r="B499" s="3">
        <v>43026</v>
      </c>
      <c r="C499" s="4">
        <v>93.73</v>
      </c>
      <c r="D499" s="4">
        <v>56.207700000000003</v>
      </c>
      <c r="E499" s="4">
        <v>56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93.73</v>
      </c>
      <c r="D500" s="4">
        <v>56.207700000000003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91</v>
      </c>
      <c r="D501" s="4">
        <v>54.570599999999999</v>
      </c>
      <c r="E501" s="4">
        <v>1</v>
      </c>
      <c r="F501" s="4"/>
      <c r="G501" s="4"/>
      <c r="H501" s="5">
        <f t="shared" si="7"/>
        <v>-2.9125902678814534E-2</v>
      </c>
    </row>
    <row r="502" spans="1:8" ht="13.5" x14ac:dyDescent="0.25">
      <c r="A502" s="1"/>
      <c r="B502" s="3">
        <v>43031</v>
      </c>
      <c r="C502" s="4">
        <v>91</v>
      </c>
      <c r="D502" s="4">
        <v>54.570599999999999</v>
      </c>
      <c r="E502" s="4">
        <v>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93.7</v>
      </c>
      <c r="D503" s="4">
        <v>56.189700000000002</v>
      </c>
      <c r="E503" s="4">
        <v>1</v>
      </c>
      <c r="F503" s="4"/>
      <c r="G503" s="4"/>
      <c r="H503" s="5">
        <f t="shared" si="7"/>
        <v>2.9669822211960344E-2</v>
      </c>
    </row>
    <row r="504" spans="1:8" ht="13.5" x14ac:dyDescent="0.25">
      <c r="A504" s="1"/>
      <c r="B504" s="3">
        <v>43033</v>
      </c>
      <c r="C504" s="4">
        <v>93.7</v>
      </c>
      <c r="D504" s="4">
        <v>56.189700000000002</v>
      </c>
      <c r="E504" s="4">
        <v>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93.7</v>
      </c>
      <c r="D505" s="4">
        <v>56.189700000000002</v>
      </c>
      <c r="E505" s="4">
        <v>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93.7</v>
      </c>
      <c r="D506" s="4">
        <v>56.189700000000002</v>
      </c>
      <c r="E506" s="4">
        <v>0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93.7</v>
      </c>
      <c r="D507" s="4">
        <v>56.189700000000002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93.7</v>
      </c>
      <c r="D508" s="4">
        <v>56.189700000000002</v>
      </c>
      <c r="E508" s="4">
        <v>0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93.7</v>
      </c>
      <c r="D509" s="4">
        <v>56.189700000000002</v>
      </c>
      <c r="E509" s="4">
        <v>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93.7</v>
      </c>
      <c r="D510" s="4">
        <v>56.189700000000002</v>
      </c>
      <c r="E510" s="4">
        <v>0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93.7</v>
      </c>
      <c r="D511" s="4">
        <v>56.189700000000002</v>
      </c>
      <c r="E511" s="4">
        <v>23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93.7</v>
      </c>
      <c r="D512" s="4">
        <v>56.189700000000002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93.7</v>
      </c>
      <c r="D513" s="4">
        <v>56.189700000000002</v>
      </c>
      <c r="E513" s="4">
        <v>0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93.7</v>
      </c>
      <c r="D514" s="4">
        <v>56.189700000000002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93.7</v>
      </c>
      <c r="D515" s="4">
        <v>56.189700000000002</v>
      </c>
      <c r="E515" s="4">
        <v>2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93.7</v>
      </c>
      <c r="D516" s="4">
        <v>56.189700000000002</v>
      </c>
      <c r="E516" s="4">
        <v>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93.7</v>
      </c>
      <c r="D517" s="4">
        <v>56.189700000000002</v>
      </c>
      <c r="E517" s="4">
        <v>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93.7</v>
      </c>
      <c r="D518" s="4">
        <v>56.189700000000002</v>
      </c>
      <c r="E518" s="4">
        <v>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93.69</v>
      </c>
      <c r="D519" s="4">
        <v>56.183700000000002</v>
      </c>
      <c r="E519" s="4">
        <v>4</v>
      </c>
      <c r="F519" s="4"/>
      <c r="G519" s="4"/>
      <c r="H519" s="5">
        <f t="shared" ref="H519:H582" si="8">(D519-D518)/D518</f>
        <v>-1.0678113604451042E-4</v>
      </c>
    </row>
    <row r="520" spans="1:8" ht="13.5" x14ac:dyDescent="0.25">
      <c r="A520" s="1"/>
      <c r="B520" s="3">
        <v>43055</v>
      </c>
      <c r="C520" s="4">
        <v>93.69</v>
      </c>
      <c r="D520" s="4">
        <v>56.183700000000002</v>
      </c>
      <c r="E520" s="4">
        <v>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93.69</v>
      </c>
      <c r="D521" s="4">
        <v>56.183700000000002</v>
      </c>
      <c r="E521" s="4">
        <v>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93.6</v>
      </c>
      <c r="D522" s="4">
        <v>56.1297</v>
      </c>
      <c r="E522" s="4">
        <v>2</v>
      </c>
      <c r="F522" s="4"/>
      <c r="G522" s="4"/>
      <c r="H522" s="5">
        <f t="shared" si="8"/>
        <v>-9.6113285525876806E-4</v>
      </c>
    </row>
    <row r="523" spans="1:8" ht="13.5" x14ac:dyDescent="0.25">
      <c r="A523" s="1"/>
      <c r="B523" s="3">
        <v>43060</v>
      </c>
      <c r="C523" s="4">
        <v>93.6</v>
      </c>
      <c r="D523" s="4">
        <v>56.1297</v>
      </c>
      <c r="E523" s="4">
        <v>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93.6</v>
      </c>
      <c r="D524" s="4">
        <v>56.1297</v>
      </c>
      <c r="E524" s="4">
        <v>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93.6</v>
      </c>
      <c r="D525" s="4">
        <v>56.1297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93.6</v>
      </c>
      <c r="D526" s="4">
        <v>56.1297</v>
      </c>
      <c r="E526" s="4">
        <v>0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93.5</v>
      </c>
      <c r="D527" s="4">
        <v>56.069699999999997</v>
      </c>
      <c r="E527" s="4">
        <v>1065</v>
      </c>
      <c r="F527" s="4"/>
      <c r="G527" s="4"/>
      <c r="H527" s="5">
        <f t="shared" si="8"/>
        <v>-1.0689528003891393E-3</v>
      </c>
    </row>
    <row r="528" spans="1:8" ht="13.5" x14ac:dyDescent="0.25">
      <c r="A528" s="1"/>
      <c r="B528" s="3">
        <v>43067</v>
      </c>
      <c r="C528" s="4">
        <v>93.5</v>
      </c>
      <c r="D528" s="4">
        <v>56.069699999999997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93</v>
      </c>
      <c r="D529" s="4">
        <v>55.7699</v>
      </c>
      <c r="E529" s="4">
        <v>10</v>
      </c>
      <c r="F529" s="4"/>
      <c r="G529" s="4"/>
      <c r="H529" s="5">
        <f t="shared" si="8"/>
        <v>-5.3469164272324917E-3</v>
      </c>
    </row>
    <row r="530" spans="1:8" ht="13.5" x14ac:dyDescent="0.25">
      <c r="A530" s="1"/>
      <c r="B530" s="3">
        <v>43069</v>
      </c>
      <c r="C530" s="4">
        <v>93</v>
      </c>
      <c r="D530" s="4">
        <v>55.7699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93.49</v>
      </c>
      <c r="D531" s="4">
        <v>56.063800000000001</v>
      </c>
      <c r="E531" s="4">
        <v>5</v>
      </c>
      <c r="F531" s="4"/>
      <c r="G531" s="4"/>
      <c r="H531" s="5">
        <f t="shared" si="8"/>
        <v>5.2698677960692185E-3</v>
      </c>
    </row>
    <row r="532" spans="1:8" ht="13.5" x14ac:dyDescent="0.25">
      <c r="A532" s="1"/>
      <c r="B532" s="3">
        <v>43074</v>
      </c>
      <c r="C532" s="4">
        <v>90.99</v>
      </c>
      <c r="D532" s="4">
        <v>54.564599999999999</v>
      </c>
      <c r="E532" s="4">
        <v>120</v>
      </c>
      <c r="F532" s="4"/>
      <c r="G532" s="4"/>
      <c r="H532" s="5">
        <f t="shared" si="8"/>
        <v>-2.674096297432571E-2</v>
      </c>
    </row>
    <row r="533" spans="1:8" ht="13.5" x14ac:dyDescent="0.25">
      <c r="A533" s="1"/>
      <c r="B533" s="3">
        <v>43075</v>
      </c>
      <c r="C533" s="4">
        <v>91</v>
      </c>
      <c r="D533" s="4">
        <v>54.570599999999999</v>
      </c>
      <c r="E533" s="4">
        <v>5</v>
      </c>
      <c r="F533" s="4"/>
      <c r="G533" s="4"/>
      <c r="H533" s="5">
        <f t="shared" si="8"/>
        <v>1.0996140354735905E-4</v>
      </c>
    </row>
    <row r="534" spans="1:8" ht="13.5" x14ac:dyDescent="0.25">
      <c r="A534" s="1"/>
      <c r="B534" s="3">
        <v>43076</v>
      </c>
      <c r="C534" s="4">
        <v>91</v>
      </c>
      <c r="D534" s="4">
        <v>54.570599999999999</v>
      </c>
      <c r="E534" s="4">
        <v>6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91</v>
      </c>
      <c r="D535" s="4">
        <v>54.570599999999999</v>
      </c>
      <c r="E535" s="4">
        <v>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90.98</v>
      </c>
      <c r="D536" s="4">
        <v>54.558599999999998</v>
      </c>
      <c r="E536" s="4">
        <v>1</v>
      </c>
      <c r="F536" s="4"/>
      <c r="G536" s="4"/>
      <c r="H536" s="5">
        <f t="shared" si="8"/>
        <v>-2.1989862673308438E-4</v>
      </c>
    </row>
    <row r="537" spans="1:8" ht="13.5" x14ac:dyDescent="0.25">
      <c r="A537" s="1"/>
      <c r="B537" s="3">
        <v>43081</v>
      </c>
      <c r="C537" s="4">
        <v>90.98</v>
      </c>
      <c r="D537" s="4">
        <v>54.558599999999998</v>
      </c>
      <c r="E537" s="4">
        <v>0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90.97</v>
      </c>
      <c r="D538" s="4">
        <v>54.552599999999998</v>
      </c>
      <c r="E538" s="4">
        <v>11</v>
      </c>
      <c r="F538" s="4"/>
      <c r="G538" s="4"/>
      <c r="H538" s="5">
        <f t="shared" si="8"/>
        <v>-1.0997349638737482E-4</v>
      </c>
    </row>
    <row r="539" spans="1:8" ht="13.5" x14ac:dyDescent="0.25">
      <c r="A539" s="1"/>
      <c r="B539" s="3">
        <v>43083</v>
      </c>
      <c r="C539" s="4">
        <v>90.97</v>
      </c>
      <c r="D539" s="4">
        <v>54.552599999999998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90.98</v>
      </c>
      <c r="D540" s="4">
        <v>54.558599999999998</v>
      </c>
      <c r="E540" s="4">
        <v>2</v>
      </c>
      <c r="F540" s="4"/>
      <c r="G540" s="4"/>
      <c r="H540" s="5">
        <f t="shared" si="8"/>
        <v>1.0998559188746692E-4</v>
      </c>
    </row>
    <row r="541" spans="1:8" ht="13.5" x14ac:dyDescent="0.25">
      <c r="A541" s="1"/>
      <c r="B541" s="3">
        <v>43087</v>
      </c>
      <c r="C541" s="4">
        <v>90.96</v>
      </c>
      <c r="D541" s="4">
        <v>54.546599999999998</v>
      </c>
      <c r="E541" s="4">
        <v>55</v>
      </c>
      <c r="F541" s="4"/>
      <c r="G541" s="4"/>
      <c r="H541" s="5">
        <f t="shared" si="8"/>
        <v>-2.1994699277474964E-4</v>
      </c>
    </row>
    <row r="542" spans="1:8" ht="13.5" x14ac:dyDescent="0.25">
      <c r="A542" s="1"/>
      <c r="B542" s="3">
        <v>43088</v>
      </c>
      <c r="C542" s="4">
        <v>90.96</v>
      </c>
      <c r="D542" s="4">
        <v>54.546599999999998</v>
      </c>
      <c r="E542" s="4">
        <v>0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90.96</v>
      </c>
      <c r="D543" s="4">
        <v>54.546599999999998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90</v>
      </c>
      <c r="D544" s="4">
        <v>53.9709</v>
      </c>
      <c r="E544" s="4">
        <v>86</v>
      </c>
      <c r="F544" s="4"/>
      <c r="G544" s="4"/>
      <c r="H544" s="5">
        <f t="shared" si="8"/>
        <v>-1.0554278360154394E-2</v>
      </c>
    </row>
    <row r="545" spans="1:8" ht="13.5" x14ac:dyDescent="0.25">
      <c r="A545" s="1"/>
      <c r="B545" s="3">
        <v>43091</v>
      </c>
      <c r="C545" s="4">
        <v>89.99</v>
      </c>
      <c r="D545" s="4">
        <v>53.9649</v>
      </c>
      <c r="E545" s="4">
        <v>14</v>
      </c>
      <c r="F545" s="4"/>
      <c r="G545" s="4"/>
      <c r="H545" s="5">
        <f t="shared" si="8"/>
        <v>-1.1117101993852664E-4</v>
      </c>
    </row>
    <row r="546" spans="1:8" ht="13.5" x14ac:dyDescent="0.25">
      <c r="A546" s="1"/>
      <c r="B546" s="3">
        <v>43094</v>
      </c>
      <c r="C546" s="4">
        <v>89</v>
      </c>
      <c r="D546" s="4">
        <v>53.371200000000002</v>
      </c>
      <c r="E546" s="4">
        <v>25</v>
      </c>
      <c r="F546" s="4"/>
      <c r="G546" s="4"/>
      <c r="H546" s="5">
        <f t="shared" si="8"/>
        <v>-1.1001595481507394E-2</v>
      </c>
    </row>
    <row r="547" spans="1:8" ht="13.5" x14ac:dyDescent="0.25">
      <c r="A547" s="1"/>
      <c r="B547" s="3">
        <v>43095</v>
      </c>
      <c r="C547" s="4">
        <v>89</v>
      </c>
      <c r="D547" s="4">
        <v>53.371200000000002</v>
      </c>
      <c r="E547" s="4">
        <v>30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89</v>
      </c>
      <c r="D548" s="4">
        <v>53.371200000000002</v>
      </c>
      <c r="E548" s="4">
        <v>4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89</v>
      </c>
      <c r="D549" s="4">
        <v>53.371200000000002</v>
      </c>
      <c r="E549" s="4">
        <v>2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89</v>
      </c>
      <c r="D550" s="4">
        <v>53.371200000000002</v>
      </c>
      <c r="E550" s="4">
        <v>0</v>
      </c>
      <c r="F550" s="4"/>
      <c r="G550" s="4"/>
      <c r="H550" s="5">
        <f t="shared" si="8"/>
        <v>0</v>
      </c>
    </row>
    <row r="551" spans="1:8" ht="13.5" x14ac:dyDescent="0.25">
      <c r="A551" s="1"/>
      <c r="B551" s="3">
        <v>43102</v>
      </c>
      <c r="C551" s="4">
        <v>89</v>
      </c>
      <c r="D551" s="4">
        <v>53.371200000000002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89</v>
      </c>
      <c r="D552" s="4">
        <v>53.371200000000002</v>
      </c>
      <c r="E552" s="4">
        <v>31</v>
      </c>
      <c r="F552" s="4"/>
      <c r="G552" s="4"/>
      <c r="H552" s="5">
        <f t="shared" si="8"/>
        <v>0</v>
      </c>
    </row>
    <row r="553" spans="1:8" ht="13.5" x14ac:dyDescent="0.25">
      <c r="A553" s="1"/>
      <c r="B553" s="3">
        <v>43104</v>
      </c>
      <c r="C553" s="4">
        <v>88</v>
      </c>
      <c r="D553" s="4">
        <v>52.771500000000003</v>
      </c>
      <c r="E553" s="4">
        <v>44</v>
      </c>
      <c r="F553" s="4"/>
      <c r="G553" s="4"/>
      <c r="H553" s="5">
        <f t="shared" si="8"/>
        <v>-1.123639715801778E-2</v>
      </c>
    </row>
    <row r="554" spans="1:8" ht="13.5" x14ac:dyDescent="0.25">
      <c r="A554" s="1"/>
      <c r="B554" s="3">
        <v>43105</v>
      </c>
      <c r="C554" s="4">
        <v>88.2</v>
      </c>
      <c r="D554" s="4">
        <v>52.891500000000001</v>
      </c>
      <c r="E554" s="4">
        <v>10</v>
      </c>
      <c r="F554" s="4"/>
      <c r="G554" s="4"/>
      <c r="H554" s="5">
        <f t="shared" si="8"/>
        <v>2.2739546914527244E-3</v>
      </c>
    </row>
    <row r="555" spans="1:8" ht="13.5" x14ac:dyDescent="0.25">
      <c r="A555" s="1"/>
      <c r="B555" s="3">
        <v>43108</v>
      </c>
      <c r="C555" s="4">
        <v>88.2</v>
      </c>
      <c r="D555" s="4">
        <v>52.891500000000001</v>
      </c>
      <c r="E555" s="4">
        <v>0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88.2</v>
      </c>
      <c r="D556" s="4">
        <v>52.891500000000001</v>
      </c>
      <c r="E556" s="4">
        <v>3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85.56</v>
      </c>
      <c r="D557" s="4">
        <v>51.308300000000003</v>
      </c>
      <c r="E557" s="4">
        <v>4</v>
      </c>
      <c r="F557" s="4"/>
      <c r="G557" s="4"/>
      <c r="H557" s="5">
        <f t="shared" si="8"/>
        <v>-2.993297599803367E-2</v>
      </c>
    </row>
    <row r="558" spans="1:8" ht="13.5" x14ac:dyDescent="0.25">
      <c r="A558" s="1"/>
      <c r="B558" s="3">
        <v>43111</v>
      </c>
      <c r="C558" s="4">
        <v>85.56</v>
      </c>
      <c r="D558" s="4">
        <v>51.308300000000003</v>
      </c>
      <c r="E558" s="4">
        <v>0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85.56</v>
      </c>
      <c r="D559" s="4">
        <v>51.308300000000003</v>
      </c>
      <c r="E559" s="4">
        <v>0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87.01</v>
      </c>
      <c r="D560" s="4">
        <v>52.177799999999998</v>
      </c>
      <c r="E560" s="4">
        <v>27</v>
      </c>
      <c r="F560" s="4"/>
      <c r="G560" s="4"/>
      <c r="H560" s="5">
        <f t="shared" si="8"/>
        <v>1.6946575895127981E-2</v>
      </c>
    </row>
    <row r="561" spans="1:8" ht="13.5" x14ac:dyDescent="0.25">
      <c r="A561" s="1"/>
      <c r="B561" s="3">
        <v>43116</v>
      </c>
      <c r="C561" s="4">
        <v>88</v>
      </c>
      <c r="D561" s="4">
        <v>52.771500000000003</v>
      </c>
      <c r="E561" s="4">
        <v>33</v>
      </c>
      <c r="F561" s="4"/>
      <c r="G561" s="4"/>
      <c r="H561" s="5">
        <f t="shared" si="8"/>
        <v>1.1378402309028082E-2</v>
      </c>
    </row>
    <row r="562" spans="1:8" ht="13.5" x14ac:dyDescent="0.25">
      <c r="A562" s="1"/>
      <c r="B562" s="3">
        <v>43117</v>
      </c>
      <c r="C562" s="4">
        <v>88</v>
      </c>
      <c r="D562" s="4">
        <v>52.771500000000003</v>
      </c>
      <c r="E562" s="4">
        <v>133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87</v>
      </c>
      <c r="D563" s="4">
        <v>52.171900000000001</v>
      </c>
      <c r="E563" s="4">
        <v>25</v>
      </c>
      <c r="F563" s="4"/>
      <c r="G563" s="4"/>
      <c r="H563" s="5">
        <f t="shared" si="8"/>
        <v>-1.1362193608292399E-2</v>
      </c>
    </row>
    <row r="564" spans="1:8" ht="13.5" x14ac:dyDescent="0.25">
      <c r="A564" s="1"/>
      <c r="B564" s="3">
        <v>43119</v>
      </c>
      <c r="C564" s="4">
        <v>85.9</v>
      </c>
      <c r="D564" s="4">
        <v>51.5122</v>
      </c>
      <c r="E564" s="4">
        <v>49</v>
      </c>
      <c r="F564" s="4"/>
      <c r="G564" s="4"/>
      <c r="H564" s="5">
        <f t="shared" si="8"/>
        <v>-1.2644737876136403E-2</v>
      </c>
    </row>
    <row r="565" spans="1:8" ht="13.5" x14ac:dyDescent="0.25">
      <c r="A565" s="1"/>
      <c r="B565" s="3">
        <v>43122</v>
      </c>
      <c r="C565" s="4">
        <v>88</v>
      </c>
      <c r="D565" s="4">
        <v>52.771500000000003</v>
      </c>
      <c r="E565" s="4">
        <v>3</v>
      </c>
      <c r="F565" s="4"/>
      <c r="G565" s="4"/>
      <c r="H565" s="5">
        <f t="shared" si="8"/>
        <v>2.4446635942553478E-2</v>
      </c>
    </row>
    <row r="566" spans="1:8" ht="13.5" x14ac:dyDescent="0.25">
      <c r="A566" s="1"/>
      <c r="B566" s="3">
        <v>43123</v>
      </c>
      <c r="C566" s="4">
        <v>88</v>
      </c>
      <c r="D566" s="4">
        <v>52.771500000000003</v>
      </c>
      <c r="E566" s="4">
        <v>0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87</v>
      </c>
      <c r="D567" s="4">
        <v>52.171900000000001</v>
      </c>
      <c r="E567" s="4">
        <v>25</v>
      </c>
      <c r="F567" s="4"/>
      <c r="G567" s="4"/>
      <c r="H567" s="5">
        <f t="shared" si="8"/>
        <v>-1.1362193608292399E-2</v>
      </c>
    </row>
    <row r="568" spans="1:8" ht="13.5" x14ac:dyDescent="0.25">
      <c r="A568" s="1"/>
      <c r="B568" s="3">
        <v>43125</v>
      </c>
      <c r="C568" s="4">
        <v>84</v>
      </c>
      <c r="D568" s="4">
        <v>50.372799999999998</v>
      </c>
      <c r="E568" s="4">
        <v>40</v>
      </c>
      <c r="F568" s="4"/>
      <c r="G568" s="4"/>
      <c r="H568" s="5">
        <f t="shared" si="8"/>
        <v>-3.4484080510773091E-2</v>
      </c>
    </row>
    <row r="569" spans="1:8" ht="13.5" x14ac:dyDescent="0.25">
      <c r="A569" s="1"/>
      <c r="B569" s="3">
        <v>43126</v>
      </c>
      <c r="C569" s="4">
        <v>84</v>
      </c>
      <c r="D569" s="4">
        <v>50.372799999999998</v>
      </c>
      <c r="E569" s="4">
        <v>67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84</v>
      </c>
      <c r="D570" s="4">
        <v>50.372799999999998</v>
      </c>
      <c r="E570" s="4">
        <v>13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84</v>
      </c>
      <c r="D571" s="4">
        <v>50.372799999999998</v>
      </c>
      <c r="E571" s="4">
        <v>0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43131</v>
      </c>
      <c r="C572" s="4">
        <v>83.97</v>
      </c>
      <c r="D572" s="4">
        <v>50.354799999999997</v>
      </c>
      <c r="E572" s="4">
        <v>4</v>
      </c>
      <c r="F572" s="4"/>
      <c r="G572" s="4"/>
      <c r="H572" s="5">
        <f t="shared" si="8"/>
        <v>-3.5733570498365551E-4</v>
      </c>
    </row>
    <row r="573" spans="1:8" ht="13.5" x14ac:dyDescent="0.25">
      <c r="A573" s="1"/>
      <c r="B573" s="3">
        <v>43132</v>
      </c>
      <c r="C573" s="4">
        <v>83.97</v>
      </c>
      <c r="D573" s="4">
        <v>50.354799999999997</v>
      </c>
      <c r="E573" s="4">
        <v>7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83</v>
      </c>
      <c r="D574" s="4">
        <v>49.773099999999999</v>
      </c>
      <c r="E574" s="4">
        <v>20</v>
      </c>
      <c r="F574" s="4"/>
      <c r="G574" s="4"/>
      <c r="H574" s="5">
        <f t="shared" si="8"/>
        <v>-1.1552026817701549E-2</v>
      </c>
    </row>
    <row r="575" spans="1:8" ht="13.5" x14ac:dyDescent="0.25">
      <c r="A575" s="1"/>
      <c r="B575" s="3">
        <v>43136</v>
      </c>
      <c r="C575" s="4">
        <v>81.459999999999994</v>
      </c>
      <c r="D575" s="4">
        <v>48.849600000000002</v>
      </c>
      <c r="E575" s="4">
        <v>51</v>
      </c>
      <c r="F575" s="4"/>
      <c r="G575" s="4"/>
      <c r="H575" s="5">
        <f t="shared" si="8"/>
        <v>-1.8554198954857083E-2</v>
      </c>
    </row>
    <row r="576" spans="1:8" ht="13.5" x14ac:dyDescent="0.25">
      <c r="A576" s="1"/>
      <c r="B576" s="3">
        <v>43137</v>
      </c>
      <c r="C576" s="4">
        <v>81</v>
      </c>
      <c r="D576" s="4">
        <v>48.573799999999999</v>
      </c>
      <c r="E576" s="4">
        <v>64</v>
      </c>
      <c r="F576" s="4"/>
      <c r="G576" s="4"/>
      <c r="H576" s="5">
        <f t="shared" si="8"/>
        <v>-5.6459008876224943E-3</v>
      </c>
    </row>
    <row r="577" spans="1:8" ht="13.5" x14ac:dyDescent="0.25">
      <c r="A577" s="1"/>
      <c r="B577" s="3">
        <v>43138</v>
      </c>
      <c r="C577" s="4">
        <v>79.88</v>
      </c>
      <c r="D577" s="4">
        <v>47.902200000000001</v>
      </c>
      <c r="E577" s="4">
        <v>87</v>
      </c>
      <c r="F577" s="4"/>
      <c r="G577" s="4"/>
      <c r="H577" s="5">
        <f t="shared" si="8"/>
        <v>-1.3826383770674685E-2</v>
      </c>
    </row>
    <row r="578" spans="1:8" ht="13.5" x14ac:dyDescent="0.25">
      <c r="A578" s="1"/>
      <c r="B578" s="3">
        <v>43139</v>
      </c>
      <c r="C578" s="4">
        <v>82.1</v>
      </c>
      <c r="D578" s="4">
        <v>49.233400000000003</v>
      </c>
      <c r="E578" s="4">
        <v>95</v>
      </c>
      <c r="F578" s="4"/>
      <c r="G578" s="4"/>
      <c r="H578" s="5">
        <f t="shared" si="8"/>
        <v>2.7789955367394453E-2</v>
      </c>
    </row>
    <row r="579" spans="1:8" ht="13.5" x14ac:dyDescent="0.25">
      <c r="A579" s="1"/>
      <c r="B579" s="3">
        <v>43140</v>
      </c>
      <c r="C579" s="4">
        <v>82.12</v>
      </c>
      <c r="D579" s="4">
        <v>49.245399999999997</v>
      </c>
      <c r="E579" s="4">
        <v>115</v>
      </c>
      <c r="F579" s="4"/>
      <c r="G579" s="4"/>
      <c r="H579" s="5">
        <f t="shared" si="8"/>
        <v>2.4373697530524703E-4</v>
      </c>
    </row>
    <row r="580" spans="1:8" ht="13.5" x14ac:dyDescent="0.25">
      <c r="A580" s="1"/>
      <c r="B580" s="3">
        <v>43143</v>
      </c>
      <c r="C580" s="4">
        <v>84.5</v>
      </c>
      <c r="D580" s="4">
        <v>50.672699999999999</v>
      </c>
      <c r="E580" s="4">
        <v>584</v>
      </c>
      <c r="F580" s="4"/>
      <c r="G580" s="4"/>
      <c r="H580" s="5">
        <f t="shared" si="8"/>
        <v>2.8983417740540286E-2</v>
      </c>
    </row>
    <row r="581" spans="1:8" ht="13.5" x14ac:dyDescent="0.25">
      <c r="A581" s="1"/>
      <c r="B581" s="3">
        <v>43144</v>
      </c>
      <c r="C581" s="4">
        <v>84.5</v>
      </c>
      <c r="D581" s="4">
        <v>50.672699999999999</v>
      </c>
      <c r="E581" s="4">
        <v>0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81.97</v>
      </c>
      <c r="D582" s="4">
        <v>49.155500000000004</v>
      </c>
      <c r="E582" s="4">
        <v>0</v>
      </c>
      <c r="F582" s="4"/>
      <c r="G582" s="4"/>
      <c r="H582" s="5">
        <f t="shared" si="8"/>
        <v>-2.9941171478922488E-2</v>
      </c>
    </row>
    <row r="583" spans="1:8" ht="13.5" x14ac:dyDescent="0.25">
      <c r="A583" s="1"/>
      <c r="B583" s="3">
        <v>43146</v>
      </c>
      <c r="C583" s="4">
        <v>82</v>
      </c>
      <c r="D583" s="4">
        <v>49.173499999999997</v>
      </c>
      <c r="E583" s="4">
        <v>102</v>
      </c>
      <c r="F583" s="4"/>
      <c r="G583" s="4"/>
      <c r="H583" s="5">
        <f t="shared" ref="H583:H646" si="9">(D583-D582)/D582</f>
        <v>3.6618486232453288E-4</v>
      </c>
    </row>
    <row r="584" spans="1:8" ht="13.5" x14ac:dyDescent="0.25">
      <c r="A584" s="1"/>
      <c r="B584" s="3">
        <v>43147</v>
      </c>
      <c r="C584" s="4">
        <v>82</v>
      </c>
      <c r="D584" s="4">
        <v>49.173499999999997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82</v>
      </c>
      <c r="D585" s="4">
        <v>49.173499999999997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82</v>
      </c>
      <c r="D586" s="4">
        <v>49.173499999999997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82</v>
      </c>
      <c r="D587" s="4">
        <v>49.173499999999997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82</v>
      </c>
      <c r="D588" s="4">
        <v>49.173499999999997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82</v>
      </c>
      <c r="D589" s="4">
        <v>49.173499999999997</v>
      </c>
      <c r="E589" s="4">
        <v>0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82</v>
      </c>
      <c r="D590" s="4">
        <v>49.173499999999997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82</v>
      </c>
      <c r="D591" s="4">
        <v>49.173499999999997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81</v>
      </c>
      <c r="D592" s="4">
        <v>48.573799999999999</v>
      </c>
      <c r="E592" s="4">
        <v>32</v>
      </c>
      <c r="F592" s="4"/>
      <c r="G592" s="4"/>
      <c r="H592" s="5">
        <f t="shared" si="9"/>
        <v>-1.2195593154849636E-2</v>
      </c>
    </row>
    <row r="593" spans="1:8" ht="13.5" x14ac:dyDescent="0.25">
      <c r="A593" s="1"/>
      <c r="B593" s="3">
        <v>43160</v>
      </c>
      <c r="C593" s="4">
        <v>81</v>
      </c>
      <c r="D593" s="4">
        <v>48.573799999999999</v>
      </c>
      <c r="E593" s="4">
        <v>0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81</v>
      </c>
      <c r="D594" s="4">
        <v>48.573799999999999</v>
      </c>
      <c r="E594" s="4">
        <v>4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80</v>
      </c>
      <c r="D595" s="4">
        <v>47.9741</v>
      </c>
      <c r="E595" s="4">
        <v>143</v>
      </c>
      <c r="F595" s="4"/>
      <c r="G595" s="4"/>
      <c r="H595" s="5">
        <f t="shared" si="9"/>
        <v>-1.2346161922682569E-2</v>
      </c>
    </row>
    <row r="596" spans="1:8" ht="13.5" x14ac:dyDescent="0.25">
      <c r="A596" s="1"/>
      <c r="B596" s="3">
        <v>43165</v>
      </c>
      <c r="C596" s="4">
        <v>80</v>
      </c>
      <c r="D596" s="4">
        <v>47.9741</v>
      </c>
      <c r="E596" s="4">
        <v>46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81.5</v>
      </c>
      <c r="D597" s="4">
        <v>48.873600000000003</v>
      </c>
      <c r="E597" s="4">
        <v>1</v>
      </c>
      <c r="F597" s="4"/>
      <c r="G597" s="4"/>
      <c r="H597" s="5">
        <f t="shared" si="9"/>
        <v>1.8749700359152195E-2</v>
      </c>
    </row>
    <row r="598" spans="1:8" ht="13.5" x14ac:dyDescent="0.25">
      <c r="A598" s="1"/>
      <c r="B598" s="3">
        <v>43167</v>
      </c>
      <c r="C598" s="4">
        <v>81.5</v>
      </c>
      <c r="D598" s="4">
        <v>48.873600000000003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80.010000000000005</v>
      </c>
      <c r="D599" s="4">
        <v>47.9801</v>
      </c>
      <c r="E599" s="4">
        <v>241</v>
      </c>
      <c r="F599" s="4"/>
      <c r="G599" s="4"/>
      <c r="H599" s="5">
        <f t="shared" si="9"/>
        <v>-1.828185359785248E-2</v>
      </c>
    </row>
    <row r="600" spans="1:8" ht="13.5" x14ac:dyDescent="0.25">
      <c r="A600" s="1"/>
      <c r="B600" s="3">
        <v>43171</v>
      </c>
      <c r="C600" s="4">
        <v>80</v>
      </c>
      <c r="D600" s="4">
        <v>47.9741</v>
      </c>
      <c r="E600" s="4">
        <v>250</v>
      </c>
      <c r="F600" s="4"/>
      <c r="G600" s="4"/>
      <c r="H600" s="5">
        <f t="shared" si="9"/>
        <v>-1.2505184441049993E-4</v>
      </c>
    </row>
    <row r="601" spans="1:8" ht="13.5" x14ac:dyDescent="0.25">
      <c r="A601" s="1"/>
      <c r="B601" s="3">
        <v>43172</v>
      </c>
      <c r="C601" s="4">
        <v>80</v>
      </c>
      <c r="D601" s="4">
        <v>47.9741</v>
      </c>
      <c r="E601" s="4">
        <v>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81.99</v>
      </c>
      <c r="D602" s="4">
        <v>49.167499999999997</v>
      </c>
      <c r="E602" s="4">
        <v>2</v>
      </c>
      <c r="F602" s="4"/>
      <c r="G602" s="4"/>
      <c r="H602" s="5">
        <f t="shared" si="9"/>
        <v>2.4875922633254128E-2</v>
      </c>
    </row>
    <row r="603" spans="1:8" ht="13.5" x14ac:dyDescent="0.25">
      <c r="A603" s="1"/>
      <c r="B603" s="3">
        <v>43174</v>
      </c>
      <c r="C603" s="4">
        <v>81.99</v>
      </c>
      <c r="D603" s="4">
        <v>49.167499999999997</v>
      </c>
      <c r="E603" s="4">
        <v>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80</v>
      </c>
      <c r="D604" s="4">
        <v>47.9741</v>
      </c>
      <c r="E604" s="4">
        <v>1</v>
      </c>
      <c r="F604" s="4"/>
      <c r="G604" s="4"/>
      <c r="H604" s="5">
        <f t="shared" si="9"/>
        <v>-2.4272130980830774E-2</v>
      </c>
    </row>
    <row r="605" spans="1:8" ht="13.5" x14ac:dyDescent="0.25">
      <c r="A605" s="1"/>
      <c r="B605" s="3">
        <v>43178</v>
      </c>
      <c r="C605" s="4">
        <v>80</v>
      </c>
      <c r="D605" s="4">
        <v>47.9741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80</v>
      </c>
      <c r="D606" s="4">
        <v>47.9741</v>
      </c>
      <c r="E606" s="4">
        <v>45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79.099999999999994</v>
      </c>
      <c r="D607" s="4">
        <v>47.434399999999997</v>
      </c>
      <c r="E607" s="4">
        <v>45</v>
      </c>
      <c r="F607" s="4"/>
      <c r="G607" s="4"/>
      <c r="H607" s="5">
        <f t="shared" si="9"/>
        <v>-1.1249820215491346E-2</v>
      </c>
    </row>
    <row r="608" spans="1:8" ht="13.5" x14ac:dyDescent="0.25">
      <c r="A608" s="1"/>
      <c r="B608" s="3">
        <v>43182</v>
      </c>
      <c r="C608" s="4">
        <v>79.099999999999994</v>
      </c>
      <c r="D608" s="4">
        <v>47.434399999999997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80</v>
      </c>
      <c r="D609" s="4">
        <v>47.9741</v>
      </c>
      <c r="E609" s="4">
        <v>11</v>
      </c>
      <c r="F609" s="4"/>
      <c r="G609" s="4"/>
      <c r="H609" s="5">
        <f t="shared" si="9"/>
        <v>1.1377818629517891E-2</v>
      </c>
    </row>
    <row r="610" spans="1:8" ht="13.5" x14ac:dyDescent="0.25">
      <c r="A610" s="1"/>
      <c r="B610" s="3">
        <v>43186</v>
      </c>
      <c r="C610" s="4">
        <v>80</v>
      </c>
      <c r="D610" s="4">
        <v>47.9741</v>
      </c>
      <c r="E610" s="4">
        <v>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80</v>
      </c>
      <c r="D611" s="4">
        <v>47.9741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80</v>
      </c>
      <c r="D612" s="4">
        <v>47.9741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80</v>
      </c>
      <c r="D613" s="4">
        <v>47.9741</v>
      </c>
      <c r="E613" s="4">
        <v>0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80</v>
      </c>
      <c r="D614" s="4">
        <v>47.9741</v>
      </c>
      <c r="E614" s="4">
        <v>2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82</v>
      </c>
      <c r="D615" s="4">
        <v>49.173499999999997</v>
      </c>
      <c r="E615" s="4">
        <v>479</v>
      </c>
      <c r="F615" s="4"/>
      <c r="G615" s="4"/>
      <c r="H615" s="5">
        <f t="shared" si="9"/>
        <v>2.5000990117584221E-2</v>
      </c>
    </row>
    <row r="616" spans="1:8" ht="13.5" x14ac:dyDescent="0.25">
      <c r="A616" s="1"/>
      <c r="B616" s="3">
        <v>43194</v>
      </c>
      <c r="C616" s="4">
        <v>80</v>
      </c>
      <c r="D616" s="4">
        <v>47.9741</v>
      </c>
      <c r="E616" s="4">
        <v>25</v>
      </c>
      <c r="F616" s="4"/>
      <c r="G616" s="4"/>
      <c r="H616" s="5">
        <f t="shared" si="9"/>
        <v>-2.4391186309699272E-2</v>
      </c>
    </row>
    <row r="617" spans="1:8" ht="13.5" x14ac:dyDescent="0.25">
      <c r="A617" s="1"/>
      <c r="B617" s="3">
        <v>43195</v>
      </c>
      <c r="C617" s="4">
        <v>80.099999999999994</v>
      </c>
      <c r="D617" s="4">
        <v>48.034100000000002</v>
      </c>
      <c r="E617" s="4">
        <v>5</v>
      </c>
      <c r="F617" s="4"/>
      <c r="G617" s="4"/>
      <c r="H617" s="5">
        <f t="shared" si="9"/>
        <v>1.2506748433009118E-3</v>
      </c>
    </row>
    <row r="618" spans="1:8" ht="13.5" x14ac:dyDescent="0.25">
      <c r="A618" s="1"/>
      <c r="B618" s="3">
        <v>43196</v>
      </c>
      <c r="C618" s="4">
        <v>80.099999999999994</v>
      </c>
      <c r="D618" s="4">
        <v>48.034100000000002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80.099999999999994</v>
      </c>
      <c r="D619" s="4">
        <v>48.034100000000002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80.099999999999994</v>
      </c>
      <c r="D620" s="4">
        <v>48.034100000000002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80.099999999999994</v>
      </c>
      <c r="D621" s="4">
        <v>48.034100000000002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80.099999999999994</v>
      </c>
      <c r="D622" s="4">
        <v>48.034100000000002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80.099999999999994</v>
      </c>
      <c r="D623" s="4">
        <v>48.034100000000002</v>
      </c>
      <c r="E623" s="4">
        <v>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80.099999999999994</v>
      </c>
      <c r="D624" s="4">
        <v>48.034100000000002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80.099999999999994</v>
      </c>
      <c r="D625" s="4">
        <v>48.034100000000002</v>
      </c>
      <c r="E625" s="4">
        <v>0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84.47</v>
      </c>
      <c r="D626" s="4">
        <v>50.654699999999998</v>
      </c>
      <c r="E626" s="4">
        <v>6</v>
      </c>
      <c r="F626" s="4"/>
      <c r="G626" s="4"/>
      <c r="H626" s="5">
        <f t="shared" si="9"/>
        <v>5.4557075077913311E-2</v>
      </c>
    </row>
    <row r="627" spans="1:8" ht="13.5" x14ac:dyDescent="0.25">
      <c r="A627" s="1"/>
      <c r="B627" s="3">
        <v>43210</v>
      </c>
      <c r="C627" s="4">
        <v>86.75</v>
      </c>
      <c r="D627" s="4">
        <v>52.021900000000002</v>
      </c>
      <c r="E627" s="4">
        <v>7</v>
      </c>
      <c r="F627" s="4"/>
      <c r="G627" s="4"/>
      <c r="H627" s="5">
        <f t="shared" si="9"/>
        <v>2.6990585276391015E-2</v>
      </c>
    </row>
    <row r="628" spans="1:8" ht="13.5" x14ac:dyDescent="0.25">
      <c r="A628" s="1"/>
      <c r="B628" s="3">
        <v>43213</v>
      </c>
      <c r="C628" s="4">
        <v>89</v>
      </c>
      <c r="D628" s="4">
        <v>53.371200000000002</v>
      </c>
      <c r="E628" s="4">
        <v>6</v>
      </c>
      <c r="F628" s="4"/>
      <c r="G628" s="4"/>
      <c r="H628" s="5">
        <f t="shared" si="9"/>
        <v>2.5937153391167939E-2</v>
      </c>
    </row>
    <row r="629" spans="1:8" ht="13.5" x14ac:dyDescent="0.25">
      <c r="A629" s="1"/>
      <c r="B629" s="3">
        <v>43214</v>
      </c>
      <c r="C629" s="4">
        <v>93</v>
      </c>
      <c r="D629" s="4">
        <v>55.7699</v>
      </c>
      <c r="E629" s="4">
        <v>53</v>
      </c>
      <c r="F629" s="4"/>
      <c r="G629" s="4"/>
      <c r="H629" s="5">
        <f t="shared" si="9"/>
        <v>4.4943714962376674E-2</v>
      </c>
    </row>
    <row r="630" spans="1:8" ht="13.5" x14ac:dyDescent="0.25">
      <c r="A630" s="1"/>
      <c r="B630" s="3">
        <v>43215</v>
      </c>
      <c r="C630" s="4">
        <v>94.02</v>
      </c>
      <c r="D630" s="4">
        <v>56.381599999999999</v>
      </c>
      <c r="E630" s="4">
        <v>53</v>
      </c>
      <c r="F630" s="4"/>
      <c r="G630" s="4"/>
      <c r="H630" s="5">
        <f t="shared" si="9"/>
        <v>1.0968282173717345E-2</v>
      </c>
    </row>
    <row r="631" spans="1:8" ht="13.5" x14ac:dyDescent="0.25">
      <c r="A631" s="1"/>
      <c r="B631" s="3">
        <v>43216</v>
      </c>
      <c r="C631" s="4">
        <v>94.02</v>
      </c>
      <c r="D631" s="4">
        <v>56.381599999999999</v>
      </c>
      <c r="E631" s="4">
        <v>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94.03</v>
      </c>
      <c r="D632" s="4">
        <v>56.387599999999999</v>
      </c>
      <c r="E632" s="4">
        <v>89</v>
      </c>
      <c r="F632" s="4"/>
      <c r="G632" s="4"/>
      <c r="H632" s="5">
        <f t="shared" si="9"/>
        <v>1.0641769655348956E-4</v>
      </c>
    </row>
    <row r="633" spans="1:8" ht="13.5" x14ac:dyDescent="0.25">
      <c r="A633" s="1"/>
      <c r="B633" s="3">
        <v>43220</v>
      </c>
      <c r="C633" s="4">
        <v>94.03</v>
      </c>
      <c r="D633" s="4">
        <v>56.387599999999999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94.03</v>
      </c>
      <c r="D634" s="4">
        <v>56.387599999999999</v>
      </c>
      <c r="E634" s="4">
        <v>119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94.03</v>
      </c>
      <c r="D635" s="4">
        <v>56.387599999999999</v>
      </c>
      <c r="E635" s="4">
        <v>14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94</v>
      </c>
      <c r="D636" s="4">
        <v>56.369599999999998</v>
      </c>
      <c r="E636" s="4">
        <v>9</v>
      </c>
      <c r="F636" s="4"/>
      <c r="G636" s="4"/>
      <c r="H636" s="5">
        <f t="shared" si="9"/>
        <v>-3.1921911909711854E-4</v>
      </c>
    </row>
    <row r="637" spans="1:8" ht="13.5" x14ac:dyDescent="0.25">
      <c r="A637" s="1"/>
      <c r="B637" s="3">
        <v>43227</v>
      </c>
      <c r="C637" s="4">
        <v>94</v>
      </c>
      <c r="D637" s="4">
        <v>56.369599999999998</v>
      </c>
      <c r="E637" s="4">
        <v>0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94</v>
      </c>
      <c r="D638" s="4">
        <v>56.369599999999998</v>
      </c>
      <c r="E638" s="4">
        <v>0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94</v>
      </c>
      <c r="D639" s="4">
        <v>56.369599999999998</v>
      </c>
      <c r="E639" s="4">
        <v>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96.5</v>
      </c>
      <c r="D640" s="4">
        <v>57.8688</v>
      </c>
      <c r="E640" s="4">
        <v>61</v>
      </c>
      <c r="F640" s="4"/>
      <c r="G640" s="4"/>
      <c r="H640" s="5">
        <f t="shared" si="9"/>
        <v>2.659589566007213E-2</v>
      </c>
    </row>
    <row r="641" spans="1:8" ht="13.5" x14ac:dyDescent="0.25">
      <c r="A641" s="1"/>
      <c r="B641" s="3">
        <v>43231</v>
      </c>
      <c r="C641" s="4">
        <v>96.5</v>
      </c>
      <c r="D641" s="4">
        <v>57.8688</v>
      </c>
      <c r="E641" s="4">
        <v>48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96.5</v>
      </c>
      <c r="D642" s="4">
        <v>57.8688</v>
      </c>
      <c r="E642" s="4">
        <v>1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96.5</v>
      </c>
      <c r="D643" s="4">
        <v>57.8688</v>
      </c>
      <c r="E643" s="4">
        <v>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96.5</v>
      </c>
      <c r="D644" s="4">
        <v>57.8688</v>
      </c>
      <c r="E644" s="4">
        <v>153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96.5</v>
      </c>
      <c r="D645" s="4">
        <v>57.8688</v>
      </c>
      <c r="E645" s="4">
        <v>65</v>
      </c>
      <c r="F645" s="4"/>
      <c r="G645" s="4"/>
      <c r="H645" s="5">
        <f t="shared" si="9"/>
        <v>0</v>
      </c>
    </row>
    <row r="646" spans="1:8" ht="13.5" x14ac:dyDescent="0.25">
      <c r="A646" s="1"/>
      <c r="B646" s="3">
        <v>43238</v>
      </c>
      <c r="C646" s="4">
        <v>95</v>
      </c>
      <c r="D646" s="4">
        <v>56.969299999999997</v>
      </c>
      <c r="E646" s="4">
        <v>52</v>
      </c>
      <c r="F646" s="4"/>
      <c r="G646" s="4"/>
      <c r="H646" s="5">
        <f t="shared" si="9"/>
        <v>-1.5543781796062875E-2</v>
      </c>
    </row>
    <row r="647" spans="1:8" ht="13.5" x14ac:dyDescent="0.25">
      <c r="A647" s="1"/>
      <c r="B647" s="3">
        <v>43241</v>
      </c>
      <c r="C647" s="4">
        <v>95</v>
      </c>
      <c r="D647" s="4">
        <v>56.969299999999997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95</v>
      </c>
      <c r="D648" s="4">
        <v>56.969299999999997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95</v>
      </c>
      <c r="D649" s="4">
        <v>56.969299999999997</v>
      </c>
      <c r="E649" s="4">
        <v>75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92.21</v>
      </c>
      <c r="D650" s="4">
        <v>55.296199999999999</v>
      </c>
      <c r="E650" s="4">
        <v>64</v>
      </c>
      <c r="F650" s="4"/>
      <c r="G650" s="4"/>
      <c r="H650" s="5">
        <f t="shared" si="10"/>
        <v>-2.9368449322705353E-2</v>
      </c>
    </row>
    <row r="651" spans="1:8" ht="13.5" x14ac:dyDescent="0.25">
      <c r="A651" s="1"/>
      <c r="B651" s="3">
        <v>43245</v>
      </c>
      <c r="C651" s="4">
        <v>92.21</v>
      </c>
      <c r="D651" s="4">
        <v>55.296199999999999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94.96</v>
      </c>
      <c r="D652" s="4">
        <v>56.945300000000003</v>
      </c>
      <c r="E652" s="4">
        <v>34</v>
      </c>
      <c r="F652" s="4"/>
      <c r="G652" s="4"/>
      <c r="H652" s="5">
        <f t="shared" si="10"/>
        <v>2.9823025813708794E-2</v>
      </c>
    </row>
    <row r="653" spans="1:8" ht="13.5" x14ac:dyDescent="0.25">
      <c r="A653" s="1"/>
      <c r="B653" s="3">
        <v>43249</v>
      </c>
      <c r="C653" s="4">
        <v>94.96</v>
      </c>
      <c r="D653" s="4">
        <v>56.945300000000003</v>
      </c>
      <c r="E653" s="4">
        <v>0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97</v>
      </c>
      <c r="D654" s="4">
        <v>58.168599999999998</v>
      </c>
      <c r="E654" s="4">
        <v>1</v>
      </c>
      <c r="F654" s="4"/>
      <c r="G654" s="4"/>
      <c r="H654" s="5">
        <f t="shared" si="10"/>
        <v>2.1482018709182225E-2</v>
      </c>
    </row>
    <row r="655" spans="1:8" ht="13.5" x14ac:dyDescent="0.25">
      <c r="A655" s="1"/>
      <c r="B655" s="3">
        <v>43251</v>
      </c>
      <c r="C655" s="4">
        <v>97.12</v>
      </c>
      <c r="D655" s="4">
        <v>58.240600000000001</v>
      </c>
      <c r="E655" s="4">
        <v>124</v>
      </c>
      <c r="F655" s="4"/>
      <c r="G655" s="4"/>
      <c r="H655" s="5">
        <f t="shared" si="10"/>
        <v>1.2377812084183345E-3</v>
      </c>
    </row>
    <row r="656" spans="1:8" ht="13.5" x14ac:dyDescent="0.25">
      <c r="A656" s="1"/>
      <c r="B656" s="3">
        <v>43252</v>
      </c>
      <c r="C656" s="4">
        <v>97.2</v>
      </c>
      <c r="D656" s="4">
        <v>58.288600000000002</v>
      </c>
      <c r="E656" s="4">
        <v>70</v>
      </c>
      <c r="F656" s="4"/>
      <c r="G656" s="4"/>
      <c r="H656" s="5">
        <f t="shared" si="10"/>
        <v>8.2416733344096418E-4</v>
      </c>
    </row>
    <row r="657" spans="1:8" ht="13.5" x14ac:dyDescent="0.25">
      <c r="A657" s="1"/>
      <c r="B657" s="3">
        <v>43255</v>
      </c>
      <c r="C657" s="4">
        <v>97.2</v>
      </c>
      <c r="D657" s="4">
        <v>58.288600000000002</v>
      </c>
      <c r="E657" s="4">
        <v>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97.2</v>
      </c>
      <c r="D658" s="4">
        <v>58.288600000000002</v>
      </c>
      <c r="E658" s="4">
        <v>122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97.2</v>
      </c>
      <c r="D659" s="4">
        <v>58.288600000000002</v>
      </c>
      <c r="E659" s="4">
        <v>38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97.2</v>
      </c>
      <c r="D660" s="4">
        <v>58.288600000000002</v>
      </c>
      <c r="E660" s="4">
        <v>155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97.2</v>
      </c>
      <c r="D661" s="4">
        <v>58.288600000000002</v>
      </c>
      <c r="E661" s="4">
        <v>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97.2</v>
      </c>
      <c r="D662" s="4">
        <v>58.288600000000002</v>
      </c>
      <c r="E662" s="4">
        <v>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97.2</v>
      </c>
      <c r="D663" s="4">
        <v>58.288600000000002</v>
      </c>
      <c r="E663" s="4">
        <v>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94.5</v>
      </c>
      <c r="D664" s="4">
        <v>56.669400000000003</v>
      </c>
      <c r="E664" s="4">
        <v>120</v>
      </c>
      <c r="F664" s="4"/>
      <c r="G664" s="4"/>
      <c r="H664" s="5">
        <f t="shared" si="10"/>
        <v>-2.7779016823186682E-2</v>
      </c>
    </row>
    <row r="665" spans="1:8" ht="13.5" x14ac:dyDescent="0.25">
      <c r="A665" s="1"/>
      <c r="B665" s="3">
        <v>43265</v>
      </c>
      <c r="C665" s="4">
        <v>91.67</v>
      </c>
      <c r="D665" s="4">
        <v>54.972299999999997</v>
      </c>
      <c r="E665" s="4">
        <v>1</v>
      </c>
      <c r="F665" s="4"/>
      <c r="G665" s="4"/>
      <c r="H665" s="5">
        <f t="shared" si="10"/>
        <v>-2.9947379008777329E-2</v>
      </c>
    </row>
    <row r="666" spans="1:8" ht="13.5" x14ac:dyDescent="0.25">
      <c r="A666" s="1"/>
      <c r="B666" s="3">
        <v>43269</v>
      </c>
      <c r="C666" s="4">
        <v>84.95</v>
      </c>
      <c r="D666" s="4">
        <v>53.253700000000002</v>
      </c>
      <c r="E666" s="4">
        <v>120</v>
      </c>
      <c r="F666" s="4"/>
      <c r="G666" s="4"/>
      <c r="H666" s="5">
        <f t="shared" si="10"/>
        <v>-3.1263017919934133E-2</v>
      </c>
    </row>
    <row r="667" spans="1:8" ht="13.5" x14ac:dyDescent="0.25">
      <c r="A667" s="1"/>
      <c r="B667" s="3">
        <v>43270</v>
      </c>
      <c r="C667" s="4">
        <v>84.94</v>
      </c>
      <c r="D667" s="4">
        <v>53.247500000000002</v>
      </c>
      <c r="E667" s="4">
        <v>32</v>
      </c>
      <c r="F667" s="4"/>
      <c r="G667" s="4"/>
      <c r="H667" s="5">
        <f t="shared" si="10"/>
        <v>-1.1642383533913626E-4</v>
      </c>
    </row>
    <row r="668" spans="1:8" ht="13.5" x14ac:dyDescent="0.25">
      <c r="A668" s="1"/>
      <c r="B668" s="3">
        <v>43271</v>
      </c>
      <c r="C668" s="4">
        <v>84.95</v>
      </c>
      <c r="D668" s="4">
        <v>53.253700000000002</v>
      </c>
      <c r="E668" s="4">
        <v>71</v>
      </c>
      <c r="F668" s="4"/>
      <c r="G668" s="4"/>
      <c r="H668" s="5">
        <f t="shared" si="10"/>
        <v>1.1643739142682307E-4</v>
      </c>
    </row>
    <row r="669" spans="1:8" ht="13.5" x14ac:dyDescent="0.25">
      <c r="A669" s="1"/>
      <c r="B669" s="3">
        <v>43272</v>
      </c>
      <c r="C669" s="4">
        <v>84.95</v>
      </c>
      <c r="D669" s="4">
        <v>53.253700000000002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84.95</v>
      </c>
      <c r="D670" s="4">
        <v>53.253700000000002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84.95</v>
      </c>
      <c r="D671" s="4">
        <v>53.253700000000002</v>
      </c>
      <c r="E671" s="4">
        <v>0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85</v>
      </c>
      <c r="D672" s="4">
        <v>53.2851</v>
      </c>
      <c r="E672" s="4">
        <v>50</v>
      </c>
      <c r="F672" s="4"/>
      <c r="G672" s="4"/>
      <c r="H672" s="5">
        <f t="shared" si="10"/>
        <v>5.8963039187883424E-4</v>
      </c>
    </row>
    <row r="673" spans="1:8" ht="13.5" x14ac:dyDescent="0.25">
      <c r="A673" s="1"/>
      <c r="B673" s="3">
        <v>43278</v>
      </c>
      <c r="C673" s="4">
        <v>87.49</v>
      </c>
      <c r="D673" s="4">
        <v>54.845999999999997</v>
      </c>
      <c r="E673" s="4">
        <v>2</v>
      </c>
      <c r="F673" s="4"/>
      <c r="G673" s="4"/>
      <c r="H673" s="5">
        <f t="shared" si="10"/>
        <v>2.9293367188951445E-2</v>
      </c>
    </row>
    <row r="674" spans="1:8" ht="13.5" x14ac:dyDescent="0.25">
      <c r="A674" s="1"/>
      <c r="B674" s="3">
        <v>43279</v>
      </c>
      <c r="C674" s="4">
        <v>87.49</v>
      </c>
      <c r="D674" s="4">
        <v>54.845999999999997</v>
      </c>
      <c r="E674" s="4">
        <v>98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87.49</v>
      </c>
      <c r="D675" s="4">
        <v>54.845999999999997</v>
      </c>
      <c r="E675" s="4">
        <v>0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87.49</v>
      </c>
      <c r="D676" s="4">
        <v>54.845999999999997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87.49</v>
      </c>
      <c r="D677" s="4">
        <v>54.845999999999997</v>
      </c>
      <c r="E677" s="4">
        <v>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87.49</v>
      </c>
      <c r="D678" s="4">
        <v>54.845999999999997</v>
      </c>
      <c r="E678" s="4">
        <v>0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87.49</v>
      </c>
      <c r="D679" s="4">
        <v>54.845999999999997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87.49</v>
      </c>
      <c r="D680" s="4">
        <v>54.845999999999997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87.49</v>
      </c>
      <c r="D681" s="4">
        <v>54.845999999999997</v>
      </c>
      <c r="E681" s="4">
        <v>0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87.49</v>
      </c>
      <c r="D682" s="4">
        <v>54.845999999999997</v>
      </c>
      <c r="E682" s="4">
        <v>0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87.49</v>
      </c>
      <c r="D683" s="4">
        <v>54.845999999999997</v>
      </c>
      <c r="E683" s="4">
        <v>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87</v>
      </c>
      <c r="D684" s="4">
        <v>54.538800000000002</v>
      </c>
      <c r="E684" s="4">
        <v>92</v>
      </c>
      <c r="F684" s="4"/>
      <c r="G684" s="4"/>
      <c r="H684" s="5">
        <f t="shared" si="10"/>
        <v>-5.6011377311015317E-3</v>
      </c>
    </row>
    <row r="685" spans="1:8" ht="13.5" x14ac:dyDescent="0.25">
      <c r="A685" s="1"/>
      <c r="B685" s="3">
        <v>43294</v>
      </c>
      <c r="C685" s="4">
        <v>86</v>
      </c>
      <c r="D685" s="4">
        <v>53.911999999999999</v>
      </c>
      <c r="E685" s="4">
        <v>76</v>
      </c>
      <c r="F685" s="4"/>
      <c r="G685" s="4"/>
      <c r="H685" s="5">
        <f t="shared" si="10"/>
        <v>-1.1492735447057928E-2</v>
      </c>
    </row>
    <row r="686" spans="1:8" ht="13.5" x14ac:dyDescent="0.25">
      <c r="A686" s="1"/>
      <c r="B686" s="3">
        <v>43297</v>
      </c>
      <c r="C686" s="4">
        <v>86</v>
      </c>
      <c r="D686" s="4">
        <v>53.911999999999999</v>
      </c>
      <c r="E686" s="4">
        <v>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86</v>
      </c>
      <c r="D687" s="4">
        <v>53.911999999999999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86</v>
      </c>
      <c r="D688" s="4">
        <v>53.911999999999999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87</v>
      </c>
      <c r="D689" s="4">
        <v>54.538800000000002</v>
      </c>
      <c r="E689" s="4">
        <v>71</v>
      </c>
      <c r="F689" s="4"/>
      <c r="G689" s="4"/>
      <c r="H689" s="5">
        <f t="shared" si="10"/>
        <v>1.1626354058465701E-2</v>
      </c>
    </row>
    <row r="690" spans="1:8" ht="13.5" x14ac:dyDescent="0.25">
      <c r="A690" s="1"/>
      <c r="B690" s="3">
        <v>43301</v>
      </c>
      <c r="C690" s="4">
        <v>86.1</v>
      </c>
      <c r="D690" s="4">
        <v>53.974600000000002</v>
      </c>
      <c r="E690" s="4">
        <v>35</v>
      </c>
      <c r="F690" s="4"/>
      <c r="G690" s="4"/>
      <c r="H690" s="5">
        <f t="shared" si="10"/>
        <v>-1.0344928747973912E-2</v>
      </c>
    </row>
    <row r="691" spans="1:8" ht="13.5" x14ac:dyDescent="0.25">
      <c r="A691" s="1"/>
      <c r="B691" s="3">
        <v>43304</v>
      </c>
      <c r="C691" s="4">
        <v>86.1</v>
      </c>
      <c r="D691" s="4">
        <v>53.974600000000002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87</v>
      </c>
      <c r="D692" s="4">
        <v>54.538800000000002</v>
      </c>
      <c r="E692" s="4">
        <v>100</v>
      </c>
      <c r="F692" s="4"/>
      <c r="G692" s="4"/>
      <c r="H692" s="5">
        <f t="shared" si="10"/>
        <v>1.0453064960184968E-2</v>
      </c>
    </row>
    <row r="693" spans="1:8" ht="13.5" x14ac:dyDescent="0.25">
      <c r="A693" s="1"/>
      <c r="B693" s="3">
        <v>43307</v>
      </c>
      <c r="C693" s="4">
        <v>87</v>
      </c>
      <c r="D693" s="4">
        <v>54.538800000000002</v>
      </c>
      <c r="E693" s="4">
        <v>5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87</v>
      </c>
      <c r="D694" s="4">
        <v>54.538800000000002</v>
      </c>
      <c r="E694" s="4">
        <v>5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87</v>
      </c>
      <c r="D695" s="4">
        <v>54.538800000000002</v>
      </c>
      <c r="E695" s="4">
        <v>13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87</v>
      </c>
      <c r="D696" s="4">
        <v>54.538800000000002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87</v>
      </c>
      <c r="D697" s="4">
        <v>54.538800000000002</v>
      </c>
      <c r="E697" s="4">
        <v>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87</v>
      </c>
      <c r="D698" s="4">
        <v>54.538800000000002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87</v>
      </c>
      <c r="D699" s="4">
        <v>54.538800000000002</v>
      </c>
      <c r="E699" s="4">
        <v>0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85</v>
      </c>
      <c r="D700" s="4">
        <v>53.2851</v>
      </c>
      <c r="E700" s="4">
        <v>53</v>
      </c>
      <c r="F700" s="4"/>
      <c r="G700" s="4"/>
      <c r="H700" s="5">
        <f t="shared" si="10"/>
        <v>-2.2987304451143074E-2</v>
      </c>
    </row>
    <row r="701" spans="1:8" ht="13.5" x14ac:dyDescent="0.25">
      <c r="A701" s="1"/>
      <c r="B701" s="3">
        <v>43319</v>
      </c>
      <c r="C701" s="4">
        <v>85</v>
      </c>
      <c r="D701" s="4">
        <v>53.2851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85</v>
      </c>
      <c r="D702" s="4">
        <v>53.2851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85</v>
      </c>
      <c r="D703" s="4">
        <v>53.2851</v>
      </c>
      <c r="E703" s="4">
        <v>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85</v>
      </c>
      <c r="D704" s="4">
        <v>53.2851</v>
      </c>
      <c r="E704" s="4">
        <v>37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85</v>
      </c>
      <c r="D705" s="4">
        <v>53.2851</v>
      </c>
      <c r="E705" s="4">
        <v>26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85</v>
      </c>
      <c r="D706" s="4">
        <v>53.2851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85</v>
      </c>
      <c r="D707" s="4">
        <v>53.2851</v>
      </c>
      <c r="E707" s="4">
        <v>210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85</v>
      </c>
      <c r="D708" s="4">
        <v>53.2851</v>
      </c>
      <c r="E708" s="4">
        <v>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84</v>
      </c>
      <c r="D709" s="4">
        <v>52.658200000000001</v>
      </c>
      <c r="E709" s="4">
        <v>5</v>
      </c>
      <c r="F709" s="4"/>
      <c r="G709" s="4"/>
      <c r="H709" s="5">
        <f t="shared" si="10"/>
        <v>-1.176501498542743E-2</v>
      </c>
    </row>
    <row r="710" spans="1:8" ht="13.5" x14ac:dyDescent="0.25">
      <c r="A710" s="1"/>
      <c r="B710" s="3">
        <v>43335</v>
      </c>
      <c r="C710" s="4">
        <v>84</v>
      </c>
      <c r="D710" s="4">
        <v>52.658200000000001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84</v>
      </c>
      <c r="D711" s="4">
        <v>52.658200000000001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84</v>
      </c>
      <c r="D712" s="4">
        <v>52.658200000000001</v>
      </c>
      <c r="E712" s="4">
        <v>28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84</v>
      </c>
      <c r="D713" s="4">
        <v>52.658200000000001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85</v>
      </c>
      <c r="D714" s="4">
        <v>53.2851</v>
      </c>
      <c r="E714" s="4">
        <v>48</v>
      </c>
      <c r="F714" s="4"/>
      <c r="G714" s="4"/>
      <c r="H714" s="5">
        <f t="shared" si="11"/>
        <v>1.1905078411339528E-2</v>
      </c>
    </row>
    <row r="715" spans="1:8" ht="13.5" x14ac:dyDescent="0.25">
      <c r="A715" s="1"/>
      <c r="B715" s="3">
        <v>43342</v>
      </c>
      <c r="C715" s="4">
        <v>85</v>
      </c>
      <c r="D715" s="4">
        <v>53.2851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86</v>
      </c>
      <c r="D716" s="4">
        <v>53.911999999999999</v>
      </c>
      <c r="E716" s="4">
        <v>28</v>
      </c>
      <c r="F716" s="4"/>
      <c r="G716" s="4"/>
      <c r="H716" s="5">
        <f t="shared" si="11"/>
        <v>1.176501498542743E-2</v>
      </c>
    </row>
    <row r="717" spans="1:8" ht="13.5" x14ac:dyDescent="0.25">
      <c r="A717" s="1"/>
      <c r="B717" s="3">
        <v>43346</v>
      </c>
      <c r="C717" s="4">
        <v>88</v>
      </c>
      <c r="D717" s="4">
        <v>55.165700000000001</v>
      </c>
      <c r="E717" s="4">
        <v>24</v>
      </c>
      <c r="F717" s="4"/>
      <c r="G717" s="4"/>
      <c r="H717" s="5">
        <f t="shared" si="11"/>
        <v>2.325456299154181E-2</v>
      </c>
    </row>
    <row r="718" spans="1:8" ht="13.5" x14ac:dyDescent="0.25">
      <c r="A718" s="1"/>
      <c r="B718" s="3">
        <v>43347</v>
      </c>
      <c r="C718" s="4">
        <v>88</v>
      </c>
      <c r="D718" s="4">
        <v>55.165700000000001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88</v>
      </c>
      <c r="D719" s="4">
        <v>55.165700000000001</v>
      </c>
      <c r="E719" s="4">
        <v>19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88</v>
      </c>
      <c r="D720" s="4">
        <v>55.165700000000001</v>
      </c>
      <c r="E720" s="4">
        <v>24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88</v>
      </c>
      <c r="D721" s="4">
        <v>55.165700000000001</v>
      </c>
      <c r="E721" s="4">
        <v>285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88</v>
      </c>
      <c r="D722" s="4">
        <v>55.165700000000001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88</v>
      </c>
      <c r="D723" s="4">
        <v>55.165700000000001</v>
      </c>
      <c r="E723" s="4">
        <v>115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88</v>
      </c>
      <c r="D724" s="4">
        <v>55.165700000000001</v>
      </c>
      <c r="E724" s="4">
        <v>10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88</v>
      </c>
      <c r="D725" s="4">
        <v>55.165700000000001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86</v>
      </c>
      <c r="D726" s="4">
        <v>53.911999999999999</v>
      </c>
      <c r="E726" s="4">
        <v>97</v>
      </c>
      <c r="F726" s="4"/>
      <c r="G726" s="4"/>
      <c r="H726" s="5">
        <f t="shared" si="11"/>
        <v>-2.2726077979614182E-2</v>
      </c>
    </row>
    <row r="727" spans="1:8" ht="13.5" x14ac:dyDescent="0.25">
      <c r="A727" s="1"/>
      <c r="B727" s="3">
        <v>43361</v>
      </c>
      <c r="C727" s="4">
        <v>86</v>
      </c>
      <c r="D727" s="4">
        <v>53.911999999999999</v>
      </c>
      <c r="E727" s="4">
        <v>17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86</v>
      </c>
      <c r="D728" s="4">
        <v>53.911999999999999</v>
      </c>
      <c r="E728" s="4">
        <v>30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85.85</v>
      </c>
      <c r="D729" s="4">
        <v>53.817900000000002</v>
      </c>
      <c r="E729" s="4">
        <v>1</v>
      </c>
      <c r="F729" s="4"/>
      <c r="G729" s="4"/>
      <c r="H729" s="5">
        <f t="shared" si="11"/>
        <v>-1.7454370084581802E-3</v>
      </c>
    </row>
    <row r="730" spans="1:8" ht="13.5" x14ac:dyDescent="0.25">
      <c r="A730" s="1"/>
      <c r="B730" s="3">
        <v>43364</v>
      </c>
      <c r="C730" s="4">
        <v>85.85</v>
      </c>
      <c r="D730" s="4">
        <v>53.817900000000002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85.85</v>
      </c>
      <c r="D731" s="4">
        <v>53.817900000000002</v>
      </c>
      <c r="E731" s="4">
        <v>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85.83</v>
      </c>
      <c r="D732" s="4">
        <v>53.805399999999999</v>
      </c>
      <c r="E732" s="4">
        <v>25</v>
      </c>
      <c r="F732" s="4"/>
      <c r="G732" s="4"/>
      <c r="H732" s="5">
        <f t="shared" si="11"/>
        <v>-2.3226472976468503E-4</v>
      </c>
    </row>
    <row r="733" spans="1:8" ht="13.5" x14ac:dyDescent="0.25">
      <c r="A733" s="1"/>
      <c r="B733" s="3">
        <v>43369</v>
      </c>
      <c r="C733" s="4">
        <v>88</v>
      </c>
      <c r="D733" s="4">
        <v>55.165700000000001</v>
      </c>
      <c r="E733" s="4">
        <v>117</v>
      </c>
      <c r="F733" s="4"/>
      <c r="G733" s="4"/>
      <c r="H733" s="5">
        <f t="shared" si="11"/>
        <v>2.5281849033740152E-2</v>
      </c>
    </row>
    <row r="734" spans="1:8" ht="13.5" x14ac:dyDescent="0.25">
      <c r="A734" s="1"/>
      <c r="B734" s="3">
        <v>43370</v>
      </c>
      <c r="C734" s="4">
        <v>88</v>
      </c>
      <c r="D734" s="4">
        <v>55.165700000000001</v>
      </c>
      <c r="E734" s="4">
        <v>54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87</v>
      </c>
      <c r="D735" s="4">
        <v>54.538800000000002</v>
      </c>
      <c r="E735" s="4">
        <v>200</v>
      </c>
      <c r="F735" s="4"/>
      <c r="G735" s="4"/>
      <c r="H735" s="5">
        <f t="shared" si="11"/>
        <v>-1.1363945350099774E-2</v>
      </c>
    </row>
    <row r="736" spans="1:8" ht="13.5" x14ac:dyDescent="0.25">
      <c r="A736" s="1"/>
      <c r="B736" s="3">
        <v>43374</v>
      </c>
      <c r="C736" s="4">
        <v>86</v>
      </c>
      <c r="D736" s="4">
        <v>53.911999999999999</v>
      </c>
      <c r="E736" s="4">
        <v>29</v>
      </c>
      <c r="F736" s="4"/>
      <c r="G736" s="4"/>
      <c r="H736" s="5">
        <f t="shared" si="11"/>
        <v>-1.1492735447057928E-2</v>
      </c>
    </row>
    <row r="737" spans="1:8" ht="13.5" x14ac:dyDescent="0.25">
      <c r="A737" s="1"/>
      <c r="B737" s="3">
        <v>43375</v>
      </c>
      <c r="C737" s="4">
        <v>85.8</v>
      </c>
      <c r="D737" s="4">
        <v>53.7866</v>
      </c>
      <c r="E737" s="4">
        <v>100</v>
      </c>
      <c r="F737" s="4"/>
      <c r="G737" s="4"/>
      <c r="H737" s="5">
        <f t="shared" si="11"/>
        <v>-2.326012761537303E-3</v>
      </c>
    </row>
    <row r="738" spans="1:8" ht="13.5" x14ac:dyDescent="0.25">
      <c r="A738" s="1"/>
      <c r="B738" s="3">
        <v>43376</v>
      </c>
      <c r="C738" s="4">
        <v>87.5</v>
      </c>
      <c r="D738" s="4">
        <v>54.8523</v>
      </c>
      <c r="E738" s="4">
        <v>100</v>
      </c>
      <c r="F738" s="4"/>
      <c r="G738" s="4"/>
      <c r="H738" s="5">
        <f t="shared" si="11"/>
        <v>1.9813485143139735E-2</v>
      </c>
    </row>
    <row r="739" spans="1:8" ht="13.5" x14ac:dyDescent="0.25">
      <c r="A739" s="1"/>
      <c r="B739" s="3">
        <v>43377</v>
      </c>
      <c r="C739" s="4">
        <v>87.5</v>
      </c>
      <c r="D739" s="4">
        <v>54.8523</v>
      </c>
      <c r="E739" s="4">
        <v>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87.5</v>
      </c>
      <c r="D740" s="4">
        <v>54.8523</v>
      </c>
      <c r="E740" s="4">
        <v>32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87.5</v>
      </c>
      <c r="D741" s="4">
        <v>54.8523</v>
      </c>
      <c r="E741" s="4">
        <v>40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86</v>
      </c>
      <c r="D742" s="4">
        <v>53.911999999999999</v>
      </c>
      <c r="E742" s="4">
        <v>407</v>
      </c>
      <c r="F742" s="4"/>
      <c r="G742" s="4"/>
      <c r="H742" s="5">
        <f t="shared" si="11"/>
        <v>-1.7142398769058008E-2</v>
      </c>
    </row>
    <row r="743" spans="1:8" ht="13.5" x14ac:dyDescent="0.25">
      <c r="A743" s="1"/>
      <c r="B743" s="3">
        <v>43383</v>
      </c>
      <c r="C743" s="4">
        <v>86</v>
      </c>
      <c r="D743" s="4">
        <v>53.911999999999999</v>
      </c>
      <c r="E743" s="4">
        <v>704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86</v>
      </c>
      <c r="D744" s="4">
        <v>53.911999999999999</v>
      </c>
      <c r="E744" s="4">
        <v>133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86</v>
      </c>
      <c r="D745" s="4">
        <v>53.911999999999999</v>
      </c>
      <c r="E745" s="4">
        <v>239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83.22</v>
      </c>
      <c r="D746" s="4">
        <v>52.169199999999996</v>
      </c>
      <c r="E746" s="4">
        <v>0</v>
      </c>
      <c r="F746" s="4"/>
      <c r="G746" s="4"/>
      <c r="H746" s="5">
        <f t="shared" si="11"/>
        <v>-3.2326754711381557E-2</v>
      </c>
    </row>
    <row r="747" spans="1:8" ht="13.5" x14ac:dyDescent="0.25">
      <c r="A747" s="1"/>
      <c r="B747" s="3">
        <v>43390</v>
      </c>
      <c r="C747" s="4">
        <v>85</v>
      </c>
      <c r="D747" s="4">
        <v>55.069299999999998</v>
      </c>
      <c r="E747" s="4">
        <v>26</v>
      </c>
      <c r="F747" s="4"/>
      <c r="G747" s="4"/>
      <c r="H747" s="5">
        <f t="shared" si="11"/>
        <v>5.5590271654539503E-2</v>
      </c>
    </row>
    <row r="748" spans="1:8" ht="13.5" x14ac:dyDescent="0.25">
      <c r="A748" s="1"/>
      <c r="B748" s="3">
        <v>43391</v>
      </c>
      <c r="C748" s="4">
        <v>87.56</v>
      </c>
      <c r="D748" s="4">
        <v>56.727899999999998</v>
      </c>
      <c r="E748" s="4">
        <v>16</v>
      </c>
      <c r="F748" s="4"/>
      <c r="G748" s="4"/>
      <c r="H748" s="5">
        <f t="shared" si="11"/>
        <v>3.0118414434176573E-2</v>
      </c>
    </row>
    <row r="749" spans="1:8" ht="13.5" x14ac:dyDescent="0.25">
      <c r="A749" s="1"/>
      <c r="B749" s="3">
        <v>43392</v>
      </c>
      <c r="C749" s="4">
        <v>87.56</v>
      </c>
      <c r="D749" s="4">
        <v>56.727899999999998</v>
      </c>
      <c r="E749" s="4">
        <v>3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89.9</v>
      </c>
      <c r="D750" s="4">
        <v>58.243899999999996</v>
      </c>
      <c r="E750" s="4">
        <v>5</v>
      </c>
      <c r="F750" s="4"/>
      <c r="G750" s="4"/>
      <c r="H750" s="5">
        <f t="shared" si="11"/>
        <v>2.6724063467887905E-2</v>
      </c>
    </row>
    <row r="751" spans="1:8" ht="13.5" x14ac:dyDescent="0.25">
      <c r="A751" s="1"/>
      <c r="B751" s="3">
        <v>43396</v>
      </c>
      <c r="C751" s="4">
        <v>89.9</v>
      </c>
      <c r="D751" s="4">
        <v>58.243899999999996</v>
      </c>
      <c r="E751" s="4">
        <v>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89.9</v>
      </c>
      <c r="D752" s="4">
        <v>58.243899999999996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89.9</v>
      </c>
      <c r="D753" s="4">
        <v>58.243899999999996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89.49</v>
      </c>
      <c r="D754" s="4">
        <v>57.978299999999997</v>
      </c>
      <c r="E754" s="4">
        <v>18</v>
      </c>
      <c r="F754" s="4"/>
      <c r="G754" s="4"/>
      <c r="H754" s="5">
        <f t="shared" si="11"/>
        <v>-4.5601341943104631E-3</v>
      </c>
    </row>
    <row r="755" spans="1:8" ht="13.5" x14ac:dyDescent="0.25">
      <c r="A755" s="1"/>
      <c r="B755" s="3">
        <v>43402</v>
      </c>
      <c r="C755" s="4">
        <v>86.81</v>
      </c>
      <c r="D755" s="4">
        <v>56.241999999999997</v>
      </c>
      <c r="E755" s="4">
        <v>75</v>
      </c>
      <c r="F755" s="4"/>
      <c r="G755" s="4"/>
      <c r="H755" s="5">
        <f t="shared" si="11"/>
        <v>-2.9947411359077449E-2</v>
      </c>
    </row>
    <row r="756" spans="1:8" ht="13.5" x14ac:dyDescent="0.25">
      <c r="A756" s="1"/>
      <c r="B756" s="3">
        <v>43403</v>
      </c>
      <c r="C756" s="4">
        <v>86.81</v>
      </c>
      <c r="D756" s="4">
        <v>56.241999999999997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86.61</v>
      </c>
      <c r="D757" s="4">
        <v>56.112400000000001</v>
      </c>
      <c r="E757" s="4">
        <v>26</v>
      </c>
      <c r="F757" s="4"/>
      <c r="G757" s="4"/>
      <c r="H757" s="5">
        <f t="shared" si="11"/>
        <v>-2.3043277266099425E-3</v>
      </c>
    </row>
    <row r="758" spans="1:8" ht="13.5" x14ac:dyDescent="0.25">
      <c r="A758" s="1"/>
      <c r="B758" s="3">
        <v>43405</v>
      </c>
      <c r="C758" s="4">
        <v>86.1</v>
      </c>
      <c r="D758" s="4">
        <v>55.781999999999996</v>
      </c>
      <c r="E758" s="4">
        <v>20</v>
      </c>
      <c r="F758" s="4"/>
      <c r="G758" s="4"/>
      <c r="H758" s="5">
        <f t="shared" si="11"/>
        <v>-5.8881815784034269E-3</v>
      </c>
    </row>
    <row r="759" spans="1:8" ht="13.5" x14ac:dyDescent="0.25">
      <c r="A759" s="1"/>
      <c r="B759" s="3">
        <v>43406</v>
      </c>
      <c r="C759" s="4">
        <v>83.52</v>
      </c>
      <c r="D759" s="4">
        <v>54.110500000000002</v>
      </c>
      <c r="E759" s="4">
        <v>18</v>
      </c>
      <c r="F759" s="4"/>
      <c r="G759" s="4"/>
      <c r="H759" s="5">
        <f t="shared" si="11"/>
        <v>-2.9964863217525273E-2</v>
      </c>
    </row>
    <row r="760" spans="1:8" ht="13.5" x14ac:dyDescent="0.25">
      <c r="A760" s="1"/>
      <c r="B760" s="3">
        <v>43409</v>
      </c>
      <c r="C760" s="4">
        <v>81.02</v>
      </c>
      <c r="D760" s="4">
        <v>52.4908</v>
      </c>
      <c r="E760" s="4">
        <v>217</v>
      </c>
      <c r="F760" s="4"/>
      <c r="G760" s="4"/>
      <c r="H760" s="5">
        <f t="shared" si="11"/>
        <v>-2.9933192263978371E-2</v>
      </c>
    </row>
    <row r="761" spans="1:8" ht="13.5" x14ac:dyDescent="0.25">
      <c r="A761" s="1"/>
      <c r="B761" s="3">
        <v>43410</v>
      </c>
      <c r="C761" s="4">
        <v>81.02</v>
      </c>
      <c r="D761" s="4">
        <v>52.4908</v>
      </c>
      <c r="E761" s="4">
        <v>39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81.02</v>
      </c>
      <c r="D762" s="4">
        <v>52.4908</v>
      </c>
      <c r="E762" s="4">
        <v>5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81.02</v>
      </c>
      <c r="D763" s="4">
        <v>52.4908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81.02</v>
      </c>
      <c r="D764" s="4">
        <v>52.4908</v>
      </c>
      <c r="E764" s="4">
        <v>30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81.02</v>
      </c>
      <c r="D765" s="4">
        <v>52.4908</v>
      </c>
      <c r="E765" s="4">
        <v>11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81.02</v>
      </c>
      <c r="D766" s="4">
        <v>52.4908</v>
      </c>
      <c r="E766" s="4">
        <v>45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81</v>
      </c>
      <c r="D767" s="4">
        <v>52.477800000000002</v>
      </c>
      <c r="E767" s="4">
        <v>32</v>
      </c>
      <c r="F767" s="4"/>
      <c r="G767" s="4"/>
      <c r="H767" s="5">
        <f t="shared" si="11"/>
        <v>-2.4766244751457634E-4</v>
      </c>
    </row>
    <row r="768" spans="1:8" ht="13.5" x14ac:dyDescent="0.25">
      <c r="A768" s="1"/>
      <c r="B768" s="3">
        <v>43419</v>
      </c>
      <c r="C768" s="4">
        <v>80.489999999999995</v>
      </c>
      <c r="D768" s="4">
        <v>52.147399999999998</v>
      </c>
      <c r="E768" s="4">
        <v>102</v>
      </c>
      <c r="F768" s="4"/>
      <c r="G768" s="4"/>
      <c r="H768" s="5">
        <f t="shared" si="11"/>
        <v>-6.2959956400612154E-3</v>
      </c>
    </row>
    <row r="769" spans="1:8" ht="13.5" x14ac:dyDescent="0.25">
      <c r="A769" s="1"/>
      <c r="B769" s="3">
        <v>43420</v>
      </c>
      <c r="C769" s="4">
        <v>80.489999999999995</v>
      </c>
      <c r="D769" s="4">
        <v>52.147399999999998</v>
      </c>
      <c r="E769" s="4">
        <v>66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80.489999999999995</v>
      </c>
      <c r="D770" s="4">
        <v>52.147399999999998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80.489999999999995</v>
      </c>
      <c r="D771" s="4">
        <v>52.147399999999998</v>
      </c>
      <c r="E771" s="4">
        <v>5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80</v>
      </c>
      <c r="D772" s="4">
        <v>51.829900000000002</v>
      </c>
      <c r="E772" s="4">
        <v>87</v>
      </c>
      <c r="F772" s="4"/>
      <c r="G772" s="4"/>
      <c r="H772" s="5">
        <f t="shared" si="11"/>
        <v>-6.0885106448259254E-3</v>
      </c>
    </row>
    <row r="773" spans="1:8" ht="13.5" x14ac:dyDescent="0.25">
      <c r="A773" s="1"/>
      <c r="B773" s="3">
        <v>43427</v>
      </c>
      <c r="C773" s="4">
        <v>79.5</v>
      </c>
      <c r="D773" s="4">
        <v>51.506</v>
      </c>
      <c r="E773" s="4">
        <v>43</v>
      </c>
      <c r="F773" s="4"/>
      <c r="G773" s="4"/>
      <c r="H773" s="5">
        <f t="shared" si="11"/>
        <v>-6.2492885380832659E-3</v>
      </c>
    </row>
    <row r="774" spans="1:8" ht="13.5" x14ac:dyDescent="0.25">
      <c r="A774" s="1"/>
      <c r="B774" s="3">
        <v>43430</v>
      </c>
      <c r="C774" s="4">
        <v>79.209999999999994</v>
      </c>
      <c r="D774" s="4">
        <v>51.318100000000001</v>
      </c>
      <c r="E774" s="4">
        <v>106</v>
      </c>
      <c r="F774" s="4"/>
      <c r="G774" s="4"/>
      <c r="H774" s="5">
        <f t="shared" si="11"/>
        <v>-3.648118665786492E-3</v>
      </c>
    </row>
    <row r="775" spans="1:8" ht="13.5" x14ac:dyDescent="0.25">
      <c r="A775" s="1"/>
      <c r="B775" s="3">
        <v>43431</v>
      </c>
      <c r="C775" s="4">
        <v>79.489999999999995</v>
      </c>
      <c r="D775" s="4">
        <v>51.499499999999998</v>
      </c>
      <c r="E775" s="4">
        <v>100</v>
      </c>
      <c r="F775" s="4"/>
      <c r="G775" s="4"/>
      <c r="H775" s="5">
        <f t="shared" ref="H775:H838" si="12">(D775-D774)/D774</f>
        <v>3.5348152016539281E-3</v>
      </c>
    </row>
    <row r="776" spans="1:8" ht="13.5" x14ac:dyDescent="0.25">
      <c r="A776" s="1"/>
      <c r="B776" s="3">
        <v>43432</v>
      </c>
      <c r="C776" s="4">
        <v>79.45</v>
      </c>
      <c r="D776" s="4">
        <v>51.473599999999998</v>
      </c>
      <c r="E776" s="4">
        <v>129</v>
      </c>
      <c r="F776" s="4"/>
      <c r="G776" s="4"/>
      <c r="H776" s="5">
        <f t="shared" si="12"/>
        <v>-5.0291750405343806E-4</v>
      </c>
    </row>
    <row r="777" spans="1:8" ht="13.5" x14ac:dyDescent="0.25">
      <c r="A777" s="1"/>
      <c r="B777" s="3">
        <v>43433</v>
      </c>
      <c r="C777" s="4">
        <v>79.2</v>
      </c>
      <c r="D777" s="4">
        <v>51.311599999999999</v>
      </c>
      <c r="E777" s="4">
        <v>10</v>
      </c>
      <c r="F777" s="4"/>
      <c r="G777" s="4"/>
      <c r="H777" s="5">
        <f t="shared" si="12"/>
        <v>-3.1472444126697773E-3</v>
      </c>
    </row>
    <row r="778" spans="1:8" ht="13.5" x14ac:dyDescent="0.25">
      <c r="A778" s="1"/>
      <c r="B778" s="3">
        <v>43434</v>
      </c>
      <c r="C778" s="4">
        <v>79.5</v>
      </c>
      <c r="D778" s="4">
        <v>51.506</v>
      </c>
      <c r="E778" s="4">
        <v>33</v>
      </c>
      <c r="F778" s="4"/>
      <c r="G778" s="4"/>
      <c r="H778" s="5">
        <f t="shared" si="12"/>
        <v>3.7886169988852751E-3</v>
      </c>
    </row>
    <row r="779" spans="1:8" ht="13.5" x14ac:dyDescent="0.25">
      <c r="A779" s="1"/>
      <c r="B779" s="3">
        <v>43437</v>
      </c>
      <c r="C779" s="4">
        <v>81.88</v>
      </c>
      <c r="D779" s="4">
        <v>53.047899999999998</v>
      </c>
      <c r="E779" s="4">
        <v>1</v>
      </c>
      <c r="F779" s="4"/>
      <c r="G779" s="4"/>
      <c r="H779" s="5">
        <f t="shared" si="12"/>
        <v>2.9936318098862234E-2</v>
      </c>
    </row>
    <row r="780" spans="1:8" ht="13.5" x14ac:dyDescent="0.25">
      <c r="A780" s="1"/>
      <c r="B780" s="3">
        <v>43438</v>
      </c>
      <c r="C780" s="4">
        <v>84.09</v>
      </c>
      <c r="D780" s="4">
        <v>54.479799999999997</v>
      </c>
      <c r="E780" s="4">
        <v>1</v>
      </c>
      <c r="F780" s="4"/>
      <c r="G780" s="4"/>
      <c r="H780" s="5">
        <f t="shared" si="12"/>
        <v>2.6992585945909243E-2</v>
      </c>
    </row>
    <row r="781" spans="1:8" ht="13.5" x14ac:dyDescent="0.25">
      <c r="A781" s="1"/>
      <c r="B781" s="3">
        <v>43439</v>
      </c>
      <c r="C781" s="4">
        <v>81.569999999999993</v>
      </c>
      <c r="D781" s="4">
        <v>52.847099999999998</v>
      </c>
      <c r="E781" s="4">
        <v>0</v>
      </c>
      <c r="F781" s="4"/>
      <c r="G781" s="4"/>
      <c r="H781" s="5">
        <f t="shared" si="12"/>
        <v>-2.9968905906409347E-2</v>
      </c>
    </row>
    <row r="782" spans="1:8" ht="13.5" x14ac:dyDescent="0.25">
      <c r="A782" s="1"/>
      <c r="B782" s="3">
        <v>43440</v>
      </c>
      <c r="C782" s="4">
        <v>80</v>
      </c>
      <c r="D782" s="4">
        <v>51.829900000000002</v>
      </c>
      <c r="E782" s="4">
        <v>2</v>
      </c>
      <c r="F782" s="4"/>
      <c r="G782" s="4"/>
      <c r="H782" s="5">
        <f t="shared" si="12"/>
        <v>-1.9247981440797989E-2</v>
      </c>
    </row>
    <row r="783" spans="1:8" ht="13.5" x14ac:dyDescent="0.25">
      <c r="A783" s="1"/>
      <c r="B783" s="3">
        <v>43441</v>
      </c>
      <c r="C783" s="4">
        <v>80</v>
      </c>
      <c r="D783" s="4">
        <v>51.829900000000002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81.98</v>
      </c>
      <c r="D784" s="4">
        <v>53.112699999999997</v>
      </c>
      <c r="E784" s="4">
        <v>2</v>
      </c>
      <c r="F784" s="4"/>
      <c r="G784" s="4"/>
      <c r="H784" s="5">
        <f t="shared" si="12"/>
        <v>2.4750192456477721E-2</v>
      </c>
    </row>
    <row r="785" spans="1:8" ht="13.5" x14ac:dyDescent="0.25">
      <c r="A785" s="1"/>
      <c r="B785" s="3">
        <v>43445</v>
      </c>
      <c r="C785" s="4">
        <v>84.2</v>
      </c>
      <c r="D785" s="4">
        <v>54.551000000000002</v>
      </c>
      <c r="E785" s="4">
        <v>11</v>
      </c>
      <c r="F785" s="4"/>
      <c r="G785" s="4"/>
      <c r="H785" s="5">
        <f t="shared" si="12"/>
        <v>2.7080152204651719E-2</v>
      </c>
    </row>
    <row r="786" spans="1:8" ht="13.5" x14ac:dyDescent="0.25">
      <c r="A786" s="1"/>
      <c r="B786" s="3">
        <v>43446</v>
      </c>
      <c r="C786" s="4">
        <v>84.49</v>
      </c>
      <c r="D786" s="4">
        <v>54.738900000000001</v>
      </c>
      <c r="E786" s="4">
        <v>1</v>
      </c>
      <c r="F786" s="4"/>
      <c r="G786" s="4"/>
      <c r="H786" s="5">
        <f t="shared" si="12"/>
        <v>3.4444831442136544E-3</v>
      </c>
    </row>
    <row r="787" spans="1:8" ht="13.5" x14ac:dyDescent="0.25">
      <c r="A787" s="1"/>
      <c r="B787" s="3">
        <v>43447</v>
      </c>
      <c r="C787" s="4">
        <v>87.97</v>
      </c>
      <c r="D787" s="4">
        <v>56.993499999999997</v>
      </c>
      <c r="E787" s="4">
        <v>1</v>
      </c>
      <c r="F787" s="4"/>
      <c r="G787" s="4"/>
      <c r="H787" s="5">
        <f t="shared" si="12"/>
        <v>4.118825917217913E-2</v>
      </c>
    </row>
    <row r="788" spans="1:8" ht="13.5" x14ac:dyDescent="0.25">
      <c r="A788" s="1"/>
      <c r="B788" s="3">
        <v>43448</v>
      </c>
      <c r="C788" s="4">
        <v>89.87</v>
      </c>
      <c r="D788" s="4">
        <v>58.224499999999999</v>
      </c>
      <c r="E788" s="4">
        <v>2</v>
      </c>
      <c r="F788" s="4"/>
      <c r="G788" s="4"/>
      <c r="H788" s="5">
        <f t="shared" si="12"/>
        <v>2.1598954266714654E-2</v>
      </c>
    </row>
    <row r="789" spans="1:8" ht="13.5" x14ac:dyDescent="0.25">
      <c r="A789" s="1"/>
      <c r="B789" s="3">
        <v>43451</v>
      </c>
      <c r="C789" s="4">
        <v>89</v>
      </c>
      <c r="D789" s="4">
        <v>57.660800000000002</v>
      </c>
      <c r="E789" s="4">
        <v>21</v>
      </c>
      <c r="F789" s="4"/>
      <c r="G789" s="4"/>
      <c r="H789" s="5">
        <f t="shared" si="12"/>
        <v>-9.6814914683680791E-3</v>
      </c>
    </row>
    <row r="790" spans="1:8" ht="13.5" x14ac:dyDescent="0.25">
      <c r="A790" s="1"/>
      <c r="B790" s="3">
        <v>43452</v>
      </c>
      <c r="C790" s="4">
        <v>88</v>
      </c>
      <c r="D790" s="4">
        <v>57.012900000000002</v>
      </c>
      <c r="E790" s="4">
        <v>10</v>
      </c>
      <c r="F790" s="4"/>
      <c r="G790" s="4"/>
      <c r="H790" s="5">
        <f t="shared" si="12"/>
        <v>-1.1236403241023362E-2</v>
      </c>
    </row>
    <row r="791" spans="1:8" ht="13.5" x14ac:dyDescent="0.25">
      <c r="A791" s="1"/>
      <c r="B791" s="3">
        <v>43453</v>
      </c>
      <c r="C791" s="4">
        <v>90</v>
      </c>
      <c r="D791" s="4">
        <v>58.308700000000002</v>
      </c>
      <c r="E791" s="4">
        <v>1</v>
      </c>
      <c r="F791" s="4"/>
      <c r="G791" s="4"/>
      <c r="H791" s="5">
        <f t="shared" si="12"/>
        <v>2.2728189585164055E-2</v>
      </c>
    </row>
    <row r="792" spans="1:8" ht="13.5" x14ac:dyDescent="0.25">
      <c r="A792" s="1"/>
      <c r="B792" s="3">
        <v>43454</v>
      </c>
      <c r="C792" s="4">
        <v>90</v>
      </c>
      <c r="D792" s="4">
        <v>58.308700000000002</v>
      </c>
      <c r="E792" s="4">
        <v>0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90</v>
      </c>
      <c r="D793" s="4">
        <v>58.308700000000002</v>
      </c>
      <c r="E793" s="4">
        <v>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90</v>
      </c>
      <c r="D794" s="4">
        <v>58.308700000000002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87.09</v>
      </c>
      <c r="D795" s="4">
        <v>56.423400000000001</v>
      </c>
      <c r="E795" s="4">
        <v>10</v>
      </c>
      <c r="F795" s="4"/>
      <c r="G795" s="4"/>
      <c r="H795" s="5">
        <f t="shared" si="12"/>
        <v>-3.2333082370212346E-2</v>
      </c>
    </row>
    <row r="796" spans="1:8" ht="13.5" x14ac:dyDescent="0.25">
      <c r="A796" s="1"/>
      <c r="B796" s="3">
        <v>43460</v>
      </c>
      <c r="C796" s="4">
        <v>87.09</v>
      </c>
      <c r="D796" s="4">
        <v>56.423400000000001</v>
      </c>
      <c r="E796" s="4">
        <v>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84.09</v>
      </c>
      <c r="D797" s="4">
        <v>54.479799999999997</v>
      </c>
      <c r="E797" s="4">
        <v>58</v>
      </c>
      <c r="F797" s="4"/>
      <c r="G797" s="4"/>
      <c r="H797" s="5">
        <f t="shared" si="12"/>
        <v>-3.4446701191349752E-2</v>
      </c>
    </row>
    <row r="798" spans="1:8" ht="13.5" x14ac:dyDescent="0.25">
      <c r="A798" s="1"/>
      <c r="B798" s="3">
        <v>43462</v>
      </c>
      <c r="C798" s="4">
        <v>84.09</v>
      </c>
      <c r="D798" s="4">
        <v>54.479799999999997</v>
      </c>
      <c r="E798" s="4">
        <v>38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84.99</v>
      </c>
      <c r="D799" s="4">
        <v>55.062800000000003</v>
      </c>
      <c r="E799" s="4">
        <v>1</v>
      </c>
      <c r="F799" s="4"/>
      <c r="G799" s="4"/>
      <c r="H799" s="5">
        <f t="shared" si="12"/>
        <v>1.0701214027951746E-2</v>
      </c>
    </row>
    <row r="800" spans="1:8" ht="13.5" x14ac:dyDescent="0.25">
      <c r="A800" s="1"/>
      <c r="B800" s="3">
        <v>43467</v>
      </c>
      <c r="C800" s="4">
        <v>87.52</v>
      </c>
      <c r="D800" s="4">
        <v>56.701999999999998</v>
      </c>
      <c r="E800" s="4">
        <v>1</v>
      </c>
      <c r="F800" s="4"/>
      <c r="G800" s="4"/>
      <c r="H800" s="5">
        <f t="shared" si="12"/>
        <v>2.9769644841889539E-2</v>
      </c>
    </row>
    <row r="801" spans="1:8" ht="13.5" x14ac:dyDescent="0.25">
      <c r="A801" s="1"/>
      <c r="B801" s="3">
        <v>43468</v>
      </c>
      <c r="C801" s="4">
        <v>87.52</v>
      </c>
      <c r="D801" s="4">
        <v>56.701999999999998</v>
      </c>
      <c r="E801" s="4">
        <v>0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83.59</v>
      </c>
      <c r="D802" s="4">
        <v>54.155799999999999</v>
      </c>
      <c r="E802" s="4">
        <v>0</v>
      </c>
      <c r="F802" s="4"/>
      <c r="G802" s="4"/>
      <c r="H802" s="5">
        <f t="shared" si="12"/>
        <v>-4.4904941624634036E-2</v>
      </c>
    </row>
    <row r="803" spans="1:8" ht="13.5" x14ac:dyDescent="0.25">
      <c r="A803" s="1"/>
      <c r="B803" s="3">
        <v>43472</v>
      </c>
      <c r="C803" s="4">
        <v>81.14</v>
      </c>
      <c r="D803" s="4">
        <v>52.5685</v>
      </c>
      <c r="E803" s="4">
        <v>7</v>
      </c>
      <c r="F803" s="4"/>
      <c r="G803" s="4"/>
      <c r="H803" s="5">
        <f t="shared" si="12"/>
        <v>-2.9309880012851793E-2</v>
      </c>
    </row>
    <row r="804" spans="1:8" ht="13.5" x14ac:dyDescent="0.25">
      <c r="A804" s="1"/>
      <c r="B804" s="3">
        <v>43473</v>
      </c>
      <c r="C804" s="4">
        <v>83</v>
      </c>
      <c r="D804" s="4">
        <v>53.773600000000002</v>
      </c>
      <c r="E804" s="4">
        <v>2</v>
      </c>
      <c r="F804" s="4"/>
      <c r="G804" s="4"/>
      <c r="H804" s="5">
        <f t="shared" si="12"/>
        <v>2.2924374863273665E-2</v>
      </c>
    </row>
    <row r="805" spans="1:8" ht="13.5" x14ac:dyDescent="0.25">
      <c r="A805" s="1"/>
      <c r="B805" s="3">
        <v>43474</v>
      </c>
      <c r="C805" s="4">
        <v>86.5</v>
      </c>
      <c r="D805" s="4">
        <v>56.0411</v>
      </c>
      <c r="E805" s="4">
        <v>84</v>
      </c>
      <c r="F805" s="4"/>
      <c r="G805" s="4"/>
      <c r="H805" s="5">
        <f t="shared" si="12"/>
        <v>4.2167532023148872E-2</v>
      </c>
    </row>
    <row r="806" spans="1:8" ht="13.5" x14ac:dyDescent="0.25">
      <c r="A806" s="1"/>
      <c r="B806" s="3">
        <v>43475</v>
      </c>
      <c r="C806" s="4">
        <v>86.3</v>
      </c>
      <c r="D806" s="4">
        <v>55.9116</v>
      </c>
      <c r="E806" s="4">
        <v>76</v>
      </c>
      <c r="F806" s="4"/>
      <c r="G806" s="4"/>
      <c r="H806" s="5">
        <f t="shared" si="12"/>
        <v>-2.3108040348958207E-3</v>
      </c>
    </row>
    <row r="807" spans="1:8" ht="13.5" x14ac:dyDescent="0.25">
      <c r="A807" s="1"/>
      <c r="B807" s="3">
        <v>43476</v>
      </c>
      <c r="C807" s="4">
        <v>86.3</v>
      </c>
      <c r="D807" s="4">
        <v>55.9116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82.43</v>
      </c>
      <c r="D808" s="4">
        <v>53.404299999999999</v>
      </c>
      <c r="E808" s="4">
        <v>20</v>
      </c>
      <c r="F808" s="4"/>
      <c r="G808" s="4"/>
      <c r="H808" s="5">
        <f t="shared" si="12"/>
        <v>-4.4844003748774862E-2</v>
      </c>
    </row>
    <row r="809" spans="1:8" ht="13.5" x14ac:dyDescent="0.25">
      <c r="A809" s="1"/>
      <c r="B809" s="3">
        <v>43481</v>
      </c>
      <c r="C809" s="4">
        <v>84.9</v>
      </c>
      <c r="D809" s="4">
        <v>55.0045</v>
      </c>
      <c r="E809" s="4">
        <v>1</v>
      </c>
      <c r="F809" s="4"/>
      <c r="G809" s="4"/>
      <c r="H809" s="5">
        <f t="shared" si="12"/>
        <v>2.996387931308904E-2</v>
      </c>
    </row>
    <row r="810" spans="1:8" ht="13.5" x14ac:dyDescent="0.25">
      <c r="A810" s="1"/>
      <c r="B810" s="3">
        <v>43482</v>
      </c>
      <c r="C810" s="4">
        <v>81.08</v>
      </c>
      <c r="D810" s="4">
        <v>52.529699999999998</v>
      </c>
      <c r="E810" s="4">
        <v>0</v>
      </c>
      <c r="F810" s="4"/>
      <c r="G810" s="4"/>
      <c r="H810" s="5">
        <f t="shared" si="12"/>
        <v>-4.49926824168932E-2</v>
      </c>
    </row>
    <row r="811" spans="1:8" ht="13.5" x14ac:dyDescent="0.25">
      <c r="A811" s="1"/>
      <c r="B811" s="3">
        <v>43483</v>
      </c>
      <c r="C811" s="4">
        <v>80.209999999999994</v>
      </c>
      <c r="D811" s="4">
        <v>51.966000000000001</v>
      </c>
      <c r="E811" s="4">
        <v>87</v>
      </c>
      <c r="F811" s="4"/>
      <c r="G811" s="4"/>
      <c r="H811" s="5">
        <f t="shared" si="12"/>
        <v>-1.0731072136334249E-2</v>
      </c>
    </row>
    <row r="812" spans="1:8" ht="13.5" x14ac:dyDescent="0.25">
      <c r="A812" s="1"/>
      <c r="B812" s="3">
        <v>43486</v>
      </c>
      <c r="C812" s="4">
        <v>81.99</v>
      </c>
      <c r="D812" s="4">
        <v>53.119199999999999</v>
      </c>
      <c r="E812" s="4">
        <v>301</v>
      </c>
      <c r="F812" s="4"/>
      <c r="G812" s="4"/>
      <c r="H812" s="5">
        <f t="shared" si="12"/>
        <v>2.2191432859946854E-2</v>
      </c>
    </row>
    <row r="813" spans="1:8" ht="13.5" x14ac:dyDescent="0.25">
      <c r="A813" s="1"/>
      <c r="B813" s="3">
        <v>43487</v>
      </c>
      <c r="C813" s="4">
        <v>81.02</v>
      </c>
      <c r="D813" s="4">
        <v>52.4908</v>
      </c>
      <c r="E813" s="4">
        <v>36</v>
      </c>
      <c r="F813" s="4"/>
      <c r="G813" s="4"/>
      <c r="H813" s="5">
        <f t="shared" si="12"/>
        <v>-1.1829997439720463E-2</v>
      </c>
    </row>
    <row r="814" spans="1:8" ht="13.5" x14ac:dyDescent="0.25">
      <c r="A814" s="1"/>
      <c r="B814" s="3">
        <v>43488</v>
      </c>
      <c r="C814" s="4">
        <v>82</v>
      </c>
      <c r="D814" s="4">
        <v>53.125700000000002</v>
      </c>
      <c r="E814" s="4">
        <v>84</v>
      </c>
      <c r="F814" s="4"/>
      <c r="G814" s="4"/>
      <c r="H814" s="5">
        <f t="shared" si="12"/>
        <v>1.2095452917463665E-2</v>
      </c>
    </row>
    <row r="815" spans="1:8" ht="13.5" x14ac:dyDescent="0.25">
      <c r="A815" s="1"/>
      <c r="B815" s="3">
        <v>43489</v>
      </c>
      <c r="C815" s="4">
        <v>85.69</v>
      </c>
      <c r="D815" s="4">
        <v>55.516399999999997</v>
      </c>
      <c r="E815" s="4">
        <v>22</v>
      </c>
      <c r="F815" s="4"/>
      <c r="G815" s="4"/>
      <c r="H815" s="5">
        <f t="shared" si="12"/>
        <v>4.5000818812740262E-2</v>
      </c>
    </row>
    <row r="816" spans="1:8" ht="13.5" x14ac:dyDescent="0.25">
      <c r="A816" s="1"/>
      <c r="B816" s="3">
        <v>43490</v>
      </c>
      <c r="C816" s="4">
        <v>88</v>
      </c>
      <c r="D816" s="4">
        <v>57.012900000000002</v>
      </c>
      <c r="E816" s="4">
        <v>9</v>
      </c>
      <c r="F816" s="4"/>
      <c r="G816" s="4"/>
      <c r="H816" s="5">
        <f t="shared" si="12"/>
        <v>2.6955998587804769E-2</v>
      </c>
    </row>
    <row r="817" spans="1:8" ht="13.5" x14ac:dyDescent="0.25">
      <c r="A817" s="1"/>
      <c r="B817" s="3">
        <v>43493</v>
      </c>
      <c r="C817" s="4">
        <v>88</v>
      </c>
      <c r="D817" s="4">
        <v>57.012900000000002</v>
      </c>
      <c r="E817" s="4">
        <v>20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85.36</v>
      </c>
      <c r="D818" s="4">
        <v>55.302599999999998</v>
      </c>
      <c r="E818" s="4">
        <v>91</v>
      </c>
      <c r="F818" s="4"/>
      <c r="G818" s="4"/>
      <c r="H818" s="5">
        <f t="shared" si="12"/>
        <v>-2.9998474029561795E-2</v>
      </c>
    </row>
    <row r="819" spans="1:8" ht="13.5" x14ac:dyDescent="0.25">
      <c r="A819" s="1"/>
      <c r="B819" s="3">
        <v>43495</v>
      </c>
      <c r="C819" s="4">
        <v>84</v>
      </c>
      <c r="D819" s="4">
        <v>54.421399999999998</v>
      </c>
      <c r="E819" s="4">
        <v>39</v>
      </c>
      <c r="F819" s="4"/>
      <c r="G819" s="4"/>
      <c r="H819" s="5">
        <f t="shared" si="12"/>
        <v>-1.5934151378054554E-2</v>
      </c>
    </row>
    <row r="820" spans="1:8" ht="13.5" x14ac:dyDescent="0.25">
      <c r="A820" s="1"/>
      <c r="B820" s="3">
        <v>43496</v>
      </c>
      <c r="C820" s="4">
        <v>84.2</v>
      </c>
      <c r="D820" s="4">
        <v>54.551000000000002</v>
      </c>
      <c r="E820" s="4">
        <v>56</v>
      </c>
      <c r="F820" s="4"/>
      <c r="G820" s="4"/>
      <c r="H820" s="5">
        <f t="shared" si="12"/>
        <v>2.3814161340943727E-3</v>
      </c>
    </row>
    <row r="821" spans="1:8" ht="13.5" x14ac:dyDescent="0.25">
      <c r="A821" s="1"/>
      <c r="B821" s="3">
        <v>43497</v>
      </c>
      <c r="C821" s="4">
        <v>86</v>
      </c>
      <c r="D821" s="4">
        <v>55.717199999999998</v>
      </c>
      <c r="E821" s="4">
        <v>10</v>
      </c>
      <c r="F821" s="4"/>
      <c r="G821" s="4"/>
      <c r="H821" s="5">
        <f t="shared" si="12"/>
        <v>2.1378159887078078E-2</v>
      </c>
    </row>
    <row r="822" spans="1:8" ht="13.5" x14ac:dyDescent="0.25">
      <c r="A822" s="1"/>
      <c r="B822" s="3">
        <v>43500</v>
      </c>
      <c r="C822" s="4">
        <v>88.1</v>
      </c>
      <c r="D822" s="4">
        <v>57.0777</v>
      </c>
      <c r="E822" s="4">
        <v>22</v>
      </c>
      <c r="F822" s="4"/>
      <c r="G822" s="4"/>
      <c r="H822" s="5">
        <f t="shared" si="12"/>
        <v>2.4417953522431167E-2</v>
      </c>
    </row>
    <row r="823" spans="1:8" ht="13.5" x14ac:dyDescent="0.25">
      <c r="A823" s="1"/>
      <c r="B823" s="3">
        <v>43501</v>
      </c>
      <c r="C823" s="4">
        <v>88.1</v>
      </c>
      <c r="D823" s="4">
        <v>57.0777</v>
      </c>
      <c r="E823" s="4">
        <v>719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88.1</v>
      </c>
      <c r="D824" s="4">
        <v>57.0777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88.1</v>
      </c>
      <c r="D825" s="4">
        <v>57.0777</v>
      </c>
      <c r="E825" s="4">
        <v>53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93</v>
      </c>
      <c r="D826" s="4">
        <v>60.252299999999998</v>
      </c>
      <c r="E826" s="4">
        <v>2</v>
      </c>
      <c r="F826" s="4"/>
      <c r="G826" s="4"/>
      <c r="H826" s="5">
        <f t="shared" si="12"/>
        <v>5.5618919472928977E-2</v>
      </c>
    </row>
    <row r="827" spans="1:8" ht="13.5" x14ac:dyDescent="0.25">
      <c r="A827" s="1"/>
      <c r="B827" s="3">
        <v>43507</v>
      </c>
      <c r="C827" s="4">
        <v>92.99</v>
      </c>
      <c r="D827" s="4">
        <v>60.245800000000003</v>
      </c>
      <c r="E827" s="4">
        <v>4</v>
      </c>
      <c r="F827" s="4"/>
      <c r="G827" s="4"/>
      <c r="H827" s="5">
        <f t="shared" si="12"/>
        <v>-1.0787969919813036E-4</v>
      </c>
    </row>
    <row r="828" spans="1:8" ht="13.5" x14ac:dyDescent="0.25">
      <c r="A828" s="1"/>
      <c r="B828" s="3">
        <v>43508</v>
      </c>
      <c r="C828" s="4">
        <v>88.81</v>
      </c>
      <c r="D828" s="4">
        <v>57.537700000000001</v>
      </c>
      <c r="E828" s="4">
        <v>0</v>
      </c>
      <c r="F828" s="4"/>
      <c r="G828" s="4"/>
      <c r="H828" s="5">
        <f t="shared" si="12"/>
        <v>-4.4950851345653998E-2</v>
      </c>
    </row>
    <row r="829" spans="1:8" ht="13.5" x14ac:dyDescent="0.25">
      <c r="A829" s="1"/>
      <c r="B829" s="3">
        <v>43509</v>
      </c>
      <c r="C829" s="4">
        <v>84.82</v>
      </c>
      <c r="D829" s="4">
        <v>54.9527</v>
      </c>
      <c r="E829" s="4">
        <v>0</v>
      </c>
      <c r="F829" s="4"/>
      <c r="G829" s="4"/>
      <c r="H829" s="5">
        <f t="shared" si="12"/>
        <v>-4.4927065211157219E-2</v>
      </c>
    </row>
    <row r="830" spans="1:8" ht="13.5" x14ac:dyDescent="0.25">
      <c r="A830" s="1"/>
      <c r="B830" s="3">
        <v>43510</v>
      </c>
      <c r="C830" s="4">
        <v>84.12</v>
      </c>
      <c r="D830" s="4">
        <v>54.499200000000002</v>
      </c>
      <c r="E830" s="4">
        <v>50</v>
      </c>
      <c r="F830" s="4"/>
      <c r="G830" s="4"/>
      <c r="H830" s="5">
        <f t="shared" si="12"/>
        <v>-8.2525517399508717E-3</v>
      </c>
    </row>
    <row r="831" spans="1:8" ht="13.5" x14ac:dyDescent="0.25">
      <c r="A831" s="1"/>
      <c r="B831" s="3">
        <v>43511</v>
      </c>
      <c r="C831" s="4">
        <v>84</v>
      </c>
      <c r="D831" s="4">
        <v>54.421399999999998</v>
      </c>
      <c r="E831" s="4">
        <v>8</v>
      </c>
      <c r="F831" s="4"/>
      <c r="G831" s="4"/>
      <c r="H831" s="5">
        <f t="shared" si="12"/>
        <v>-1.4275438905525847E-3</v>
      </c>
    </row>
    <row r="832" spans="1:8" ht="13.5" x14ac:dyDescent="0.25">
      <c r="A832" s="1"/>
      <c r="B832" s="3">
        <v>43514</v>
      </c>
      <c r="C832" s="4">
        <v>84</v>
      </c>
      <c r="D832" s="4">
        <v>54.421399999999998</v>
      </c>
      <c r="E832" s="4">
        <v>31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82</v>
      </c>
      <c r="D833" s="4">
        <v>53.125700000000002</v>
      </c>
      <c r="E833" s="4">
        <v>31</v>
      </c>
      <c r="F833" s="4"/>
      <c r="G833" s="4"/>
      <c r="H833" s="5">
        <f t="shared" si="12"/>
        <v>-2.3808648803595581E-2</v>
      </c>
    </row>
    <row r="834" spans="1:8" ht="13.5" x14ac:dyDescent="0.25">
      <c r="A834" s="1"/>
      <c r="B834" s="3">
        <v>43516</v>
      </c>
      <c r="C834" s="4">
        <v>84</v>
      </c>
      <c r="D834" s="4">
        <v>54.421399999999998</v>
      </c>
      <c r="E834" s="4">
        <v>16</v>
      </c>
      <c r="F834" s="4"/>
      <c r="G834" s="4"/>
      <c r="H834" s="5">
        <f t="shared" si="12"/>
        <v>2.4389325693590796E-2</v>
      </c>
    </row>
    <row r="835" spans="1:8" ht="13.5" x14ac:dyDescent="0.25">
      <c r="A835" s="1"/>
      <c r="B835" s="3">
        <v>43517</v>
      </c>
      <c r="C835" s="4">
        <v>84</v>
      </c>
      <c r="D835" s="4">
        <v>54.421399999999998</v>
      </c>
      <c r="E835" s="4">
        <v>61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86.52</v>
      </c>
      <c r="D836" s="4">
        <v>56.054099999999998</v>
      </c>
      <c r="E836" s="4">
        <v>32</v>
      </c>
      <c r="F836" s="4"/>
      <c r="G836" s="4"/>
      <c r="H836" s="5">
        <f t="shared" si="12"/>
        <v>3.0001065757220502E-2</v>
      </c>
    </row>
    <row r="837" spans="1:8" ht="13.5" x14ac:dyDescent="0.25">
      <c r="A837" s="1"/>
      <c r="B837" s="3">
        <v>43521</v>
      </c>
      <c r="C837" s="4">
        <v>86.52</v>
      </c>
      <c r="D837" s="4">
        <v>56.054099999999998</v>
      </c>
      <c r="E837" s="4">
        <v>0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86.52</v>
      </c>
      <c r="D838" s="4">
        <v>56.054099999999998</v>
      </c>
      <c r="E838" s="4">
        <v>5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90.41</v>
      </c>
      <c r="D839" s="4">
        <v>58.574300000000001</v>
      </c>
      <c r="E839" s="4">
        <v>21</v>
      </c>
      <c r="F839" s="4"/>
      <c r="G839" s="4"/>
      <c r="H839" s="5">
        <f t="shared" ref="H839:H902" si="13">(D839-D838)/D838</f>
        <v>4.4960136725056735E-2</v>
      </c>
    </row>
    <row r="840" spans="1:8" ht="13.5" x14ac:dyDescent="0.25">
      <c r="A840" s="1"/>
      <c r="B840" s="3">
        <v>43524</v>
      </c>
      <c r="C840" s="4">
        <v>86.35</v>
      </c>
      <c r="D840" s="4">
        <v>55.943899999999999</v>
      </c>
      <c r="E840" s="4">
        <v>25</v>
      </c>
      <c r="F840" s="4"/>
      <c r="G840" s="4"/>
      <c r="H840" s="5">
        <f t="shared" si="13"/>
        <v>-4.4907066751117837E-2</v>
      </c>
    </row>
    <row r="841" spans="1:8" ht="13.5" x14ac:dyDescent="0.25">
      <c r="A841" s="1"/>
      <c r="B841" s="3">
        <v>43525</v>
      </c>
      <c r="C841" s="4">
        <v>86.35</v>
      </c>
      <c r="D841" s="4">
        <v>55.943899999999999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86.35</v>
      </c>
      <c r="D842" s="4">
        <v>55.943899999999999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86.3</v>
      </c>
      <c r="D843" s="4">
        <v>55.9116</v>
      </c>
      <c r="E843" s="4">
        <v>23</v>
      </c>
      <c r="F843" s="4">
        <v>86.328299999999999</v>
      </c>
      <c r="G843" s="4">
        <v>1985.5509</v>
      </c>
      <c r="H843" s="5">
        <f t="shared" si="13"/>
        <v>-5.7736410940244297E-4</v>
      </c>
    </row>
    <row r="844" spans="1:8" ht="13.5" x14ac:dyDescent="0.25">
      <c r="A844" s="1"/>
      <c r="B844" s="3">
        <v>43530</v>
      </c>
      <c r="C844" s="4">
        <v>86.3</v>
      </c>
      <c r="D844" s="4">
        <v>55.9116</v>
      </c>
      <c r="E844" s="4">
        <v>28</v>
      </c>
      <c r="F844" s="4">
        <v>86.3</v>
      </c>
      <c r="G844" s="4">
        <v>2416.4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86.3</v>
      </c>
      <c r="D845" s="4">
        <v>55.9116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84.02</v>
      </c>
      <c r="D846" s="4">
        <v>54.434399999999997</v>
      </c>
      <c r="E846" s="4">
        <v>5</v>
      </c>
      <c r="F846" s="4">
        <v>84.02</v>
      </c>
      <c r="G846" s="4">
        <v>420.1</v>
      </c>
      <c r="H846" s="5">
        <f t="shared" si="13"/>
        <v>-2.6420277724121709E-2</v>
      </c>
    </row>
    <row r="847" spans="1:8" ht="13.5" x14ac:dyDescent="0.25">
      <c r="A847" s="1"/>
      <c r="B847" s="3">
        <v>43535</v>
      </c>
      <c r="C847" s="4">
        <v>84</v>
      </c>
      <c r="D847" s="4">
        <v>54.421399999999998</v>
      </c>
      <c r="E847" s="4">
        <v>20</v>
      </c>
      <c r="F847" s="4">
        <v>84</v>
      </c>
      <c r="G847" s="4">
        <v>1680</v>
      </c>
      <c r="H847" s="5">
        <f t="shared" si="13"/>
        <v>-2.388195699777737E-4</v>
      </c>
    </row>
    <row r="848" spans="1:8" ht="13.5" x14ac:dyDescent="0.25">
      <c r="A848" s="1"/>
      <c r="B848" s="3">
        <v>43536</v>
      </c>
      <c r="C848" s="4">
        <v>84</v>
      </c>
      <c r="D848" s="4">
        <v>54.421399999999998</v>
      </c>
      <c r="E848" s="4">
        <v>87</v>
      </c>
      <c r="F848" s="4">
        <v>84</v>
      </c>
      <c r="G848" s="4">
        <v>7308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82.6</v>
      </c>
      <c r="D849" s="4">
        <v>53.514400000000002</v>
      </c>
      <c r="E849" s="4">
        <v>106</v>
      </c>
      <c r="F849" s="4">
        <v>82.6</v>
      </c>
      <c r="G849" s="4">
        <v>8755.6</v>
      </c>
      <c r="H849" s="5">
        <f t="shared" si="13"/>
        <v>-1.6666237913761803E-2</v>
      </c>
    </row>
    <row r="850" spans="1:8" ht="13.5" x14ac:dyDescent="0.25">
      <c r="A850" s="1"/>
      <c r="B850" s="3">
        <v>43538</v>
      </c>
      <c r="C850" s="4">
        <v>82.6</v>
      </c>
      <c r="D850" s="4">
        <v>53.514400000000002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84</v>
      </c>
      <c r="D851" s="4">
        <v>54.421399999999998</v>
      </c>
      <c r="E851" s="4">
        <v>6</v>
      </c>
      <c r="F851" s="4">
        <v>84</v>
      </c>
      <c r="G851" s="4">
        <v>504</v>
      </c>
      <c r="H851" s="5">
        <f t="shared" si="13"/>
        <v>1.6948709132495111E-2</v>
      </c>
    </row>
    <row r="852" spans="1:8" ht="13.5" x14ac:dyDescent="0.25">
      <c r="A852" s="1"/>
      <c r="B852" s="3">
        <v>43542</v>
      </c>
      <c r="C852" s="4">
        <v>83.9</v>
      </c>
      <c r="D852" s="4">
        <v>54.356699999999996</v>
      </c>
      <c r="E852" s="4">
        <v>6</v>
      </c>
      <c r="F852" s="4">
        <v>83.9</v>
      </c>
      <c r="G852" s="4">
        <v>503.4</v>
      </c>
      <c r="H852" s="5">
        <f t="shared" si="13"/>
        <v>-1.1888705545980438E-3</v>
      </c>
    </row>
    <row r="853" spans="1:8" ht="13.5" x14ac:dyDescent="0.25">
      <c r="A853" s="1"/>
      <c r="B853" s="3">
        <v>43543</v>
      </c>
      <c r="C853" s="4">
        <v>83.9</v>
      </c>
      <c r="D853" s="4">
        <v>54.356699999999996</v>
      </c>
      <c r="E853" s="4">
        <v>16</v>
      </c>
      <c r="F853" s="4">
        <v>83.974999999999994</v>
      </c>
      <c r="G853" s="4">
        <v>1343.6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83.9</v>
      </c>
      <c r="D854" s="4">
        <v>54.356699999999996</v>
      </c>
      <c r="E854" s="4">
        <v>14</v>
      </c>
      <c r="F854" s="4">
        <v>83.9</v>
      </c>
      <c r="G854" s="4">
        <v>1174.5999999999999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83.9</v>
      </c>
      <c r="D855" s="4">
        <v>54.356699999999996</v>
      </c>
      <c r="E855" s="4">
        <v>16</v>
      </c>
      <c r="F855" s="4">
        <v>83.9</v>
      </c>
      <c r="G855" s="4">
        <v>1342.4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84</v>
      </c>
      <c r="D856" s="4">
        <v>54.421399999999998</v>
      </c>
      <c r="E856" s="4">
        <v>47</v>
      </c>
      <c r="F856" s="4">
        <v>84</v>
      </c>
      <c r="G856" s="4">
        <v>3948</v>
      </c>
      <c r="H856" s="5">
        <f t="shared" si="13"/>
        <v>1.1902856501590784E-3</v>
      </c>
    </row>
    <row r="857" spans="1:8" ht="13.5" x14ac:dyDescent="0.25">
      <c r="A857" s="1"/>
      <c r="B857" s="3">
        <v>43550</v>
      </c>
      <c r="C857" s="4">
        <v>83.99</v>
      </c>
      <c r="D857" s="4">
        <v>54.414999999999999</v>
      </c>
      <c r="E857" s="4">
        <v>69</v>
      </c>
      <c r="F857" s="4">
        <v>83.997100000000003</v>
      </c>
      <c r="G857" s="4">
        <v>5795.7999</v>
      </c>
      <c r="H857" s="5">
        <f t="shared" si="13"/>
        <v>-1.17600796745385E-4</v>
      </c>
    </row>
    <row r="858" spans="1:8" ht="13.5" x14ac:dyDescent="0.25">
      <c r="A858" s="1"/>
      <c r="B858" s="3">
        <v>43551</v>
      </c>
      <c r="C858" s="4">
        <v>84</v>
      </c>
      <c r="D858" s="4">
        <v>54.421399999999998</v>
      </c>
      <c r="E858" s="4">
        <v>9</v>
      </c>
      <c r="F858" s="4">
        <v>84</v>
      </c>
      <c r="G858" s="4">
        <v>756</v>
      </c>
      <c r="H858" s="5">
        <f t="shared" si="13"/>
        <v>1.1761462831938428E-4</v>
      </c>
    </row>
    <row r="859" spans="1:8" ht="13.5" x14ac:dyDescent="0.25">
      <c r="A859" s="1"/>
      <c r="B859" s="3">
        <v>43552</v>
      </c>
      <c r="C859" s="4">
        <v>84.01</v>
      </c>
      <c r="D859" s="4">
        <v>54.427900000000001</v>
      </c>
      <c r="E859" s="4">
        <v>35</v>
      </c>
      <c r="F859" s="4">
        <v>83.992900000000006</v>
      </c>
      <c r="G859" s="4">
        <v>2939.7514999999999</v>
      </c>
      <c r="H859" s="5">
        <f t="shared" si="13"/>
        <v>1.1943830919459284E-4</v>
      </c>
    </row>
    <row r="860" spans="1:8" ht="13.5" x14ac:dyDescent="0.25">
      <c r="A860" s="1"/>
      <c r="B860" s="3">
        <v>43553</v>
      </c>
      <c r="C860" s="4">
        <v>84.01</v>
      </c>
      <c r="D860" s="4">
        <v>54.427900000000001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81.5</v>
      </c>
      <c r="D861" s="4">
        <v>52.8018</v>
      </c>
      <c r="E861" s="4">
        <v>3</v>
      </c>
      <c r="F861" s="4">
        <v>81.5</v>
      </c>
      <c r="G861" s="4">
        <v>244.5</v>
      </c>
      <c r="H861" s="5">
        <f t="shared" si="13"/>
        <v>-2.9876221570187367E-2</v>
      </c>
    </row>
    <row r="862" spans="1:8" ht="13.5" x14ac:dyDescent="0.25">
      <c r="A862" s="1"/>
      <c r="B862" s="3">
        <v>43557</v>
      </c>
      <c r="C862" s="4">
        <v>83.94</v>
      </c>
      <c r="D862" s="4">
        <v>54.382599999999996</v>
      </c>
      <c r="E862" s="4">
        <v>41</v>
      </c>
      <c r="F862" s="4">
        <v>83.94</v>
      </c>
      <c r="G862" s="4">
        <v>3441.54</v>
      </c>
      <c r="H862" s="5">
        <f t="shared" si="13"/>
        <v>2.9938373313030928E-2</v>
      </c>
    </row>
    <row r="863" spans="1:8" ht="13.5" x14ac:dyDescent="0.25">
      <c r="A863" s="1"/>
      <c r="B863" s="3">
        <v>43558</v>
      </c>
      <c r="C863" s="4">
        <v>83.94</v>
      </c>
      <c r="D863" s="4">
        <v>54.382599999999996</v>
      </c>
      <c r="E863" s="4">
        <v>69</v>
      </c>
      <c r="F863" s="4">
        <v>83.94</v>
      </c>
      <c r="G863" s="4">
        <v>5791.86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83.94</v>
      </c>
      <c r="D864" s="4">
        <v>54.382599999999996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86.45</v>
      </c>
      <c r="D865" s="4">
        <v>56.008699999999997</v>
      </c>
      <c r="E865" s="4">
        <v>0</v>
      </c>
      <c r="F865" s="4">
        <v>0</v>
      </c>
      <c r="G865" s="4">
        <v>0</v>
      </c>
      <c r="H865" s="5">
        <f t="shared" si="13"/>
        <v>2.9901108075009307E-2</v>
      </c>
    </row>
    <row r="866" spans="1:8" ht="13.5" x14ac:dyDescent="0.25">
      <c r="A866" s="1"/>
      <c r="B866" s="3">
        <v>43563</v>
      </c>
      <c r="C866" s="4">
        <v>89</v>
      </c>
      <c r="D866" s="4">
        <v>57.660800000000002</v>
      </c>
      <c r="E866" s="4">
        <v>2</v>
      </c>
      <c r="F866" s="4">
        <v>89</v>
      </c>
      <c r="G866" s="4">
        <v>178</v>
      </c>
      <c r="H866" s="5">
        <f t="shared" si="13"/>
        <v>2.9497203113087869E-2</v>
      </c>
    </row>
    <row r="867" spans="1:8" ht="13.5" x14ac:dyDescent="0.25">
      <c r="A867" s="1"/>
      <c r="B867" s="3">
        <v>43565</v>
      </c>
      <c r="C867" s="4">
        <v>89</v>
      </c>
      <c r="D867" s="4">
        <v>57.660800000000002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89.99</v>
      </c>
      <c r="D868" s="4">
        <v>58.302199999999999</v>
      </c>
      <c r="E868" s="4">
        <v>9</v>
      </c>
      <c r="F868" s="4">
        <v>89.991100000000003</v>
      </c>
      <c r="G868" s="4">
        <v>809.91989999999998</v>
      </c>
      <c r="H868" s="5">
        <f t="shared" si="13"/>
        <v>1.1123675009711924E-2</v>
      </c>
    </row>
    <row r="869" spans="1:8" ht="13.5" x14ac:dyDescent="0.25">
      <c r="A869" s="1"/>
      <c r="B869" s="3">
        <v>43567</v>
      </c>
      <c r="C869" s="4">
        <v>89.99</v>
      </c>
      <c r="D869" s="4">
        <v>58.302199999999999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90.99</v>
      </c>
      <c r="D870" s="4">
        <v>58.950099999999999</v>
      </c>
      <c r="E870" s="4">
        <v>3</v>
      </c>
      <c r="F870" s="4">
        <v>90.99</v>
      </c>
      <c r="G870" s="4">
        <v>272.97000000000003</v>
      </c>
      <c r="H870" s="5">
        <f t="shared" si="13"/>
        <v>1.1112788196671823E-2</v>
      </c>
    </row>
    <row r="871" spans="1:8" ht="13.5" x14ac:dyDescent="0.25">
      <c r="A871" s="1"/>
      <c r="B871" s="3">
        <v>43571</v>
      </c>
      <c r="C871" s="4">
        <v>88.3</v>
      </c>
      <c r="D871" s="4">
        <v>57.207299999999996</v>
      </c>
      <c r="E871" s="4">
        <v>26</v>
      </c>
      <c r="F871" s="4">
        <v>88.3</v>
      </c>
      <c r="G871" s="4">
        <v>2295.8000000000002</v>
      </c>
      <c r="H871" s="5">
        <f t="shared" si="13"/>
        <v>-2.9563987168808918E-2</v>
      </c>
    </row>
    <row r="872" spans="1:8" ht="13.5" x14ac:dyDescent="0.25">
      <c r="A872" s="1"/>
      <c r="B872" s="3">
        <v>43572</v>
      </c>
      <c r="C872" s="4">
        <v>85.66</v>
      </c>
      <c r="D872" s="4">
        <v>55.496899999999997</v>
      </c>
      <c r="E872" s="4">
        <v>16</v>
      </c>
      <c r="F872" s="4">
        <v>85.66</v>
      </c>
      <c r="G872" s="4">
        <v>1370.56</v>
      </c>
      <c r="H872" s="5">
        <f t="shared" si="13"/>
        <v>-2.9898282212235151E-2</v>
      </c>
    </row>
    <row r="873" spans="1:8" ht="13.5" x14ac:dyDescent="0.25">
      <c r="A873" s="1"/>
      <c r="B873" s="3">
        <v>43573</v>
      </c>
      <c r="C873" s="4">
        <v>89.99</v>
      </c>
      <c r="D873" s="4">
        <v>58.302199999999999</v>
      </c>
      <c r="E873" s="4">
        <v>8</v>
      </c>
      <c r="F873" s="4">
        <v>89.105000000000004</v>
      </c>
      <c r="G873" s="4">
        <v>712.84</v>
      </c>
      <c r="H873" s="5">
        <f t="shared" si="13"/>
        <v>5.0548769390722774E-2</v>
      </c>
    </row>
    <row r="874" spans="1:8" ht="13.5" x14ac:dyDescent="0.25">
      <c r="A874" s="1"/>
      <c r="B874" s="3">
        <v>43574</v>
      </c>
      <c r="C874" s="4">
        <v>89.99</v>
      </c>
      <c r="D874" s="4">
        <v>58.302199999999999</v>
      </c>
      <c r="E874" s="4">
        <v>37</v>
      </c>
      <c r="F874" s="4">
        <v>89.99</v>
      </c>
      <c r="G874" s="4">
        <v>3329.63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88.11</v>
      </c>
      <c r="D875" s="4">
        <v>57.084200000000003</v>
      </c>
      <c r="E875" s="4">
        <v>10</v>
      </c>
      <c r="F875" s="4">
        <v>88.106999999999999</v>
      </c>
      <c r="G875" s="4">
        <v>881.07</v>
      </c>
      <c r="H875" s="5">
        <f t="shared" si="13"/>
        <v>-2.0891149905149314E-2</v>
      </c>
    </row>
    <row r="876" spans="1:8" ht="13.5" x14ac:dyDescent="0.25">
      <c r="A876" s="1"/>
      <c r="B876" s="3">
        <v>43578</v>
      </c>
      <c r="C876" s="4">
        <v>90.2</v>
      </c>
      <c r="D876" s="4">
        <v>58.438299999999998</v>
      </c>
      <c r="E876" s="4">
        <v>1</v>
      </c>
      <c r="F876" s="4">
        <v>90.2</v>
      </c>
      <c r="G876" s="4">
        <v>90.2</v>
      </c>
      <c r="H876" s="5">
        <f t="shared" si="13"/>
        <v>2.3721099708851053E-2</v>
      </c>
    </row>
    <row r="877" spans="1:8" ht="13.5" x14ac:dyDescent="0.25">
      <c r="A877" s="1"/>
      <c r="B877" s="3">
        <v>43579</v>
      </c>
      <c r="C877" s="4">
        <v>92.49</v>
      </c>
      <c r="D877" s="4">
        <v>59.921900000000001</v>
      </c>
      <c r="E877" s="4">
        <v>1</v>
      </c>
      <c r="F877" s="4">
        <v>92.49</v>
      </c>
      <c r="G877" s="4">
        <v>92.49</v>
      </c>
      <c r="H877" s="5">
        <f t="shared" si="13"/>
        <v>2.538745993637739E-2</v>
      </c>
    </row>
    <row r="878" spans="1:8" ht="13.5" x14ac:dyDescent="0.25">
      <c r="A878" s="1"/>
      <c r="B878" s="3">
        <v>43580</v>
      </c>
      <c r="C878" s="4">
        <v>92.49</v>
      </c>
      <c r="D878" s="4">
        <v>59.921900000000001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92.49</v>
      </c>
      <c r="D879" s="4">
        <v>59.921900000000001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92.39</v>
      </c>
      <c r="D880" s="4">
        <v>59.857100000000003</v>
      </c>
      <c r="E880" s="4">
        <v>3</v>
      </c>
      <c r="F880" s="4">
        <v>92.39</v>
      </c>
      <c r="G880" s="4">
        <v>277.17</v>
      </c>
      <c r="H880" s="5">
        <f t="shared" si="13"/>
        <v>-1.0814076322679721E-3</v>
      </c>
    </row>
    <row r="881" spans="1:8" ht="13.5" x14ac:dyDescent="0.25">
      <c r="A881" s="1"/>
      <c r="B881" s="3">
        <v>43585</v>
      </c>
      <c r="C881" s="4">
        <v>92.35</v>
      </c>
      <c r="D881" s="4">
        <v>59.831200000000003</v>
      </c>
      <c r="E881" s="4">
        <v>13</v>
      </c>
      <c r="F881" s="4">
        <v>92.35</v>
      </c>
      <c r="G881" s="4">
        <v>1200.55</v>
      </c>
      <c r="H881" s="5">
        <f t="shared" si="13"/>
        <v>-4.326972071817718E-4</v>
      </c>
    </row>
    <row r="882" spans="1:8" ht="13.5" x14ac:dyDescent="0.25">
      <c r="A882" s="1"/>
      <c r="B882" s="3">
        <v>43587</v>
      </c>
      <c r="C882" s="4">
        <v>92.35</v>
      </c>
      <c r="D882" s="4">
        <v>59.831200000000003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90</v>
      </c>
      <c r="D883" s="4">
        <v>58.308700000000002</v>
      </c>
      <c r="E883" s="4">
        <v>5</v>
      </c>
      <c r="F883" s="4">
        <v>90</v>
      </c>
      <c r="G883" s="4">
        <v>450</v>
      </c>
      <c r="H883" s="5">
        <f t="shared" si="13"/>
        <v>-2.5446589739132774E-2</v>
      </c>
    </row>
    <row r="884" spans="1:8" ht="13.5" x14ac:dyDescent="0.25">
      <c r="A884" s="1"/>
      <c r="B884" s="3">
        <v>43591</v>
      </c>
      <c r="C884" s="4">
        <v>87.3</v>
      </c>
      <c r="D884" s="4">
        <v>56.559399999999997</v>
      </c>
      <c r="E884" s="4">
        <v>10</v>
      </c>
      <c r="F884" s="4">
        <v>87.3</v>
      </c>
      <c r="G884" s="4">
        <v>873</v>
      </c>
      <c r="H884" s="5">
        <f t="shared" si="13"/>
        <v>-3.0000668853876096E-2</v>
      </c>
    </row>
    <row r="885" spans="1:8" ht="13.5" x14ac:dyDescent="0.25">
      <c r="A885" s="1"/>
      <c r="B885" s="3">
        <v>43592</v>
      </c>
      <c r="C885" s="4">
        <v>87.3</v>
      </c>
      <c r="D885" s="4">
        <v>56.559399999999997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87.3</v>
      </c>
      <c r="D886" s="4">
        <v>56.559399999999997</v>
      </c>
      <c r="E886" s="4">
        <v>5</v>
      </c>
      <c r="F886" s="4">
        <v>87.3</v>
      </c>
      <c r="G886" s="4">
        <v>436.5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87.3</v>
      </c>
      <c r="D887" s="4">
        <v>56.559399999999997</v>
      </c>
      <c r="E887" s="4">
        <v>394</v>
      </c>
      <c r="F887" s="4">
        <v>87.3</v>
      </c>
      <c r="G887" s="4">
        <v>34396.199999999997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87.3</v>
      </c>
      <c r="D888" s="4">
        <v>56.559399999999997</v>
      </c>
      <c r="E888" s="4">
        <v>15</v>
      </c>
      <c r="F888" s="4">
        <v>87.3</v>
      </c>
      <c r="G888" s="4">
        <v>1309.5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87.3</v>
      </c>
      <c r="D889" s="4">
        <v>56.559399999999997</v>
      </c>
      <c r="E889" s="4">
        <v>45</v>
      </c>
      <c r="F889" s="4">
        <v>87.3</v>
      </c>
      <c r="G889" s="4">
        <v>3928.5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87.3</v>
      </c>
      <c r="D890" s="4">
        <v>56.559399999999997</v>
      </c>
      <c r="E890" s="4">
        <v>59</v>
      </c>
      <c r="F890" s="4">
        <v>87.3</v>
      </c>
      <c r="G890" s="4">
        <v>5150.7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87</v>
      </c>
      <c r="D891" s="4">
        <v>56.365099999999998</v>
      </c>
      <c r="E891" s="4">
        <v>20</v>
      </c>
      <c r="F891" s="4">
        <v>87</v>
      </c>
      <c r="G891" s="4">
        <v>1740</v>
      </c>
      <c r="H891" s="5">
        <f t="shared" si="13"/>
        <v>-3.4353264002093087E-3</v>
      </c>
    </row>
    <row r="892" spans="1:8" ht="13.5" x14ac:dyDescent="0.25">
      <c r="A892" s="1"/>
      <c r="B892" s="3">
        <v>43601</v>
      </c>
      <c r="C892" s="4">
        <v>87</v>
      </c>
      <c r="D892" s="4">
        <v>56.365099999999998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87</v>
      </c>
      <c r="D893" s="4">
        <v>56.365099999999998</v>
      </c>
      <c r="E893" s="4">
        <v>3</v>
      </c>
      <c r="F893" s="4">
        <v>87</v>
      </c>
      <c r="G893" s="4">
        <v>261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87</v>
      </c>
      <c r="D894" s="4">
        <v>56.365099999999998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87.3</v>
      </c>
      <c r="D895" s="4">
        <v>56.559399999999997</v>
      </c>
      <c r="E895" s="4">
        <v>31</v>
      </c>
      <c r="F895" s="4">
        <v>87.3</v>
      </c>
      <c r="G895" s="4">
        <v>2706.3</v>
      </c>
      <c r="H895" s="5">
        <f t="shared" si="13"/>
        <v>3.4471685493328028E-3</v>
      </c>
    </row>
    <row r="896" spans="1:8" ht="13.5" x14ac:dyDescent="0.25">
      <c r="A896" s="1"/>
      <c r="B896" s="3">
        <v>43607</v>
      </c>
      <c r="C896" s="4">
        <v>87.3</v>
      </c>
      <c r="D896" s="4">
        <v>56.559399999999997</v>
      </c>
      <c r="E896" s="4">
        <v>14</v>
      </c>
      <c r="F896" s="4">
        <v>87.3</v>
      </c>
      <c r="G896" s="4">
        <v>1222.2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85</v>
      </c>
      <c r="D897" s="4">
        <v>55.069299999999998</v>
      </c>
      <c r="E897" s="4">
        <v>187</v>
      </c>
      <c r="F897" s="4">
        <v>85</v>
      </c>
      <c r="G897" s="4">
        <v>15895</v>
      </c>
      <c r="H897" s="5">
        <f t="shared" si="13"/>
        <v>-2.6345753314214761E-2</v>
      </c>
    </row>
    <row r="898" spans="1:8" ht="13.5" x14ac:dyDescent="0.25">
      <c r="A898" s="1"/>
      <c r="B898" s="3">
        <v>43609</v>
      </c>
      <c r="C898" s="4">
        <v>87.29</v>
      </c>
      <c r="D898" s="4">
        <v>56.552900000000001</v>
      </c>
      <c r="E898" s="4">
        <v>5</v>
      </c>
      <c r="F898" s="4">
        <v>87.29</v>
      </c>
      <c r="G898" s="4">
        <v>436.45</v>
      </c>
      <c r="H898" s="5">
        <f t="shared" si="13"/>
        <v>2.694060029816981E-2</v>
      </c>
    </row>
    <row r="899" spans="1:8" ht="13.5" x14ac:dyDescent="0.25">
      <c r="A899" s="1"/>
      <c r="B899" s="3">
        <v>43612</v>
      </c>
      <c r="C899" s="4">
        <v>87.29</v>
      </c>
      <c r="D899" s="4">
        <v>56.552900000000001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89.8</v>
      </c>
      <c r="D900" s="4">
        <v>58.179099999999998</v>
      </c>
      <c r="E900" s="4">
        <v>15</v>
      </c>
      <c r="F900" s="4">
        <v>89.8</v>
      </c>
      <c r="G900" s="4">
        <v>1347</v>
      </c>
      <c r="H900" s="5">
        <f t="shared" si="13"/>
        <v>2.8755377708304917E-2</v>
      </c>
    </row>
    <row r="901" spans="1:8" ht="13.5" x14ac:dyDescent="0.25">
      <c r="A901" s="1"/>
      <c r="B901" s="3">
        <v>43614</v>
      </c>
      <c r="C901" s="4">
        <v>89.8</v>
      </c>
      <c r="D901" s="4">
        <v>58.179099999999998</v>
      </c>
      <c r="E901" s="4">
        <v>4</v>
      </c>
      <c r="F901" s="4">
        <v>89.8</v>
      </c>
      <c r="G901" s="4">
        <v>359.2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87.22</v>
      </c>
      <c r="D902" s="4">
        <v>56.507599999999996</v>
      </c>
      <c r="E902" s="4">
        <v>7</v>
      </c>
      <c r="F902" s="4">
        <v>87.22</v>
      </c>
      <c r="G902" s="4">
        <v>610.54</v>
      </c>
      <c r="H902" s="5">
        <f t="shared" si="13"/>
        <v>-2.8730248491296732E-2</v>
      </c>
    </row>
    <row r="903" spans="1:8" ht="13.5" x14ac:dyDescent="0.25">
      <c r="A903" s="1"/>
      <c r="B903" s="3">
        <v>43616</v>
      </c>
      <c r="C903" s="4">
        <v>89.8</v>
      </c>
      <c r="D903" s="4">
        <v>58.179099999999998</v>
      </c>
      <c r="E903" s="4">
        <v>108</v>
      </c>
      <c r="F903" s="4">
        <v>89.8</v>
      </c>
      <c r="G903" s="4">
        <v>9698.4</v>
      </c>
      <c r="H903" s="5">
        <f t="shared" ref="H903:H966" si="14">(D903-D902)/D902</f>
        <v>2.9580091881446068E-2</v>
      </c>
    </row>
    <row r="904" spans="1:8" ht="13.5" x14ac:dyDescent="0.25">
      <c r="A904" s="1"/>
      <c r="B904" s="3">
        <v>43619</v>
      </c>
      <c r="C904" s="4">
        <v>89.8</v>
      </c>
      <c r="D904" s="4">
        <v>58.179099999999998</v>
      </c>
      <c r="E904" s="4">
        <v>137</v>
      </c>
      <c r="F904" s="4">
        <v>89.8</v>
      </c>
      <c r="G904" s="4">
        <v>12302.6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89.8</v>
      </c>
      <c r="D905" s="4">
        <v>58.179099999999998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89.99</v>
      </c>
      <c r="D906" s="4">
        <v>58.302199999999999</v>
      </c>
      <c r="E906" s="4">
        <v>37</v>
      </c>
      <c r="F906" s="4">
        <v>89.99</v>
      </c>
      <c r="G906" s="4">
        <v>3329.63</v>
      </c>
      <c r="H906" s="5">
        <f t="shared" si="14"/>
        <v>2.1158801012734966E-3</v>
      </c>
    </row>
    <row r="907" spans="1:8" ht="13.5" x14ac:dyDescent="0.25">
      <c r="A907" s="1"/>
      <c r="B907" s="3">
        <v>43627</v>
      </c>
      <c r="C907" s="4">
        <v>89</v>
      </c>
      <c r="D907" s="4">
        <v>57.660800000000002</v>
      </c>
      <c r="E907" s="4">
        <v>20</v>
      </c>
      <c r="F907" s="4">
        <v>89</v>
      </c>
      <c r="G907" s="4">
        <v>1780</v>
      </c>
      <c r="H907" s="5">
        <f t="shared" si="14"/>
        <v>-1.1001300122465316E-2</v>
      </c>
    </row>
    <row r="908" spans="1:8" ht="13.5" x14ac:dyDescent="0.25">
      <c r="A908" s="1"/>
      <c r="B908" s="3">
        <v>43628</v>
      </c>
      <c r="C908" s="4">
        <v>89</v>
      </c>
      <c r="D908" s="4">
        <v>57.660800000000002</v>
      </c>
      <c r="E908" s="4">
        <v>7</v>
      </c>
      <c r="F908" s="4">
        <v>89</v>
      </c>
      <c r="G908" s="4">
        <v>623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87</v>
      </c>
      <c r="D909" s="4">
        <v>56.365099999999998</v>
      </c>
      <c r="E909" s="4">
        <v>123</v>
      </c>
      <c r="F909" s="4">
        <v>87</v>
      </c>
      <c r="G909" s="4">
        <v>10701</v>
      </c>
      <c r="H909" s="5">
        <f t="shared" si="14"/>
        <v>-2.2471072201565075E-2</v>
      </c>
    </row>
    <row r="910" spans="1:8" ht="13.5" x14ac:dyDescent="0.25">
      <c r="A910" s="1"/>
      <c r="B910" s="3">
        <v>43630</v>
      </c>
      <c r="C910" s="4">
        <v>82.5</v>
      </c>
      <c r="D910" s="4">
        <v>56.298299999999998</v>
      </c>
      <c r="E910" s="4">
        <v>0</v>
      </c>
      <c r="F910" s="4">
        <v>0</v>
      </c>
      <c r="G910" s="4">
        <v>0</v>
      </c>
      <c r="H910" s="5">
        <f t="shared" si="14"/>
        <v>-1.1851305151592145E-3</v>
      </c>
    </row>
    <row r="911" spans="1:8" ht="13.5" x14ac:dyDescent="0.25">
      <c r="A911" s="1"/>
      <c r="B911" s="3">
        <v>43633</v>
      </c>
      <c r="C911" s="4">
        <v>82.5</v>
      </c>
      <c r="D911" s="4">
        <v>56.298299999999998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82.5</v>
      </c>
      <c r="D912" s="4">
        <v>56.298299999999998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82.5</v>
      </c>
      <c r="D913" s="4">
        <v>56.298299999999998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82.5</v>
      </c>
      <c r="D914" s="4">
        <v>56.298299999999998</v>
      </c>
      <c r="E914" s="4">
        <v>83</v>
      </c>
      <c r="F914" s="4">
        <v>82.5</v>
      </c>
      <c r="G914" s="4">
        <v>6847.5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82.5</v>
      </c>
      <c r="D915" s="4">
        <v>56.298299999999998</v>
      </c>
      <c r="E915" s="4">
        <v>16</v>
      </c>
      <c r="F915" s="4">
        <v>82.5</v>
      </c>
      <c r="G915" s="4">
        <v>1320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82.5</v>
      </c>
      <c r="D916" s="4">
        <v>56.298299999999998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82.6</v>
      </c>
      <c r="D917" s="4">
        <v>56.366599999999998</v>
      </c>
      <c r="E917" s="4">
        <v>1</v>
      </c>
      <c r="F917" s="4">
        <v>82.6</v>
      </c>
      <c r="G917" s="4">
        <v>82.6</v>
      </c>
      <c r="H917" s="5">
        <f t="shared" si="14"/>
        <v>1.2131805045623172E-3</v>
      </c>
    </row>
    <row r="918" spans="1:8" ht="13.5" x14ac:dyDescent="0.25">
      <c r="A918" s="1"/>
      <c r="B918" s="3">
        <v>43642</v>
      </c>
      <c r="C918" s="4">
        <v>85</v>
      </c>
      <c r="D918" s="4">
        <v>58.004300000000001</v>
      </c>
      <c r="E918" s="4">
        <v>4</v>
      </c>
      <c r="F918" s="4">
        <v>85</v>
      </c>
      <c r="G918" s="4">
        <v>340</v>
      </c>
      <c r="H918" s="5">
        <f t="shared" si="14"/>
        <v>2.9054440040733386E-2</v>
      </c>
    </row>
    <row r="919" spans="1:8" ht="13.5" x14ac:dyDescent="0.25">
      <c r="A919" s="1"/>
      <c r="B919" s="3">
        <v>43643</v>
      </c>
      <c r="C919" s="4">
        <v>85</v>
      </c>
      <c r="D919" s="4">
        <v>58.004300000000001</v>
      </c>
      <c r="E919" s="4">
        <v>10</v>
      </c>
      <c r="F919" s="4">
        <v>85</v>
      </c>
      <c r="G919" s="4">
        <v>850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82.7</v>
      </c>
      <c r="D920" s="4">
        <v>56.434800000000003</v>
      </c>
      <c r="E920" s="4">
        <v>5</v>
      </c>
      <c r="F920" s="4">
        <v>82.7</v>
      </c>
      <c r="G920" s="4">
        <v>413.5</v>
      </c>
      <c r="H920" s="5">
        <f t="shared" si="14"/>
        <v>-2.7058338778331914E-2</v>
      </c>
    </row>
    <row r="921" spans="1:8" ht="13.5" x14ac:dyDescent="0.25">
      <c r="A921" s="1"/>
      <c r="B921" s="3">
        <v>43647</v>
      </c>
      <c r="C921" s="4">
        <v>85</v>
      </c>
      <c r="D921" s="4">
        <v>58.004300000000001</v>
      </c>
      <c r="E921" s="4">
        <v>39</v>
      </c>
      <c r="F921" s="4">
        <v>85</v>
      </c>
      <c r="G921" s="4">
        <v>3315</v>
      </c>
      <c r="H921" s="5">
        <f t="shared" si="14"/>
        <v>2.7810854295576448E-2</v>
      </c>
    </row>
    <row r="922" spans="1:8" ht="13.5" x14ac:dyDescent="0.25">
      <c r="A922" s="1"/>
      <c r="B922" s="3">
        <v>43648</v>
      </c>
      <c r="C922" s="4">
        <v>84.99</v>
      </c>
      <c r="D922" s="4">
        <v>57.997500000000002</v>
      </c>
      <c r="E922" s="4">
        <v>160</v>
      </c>
      <c r="F922" s="4">
        <v>84.99</v>
      </c>
      <c r="G922" s="4">
        <v>13598.4</v>
      </c>
      <c r="H922" s="5">
        <f t="shared" si="14"/>
        <v>-1.1723268792138449E-4</v>
      </c>
    </row>
    <row r="923" spans="1:8" ht="13.5" x14ac:dyDescent="0.25">
      <c r="A923" s="1"/>
      <c r="B923" s="3">
        <v>43649</v>
      </c>
      <c r="C923" s="4">
        <v>84.98</v>
      </c>
      <c r="D923" s="4">
        <v>57.990699999999997</v>
      </c>
      <c r="E923" s="4">
        <v>23</v>
      </c>
      <c r="F923" s="4">
        <v>84.984300000000005</v>
      </c>
      <c r="G923" s="4">
        <v>1954.6388999999999</v>
      </c>
      <c r="H923" s="5">
        <f t="shared" si="14"/>
        <v>-1.17246433036001E-4</v>
      </c>
    </row>
    <row r="924" spans="1:8" ht="13.5" x14ac:dyDescent="0.25">
      <c r="A924" s="1"/>
      <c r="B924" s="3">
        <v>43650</v>
      </c>
      <c r="C924" s="4">
        <v>84.93</v>
      </c>
      <c r="D924" s="4">
        <v>57.956600000000002</v>
      </c>
      <c r="E924" s="4">
        <v>15</v>
      </c>
      <c r="F924" s="4">
        <v>84.93</v>
      </c>
      <c r="G924" s="4">
        <v>1273.95</v>
      </c>
      <c r="H924" s="5">
        <f t="shared" si="14"/>
        <v>-5.8802532130143516E-4</v>
      </c>
    </row>
    <row r="925" spans="1:8" ht="13.5" x14ac:dyDescent="0.25">
      <c r="A925" s="1"/>
      <c r="B925" s="3">
        <v>43651</v>
      </c>
      <c r="C925" s="4">
        <v>84.93</v>
      </c>
      <c r="D925" s="4">
        <v>57.956600000000002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84.9</v>
      </c>
      <c r="D926" s="4">
        <v>57.936100000000003</v>
      </c>
      <c r="E926" s="4">
        <v>25</v>
      </c>
      <c r="F926" s="4">
        <v>84.9</v>
      </c>
      <c r="G926" s="4">
        <v>2122.5</v>
      </c>
      <c r="H926" s="5">
        <f t="shared" si="14"/>
        <v>-3.5371295072517036E-4</v>
      </c>
    </row>
    <row r="927" spans="1:8" ht="13.5" x14ac:dyDescent="0.25">
      <c r="A927" s="1"/>
      <c r="B927" s="3">
        <v>43655</v>
      </c>
      <c r="C927" s="4">
        <v>84.9</v>
      </c>
      <c r="D927" s="4">
        <v>57.936100000000003</v>
      </c>
      <c r="E927" s="4">
        <v>20</v>
      </c>
      <c r="F927" s="4">
        <v>84.9</v>
      </c>
      <c r="G927" s="4">
        <v>1698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84.9</v>
      </c>
      <c r="D928" s="4">
        <v>57.936100000000003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84.9</v>
      </c>
      <c r="D929" s="4">
        <v>57.936100000000003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84.89</v>
      </c>
      <c r="D930" s="4">
        <v>57.929299999999998</v>
      </c>
      <c r="E930" s="4">
        <v>26</v>
      </c>
      <c r="F930" s="4">
        <v>84.89</v>
      </c>
      <c r="G930" s="4">
        <v>2207.14</v>
      </c>
      <c r="H930" s="5">
        <f t="shared" si="14"/>
        <v>-1.1737068943207203E-4</v>
      </c>
    </row>
    <row r="931" spans="1:8" ht="13.5" x14ac:dyDescent="0.25">
      <c r="A931" s="1"/>
      <c r="B931" s="3">
        <v>43661</v>
      </c>
      <c r="C931" s="4">
        <v>84.88</v>
      </c>
      <c r="D931" s="4">
        <v>57.922400000000003</v>
      </c>
      <c r="E931" s="4">
        <v>53</v>
      </c>
      <c r="F931" s="4">
        <v>84.88</v>
      </c>
      <c r="G931" s="4">
        <v>4498.6400000000003</v>
      </c>
      <c r="H931" s="5">
        <f t="shared" si="14"/>
        <v>-1.1911070908839875E-4</v>
      </c>
    </row>
    <row r="932" spans="1:8" ht="13.5" x14ac:dyDescent="0.25">
      <c r="A932" s="1"/>
      <c r="B932" s="3">
        <v>43662</v>
      </c>
      <c r="C932" s="4">
        <v>84.87</v>
      </c>
      <c r="D932" s="4">
        <v>57.915599999999998</v>
      </c>
      <c r="E932" s="4">
        <v>29</v>
      </c>
      <c r="F932" s="4">
        <v>84.87</v>
      </c>
      <c r="G932" s="4">
        <v>2461.23</v>
      </c>
      <c r="H932" s="5">
        <f t="shared" si="14"/>
        <v>-1.173984503405499E-4</v>
      </c>
    </row>
    <row r="933" spans="1:8" ht="13.5" x14ac:dyDescent="0.25">
      <c r="A933" s="1"/>
      <c r="B933" s="3">
        <v>43663</v>
      </c>
      <c r="C933" s="4">
        <v>84.88</v>
      </c>
      <c r="D933" s="4">
        <v>57.922400000000003</v>
      </c>
      <c r="E933" s="4">
        <v>21</v>
      </c>
      <c r="F933" s="4">
        <v>84.877099999999999</v>
      </c>
      <c r="G933" s="4">
        <v>1782.4191000000001</v>
      </c>
      <c r="H933" s="5">
        <f t="shared" si="14"/>
        <v>1.174122343549142E-4</v>
      </c>
    </row>
    <row r="934" spans="1:8" ht="13.5" x14ac:dyDescent="0.25">
      <c r="A934" s="1"/>
      <c r="B934" s="3">
        <v>43664</v>
      </c>
      <c r="C934" s="4">
        <v>84.87</v>
      </c>
      <c r="D934" s="4">
        <v>57.915599999999998</v>
      </c>
      <c r="E934" s="4">
        <v>24</v>
      </c>
      <c r="F934" s="4">
        <v>84.87</v>
      </c>
      <c r="G934" s="4">
        <v>2036.88</v>
      </c>
      <c r="H934" s="5">
        <f t="shared" si="14"/>
        <v>-1.173984503405499E-4</v>
      </c>
    </row>
    <row r="935" spans="1:8" ht="13.5" x14ac:dyDescent="0.25">
      <c r="A935" s="1"/>
      <c r="B935" s="3">
        <v>43665</v>
      </c>
      <c r="C935" s="4">
        <v>83.9</v>
      </c>
      <c r="D935" s="4">
        <v>57.253700000000002</v>
      </c>
      <c r="E935" s="4">
        <v>71</v>
      </c>
      <c r="F935" s="4">
        <v>83.9</v>
      </c>
      <c r="G935" s="4">
        <v>5956.9</v>
      </c>
      <c r="H935" s="5">
        <f t="shared" si="14"/>
        <v>-1.1428699694037456E-2</v>
      </c>
    </row>
    <row r="936" spans="1:8" ht="13.5" x14ac:dyDescent="0.25">
      <c r="A936" s="1"/>
      <c r="B936" s="3">
        <v>43668</v>
      </c>
      <c r="C936" s="4">
        <v>82.4</v>
      </c>
      <c r="D936" s="4">
        <v>56.2301</v>
      </c>
      <c r="E936" s="4">
        <v>130</v>
      </c>
      <c r="F936" s="4">
        <v>82.464600000000004</v>
      </c>
      <c r="G936" s="4">
        <v>10720.397999999999</v>
      </c>
      <c r="H936" s="5">
        <f t="shared" si="14"/>
        <v>-1.7878320527756317E-2</v>
      </c>
    </row>
    <row r="937" spans="1:8" ht="13.5" x14ac:dyDescent="0.25">
      <c r="A937" s="1"/>
      <c r="B937" s="3">
        <v>43669</v>
      </c>
      <c r="C937" s="4">
        <v>82.4</v>
      </c>
      <c r="D937" s="4">
        <v>56.2301</v>
      </c>
      <c r="E937" s="4">
        <v>108</v>
      </c>
      <c r="F937" s="4">
        <v>82.4</v>
      </c>
      <c r="G937" s="4">
        <v>8899.2000000000007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82.4</v>
      </c>
      <c r="D938" s="4">
        <v>56.2301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82.4</v>
      </c>
      <c r="D939" s="4">
        <v>56.2301</v>
      </c>
      <c r="E939" s="4">
        <v>21</v>
      </c>
      <c r="F939" s="4">
        <v>82.4</v>
      </c>
      <c r="G939" s="4">
        <v>1730.4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82.5</v>
      </c>
      <c r="D940" s="4">
        <v>56.298299999999998</v>
      </c>
      <c r="E940" s="4">
        <v>11</v>
      </c>
      <c r="F940" s="4">
        <v>82.5</v>
      </c>
      <c r="G940" s="4">
        <v>907.5</v>
      </c>
      <c r="H940" s="5">
        <f t="shared" si="14"/>
        <v>1.2128735321473264E-3</v>
      </c>
    </row>
    <row r="941" spans="1:8" ht="13.5" x14ac:dyDescent="0.25">
      <c r="A941" s="1"/>
      <c r="B941" s="3">
        <v>43676</v>
      </c>
      <c r="C941" s="4">
        <v>82.5</v>
      </c>
      <c r="D941" s="4">
        <v>56.298299999999998</v>
      </c>
      <c r="E941" s="4">
        <v>14</v>
      </c>
      <c r="F941" s="4">
        <v>82.5</v>
      </c>
      <c r="G941" s="4">
        <v>1155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82.5</v>
      </c>
      <c r="D942" s="4">
        <v>56.298299999999998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82.5</v>
      </c>
      <c r="D943" s="4">
        <v>56.298299999999998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82.5</v>
      </c>
      <c r="D944" s="4">
        <v>56.298299999999998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82.5</v>
      </c>
      <c r="D945" s="4">
        <v>56.298299999999998</v>
      </c>
      <c r="E945" s="4">
        <v>98</v>
      </c>
      <c r="F945" s="4">
        <v>82.5</v>
      </c>
      <c r="G945" s="4">
        <v>8085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82.5</v>
      </c>
      <c r="D946" s="4">
        <v>56.298299999999998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82</v>
      </c>
      <c r="D947" s="4">
        <v>55.957099999999997</v>
      </c>
      <c r="E947" s="4">
        <v>39</v>
      </c>
      <c r="F947" s="4">
        <v>82</v>
      </c>
      <c r="G947" s="4">
        <v>3198</v>
      </c>
      <c r="H947" s="5">
        <f t="shared" si="14"/>
        <v>-6.0605737651048186E-3</v>
      </c>
    </row>
    <row r="948" spans="1:8" ht="13.5" x14ac:dyDescent="0.25">
      <c r="A948" s="1"/>
      <c r="B948" s="3">
        <v>43685</v>
      </c>
      <c r="C948" s="4">
        <v>81.5</v>
      </c>
      <c r="D948" s="4">
        <v>55.615900000000003</v>
      </c>
      <c r="E948" s="4">
        <v>130</v>
      </c>
      <c r="F948" s="4">
        <v>81.5</v>
      </c>
      <c r="G948" s="4">
        <v>10595</v>
      </c>
      <c r="H948" s="5">
        <f t="shared" si="14"/>
        <v>-6.0975282850611184E-3</v>
      </c>
    </row>
    <row r="949" spans="1:8" ht="13.5" x14ac:dyDescent="0.25">
      <c r="A949" s="1"/>
      <c r="B949" s="3">
        <v>43686</v>
      </c>
      <c r="C949" s="4">
        <v>82</v>
      </c>
      <c r="D949" s="4">
        <v>55.957099999999997</v>
      </c>
      <c r="E949" s="4">
        <v>28</v>
      </c>
      <c r="F949" s="4">
        <v>82</v>
      </c>
      <c r="G949" s="4">
        <v>2296</v>
      </c>
      <c r="H949" s="5">
        <f t="shared" si="14"/>
        <v>6.1349362322643975E-3</v>
      </c>
    </row>
    <row r="950" spans="1:8" ht="13.5" x14ac:dyDescent="0.25">
      <c r="A950" s="1"/>
      <c r="B950" s="3">
        <v>43691</v>
      </c>
      <c r="C950" s="4">
        <v>82</v>
      </c>
      <c r="D950" s="4">
        <v>55.957099999999997</v>
      </c>
      <c r="E950" s="4">
        <v>37</v>
      </c>
      <c r="F950" s="4">
        <v>82</v>
      </c>
      <c r="G950" s="4">
        <v>3034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82</v>
      </c>
      <c r="D951" s="4">
        <v>55.957099999999997</v>
      </c>
      <c r="E951" s="4">
        <v>18</v>
      </c>
      <c r="F951" s="4">
        <v>82</v>
      </c>
      <c r="G951" s="4">
        <v>1476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82</v>
      </c>
      <c r="D952" s="4">
        <v>55.957099999999997</v>
      </c>
      <c r="E952" s="4">
        <v>10</v>
      </c>
      <c r="F952" s="4">
        <v>82</v>
      </c>
      <c r="G952" s="4">
        <v>820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82</v>
      </c>
      <c r="D953" s="4">
        <v>55.957099999999997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82</v>
      </c>
      <c r="D954" s="4">
        <v>55.957099999999997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81.5</v>
      </c>
      <c r="D955" s="4">
        <v>55.615900000000003</v>
      </c>
      <c r="E955" s="4">
        <v>2</v>
      </c>
      <c r="F955" s="4">
        <v>81.5</v>
      </c>
      <c r="G955" s="4">
        <v>163</v>
      </c>
      <c r="H955" s="5">
        <f t="shared" si="14"/>
        <v>-6.0975282850611184E-3</v>
      </c>
    </row>
    <row r="956" spans="1:8" ht="13.5" x14ac:dyDescent="0.25">
      <c r="A956" s="1"/>
      <c r="B956" s="3">
        <v>43699</v>
      </c>
      <c r="C956" s="4">
        <v>81</v>
      </c>
      <c r="D956" s="4">
        <v>55.274700000000003</v>
      </c>
      <c r="E956" s="4">
        <v>489</v>
      </c>
      <c r="F956" s="4">
        <v>81</v>
      </c>
      <c r="G956" s="4">
        <v>39609</v>
      </c>
      <c r="H956" s="5">
        <f t="shared" si="14"/>
        <v>-6.134936232264525E-3</v>
      </c>
    </row>
    <row r="957" spans="1:8" ht="13.5" x14ac:dyDescent="0.25">
      <c r="A957" s="1"/>
      <c r="B957" s="3">
        <v>43700</v>
      </c>
      <c r="C957" s="4">
        <v>80.02</v>
      </c>
      <c r="D957" s="4">
        <v>54.606000000000002</v>
      </c>
      <c r="E957" s="4">
        <v>107</v>
      </c>
      <c r="F957" s="4">
        <v>80.02</v>
      </c>
      <c r="G957" s="4">
        <v>8562.14</v>
      </c>
      <c r="H957" s="5">
        <f t="shared" si="14"/>
        <v>-1.2097759010903743E-2</v>
      </c>
    </row>
    <row r="958" spans="1:8" ht="13.5" x14ac:dyDescent="0.25">
      <c r="A958" s="1"/>
      <c r="B958" s="3">
        <v>43703</v>
      </c>
      <c r="C958" s="4">
        <v>80.02</v>
      </c>
      <c r="D958" s="4">
        <v>54.606000000000002</v>
      </c>
      <c r="E958" s="4">
        <v>5</v>
      </c>
      <c r="F958" s="4">
        <v>80.02</v>
      </c>
      <c r="G958" s="4">
        <v>400.1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80</v>
      </c>
      <c r="D959" s="4">
        <v>54.592300000000002</v>
      </c>
      <c r="E959" s="4">
        <v>87</v>
      </c>
      <c r="F959" s="4">
        <v>80</v>
      </c>
      <c r="G959" s="4">
        <v>6960</v>
      </c>
      <c r="H959" s="5">
        <f t="shared" si="14"/>
        <v>-2.5088818078599506E-4</v>
      </c>
    </row>
    <row r="960" spans="1:8" ht="13.5" x14ac:dyDescent="0.25">
      <c r="A960" s="1"/>
      <c r="B960" s="3">
        <v>43705</v>
      </c>
      <c r="C960" s="4">
        <v>80</v>
      </c>
      <c r="D960" s="4">
        <v>54.592300000000002</v>
      </c>
      <c r="E960" s="4">
        <v>130</v>
      </c>
      <c r="F960" s="4">
        <v>80</v>
      </c>
      <c r="G960" s="4">
        <v>10400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80</v>
      </c>
      <c r="D961" s="4">
        <v>54.592300000000002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80</v>
      </c>
      <c r="D962" s="4">
        <v>54.592300000000002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80</v>
      </c>
      <c r="D963" s="4">
        <v>54.592300000000002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80</v>
      </c>
      <c r="D964" s="4">
        <v>54.592300000000002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81</v>
      </c>
      <c r="D965" s="4">
        <v>55.274700000000003</v>
      </c>
      <c r="E965" s="4">
        <v>108</v>
      </c>
      <c r="F965" s="4">
        <v>81.0017</v>
      </c>
      <c r="G965" s="4">
        <v>8748.1836000000003</v>
      </c>
      <c r="H965" s="5">
        <f t="shared" si="14"/>
        <v>1.2499931308994147E-2</v>
      </c>
    </row>
    <row r="966" spans="1:8" ht="13.5" x14ac:dyDescent="0.25">
      <c r="A966" s="1"/>
      <c r="B966" s="3">
        <v>43713</v>
      </c>
      <c r="C966" s="4">
        <v>81</v>
      </c>
      <c r="D966" s="4">
        <v>55.274700000000003</v>
      </c>
      <c r="E966" s="4">
        <v>43</v>
      </c>
      <c r="F966" s="4">
        <v>81</v>
      </c>
      <c r="G966" s="4">
        <v>3483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81</v>
      </c>
      <c r="D967" s="4">
        <v>55.274700000000003</v>
      </c>
      <c r="E967" s="4">
        <v>8</v>
      </c>
      <c r="F967" s="4">
        <v>81</v>
      </c>
      <c r="G967" s="4">
        <v>648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81</v>
      </c>
      <c r="D968" s="4">
        <v>55.274700000000003</v>
      </c>
      <c r="E968" s="4">
        <v>39</v>
      </c>
      <c r="F968" s="4">
        <v>81</v>
      </c>
      <c r="G968" s="4">
        <v>3159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82</v>
      </c>
      <c r="D969" s="4">
        <v>55.957099999999997</v>
      </c>
      <c r="E969" s="4">
        <v>6</v>
      </c>
      <c r="F969" s="4">
        <v>82</v>
      </c>
      <c r="G969" s="4">
        <v>492</v>
      </c>
      <c r="H969" s="5">
        <f t="shared" si="15"/>
        <v>1.2345612006939777E-2</v>
      </c>
    </row>
    <row r="970" spans="1:8" ht="13.5" x14ac:dyDescent="0.25">
      <c r="A970" s="1"/>
      <c r="B970" s="3">
        <v>43719</v>
      </c>
      <c r="C970" s="4">
        <v>82</v>
      </c>
      <c r="D970" s="4">
        <v>55.957099999999997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82</v>
      </c>
      <c r="D971" s="4">
        <v>55.957099999999997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82</v>
      </c>
      <c r="D972" s="4">
        <v>55.957099999999997</v>
      </c>
      <c r="E972" s="4">
        <v>50</v>
      </c>
      <c r="F972" s="4">
        <v>82</v>
      </c>
      <c r="G972" s="4">
        <v>4100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74</v>
      </c>
      <c r="D973" s="4">
        <v>53.664099999999998</v>
      </c>
      <c r="E973" s="4">
        <v>1</v>
      </c>
      <c r="F973" s="4">
        <v>74</v>
      </c>
      <c r="G973" s="4">
        <v>74</v>
      </c>
      <c r="H973" s="5">
        <f t="shared" si="15"/>
        <v>-4.0977820508925573E-2</v>
      </c>
    </row>
    <row r="974" spans="1:8" ht="13.5" x14ac:dyDescent="0.25">
      <c r="A974" s="1"/>
      <c r="B974" s="3">
        <v>43725</v>
      </c>
      <c r="C974" s="4">
        <v>74</v>
      </c>
      <c r="D974" s="4">
        <v>53.664099999999998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74</v>
      </c>
      <c r="D975" s="4">
        <v>53.664099999999998</v>
      </c>
      <c r="E975" s="4">
        <v>46</v>
      </c>
      <c r="F975" s="4">
        <v>74</v>
      </c>
      <c r="G975" s="4">
        <v>3404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74</v>
      </c>
      <c r="D976" s="4">
        <v>53.664099999999998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74</v>
      </c>
      <c r="D977" s="4">
        <v>53.664099999999998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74</v>
      </c>
      <c r="D978" s="4">
        <v>53.664099999999998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74</v>
      </c>
      <c r="D979" s="4">
        <v>53.664099999999998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74</v>
      </c>
      <c r="D980" s="4">
        <v>53.664099999999998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74</v>
      </c>
      <c r="D981" s="4">
        <v>53.664099999999998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74</v>
      </c>
      <c r="D982" s="4">
        <v>53.664099999999998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75</v>
      </c>
      <c r="D983" s="4">
        <v>54.389299999999999</v>
      </c>
      <c r="E983" s="4">
        <v>64</v>
      </c>
      <c r="F983" s="4">
        <v>75</v>
      </c>
      <c r="G983" s="4">
        <v>4800</v>
      </c>
      <c r="H983" s="5">
        <f t="shared" si="15"/>
        <v>1.3513689785163657E-2</v>
      </c>
    </row>
    <row r="984" spans="1:8" ht="13.5" x14ac:dyDescent="0.25">
      <c r="A984" s="1"/>
      <c r="B984" s="3">
        <v>43739</v>
      </c>
      <c r="C984" s="4">
        <v>75</v>
      </c>
      <c r="D984" s="4">
        <v>54.389299999999999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75</v>
      </c>
      <c r="D985" s="4">
        <v>54.389299999999999</v>
      </c>
      <c r="E985" s="4">
        <v>10</v>
      </c>
      <c r="F985" s="4">
        <v>75</v>
      </c>
      <c r="G985" s="4">
        <v>750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75</v>
      </c>
      <c r="D986" s="4">
        <v>54.389299999999999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75</v>
      </c>
      <c r="D987" s="4">
        <v>54.389299999999999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76.5</v>
      </c>
      <c r="D988" s="4">
        <v>55.476999999999997</v>
      </c>
      <c r="E988" s="4">
        <v>20</v>
      </c>
      <c r="F988" s="4">
        <v>76.5</v>
      </c>
      <c r="G988" s="4">
        <v>1530</v>
      </c>
      <c r="H988" s="5">
        <f t="shared" si="15"/>
        <v>1.9998418806640241E-2</v>
      </c>
    </row>
    <row r="989" spans="1:8" ht="13.5" x14ac:dyDescent="0.25">
      <c r="A989" s="1"/>
      <c r="B989" s="3">
        <v>43746</v>
      </c>
      <c r="C989" s="4">
        <v>78.5</v>
      </c>
      <c r="D989" s="4">
        <v>56.927399999999999</v>
      </c>
      <c r="E989" s="4">
        <v>5</v>
      </c>
      <c r="F989" s="4">
        <v>78.5</v>
      </c>
      <c r="G989" s="4">
        <v>392.5</v>
      </c>
      <c r="H989" s="5">
        <f t="shared" si="15"/>
        <v>2.6144167853344665E-2</v>
      </c>
    </row>
    <row r="990" spans="1:8" ht="13.5" x14ac:dyDescent="0.25">
      <c r="A990" s="1"/>
      <c r="B990" s="3">
        <v>43747</v>
      </c>
      <c r="C990" s="4">
        <v>75</v>
      </c>
      <c r="D990" s="4">
        <v>54.389299999999999</v>
      </c>
      <c r="E990" s="4">
        <v>58</v>
      </c>
      <c r="F990" s="4">
        <v>75.256</v>
      </c>
      <c r="G990" s="4">
        <v>4364.848</v>
      </c>
      <c r="H990" s="5">
        <f t="shared" si="15"/>
        <v>-4.4584857204088016E-2</v>
      </c>
    </row>
    <row r="991" spans="1:8" ht="13.5" x14ac:dyDescent="0.25">
      <c r="A991" s="1"/>
      <c r="B991" s="3">
        <v>43748</v>
      </c>
      <c r="C991" s="4">
        <v>75</v>
      </c>
      <c r="D991" s="4">
        <v>54.389299999999999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75</v>
      </c>
      <c r="D992" s="4">
        <v>54.389299999999999</v>
      </c>
      <c r="E992" s="4">
        <v>86</v>
      </c>
      <c r="F992" s="4">
        <v>74.999799999999993</v>
      </c>
      <c r="G992" s="4">
        <v>6449.9827999999998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75</v>
      </c>
      <c r="D993" s="4">
        <v>54.389299999999999</v>
      </c>
      <c r="E993" s="4">
        <v>2</v>
      </c>
      <c r="F993" s="4">
        <v>75</v>
      </c>
      <c r="G993" s="4">
        <v>150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75</v>
      </c>
      <c r="D994" s="4">
        <v>54.389299999999999</v>
      </c>
      <c r="E994" s="4">
        <v>37</v>
      </c>
      <c r="F994" s="4">
        <v>75</v>
      </c>
      <c r="G994" s="4">
        <v>2775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75</v>
      </c>
      <c r="D995" s="4">
        <v>54.389299999999999</v>
      </c>
      <c r="E995" s="4">
        <v>5</v>
      </c>
      <c r="F995" s="4">
        <v>75</v>
      </c>
      <c r="G995" s="4">
        <v>375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75</v>
      </c>
      <c r="D996" s="4">
        <v>54.389299999999999</v>
      </c>
      <c r="E996" s="4">
        <v>3</v>
      </c>
      <c r="F996" s="4">
        <v>75</v>
      </c>
      <c r="G996" s="4">
        <v>225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75</v>
      </c>
      <c r="D997" s="4">
        <v>54.389299999999999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75</v>
      </c>
      <c r="D998" s="4">
        <v>54.389299999999999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75</v>
      </c>
      <c r="D999" s="4">
        <v>54.389299999999999</v>
      </c>
      <c r="E999" s="4">
        <v>140</v>
      </c>
      <c r="F999" s="4">
        <v>75</v>
      </c>
      <c r="G999" s="4">
        <v>10500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75</v>
      </c>
      <c r="D1000" s="4">
        <v>54.389299999999999</v>
      </c>
      <c r="E1000" s="4">
        <v>35</v>
      </c>
      <c r="F1000" s="4">
        <v>75</v>
      </c>
      <c r="G1000" s="4">
        <v>2625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75</v>
      </c>
      <c r="D1001" s="4">
        <v>54.389299999999999</v>
      </c>
      <c r="E1001" s="4">
        <v>15</v>
      </c>
      <c r="F1001" s="4">
        <v>75</v>
      </c>
      <c r="G1001" s="4">
        <v>1125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74</v>
      </c>
      <c r="D1002" s="4">
        <v>53.664099999999998</v>
      </c>
      <c r="E1002" s="4">
        <v>6</v>
      </c>
      <c r="F1002" s="4">
        <v>74</v>
      </c>
      <c r="G1002" s="4">
        <v>444</v>
      </c>
      <c r="H1002" s="5">
        <f t="shared" si="15"/>
        <v>-1.3333504935713477E-2</v>
      </c>
    </row>
    <row r="1003" spans="1:8" ht="13.5" x14ac:dyDescent="0.25">
      <c r="A1003" s="1"/>
      <c r="B1003" s="3">
        <v>43767</v>
      </c>
      <c r="C1003" s="4">
        <v>74</v>
      </c>
      <c r="D1003" s="4">
        <v>53.664099999999998</v>
      </c>
      <c r="E1003" s="4">
        <v>31</v>
      </c>
      <c r="F1003" s="4">
        <v>74</v>
      </c>
      <c r="G1003" s="4">
        <v>2294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74</v>
      </c>
      <c r="D1004" s="4">
        <v>53.664099999999998</v>
      </c>
      <c r="E1004" s="4">
        <v>11</v>
      </c>
      <c r="F1004" s="4">
        <v>74</v>
      </c>
      <c r="G1004" s="4">
        <v>814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74</v>
      </c>
      <c r="D1005" s="4">
        <v>53.664099999999998</v>
      </c>
      <c r="E1005" s="4">
        <v>2</v>
      </c>
      <c r="F1005" s="4">
        <v>74</v>
      </c>
      <c r="G1005" s="4">
        <v>148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74.3</v>
      </c>
      <c r="D1006" s="4">
        <v>53.881599999999999</v>
      </c>
      <c r="E1006" s="4">
        <v>67</v>
      </c>
      <c r="F1006" s="4">
        <v>74.3</v>
      </c>
      <c r="G1006" s="4">
        <v>4978.1000000000004</v>
      </c>
      <c r="H1006" s="5">
        <f t="shared" si="15"/>
        <v>4.0529888696540358E-3</v>
      </c>
    </row>
    <row r="1007" spans="1:8" ht="13.5" x14ac:dyDescent="0.25">
      <c r="A1007" s="1"/>
      <c r="B1007" s="3">
        <v>43773</v>
      </c>
      <c r="C1007" s="4">
        <v>74.3</v>
      </c>
      <c r="D1007" s="4">
        <v>53.881599999999999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72.08</v>
      </c>
      <c r="D1008" s="4">
        <v>52.271700000000003</v>
      </c>
      <c r="E1008" s="4">
        <v>50</v>
      </c>
      <c r="F1008" s="4">
        <v>72.08</v>
      </c>
      <c r="G1008" s="4">
        <v>3604</v>
      </c>
      <c r="H1008" s="5">
        <f t="shared" si="15"/>
        <v>-2.9878474284356742E-2</v>
      </c>
    </row>
    <row r="1009" spans="1:8" ht="13.5" x14ac:dyDescent="0.25">
      <c r="A1009" s="1"/>
      <c r="B1009" s="3">
        <v>43775</v>
      </c>
      <c r="C1009" s="4">
        <v>72.08</v>
      </c>
      <c r="D1009" s="4">
        <v>52.271700000000003</v>
      </c>
      <c r="E1009" s="4">
        <v>65</v>
      </c>
      <c r="F1009" s="4">
        <v>72.08</v>
      </c>
      <c r="G1009" s="4">
        <v>4685.2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72.08</v>
      </c>
      <c r="D1010" s="4">
        <v>52.271700000000003</v>
      </c>
      <c r="E1010" s="4">
        <v>50</v>
      </c>
      <c r="F1010" s="4">
        <v>72.08</v>
      </c>
      <c r="G1010" s="4">
        <v>3604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72.08</v>
      </c>
      <c r="D1011" s="4">
        <v>52.271700000000003</v>
      </c>
      <c r="E1011" s="4">
        <v>34</v>
      </c>
      <c r="F1011" s="4">
        <v>72.08</v>
      </c>
      <c r="G1011" s="4">
        <v>2450.7199999999998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70.5</v>
      </c>
      <c r="D1012" s="4">
        <v>51.125900000000001</v>
      </c>
      <c r="E1012" s="4">
        <v>4</v>
      </c>
      <c r="F1012" s="4">
        <v>70.5</v>
      </c>
      <c r="G1012" s="4">
        <v>282</v>
      </c>
      <c r="H1012" s="5">
        <f t="shared" si="15"/>
        <v>-2.1920082951195411E-2</v>
      </c>
    </row>
    <row r="1013" spans="1:8" ht="13.5" x14ac:dyDescent="0.25">
      <c r="A1013" s="1"/>
      <c r="B1013" s="3">
        <v>43781</v>
      </c>
      <c r="C1013" s="4">
        <v>72.08</v>
      </c>
      <c r="D1013" s="4">
        <v>52.271700000000003</v>
      </c>
      <c r="E1013" s="4">
        <v>2</v>
      </c>
      <c r="F1013" s="4">
        <v>72.08</v>
      </c>
      <c r="G1013" s="4">
        <v>144.16</v>
      </c>
      <c r="H1013" s="5">
        <f t="shared" si="15"/>
        <v>2.24113414140387E-2</v>
      </c>
    </row>
    <row r="1014" spans="1:8" ht="13.5" x14ac:dyDescent="0.25">
      <c r="A1014" s="1"/>
      <c r="B1014" s="3">
        <v>43782</v>
      </c>
      <c r="C1014" s="4">
        <v>72.08</v>
      </c>
      <c r="D1014" s="4">
        <v>52.271700000000003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72.08</v>
      </c>
      <c r="D1015" s="4">
        <v>52.271700000000003</v>
      </c>
      <c r="E1015" s="4">
        <v>4</v>
      </c>
      <c r="F1015" s="4">
        <v>72.08</v>
      </c>
      <c r="G1015" s="4">
        <v>288.32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72.069999999999993</v>
      </c>
      <c r="D1016" s="4">
        <v>52.264499999999998</v>
      </c>
      <c r="E1016" s="4">
        <v>16</v>
      </c>
      <c r="F1016" s="4">
        <v>72.069999999999993</v>
      </c>
      <c r="G1016" s="4">
        <v>1153.1199999999999</v>
      </c>
      <c r="H1016" s="5">
        <f t="shared" si="15"/>
        <v>-1.3774183736141231E-4</v>
      </c>
    </row>
    <row r="1017" spans="1:8" ht="13.5" x14ac:dyDescent="0.25">
      <c r="A1017" s="1"/>
      <c r="B1017" s="3">
        <v>43787</v>
      </c>
      <c r="C1017" s="4">
        <v>72.08</v>
      </c>
      <c r="D1017" s="4">
        <v>52.271700000000003</v>
      </c>
      <c r="E1017" s="4">
        <v>1</v>
      </c>
      <c r="F1017" s="4">
        <v>72.08</v>
      </c>
      <c r="G1017" s="4">
        <v>72.08</v>
      </c>
      <c r="H1017" s="5">
        <f t="shared" si="15"/>
        <v>1.3776081278888224E-4</v>
      </c>
    </row>
    <row r="1018" spans="1:8" ht="13.5" x14ac:dyDescent="0.25">
      <c r="A1018" s="1"/>
      <c r="B1018" s="3">
        <v>43788</v>
      </c>
      <c r="C1018" s="4">
        <v>71.5</v>
      </c>
      <c r="D1018" s="4">
        <v>51.851100000000002</v>
      </c>
      <c r="E1018" s="4">
        <v>15</v>
      </c>
      <c r="F1018" s="4">
        <v>71.652000000000001</v>
      </c>
      <c r="G1018" s="4">
        <v>1074.78</v>
      </c>
      <c r="H1018" s="5">
        <f t="shared" si="15"/>
        <v>-8.0464189991907714E-3</v>
      </c>
    </row>
    <row r="1019" spans="1:8" ht="13.5" x14ac:dyDescent="0.25">
      <c r="A1019" s="1"/>
      <c r="B1019" s="3">
        <v>43789</v>
      </c>
      <c r="C1019" s="4">
        <v>72.08</v>
      </c>
      <c r="D1019" s="4">
        <v>52.271700000000003</v>
      </c>
      <c r="E1019" s="4">
        <v>121</v>
      </c>
      <c r="F1019" s="4">
        <v>71.044600000000003</v>
      </c>
      <c r="G1019" s="4">
        <v>8596.3966</v>
      </c>
      <c r="H1019" s="5">
        <f t="shared" si="15"/>
        <v>8.1116890480626303E-3</v>
      </c>
    </row>
    <row r="1020" spans="1:8" ht="13.5" x14ac:dyDescent="0.25">
      <c r="A1020" s="1"/>
      <c r="B1020" s="3">
        <v>43790</v>
      </c>
      <c r="C1020" s="4">
        <v>71</v>
      </c>
      <c r="D1020" s="4">
        <v>51.488500000000002</v>
      </c>
      <c r="E1020" s="4">
        <v>69</v>
      </c>
      <c r="F1020" s="4">
        <v>71.266099999999994</v>
      </c>
      <c r="G1020" s="4">
        <v>4917.3608999999997</v>
      </c>
      <c r="H1020" s="5">
        <f t="shared" si="15"/>
        <v>-1.4983250975193091E-2</v>
      </c>
    </row>
    <row r="1021" spans="1:8" ht="13.5" x14ac:dyDescent="0.25">
      <c r="A1021" s="1"/>
      <c r="B1021" s="3">
        <v>43791</v>
      </c>
      <c r="C1021" s="4">
        <v>71</v>
      </c>
      <c r="D1021" s="4">
        <v>51.488500000000002</v>
      </c>
      <c r="E1021" s="4">
        <v>106</v>
      </c>
      <c r="F1021" s="4">
        <v>71</v>
      </c>
      <c r="G1021" s="4">
        <v>7526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71</v>
      </c>
      <c r="D1022" s="4">
        <v>51.488500000000002</v>
      </c>
      <c r="E1022" s="4">
        <v>4</v>
      </c>
      <c r="F1022" s="4">
        <v>71</v>
      </c>
      <c r="G1022" s="4">
        <v>284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71</v>
      </c>
      <c r="D1023" s="4">
        <v>51.488500000000002</v>
      </c>
      <c r="E1023" s="4">
        <v>10</v>
      </c>
      <c r="F1023" s="4">
        <v>71</v>
      </c>
      <c r="G1023" s="4">
        <v>710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71</v>
      </c>
      <c r="D1024" s="4">
        <v>51.488500000000002</v>
      </c>
      <c r="E1024" s="4">
        <v>0</v>
      </c>
      <c r="F1024" s="4">
        <v>0</v>
      </c>
      <c r="G1024" s="4">
        <v>0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72.08</v>
      </c>
      <c r="D1025" s="4">
        <v>52.271700000000003</v>
      </c>
      <c r="E1025" s="4">
        <v>126</v>
      </c>
      <c r="F1025" s="4">
        <v>71.814300000000003</v>
      </c>
      <c r="G1025" s="4">
        <v>9048.6018000000004</v>
      </c>
      <c r="H1025" s="5">
        <f t="shared" si="15"/>
        <v>1.5211163657904207E-2</v>
      </c>
    </row>
    <row r="1026" spans="1:8" ht="13.5" x14ac:dyDescent="0.25">
      <c r="A1026" s="1"/>
      <c r="B1026" s="3">
        <v>43798</v>
      </c>
      <c r="C1026" s="4">
        <v>72.08</v>
      </c>
      <c r="D1026" s="4">
        <v>52.271700000000003</v>
      </c>
      <c r="E1026" s="4">
        <v>5</v>
      </c>
      <c r="F1026" s="4">
        <v>72.08</v>
      </c>
      <c r="G1026" s="4">
        <v>360.4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72</v>
      </c>
      <c r="D1027" s="4">
        <v>52.213700000000003</v>
      </c>
      <c r="E1027" s="4">
        <v>4</v>
      </c>
      <c r="F1027" s="4">
        <v>72</v>
      </c>
      <c r="G1027" s="4">
        <v>288</v>
      </c>
      <c r="H1027" s="5">
        <f t="shared" si="15"/>
        <v>-1.1095870231884524E-3</v>
      </c>
    </row>
    <row r="1028" spans="1:8" ht="13.5" x14ac:dyDescent="0.25">
      <c r="A1028" s="1"/>
      <c r="B1028" s="3">
        <v>43802</v>
      </c>
      <c r="C1028" s="4">
        <v>72</v>
      </c>
      <c r="D1028" s="4">
        <v>52.213700000000003</v>
      </c>
      <c r="E1028" s="4">
        <v>32</v>
      </c>
      <c r="F1028" s="4">
        <v>72</v>
      </c>
      <c r="G1028" s="4">
        <v>2304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72</v>
      </c>
      <c r="D1029" s="4">
        <v>52.213700000000003</v>
      </c>
      <c r="E1029" s="4">
        <v>0</v>
      </c>
      <c r="F1029" s="4">
        <v>0</v>
      </c>
      <c r="G1029" s="4">
        <v>0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72</v>
      </c>
      <c r="D1030" s="4">
        <v>52.213700000000003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72</v>
      </c>
      <c r="D1031" s="4">
        <v>52.213700000000003</v>
      </c>
      <c r="E1031" s="4">
        <v>54</v>
      </c>
      <c r="F1031" s="4">
        <v>72</v>
      </c>
      <c r="G1031" s="4">
        <v>3888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72</v>
      </c>
      <c r="D1032" s="4">
        <v>52.213700000000003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72</v>
      </c>
      <c r="D1033" s="4">
        <v>52.213700000000003</v>
      </c>
      <c r="E1033" s="4">
        <v>48</v>
      </c>
      <c r="F1033" s="4">
        <v>72</v>
      </c>
      <c r="G1033" s="4">
        <v>3456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72</v>
      </c>
      <c r="D1034" s="4">
        <v>52.213700000000003</v>
      </c>
      <c r="E1034" s="4">
        <v>149</v>
      </c>
      <c r="F1034" s="4">
        <v>72</v>
      </c>
      <c r="G1034" s="4">
        <v>10728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72</v>
      </c>
      <c r="D1035" s="4">
        <v>52.213700000000003</v>
      </c>
      <c r="E1035" s="4">
        <v>251</v>
      </c>
      <c r="F1035" s="4">
        <v>72</v>
      </c>
      <c r="G1035" s="4">
        <v>18072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72</v>
      </c>
      <c r="D1036" s="4">
        <v>52.213700000000003</v>
      </c>
      <c r="E1036" s="4">
        <v>94</v>
      </c>
      <c r="F1036" s="4">
        <v>72</v>
      </c>
      <c r="G1036" s="4">
        <v>6768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72</v>
      </c>
      <c r="D1037" s="4">
        <v>52.213700000000003</v>
      </c>
      <c r="E1037" s="4">
        <v>0</v>
      </c>
      <c r="F1037" s="4">
        <v>0</v>
      </c>
      <c r="G1037" s="4">
        <v>0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71</v>
      </c>
      <c r="D1038" s="4">
        <v>51.488500000000002</v>
      </c>
      <c r="E1038" s="4">
        <v>20</v>
      </c>
      <c r="F1038" s="4">
        <v>71</v>
      </c>
      <c r="G1038" s="4">
        <v>1420</v>
      </c>
      <c r="H1038" s="5">
        <f t="shared" si="16"/>
        <v>-1.3889075089488025E-2</v>
      </c>
    </row>
    <row r="1039" spans="1:8" ht="13.5" x14ac:dyDescent="0.25">
      <c r="A1039" s="1"/>
      <c r="B1039" s="3">
        <v>43817</v>
      </c>
      <c r="C1039" s="4">
        <v>71</v>
      </c>
      <c r="D1039" s="4">
        <v>51.488500000000002</v>
      </c>
      <c r="E1039" s="4">
        <v>219</v>
      </c>
      <c r="F1039" s="4">
        <v>71</v>
      </c>
      <c r="G1039" s="4">
        <v>15549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71</v>
      </c>
      <c r="D1040" s="4">
        <v>51.488500000000002</v>
      </c>
      <c r="E1040" s="4">
        <v>27</v>
      </c>
      <c r="F1040" s="4">
        <v>71</v>
      </c>
      <c r="G1040" s="4">
        <v>1917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71</v>
      </c>
      <c r="D1041" s="4">
        <v>51.488500000000002</v>
      </c>
      <c r="E1041" s="4">
        <v>10</v>
      </c>
      <c r="F1041" s="4">
        <v>71</v>
      </c>
      <c r="G1041" s="4">
        <v>710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71</v>
      </c>
      <c r="D1042" s="4">
        <v>51.488500000000002</v>
      </c>
      <c r="E1042" s="4">
        <v>64</v>
      </c>
      <c r="F1042" s="4">
        <v>71</v>
      </c>
      <c r="G1042" s="4">
        <v>4544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70</v>
      </c>
      <c r="D1043" s="4">
        <v>50.763300000000001</v>
      </c>
      <c r="E1043" s="4">
        <v>137</v>
      </c>
      <c r="F1043" s="4">
        <v>70.292000000000002</v>
      </c>
      <c r="G1043" s="4">
        <v>9630.0040000000008</v>
      </c>
      <c r="H1043" s="5">
        <f t="shared" si="16"/>
        <v>-1.4084698524913349E-2</v>
      </c>
    </row>
    <row r="1044" spans="1:8" ht="13.5" x14ac:dyDescent="0.25">
      <c r="A1044" s="1"/>
      <c r="B1044" s="3">
        <v>43824</v>
      </c>
      <c r="C1044" s="4">
        <v>70</v>
      </c>
      <c r="D1044" s="4">
        <v>50.763300000000001</v>
      </c>
      <c r="E1044" s="4">
        <v>80</v>
      </c>
      <c r="F1044" s="4">
        <v>70</v>
      </c>
      <c r="G1044" s="4">
        <v>5600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70</v>
      </c>
      <c r="D1045" s="4">
        <v>50.763300000000001</v>
      </c>
      <c r="E1045" s="4">
        <v>28</v>
      </c>
      <c r="F1045" s="4">
        <v>70</v>
      </c>
      <c r="G1045" s="4">
        <v>1960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70</v>
      </c>
      <c r="D1046" s="4">
        <v>50.763300000000001</v>
      </c>
      <c r="E1046" s="4">
        <v>13</v>
      </c>
      <c r="F1046" s="4">
        <v>70</v>
      </c>
      <c r="G1046" s="4">
        <v>910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70</v>
      </c>
      <c r="D1047" s="4">
        <v>50.763300000000001</v>
      </c>
      <c r="E1047" s="4">
        <v>73</v>
      </c>
      <c r="F1047" s="4">
        <v>70</v>
      </c>
      <c r="G1047" s="4">
        <v>5110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70</v>
      </c>
      <c r="D1048" s="4">
        <v>50.763300000000001</v>
      </c>
      <c r="E1048" s="4">
        <v>28</v>
      </c>
      <c r="F1048" s="4">
        <v>70</v>
      </c>
      <c r="G1048" s="4">
        <v>1960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70</v>
      </c>
      <c r="D1049" s="4">
        <v>50.763300000000001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70.010000000000005</v>
      </c>
      <c r="D1050" s="4">
        <v>50.770600000000002</v>
      </c>
      <c r="E1050" s="4">
        <v>38</v>
      </c>
      <c r="F1050" s="4">
        <v>70.010000000000005</v>
      </c>
      <c r="G1050" s="4">
        <v>2660.38</v>
      </c>
      <c r="H1050" s="5">
        <f t="shared" si="16"/>
        <v>1.438046777888898E-4</v>
      </c>
    </row>
    <row r="1051" spans="1:8" ht="13.5" x14ac:dyDescent="0.25">
      <c r="A1051" s="1"/>
      <c r="B1051" s="3">
        <v>43836</v>
      </c>
      <c r="C1051" s="4">
        <v>70.010000000000005</v>
      </c>
      <c r="D1051" s="4">
        <v>50.770600000000002</v>
      </c>
      <c r="E1051" s="4">
        <v>11</v>
      </c>
      <c r="F1051" s="4">
        <v>70.010000000000005</v>
      </c>
      <c r="G1051" s="4">
        <v>770.11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70.010000000000005</v>
      </c>
      <c r="D1052" s="4">
        <v>50.770600000000002</v>
      </c>
      <c r="E1052" s="4">
        <v>0</v>
      </c>
      <c r="F1052" s="4">
        <v>0</v>
      </c>
      <c r="G1052" s="4">
        <v>0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70</v>
      </c>
      <c r="D1053" s="4">
        <v>50.763300000000001</v>
      </c>
      <c r="E1053" s="4">
        <v>396</v>
      </c>
      <c r="F1053" s="4">
        <v>70</v>
      </c>
      <c r="G1053" s="4">
        <v>27720</v>
      </c>
      <c r="H1053" s="5">
        <f t="shared" si="16"/>
        <v>-1.4378400097695812E-4</v>
      </c>
    </row>
    <row r="1054" spans="1:8" ht="13.5" x14ac:dyDescent="0.25">
      <c r="A1054" s="1"/>
      <c r="B1054" s="3">
        <v>43839</v>
      </c>
      <c r="C1054" s="4">
        <v>72.099999999999994</v>
      </c>
      <c r="D1054" s="4">
        <v>52.286200000000001</v>
      </c>
      <c r="E1054" s="4">
        <v>0</v>
      </c>
      <c r="F1054" s="4">
        <v>0</v>
      </c>
      <c r="G1054" s="4">
        <v>0</v>
      </c>
      <c r="H1054" s="5">
        <f t="shared" si="16"/>
        <v>3.0000019699270929E-2</v>
      </c>
    </row>
    <row r="1055" spans="1:8" ht="13.5" x14ac:dyDescent="0.25">
      <c r="A1055" s="1"/>
      <c r="B1055" s="3">
        <v>43840</v>
      </c>
      <c r="C1055" s="4">
        <v>70</v>
      </c>
      <c r="D1055" s="4">
        <v>50.763300000000001</v>
      </c>
      <c r="E1055" s="4">
        <v>23</v>
      </c>
      <c r="F1055" s="4">
        <v>70</v>
      </c>
      <c r="G1055" s="4">
        <v>1610</v>
      </c>
      <c r="H1055" s="5">
        <f t="shared" si="16"/>
        <v>-2.9126232160684846E-2</v>
      </c>
    </row>
    <row r="1056" spans="1:8" ht="13.5" x14ac:dyDescent="0.25">
      <c r="A1056" s="1"/>
      <c r="B1056" s="3">
        <v>43843</v>
      </c>
      <c r="C1056" s="4">
        <v>70</v>
      </c>
      <c r="D1056" s="4">
        <v>50.763300000000001</v>
      </c>
      <c r="E1056" s="4">
        <v>33</v>
      </c>
      <c r="F1056" s="4">
        <v>70</v>
      </c>
      <c r="G1056" s="4">
        <v>2310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70</v>
      </c>
      <c r="D1057" s="4">
        <v>50.763300000000001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70</v>
      </c>
      <c r="D1058" s="4">
        <v>50.763300000000001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72.989999999999995</v>
      </c>
      <c r="D1059" s="4">
        <v>52.931600000000003</v>
      </c>
      <c r="E1059" s="4">
        <v>1</v>
      </c>
      <c r="F1059" s="4">
        <v>72.989999999999995</v>
      </c>
      <c r="G1059" s="4">
        <v>72.989999999999995</v>
      </c>
      <c r="H1059" s="5">
        <f t="shared" si="16"/>
        <v>4.2713929157481921E-2</v>
      </c>
    </row>
    <row r="1060" spans="1:8" ht="13.5" x14ac:dyDescent="0.25">
      <c r="A1060" s="1"/>
      <c r="B1060" s="3">
        <v>43850</v>
      </c>
      <c r="C1060" s="4">
        <v>73</v>
      </c>
      <c r="D1060" s="4">
        <v>52.938899999999997</v>
      </c>
      <c r="E1060" s="4">
        <v>303</v>
      </c>
      <c r="F1060" s="4">
        <v>73</v>
      </c>
      <c r="G1060" s="4">
        <v>22119</v>
      </c>
      <c r="H1060" s="5">
        <f t="shared" si="16"/>
        <v>1.3791383596931973E-4</v>
      </c>
    </row>
    <row r="1061" spans="1:8" ht="13.5" x14ac:dyDescent="0.25">
      <c r="A1061" s="1"/>
      <c r="B1061" s="3">
        <v>43851</v>
      </c>
      <c r="C1061" s="4">
        <v>74.900000000000006</v>
      </c>
      <c r="D1061" s="4">
        <v>54.316699999999997</v>
      </c>
      <c r="E1061" s="4">
        <v>120</v>
      </c>
      <c r="F1061" s="4">
        <v>74.900000000000006</v>
      </c>
      <c r="G1061" s="4">
        <v>8988</v>
      </c>
      <c r="H1061" s="5">
        <f t="shared" si="16"/>
        <v>2.6026230239011402E-2</v>
      </c>
    </row>
    <row r="1062" spans="1:8" ht="13.5" x14ac:dyDescent="0.25">
      <c r="A1062" s="1"/>
      <c r="B1062" s="3">
        <v>43852</v>
      </c>
      <c r="C1062" s="4">
        <v>73</v>
      </c>
      <c r="D1062" s="4">
        <v>52.938899999999997</v>
      </c>
      <c r="E1062" s="4">
        <v>50</v>
      </c>
      <c r="F1062" s="4">
        <v>73</v>
      </c>
      <c r="G1062" s="4">
        <v>3650</v>
      </c>
      <c r="H1062" s="5">
        <f t="shared" si="16"/>
        <v>-2.5366047642805999E-2</v>
      </c>
    </row>
    <row r="1063" spans="1:8" ht="13.5" x14ac:dyDescent="0.25">
      <c r="A1063" s="1"/>
      <c r="B1063" s="3">
        <v>43853</v>
      </c>
      <c r="C1063" s="4">
        <v>73</v>
      </c>
      <c r="D1063" s="4">
        <v>52.938899999999997</v>
      </c>
      <c r="E1063" s="4">
        <v>56</v>
      </c>
      <c r="F1063" s="4">
        <v>73</v>
      </c>
      <c r="G1063" s="4">
        <v>4088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73</v>
      </c>
      <c r="D1064" s="4">
        <v>52.938899999999997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73.5</v>
      </c>
      <c r="D1065" s="4">
        <v>53.301499999999997</v>
      </c>
      <c r="E1065" s="4">
        <v>71</v>
      </c>
      <c r="F1065" s="4">
        <v>73.359200000000001</v>
      </c>
      <c r="G1065" s="4">
        <v>5208.5032000000001</v>
      </c>
      <c r="H1065" s="5">
        <f t="shared" si="16"/>
        <v>6.8494056355534495E-3</v>
      </c>
    </row>
    <row r="1066" spans="1:8" ht="13.5" x14ac:dyDescent="0.25">
      <c r="A1066" s="1"/>
      <c r="B1066" s="3">
        <v>43858</v>
      </c>
      <c r="C1066" s="4">
        <v>73.599999999999994</v>
      </c>
      <c r="D1066" s="4">
        <v>53.374000000000002</v>
      </c>
      <c r="E1066" s="4">
        <v>144</v>
      </c>
      <c r="F1066" s="4">
        <v>73.569400000000002</v>
      </c>
      <c r="G1066" s="4">
        <v>10593.9936</v>
      </c>
      <c r="H1066" s="5">
        <f t="shared" si="16"/>
        <v>1.3601868615330736E-3</v>
      </c>
    </row>
    <row r="1067" spans="1:8" ht="13.5" x14ac:dyDescent="0.25">
      <c r="A1067" s="1"/>
      <c r="B1067" s="3">
        <v>43859</v>
      </c>
      <c r="C1067" s="4">
        <v>73.5</v>
      </c>
      <c r="D1067" s="4">
        <v>53.301499999999997</v>
      </c>
      <c r="E1067" s="4">
        <v>40</v>
      </c>
      <c r="F1067" s="4">
        <v>73.5</v>
      </c>
      <c r="G1067" s="4">
        <v>2940</v>
      </c>
      <c r="H1067" s="5">
        <f t="shared" si="16"/>
        <v>-1.3583392663095348E-3</v>
      </c>
    </row>
    <row r="1068" spans="1:8" ht="13.5" x14ac:dyDescent="0.25">
      <c r="A1068" s="1"/>
      <c r="B1068" s="3">
        <v>43860</v>
      </c>
      <c r="C1068" s="4">
        <v>73.5</v>
      </c>
      <c r="D1068" s="4">
        <v>53.301499999999997</v>
      </c>
      <c r="E1068" s="4">
        <v>102</v>
      </c>
      <c r="F1068" s="4">
        <v>73.5</v>
      </c>
      <c r="G1068" s="4">
        <v>7497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73.5</v>
      </c>
      <c r="D1069" s="4">
        <v>53.301499999999997</v>
      </c>
      <c r="E1069" s="4">
        <v>30</v>
      </c>
      <c r="F1069" s="4">
        <v>73.5</v>
      </c>
      <c r="G1069" s="4">
        <v>2205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72.5</v>
      </c>
      <c r="D1070" s="4">
        <v>52.576300000000003</v>
      </c>
      <c r="E1070" s="4">
        <v>250</v>
      </c>
      <c r="F1070" s="4">
        <v>73.099999999999994</v>
      </c>
      <c r="G1070" s="4">
        <v>18275</v>
      </c>
      <c r="H1070" s="5">
        <f t="shared" si="16"/>
        <v>-1.3605620854947683E-2</v>
      </c>
    </row>
    <row r="1071" spans="1:8" ht="13.5" x14ac:dyDescent="0.25">
      <c r="A1071" s="1"/>
      <c r="B1071" s="3">
        <v>43865</v>
      </c>
      <c r="C1071" s="4">
        <v>72.5</v>
      </c>
      <c r="D1071" s="4">
        <v>52.576300000000003</v>
      </c>
      <c r="E1071" s="4">
        <v>165</v>
      </c>
      <c r="F1071" s="4">
        <v>72.5</v>
      </c>
      <c r="G1071" s="4">
        <v>11962.5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72.5</v>
      </c>
      <c r="D1072" s="4">
        <v>52.576300000000003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72.489999999999995</v>
      </c>
      <c r="D1073" s="4">
        <v>52.569000000000003</v>
      </c>
      <c r="E1073" s="4">
        <v>32</v>
      </c>
      <c r="F1073" s="4">
        <v>72.218100000000007</v>
      </c>
      <c r="G1073" s="4">
        <v>2310.9792000000002</v>
      </c>
      <c r="H1073" s="5">
        <f t="shared" si="16"/>
        <v>-1.3884582977502694E-4</v>
      </c>
    </row>
    <row r="1074" spans="1:8" ht="13.5" x14ac:dyDescent="0.25">
      <c r="A1074" s="1"/>
      <c r="B1074" s="3">
        <v>43868</v>
      </c>
      <c r="C1074" s="4">
        <v>72.099999999999994</v>
      </c>
      <c r="D1074" s="4">
        <v>52.286200000000001</v>
      </c>
      <c r="E1074" s="4">
        <v>10</v>
      </c>
      <c r="F1074" s="4">
        <v>72.099999999999994</v>
      </c>
      <c r="G1074" s="4">
        <v>721</v>
      </c>
      <c r="H1074" s="5">
        <f t="shared" si="16"/>
        <v>-5.3795963400483501E-3</v>
      </c>
    </row>
    <row r="1075" spans="1:8" ht="13.5" x14ac:dyDescent="0.25">
      <c r="A1075" s="1"/>
      <c r="B1075" s="3">
        <v>43871</v>
      </c>
      <c r="C1075" s="4">
        <v>72.099999999999994</v>
      </c>
      <c r="D1075" s="4">
        <v>52.286200000000001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72.5</v>
      </c>
      <c r="D1076" s="4">
        <v>52.576300000000003</v>
      </c>
      <c r="E1076" s="4">
        <v>53</v>
      </c>
      <c r="F1076" s="4">
        <v>72.5</v>
      </c>
      <c r="G1076" s="4">
        <v>3842.5</v>
      </c>
      <c r="H1076" s="5">
        <f t="shared" si="16"/>
        <v>5.5483091140683862E-3</v>
      </c>
    </row>
    <row r="1077" spans="1:8" ht="13.5" x14ac:dyDescent="0.25">
      <c r="A1077" s="1"/>
      <c r="B1077" s="3">
        <v>43873</v>
      </c>
      <c r="C1077" s="4">
        <v>72.5</v>
      </c>
      <c r="D1077" s="4">
        <v>52.576300000000003</v>
      </c>
      <c r="E1077" s="4">
        <v>77</v>
      </c>
      <c r="F1077" s="4">
        <v>72.5</v>
      </c>
      <c r="G1077" s="4">
        <v>5582.5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72.5</v>
      </c>
      <c r="D1078" s="4">
        <v>52.576300000000003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71</v>
      </c>
      <c r="D1079" s="4">
        <v>51.488500000000002</v>
      </c>
      <c r="E1079" s="4">
        <v>77</v>
      </c>
      <c r="F1079" s="4">
        <v>71</v>
      </c>
      <c r="G1079" s="4">
        <v>5467</v>
      </c>
      <c r="H1079" s="5">
        <f t="shared" si="16"/>
        <v>-2.0689930634145069E-2</v>
      </c>
    </row>
    <row r="1080" spans="1:8" ht="13.5" x14ac:dyDescent="0.25">
      <c r="A1080" s="1"/>
      <c r="B1080" s="3">
        <v>43878</v>
      </c>
      <c r="C1080" s="4">
        <v>70.900000000000006</v>
      </c>
      <c r="D1080" s="4">
        <v>51.415999999999997</v>
      </c>
      <c r="E1080" s="4">
        <v>63</v>
      </c>
      <c r="F1080" s="4">
        <v>70.900000000000006</v>
      </c>
      <c r="G1080" s="4">
        <v>4466.7</v>
      </c>
      <c r="H1080" s="5">
        <f t="shared" si="16"/>
        <v>-1.4080814162386768E-3</v>
      </c>
    </row>
    <row r="1081" spans="1:8" ht="13.5" x14ac:dyDescent="0.25">
      <c r="A1081" s="1"/>
      <c r="B1081" s="3">
        <v>43879</v>
      </c>
      <c r="C1081" s="4">
        <v>70.900000000000006</v>
      </c>
      <c r="D1081" s="4">
        <v>51.415999999999997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71</v>
      </c>
      <c r="D1082" s="4">
        <v>51.488500000000002</v>
      </c>
      <c r="E1082" s="4">
        <v>70</v>
      </c>
      <c r="F1082" s="4">
        <v>71</v>
      </c>
      <c r="G1082" s="4">
        <v>4970</v>
      </c>
      <c r="H1082" s="5">
        <f t="shared" si="16"/>
        <v>1.4100669052436036E-3</v>
      </c>
    </row>
    <row r="1083" spans="1:8" ht="13.5" x14ac:dyDescent="0.25">
      <c r="A1083" s="1"/>
      <c r="B1083" s="3">
        <v>43881</v>
      </c>
      <c r="C1083" s="4">
        <v>71</v>
      </c>
      <c r="D1083" s="4">
        <v>51.488500000000002</v>
      </c>
      <c r="E1083" s="4">
        <v>274</v>
      </c>
      <c r="F1083" s="4">
        <v>71</v>
      </c>
      <c r="G1083" s="4">
        <v>19454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71</v>
      </c>
      <c r="D1084" s="4">
        <v>51.488500000000002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71</v>
      </c>
      <c r="D1085" s="4">
        <v>51.488500000000002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71</v>
      </c>
      <c r="D1086" s="4">
        <v>51.488500000000002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71</v>
      </c>
      <c r="D1087" s="4">
        <v>51.488500000000002</v>
      </c>
      <c r="E1087" s="4">
        <v>116</v>
      </c>
      <c r="F1087" s="4">
        <v>71</v>
      </c>
      <c r="G1087" s="4">
        <v>8236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72</v>
      </c>
      <c r="D1088" s="4">
        <v>52.213700000000003</v>
      </c>
      <c r="E1088" s="4">
        <v>9</v>
      </c>
      <c r="F1088" s="4">
        <v>72</v>
      </c>
      <c r="G1088" s="4">
        <v>648</v>
      </c>
      <c r="H1088" s="5">
        <f t="shared" si="16"/>
        <v>1.4084698524913349E-2</v>
      </c>
    </row>
    <row r="1089" spans="1:8" ht="13.5" x14ac:dyDescent="0.25">
      <c r="A1089" s="1"/>
      <c r="B1089" s="3">
        <v>43889</v>
      </c>
      <c r="C1089" s="4">
        <v>72</v>
      </c>
      <c r="D1089" s="4">
        <v>52.213700000000003</v>
      </c>
      <c r="E1089" s="4">
        <v>75</v>
      </c>
      <c r="F1089" s="4">
        <v>72</v>
      </c>
      <c r="G1089" s="4">
        <v>5400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71.900000000000006</v>
      </c>
      <c r="D1090" s="4">
        <v>52.141199999999998</v>
      </c>
      <c r="E1090" s="4">
        <v>78</v>
      </c>
      <c r="F1090" s="4">
        <v>72.45</v>
      </c>
      <c r="G1090" s="4">
        <v>5651.1</v>
      </c>
      <c r="H1090" s="5">
        <f t="shared" si="16"/>
        <v>-1.3885244677164252E-3</v>
      </c>
    </row>
    <row r="1091" spans="1:8" ht="13.5" x14ac:dyDescent="0.25">
      <c r="A1091" s="1"/>
      <c r="B1091" s="3">
        <v>43893</v>
      </c>
      <c r="C1091" s="4">
        <v>71</v>
      </c>
      <c r="D1091" s="4">
        <v>51.488500000000002</v>
      </c>
      <c r="E1091" s="4">
        <v>6259</v>
      </c>
      <c r="F1091" s="4">
        <v>71.009399999999999</v>
      </c>
      <c r="G1091" s="4">
        <v>444447.8346</v>
      </c>
      <c r="H1091" s="5">
        <f t="shared" si="16"/>
        <v>-1.2517932076745373E-2</v>
      </c>
    </row>
    <row r="1092" spans="1:8" ht="13.5" x14ac:dyDescent="0.25">
      <c r="A1092" s="1"/>
      <c r="B1092" s="3">
        <v>43894</v>
      </c>
      <c r="C1092" s="4">
        <v>72.989999999999995</v>
      </c>
      <c r="D1092" s="4">
        <v>52.931600000000003</v>
      </c>
      <c r="E1092" s="4">
        <v>26</v>
      </c>
      <c r="F1092" s="4">
        <v>72.989999999999995</v>
      </c>
      <c r="G1092" s="4">
        <v>1897.74</v>
      </c>
      <c r="H1092" s="5">
        <f t="shared" si="16"/>
        <v>2.8027617817570936E-2</v>
      </c>
    </row>
    <row r="1093" spans="1:8" ht="13.5" x14ac:dyDescent="0.25">
      <c r="A1093" s="1"/>
      <c r="B1093" s="3">
        <v>43895</v>
      </c>
      <c r="C1093" s="4">
        <v>73.010000000000005</v>
      </c>
      <c r="D1093" s="4">
        <v>52.946100000000001</v>
      </c>
      <c r="E1093" s="4">
        <v>53</v>
      </c>
      <c r="F1093" s="4">
        <v>73.010000000000005</v>
      </c>
      <c r="G1093" s="4">
        <v>3869.53</v>
      </c>
      <c r="H1093" s="5">
        <f t="shared" si="16"/>
        <v>2.7393844130912687E-4</v>
      </c>
    </row>
    <row r="1094" spans="1:8" ht="13.5" x14ac:dyDescent="0.25">
      <c r="A1094" s="1"/>
      <c r="B1094" s="3">
        <v>43896</v>
      </c>
      <c r="C1094" s="4">
        <v>73.010000000000005</v>
      </c>
      <c r="D1094" s="4">
        <v>52.946100000000001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71.010000000000005</v>
      </c>
      <c r="D1095" s="4">
        <v>51.495800000000003</v>
      </c>
      <c r="E1095" s="4">
        <v>41</v>
      </c>
      <c r="F1095" s="4">
        <v>71.010000000000005</v>
      </c>
      <c r="G1095" s="4">
        <v>2911.41</v>
      </c>
      <c r="H1095" s="5">
        <f t="shared" ref="H1095:H1158" si="17">(D1095-D1094)/D1094</f>
        <v>-2.739200809880234E-2</v>
      </c>
    </row>
    <row r="1096" spans="1:8" ht="13.5" x14ac:dyDescent="0.25">
      <c r="A1096" s="1"/>
      <c r="B1096" s="3">
        <v>43900</v>
      </c>
      <c r="C1096" s="4">
        <v>71</v>
      </c>
      <c r="D1096" s="4">
        <v>51.488500000000002</v>
      </c>
      <c r="E1096" s="4">
        <v>127</v>
      </c>
      <c r="F1096" s="4">
        <v>71.007900000000006</v>
      </c>
      <c r="G1096" s="4">
        <v>9018.0033000000003</v>
      </c>
      <c r="H1096" s="5">
        <f t="shared" si="17"/>
        <v>-1.4175913375461202E-4</v>
      </c>
    </row>
    <row r="1097" spans="1:8" ht="13.5" x14ac:dyDescent="0.25">
      <c r="A1097" s="1"/>
      <c r="B1097" s="3">
        <v>43901</v>
      </c>
      <c r="C1097" s="4">
        <v>70.98</v>
      </c>
      <c r="D1097" s="4">
        <v>51.473999999999997</v>
      </c>
      <c r="E1097" s="4">
        <v>30</v>
      </c>
      <c r="F1097" s="4">
        <v>70.98</v>
      </c>
      <c r="G1097" s="4">
        <v>2129.4</v>
      </c>
      <c r="H1097" s="5">
        <f t="shared" si="17"/>
        <v>-2.8161628324781815E-4</v>
      </c>
    </row>
    <row r="1098" spans="1:8" ht="13.5" x14ac:dyDescent="0.25">
      <c r="A1098" s="1"/>
      <c r="B1098" s="3">
        <v>43902</v>
      </c>
      <c r="C1098" s="4">
        <v>71</v>
      </c>
      <c r="D1098" s="4">
        <v>51.488500000000002</v>
      </c>
      <c r="E1098" s="4">
        <v>30</v>
      </c>
      <c r="F1098" s="4">
        <v>71</v>
      </c>
      <c r="G1098" s="4">
        <v>2130</v>
      </c>
      <c r="H1098" s="5">
        <f t="shared" si="17"/>
        <v>2.8169561331944839E-4</v>
      </c>
    </row>
    <row r="1099" spans="1:8" ht="13.5" x14ac:dyDescent="0.25">
      <c r="A1099" s="1"/>
      <c r="B1099" s="3">
        <v>43903</v>
      </c>
      <c r="C1099" s="4">
        <v>71</v>
      </c>
      <c r="D1099" s="4">
        <v>51.488500000000002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70</v>
      </c>
      <c r="D1100" s="4">
        <v>50.763300000000001</v>
      </c>
      <c r="E1100" s="4">
        <v>70</v>
      </c>
      <c r="F1100" s="4">
        <v>70</v>
      </c>
      <c r="G1100" s="4">
        <v>4900</v>
      </c>
      <c r="H1100" s="5">
        <f t="shared" si="17"/>
        <v>-1.4084698524913349E-2</v>
      </c>
    </row>
    <row r="1101" spans="1:8" ht="13.5" x14ac:dyDescent="0.25">
      <c r="A1101" s="1"/>
      <c r="B1101" s="3">
        <v>43907</v>
      </c>
      <c r="C1101" s="4">
        <v>68</v>
      </c>
      <c r="D1101" s="4">
        <v>49.312899999999999</v>
      </c>
      <c r="E1101" s="4">
        <v>147</v>
      </c>
      <c r="F1101" s="4">
        <v>68.952399999999997</v>
      </c>
      <c r="G1101" s="4">
        <v>10136.0028</v>
      </c>
      <c r="H1101" s="5">
        <f t="shared" si="17"/>
        <v>-2.8571822556847207E-2</v>
      </c>
    </row>
    <row r="1102" spans="1:8" ht="13.5" x14ac:dyDescent="0.25">
      <c r="A1102" s="1"/>
      <c r="B1102" s="3">
        <v>43908</v>
      </c>
      <c r="C1102" s="4">
        <v>65.959999999999994</v>
      </c>
      <c r="D1102" s="4">
        <v>47.833500000000001</v>
      </c>
      <c r="E1102" s="4">
        <v>4</v>
      </c>
      <c r="F1102" s="4">
        <v>65.959999999999994</v>
      </c>
      <c r="G1102" s="4">
        <v>263.83999999999997</v>
      </c>
      <c r="H1102" s="5">
        <f t="shared" si="17"/>
        <v>-3.0000263622703152E-2</v>
      </c>
    </row>
    <row r="1103" spans="1:8" ht="13.5" x14ac:dyDescent="0.25">
      <c r="A1103" s="1"/>
      <c r="B1103" s="3">
        <v>43909</v>
      </c>
      <c r="C1103" s="4">
        <v>67.930000000000007</v>
      </c>
      <c r="D1103" s="4">
        <v>49.2622</v>
      </c>
      <c r="E1103" s="4">
        <v>18</v>
      </c>
      <c r="F1103" s="4">
        <v>67.930000000000007</v>
      </c>
      <c r="G1103" s="4">
        <v>1222.74</v>
      </c>
      <c r="H1103" s="5">
        <f t="shared" si="17"/>
        <v>2.9868188612583214E-2</v>
      </c>
    </row>
    <row r="1104" spans="1:8" ht="13.5" x14ac:dyDescent="0.25">
      <c r="A1104" s="1"/>
      <c r="B1104" s="3">
        <v>43913</v>
      </c>
      <c r="C1104" s="4">
        <v>65.900000000000006</v>
      </c>
      <c r="D1104" s="4">
        <v>47.79</v>
      </c>
      <c r="E1104" s="4">
        <v>3</v>
      </c>
      <c r="F1104" s="4">
        <v>65.900000000000006</v>
      </c>
      <c r="G1104" s="4">
        <v>197.7</v>
      </c>
      <c r="H1104" s="5">
        <f t="shared" si="17"/>
        <v>-2.9884982806289626E-2</v>
      </c>
    </row>
    <row r="1105" spans="1:8" ht="13.5" x14ac:dyDescent="0.25">
      <c r="A1105" s="1"/>
      <c r="B1105" s="3">
        <v>43914</v>
      </c>
      <c r="C1105" s="4">
        <v>67.87</v>
      </c>
      <c r="D1105" s="4">
        <v>49.218699999999998</v>
      </c>
      <c r="E1105" s="4">
        <v>0</v>
      </c>
      <c r="F1105" s="4">
        <v>0</v>
      </c>
      <c r="G1105" s="4">
        <v>0</v>
      </c>
      <c r="H1105" s="5">
        <f t="shared" si="17"/>
        <v>2.9895375601590276E-2</v>
      </c>
    </row>
    <row r="1106" spans="1:8" ht="13.5" x14ac:dyDescent="0.25">
      <c r="A1106" s="1"/>
      <c r="B1106" s="3">
        <v>43915</v>
      </c>
      <c r="C1106" s="4">
        <v>67.87</v>
      </c>
      <c r="D1106" s="4">
        <v>49.218699999999998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68</v>
      </c>
      <c r="D1107" s="4">
        <v>49.312899999999999</v>
      </c>
      <c r="E1107" s="4">
        <v>48</v>
      </c>
      <c r="F1107" s="4">
        <v>68</v>
      </c>
      <c r="G1107" s="4">
        <v>3264</v>
      </c>
      <c r="H1107" s="5">
        <f t="shared" si="17"/>
        <v>1.9139067061909544E-3</v>
      </c>
    </row>
    <row r="1108" spans="1:8" ht="13.5" x14ac:dyDescent="0.25">
      <c r="A1108" s="1"/>
      <c r="B1108" s="3">
        <v>43917</v>
      </c>
      <c r="C1108" s="4">
        <v>68</v>
      </c>
      <c r="D1108" s="4">
        <v>49.312899999999999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68</v>
      </c>
      <c r="D1109" s="4">
        <v>49.312899999999999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68</v>
      </c>
      <c r="D1110" s="4">
        <v>49.312899999999999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68</v>
      </c>
      <c r="D1111" s="4">
        <v>49.312899999999999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70.010000000000005</v>
      </c>
      <c r="D1112" s="4">
        <v>50.770600000000002</v>
      </c>
      <c r="E1112" s="4">
        <v>180</v>
      </c>
      <c r="F1112" s="4">
        <v>70.008300000000006</v>
      </c>
      <c r="G1112" s="4">
        <v>12601.494000000001</v>
      </c>
      <c r="H1112" s="5">
        <f t="shared" si="17"/>
        <v>2.956021649507538E-2</v>
      </c>
    </row>
    <row r="1113" spans="1:8" ht="13.5" x14ac:dyDescent="0.25">
      <c r="A1113" s="1"/>
      <c r="B1113" s="3">
        <v>43924</v>
      </c>
      <c r="C1113" s="4">
        <v>72.099999999999994</v>
      </c>
      <c r="D1113" s="4">
        <v>52.286200000000001</v>
      </c>
      <c r="E1113" s="4">
        <v>189</v>
      </c>
      <c r="F1113" s="4">
        <v>72.101600000000005</v>
      </c>
      <c r="G1113" s="4">
        <v>13627.2024</v>
      </c>
      <c r="H1113" s="5">
        <f t="shared" si="17"/>
        <v>2.985192217543222E-2</v>
      </c>
    </row>
    <row r="1114" spans="1:8" ht="13.5" x14ac:dyDescent="0.25">
      <c r="A1114" s="1"/>
      <c r="B1114" s="3">
        <v>43927</v>
      </c>
      <c r="C1114" s="4">
        <v>74.260000000000005</v>
      </c>
      <c r="D1114" s="4">
        <v>53.852600000000002</v>
      </c>
      <c r="E1114" s="4">
        <v>22</v>
      </c>
      <c r="F1114" s="4">
        <v>74.260000000000005</v>
      </c>
      <c r="G1114" s="4">
        <v>1633.72</v>
      </c>
      <c r="H1114" s="5">
        <f t="shared" si="17"/>
        <v>2.9958191645214256E-2</v>
      </c>
    </row>
    <row r="1115" spans="1:8" ht="13.5" x14ac:dyDescent="0.25">
      <c r="A1115" s="1"/>
      <c r="B1115" s="3">
        <v>43928</v>
      </c>
      <c r="C1115" s="4">
        <v>76.45</v>
      </c>
      <c r="D1115" s="4">
        <v>55.440800000000003</v>
      </c>
      <c r="E1115" s="4">
        <v>166</v>
      </c>
      <c r="F1115" s="4">
        <v>76.45</v>
      </c>
      <c r="G1115" s="4">
        <v>12690.7</v>
      </c>
      <c r="H1115" s="5">
        <f t="shared" si="17"/>
        <v>2.9491612289843025E-2</v>
      </c>
    </row>
    <row r="1116" spans="1:8" ht="13.5" x14ac:dyDescent="0.25">
      <c r="A1116" s="1"/>
      <c r="B1116" s="3">
        <v>43929</v>
      </c>
      <c r="C1116" s="4">
        <v>78.739999999999995</v>
      </c>
      <c r="D1116" s="4">
        <v>57.101500000000001</v>
      </c>
      <c r="E1116" s="4">
        <v>15</v>
      </c>
      <c r="F1116" s="4">
        <v>78.739999999999995</v>
      </c>
      <c r="G1116" s="4">
        <v>1181.0999999999999</v>
      </c>
      <c r="H1116" s="5">
        <f t="shared" si="17"/>
        <v>2.9954473961414669E-2</v>
      </c>
    </row>
    <row r="1117" spans="1:8" ht="13.5" x14ac:dyDescent="0.25">
      <c r="A1117" s="1"/>
      <c r="B1117" s="3">
        <v>43934</v>
      </c>
      <c r="C1117" s="4">
        <v>81.099999999999994</v>
      </c>
      <c r="D1117" s="4">
        <v>58.812899999999999</v>
      </c>
      <c r="E1117" s="4">
        <v>17</v>
      </c>
      <c r="F1117" s="4">
        <v>81.052899999999994</v>
      </c>
      <c r="G1117" s="4">
        <v>1377.8993</v>
      </c>
      <c r="H1117" s="5">
        <f t="shared" si="17"/>
        <v>2.9971191649956614E-2</v>
      </c>
    </row>
    <row r="1118" spans="1:8" ht="13.5" x14ac:dyDescent="0.25">
      <c r="A1118" s="1"/>
      <c r="B1118" s="3">
        <v>43935</v>
      </c>
      <c r="C1118" s="4">
        <v>83.5</v>
      </c>
      <c r="D1118" s="4">
        <v>60.553400000000003</v>
      </c>
      <c r="E1118" s="4">
        <v>135</v>
      </c>
      <c r="F1118" s="4">
        <v>83.5</v>
      </c>
      <c r="G1118" s="4">
        <v>11272.5</v>
      </c>
      <c r="H1118" s="5">
        <f t="shared" si="17"/>
        <v>2.9593847608262887E-2</v>
      </c>
    </row>
    <row r="1119" spans="1:8" ht="13.5" x14ac:dyDescent="0.25">
      <c r="A1119" s="1"/>
      <c r="B1119" s="3">
        <v>43936</v>
      </c>
      <c r="C1119" s="4">
        <v>86</v>
      </c>
      <c r="D1119" s="4">
        <v>62.366399999999999</v>
      </c>
      <c r="E1119" s="4">
        <v>60</v>
      </c>
      <c r="F1119" s="4">
        <v>86</v>
      </c>
      <c r="G1119" s="4">
        <v>5160</v>
      </c>
      <c r="H1119" s="5">
        <f t="shared" si="17"/>
        <v>2.9940515313756043E-2</v>
      </c>
    </row>
    <row r="1120" spans="1:8" ht="13.5" x14ac:dyDescent="0.25">
      <c r="A1120" s="1"/>
      <c r="B1120" s="3">
        <v>43937</v>
      </c>
      <c r="C1120" s="4">
        <v>88.58</v>
      </c>
      <c r="D1120" s="4">
        <v>64.237300000000005</v>
      </c>
      <c r="E1120" s="4">
        <v>464</v>
      </c>
      <c r="F1120" s="4">
        <v>88.58</v>
      </c>
      <c r="G1120" s="4">
        <v>41101.120000000003</v>
      </c>
      <c r="H1120" s="5">
        <f t="shared" si="17"/>
        <v>2.9998524846712428E-2</v>
      </c>
    </row>
    <row r="1121" spans="1:8" ht="13.5" x14ac:dyDescent="0.25">
      <c r="A1121" s="1"/>
      <c r="B1121" s="3">
        <v>43938</v>
      </c>
      <c r="C1121" s="4">
        <v>91.23</v>
      </c>
      <c r="D1121" s="4">
        <v>66.159099999999995</v>
      </c>
      <c r="E1121" s="4">
        <v>323</v>
      </c>
      <c r="F1121" s="4">
        <v>91.23</v>
      </c>
      <c r="G1121" s="4">
        <v>29467.29</v>
      </c>
      <c r="H1121" s="5">
        <f t="shared" si="17"/>
        <v>2.9917197640622974E-2</v>
      </c>
    </row>
    <row r="1122" spans="1:8" ht="13.5" x14ac:dyDescent="0.25">
      <c r="A1122" s="1"/>
      <c r="B1122" s="3">
        <v>43941</v>
      </c>
      <c r="C1122" s="4">
        <v>89</v>
      </c>
      <c r="D1122" s="4">
        <v>64.541899999999998</v>
      </c>
      <c r="E1122" s="4">
        <v>161</v>
      </c>
      <c r="F1122" s="4">
        <v>88.844700000000003</v>
      </c>
      <c r="G1122" s="4">
        <v>14303.9967</v>
      </c>
      <c r="H1122" s="5">
        <f t="shared" si="17"/>
        <v>-2.4444105194901335E-2</v>
      </c>
    </row>
    <row r="1123" spans="1:8" ht="13.5" x14ac:dyDescent="0.25">
      <c r="A1123" s="1"/>
      <c r="B1123" s="3">
        <v>43942</v>
      </c>
      <c r="C1123" s="4">
        <v>91.2</v>
      </c>
      <c r="D1123" s="4">
        <v>66.137299999999996</v>
      </c>
      <c r="E1123" s="4">
        <v>71</v>
      </c>
      <c r="F1123" s="4">
        <v>91.2</v>
      </c>
      <c r="G1123" s="4">
        <v>6475.2</v>
      </c>
      <c r="H1123" s="5">
        <f t="shared" si="17"/>
        <v>2.4718826064928333E-2</v>
      </c>
    </row>
    <row r="1124" spans="1:8" ht="13.5" x14ac:dyDescent="0.25">
      <c r="A1124" s="1"/>
      <c r="B1124" s="3">
        <v>43943</v>
      </c>
      <c r="C1124" s="4">
        <v>91.5</v>
      </c>
      <c r="D1124" s="4">
        <v>66.354900000000001</v>
      </c>
      <c r="E1124" s="4">
        <v>10</v>
      </c>
      <c r="F1124" s="4">
        <v>91.5</v>
      </c>
      <c r="G1124" s="4">
        <v>915</v>
      </c>
      <c r="H1124" s="5">
        <f t="shared" si="17"/>
        <v>3.2901252394640312E-3</v>
      </c>
    </row>
    <row r="1125" spans="1:8" ht="13.5" x14ac:dyDescent="0.25">
      <c r="A1125" s="1"/>
      <c r="B1125" s="3">
        <v>43944</v>
      </c>
      <c r="C1125" s="4">
        <v>90</v>
      </c>
      <c r="D1125" s="4">
        <v>65.267099999999999</v>
      </c>
      <c r="E1125" s="4">
        <v>109</v>
      </c>
      <c r="F1125" s="4">
        <v>90</v>
      </c>
      <c r="G1125" s="4">
        <v>9810</v>
      </c>
      <c r="H1125" s="5">
        <f t="shared" si="17"/>
        <v>-1.6393664974252112E-2</v>
      </c>
    </row>
    <row r="1126" spans="1:8" ht="13.5" x14ac:dyDescent="0.25">
      <c r="A1126" s="1"/>
      <c r="B1126" s="3">
        <v>43945</v>
      </c>
      <c r="C1126" s="4">
        <v>92</v>
      </c>
      <c r="D1126" s="4">
        <v>66.717500000000001</v>
      </c>
      <c r="E1126" s="4">
        <v>10</v>
      </c>
      <c r="F1126" s="4">
        <v>92</v>
      </c>
      <c r="G1126" s="4">
        <v>920</v>
      </c>
      <c r="H1126" s="5">
        <f t="shared" si="17"/>
        <v>2.2222528655325608E-2</v>
      </c>
    </row>
    <row r="1127" spans="1:8" ht="13.5" x14ac:dyDescent="0.25">
      <c r="A1127" s="1"/>
      <c r="B1127" s="3">
        <v>43948</v>
      </c>
      <c r="C1127" s="4">
        <v>89.5</v>
      </c>
      <c r="D1127" s="4">
        <v>64.904499999999999</v>
      </c>
      <c r="E1127" s="4">
        <v>17</v>
      </c>
      <c r="F1127" s="4">
        <v>89.5</v>
      </c>
      <c r="G1127" s="4">
        <v>1521.5</v>
      </c>
      <c r="H1127" s="5">
        <f t="shared" si="17"/>
        <v>-2.717427961179604E-2</v>
      </c>
    </row>
    <row r="1128" spans="1:8" ht="13.5" x14ac:dyDescent="0.25">
      <c r="A1128" s="1"/>
      <c r="B1128" s="3">
        <v>43949</v>
      </c>
      <c r="C1128" s="4">
        <v>86.83</v>
      </c>
      <c r="D1128" s="4">
        <v>62.968299999999999</v>
      </c>
      <c r="E1128" s="4">
        <v>25</v>
      </c>
      <c r="F1128" s="4">
        <v>86.83</v>
      </c>
      <c r="G1128" s="4">
        <v>2170.75</v>
      </c>
      <c r="H1128" s="5">
        <f t="shared" si="17"/>
        <v>-2.9831521697262893E-2</v>
      </c>
    </row>
    <row r="1129" spans="1:8" ht="13.5" x14ac:dyDescent="0.25">
      <c r="A1129" s="1"/>
      <c r="B1129" s="3">
        <v>43950</v>
      </c>
      <c r="C1129" s="4">
        <v>88</v>
      </c>
      <c r="D1129" s="4">
        <v>63.816699999999997</v>
      </c>
      <c r="E1129" s="4">
        <v>10</v>
      </c>
      <c r="F1129" s="4">
        <v>88</v>
      </c>
      <c r="G1129" s="4">
        <v>880</v>
      </c>
      <c r="H1129" s="5">
        <f t="shared" si="17"/>
        <v>1.3473446162592892E-2</v>
      </c>
    </row>
    <row r="1130" spans="1:8" ht="13.5" x14ac:dyDescent="0.25">
      <c r="A1130" s="1"/>
      <c r="B1130" s="3">
        <v>43951</v>
      </c>
      <c r="C1130" s="4">
        <v>89.96</v>
      </c>
      <c r="D1130" s="4">
        <v>65.238100000000003</v>
      </c>
      <c r="E1130" s="4">
        <v>20</v>
      </c>
      <c r="F1130" s="4">
        <v>89.98</v>
      </c>
      <c r="G1130" s="4">
        <v>1799.6</v>
      </c>
      <c r="H1130" s="5">
        <f t="shared" si="17"/>
        <v>2.2273166741621012E-2</v>
      </c>
    </row>
    <row r="1131" spans="1:8" ht="13.5" x14ac:dyDescent="0.25">
      <c r="A1131" s="1"/>
      <c r="B1131" s="3">
        <v>43955</v>
      </c>
      <c r="C1131" s="4">
        <v>89.96</v>
      </c>
      <c r="D1131" s="4">
        <v>65.238100000000003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89.96</v>
      </c>
      <c r="D1132" s="4">
        <v>65.238100000000003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87.27</v>
      </c>
      <c r="D1133" s="4">
        <v>63.287300000000002</v>
      </c>
      <c r="E1133" s="4">
        <v>5</v>
      </c>
      <c r="F1133" s="4">
        <v>87.27</v>
      </c>
      <c r="G1133" s="4">
        <v>436.35</v>
      </c>
      <c r="H1133" s="5">
        <f t="shared" si="17"/>
        <v>-2.9902771539943696E-2</v>
      </c>
    </row>
    <row r="1134" spans="1:8" ht="13.5" x14ac:dyDescent="0.25">
      <c r="A1134" s="1"/>
      <c r="B1134" s="3">
        <v>43958</v>
      </c>
      <c r="C1134" s="4">
        <v>89.88</v>
      </c>
      <c r="D1134" s="4">
        <v>65.180099999999996</v>
      </c>
      <c r="E1134" s="4">
        <v>10</v>
      </c>
      <c r="F1134" s="4">
        <v>89.88</v>
      </c>
      <c r="G1134" s="4">
        <v>898.8</v>
      </c>
      <c r="H1134" s="5">
        <f t="shared" si="17"/>
        <v>2.9908054222569046E-2</v>
      </c>
    </row>
    <row r="1135" spans="1:8" ht="13.5" x14ac:dyDescent="0.25">
      <c r="A1135" s="1"/>
      <c r="B1135" s="3">
        <v>43959</v>
      </c>
      <c r="C1135" s="4">
        <v>87.3</v>
      </c>
      <c r="D1135" s="4">
        <v>63.309100000000001</v>
      </c>
      <c r="E1135" s="4">
        <v>8</v>
      </c>
      <c r="F1135" s="4">
        <v>87.3</v>
      </c>
      <c r="G1135" s="4">
        <v>698.4</v>
      </c>
      <c r="H1135" s="5">
        <f t="shared" si="17"/>
        <v>-2.8705080231542991E-2</v>
      </c>
    </row>
    <row r="1136" spans="1:8" ht="13.5" x14ac:dyDescent="0.25">
      <c r="A1136" s="1"/>
      <c r="B1136" s="3">
        <v>43962</v>
      </c>
      <c r="C1136" s="4">
        <v>85.79</v>
      </c>
      <c r="D1136" s="4">
        <v>62.214100000000002</v>
      </c>
      <c r="E1136" s="4">
        <v>12</v>
      </c>
      <c r="F1136" s="4">
        <v>85.79</v>
      </c>
      <c r="G1136" s="4">
        <v>1029.48</v>
      </c>
      <c r="H1136" s="5">
        <f t="shared" si="17"/>
        <v>-1.7296091715093071E-2</v>
      </c>
    </row>
    <row r="1137" spans="1:8" ht="13.5" x14ac:dyDescent="0.25">
      <c r="A1137" s="1"/>
      <c r="B1137" s="3">
        <v>43963</v>
      </c>
      <c r="C1137" s="4">
        <v>83.22</v>
      </c>
      <c r="D1137" s="4">
        <v>60.350299999999997</v>
      </c>
      <c r="E1137" s="4">
        <v>24</v>
      </c>
      <c r="F1137" s="4">
        <v>83.22</v>
      </c>
      <c r="G1137" s="4">
        <v>1997.28</v>
      </c>
      <c r="H1137" s="5">
        <f t="shared" si="17"/>
        <v>-2.995783913935916E-2</v>
      </c>
    </row>
    <row r="1138" spans="1:8" ht="13.5" x14ac:dyDescent="0.25">
      <c r="A1138" s="1"/>
      <c r="B1138" s="3">
        <v>43964</v>
      </c>
      <c r="C1138" s="4">
        <v>80.73</v>
      </c>
      <c r="D1138" s="4">
        <v>58.544600000000003</v>
      </c>
      <c r="E1138" s="4">
        <v>106</v>
      </c>
      <c r="F1138" s="4">
        <v>80.75</v>
      </c>
      <c r="G1138" s="4">
        <v>8559.5</v>
      </c>
      <c r="H1138" s="5">
        <f t="shared" si="17"/>
        <v>-2.9920315226270533E-2</v>
      </c>
    </row>
    <row r="1139" spans="1:8" ht="13.5" x14ac:dyDescent="0.25">
      <c r="A1139" s="1"/>
      <c r="B1139" s="3">
        <v>43965</v>
      </c>
      <c r="C1139" s="4">
        <v>78.31</v>
      </c>
      <c r="D1139" s="4">
        <v>56.7896</v>
      </c>
      <c r="E1139" s="4">
        <v>48</v>
      </c>
      <c r="F1139" s="4">
        <v>78.31</v>
      </c>
      <c r="G1139" s="4">
        <v>3758.88</v>
      </c>
      <c r="H1139" s="5">
        <f t="shared" si="17"/>
        <v>-2.997714562914432E-2</v>
      </c>
    </row>
    <row r="1140" spans="1:8" ht="13.5" x14ac:dyDescent="0.25">
      <c r="A1140" s="1"/>
      <c r="B1140" s="3">
        <v>43966</v>
      </c>
      <c r="C1140" s="4">
        <v>76.8</v>
      </c>
      <c r="D1140" s="4">
        <v>55.694600000000001</v>
      </c>
      <c r="E1140" s="4">
        <v>51</v>
      </c>
      <c r="F1140" s="4">
        <v>77.976500000000001</v>
      </c>
      <c r="G1140" s="4">
        <v>3976.8015</v>
      </c>
      <c r="H1140" s="5">
        <f t="shared" si="17"/>
        <v>-1.9281699466099405E-2</v>
      </c>
    </row>
    <row r="1141" spans="1:8" ht="13.5" x14ac:dyDescent="0.25">
      <c r="A1141" s="1"/>
      <c r="B1141" s="3">
        <v>43969</v>
      </c>
      <c r="C1141" s="4">
        <v>76.8</v>
      </c>
      <c r="D1141" s="4">
        <v>55.694600000000001</v>
      </c>
      <c r="E1141" s="4">
        <v>50</v>
      </c>
      <c r="F1141" s="4">
        <v>76.8</v>
      </c>
      <c r="G1141" s="4">
        <v>3840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74.5</v>
      </c>
      <c r="D1142" s="4">
        <v>54.026699999999998</v>
      </c>
      <c r="E1142" s="4">
        <v>133</v>
      </c>
      <c r="F1142" s="4">
        <v>74.5</v>
      </c>
      <c r="G1142" s="4">
        <v>9908.5</v>
      </c>
      <c r="H1142" s="5">
        <f t="shared" si="17"/>
        <v>-2.9947248027636486E-2</v>
      </c>
    </row>
    <row r="1143" spans="1:8" ht="13.5" x14ac:dyDescent="0.25">
      <c r="A1143" s="1"/>
      <c r="B1143" s="3">
        <v>43971</v>
      </c>
      <c r="C1143" s="4">
        <v>72.27</v>
      </c>
      <c r="D1143" s="4">
        <v>52.409500000000001</v>
      </c>
      <c r="E1143" s="4">
        <v>96</v>
      </c>
      <c r="F1143" s="4">
        <v>72.305899999999994</v>
      </c>
      <c r="G1143" s="4">
        <v>6941.3663999999999</v>
      </c>
      <c r="H1143" s="5">
        <f t="shared" si="17"/>
        <v>-2.9933347770639274E-2</v>
      </c>
    </row>
    <row r="1144" spans="1:8" ht="13.5" x14ac:dyDescent="0.25">
      <c r="A1144" s="1"/>
      <c r="B1144" s="3">
        <v>43972</v>
      </c>
      <c r="C1144" s="4">
        <v>74</v>
      </c>
      <c r="D1144" s="4">
        <v>53.664099999999998</v>
      </c>
      <c r="E1144" s="4">
        <v>10</v>
      </c>
      <c r="F1144" s="4">
        <v>74</v>
      </c>
      <c r="G1144" s="4">
        <v>740</v>
      </c>
      <c r="H1144" s="5">
        <f t="shared" si="17"/>
        <v>2.3938408113032873E-2</v>
      </c>
    </row>
    <row r="1145" spans="1:8" ht="13.5" x14ac:dyDescent="0.25">
      <c r="A1145" s="1"/>
      <c r="B1145" s="3">
        <v>43973</v>
      </c>
      <c r="C1145" s="4">
        <v>74.510000000000005</v>
      </c>
      <c r="D1145" s="4">
        <v>54.033900000000003</v>
      </c>
      <c r="E1145" s="4">
        <v>7</v>
      </c>
      <c r="F1145" s="4">
        <v>74.510000000000005</v>
      </c>
      <c r="G1145" s="4">
        <v>521.57000000000005</v>
      </c>
      <c r="H1145" s="5">
        <f t="shared" si="17"/>
        <v>6.891012799991149E-3</v>
      </c>
    </row>
    <row r="1146" spans="1:8" ht="13.5" x14ac:dyDescent="0.25">
      <c r="A1146" s="1"/>
      <c r="B1146" s="3">
        <v>43977</v>
      </c>
      <c r="C1146" s="4">
        <v>76</v>
      </c>
      <c r="D1146" s="4">
        <v>55.1145</v>
      </c>
      <c r="E1146" s="4">
        <v>213</v>
      </c>
      <c r="F1146" s="4">
        <v>76</v>
      </c>
      <c r="G1146" s="4">
        <v>16188</v>
      </c>
      <c r="H1146" s="5">
        <f t="shared" si="17"/>
        <v>1.9998556461776715E-2</v>
      </c>
    </row>
    <row r="1147" spans="1:8" ht="13.5" x14ac:dyDescent="0.25">
      <c r="A1147" s="1"/>
      <c r="B1147" s="3">
        <v>43978</v>
      </c>
      <c r="C1147" s="4">
        <v>77.8</v>
      </c>
      <c r="D1147" s="4">
        <v>56.419800000000002</v>
      </c>
      <c r="E1147" s="4">
        <v>10</v>
      </c>
      <c r="F1147" s="4">
        <v>77.8</v>
      </c>
      <c r="G1147" s="4">
        <v>778</v>
      </c>
      <c r="H1147" s="5">
        <f t="shared" si="17"/>
        <v>2.368342269275785E-2</v>
      </c>
    </row>
    <row r="1148" spans="1:8" ht="13.5" x14ac:dyDescent="0.25">
      <c r="A1148" s="1"/>
      <c r="B1148" s="3">
        <v>43979</v>
      </c>
      <c r="C1148" s="4">
        <v>77.8</v>
      </c>
      <c r="D1148" s="4">
        <v>56.419800000000002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77.8</v>
      </c>
      <c r="D1149" s="4">
        <v>56.419800000000002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80.13</v>
      </c>
      <c r="D1150" s="4">
        <v>58.109499999999997</v>
      </c>
      <c r="E1150" s="4">
        <v>10</v>
      </c>
      <c r="F1150" s="4">
        <v>80.13</v>
      </c>
      <c r="G1150" s="4">
        <v>801.3</v>
      </c>
      <c r="H1150" s="5">
        <f t="shared" si="17"/>
        <v>2.9948705950747695E-2</v>
      </c>
    </row>
    <row r="1151" spans="1:8" ht="13.5" x14ac:dyDescent="0.25">
      <c r="A1151" s="1"/>
      <c r="B1151" s="3">
        <v>43984</v>
      </c>
      <c r="C1151" s="4">
        <v>80.13</v>
      </c>
      <c r="D1151" s="4">
        <v>58.109499999999997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80.13</v>
      </c>
      <c r="D1152" s="4">
        <v>58.109499999999997</v>
      </c>
      <c r="E1152" s="4">
        <v>2</v>
      </c>
      <c r="F1152" s="4">
        <v>80.13</v>
      </c>
      <c r="G1152" s="4">
        <v>160.26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82.5</v>
      </c>
      <c r="D1153" s="4">
        <v>59.828200000000002</v>
      </c>
      <c r="E1153" s="4">
        <v>10</v>
      </c>
      <c r="F1153" s="4">
        <v>82.5</v>
      </c>
      <c r="G1153" s="4">
        <v>825</v>
      </c>
      <c r="H1153" s="5">
        <f t="shared" si="17"/>
        <v>2.9576919436581032E-2</v>
      </c>
    </row>
    <row r="1154" spans="1:8" ht="13.5" x14ac:dyDescent="0.25">
      <c r="A1154" s="1"/>
      <c r="B1154" s="3">
        <v>43987</v>
      </c>
      <c r="C1154" s="4">
        <v>84.89</v>
      </c>
      <c r="D1154" s="4">
        <v>61.561399999999999</v>
      </c>
      <c r="E1154" s="4">
        <v>548</v>
      </c>
      <c r="F1154" s="4">
        <v>84.890199999999993</v>
      </c>
      <c r="G1154" s="4">
        <v>46519.829599999997</v>
      </c>
      <c r="H1154" s="5">
        <f t="shared" si="17"/>
        <v>2.8969616334771839E-2</v>
      </c>
    </row>
    <row r="1155" spans="1:8" ht="13.5" x14ac:dyDescent="0.25">
      <c r="A1155" s="1"/>
      <c r="B1155" s="3">
        <v>43990</v>
      </c>
      <c r="C1155" s="4">
        <v>84.89</v>
      </c>
      <c r="D1155" s="4">
        <v>61.561399999999999</v>
      </c>
      <c r="E1155" s="4">
        <v>2</v>
      </c>
      <c r="F1155" s="4">
        <v>84.89</v>
      </c>
      <c r="G1155" s="4">
        <v>169.78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84.89</v>
      </c>
      <c r="D1156" s="4">
        <v>61.561399999999999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84.89</v>
      </c>
      <c r="D1157" s="4">
        <v>61.561399999999999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83</v>
      </c>
      <c r="D1158" s="4">
        <v>60.190800000000003</v>
      </c>
      <c r="E1158" s="4">
        <v>50</v>
      </c>
      <c r="F1158" s="4">
        <v>83</v>
      </c>
      <c r="G1158" s="4">
        <v>4150</v>
      </c>
      <c r="H1158" s="5">
        <f t="shared" si="17"/>
        <v>-2.2263951112222857E-2</v>
      </c>
    </row>
    <row r="1159" spans="1:8" ht="13.5" x14ac:dyDescent="0.25">
      <c r="A1159" s="1"/>
      <c r="B1159" s="3">
        <v>43994</v>
      </c>
      <c r="C1159" s="4">
        <v>82.33</v>
      </c>
      <c r="D1159" s="4">
        <v>59.704900000000002</v>
      </c>
      <c r="E1159" s="4">
        <v>52</v>
      </c>
      <c r="F1159" s="4">
        <v>82.346900000000005</v>
      </c>
      <c r="G1159" s="4">
        <v>4282.0388000000003</v>
      </c>
      <c r="H1159" s="5">
        <f t="shared" ref="H1159:H1222" si="18">(D1159-D1158)/D1158</f>
        <v>-8.0726622673232603E-3</v>
      </c>
    </row>
    <row r="1160" spans="1:8" ht="13.5" x14ac:dyDescent="0.25">
      <c r="A1160" s="1"/>
      <c r="B1160" s="3">
        <v>43997</v>
      </c>
      <c r="C1160" s="4">
        <v>82.33</v>
      </c>
      <c r="D1160" s="4">
        <v>59.704900000000002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80</v>
      </c>
      <c r="D1161" s="4">
        <v>58.0152</v>
      </c>
      <c r="E1161" s="4">
        <v>50</v>
      </c>
      <c r="F1161" s="4">
        <v>80</v>
      </c>
      <c r="G1161" s="4">
        <v>4000</v>
      </c>
      <c r="H1161" s="5">
        <f t="shared" si="18"/>
        <v>-2.8300859728431032E-2</v>
      </c>
    </row>
    <row r="1162" spans="1:8" ht="13.5" x14ac:dyDescent="0.25">
      <c r="A1162" s="1"/>
      <c r="B1162" s="3">
        <v>43999</v>
      </c>
      <c r="C1162" s="4">
        <v>77.599999999999994</v>
      </c>
      <c r="D1162" s="4">
        <v>56.274799999999999</v>
      </c>
      <c r="E1162" s="4">
        <v>202</v>
      </c>
      <c r="F1162" s="4">
        <v>77.599999999999994</v>
      </c>
      <c r="G1162" s="4">
        <v>15675.2</v>
      </c>
      <c r="H1162" s="5">
        <f t="shared" si="18"/>
        <v>-2.9999034735724447E-2</v>
      </c>
    </row>
    <row r="1163" spans="1:8" ht="13.5" x14ac:dyDescent="0.25">
      <c r="A1163" s="1"/>
      <c r="B1163" s="3">
        <v>44000</v>
      </c>
      <c r="C1163" s="4">
        <v>75.28</v>
      </c>
      <c r="D1163" s="4">
        <v>54.592300000000002</v>
      </c>
      <c r="E1163" s="4">
        <v>281</v>
      </c>
      <c r="F1163" s="4">
        <v>75.28</v>
      </c>
      <c r="G1163" s="4">
        <v>21153.68</v>
      </c>
      <c r="H1163" s="5">
        <f t="shared" si="18"/>
        <v>-2.9897929446217445E-2</v>
      </c>
    </row>
    <row r="1164" spans="1:8" ht="13.5" x14ac:dyDescent="0.25">
      <c r="A1164" s="1"/>
      <c r="B1164" s="3">
        <v>44001</v>
      </c>
      <c r="C1164" s="4">
        <v>75</v>
      </c>
      <c r="D1164" s="4">
        <v>54.389299999999999</v>
      </c>
      <c r="E1164" s="4">
        <v>200</v>
      </c>
      <c r="F1164" s="4">
        <v>75</v>
      </c>
      <c r="G1164" s="4">
        <v>15000</v>
      </c>
      <c r="H1164" s="5">
        <f t="shared" si="18"/>
        <v>-3.7184731180038753E-3</v>
      </c>
    </row>
    <row r="1165" spans="1:8" ht="13.5" x14ac:dyDescent="0.25">
      <c r="A1165" s="1"/>
      <c r="B1165" s="3">
        <v>44004</v>
      </c>
      <c r="C1165" s="4">
        <v>72.760000000000005</v>
      </c>
      <c r="D1165" s="4">
        <v>52.764800000000001</v>
      </c>
      <c r="E1165" s="4">
        <v>3</v>
      </c>
      <c r="F1165" s="4">
        <v>72.760000000000005</v>
      </c>
      <c r="G1165" s="4">
        <v>218.28</v>
      </c>
      <c r="H1165" s="5">
        <f t="shared" si="18"/>
        <v>-2.9868007126401658E-2</v>
      </c>
    </row>
    <row r="1166" spans="1:8" ht="13.5" x14ac:dyDescent="0.25">
      <c r="A1166" s="1"/>
      <c r="B1166" s="3">
        <v>44005</v>
      </c>
      <c r="C1166" s="4">
        <v>73</v>
      </c>
      <c r="D1166" s="4">
        <v>52.938899999999997</v>
      </c>
      <c r="E1166" s="4">
        <v>1</v>
      </c>
      <c r="F1166" s="4">
        <v>73</v>
      </c>
      <c r="G1166" s="4">
        <v>73</v>
      </c>
      <c r="H1166" s="5">
        <f t="shared" si="18"/>
        <v>3.2995481836374952E-3</v>
      </c>
    </row>
    <row r="1167" spans="1:8" ht="13.5" x14ac:dyDescent="0.25">
      <c r="A1167" s="1"/>
      <c r="B1167" s="3">
        <v>44006</v>
      </c>
      <c r="C1167" s="4">
        <v>75.19</v>
      </c>
      <c r="D1167" s="4">
        <v>54.527099999999997</v>
      </c>
      <c r="E1167" s="4">
        <v>1</v>
      </c>
      <c r="F1167" s="4">
        <v>75.19</v>
      </c>
      <c r="G1167" s="4">
        <v>75.19</v>
      </c>
      <c r="H1167" s="5">
        <f t="shared" si="18"/>
        <v>3.000062336013783E-2</v>
      </c>
    </row>
    <row r="1168" spans="1:8" ht="13.5" x14ac:dyDescent="0.25">
      <c r="A1168" s="1"/>
      <c r="B1168" s="3">
        <v>44007</v>
      </c>
      <c r="C1168" s="4">
        <v>75.19</v>
      </c>
      <c r="D1168" s="4">
        <v>54.527099999999997</v>
      </c>
      <c r="E1168" s="4">
        <v>0</v>
      </c>
      <c r="F1168" s="4">
        <v>0</v>
      </c>
      <c r="G1168" s="4">
        <v>0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75.19</v>
      </c>
      <c r="D1169" s="4">
        <v>54.527099999999997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73.5</v>
      </c>
      <c r="D1170" s="4">
        <v>53.301499999999997</v>
      </c>
      <c r="E1170" s="4">
        <v>58</v>
      </c>
      <c r="F1170" s="4">
        <v>73.290000000000006</v>
      </c>
      <c r="G1170" s="4">
        <v>4250.82</v>
      </c>
      <c r="H1170" s="5">
        <f t="shared" si="18"/>
        <v>-2.2476896809109602E-2</v>
      </c>
    </row>
    <row r="1171" spans="1:8" ht="13.5" x14ac:dyDescent="0.25">
      <c r="A1171" s="1"/>
      <c r="B1171" s="3">
        <v>44012</v>
      </c>
      <c r="C1171" s="4">
        <v>73.2</v>
      </c>
      <c r="D1171" s="4">
        <v>53.0839</v>
      </c>
      <c r="E1171" s="4">
        <v>37</v>
      </c>
      <c r="F1171" s="4">
        <v>73.248599999999996</v>
      </c>
      <c r="G1171" s="4">
        <v>2710.1981999999998</v>
      </c>
      <c r="H1171" s="5">
        <f t="shared" si="18"/>
        <v>-4.082436704407894E-3</v>
      </c>
    </row>
    <row r="1172" spans="1:8" ht="13.5" x14ac:dyDescent="0.25">
      <c r="A1172" s="1"/>
      <c r="B1172" s="3">
        <v>44013</v>
      </c>
      <c r="C1172" s="4">
        <v>72.790000000000006</v>
      </c>
      <c r="D1172" s="4">
        <v>52.7866</v>
      </c>
      <c r="E1172" s="4">
        <v>43</v>
      </c>
      <c r="F1172" s="4">
        <v>72.960899999999995</v>
      </c>
      <c r="G1172" s="4">
        <v>3137.3186999999998</v>
      </c>
      <c r="H1172" s="5">
        <f t="shared" si="18"/>
        <v>-5.6005681572002036E-3</v>
      </c>
    </row>
    <row r="1173" spans="1:8" ht="13.5" x14ac:dyDescent="0.25">
      <c r="A1173" s="1"/>
      <c r="B1173" s="3">
        <v>44014</v>
      </c>
      <c r="C1173" s="4">
        <v>71.989999999999995</v>
      </c>
      <c r="D1173" s="4">
        <v>52.206400000000002</v>
      </c>
      <c r="E1173" s="4">
        <v>9</v>
      </c>
      <c r="F1173" s="4">
        <v>71.936700000000002</v>
      </c>
      <c r="G1173" s="4">
        <v>647.43029999999999</v>
      </c>
      <c r="H1173" s="5">
        <f t="shared" si="18"/>
        <v>-1.0991425854288736E-2</v>
      </c>
    </row>
    <row r="1174" spans="1:8" ht="13.5" x14ac:dyDescent="0.25">
      <c r="A1174" s="1"/>
      <c r="B1174" s="3">
        <v>44015</v>
      </c>
      <c r="C1174" s="4">
        <v>71.510000000000005</v>
      </c>
      <c r="D1174" s="4">
        <v>51.858400000000003</v>
      </c>
      <c r="E1174" s="4">
        <v>12</v>
      </c>
      <c r="F1174" s="4">
        <v>71.510000000000005</v>
      </c>
      <c r="G1174" s="4">
        <v>858.12</v>
      </c>
      <c r="H1174" s="5">
        <f t="shared" si="18"/>
        <v>-6.6658493977749655E-3</v>
      </c>
    </row>
    <row r="1175" spans="1:8" ht="13.5" x14ac:dyDescent="0.25">
      <c r="A1175" s="1"/>
      <c r="B1175" s="3">
        <v>44018</v>
      </c>
      <c r="C1175" s="4">
        <v>72.489999999999995</v>
      </c>
      <c r="D1175" s="4">
        <v>52.569000000000003</v>
      </c>
      <c r="E1175" s="4">
        <v>20</v>
      </c>
      <c r="F1175" s="4">
        <v>72.490499999999997</v>
      </c>
      <c r="G1175" s="4">
        <v>1449.81</v>
      </c>
      <c r="H1175" s="5">
        <f t="shared" si="18"/>
        <v>1.3702698116409288E-2</v>
      </c>
    </row>
    <row r="1176" spans="1:8" ht="13.5" x14ac:dyDescent="0.25">
      <c r="A1176" s="1"/>
      <c r="B1176" s="3">
        <v>44019</v>
      </c>
      <c r="C1176" s="4">
        <v>70</v>
      </c>
      <c r="D1176" s="4">
        <v>50.763300000000001</v>
      </c>
      <c r="E1176" s="4">
        <v>221</v>
      </c>
      <c r="F1176" s="4">
        <v>70.007199999999997</v>
      </c>
      <c r="G1176" s="4">
        <v>15471.591200000001</v>
      </c>
      <c r="H1176" s="5">
        <f t="shared" si="18"/>
        <v>-3.4349141128802177E-2</v>
      </c>
    </row>
    <row r="1177" spans="1:8" ht="13.5" x14ac:dyDescent="0.25">
      <c r="A1177" s="1"/>
      <c r="B1177" s="3">
        <v>44020</v>
      </c>
      <c r="C1177" s="4">
        <v>72.099999999999994</v>
      </c>
      <c r="D1177" s="4">
        <v>52.286200000000001</v>
      </c>
      <c r="E1177" s="4">
        <v>83</v>
      </c>
      <c r="F1177" s="4">
        <v>70.075900000000004</v>
      </c>
      <c r="G1177" s="4">
        <v>5816.2996999999996</v>
      </c>
      <c r="H1177" s="5">
        <f t="shared" si="18"/>
        <v>3.0000019699270929E-2</v>
      </c>
    </row>
    <row r="1178" spans="1:8" ht="13.5" x14ac:dyDescent="0.25">
      <c r="A1178" s="1"/>
      <c r="B1178" s="3">
        <v>44021</v>
      </c>
      <c r="C1178" s="4">
        <v>70</v>
      </c>
      <c r="D1178" s="4">
        <v>50.763300000000001</v>
      </c>
      <c r="E1178" s="4">
        <v>203</v>
      </c>
      <c r="F1178" s="4">
        <v>70</v>
      </c>
      <c r="G1178" s="4">
        <v>14210</v>
      </c>
      <c r="H1178" s="5">
        <f t="shared" si="18"/>
        <v>-2.9126232160684846E-2</v>
      </c>
    </row>
    <row r="1179" spans="1:8" ht="13.5" x14ac:dyDescent="0.25">
      <c r="A1179" s="1"/>
      <c r="B1179" s="3">
        <v>44022</v>
      </c>
      <c r="C1179" s="4">
        <v>70</v>
      </c>
      <c r="D1179" s="4">
        <v>50.763300000000001</v>
      </c>
      <c r="E1179" s="4">
        <v>253</v>
      </c>
      <c r="F1179" s="4">
        <v>70</v>
      </c>
      <c r="G1179" s="4">
        <v>17710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70</v>
      </c>
      <c r="D1180" s="4">
        <v>50.763300000000001</v>
      </c>
      <c r="E1180" s="4">
        <v>66</v>
      </c>
      <c r="F1180" s="4">
        <v>70</v>
      </c>
      <c r="G1180" s="4">
        <v>4620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70</v>
      </c>
      <c r="D1181" s="4">
        <v>50.763300000000001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72</v>
      </c>
      <c r="D1182" s="4">
        <v>52.213700000000003</v>
      </c>
      <c r="E1182" s="4">
        <v>204</v>
      </c>
      <c r="F1182" s="4">
        <v>72</v>
      </c>
      <c r="G1182" s="4">
        <v>14688</v>
      </c>
      <c r="H1182" s="5">
        <f t="shared" si="18"/>
        <v>2.8571822556847207E-2</v>
      </c>
    </row>
    <row r="1183" spans="1:8" ht="13.5" x14ac:dyDescent="0.25">
      <c r="A1183" s="1"/>
      <c r="B1183" s="3">
        <v>44028</v>
      </c>
      <c r="C1183" s="4">
        <v>74.16</v>
      </c>
      <c r="D1183" s="4">
        <v>53.780099999999997</v>
      </c>
      <c r="E1183" s="4">
        <v>1</v>
      </c>
      <c r="F1183" s="4">
        <v>74.16</v>
      </c>
      <c r="G1183" s="4">
        <v>74.16</v>
      </c>
      <c r="H1183" s="5">
        <f t="shared" si="18"/>
        <v>2.9999789327322033E-2</v>
      </c>
    </row>
    <row r="1184" spans="1:8" ht="13.5" x14ac:dyDescent="0.25">
      <c r="A1184" s="1"/>
      <c r="B1184" s="3">
        <v>44029</v>
      </c>
      <c r="C1184" s="4">
        <v>75.98</v>
      </c>
      <c r="D1184" s="4">
        <v>55.1</v>
      </c>
      <c r="E1184" s="4">
        <v>2</v>
      </c>
      <c r="F1184" s="4">
        <v>75.489999999999995</v>
      </c>
      <c r="G1184" s="4">
        <v>150.97999999999999</v>
      </c>
      <c r="H1184" s="5">
        <f t="shared" si="18"/>
        <v>2.4542535250027503E-2</v>
      </c>
    </row>
    <row r="1185" spans="1:8" ht="13.5" x14ac:dyDescent="0.25">
      <c r="A1185" s="1"/>
      <c r="B1185" s="3">
        <v>44032</v>
      </c>
      <c r="C1185" s="4">
        <v>75.98</v>
      </c>
      <c r="D1185" s="4">
        <v>55.1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75.98</v>
      </c>
      <c r="D1186" s="4">
        <v>55.1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75.489999999999995</v>
      </c>
      <c r="D1187" s="4">
        <v>54.744599999999998</v>
      </c>
      <c r="E1187" s="4">
        <v>3</v>
      </c>
      <c r="F1187" s="4">
        <v>75.489999999999995</v>
      </c>
      <c r="G1187" s="4">
        <v>226.47</v>
      </c>
      <c r="H1187" s="5">
        <f t="shared" si="18"/>
        <v>-6.4500907441016886E-3</v>
      </c>
    </row>
    <row r="1188" spans="1:8" ht="13.5" x14ac:dyDescent="0.25">
      <c r="A1188" s="1"/>
      <c r="B1188" s="3">
        <v>44035</v>
      </c>
      <c r="C1188" s="4">
        <v>75.489999999999995</v>
      </c>
      <c r="D1188" s="4">
        <v>54.744599999999998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73.989999999999995</v>
      </c>
      <c r="D1189" s="4">
        <v>53.656799999999997</v>
      </c>
      <c r="E1189" s="4">
        <v>11</v>
      </c>
      <c r="F1189" s="4">
        <v>73.989999999999995</v>
      </c>
      <c r="G1189" s="4">
        <v>813.89</v>
      </c>
      <c r="H1189" s="5">
        <f t="shared" si="18"/>
        <v>-1.9870452976183978E-2</v>
      </c>
    </row>
    <row r="1190" spans="1:8" ht="13.5" x14ac:dyDescent="0.25">
      <c r="A1190" s="1"/>
      <c r="B1190" s="3">
        <v>44039</v>
      </c>
      <c r="C1190" s="4">
        <v>73.989999999999995</v>
      </c>
      <c r="D1190" s="4">
        <v>53.656799999999997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71.78</v>
      </c>
      <c r="D1191" s="4">
        <v>52.054200000000002</v>
      </c>
      <c r="E1191" s="4">
        <v>8</v>
      </c>
      <c r="F1191" s="4">
        <v>71.78</v>
      </c>
      <c r="G1191" s="4">
        <v>574.24</v>
      </c>
      <c r="H1191" s="5">
        <f t="shared" si="18"/>
        <v>-2.9867602987878432E-2</v>
      </c>
    </row>
    <row r="1192" spans="1:8" ht="13.5" x14ac:dyDescent="0.25">
      <c r="A1192" s="1"/>
      <c r="B1192" s="3">
        <v>44041</v>
      </c>
      <c r="C1192" s="4">
        <v>71.78</v>
      </c>
      <c r="D1192" s="4">
        <v>52.054200000000002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71.78</v>
      </c>
      <c r="D1193" s="4">
        <v>52.054200000000002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71.78</v>
      </c>
      <c r="D1194" s="4">
        <v>52.054200000000002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73.930000000000007</v>
      </c>
      <c r="D1195" s="4">
        <v>53.613300000000002</v>
      </c>
      <c r="E1195" s="4">
        <v>7</v>
      </c>
      <c r="F1195" s="4">
        <v>73.930000000000007</v>
      </c>
      <c r="G1195" s="4">
        <v>517.51</v>
      </c>
      <c r="H1195" s="5">
        <f t="shared" si="18"/>
        <v>2.9951473656304406E-2</v>
      </c>
    </row>
    <row r="1196" spans="1:8" ht="13.5" x14ac:dyDescent="0.25">
      <c r="A1196" s="1"/>
      <c r="B1196" s="3">
        <v>44048</v>
      </c>
      <c r="C1196" s="4">
        <v>73.930000000000007</v>
      </c>
      <c r="D1196" s="4">
        <v>53.613300000000002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73.010000000000005</v>
      </c>
      <c r="D1197" s="4">
        <v>52.946100000000001</v>
      </c>
      <c r="E1197" s="4">
        <v>41</v>
      </c>
      <c r="F1197" s="4">
        <v>73.010000000000005</v>
      </c>
      <c r="G1197" s="4">
        <v>2993.41</v>
      </c>
      <c r="H1197" s="5">
        <f t="shared" si="18"/>
        <v>-1.2444673243392984E-2</v>
      </c>
    </row>
    <row r="1198" spans="1:8" ht="13.5" x14ac:dyDescent="0.25">
      <c r="A1198" s="1"/>
      <c r="B1198" s="3">
        <v>44050</v>
      </c>
      <c r="C1198" s="4">
        <v>73.010000000000005</v>
      </c>
      <c r="D1198" s="4">
        <v>52.946100000000001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73.010000000000005</v>
      </c>
      <c r="D1199" s="4">
        <v>52.946100000000001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73.010000000000005</v>
      </c>
      <c r="D1200" s="4">
        <v>52.946100000000001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73.010000000000005</v>
      </c>
      <c r="D1201" s="4">
        <v>52.946100000000001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73</v>
      </c>
      <c r="D1202" s="4">
        <v>52.938899999999997</v>
      </c>
      <c r="E1202" s="4">
        <v>41</v>
      </c>
      <c r="F1202" s="4">
        <v>73</v>
      </c>
      <c r="G1202" s="4">
        <v>2993</v>
      </c>
      <c r="H1202" s="5">
        <f t="shared" si="18"/>
        <v>-1.359873531762403E-4</v>
      </c>
    </row>
    <row r="1203" spans="1:8" ht="13.5" x14ac:dyDescent="0.25">
      <c r="A1203" s="1"/>
      <c r="B1203" s="3">
        <v>44060</v>
      </c>
      <c r="C1203" s="4">
        <v>71</v>
      </c>
      <c r="D1203" s="4">
        <v>51.488500000000002</v>
      </c>
      <c r="E1203" s="4">
        <v>72</v>
      </c>
      <c r="F1203" s="4">
        <v>71</v>
      </c>
      <c r="G1203" s="4">
        <v>5112</v>
      </c>
      <c r="H1203" s="5">
        <f t="shared" si="18"/>
        <v>-2.7397622542213663E-2</v>
      </c>
    </row>
    <row r="1204" spans="1:8" ht="13.5" x14ac:dyDescent="0.25">
      <c r="A1204" s="1"/>
      <c r="B1204" s="3">
        <v>44061</v>
      </c>
      <c r="C1204" s="4">
        <v>71</v>
      </c>
      <c r="D1204" s="4">
        <v>51.488500000000002</v>
      </c>
      <c r="E1204" s="4">
        <v>32</v>
      </c>
      <c r="F1204" s="4">
        <v>71</v>
      </c>
      <c r="G1204" s="4">
        <v>2272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71</v>
      </c>
      <c r="D1205" s="4">
        <v>51.488500000000002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71</v>
      </c>
      <c r="D1206" s="4">
        <v>51.488500000000002</v>
      </c>
      <c r="E1206" s="4">
        <v>5</v>
      </c>
      <c r="F1206" s="4">
        <v>71</v>
      </c>
      <c r="G1206" s="4">
        <v>355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71</v>
      </c>
      <c r="D1207" s="4">
        <v>51.488500000000002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69.02</v>
      </c>
      <c r="D1208" s="4">
        <v>50.052599999999998</v>
      </c>
      <c r="E1208" s="4">
        <v>3</v>
      </c>
      <c r="F1208" s="4">
        <v>69.02</v>
      </c>
      <c r="G1208" s="4">
        <v>207.06</v>
      </c>
      <c r="H1208" s="5">
        <f t="shared" si="18"/>
        <v>-2.7887780766579016E-2</v>
      </c>
    </row>
    <row r="1209" spans="1:8" ht="13.5" x14ac:dyDescent="0.25">
      <c r="A1209" s="1"/>
      <c r="B1209" s="3">
        <v>44069</v>
      </c>
      <c r="C1209" s="4">
        <v>69</v>
      </c>
      <c r="D1209" s="4">
        <v>50.0381</v>
      </c>
      <c r="E1209" s="4">
        <v>5</v>
      </c>
      <c r="F1209" s="4">
        <v>69</v>
      </c>
      <c r="G1209" s="4">
        <v>345</v>
      </c>
      <c r="H1209" s="5">
        <f t="shared" si="18"/>
        <v>-2.8969524060684524E-4</v>
      </c>
    </row>
    <row r="1210" spans="1:8" ht="13.5" x14ac:dyDescent="0.25">
      <c r="A1210" s="1"/>
      <c r="B1210" s="3">
        <v>44070</v>
      </c>
      <c r="C1210" s="4">
        <v>70</v>
      </c>
      <c r="D1210" s="4">
        <v>50.763300000000001</v>
      </c>
      <c r="E1210" s="4">
        <v>75</v>
      </c>
      <c r="F1210" s="4">
        <v>70</v>
      </c>
      <c r="G1210" s="4">
        <v>5250</v>
      </c>
      <c r="H1210" s="5">
        <f t="shared" si="18"/>
        <v>1.4492956367248176E-2</v>
      </c>
    </row>
    <row r="1211" spans="1:8" ht="13.5" x14ac:dyDescent="0.25">
      <c r="A1211" s="1"/>
      <c r="B1211" s="3">
        <v>44071</v>
      </c>
      <c r="C1211" s="4">
        <v>70</v>
      </c>
      <c r="D1211" s="4">
        <v>50.763300000000001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70</v>
      </c>
      <c r="D1212" s="4">
        <v>50.763300000000001</v>
      </c>
      <c r="E1212" s="4">
        <v>50</v>
      </c>
      <c r="F1212" s="4">
        <v>70</v>
      </c>
      <c r="G1212" s="4">
        <v>3500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70</v>
      </c>
      <c r="D1213" s="4">
        <v>50.763300000000001</v>
      </c>
      <c r="E1213" s="4">
        <v>50</v>
      </c>
      <c r="F1213" s="4">
        <v>70</v>
      </c>
      <c r="G1213" s="4">
        <v>3500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70</v>
      </c>
      <c r="D1214" s="4">
        <v>50.763300000000001</v>
      </c>
      <c r="E1214" s="4">
        <v>18</v>
      </c>
      <c r="F1214" s="4">
        <v>70</v>
      </c>
      <c r="G1214" s="4">
        <v>1260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68.03</v>
      </c>
      <c r="D1215" s="4">
        <v>49.334699999999998</v>
      </c>
      <c r="E1215" s="4">
        <v>126</v>
      </c>
      <c r="F1215" s="4">
        <v>68.025899999999993</v>
      </c>
      <c r="G1215" s="4">
        <v>8571.2633999999998</v>
      </c>
      <c r="H1215" s="5">
        <f t="shared" si="18"/>
        <v>-2.8142378450573602E-2</v>
      </c>
    </row>
    <row r="1216" spans="1:8" ht="13.5" x14ac:dyDescent="0.25">
      <c r="A1216" s="1"/>
      <c r="B1216" s="3">
        <v>44078</v>
      </c>
      <c r="C1216" s="4">
        <v>66.5</v>
      </c>
      <c r="D1216" s="4">
        <v>48.225099999999998</v>
      </c>
      <c r="E1216" s="4">
        <v>98</v>
      </c>
      <c r="F1216" s="4">
        <v>66.5</v>
      </c>
      <c r="G1216" s="4">
        <v>6517</v>
      </c>
      <c r="H1216" s="5">
        <f t="shared" si="18"/>
        <v>-2.249126882295829E-2</v>
      </c>
    </row>
    <row r="1217" spans="1:8" ht="13.5" x14ac:dyDescent="0.25">
      <c r="A1217" s="1"/>
      <c r="B1217" s="3">
        <v>44081</v>
      </c>
      <c r="C1217" s="4">
        <v>66.5</v>
      </c>
      <c r="D1217" s="4">
        <v>48.225099999999998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69.489999999999995</v>
      </c>
      <c r="D1218" s="4">
        <v>50.393500000000003</v>
      </c>
      <c r="E1218" s="4">
        <v>0</v>
      </c>
      <c r="F1218" s="4">
        <v>0</v>
      </c>
      <c r="G1218" s="4">
        <v>0</v>
      </c>
      <c r="H1218" s="5">
        <f t="shared" si="18"/>
        <v>4.4964136932842139E-2</v>
      </c>
    </row>
    <row r="1219" spans="1:8" ht="13.5" x14ac:dyDescent="0.25">
      <c r="A1219" s="1"/>
      <c r="B1219" s="3">
        <v>44083</v>
      </c>
      <c r="C1219" s="4">
        <v>72.61</v>
      </c>
      <c r="D1219" s="4">
        <v>52.656100000000002</v>
      </c>
      <c r="E1219" s="4">
        <v>5</v>
      </c>
      <c r="F1219" s="4">
        <v>72.585999999999999</v>
      </c>
      <c r="G1219" s="4">
        <v>362.93</v>
      </c>
      <c r="H1219" s="5">
        <f t="shared" si="18"/>
        <v>4.4898647643049183E-2</v>
      </c>
    </row>
    <row r="1220" spans="1:8" ht="13.5" x14ac:dyDescent="0.25">
      <c r="A1220" s="1"/>
      <c r="B1220" s="3">
        <v>44084</v>
      </c>
      <c r="C1220" s="4">
        <v>72.61</v>
      </c>
      <c r="D1220" s="4">
        <v>52.656100000000002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72.61</v>
      </c>
      <c r="D1221" s="4">
        <v>52.656100000000002</v>
      </c>
      <c r="E1221" s="4">
        <v>0</v>
      </c>
      <c r="F1221" s="4">
        <v>0</v>
      </c>
      <c r="G1221" s="4">
        <v>0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72.61</v>
      </c>
      <c r="D1222" s="4">
        <v>52.656100000000002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72.61</v>
      </c>
      <c r="D1223" s="4">
        <v>52.656100000000002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72.489999999999995</v>
      </c>
      <c r="D1224" s="4">
        <v>52.569000000000003</v>
      </c>
      <c r="E1224" s="4">
        <v>1</v>
      </c>
      <c r="F1224" s="4">
        <v>74.73</v>
      </c>
      <c r="G1224" s="4">
        <v>74.73</v>
      </c>
      <c r="H1224" s="5">
        <f t="shared" si="19"/>
        <v>-1.6541293411399536E-3</v>
      </c>
    </row>
    <row r="1225" spans="1:8" ht="13.5" x14ac:dyDescent="0.25">
      <c r="A1225" s="1"/>
      <c r="B1225" s="3">
        <v>44091</v>
      </c>
      <c r="C1225" s="4">
        <v>72.489999999999995</v>
      </c>
      <c r="D1225" s="4">
        <v>52.569000000000003</v>
      </c>
      <c r="E1225" s="4">
        <v>9</v>
      </c>
      <c r="F1225" s="4">
        <v>72.489999999999995</v>
      </c>
      <c r="G1225" s="4">
        <v>652.41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72.489999999999995</v>
      </c>
      <c r="D1226" s="4">
        <v>52.569000000000003</v>
      </c>
      <c r="E1226" s="4">
        <v>0</v>
      </c>
      <c r="F1226" s="4">
        <v>0</v>
      </c>
      <c r="G1226" s="4">
        <v>0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72.489999999999995</v>
      </c>
      <c r="D1227" s="4">
        <v>52.569000000000003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72.989999999999995</v>
      </c>
      <c r="D1228" s="4">
        <v>52.931600000000003</v>
      </c>
      <c r="E1228" s="4">
        <v>3</v>
      </c>
      <c r="F1228" s="4">
        <v>72.989999999999995</v>
      </c>
      <c r="G1228" s="4">
        <v>218.97</v>
      </c>
      <c r="H1228" s="5">
        <f t="shared" si="19"/>
        <v>6.8976012478837428E-3</v>
      </c>
    </row>
    <row r="1229" spans="1:8" ht="13.5" x14ac:dyDescent="0.25">
      <c r="A1229" s="1"/>
      <c r="B1229" s="3">
        <v>44097</v>
      </c>
      <c r="C1229" s="4">
        <v>72.989999999999995</v>
      </c>
      <c r="D1229" s="4">
        <v>52.931600000000003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72.5</v>
      </c>
      <c r="D1230" s="4">
        <v>52.576300000000003</v>
      </c>
      <c r="E1230" s="4">
        <v>199</v>
      </c>
      <c r="F1230" s="4">
        <v>72.5</v>
      </c>
      <c r="G1230" s="4">
        <v>14427.5</v>
      </c>
      <c r="H1230" s="5">
        <f t="shared" si="19"/>
        <v>-6.7124364273893041E-3</v>
      </c>
    </row>
    <row r="1231" spans="1:8" ht="13.5" x14ac:dyDescent="0.25">
      <c r="A1231" s="1"/>
      <c r="B1231" s="3">
        <v>44099</v>
      </c>
      <c r="C1231" s="4">
        <v>73</v>
      </c>
      <c r="D1231" s="4">
        <v>52.938899999999997</v>
      </c>
      <c r="E1231" s="4">
        <v>141</v>
      </c>
      <c r="F1231" s="4">
        <v>73</v>
      </c>
      <c r="G1231" s="4">
        <v>10293</v>
      </c>
      <c r="H1231" s="5">
        <f t="shared" si="19"/>
        <v>6.8966435447148878E-3</v>
      </c>
    </row>
    <row r="1232" spans="1:8" ht="13.5" x14ac:dyDescent="0.25">
      <c r="A1232" s="1"/>
      <c r="B1232" s="3">
        <v>44102</v>
      </c>
      <c r="C1232" s="4">
        <v>73</v>
      </c>
      <c r="D1232" s="4">
        <v>52.938899999999997</v>
      </c>
      <c r="E1232" s="4">
        <v>38</v>
      </c>
      <c r="F1232" s="4">
        <v>73</v>
      </c>
      <c r="G1232" s="4">
        <v>2774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73</v>
      </c>
      <c r="D1233" s="4">
        <v>52.938899999999997</v>
      </c>
      <c r="E1233" s="4">
        <v>1</v>
      </c>
      <c r="F1233" s="4">
        <v>73</v>
      </c>
      <c r="G1233" s="4">
        <v>73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72.5</v>
      </c>
      <c r="D1234" s="4">
        <v>52.576300000000003</v>
      </c>
      <c r="E1234" s="4">
        <v>228</v>
      </c>
      <c r="F1234" s="4">
        <v>72.875</v>
      </c>
      <c r="G1234" s="4">
        <v>16615.5</v>
      </c>
      <c r="H1234" s="5">
        <f t="shared" si="19"/>
        <v>-6.8494056355533151E-3</v>
      </c>
    </row>
    <row r="1235" spans="1:8" ht="13.5" x14ac:dyDescent="0.25">
      <c r="A1235" s="1"/>
      <c r="B1235" s="3">
        <v>44105</v>
      </c>
      <c r="C1235" s="4">
        <v>72.5</v>
      </c>
      <c r="D1235" s="4">
        <v>52.576300000000003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72.5</v>
      </c>
      <c r="D1236" s="4">
        <v>52.576300000000003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72.5</v>
      </c>
      <c r="D1237" s="4">
        <v>52.576300000000003</v>
      </c>
      <c r="E1237" s="4">
        <v>0</v>
      </c>
      <c r="F1237" s="4">
        <v>0</v>
      </c>
      <c r="G1237" s="4">
        <v>0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73</v>
      </c>
      <c r="D1238" s="4">
        <v>52.938899999999997</v>
      </c>
      <c r="E1238" s="4">
        <v>59</v>
      </c>
      <c r="F1238" s="4">
        <v>73</v>
      </c>
      <c r="G1238" s="4">
        <v>4307</v>
      </c>
      <c r="H1238" s="5">
        <f t="shared" si="19"/>
        <v>6.8966435447148878E-3</v>
      </c>
    </row>
    <row r="1239" spans="1:8" ht="13.5" x14ac:dyDescent="0.25">
      <c r="A1239" s="1"/>
      <c r="B1239" s="3">
        <v>44111</v>
      </c>
      <c r="C1239" s="4">
        <v>73</v>
      </c>
      <c r="D1239" s="4">
        <v>52.938899999999997</v>
      </c>
      <c r="E1239" s="4">
        <v>45</v>
      </c>
      <c r="F1239" s="4">
        <v>73</v>
      </c>
      <c r="G1239" s="4">
        <v>3285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73</v>
      </c>
      <c r="D1240" s="4">
        <v>52.938899999999997</v>
      </c>
      <c r="E1240" s="4">
        <v>41</v>
      </c>
      <c r="F1240" s="4">
        <v>73</v>
      </c>
      <c r="G1240" s="4">
        <v>2993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73</v>
      </c>
      <c r="D1241" s="4">
        <v>52.938899999999997</v>
      </c>
      <c r="E1241" s="4">
        <v>2</v>
      </c>
      <c r="F1241" s="4">
        <v>73</v>
      </c>
      <c r="G1241" s="4">
        <v>146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73</v>
      </c>
      <c r="D1242" s="4">
        <v>52.938899999999997</v>
      </c>
      <c r="E1242" s="4">
        <v>24</v>
      </c>
      <c r="F1242" s="4">
        <v>73</v>
      </c>
      <c r="G1242" s="4">
        <v>1752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73</v>
      </c>
      <c r="D1243" s="4">
        <v>52.938899999999997</v>
      </c>
      <c r="E1243" s="4">
        <v>12</v>
      </c>
      <c r="F1243" s="4">
        <v>73</v>
      </c>
      <c r="G1243" s="4">
        <v>876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73</v>
      </c>
      <c r="D1244" s="4">
        <v>52.938899999999997</v>
      </c>
      <c r="E1244" s="4">
        <v>22</v>
      </c>
      <c r="F1244" s="4">
        <v>73</v>
      </c>
      <c r="G1244" s="4">
        <v>1606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73</v>
      </c>
      <c r="D1245" s="4">
        <v>52.938899999999997</v>
      </c>
      <c r="E1245" s="4">
        <v>21</v>
      </c>
      <c r="F1245" s="4">
        <v>73</v>
      </c>
      <c r="G1245" s="4">
        <v>1533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73</v>
      </c>
      <c r="D1246" s="4">
        <v>52.938899999999997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73</v>
      </c>
      <c r="D1247" s="4">
        <v>52.938899999999997</v>
      </c>
      <c r="E1247" s="4">
        <v>25</v>
      </c>
      <c r="F1247" s="4">
        <v>73</v>
      </c>
      <c r="G1247" s="4">
        <v>1825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73</v>
      </c>
      <c r="D1248" s="4">
        <v>52.938899999999997</v>
      </c>
      <c r="E1248" s="4">
        <v>4</v>
      </c>
      <c r="F1248" s="4">
        <v>73</v>
      </c>
      <c r="G1248" s="4">
        <v>292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72.25</v>
      </c>
      <c r="D1249" s="4">
        <v>52.395000000000003</v>
      </c>
      <c r="E1249" s="4">
        <v>34</v>
      </c>
      <c r="F1249" s="4">
        <v>72.338200000000001</v>
      </c>
      <c r="G1249" s="4">
        <v>2459.4987999999998</v>
      </c>
      <c r="H1249" s="5">
        <f t="shared" si="19"/>
        <v>-1.0274108453330039E-2</v>
      </c>
    </row>
    <row r="1250" spans="1:8" ht="13.5" x14ac:dyDescent="0.25">
      <c r="A1250" s="1"/>
      <c r="B1250" s="3">
        <v>44127</v>
      </c>
      <c r="C1250" s="4">
        <v>72.25</v>
      </c>
      <c r="D1250" s="4">
        <v>52.395000000000003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72.25</v>
      </c>
      <c r="D1251" s="4">
        <v>52.395000000000003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72.25</v>
      </c>
      <c r="D1252" s="4">
        <v>52.395000000000003</v>
      </c>
      <c r="E1252" s="4">
        <v>60</v>
      </c>
      <c r="F1252" s="4">
        <v>72.125</v>
      </c>
      <c r="G1252" s="4">
        <v>4327.5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72</v>
      </c>
      <c r="D1253" s="4">
        <v>52.213700000000003</v>
      </c>
      <c r="E1253" s="4">
        <v>13</v>
      </c>
      <c r="F1253" s="4">
        <v>72</v>
      </c>
      <c r="G1253" s="4">
        <v>936</v>
      </c>
      <c r="H1253" s="5">
        <f t="shared" si="19"/>
        <v>-3.4602538410153684E-3</v>
      </c>
    </row>
    <row r="1254" spans="1:8" ht="13.5" x14ac:dyDescent="0.25">
      <c r="A1254" s="1"/>
      <c r="B1254" s="3">
        <v>44134</v>
      </c>
      <c r="C1254" s="4">
        <v>72</v>
      </c>
      <c r="D1254" s="4">
        <v>52.213700000000003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72</v>
      </c>
      <c r="D1255" s="4">
        <v>52.213700000000003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72</v>
      </c>
      <c r="D1256" s="4">
        <v>52.213700000000003</v>
      </c>
      <c r="E1256" s="4">
        <v>10</v>
      </c>
      <c r="F1256" s="4">
        <v>72</v>
      </c>
      <c r="G1256" s="4">
        <v>720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72</v>
      </c>
      <c r="D1257" s="4">
        <v>52.213700000000003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76</v>
      </c>
      <c r="D1258" s="4">
        <v>55.1145</v>
      </c>
      <c r="E1258" s="4">
        <v>20</v>
      </c>
      <c r="F1258" s="4">
        <v>75.900000000000006</v>
      </c>
      <c r="G1258" s="4">
        <v>1518</v>
      </c>
      <c r="H1258" s="5">
        <f t="shared" si="19"/>
        <v>5.5556300357951963E-2</v>
      </c>
    </row>
    <row r="1259" spans="1:8" ht="13.5" x14ac:dyDescent="0.25">
      <c r="A1259" s="1"/>
      <c r="B1259" s="3">
        <v>44141</v>
      </c>
      <c r="C1259" s="4">
        <v>76.5</v>
      </c>
      <c r="D1259" s="4">
        <v>55.476999999999997</v>
      </c>
      <c r="E1259" s="4">
        <v>94</v>
      </c>
      <c r="F1259" s="4">
        <v>76.441500000000005</v>
      </c>
      <c r="G1259" s="4">
        <v>7185.5010000000002</v>
      </c>
      <c r="H1259" s="5">
        <f t="shared" si="19"/>
        <v>6.5772165219678521E-3</v>
      </c>
    </row>
    <row r="1260" spans="1:8" ht="13.5" x14ac:dyDescent="0.25">
      <c r="A1260" s="1"/>
      <c r="B1260" s="3">
        <v>44144</v>
      </c>
      <c r="C1260" s="4">
        <v>76</v>
      </c>
      <c r="D1260" s="4">
        <v>55.1145</v>
      </c>
      <c r="E1260" s="4">
        <v>15</v>
      </c>
      <c r="F1260" s="4">
        <v>76</v>
      </c>
      <c r="G1260" s="4">
        <v>1140</v>
      </c>
      <c r="H1260" s="5">
        <f t="shared" si="19"/>
        <v>-6.5342394145320977E-3</v>
      </c>
    </row>
    <row r="1261" spans="1:8" ht="13.5" x14ac:dyDescent="0.25">
      <c r="A1261" s="1"/>
      <c r="B1261" s="3">
        <v>44145</v>
      </c>
      <c r="C1261" s="4">
        <v>76.099999999999994</v>
      </c>
      <c r="D1261" s="4">
        <v>55.186999999999998</v>
      </c>
      <c r="E1261" s="4">
        <v>45</v>
      </c>
      <c r="F1261" s="4">
        <v>76.099999999999994</v>
      </c>
      <c r="G1261" s="4">
        <v>3424.5</v>
      </c>
      <c r="H1261" s="5">
        <f t="shared" si="19"/>
        <v>1.3154433043935446E-3</v>
      </c>
    </row>
    <row r="1262" spans="1:8" ht="13.5" x14ac:dyDescent="0.25">
      <c r="A1262" s="1"/>
      <c r="B1262" s="3">
        <v>44146</v>
      </c>
      <c r="C1262" s="4">
        <v>77</v>
      </c>
      <c r="D1262" s="4">
        <v>55.839599999999997</v>
      </c>
      <c r="E1262" s="4">
        <v>621</v>
      </c>
      <c r="F1262" s="4">
        <v>76.762500000000003</v>
      </c>
      <c r="G1262" s="4">
        <v>47669.512499999997</v>
      </c>
      <c r="H1262" s="5">
        <f t="shared" si="19"/>
        <v>1.1825248699874964E-2</v>
      </c>
    </row>
    <row r="1263" spans="1:8" ht="13.5" x14ac:dyDescent="0.25">
      <c r="A1263" s="1"/>
      <c r="B1263" s="3">
        <v>44147</v>
      </c>
      <c r="C1263" s="4">
        <v>77.5</v>
      </c>
      <c r="D1263" s="4">
        <v>56.202199999999998</v>
      </c>
      <c r="E1263" s="4">
        <v>61</v>
      </c>
      <c r="F1263" s="4">
        <v>77.508200000000002</v>
      </c>
      <c r="G1263" s="4">
        <v>4728.0002000000004</v>
      </c>
      <c r="H1263" s="5">
        <f t="shared" si="19"/>
        <v>6.4935995243519022E-3</v>
      </c>
    </row>
    <row r="1264" spans="1:8" ht="13.5" x14ac:dyDescent="0.25">
      <c r="A1264" s="1"/>
      <c r="B1264" s="3">
        <v>44148</v>
      </c>
      <c r="C1264" s="4">
        <v>77.11</v>
      </c>
      <c r="D1264" s="4">
        <v>55.919400000000003</v>
      </c>
      <c r="E1264" s="4">
        <v>194</v>
      </c>
      <c r="F1264" s="4">
        <v>77.11</v>
      </c>
      <c r="G1264" s="4">
        <v>14959.34</v>
      </c>
      <c r="H1264" s="5">
        <f t="shared" si="19"/>
        <v>-5.0318314941407028E-3</v>
      </c>
    </row>
    <row r="1265" spans="1:8" ht="13.5" x14ac:dyDescent="0.25">
      <c r="A1265" s="1"/>
      <c r="B1265" s="3">
        <v>44151</v>
      </c>
      <c r="C1265" s="4">
        <v>76.790000000000006</v>
      </c>
      <c r="D1265" s="4">
        <v>55.687399999999997</v>
      </c>
      <c r="E1265" s="4">
        <v>256</v>
      </c>
      <c r="F1265" s="4">
        <v>76.900499999999994</v>
      </c>
      <c r="G1265" s="4">
        <v>19686.527999999998</v>
      </c>
      <c r="H1265" s="5">
        <f t="shared" si="19"/>
        <v>-4.1488284924374444E-3</v>
      </c>
    </row>
    <row r="1266" spans="1:8" ht="13.5" x14ac:dyDescent="0.25">
      <c r="A1266" s="1"/>
      <c r="B1266" s="3">
        <v>44152</v>
      </c>
      <c r="C1266" s="4">
        <v>76.5</v>
      </c>
      <c r="D1266" s="4">
        <v>55.476999999999997</v>
      </c>
      <c r="E1266" s="4">
        <v>107</v>
      </c>
      <c r="F1266" s="4">
        <v>76.502700000000004</v>
      </c>
      <c r="G1266" s="4">
        <v>8185.7888999999996</v>
      </c>
      <c r="H1266" s="5">
        <f t="shared" si="19"/>
        <v>-3.7782334962666586E-3</v>
      </c>
    </row>
    <row r="1267" spans="1:8" ht="13.5" x14ac:dyDescent="0.25">
      <c r="A1267" s="1"/>
      <c r="B1267" s="3">
        <v>44153</v>
      </c>
      <c r="C1267" s="4">
        <v>76</v>
      </c>
      <c r="D1267" s="4">
        <v>55.1145</v>
      </c>
      <c r="E1267" s="4">
        <v>61</v>
      </c>
      <c r="F1267" s="4">
        <v>76.491799999999998</v>
      </c>
      <c r="G1267" s="4">
        <v>4665.9997999999996</v>
      </c>
      <c r="H1267" s="5">
        <f t="shared" si="19"/>
        <v>-6.5342394145320977E-3</v>
      </c>
    </row>
    <row r="1268" spans="1:8" ht="13.5" x14ac:dyDescent="0.25">
      <c r="A1268" s="1"/>
      <c r="B1268" s="3">
        <v>44154</v>
      </c>
      <c r="C1268" s="4">
        <v>76.5</v>
      </c>
      <c r="D1268" s="4">
        <v>55.476999999999997</v>
      </c>
      <c r="E1268" s="4">
        <v>131</v>
      </c>
      <c r="F1268" s="4">
        <v>76.496200000000002</v>
      </c>
      <c r="G1268" s="4">
        <v>10021.002200000001</v>
      </c>
      <c r="H1268" s="5">
        <f t="shared" si="19"/>
        <v>6.5772165219678521E-3</v>
      </c>
    </row>
    <row r="1269" spans="1:8" ht="13.5" x14ac:dyDescent="0.25">
      <c r="A1269" s="1"/>
      <c r="B1269" s="3">
        <v>44155</v>
      </c>
      <c r="C1269" s="4">
        <v>76.400000000000006</v>
      </c>
      <c r="D1269" s="4">
        <v>56.650799999999997</v>
      </c>
      <c r="E1269" s="4">
        <v>102</v>
      </c>
      <c r="F1269" s="4">
        <v>76.400000000000006</v>
      </c>
      <c r="G1269" s="4">
        <v>7792.8</v>
      </c>
      <c r="H1269" s="5">
        <f t="shared" si="19"/>
        <v>2.11583178614561E-2</v>
      </c>
    </row>
    <row r="1270" spans="1:8" ht="13.5" x14ac:dyDescent="0.25">
      <c r="A1270" s="1"/>
      <c r="B1270" s="3">
        <v>44158</v>
      </c>
      <c r="C1270" s="4">
        <v>76.150000000000006</v>
      </c>
      <c r="D1270" s="4">
        <v>56.465499999999999</v>
      </c>
      <c r="E1270" s="4">
        <v>1</v>
      </c>
      <c r="F1270" s="4">
        <v>76.150000000000006</v>
      </c>
      <c r="G1270" s="4">
        <v>76.150000000000006</v>
      </c>
      <c r="H1270" s="5">
        <f t="shared" si="19"/>
        <v>-3.2709158564397686E-3</v>
      </c>
    </row>
    <row r="1271" spans="1:8" ht="13.5" x14ac:dyDescent="0.25">
      <c r="A1271" s="1"/>
      <c r="B1271" s="3">
        <v>44159</v>
      </c>
      <c r="C1271" s="4">
        <v>77.69</v>
      </c>
      <c r="D1271" s="4">
        <v>57.607399999999998</v>
      </c>
      <c r="E1271" s="4">
        <v>38</v>
      </c>
      <c r="F1271" s="4">
        <v>77.722899999999996</v>
      </c>
      <c r="G1271" s="4">
        <v>2953.4702000000002</v>
      </c>
      <c r="H1271" s="5">
        <f t="shared" si="19"/>
        <v>2.0222968007013127E-2</v>
      </c>
    </row>
    <row r="1272" spans="1:8" ht="13.5" x14ac:dyDescent="0.25">
      <c r="A1272" s="1"/>
      <c r="B1272" s="3">
        <v>44160</v>
      </c>
      <c r="C1272" s="4">
        <v>77.69</v>
      </c>
      <c r="D1272" s="4">
        <v>57.607399999999998</v>
      </c>
      <c r="E1272" s="4">
        <v>88</v>
      </c>
      <c r="F1272" s="4">
        <v>77.69</v>
      </c>
      <c r="G1272" s="4">
        <v>6836.72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79</v>
      </c>
      <c r="D1273" s="4">
        <v>58.578800000000001</v>
      </c>
      <c r="E1273" s="4">
        <v>147</v>
      </c>
      <c r="F1273" s="4">
        <v>78.605400000000003</v>
      </c>
      <c r="G1273" s="4">
        <v>11554.9938</v>
      </c>
      <c r="H1273" s="5">
        <f t="shared" si="19"/>
        <v>1.6862416981151776E-2</v>
      </c>
    </row>
    <row r="1274" spans="1:8" ht="13.5" x14ac:dyDescent="0.25">
      <c r="A1274" s="1"/>
      <c r="B1274" s="3">
        <v>44162</v>
      </c>
      <c r="C1274" s="4">
        <v>79.010000000000005</v>
      </c>
      <c r="D1274" s="4">
        <v>58.586199999999998</v>
      </c>
      <c r="E1274" s="4">
        <v>49</v>
      </c>
      <c r="F1274" s="4">
        <v>79.010000000000005</v>
      </c>
      <c r="G1274" s="4">
        <v>3871.49</v>
      </c>
      <c r="H1274" s="5">
        <f t="shared" si="19"/>
        <v>1.2632556488007546E-4</v>
      </c>
    </row>
    <row r="1275" spans="1:8" ht="13.5" x14ac:dyDescent="0.25">
      <c r="A1275" s="1"/>
      <c r="B1275" s="3">
        <v>44165</v>
      </c>
      <c r="C1275" s="4">
        <v>82.5</v>
      </c>
      <c r="D1275" s="4">
        <v>61.173999999999999</v>
      </c>
      <c r="E1275" s="4">
        <v>1</v>
      </c>
      <c r="F1275" s="4">
        <v>82.5</v>
      </c>
      <c r="G1275" s="4">
        <v>82.5</v>
      </c>
      <c r="H1275" s="5">
        <f t="shared" si="19"/>
        <v>4.4170811556305097E-2</v>
      </c>
    </row>
    <row r="1276" spans="1:8" ht="13.5" x14ac:dyDescent="0.25">
      <c r="A1276" s="1"/>
      <c r="B1276" s="3">
        <v>44166</v>
      </c>
      <c r="C1276" s="4">
        <v>82.4</v>
      </c>
      <c r="D1276" s="4">
        <v>61.099899999999998</v>
      </c>
      <c r="E1276" s="4">
        <v>24</v>
      </c>
      <c r="F1276" s="4">
        <v>81.058300000000003</v>
      </c>
      <c r="G1276" s="4">
        <v>1945.3992000000001</v>
      </c>
      <c r="H1276" s="5">
        <f t="shared" si="19"/>
        <v>-1.2112989178409354E-3</v>
      </c>
    </row>
    <row r="1277" spans="1:8" ht="13.5" x14ac:dyDescent="0.25">
      <c r="A1277" s="1"/>
      <c r="B1277" s="3">
        <v>44167</v>
      </c>
      <c r="C1277" s="4">
        <v>82.4</v>
      </c>
      <c r="D1277" s="4">
        <v>61.099899999999998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82.39</v>
      </c>
      <c r="D1278" s="4">
        <v>61.092500000000001</v>
      </c>
      <c r="E1278" s="4">
        <v>1</v>
      </c>
      <c r="F1278" s="4">
        <v>82.39</v>
      </c>
      <c r="G1278" s="4">
        <v>82.39</v>
      </c>
      <c r="H1278" s="5">
        <f t="shared" si="19"/>
        <v>-1.2111312784467674E-4</v>
      </c>
    </row>
    <row r="1279" spans="1:8" ht="13.5" x14ac:dyDescent="0.25">
      <c r="A1279" s="1"/>
      <c r="B1279" s="3">
        <v>44169</v>
      </c>
      <c r="C1279" s="4">
        <v>82.39</v>
      </c>
      <c r="D1279" s="4">
        <v>61.092500000000001</v>
      </c>
      <c r="E1279" s="4">
        <v>2</v>
      </c>
      <c r="F1279" s="4">
        <v>82.39</v>
      </c>
      <c r="G1279" s="4">
        <v>164.78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84</v>
      </c>
      <c r="D1280" s="4">
        <v>62.286299999999997</v>
      </c>
      <c r="E1280" s="4">
        <v>10</v>
      </c>
      <c r="F1280" s="4">
        <v>84</v>
      </c>
      <c r="G1280" s="4">
        <v>840</v>
      </c>
      <c r="H1280" s="5">
        <f t="shared" si="19"/>
        <v>1.9540860171052027E-2</v>
      </c>
    </row>
    <row r="1281" spans="1:8" ht="13.5" x14ac:dyDescent="0.25">
      <c r="A1281" s="1"/>
      <c r="B1281" s="3">
        <v>44173</v>
      </c>
      <c r="C1281" s="4">
        <v>84</v>
      </c>
      <c r="D1281" s="4">
        <v>62.286299999999997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84</v>
      </c>
      <c r="D1282" s="4">
        <v>62.286299999999997</v>
      </c>
      <c r="E1282" s="4">
        <v>0</v>
      </c>
      <c r="F1282" s="4">
        <v>0</v>
      </c>
      <c r="G1282" s="4">
        <v>0</v>
      </c>
      <c r="H1282" s="5">
        <f t="shared" si="19"/>
        <v>0</v>
      </c>
    </row>
    <row r="1283" spans="1:8" ht="13.5" x14ac:dyDescent="0.25">
      <c r="A1283" s="1"/>
      <c r="B1283" s="3">
        <v>44175</v>
      </c>
      <c r="C1283" s="4">
        <v>80.22</v>
      </c>
      <c r="D1283" s="4">
        <v>59.483400000000003</v>
      </c>
      <c r="E1283" s="4">
        <v>0</v>
      </c>
      <c r="F1283" s="4">
        <v>0</v>
      </c>
      <c r="G1283" s="4">
        <v>0</v>
      </c>
      <c r="H1283" s="5">
        <f t="shared" si="19"/>
        <v>-4.5000264905765697E-2</v>
      </c>
    </row>
    <row r="1284" spans="1:8" ht="13.5" x14ac:dyDescent="0.25">
      <c r="A1284" s="1"/>
      <c r="B1284" s="3">
        <v>44176</v>
      </c>
      <c r="C1284" s="4">
        <v>80</v>
      </c>
      <c r="D1284" s="4">
        <v>59.320300000000003</v>
      </c>
      <c r="E1284" s="4">
        <v>20</v>
      </c>
      <c r="F1284" s="4">
        <v>80</v>
      </c>
      <c r="G1284" s="4">
        <v>1600</v>
      </c>
      <c r="H1284" s="5">
        <f t="shared" si="19"/>
        <v>-2.7419414492110407E-3</v>
      </c>
    </row>
    <row r="1285" spans="1:8" ht="13.5" x14ac:dyDescent="0.25">
      <c r="A1285" s="1"/>
      <c r="B1285" s="3">
        <v>44179</v>
      </c>
      <c r="C1285" s="4">
        <v>78</v>
      </c>
      <c r="D1285" s="4">
        <v>57.837299999999999</v>
      </c>
      <c r="E1285" s="4">
        <v>120</v>
      </c>
      <c r="F1285" s="4">
        <v>78</v>
      </c>
      <c r="G1285" s="4">
        <v>9360</v>
      </c>
      <c r="H1285" s="5">
        <f t="shared" si="19"/>
        <v>-2.4999873567733203E-2</v>
      </c>
    </row>
    <row r="1286" spans="1:8" ht="13.5" x14ac:dyDescent="0.25">
      <c r="A1286" s="1"/>
      <c r="B1286" s="3">
        <v>44180</v>
      </c>
      <c r="C1286" s="4">
        <v>78</v>
      </c>
      <c r="D1286" s="4">
        <v>57.837299999999999</v>
      </c>
      <c r="E1286" s="4">
        <v>8</v>
      </c>
      <c r="F1286" s="4">
        <v>78</v>
      </c>
      <c r="G1286" s="4">
        <v>624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78</v>
      </c>
      <c r="D1287" s="4">
        <v>57.837299999999999</v>
      </c>
      <c r="E1287" s="4">
        <v>162</v>
      </c>
      <c r="F1287" s="4">
        <v>78</v>
      </c>
      <c r="G1287" s="4">
        <v>12636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78.03</v>
      </c>
      <c r="D1288" s="4">
        <v>57.859499999999997</v>
      </c>
      <c r="E1288" s="4">
        <v>101</v>
      </c>
      <c r="F1288" s="4">
        <v>78.0261</v>
      </c>
      <c r="G1288" s="4">
        <v>7880.6360999999997</v>
      </c>
      <c r="H1288" s="5">
        <f t="shared" si="20"/>
        <v>3.8383534501088397E-4</v>
      </c>
    </row>
    <row r="1289" spans="1:8" ht="13.5" x14ac:dyDescent="0.25">
      <c r="A1289" s="1"/>
      <c r="B1289" s="3">
        <v>44183</v>
      </c>
      <c r="C1289" s="4">
        <v>78.03</v>
      </c>
      <c r="D1289" s="4">
        <v>57.859499999999997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78</v>
      </c>
      <c r="D1290" s="4">
        <v>57.837299999999999</v>
      </c>
      <c r="E1290" s="4">
        <v>51</v>
      </c>
      <c r="F1290" s="4">
        <v>77.964699999999993</v>
      </c>
      <c r="G1290" s="4">
        <v>3976.1997000000001</v>
      </c>
      <c r="H1290" s="5">
        <f t="shared" si="20"/>
        <v>-3.836880719674038E-4</v>
      </c>
    </row>
    <row r="1291" spans="1:8" ht="13.5" x14ac:dyDescent="0.25">
      <c r="A1291" s="1"/>
      <c r="B1291" s="3">
        <v>44187</v>
      </c>
      <c r="C1291" s="4">
        <v>78</v>
      </c>
      <c r="D1291" s="4">
        <v>57.837299999999999</v>
      </c>
      <c r="E1291" s="4">
        <v>34</v>
      </c>
      <c r="F1291" s="4">
        <v>78</v>
      </c>
      <c r="G1291" s="4">
        <v>2652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77.900000000000006</v>
      </c>
      <c r="D1292" s="4">
        <v>57.763100000000001</v>
      </c>
      <c r="E1292" s="4">
        <v>20</v>
      </c>
      <c r="F1292" s="4">
        <v>77.900000000000006</v>
      </c>
      <c r="G1292" s="4">
        <v>1558</v>
      </c>
      <c r="H1292" s="5">
        <f t="shared" si="20"/>
        <v>-1.2829091261175331E-3</v>
      </c>
    </row>
    <row r="1293" spans="1:8" ht="13.5" x14ac:dyDescent="0.25">
      <c r="A1293" s="1"/>
      <c r="B1293" s="3">
        <v>44189</v>
      </c>
      <c r="C1293" s="4">
        <v>77.819999999999993</v>
      </c>
      <c r="D1293" s="4">
        <v>57.703800000000001</v>
      </c>
      <c r="E1293" s="4">
        <v>82</v>
      </c>
      <c r="F1293" s="4">
        <v>77.819999999999993</v>
      </c>
      <c r="G1293" s="4">
        <v>6381.24</v>
      </c>
      <c r="H1293" s="5">
        <f t="shared" si="20"/>
        <v>-1.0266069514967228E-3</v>
      </c>
    </row>
    <row r="1294" spans="1:8" ht="13.5" x14ac:dyDescent="0.25">
      <c r="A1294" s="1"/>
      <c r="B1294" s="3">
        <v>44190</v>
      </c>
      <c r="C1294" s="4">
        <v>80</v>
      </c>
      <c r="D1294" s="4">
        <v>59.320300000000003</v>
      </c>
      <c r="E1294" s="4">
        <v>17</v>
      </c>
      <c r="F1294" s="4">
        <v>78.155900000000003</v>
      </c>
      <c r="G1294" s="4">
        <v>1328.6503</v>
      </c>
      <c r="H1294" s="5">
        <f t="shared" si="20"/>
        <v>2.8013752993737016E-2</v>
      </c>
    </row>
    <row r="1295" spans="1:8" ht="13.5" x14ac:dyDescent="0.25">
      <c r="A1295" s="1"/>
      <c r="B1295" s="3">
        <v>44193</v>
      </c>
      <c r="C1295" s="4">
        <v>80</v>
      </c>
      <c r="D1295" s="4">
        <v>59.320300000000003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80</v>
      </c>
      <c r="D1296" s="4">
        <v>59.320300000000003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77.849999999999994</v>
      </c>
      <c r="D1297" s="4">
        <v>57.725999999999999</v>
      </c>
      <c r="E1297" s="4">
        <v>69</v>
      </c>
      <c r="F1297" s="4">
        <v>77.823499999999996</v>
      </c>
      <c r="G1297" s="4">
        <v>5369.8215</v>
      </c>
      <c r="H1297" s="5">
        <f t="shared" si="20"/>
        <v>-2.6876128407981821E-2</v>
      </c>
    </row>
    <row r="1298" spans="1:8" ht="13.5" x14ac:dyDescent="0.25">
      <c r="A1298" s="1"/>
      <c r="B1298" s="3">
        <v>44196</v>
      </c>
      <c r="C1298" s="4">
        <v>77.849999999999994</v>
      </c>
      <c r="D1298" s="4">
        <v>57.725999999999999</v>
      </c>
      <c r="E1298" s="4">
        <v>47</v>
      </c>
      <c r="F1298" s="4">
        <v>77.835300000000004</v>
      </c>
      <c r="G1298" s="4">
        <v>3658.2591000000002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77.819999999999993</v>
      </c>
      <c r="D1299" s="4">
        <v>57.703800000000001</v>
      </c>
      <c r="E1299" s="4">
        <v>76</v>
      </c>
      <c r="F1299" s="4">
        <v>77.841700000000003</v>
      </c>
      <c r="G1299" s="4">
        <v>5915.9691999999995</v>
      </c>
      <c r="H1299" s="5">
        <f t="shared" si="20"/>
        <v>-3.8457540796171569E-4</v>
      </c>
    </row>
    <row r="1300" spans="1:8" ht="13.5" x14ac:dyDescent="0.25">
      <c r="A1300" s="1"/>
      <c r="B1300" s="3">
        <v>44201</v>
      </c>
      <c r="C1300" s="4">
        <v>77.81</v>
      </c>
      <c r="D1300" s="4">
        <v>57.696399999999997</v>
      </c>
      <c r="E1300" s="4">
        <v>90</v>
      </c>
      <c r="F1300" s="4">
        <v>77.81</v>
      </c>
      <c r="G1300" s="4">
        <v>7002.9</v>
      </c>
      <c r="H1300" s="5">
        <f t="shared" si="20"/>
        <v>-1.2824112103542696E-4</v>
      </c>
    </row>
    <row r="1301" spans="1:8" ht="13.5" x14ac:dyDescent="0.25">
      <c r="A1301" s="1"/>
      <c r="B1301" s="3">
        <v>44202</v>
      </c>
      <c r="C1301" s="4">
        <v>77.849999999999994</v>
      </c>
      <c r="D1301" s="4">
        <v>57.725999999999999</v>
      </c>
      <c r="E1301" s="4">
        <v>411</v>
      </c>
      <c r="F1301" s="4">
        <v>77.849999999999994</v>
      </c>
      <c r="G1301" s="4">
        <v>31996.35</v>
      </c>
      <c r="H1301" s="5">
        <f t="shared" si="20"/>
        <v>5.1303027571914493E-4</v>
      </c>
    </row>
    <row r="1302" spans="1:8" ht="13.5" x14ac:dyDescent="0.25">
      <c r="A1302" s="1"/>
      <c r="B1302" s="3">
        <v>44203</v>
      </c>
      <c r="C1302" s="4">
        <v>77</v>
      </c>
      <c r="D1302" s="4">
        <v>57.095799999999997</v>
      </c>
      <c r="E1302" s="4">
        <v>72</v>
      </c>
      <c r="F1302" s="4">
        <v>77</v>
      </c>
      <c r="G1302" s="4">
        <v>5544</v>
      </c>
      <c r="H1302" s="5">
        <f t="shared" si="20"/>
        <v>-1.0917091085472787E-2</v>
      </c>
    </row>
    <row r="1303" spans="1:8" ht="13.5" x14ac:dyDescent="0.25">
      <c r="A1303" s="1"/>
      <c r="B1303" s="3">
        <v>44204</v>
      </c>
      <c r="C1303" s="4">
        <v>77</v>
      </c>
      <c r="D1303" s="4">
        <v>57.095799999999997</v>
      </c>
      <c r="E1303" s="4">
        <v>0</v>
      </c>
      <c r="F1303" s="4">
        <v>0</v>
      </c>
      <c r="G1303" s="4">
        <v>0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77.849999999999994</v>
      </c>
      <c r="D1304" s="4">
        <v>57.725999999999999</v>
      </c>
      <c r="E1304" s="4">
        <v>40</v>
      </c>
      <c r="F1304" s="4">
        <v>77.849999999999994</v>
      </c>
      <c r="G1304" s="4">
        <v>3114</v>
      </c>
      <c r="H1304" s="5">
        <f t="shared" si="20"/>
        <v>1.1037589454916161E-2</v>
      </c>
    </row>
    <row r="1305" spans="1:8" ht="13.5" x14ac:dyDescent="0.25">
      <c r="A1305" s="1"/>
      <c r="B1305" s="3">
        <v>44208</v>
      </c>
      <c r="C1305" s="4">
        <v>77</v>
      </c>
      <c r="D1305" s="4">
        <v>57.095799999999997</v>
      </c>
      <c r="E1305" s="4">
        <v>25</v>
      </c>
      <c r="F1305" s="4">
        <v>77</v>
      </c>
      <c r="G1305" s="4">
        <v>1925</v>
      </c>
      <c r="H1305" s="5">
        <f t="shared" si="20"/>
        <v>-1.0917091085472787E-2</v>
      </c>
    </row>
    <row r="1306" spans="1:8" ht="13.5" x14ac:dyDescent="0.25">
      <c r="A1306" s="1"/>
      <c r="B1306" s="3">
        <v>44209</v>
      </c>
      <c r="C1306" s="4">
        <v>79.31</v>
      </c>
      <c r="D1306" s="4">
        <v>58.808599999999998</v>
      </c>
      <c r="E1306" s="4">
        <v>54</v>
      </c>
      <c r="F1306" s="4">
        <v>79.31</v>
      </c>
      <c r="G1306" s="4">
        <v>4282.74</v>
      </c>
      <c r="H1306" s="5">
        <f t="shared" si="20"/>
        <v>2.9998703932688595E-2</v>
      </c>
    </row>
    <row r="1307" spans="1:8" ht="13.5" x14ac:dyDescent="0.25">
      <c r="A1307" s="1"/>
      <c r="B1307" s="3">
        <v>44211</v>
      </c>
      <c r="C1307" s="4">
        <v>79.31</v>
      </c>
      <c r="D1307" s="4">
        <v>58.808599999999998</v>
      </c>
      <c r="E1307" s="4">
        <v>51</v>
      </c>
      <c r="F1307" s="4">
        <v>79.31</v>
      </c>
      <c r="G1307" s="4">
        <v>4044.81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80.010000000000005</v>
      </c>
      <c r="D1308" s="4">
        <v>59.3277</v>
      </c>
      <c r="E1308" s="4">
        <v>107</v>
      </c>
      <c r="F1308" s="4">
        <v>80.001800000000003</v>
      </c>
      <c r="G1308" s="4">
        <v>8560.1926000000003</v>
      </c>
      <c r="H1308" s="5">
        <f t="shared" si="20"/>
        <v>8.8269402774424442E-3</v>
      </c>
    </row>
    <row r="1309" spans="1:8" ht="13.5" x14ac:dyDescent="0.25">
      <c r="A1309" s="1"/>
      <c r="B1309" s="3">
        <v>44215</v>
      </c>
      <c r="C1309" s="4">
        <v>81</v>
      </c>
      <c r="D1309" s="4">
        <v>60.061799999999998</v>
      </c>
      <c r="E1309" s="4">
        <v>8</v>
      </c>
      <c r="F1309" s="4">
        <v>81</v>
      </c>
      <c r="G1309" s="4">
        <v>648</v>
      </c>
      <c r="H1309" s="5">
        <f t="shared" si="20"/>
        <v>1.2373646711401218E-2</v>
      </c>
    </row>
    <row r="1310" spans="1:8" ht="13.5" x14ac:dyDescent="0.25">
      <c r="A1310" s="1"/>
      <c r="B1310" s="3">
        <v>44216</v>
      </c>
      <c r="C1310" s="4">
        <v>84</v>
      </c>
      <c r="D1310" s="4">
        <v>62.286299999999997</v>
      </c>
      <c r="E1310" s="4">
        <v>101</v>
      </c>
      <c r="F1310" s="4">
        <v>83.645899999999997</v>
      </c>
      <c r="G1310" s="4">
        <v>8448.2358999999997</v>
      </c>
      <c r="H1310" s="5">
        <f t="shared" si="20"/>
        <v>3.7036852042396318E-2</v>
      </c>
    </row>
    <row r="1311" spans="1:8" ht="13.5" x14ac:dyDescent="0.25">
      <c r="A1311" s="1"/>
      <c r="B1311" s="3">
        <v>44217</v>
      </c>
      <c r="C1311" s="4">
        <v>89.11</v>
      </c>
      <c r="D1311" s="4">
        <v>66.075400000000002</v>
      </c>
      <c r="E1311" s="4">
        <v>51</v>
      </c>
      <c r="F1311" s="4">
        <v>87.789599999999993</v>
      </c>
      <c r="G1311" s="4">
        <v>4477.2695999999996</v>
      </c>
      <c r="H1311" s="5">
        <f t="shared" si="20"/>
        <v>6.083360225282293E-2</v>
      </c>
    </row>
    <row r="1312" spans="1:8" ht="13.5" x14ac:dyDescent="0.25">
      <c r="A1312" s="1"/>
      <c r="B1312" s="3">
        <v>44218</v>
      </c>
      <c r="C1312" s="4">
        <v>93.11</v>
      </c>
      <c r="D1312" s="4">
        <v>69.041399999999996</v>
      </c>
      <c r="E1312" s="4">
        <v>0</v>
      </c>
      <c r="F1312" s="4">
        <v>0</v>
      </c>
      <c r="G1312" s="4">
        <v>0</v>
      </c>
      <c r="H1312" s="5">
        <f t="shared" si="20"/>
        <v>4.4888112671281503E-2</v>
      </c>
    </row>
    <row r="1313" spans="1:8" ht="13.5" x14ac:dyDescent="0.25">
      <c r="A1313" s="1"/>
      <c r="B1313" s="3">
        <v>44221</v>
      </c>
      <c r="C1313" s="4">
        <v>93.5</v>
      </c>
      <c r="D1313" s="4">
        <v>69.330600000000004</v>
      </c>
      <c r="E1313" s="4">
        <v>97</v>
      </c>
      <c r="F1313" s="4">
        <v>93.355699999999999</v>
      </c>
      <c r="G1313" s="4">
        <v>9055.5028999999995</v>
      </c>
      <c r="H1313" s="5">
        <f t="shared" si="20"/>
        <v>4.1887910731822952E-3</v>
      </c>
    </row>
    <row r="1314" spans="1:8" ht="13.5" x14ac:dyDescent="0.25">
      <c r="A1314" s="1"/>
      <c r="B1314" s="3">
        <v>44222</v>
      </c>
      <c r="C1314" s="4">
        <v>95</v>
      </c>
      <c r="D1314" s="4">
        <v>70.442800000000005</v>
      </c>
      <c r="E1314" s="4">
        <v>189</v>
      </c>
      <c r="F1314" s="4">
        <v>94.990700000000004</v>
      </c>
      <c r="G1314" s="4">
        <v>17953.242300000002</v>
      </c>
      <c r="H1314" s="5">
        <f t="shared" si="20"/>
        <v>1.6041978578001652E-2</v>
      </c>
    </row>
    <row r="1315" spans="1:8" ht="13.5" x14ac:dyDescent="0.25">
      <c r="A1315" s="1"/>
      <c r="B1315" s="3">
        <v>44223</v>
      </c>
      <c r="C1315" s="4">
        <v>96.5</v>
      </c>
      <c r="D1315" s="4">
        <v>71.555099999999996</v>
      </c>
      <c r="E1315" s="4">
        <v>137</v>
      </c>
      <c r="F1315" s="4">
        <v>96.156899999999993</v>
      </c>
      <c r="G1315" s="4">
        <v>13173.4953</v>
      </c>
      <c r="H1315" s="5">
        <f t="shared" si="20"/>
        <v>1.5790116236151751E-2</v>
      </c>
    </row>
    <row r="1316" spans="1:8" ht="13.5" x14ac:dyDescent="0.25">
      <c r="A1316" s="1"/>
      <c r="B1316" s="3">
        <v>44224</v>
      </c>
      <c r="C1316" s="4">
        <v>100</v>
      </c>
      <c r="D1316" s="4">
        <v>74.150300000000001</v>
      </c>
      <c r="E1316" s="4">
        <v>180</v>
      </c>
      <c r="F1316" s="4">
        <v>99.804100000000005</v>
      </c>
      <c r="G1316" s="4">
        <v>17964.738000000001</v>
      </c>
      <c r="H1316" s="5">
        <f t="shared" si="20"/>
        <v>3.6268553883650578E-2</v>
      </c>
    </row>
    <row r="1317" spans="1:8" ht="13.5" x14ac:dyDescent="0.25">
      <c r="A1317" s="1"/>
      <c r="B1317" s="3">
        <v>44225</v>
      </c>
      <c r="C1317" s="4">
        <v>104.5</v>
      </c>
      <c r="D1317" s="4">
        <v>77.487099999999998</v>
      </c>
      <c r="E1317" s="4">
        <v>0</v>
      </c>
      <c r="F1317" s="4">
        <v>0</v>
      </c>
      <c r="G1317" s="4">
        <v>0</v>
      </c>
      <c r="H1317" s="5">
        <f t="shared" si="20"/>
        <v>4.5000492243456827E-2</v>
      </c>
    </row>
    <row r="1318" spans="1:8" ht="13.5" x14ac:dyDescent="0.25">
      <c r="A1318" s="1"/>
      <c r="B1318" s="3">
        <v>44228</v>
      </c>
      <c r="C1318" s="4">
        <v>110.7</v>
      </c>
      <c r="D1318" s="4">
        <v>82.084400000000002</v>
      </c>
      <c r="E1318" s="4">
        <v>162</v>
      </c>
      <c r="F1318" s="4">
        <v>109.39239999999999</v>
      </c>
      <c r="G1318" s="4">
        <v>17721.568800000001</v>
      </c>
      <c r="H1318" s="5">
        <f t="shared" si="20"/>
        <v>5.932987555347928E-2</v>
      </c>
    </row>
    <row r="1319" spans="1:8" ht="13.5" x14ac:dyDescent="0.25">
      <c r="A1319" s="1"/>
      <c r="B1319" s="3">
        <v>44229</v>
      </c>
      <c r="C1319" s="4">
        <v>113</v>
      </c>
      <c r="D1319" s="4">
        <v>83.789900000000003</v>
      </c>
      <c r="E1319" s="4">
        <v>464</v>
      </c>
      <c r="F1319" s="4">
        <v>112.8985</v>
      </c>
      <c r="G1319" s="4">
        <v>52384.904000000002</v>
      </c>
      <c r="H1319" s="5">
        <f t="shared" si="20"/>
        <v>2.0777394973953645E-2</v>
      </c>
    </row>
    <row r="1320" spans="1:8" ht="13.5" x14ac:dyDescent="0.25">
      <c r="A1320" s="1"/>
      <c r="B1320" s="3">
        <v>44230</v>
      </c>
      <c r="C1320" s="4">
        <v>110</v>
      </c>
      <c r="D1320" s="4">
        <v>81.565399999999997</v>
      </c>
      <c r="E1320" s="4">
        <v>375</v>
      </c>
      <c r="F1320" s="4">
        <v>110</v>
      </c>
      <c r="G1320" s="4">
        <v>41250</v>
      </c>
      <c r="H1320" s="5">
        <f t="shared" si="20"/>
        <v>-2.6548545827122433E-2</v>
      </c>
    </row>
    <row r="1321" spans="1:8" ht="13.5" x14ac:dyDescent="0.25">
      <c r="A1321" s="1"/>
      <c r="B1321" s="3">
        <v>44231</v>
      </c>
      <c r="C1321" s="4">
        <v>106.5</v>
      </c>
      <c r="D1321" s="4">
        <v>78.970100000000002</v>
      </c>
      <c r="E1321" s="4">
        <v>72</v>
      </c>
      <c r="F1321" s="4">
        <v>106.5</v>
      </c>
      <c r="G1321" s="4">
        <v>7668</v>
      </c>
      <c r="H1321" s="5">
        <f t="shared" si="20"/>
        <v>-3.1818638785563423E-2</v>
      </c>
    </row>
    <row r="1322" spans="1:8" ht="13.5" x14ac:dyDescent="0.25">
      <c r="A1322" s="1"/>
      <c r="B1322" s="3">
        <v>44232</v>
      </c>
      <c r="C1322" s="4">
        <v>100.22</v>
      </c>
      <c r="D1322" s="4">
        <v>74.313500000000005</v>
      </c>
      <c r="E1322" s="4">
        <v>129</v>
      </c>
      <c r="F1322" s="4">
        <v>102.9877</v>
      </c>
      <c r="G1322" s="4">
        <v>13285.4133</v>
      </c>
      <c r="H1322" s="5">
        <f t="shared" si="20"/>
        <v>-5.8966621544103363E-2</v>
      </c>
    </row>
    <row r="1323" spans="1:8" ht="13.5" x14ac:dyDescent="0.25">
      <c r="A1323" s="1"/>
      <c r="B1323" s="3">
        <v>44235</v>
      </c>
      <c r="C1323" s="4">
        <v>100.22</v>
      </c>
      <c r="D1323" s="4">
        <v>74.313500000000005</v>
      </c>
      <c r="E1323" s="4">
        <v>686</v>
      </c>
      <c r="F1323" s="4">
        <v>100.22</v>
      </c>
      <c r="G1323" s="4">
        <v>68750.92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97.25</v>
      </c>
      <c r="D1324" s="4">
        <v>72.111199999999997</v>
      </c>
      <c r="E1324" s="4">
        <v>130</v>
      </c>
      <c r="F1324" s="4">
        <v>97.244900000000001</v>
      </c>
      <c r="G1324" s="4">
        <v>12641.837</v>
      </c>
      <c r="H1324" s="5">
        <f t="shared" si="20"/>
        <v>-2.9635261426255093E-2</v>
      </c>
    </row>
    <row r="1325" spans="1:8" ht="13.5" x14ac:dyDescent="0.25">
      <c r="A1325" s="1"/>
      <c r="B1325" s="3">
        <v>44237</v>
      </c>
      <c r="C1325" s="4">
        <v>95</v>
      </c>
      <c r="D1325" s="4">
        <v>70.442800000000005</v>
      </c>
      <c r="E1325" s="4">
        <v>21</v>
      </c>
      <c r="F1325" s="4">
        <v>96.066699999999997</v>
      </c>
      <c r="G1325" s="4">
        <v>2017.4006999999999</v>
      </c>
      <c r="H1325" s="5">
        <f t="shared" si="20"/>
        <v>-2.3136489200013193E-2</v>
      </c>
    </row>
    <row r="1326" spans="1:8" ht="13.5" x14ac:dyDescent="0.25">
      <c r="A1326" s="1"/>
      <c r="B1326" s="3">
        <v>44238</v>
      </c>
      <c r="C1326" s="4">
        <v>94.34</v>
      </c>
      <c r="D1326" s="4">
        <v>69.953400000000002</v>
      </c>
      <c r="E1326" s="4">
        <v>2</v>
      </c>
      <c r="F1326" s="4">
        <v>94.34</v>
      </c>
      <c r="G1326" s="4">
        <v>188.68</v>
      </c>
      <c r="H1326" s="5">
        <f t="shared" si="20"/>
        <v>-6.9474807929270745E-3</v>
      </c>
    </row>
    <row r="1327" spans="1:8" ht="13.5" x14ac:dyDescent="0.25">
      <c r="A1327" s="1"/>
      <c r="B1327" s="3">
        <v>44239</v>
      </c>
      <c r="C1327" s="4">
        <v>97.3</v>
      </c>
      <c r="D1327" s="4">
        <v>72.148300000000006</v>
      </c>
      <c r="E1327" s="4">
        <v>97</v>
      </c>
      <c r="F1327" s="4">
        <v>97.321299999999994</v>
      </c>
      <c r="G1327" s="4">
        <v>9440.1661000000004</v>
      </c>
      <c r="H1327" s="5">
        <f t="shared" si="20"/>
        <v>3.1376602137994779E-2</v>
      </c>
    </row>
    <row r="1328" spans="1:8" ht="13.5" x14ac:dyDescent="0.25">
      <c r="A1328" s="1"/>
      <c r="B1328" s="3">
        <v>44242</v>
      </c>
      <c r="C1328" s="4">
        <v>97.3</v>
      </c>
      <c r="D1328" s="4">
        <v>72.148300000000006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97.3</v>
      </c>
      <c r="D1329" s="4">
        <v>72.148300000000006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97.3</v>
      </c>
      <c r="D1330" s="4">
        <v>72.148300000000006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100</v>
      </c>
      <c r="D1331" s="4">
        <v>74.150300000000001</v>
      </c>
      <c r="E1331" s="4">
        <v>6</v>
      </c>
      <c r="F1331" s="4">
        <v>99.9983</v>
      </c>
      <c r="G1331" s="4">
        <v>599.98979999999995</v>
      </c>
      <c r="H1331" s="5">
        <f t="shared" si="20"/>
        <v>2.7748401556238957E-2</v>
      </c>
    </row>
    <row r="1332" spans="1:8" ht="13.5" x14ac:dyDescent="0.25">
      <c r="A1332" s="1"/>
      <c r="B1332" s="3">
        <v>44246</v>
      </c>
      <c r="C1332" s="4">
        <v>100</v>
      </c>
      <c r="D1332" s="4">
        <v>74.150300000000001</v>
      </c>
      <c r="E1332" s="4">
        <v>3</v>
      </c>
      <c r="F1332" s="4">
        <v>100</v>
      </c>
      <c r="G1332" s="4">
        <v>300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100</v>
      </c>
      <c r="D1333" s="4">
        <v>74.150300000000001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100</v>
      </c>
      <c r="D1334" s="4">
        <v>74.150300000000001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100</v>
      </c>
      <c r="D1335" s="4">
        <v>74.150300000000001</v>
      </c>
      <c r="E1335" s="4">
        <v>100</v>
      </c>
      <c r="F1335" s="4">
        <v>100</v>
      </c>
      <c r="G1335" s="4">
        <v>10000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100.2</v>
      </c>
      <c r="D1336" s="4">
        <v>74.298599999999993</v>
      </c>
      <c r="E1336" s="4">
        <v>11</v>
      </c>
      <c r="F1336" s="4">
        <v>100.2</v>
      </c>
      <c r="G1336" s="4">
        <v>1102.2</v>
      </c>
      <c r="H1336" s="5">
        <f t="shared" si="20"/>
        <v>1.999991908326627E-3</v>
      </c>
    </row>
    <row r="1337" spans="1:8" ht="13.5" x14ac:dyDescent="0.25">
      <c r="A1337" s="1"/>
      <c r="B1337" s="3">
        <v>44253</v>
      </c>
      <c r="C1337" s="4">
        <v>103</v>
      </c>
      <c r="D1337" s="4">
        <v>76.374799999999993</v>
      </c>
      <c r="E1337" s="4">
        <v>18</v>
      </c>
      <c r="F1337" s="4">
        <v>103</v>
      </c>
      <c r="G1337" s="4">
        <v>1854</v>
      </c>
      <c r="H1337" s="5">
        <f t="shared" si="20"/>
        <v>2.7943998944798425E-2</v>
      </c>
    </row>
    <row r="1338" spans="1:8" ht="13.5" x14ac:dyDescent="0.25">
      <c r="A1338" s="1"/>
      <c r="B1338" s="3">
        <v>44256</v>
      </c>
      <c r="C1338" s="4">
        <v>103</v>
      </c>
      <c r="D1338" s="4">
        <v>76.374799999999993</v>
      </c>
      <c r="E1338" s="4">
        <v>147</v>
      </c>
      <c r="F1338" s="4">
        <v>103</v>
      </c>
      <c r="G1338" s="4">
        <v>15141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106</v>
      </c>
      <c r="D1339" s="4">
        <v>78.599299999999999</v>
      </c>
      <c r="E1339" s="4">
        <v>181</v>
      </c>
      <c r="F1339" s="4">
        <v>106.00149999999999</v>
      </c>
      <c r="G1339" s="4">
        <v>19186.271499999999</v>
      </c>
      <c r="H1339" s="5">
        <f t="shared" si="20"/>
        <v>2.9126099184547866E-2</v>
      </c>
    </row>
    <row r="1340" spans="1:8" ht="13.5" x14ac:dyDescent="0.25">
      <c r="A1340" s="1"/>
      <c r="B1340" s="3">
        <v>44258</v>
      </c>
      <c r="C1340" s="4">
        <v>106</v>
      </c>
      <c r="D1340" s="4">
        <v>78.599299999999999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106</v>
      </c>
      <c r="D1341" s="4">
        <v>78.599299999999999</v>
      </c>
      <c r="E1341" s="4">
        <v>2</v>
      </c>
      <c r="F1341" s="4">
        <v>106</v>
      </c>
      <c r="G1341" s="4">
        <v>212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101.23</v>
      </c>
      <c r="D1342" s="4">
        <v>75.062399999999997</v>
      </c>
      <c r="E1342" s="4">
        <v>26</v>
      </c>
      <c r="F1342" s="4">
        <v>101.23</v>
      </c>
      <c r="G1342" s="4">
        <v>2631.98</v>
      </c>
      <c r="H1342" s="5">
        <f t="shared" si="20"/>
        <v>-4.4999128490966239E-2</v>
      </c>
    </row>
    <row r="1343" spans="1:8" ht="13.5" x14ac:dyDescent="0.25">
      <c r="A1343" s="1"/>
      <c r="B1343" s="3">
        <v>44263</v>
      </c>
      <c r="C1343" s="4">
        <v>96.68</v>
      </c>
      <c r="D1343" s="4">
        <v>71.688500000000005</v>
      </c>
      <c r="E1343" s="4">
        <v>54</v>
      </c>
      <c r="F1343" s="4">
        <v>96.68</v>
      </c>
      <c r="G1343" s="4">
        <v>5220.72</v>
      </c>
      <c r="H1343" s="5">
        <f t="shared" si="20"/>
        <v>-4.494793665004039E-2</v>
      </c>
    </row>
    <row r="1344" spans="1:8" ht="13.5" x14ac:dyDescent="0.25">
      <c r="A1344" s="1"/>
      <c r="B1344" s="3">
        <v>44264</v>
      </c>
      <c r="C1344" s="4">
        <v>98</v>
      </c>
      <c r="D1344" s="4">
        <v>72.667299999999997</v>
      </c>
      <c r="E1344" s="4">
        <v>1</v>
      </c>
      <c r="F1344" s="4">
        <v>98</v>
      </c>
      <c r="G1344" s="4">
        <v>98</v>
      </c>
      <c r="H1344" s="5">
        <f t="shared" si="20"/>
        <v>1.3653514859426442E-2</v>
      </c>
    </row>
    <row r="1345" spans="1:8" ht="13.5" x14ac:dyDescent="0.25">
      <c r="A1345" s="1"/>
      <c r="B1345" s="3">
        <v>44265</v>
      </c>
      <c r="C1345" s="4">
        <v>98</v>
      </c>
      <c r="D1345" s="4">
        <v>72.667299999999997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100.94</v>
      </c>
      <c r="D1346" s="4">
        <v>74.847300000000004</v>
      </c>
      <c r="E1346" s="4">
        <v>2</v>
      </c>
      <c r="F1346" s="4">
        <v>100.94</v>
      </c>
      <c r="G1346" s="4">
        <v>201.88</v>
      </c>
      <c r="H1346" s="5">
        <f t="shared" si="20"/>
        <v>2.9999738534389017E-2</v>
      </c>
    </row>
    <row r="1347" spans="1:8" ht="13.5" x14ac:dyDescent="0.25">
      <c r="A1347" s="1"/>
      <c r="B1347" s="3">
        <v>44267</v>
      </c>
      <c r="C1347" s="4">
        <v>100.94</v>
      </c>
      <c r="D1347" s="4">
        <v>74.847300000000004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100.94</v>
      </c>
      <c r="D1348" s="4">
        <v>74.847300000000004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100.94</v>
      </c>
      <c r="D1349" s="4">
        <v>74.847300000000004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103.9</v>
      </c>
      <c r="D1350" s="4">
        <v>77.042199999999994</v>
      </c>
      <c r="E1350" s="4">
        <v>3</v>
      </c>
      <c r="F1350" s="4">
        <v>103.9</v>
      </c>
      <c r="G1350" s="4">
        <v>311.7</v>
      </c>
      <c r="H1350" s="5">
        <f t="shared" si="20"/>
        <v>2.9325039112967199E-2</v>
      </c>
    </row>
    <row r="1351" spans="1:8" ht="13.5" x14ac:dyDescent="0.25">
      <c r="A1351" s="1"/>
      <c r="B1351" s="3">
        <v>44273</v>
      </c>
      <c r="C1351" s="4">
        <v>103.9</v>
      </c>
      <c r="D1351" s="4">
        <v>77.042199999999994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103.9</v>
      </c>
      <c r="D1352" s="4">
        <v>77.042199999999994</v>
      </c>
      <c r="E1352" s="4">
        <v>23</v>
      </c>
      <c r="F1352" s="4">
        <v>103.9</v>
      </c>
      <c r="G1352" s="4">
        <v>2389.6999999999998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103.9</v>
      </c>
      <c r="D1353" s="4">
        <v>77.042199999999994</v>
      </c>
      <c r="E1353" s="4">
        <v>5</v>
      </c>
      <c r="F1353" s="4">
        <v>103.9</v>
      </c>
      <c r="G1353" s="4">
        <v>519.5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103.9</v>
      </c>
      <c r="D1354" s="4">
        <v>77.042199999999994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103.9</v>
      </c>
      <c r="D1355" s="4">
        <v>77.042199999999994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103.9</v>
      </c>
      <c r="D1356" s="4">
        <v>77.042199999999994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100.79</v>
      </c>
      <c r="D1357" s="4">
        <v>74.736099999999993</v>
      </c>
      <c r="E1357" s="4">
        <v>800</v>
      </c>
      <c r="F1357" s="4">
        <v>100.79</v>
      </c>
      <c r="G1357" s="4">
        <v>80632</v>
      </c>
      <c r="H1357" s="5">
        <f t="shared" si="21"/>
        <v>-2.9932945840072077E-2</v>
      </c>
    </row>
    <row r="1358" spans="1:8" ht="13.5" x14ac:dyDescent="0.25">
      <c r="A1358" s="1"/>
      <c r="B1358" s="3">
        <v>44284</v>
      </c>
      <c r="C1358" s="4">
        <v>100.79</v>
      </c>
      <c r="D1358" s="4">
        <v>74.736099999999993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100.79</v>
      </c>
      <c r="D1359" s="4">
        <v>74.736099999999993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103.81</v>
      </c>
      <c r="D1360" s="4">
        <v>76.975499999999997</v>
      </c>
      <c r="E1360" s="4">
        <v>10</v>
      </c>
      <c r="F1360" s="4">
        <v>103.81</v>
      </c>
      <c r="G1360" s="4">
        <v>1038.0999999999999</v>
      </c>
      <c r="H1360" s="5">
        <f t="shared" si="21"/>
        <v>2.9964100347757022E-2</v>
      </c>
    </row>
    <row r="1361" spans="1:8" ht="13.5" x14ac:dyDescent="0.25">
      <c r="A1361" s="1"/>
      <c r="B1361" s="3">
        <v>44287</v>
      </c>
      <c r="C1361" s="4">
        <v>103.81</v>
      </c>
      <c r="D1361" s="4">
        <v>76.975499999999997</v>
      </c>
      <c r="E1361" s="4">
        <v>3</v>
      </c>
      <c r="F1361" s="4">
        <v>103.81</v>
      </c>
      <c r="G1361" s="4">
        <v>311.43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103.81</v>
      </c>
      <c r="D1362" s="4">
        <v>76.975499999999997</v>
      </c>
      <c r="E1362" s="4">
        <v>61</v>
      </c>
      <c r="F1362" s="4">
        <v>103.81</v>
      </c>
      <c r="G1362" s="4">
        <v>6332.41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103.81</v>
      </c>
      <c r="D1363" s="4">
        <v>76.975499999999997</v>
      </c>
      <c r="E1363" s="4">
        <v>0</v>
      </c>
      <c r="F1363" s="4">
        <v>0</v>
      </c>
      <c r="G1363" s="4">
        <v>0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103.81</v>
      </c>
      <c r="D1364" s="4">
        <v>76.975499999999997</v>
      </c>
      <c r="E1364" s="4">
        <v>0</v>
      </c>
      <c r="F1364" s="4">
        <v>0</v>
      </c>
      <c r="G1364" s="4">
        <v>0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103.81</v>
      </c>
      <c r="D1365" s="4">
        <v>76.975499999999997</v>
      </c>
      <c r="E1365" s="4">
        <v>2</v>
      </c>
      <c r="F1365" s="4">
        <v>103.81</v>
      </c>
      <c r="G1365" s="4">
        <v>207.62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100</v>
      </c>
      <c r="D1366" s="4">
        <v>74.150300000000001</v>
      </c>
      <c r="E1366" s="4">
        <v>12</v>
      </c>
      <c r="F1366" s="4">
        <v>100</v>
      </c>
      <c r="G1366" s="4">
        <v>1200</v>
      </c>
      <c r="H1366" s="5">
        <f t="shared" si="21"/>
        <v>-3.6702587186832114E-2</v>
      </c>
    </row>
    <row r="1367" spans="1:8" ht="13.5" x14ac:dyDescent="0.25">
      <c r="A1367" s="1"/>
      <c r="B1367" s="3">
        <v>44298</v>
      </c>
      <c r="C1367" s="4">
        <v>100</v>
      </c>
      <c r="D1367" s="4">
        <v>74.150300000000001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100</v>
      </c>
      <c r="D1368" s="4">
        <v>74.150300000000001</v>
      </c>
      <c r="E1368" s="4">
        <v>2</v>
      </c>
      <c r="F1368" s="4">
        <v>100</v>
      </c>
      <c r="G1368" s="4">
        <v>200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100</v>
      </c>
      <c r="D1369" s="4">
        <v>74.150300000000001</v>
      </c>
      <c r="E1369" s="4">
        <v>4</v>
      </c>
      <c r="F1369" s="4">
        <v>100</v>
      </c>
      <c r="G1369" s="4">
        <v>400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100</v>
      </c>
      <c r="D1370" s="4">
        <v>74.150300000000001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103</v>
      </c>
      <c r="D1371" s="4">
        <v>76.374799999999993</v>
      </c>
      <c r="E1371" s="4">
        <v>5</v>
      </c>
      <c r="F1371" s="4">
        <v>103</v>
      </c>
      <c r="G1371" s="4">
        <v>515</v>
      </c>
      <c r="H1371" s="5">
        <f t="shared" si="21"/>
        <v>2.9999878624900937E-2</v>
      </c>
    </row>
    <row r="1372" spans="1:8" ht="13.5" x14ac:dyDescent="0.25">
      <c r="A1372" s="1"/>
      <c r="B1372" s="3">
        <v>44305</v>
      </c>
      <c r="C1372" s="4">
        <v>103</v>
      </c>
      <c r="D1372" s="4">
        <v>76.374799999999993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106</v>
      </c>
      <c r="D1373" s="4">
        <v>78.599299999999999</v>
      </c>
      <c r="E1373" s="4">
        <v>2</v>
      </c>
      <c r="F1373" s="4">
        <v>106</v>
      </c>
      <c r="G1373" s="4">
        <v>212</v>
      </c>
      <c r="H1373" s="5">
        <f t="shared" si="21"/>
        <v>2.9126099184547866E-2</v>
      </c>
    </row>
    <row r="1374" spans="1:8" ht="13.5" x14ac:dyDescent="0.25">
      <c r="A1374" s="1"/>
      <c r="B1374" s="3">
        <v>44307</v>
      </c>
      <c r="C1374" s="4">
        <v>106</v>
      </c>
      <c r="D1374" s="4">
        <v>78.599299999999999</v>
      </c>
      <c r="E1374" s="4">
        <v>8</v>
      </c>
      <c r="F1374" s="4">
        <v>106</v>
      </c>
      <c r="G1374" s="4">
        <v>848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106</v>
      </c>
      <c r="D1375" s="4">
        <v>78.599299999999999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106</v>
      </c>
      <c r="D1376" s="4">
        <v>78.599299999999999</v>
      </c>
      <c r="E1376" s="4">
        <v>15</v>
      </c>
      <c r="F1376" s="4">
        <v>106</v>
      </c>
      <c r="G1376" s="4">
        <v>1590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106</v>
      </c>
      <c r="D1377" s="4">
        <v>78.599299999999999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103.01</v>
      </c>
      <c r="D1378" s="4">
        <v>76.382300000000001</v>
      </c>
      <c r="E1378" s="4">
        <v>100</v>
      </c>
      <c r="F1378" s="4">
        <v>103.01</v>
      </c>
      <c r="G1378" s="4">
        <v>10301</v>
      </c>
      <c r="H1378" s="5">
        <f t="shared" si="21"/>
        <v>-2.8206358071891209E-2</v>
      </c>
    </row>
    <row r="1379" spans="1:8" ht="13.5" x14ac:dyDescent="0.25">
      <c r="A1379" s="1"/>
      <c r="B1379" s="3">
        <v>44314</v>
      </c>
      <c r="C1379" s="4">
        <v>103</v>
      </c>
      <c r="D1379" s="4">
        <v>76.374799999999993</v>
      </c>
      <c r="E1379" s="4">
        <v>12</v>
      </c>
      <c r="F1379" s="4">
        <v>103</v>
      </c>
      <c r="G1379" s="4">
        <v>1236</v>
      </c>
      <c r="H1379" s="5">
        <f t="shared" si="21"/>
        <v>-9.8190287540534779E-5</v>
      </c>
    </row>
    <row r="1380" spans="1:8" ht="13.5" x14ac:dyDescent="0.25">
      <c r="A1380" s="1"/>
      <c r="B1380" s="3">
        <v>44315</v>
      </c>
      <c r="C1380" s="4">
        <v>100.01</v>
      </c>
      <c r="D1380" s="4">
        <v>74.157700000000006</v>
      </c>
      <c r="E1380" s="4">
        <v>46</v>
      </c>
      <c r="F1380" s="4">
        <v>100.01</v>
      </c>
      <c r="G1380" s="4">
        <v>4600.46</v>
      </c>
      <c r="H1380" s="5">
        <f t="shared" si="21"/>
        <v>-2.9029208587125439E-2</v>
      </c>
    </row>
    <row r="1381" spans="1:8" ht="13.5" x14ac:dyDescent="0.25">
      <c r="A1381" s="1"/>
      <c r="B1381" s="3">
        <v>44316</v>
      </c>
      <c r="C1381" s="4">
        <v>103.05</v>
      </c>
      <c r="D1381" s="4">
        <v>76.411900000000003</v>
      </c>
      <c r="E1381" s="4">
        <v>28</v>
      </c>
      <c r="F1381" s="4">
        <v>103.01430000000001</v>
      </c>
      <c r="G1381" s="4">
        <v>2884.4004</v>
      </c>
      <c r="H1381" s="5">
        <f t="shared" si="21"/>
        <v>3.0397382874603678E-2</v>
      </c>
    </row>
    <row r="1382" spans="1:8" ht="13.5" x14ac:dyDescent="0.25">
      <c r="A1382" s="1"/>
      <c r="B1382" s="3">
        <v>44319</v>
      </c>
      <c r="C1382" s="4">
        <v>106.15</v>
      </c>
      <c r="D1382" s="4">
        <v>78.710599999999999</v>
      </c>
      <c r="E1382" s="4">
        <v>63</v>
      </c>
      <c r="F1382" s="4">
        <v>106.14919999999999</v>
      </c>
      <c r="G1382" s="4">
        <v>6687.3995999999997</v>
      </c>
      <c r="H1382" s="5">
        <f t="shared" si="21"/>
        <v>3.0083010630543104E-2</v>
      </c>
    </row>
    <row r="1383" spans="1:8" ht="13.5" x14ac:dyDescent="0.25">
      <c r="A1383" s="1"/>
      <c r="B1383" s="3">
        <v>44320</v>
      </c>
      <c r="C1383" s="4">
        <v>109.33</v>
      </c>
      <c r="D1383" s="4">
        <v>81.068600000000004</v>
      </c>
      <c r="E1383" s="4">
        <v>90</v>
      </c>
      <c r="F1383" s="4">
        <v>109.33</v>
      </c>
      <c r="G1383" s="4">
        <v>9839.7000000000007</v>
      </c>
      <c r="H1383" s="5">
        <f t="shared" si="21"/>
        <v>2.9957845576072398E-2</v>
      </c>
    </row>
    <row r="1384" spans="1:8" ht="13.5" x14ac:dyDescent="0.25">
      <c r="A1384" s="1"/>
      <c r="B1384" s="3">
        <v>44321</v>
      </c>
      <c r="C1384" s="4">
        <v>115</v>
      </c>
      <c r="D1384" s="4">
        <v>85.272900000000007</v>
      </c>
      <c r="E1384" s="4">
        <v>306</v>
      </c>
      <c r="F1384" s="4">
        <v>114.96850000000001</v>
      </c>
      <c r="G1384" s="4">
        <v>35180.360999999997</v>
      </c>
      <c r="H1384" s="5">
        <f t="shared" si="21"/>
        <v>5.1861016472469039E-2</v>
      </c>
    </row>
    <row r="1385" spans="1:8" ht="13.5" x14ac:dyDescent="0.25">
      <c r="A1385" s="1"/>
      <c r="B1385" s="3">
        <v>44322</v>
      </c>
      <c r="C1385" s="4">
        <v>118.4</v>
      </c>
      <c r="D1385" s="4">
        <v>87.793999999999997</v>
      </c>
      <c r="E1385" s="4">
        <v>321</v>
      </c>
      <c r="F1385" s="4">
        <v>118.18819999999999</v>
      </c>
      <c r="G1385" s="4">
        <v>37938.412199999999</v>
      </c>
      <c r="H1385" s="5">
        <f t="shared" si="21"/>
        <v>2.9565078706130433E-2</v>
      </c>
    </row>
    <row r="1386" spans="1:8" ht="13.5" x14ac:dyDescent="0.25">
      <c r="A1386" s="1"/>
      <c r="B1386" s="3">
        <v>44323</v>
      </c>
      <c r="C1386" s="4">
        <v>118.4</v>
      </c>
      <c r="D1386" s="4">
        <v>87.793999999999997</v>
      </c>
      <c r="E1386" s="4">
        <v>50</v>
      </c>
      <c r="F1386" s="4">
        <v>118.4</v>
      </c>
      <c r="G1386" s="4">
        <v>5920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118</v>
      </c>
      <c r="D1387" s="4">
        <v>87.497399999999999</v>
      </c>
      <c r="E1387" s="4">
        <v>205</v>
      </c>
      <c r="F1387" s="4">
        <v>118</v>
      </c>
      <c r="G1387" s="4">
        <v>24190</v>
      </c>
      <c r="H1387" s="5">
        <f t="shared" si="21"/>
        <v>-3.3783629860810304E-3</v>
      </c>
    </row>
    <row r="1388" spans="1:8" ht="13.5" x14ac:dyDescent="0.25">
      <c r="A1388" s="1"/>
      <c r="B1388" s="3">
        <v>44327</v>
      </c>
      <c r="C1388" s="4">
        <v>115.7</v>
      </c>
      <c r="D1388" s="4">
        <v>85.791899999999998</v>
      </c>
      <c r="E1388" s="4">
        <v>81</v>
      </c>
      <c r="F1388" s="4">
        <v>115.7</v>
      </c>
      <c r="G1388" s="4">
        <v>9371.7000000000007</v>
      </c>
      <c r="H1388" s="5">
        <f t="shared" si="21"/>
        <v>-1.9492007762516379E-2</v>
      </c>
    </row>
    <row r="1389" spans="1:8" ht="13.5" x14ac:dyDescent="0.25">
      <c r="A1389" s="1"/>
      <c r="B1389" s="3">
        <v>44333</v>
      </c>
      <c r="C1389" s="4">
        <v>119.17</v>
      </c>
      <c r="D1389" s="4">
        <v>88.364900000000006</v>
      </c>
      <c r="E1389" s="4">
        <v>5</v>
      </c>
      <c r="F1389" s="4">
        <v>119.17</v>
      </c>
      <c r="G1389" s="4">
        <v>595.85</v>
      </c>
      <c r="H1389" s="5">
        <f t="shared" si="21"/>
        <v>2.9991176323172788E-2</v>
      </c>
    </row>
    <row r="1390" spans="1:8" ht="13.5" x14ac:dyDescent="0.25">
      <c r="A1390" s="1"/>
      <c r="B1390" s="3">
        <v>44334</v>
      </c>
      <c r="C1390" s="4">
        <v>119</v>
      </c>
      <c r="D1390" s="4">
        <v>88.238900000000001</v>
      </c>
      <c r="E1390" s="4">
        <v>2</v>
      </c>
      <c r="F1390" s="4">
        <v>119</v>
      </c>
      <c r="G1390" s="4">
        <v>238</v>
      </c>
      <c r="H1390" s="5">
        <f t="shared" si="21"/>
        <v>-1.4259055348900386E-3</v>
      </c>
    </row>
    <row r="1391" spans="1:8" ht="13.5" x14ac:dyDescent="0.25">
      <c r="A1391" s="1"/>
      <c r="B1391" s="3">
        <v>44335</v>
      </c>
      <c r="C1391" s="4">
        <v>115.82</v>
      </c>
      <c r="D1391" s="4">
        <v>85.880899999999997</v>
      </c>
      <c r="E1391" s="4">
        <v>71</v>
      </c>
      <c r="F1391" s="4">
        <v>115.86199999999999</v>
      </c>
      <c r="G1391" s="4">
        <v>8226.2019999999993</v>
      </c>
      <c r="H1391" s="5">
        <f t="shared" si="21"/>
        <v>-2.6722907923829559E-2</v>
      </c>
    </row>
    <row r="1392" spans="1:8" ht="13.5" x14ac:dyDescent="0.25">
      <c r="A1392" s="1"/>
      <c r="B1392" s="3">
        <v>44336</v>
      </c>
      <c r="C1392" s="4">
        <v>111</v>
      </c>
      <c r="D1392" s="4">
        <v>82.306899999999999</v>
      </c>
      <c r="E1392" s="4">
        <v>212</v>
      </c>
      <c r="F1392" s="4">
        <v>112.34139999999999</v>
      </c>
      <c r="G1392" s="4">
        <v>23816.376799999998</v>
      </c>
      <c r="H1392" s="5">
        <f t="shared" si="21"/>
        <v>-4.16157725408094E-2</v>
      </c>
    </row>
    <row r="1393" spans="1:8" ht="13.5" x14ac:dyDescent="0.25">
      <c r="A1393" s="1"/>
      <c r="B1393" s="3">
        <v>44337</v>
      </c>
      <c r="C1393" s="4">
        <v>115.8</v>
      </c>
      <c r="D1393" s="4">
        <v>85.866100000000003</v>
      </c>
      <c r="E1393" s="4">
        <v>6</v>
      </c>
      <c r="F1393" s="4">
        <v>115.8</v>
      </c>
      <c r="G1393" s="4">
        <v>694.8</v>
      </c>
      <c r="H1393" s="5">
        <f t="shared" si="21"/>
        <v>4.3243033087140982E-2</v>
      </c>
    </row>
    <row r="1394" spans="1:8" ht="13.5" x14ac:dyDescent="0.25">
      <c r="A1394" s="1"/>
      <c r="B1394" s="3">
        <v>44340</v>
      </c>
      <c r="C1394" s="4">
        <v>114</v>
      </c>
      <c r="D1394" s="4">
        <v>84.531400000000005</v>
      </c>
      <c r="E1394" s="4">
        <v>16</v>
      </c>
      <c r="F1394" s="4">
        <v>114</v>
      </c>
      <c r="G1394" s="4">
        <v>1824</v>
      </c>
      <c r="H1394" s="5">
        <f t="shared" si="21"/>
        <v>-1.5543969040168332E-2</v>
      </c>
    </row>
    <row r="1395" spans="1:8" ht="13.5" x14ac:dyDescent="0.25">
      <c r="A1395" s="1"/>
      <c r="B1395" s="3">
        <v>44341</v>
      </c>
      <c r="C1395" s="4">
        <v>115</v>
      </c>
      <c r="D1395" s="4">
        <v>85.272900000000007</v>
      </c>
      <c r="E1395" s="4">
        <v>22</v>
      </c>
      <c r="F1395" s="4">
        <v>115</v>
      </c>
      <c r="G1395" s="4">
        <v>2530</v>
      </c>
      <c r="H1395" s="5">
        <f t="shared" si="21"/>
        <v>8.7718883160577254E-3</v>
      </c>
    </row>
    <row r="1396" spans="1:8" ht="13.5" x14ac:dyDescent="0.25">
      <c r="A1396" s="1"/>
      <c r="B1396" s="3">
        <v>44342</v>
      </c>
      <c r="C1396" s="4">
        <v>118.45</v>
      </c>
      <c r="D1396" s="4">
        <v>87.831100000000006</v>
      </c>
      <c r="E1396" s="4">
        <v>114</v>
      </c>
      <c r="F1396" s="4">
        <v>118.2316</v>
      </c>
      <c r="G1396" s="4">
        <v>13478.402400000001</v>
      </c>
      <c r="H1396" s="5">
        <f t="shared" si="21"/>
        <v>3.0000152451716774E-2</v>
      </c>
    </row>
    <row r="1397" spans="1:8" ht="13.5" x14ac:dyDescent="0.25">
      <c r="A1397" s="1"/>
      <c r="B1397" s="3">
        <v>44343</v>
      </c>
      <c r="C1397" s="4">
        <v>119.97</v>
      </c>
      <c r="D1397" s="4">
        <v>88.958100000000002</v>
      </c>
      <c r="E1397" s="4">
        <v>6</v>
      </c>
      <c r="F1397" s="4">
        <v>119.97329999999999</v>
      </c>
      <c r="G1397" s="4">
        <v>719.83979999999997</v>
      </c>
      <c r="H1397" s="5">
        <f t="shared" si="21"/>
        <v>1.2831445809058468E-2</v>
      </c>
    </row>
    <row r="1398" spans="1:8" ht="13.5" x14ac:dyDescent="0.25">
      <c r="A1398" s="1"/>
      <c r="B1398" s="3">
        <v>44344</v>
      </c>
      <c r="C1398" s="4">
        <v>119.96</v>
      </c>
      <c r="D1398" s="4">
        <v>88.950699999999998</v>
      </c>
      <c r="E1398" s="4">
        <v>8</v>
      </c>
      <c r="F1398" s="4">
        <v>119.96</v>
      </c>
      <c r="G1398" s="4">
        <v>959.68</v>
      </c>
      <c r="H1398" s="5">
        <f t="shared" si="21"/>
        <v>-8.318522990041458E-5</v>
      </c>
    </row>
    <row r="1399" spans="1:8" ht="13.5" x14ac:dyDescent="0.25">
      <c r="A1399" s="1"/>
      <c r="B1399" s="3">
        <v>44347</v>
      </c>
      <c r="C1399" s="4">
        <v>116.51</v>
      </c>
      <c r="D1399" s="4">
        <v>86.392499999999998</v>
      </c>
      <c r="E1399" s="4">
        <v>51</v>
      </c>
      <c r="F1399" s="4">
        <v>116.5051</v>
      </c>
      <c r="G1399" s="4">
        <v>5941.7601000000004</v>
      </c>
      <c r="H1399" s="5">
        <f t="shared" si="21"/>
        <v>-2.8759751188017626E-2</v>
      </c>
    </row>
    <row r="1400" spans="1:8" ht="13.5" x14ac:dyDescent="0.25">
      <c r="A1400" s="1"/>
      <c r="B1400" s="3">
        <v>44348</v>
      </c>
      <c r="C1400" s="4">
        <v>119.97</v>
      </c>
      <c r="D1400" s="4">
        <v>88.958100000000002</v>
      </c>
      <c r="E1400" s="4">
        <v>26</v>
      </c>
      <c r="F1400" s="4">
        <v>116.6431</v>
      </c>
      <c r="G1400" s="4">
        <v>3032.7206000000001</v>
      </c>
      <c r="H1400" s="5">
        <f t="shared" si="21"/>
        <v>2.9697022310964535E-2</v>
      </c>
    </row>
    <row r="1401" spans="1:8" ht="13.5" x14ac:dyDescent="0.25">
      <c r="A1401" s="1"/>
      <c r="B1401" s="3">
        <v>44349</v>
      </c>
      <c r="C1401" s="4">
        <v>116.52</v>
      </c>
      <c r="D1401" s="4">
        <v>86.4</v>
      </c>
      <c r="E1401" s="4">
        <v>73</v>
      </c>
      <c r="F1401" s="4">
        <v>116.5673</v>
      </c>
      <c r="G1401" s="4">
        <v>8509.4128999999994</v>
      </c>
      <c r="H1401" s="5">
        <f t="shared" si="21"/>
        <v>-2.8756234676774753E-2</v>
      </c>
    </row>
    <row r="1402" spans="1:8" ht="13.5" x14ac:dyDescent="0.25">
      <c r="A1402" s="1"/>
      <c r="B1402" s="3">
        <v>44350</v>
      </c>
      <c r="C1402" s="4">
        <v>116.8</v>
      </c>
      <c r="D1402" s="4">
        <v>86.607600000000005</v>
      </c>
      <c r="E1402" s="4">
        <v>110</v>
      </c>
      <c r="F1402" s="4">
        <v>116.81910000000001</v>
      </c>
      <c r="G1402" s="4">
        <v>12850.101000000001</v>
      </c>
      <c r="H1402" s="5">
        <f t="shared" si="21"/>
        <v>2.4027777777777702E-3</v>
      </c>
    </row>
    <row r="1403" spans="1:8" ht="13.5" x14ac:dyDescent="0.25">
      <c r="A1403" s="1"/>
      <c r="B1403" s="3">
        <v>44351</v>
      </c>
      <c r="C1403" s="4">
        <v>117.8</v>
      </c>
      <c r="D1403" s="4">
        <v>87.349100000000007</v>
      </c>
      <c r="E1403" s="4">
        <v>60</v>
      </c>
      <c r="F1403" s="4">
        <v>117.7993</v>
      </c>
      <c r="G1403" s="4">
        <v>7067.9579999999996</v>
      </c>
      <c r="H1403" s="5">
        <f t="shared" si="21"/>
        <v>8.5616042933876705E-3</v>
      </c>
    </row>
    <row r="1404" spans="1:8" ht="13.5" x14ac:dyDescent="0.25">
      <c r="A1404" s="1"/>
      <c r="B1404" s="3">
        <v>44354</v>
      </c>
      <c r="C1404" s="4">
        <v>116.51</v>
      </c>
      <c r="D1404" s="4">
        <v>86.392499999999998</v>
      </c>
      <c r="E1404" s="4">
        <v>26</v>
      </c>
      <c r="F1404" s="4">
        <v>116.9038</v>
      </c>
      <c r="G1404" s="4">
        <v>3039.4987999999998</v>
      </c>
      <c r="H1404" s="5">
        <f t="shared" si="21"/>
        <v>-1.0951458000139769E-2</v>
      </c>
    </row>
    <row r="1405" spans="1:8" ht="13.5" x14ac:dyDescent="0.25">
      <c r="A1405" s="1"/>
      <c r="B1405" s="3">
        <v>44355</v>
      </c>
      <c r="C1405" s="4">
        <v>116.1</v>
      </c>
      <c r="D1405" s="4">
        <v>86.088499999999996</v>
      </c>
      <c r="E1405" s="4">
        <v>1</v>
      </c>
      <c r="F1405" s="4">
        <v>116.1</v>
      </c>
      <c r="G1405" s="4">
        <v>116.1</v>
      </c>
      <c r="H1405" s="5">
        <f t="shared" si="21"/>
        <v>-3.5188239719883331E-3</v>
      </c>
    </row>
    <row r="1406" spans="1:8" ht="13.5" x14ac:dyDescent="0.25">
      <c r="A1406" s="1"/>
      <c r="B1406" s="3">
        <v>44356</v>
      </c>
      <c r="C1406" s="4">
        <v>116</v>
      </c>
      <c r="D1406" s="4">
        <v>86.014399999999995</v>
      </c>
      <c r="E1406" s="4">
        <v>82</v>
      </c>
      <c r="F1406" s="4">
        <v>115.3659</v>
      </c>
      <c r="G1406" s="4">
        <v>9460.0038000000004</v>
      </c>
      <c r="H1406" s="5">
        <f t="shared" si="21"/>
        <v>-8.6074214325956877E-4</v>
      </c>
    </row>
    <row r="1407" spans="1:8" ht="13.5" x14ac:dyDescent="0.25">
      <c r="A1407" s="1"/>
      <c r="B1407" s="3">
        <v>44357</v>
      </c>
      <c r="C1407" s="4">
        <v>116</v>
      </c>
      <c r="D1407" s="4">
        <v>86.014399999999995</v>
      </c>
      <c r="E1407" s="4">
        <v>230</v>
      </c>
      <c r="F1407" s="4">
        <v>116</v>
      </c>
      <c r="G1407" s="4">
        <v>26680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115.95</v>
      </c>
      <c r="D1408" s="4">
        <v>85.9773</v>
      </c>
      <c r="E1408" s="4">
        <v>30</v>
      </c>
      <c r="F1408" s="4">
        <v>115.95</v>
      </c>
      <c r="G1408" s="4">
        <v>3478.5</v>
      </c>
      <c r="H1408" s="5">
        <f t="shared" si="21"/>
        <v>-4.3132312729025896E-4</v>
      </c>
    </row>
    <row r="1409" spans="1:8" ht="13.5" x14ac:dyDescent="0.25">
      <c r="A1409" s="1"/>
      <c r="B1409" s="3">
        <v>44361</v>
      </c>
      <c r="C1409" s="4">
        <v>115</v>
      </c>
      <c r="D1409" s="4">
        <v>85.272900000000007</v>
      </c>
      <c r="E1409" s="4">
        <v>85</v>
      </c>
      <c r="F1409" s="4">
        <v>115.76</v>
      </c>
      <c r="G1409" s="4">
        <v>9839.6</v>
      </c>
      <c r="H1409" s="5">
        <f t="shared" si="21"/>
        <v>-8.1928602084502845E-3</v>
      </c>
    </row>
    <row r="1410" spans="1:8" ht="13.5" x14ac:dyDescent="0.25">
      <c r="A1410" s="1"/>
      <c r="B1410" s="3">
        <v>44362</v>
      </c>
      <c r="C1410" s="4">
        <v>115.2</v>
      </c>
      <c r="D1410" s="4">
        <v>85.421199999999999</v>
      </c>
      <c r="E1410" s="4">
        <v>8</v>
      </c>
      <c r="F1410" s="4">
        <v>115.2</v>
      </c>
      <c r="G1410" s="4">
        <v>921.6</v>
      </c>
      <c r="H1410" s="5">
        <f t="shared" si="21"/>
        <v>1.7391222768311137E-3</v>
      </c>
    </row>
    <row r="1411" spans="1:8" ht="13.5" x14ac:dyDescent="0.25">
      <c r="A1411" s="1"/>
      <c r="B1411" s="3">
        <v>44363</v>
      </c>
      <c r="C1411" s="4">
        <v>115.1</v>
      </c>
      <c r="D1411" s="4">
        <v>85.346999999999994</v>
      </c>
      <c r="E1411" s="4">
        <v>58</v>
      </c>
      <c r="F1411" s="4">
        <v>115.1</v>
      </c>
      <c r="G1411" s="4">
        <v>6675.8</v>
      </c>
      <c r="H1411" s="5">
        <f t="shared" si="21"/>
        <v>-8.6863682551877877E-4</v>
      </c>
    </row>
    <row r="1412" spans="1:8" ht="13.5" x14ac:dyDescent="0.25">
      <c r="A1412" s="1"/>
      <c r="B1412" s="3">
        <v>44364</v>
      </c>
      <c r="C1412" s="4">
        <v>115.1</v>
      </c>
      <c r="D1412" s="4">
        <v>85.346999999999994</v>
      </c>
      <c r="E1412" s="4">
        <v>10</v>
      </c>
      <c r="F1412" s="4">
        <v>115.1</v>
      </c>
      <c r="G1412" s="4">
        <v>1151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115.1</v>
      </c>
      <c r="D1413" s="4">
        <v>85.346999999999994</v>
      </c>
      <c r="E1413" s="4">
        <v>179</v>
      </c>
      <c r="F1413" s="4">
        <v>115.1223</v>
      </c>
      <c r="G1413" s="4">
        <v>20606.8917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115.09</v>
      </c>
      <c r="D1414" s="4">
        <v>85.339600000000004</v>
      </c>
      <c r="E1414" s="4">
        <v>41</v>
      </c>
      <c r="F1414" s="4">
        <v>115.0954</v>
      </c>
      <c r="G1414" s="4">
        <v>4718.9114</v>
      </c>
      <c r="H1414" s="5">
        <f t="shared" si="21"/>
        <v>-8.6704863674058366E-5</v>
      </c>
    </row>
    <row r="1415" spans="1:8" ht="13.5" x14ac:dyDescent="0.25">
      <c r="A1415" s="1"/>
      <c r="B1415" s="3">
        <v>44369</v>
      </c>
      <c r="C1415" s="4">
        <v>115.09</v>
      </c>
      <c r="D1415" s="4">
        <v>85.339600000000004</v>
      </c>
      <c r="E1415" s="4">
        <v>1</v>
      </c>
      <c r="F1415" s="4">
        <v>115.09</v>
      </c>
      <c r="G1415" s="4">
        <v>115.09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115.09</v>
      </c>
      <c r="D1416" s="4">
        <v>85.339600000000004</v>
      </c>
      <c r="E1416" s="4">
        <v>2</v>
      </c>
      <c r="F1416" s="4">
        <v>115.09</v>
      </c>
      <c r="G1416" s="4">
        <v>230.18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115.09</v>
      </c>
      <c r="D1417" s="4">
        <v>85.339600000000004</v>
      </c>
      <c r="E1417" s="4">
        <v>2</v>
      </c>
      <c r="F1417" s="4">
        <v>115.09</v>
      </c>
      <c r="G1417" s="4">
        <v>230.18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114.5</v>
      </c>
      <c r="D1418" s="4">
        <v>84.902100000000004</v>
      </c>
      <c r="E1418" s="4">
        <v>186</v>
      </c>
      <c r="F1418" s="4">
        <v>114.59520000000001</v>
      </c>
      <c r="G1418" s="4">
        <v>21314.707200000001</v>
      </c>
      <c r="H1418" s="5">
        <f t="shared" si="22"/>
        <v>-5.1265766420278509E-3</v>
      </c>
    </row>
    <row r="1419" spans="1:8" ht="13.5" x14ac:dyDescent="0.25">
      <c r="A1419" s="1"/>
      <c r="B1419" s="3">
        <v>44375</v>
      </c>
      <c r="C1419" s="4">
        <v>114.5</v>
      </c>
      <c r="D1419" s="4">
        <v>84.902100000000004</v>
      </c>
      <c r="E1419" s="4">
        <v>94</v>
      </c>
      <c r="F1419" s="4">
        <v>114.5</v>
      </c>
      <c r="G1419" s="4">
        <v>10763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113.5</v>
      </c>
      <c r="D1420" s="4">
        <v>84.160600000000002</v>
      </c>
      <c r="E1420" s="4">
        <v>199</v>
      </c>
      <c r="F1420" s="4">
        <v>113.5</v>
      </c>
      <c r="G1420" s="4">
        <v>22586.5</v>
      </c>
      <c r="H1420" s="5">
        <f t="shared" si="22"/>
        <v>-8.7335884506979447E-3</v>
      </c>
    </row>
    <row r="1421" spans="1:8" ht="13.5" x14ac:dyDescent="0.25">
      <c r="A1421" s="1"/>
      <c r="B1421" s="3">
        <v>44377</v>
      </c>
      <c r="C1421" s="4">
        <v>114</v>
      </c>
      <c r="D1421" s="4">
        <v>84.531400000000005</v>
      </c>
      <c r="E1421" s="4">
        <v>311</v>
      </c>
      <c r="F1421" s="4">
        <v>113.77970000000001</v>
      </c>
      <c r="G1421" s="4">
        <v>35385.486700000001</v>
      </c>
      <c r="H1421" s="5">
        <f t="shared" si="22"/>
        <v>4.4058621255076919E-3</v>
      </c>
    </row>
    <row r="1422" spans="1:8" ht="13.5" x14ac:dyDescent="0.25">
      <c r="A1422" s="1"/>
      <c r="B1422" s="3">
        <v>44378</v>
      </c>
      <c r="C1422" s="4">
        <v>114</v>
      </c>
      <c r="D1422" s="4">
        <v>84.531400000000005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117</v>
      </c>
      <c r="D1423" s="4">
        <v>86.755899999999997</v>
      </c>
      <c r="E1423" s="4">
        <v>5</v>
      </c>
      <c r="F1423" s="4">
        <v>117</v>
      </c>
      <c r="G1423" s="4">
        <v>585</v>
      </c>
      <c r="H1423" s="5">
        <f t="shared" si="22"/>
        <v>2.6315664948173008E-2</v>
      </c>
    </row>
    <row r="1424" spans="1:8" ht="13.5" x14ac:dyDescent="0.25">
      <c r="A1424" s="1"/>
      <c r="B1424" s="3">
        <v>44382</v>
      </c>
      <c r="C1424" s="4">
        <v>117</v>
      </c>
      <c r="D1424" s="4">
        <v>86.755899999999997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117</v>
      </c>
      <c r="D1425" s="4">
        <v>86.755899999999997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116.8</v>
      </c>
      <c r="D1426" s="4">
        <v>86.607600000000005</v>
      </c>
      <c r="E1426" s="4">
        <v>3</v>
      </c>
      <c r="F1426" s="4">
        <v>116.8</v>
      </c>
      <c r="G1426" s="4">
        <v>350.4</v>
      </c>
      <c r="H1426" s="5">
        <f t="shared" si="22"/>
        <v>-1.7093938279701079E-3</v>
      </c>
    </row>
    <row r="1427" spans="1:8" ht="13.5" x14ac:dyDescent="0.25">
      <c r="A1427" s="1"/>
      <c r="B1427" s="3">
        <v>44385</v>
      </c>
      <c r="C1427" s="4">
        <v>116.8</v>
      </c>
      <c r="D1427" s="4">
        <v>86.607600000000005</v>
      </c>
      <c r="E1427" s="4">
        <v>5</v>
      </c>
      <c r="F1427" s="4">
        <v>116.8</v>
      </c>
      <c r="G1427" s="4">
        <v>584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117</v>
      </c>
      <c r="D1428" s="4">
        <v>86.755899999999997</v>
      </c>
      <c r="E1428" s="4">
        <v>172</v>
      </c>
      <c r="F1428" s="4">
        <v>117</v>
      </c>
      <c r="G1428" s="4">
        <v>20124</v>
      </c>
      <c r="H1428" s="5">
        <f t="shared" si="22"/>
        <v>1.7123208586774356E-3</v>
      </c>
    </row>
    <row r="1429" spans="1:8" ht="13.5" x14ac:dyDescent="0.25">
      <c r="A1429" s="1"/>
      <c r="B1429" s="3">
        <v>44389</v>
      </c>
      <c r="C1429" s="4">
        <v>117</v>
      </c>
      <c r="D1429" s="4">
        <v>86.755899999999997</v>
      </c>
      <c r="E1429" s="4">
        <v>60</v>
      </c>
      <c r="F1429" s="4">
        <v>117</v>
      </c>
      <c r="G1429" s="4">
        <v>7020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117</v>
      </c>
      <c r="D1430" s="4">
        <v>86.755899999999997</v>
      </c>
      <c r="E1430" s="4">
        <v>1</v>
      </c>
      <c r="F1430" s="4">
        <v>117</v>
      </c>
      <c r="G1430" s="4">
        <v>117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114.5</v>
      </c>
      <c r="D1431" s="4">
        <v>84.902100000000004</v>
      </c>
      <c r="E1431" s="4">
        <v>1</v>
      </c>
      <c r="F1431" s="4">
        <v>114.5</v>
      </c>
      <c r="G1431" s="4">
        <v>114.5</v>
      </c>
      <c r="H1431" s="5">
        <f t="shared" si="22"/>
        <v>-2.1367999179306454E-2</v>
      </c>
    </row>
    <row r="1432" spans="1:8" ht="13.5" x14ac:dyDescent="0.25">
      <c r="A1432" s="1"/>
      <c r="B1432" s="3">
        <v>44392</v>
      </c>
      <c r="C1432" s="4">
        <v>113.1</v>
      </c>
      <c r="D1432" s="4">
        <v>87.222099999999998</v>
      </c>
      <c r="E1432" s="4">
        <v>18</v>
      </c>
      <c r="F1432" s="4">
        <v>113.1</v>
      </c>
      <c r="G1432" s="4">
        <v>2035.8</v>
      </c>
      <c r="H1432" s="5">
        <f t="shared" si="22"/>
        <v>2.7325590297530841E-2</v>
      </c>
    </row>
    <row r="1433" spans="1:8" ht="13.5" x14ac:dyDescent="0.25">
      <c r="A1433" s="1"/>
      <c r="B1433" s="3">
        <v>44393</v>
      </c>
      <c r="C1433" s="4">
        <v>115.8</v>
      </c>
      <c r="D1433" s="4">
        <v>89.304299999999998</v>
      </c>
      <c r="E1433" s="4">
        <v>59</v>
      </c>
      <c r="F1433" s="4">
        <v>113.7864</v>
      </c>
      <c r="G1433" s="4">
        <v>6713.3976000000002</v>
      </c>
      <c r="H1433" s="5">
        <f t="shared" si="22"/>
        <v>2.3872390139654975E-2</v>
      </c>
    </row>
    <row r="1434" spans="1:8" ht="13.5" x14ac:dyDescent="0.25">
      <c r="A1434" s="1"/>
      <c r="B1434" s="3">
        <v>44396</v>
      </c>
      <c r="C1434" s="4">
        <v>115.7</v>
      </c>
      <c r="D1434" s="4">
        <v>89.227199999999996</v>
      </c>
      <c r="E1434" s="4">
        <v>51</v>
      </c>
      <c r="F1434" s="4">
        <v>115.7</v>
      </c>
      <c r="G1434" s="4">
        <v>5900.7</v>
      </c>
      <c r="H1434" s="5">
        <f t="shared" si="22"/>
        <v>-8.6334028708585702E-4</v>
      </c>
    </row>
    <row r="1435" spans="1:8" ht="13.5" x14ac:dyDescent="0.25">
      <c r="A1435" s="1"/>
      <c r="B1435" s="3">
        <v>44399</v>
      </c>
      <c r="C1435" s="4">
        <v>119</v>
      </c>
      <c r="D1435" s="4">
        <v>91.772099999999995</v>
      </c>
      <c r="E1435" s="4">
        <v>2</v>
      </c>
      <c r="F1435" s="4">
        <v>119</v>
      </c>
      <c r="G1435" s="4">
        <v>238</v>
      </c>
      <c r="H1435" s="5">
        <f t="shared" si="22"/>
        <v>2.8521571897358634E-2</v>
      </c>
    </row>
    <row r="1436" spans="1:8" ht="13.5" x14ac:dyDescent="0.25">
      <c r="A1436" s="1"/>
      <c r="B1436" s="3">
        <v>44400</v>
      </c>
      <c r="C1436" s="4">
        <v>119</v>
      </c>
      <c r="D1436" s="4">
        <v>91.772099999999995</v>
      </c>
      <c r="E1436" s="4">
        <v>2</v>
      </c>
      <c r="F1436" s="4">
        <v>119</v>
      </c>
      <c r="G1436" s="4">
        <v>238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118.4</v>
      </c>
      <c r="D1437" s="4">
        <v>91.309399999999997</v>
      </c>
      <c r="E1437" s="4">
        <v>5</v>
      </c>
      <c r="F1437" s="4">
        <v>118.4</v>
      </c>
      <c r="G1437" s="4">
        <v>592</v>
      </c>
      <c r="H1437" s="5">
        <f t="shared" si="22"/>
        <v>-5.0418373340045414E-3</v>
      </c>
    </row>
    <row r="1438" spans="1:8" ht="13.5" x14ac:dyDescent="0.25">
      <c r="A1438" s="1"/>
      <c r="B1438" s="3">
        <v>44404</v>
      </c>
      <c r="C1438" s="4">
        <v>118.4</v>
      </c>
      <c r="D1438" s="4">
        <v>91.309399999999997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117</v>
      </c>
      <c r="D1439" s="4">
        <v>90.229699999999994</v>
      </c>
      <c r="E1439" s="4">
        <v>30</v>
      </c>
      <c r="F1439" s="4">
        <v>117</v>
      </c>
      <c r="G1439" s="4">
        <v>3510</v>
      </c>
      <c r="H1439" s="5">
        <f t="shared" si="22"/>
        <v>-1.1824631418013945E-2</v>
      </c>
    </row>
    <row r="1440" spans="1:8" ht="13.5" x14ac:dyDescent="0.25">
      <c r="A1440" s="1"/>
      <c r="B1440" s="3">
        <v>44406</v>
      </c>
      <c r="C1440" s="4">
        <v>117</v>
      </c>
      <c r="D1440" s="4">
        <v>90.229699999999994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114.94</v>
      </c>
      <c r="D1441" s="4">
        <v>88.641099999999994</v>
      </c>
      <c r="E1441" s="4">
        <v>128</v>
      </c>
      <c r="F1441" s="4">
        <v>114.9414</v>
      </c>
      <c r="G1441" s="4">
        <v>14712.4992</v>
      </c>
      <c r="H1441" s="5">
        <f t="shared" si="22"/>
        <v>-1.7606176236871003E-2</v>
      </c>
    </row>
    <row r="1442" spans="1:8" ht="13.5" x14ac:dyDescent="0.25">
      <c r="A1442" s="1"/>
      <c r="B1442" s="3">
        <v>44410</v>
      </c>
      <c r="C1442" s="4">
        <v>114.94</v>
      </c>
      <c r="D1442" s="4">
        <v>88.641099999999994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114</v>
      </c>
      <c r="D1443" s="4">
        <v>87.9161</v>
      </c>
      <c r="E1443" s="4">
        <v>10</v>
      </c>
      <c r="F1443" s="4">
        <v>114</v>
      </c>
      <c r="G1443" s="4">
        <v>1140</v>
      </c>
      <c r="H1443" s="5">
        <f t="shared" si="22"/>
        <v>-8.1790501246035343E-3</v>
      </c>
    </row>
    <row r="1444" spans="1:8" ht="13.5" x14ac:dyDescent="0.25">
      <c r="A1444" s="1"/>
      <c r="B1444" s="3">
        <v>44412</v>
      </c>
      <c r="C1444" s="4">
        <v>114</v>
      </c>
      <c r="D1444" s="4">
        <v>87.9161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110.6</v>
      </c>
      <c r="D1445" s="4">
        <v>85.2941</v>
      </c>
      <c r="E1445" s="4">
        <v>84</v>
      </c>
      <c r="F1445" s="4">
        <v>110.6</v>
      </c>
      <c r="G1445" s="4">
        <v>9290.4</v>
      </c>
      <c r="H1445" s="5">
        <f t="shared" si="22"/>
        <v>-2.9823888912269766E-2</v>
      </c>
    </row>
    <row r="1446" spans="1:8" ht="13.5" x14ac:dyDescent="0.25">
      <c r="A1446" s="1"/>
      <c r="B1446" s="3">
        <v>44414</v>
      </c>
      <c r="C1446" s="4">
        <v>110.6</v>
      </c>
      <c r="D1446" s="4">
        <v>85.2941</v>
      </c>
      <c r="E1446" s="4">
        <v>0</v>
      </c>
      <c r="F1446" s="4">
        <v>0</v>
      </c>
      <c r="G1446" s="4">
        <v>0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112.99</v>
      </c>
      <c r="D1447" s="4">
        <v>87.137200000000007</v>
      </c>
      <c r="E1447" s="4">
        <v>10</v>
      </c>
      <c r="F1447" s="4">
        <v>112.99</v>
      </c>
      <c r="G1447" s="4">
        <v>1129.9000000000001</v>
      </c>
      <c r="H1447" s="5">
        <f t="shared" si="22"/>
        <v>2.1608763091468305E-2</v>
      </c>
    </row>
    <row r="1448" spans="1:8" ht="13.5" x14ac:dyDescent="0.25">
      <c r="A1448" s="1"/>
      <c r="B1448" s="3">
        <v>44419</v>
      </c>
      <c r="C1448" s="4">
        <v>112.99</v>
      </c>
      <c r="D1448" s="4">
        <v>87.137200000000007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112.99</v>
      </c>
      <c r="D1449" s="4">
        <v>87.137200000000007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113.49</v>
      </c>
      <c r="D1450" s="4">
        <v>87.522800000000004</v>
      </c>
      <c r="E1450" s="4">
        <v>10</v>
      </c>
      <c r="F1450" s="4">
        <v>113.49</v>
      </c>
      <c r="G1450" s="4">
        <v>1134.9000000000001</v>
      </c>
      <c r="H1450" s="5">
        <f t="shared" si="22"/>
        <v>4.4252053084101461E-3</v>
      </c>
    </row>
    <row r="1451" spans="1:8" ht="13.5" x14ac:dyDescent="0.25">
      <c r="A1451" s="1"/>
      <c r="B1451" s="3">
        <v>44425</v>
      </c>
      <c r="C1451" s="4">
        <v>110.09</v>
      </c>
      <c r="D1451" s="4">
        <v>84.900800000000004</v>
      </c>
      <c r="E1451" s="4">
        <v>0</v>
      </c>
      <c r="F1451" s="4">
        <v>0</v>
      </c>
      <c r="G1451" s="4">
        <v>0</v>
      </c>
      <c r="H1451" s="5">
        <f t="shared" si="22"/>
        <v>-2.9957908110800839E-2</v>
      </c>
    </row>
    <row r="1452" spans="1:8" ht="13.5" x14ac:dyDescent="0.25">
      <c r="A1452" s="1"/>
      <c r="B1452" s="3">
        <v>44426</v>
      </c>
      <c r="C1452" s="4">
        <v>108.49</v>
      </c>
      <c r="D1452" s="4">
        <v>83.666899999999998</v>
      </c>
      <c r="E1452" s="4">
        <v>152</v>
      </c>
      <c r="F1452" s="4">
        <v>108.49550000000001</v>
      </c>
      <c r="G1452" s="4">
        <v>16491.315999999999</v>
      </c>
      <c r="H1452" s="5">
        <f t="shared" si="22"/>
        <v>-1.4533431958238386E-2</v>
      </c>
    </row>
    <row r="1453" spans="1:8" ht="13.5" x14ac:dyDescent="0.25">
      <c r="A1453" s="1"/>
      <c r="B1453" s="3">
        <v>44427</v>
      </c>
      <c r="C1453" s="4">
        <v>110</v>
      </c>
      <c r="D1453" s="4">
        <v>84.831400000000002</v>
      </c>
      <c r="E1453" s="4">
        <v>4</v>
      </c>
      <c r="F1453" s="4">
        <v>110</v>
      </c>
      <c r="G1453" s="4">
        <v>440</v>
      </c>
      <c r="H1453" s="5">
        <f t="shared" si="22"/>
        <v>1.391828787728485E-2</v>
      </c>
    </row>
    <row r="1454" spans="1:8" ht="13.5" x14ac:dyDescent="0.25">
      <c r="A1454" s="1"/>
      <c r="B1454" s="3">
        <v>44428</v>
      </c>
      <c r="C1454" s="4">
        <v>108</v>
      </c>
      <c r="D1454" s="4">
        <v>83.289000000000001</v>
      </c>
      <c r="E1454" s="4">
        <v>48</v>
      </c>
      <c r="F1454" s="4">
        <v>108</v>
      </c>
      <c r="G1454" s="4">
        <v>5184</v>
      </c>
      <c r="H1454" s="5">
        <f t="shared" si="22"/>
        <v>-1.8181946779140749E-2</v>
      </c>
    </row>
    <row r="1455" spans="1:8" ht="13.5" x14ac:dyDescent="0.25">
      <c r="A1455" s="1"/>
      <c r="B1455" s="3">
        <v>44431</v>
      </c>
      <c r="C1455" s="4">
        <v>108</v>
      </c>
      <c r="D1455" s="4">
        <v>83.289000000000001</v>
      </c>
      <c r="E1455" s="4">
        <v>51</v>
      </c>
      <c r="F1455" s="4">
        <v>108</v>
      </c>
      <c r="G1455" s="4">
        <v>5508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108</v>
      </c>
      <c r="D1456" s="4">
        <v>83.289000000000001</v>
      </c>
      <c r="E1456" s="4">
        <v>70</v>
      </c>
      <c r="F1456" s="4">
        <v>108.6943</v>
      </c>
      <c r="G1456" s="4">
        <v>7608.6009999999997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111.09</v>
      </c>
      <c r="D1457" s="4">
        <v>85.671999999999997</v>
      </c>
      <c r="E1457" s="4">
        <v>8</v>
      </c>
      <c r="F1457" s="4">
        <v>111.09</v>
      </c>
      <c r="G1457" s="4">
        <v>888.72</v>
      </c>
      <c r="H1457" s="5">
        <f t="shared" si="22"/>
        <v>2.8611221169662207E-2</v>
      </c>
    </row>
    <row r="1458" spans="1:8" ht="13.5" x14ac:dyDescent="0.25">
      <c r="A1458" s="1"/>
      <c r="B1458" s="3">
        <v>44434</v>
      </c>
      <c r="C1458" s="4">
        <v>111.09</v>
      </c>
      <c r="D1458" s="4">
        <v>85.671999999999997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111.09</v>
      </c>
      <c r="D1459" s="4">
        <v>85.671999999999997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111.09</v>
      </c>
      <c r="D1460" s="4">
        <v>85.671999999999997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112.6</v>
      </c>
      <c r="D1461" s="4">
        <v>86.836500000000001</v>
      </c>
      <c r="E1461" s="4">
        <v>2</v>
      </c>
      <c r="F1461" s="4">
        <v>112.6</v>
      </c>
      <c r="G1461" s="4">
        <v>225.2</v>
      </c>
      <c r="H1461" s="5">
        <f t="shared" si="22"/>
        <v>1.3592538985899755E-2</v>
      </c>
    </row>
    <row r="1462" spans="1:8" ht="13.5" x14ac:dyDescent="0.25">
      <c r="A1462" s="1"/>
      <c r="B1462" s="3">
        <v>44440</v>
      </c>
      <c r="C1462" s="4">
        <v>112.6</v>
      </c>
      <c r="D1462" s="4">
        <v>86.836500000000001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107.66</v>
      </c>
      <c r="D1463" s="4">
        <v>83.026799999999994</v>
      </c>
      <c r="E1463" s="4">
        <v>4</v>
      </c>
      <c r="F1463" s="4">
        <v>107.66</v>
      </c>
      <c r="G1463" s="4">
        <v>430.64</v>
      </c>
      <c r="H1463" s="5">
        <f t="shared" si="22"/>
        <v>-4.3872104472197825E-2</v>
      </c>
    </row>
    <row r="1464" spans="1:8" ht="13.5" x14ac:dyDescent="0.25">
      <c r="A1464" s="1"/>
      <c r="B1464" s="3">
        <v>44442</v>
      </c>
      <c r="C1464" s="4">
        <v>110</v>
      </c>
      <c r="D1464" s="4">
        <v>84.831400000000002</v>
      </c>
      <c r="E1464" s="4">
        <v>1</v>
      </c>
      <c r="F1464" s="4">
        <v>110</v>
      </c>
      <c r="G1464" s="4">
        <v>110</v>
      </c>
      <c r="H1464" s="5">
        <f t="shared" si="22"/>
        <v>2.173515057788579E-2</v>
      </c>
    </row>
    <row r="1465" spans="1:8" ht="13.5" x14ac:dyDescent="0.25">
      <c r="A1465" s="1"/>
      <c r="B1465" s="3">
        <v>44445</v>
      </c>
      <c r="C1465" s="4">
        <v>110</v>
      </c>
      <c r="D1465" s="4">
        <v>84.831400000000002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110</v>
      </c>
      <c r="D1466" s="4">
        <v>84.831400000000002</v>
      </c>
      <c r="E1466" s="4">
        <v>8</v>
      </c>
      <c r="F1466" s="4">
        <v>110</v>
      </c>
      <c r="G1466" s="4">
        <v>880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111.98</v>
      </c>
      <c r="D1467" s="4">
        <v>86.3583</v>
      </c>
      <c r="E1467" s="4">
        <v>4</v>
      </c>
      <c r="F1467" s="4">
        <v>111.98</v>
      </c>
      <c r="G1467" s="4">
        <v>447.92</v>
      </c>
      <c r="H1467" s="5">
        <f t="shared" si="22"/>
        <v>1.7999231416668801E-2</v>
      </c>
    </row>
    <row r="1468" spans="1:8" ht="13.5" x14ac:dyDescent="0.25">
      <c r="A1468" s="1"/>
      <c r="B1468" s="3">
        <v>44448</v>
      </c>
      <c r="C1468" s="4">
        <v>111.98</v>
      </c>
      <c r="D1468" s="4">
        <v>86.3583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111.98</v>
      </c>
      <c r="D1469" s="4">
        <v>86.3583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111.98</v>
      </c>
      <c r="D1470" s="4">
        <v>86.3583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110.5</v>
      </c>
      <c r="D1471" s="4">
        <v>85.216999999999999</v>
      </c>
      <c r="E1471" s="4">
        <v>1</v>
      </c>
      <c r="F1471" s="4">
        <v>110.5</v>
      </c>
      <c r="G1471" s="4">
        <v>110.5</v>
      </c>
      <c r="H1471" s="5">
        <f t="shared" si="22"/>
        <v>-1.3215869233183158E-2</v>
      </c>
    </row>
    <row r="1472" spans="1:8" ht="13.5" x14ac:dyDescent="0.25">
      <c r="A1472" s="1"/>
      <c r="B1472" s="3">
        <v>44454</v>
      </c>
      <c r="C1472" s="4">
        <v>110.5</v>
      </c>
      <c r="D1472" s="4">
        <v>85.216999999999999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110.5</v>
      </c>
      <c r="D1473" s="4">
        <v>85.216999999999999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106.1</v>
      </c>
      <c r="D1474" s="4">
        <v>81.823700000000002</v>
      </c>
      <c r="E1474" s="4">
        <v>104</v>
      </c>
      <c r="F1474" s="4">
        <v>106.1</v>
      </c>
      <c r="G1474" s="4">
        <v>11034.4</v>
      </c>
      <c r="H1474" s="5">
        <f t="shared" si="22"/>
        <v>-3.9819519579426602E-2</v>
      </c>
    </row>
    <row r="1475" spans="1:8" ht="13.5" x14ac:dyDescent="0.25">
      <c r="A1475" s="1"/>
      <c r="B1475" s="3">
        <v>44459</v>
      </c>
      <c r="C1475" s="4">
        <v>106.1</v>
      </c>
      <c r="D1475" s="4">
        <v>81.823700000000002</v>
      </c>
      <c r="E1475" s="4">
        <v>154</v>
      </c>
      <c r="F1475" s="4">
        <v>106.1</v>
      </c>
      <c r="G1475" s="4">
        <v>16339.4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106.1</v>
      </c>
      <c r="D1476" s="4">
        <v>81.823700000000002</v>
      </c>
      <c r="E1476" s="4">
        <v>1</v>
      </c>
      <c r="F1476" s="4">
        <v>103.9</v>
      </c>
      <c r="G1476" s="4">
        <v>103.9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106.1</v>
      </c>
      <c r="D1477" s="4">
        <v>81.823700000000002</v>
      </c>
      <c r="E1477" s="4">
        <v>5</v>
      </c>
      <c r="F1477" s="4">
        <v>106.1</v>
      </c>
      <c r="G1477" s="4">
        <v>530.5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104</v>
      </c>
      <c r="D1478" s="4">
        <v>80.2042</v>
      </c>
      <c r="E1478" s="4">
        <v>15</v>
      </c>
      <c r="F1478" s="4">
        <v>104</v>
      </c>
      <c r="G1478" s="4">
        <v>1560</v>
      </c>
      <c r="H1478" s="5">
        <f t="shared" si="22"/>
        <v>-1.979255399108085E-2</v>
      </c>
    </row>
    <row r="1479" spans="1:8" ht="13.5" x14ac:dyDescent="0.25">
      <c r="A1479" s="1"/>
      <c r="B1479" s="3">
        <v>44463</v>
      </c>
      <c r="C1479" s="4">
        <v>106.1</v>
      </c>
      <c r="D1479" s="4">
        <v>81.823700000000002</v>
      </c>
      <c r="E1479" s="4">
        <v>10</v>
      </c>
      <c r="F1479" s="4">
        <v>106.1</v>
      </c>
      <c r="G1479" s="4">
        <v>1061</v>
      </c>
      <c r="H1479" s="5">
        <f t="shared" ref="H1479:H1542" si="23">(D1479-D1478)/D1478</f>
        <v>2.0192209385543426E-2</v>
      </c>
    </row>
    <row r="1480" spans="1:8" ht="13.5" x14ac:dyDescent="0.25">
      <c r="A1480" s="1"/>
      <c r="B1480" s="3">
        <v>44466</v>
      </c>
      <c r="C1480" s="4">
        <v>106.1</v>
      </c>
      <c r="D1480" s="4">
        <v>81.823700000000002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106.1</v>
      </c>
      <c r="D1481" s="4">
        <v>81.823700000000002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106.1</v>
      </c>
      <c r="D1482" s="4">
        <v>81.823700000000002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104.99</v>
      </c>
      <c r="D1483" s="4">
        <v>80.967699999999994</v>
      </c>
      <c r="E1483" s="4">
        <v>8</v>
      </c>
      <c r="F1483" s="4">
        <v>104.99</v>
      </c>
      <c r="G1483" s="4">
        <v>839.92</v>
      </c>
      <c r="H1483" s="5">
        <f t="shared" si="23"/>
        <v>-1.0461516651043752E-2</v>
      </c>
    </row>
    <row r="1484" spans="1:8" ht="13.5" x14ac:dyDescent="0.25">
      <c r="A1484" s="1"/>
      <c r="B1484" s="3">
        <v>44470</v>
      </c>
      <c r="C1484" s="4">
        <v>106</v>
      </c>
      <c r="D1484" s="4">
        <v>81.746600000000001</v>
      </c>
      <c r="E1484" s="4">
        <v>93</v>
      </c>
      <c r="F1484" s="4">
        <v>105.97799999999999</v>
      </c>
      <c r="G1484" s="4">
        <v>9855.9539999999997</v>
      </c>
      <c r="H1484" s="5">
        <f t="shared" si="23"/>
        <v>9.6198854604985368E-3</v>
      </c>
    </row>
    <row r="1485" spans="1:8" ht="13.5" x14ac:dyDescent="0.25">
      <c r="A1485" s="1"/>
      <c r="B1485" s="3">
        <v>44473</v>
      </c>
      <c r="C1485" s="4">
        <v>106.1</v>
      </c>
      <c r="D1485" s="4">
        <v>81.823700000000002</v>
      </c>
      <c r="E1485" s="4">
        <v>63</v>
      </c>
      <c r="F1485" s="4">
        <v>106.01600000000001</v>
      </c>
      <c r="G1485" s="4">
        <v>6679.0079999999998</v>
      </c>
      <c r="H1485" s="5">
        <f t="shared" si="23"/>
        <v>9.4315849221865498E-4</v>
      </c>
    </row>
    <row r="1486" spans="1:8" ht="13.5" x14ac:dyDescent="0.25">
      <c r="A1486" s="1"/>
      <c r="B1486" s="3">
        <v>44474</v>
      </c>
      <c r="C1486" s="4">
        <v>110.87</v>
      </c>
      <c r="D1486" s="4">
        <v>85.502300000000005</v>
      </c>
      <c r="E1486" s="4">
        <v>1</v>
      </c>
      <c r="F1486" s="4">
        <v>110.87</v>
      </c>
      <c r="G1486" s="4">
        <v>110.87</v>
      </c>
      <c r="H1486" s="5">
        <f t="shared" si="23"/>
        <v>4.4957634523982694E-2</v>
      </c>
    </row>
    <row r="1487" spans="1:8" ht="13.5" x14ac:dyDescent="0.25">
      <c r="A1487" s="1"/>
      <c r="B1487" s="3">
        <v>44475</v>
      </c>
      <c r="C1487" s="4">
        <v>110.87</v>
      </c>
      <c r="D1487" s="4">
        <v>85.502300000000005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110.87</v>
      </c>
      <c r="D1488" s="4">
        <v>85.502300000000005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110.87</v>
      </c>
      <c r="D1489" s="4">
        <v>85.502300000000005</v>
      </c>
      <c r="E1489" s="4">
        <v>144</v>
      </c>
      <c r="F1489" s="4">
        <v>110.87</v>
      </c>
      <c r="G1489" s="4">
        <v>15965.28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107.01</v>
      </c>
      <c r="D1490" s="4">
        <v>82.525499999999994</v>
      </c>
      <c r="E1490" s="4">
        <v>43</v>
      </c>
      <c r="F1490" s="4">
        <v>107.01</v>
      </c>
      <c r="G1490" s="4">
        <v>4601.43</v>
      </c>
      <c r="H1490" s="5">
        <f t="shared" si="23"/>
        <v>-3.4815437713371582E-2</v>
      </c>
    </row>
    <row r="1491" spans="1:8" ht="13.5" x14ac:dyDescent="0.25">
      <c r="A1491" s="1"/>
      <c r="B1491" s="3">
        <v>44481</v>
      </c>
      <c r="C1491" s="4">
        <v>107.01</v>
      </c>
      <c r="D1491" s="4">
        <v>82.525499999999994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107.01</v>
      </c>
      <c r="D1492" s="4">
        <v>82.525499999999994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107</v>
      </c>
      <c r="D1493" s="4">
        <v>82.517799999999994</v>
      </c>
      <c r="E1493" s="4">
        <v>10</v>
      </c>
      <c r="F1493" s="4">
        <v>107</v>
      </c>
      <c r="G1493" s="4">
        <v>1070</v>
      </c>
      <c r="H1493" s="5">
        <f t="shared" si="23"/>
        <v>-9.3304493762531811E-5</v>
      </c>
    </row>
    <row r="1494" spans="1:8" ht="13.5" x14ac:dyDescent="0.25">
      <c r="A1494" s="1"/>
      <c r="B1494" s="3">
        <v>44488</v>
      </c>
      <c r="C1494" s="4">
        <v>106.31</v>
      </c>
      <c r="D1494" s="4">
        <v>81.985699999999994</v>
      </c>
      <c r="E1494" s="4">
        <v>60</v>
      </c>
      <c r="F1494" s="4">
        <v>106.31</v>
      </c>
      <c r="G1494" s="4">
        <v>6378.6</v>
      </c>
      <c r="H1494" s="5">
        <f t="shared" si="23"/>
        <v>-6.4483056988916309E-3</v>
      </c>
    </row>
    <row r="1495" spans="1:8" ht="13.5" x14ac:dyDescent="0.25">
      <c r="A1495" s="1"/>
      <c r="B1495" s="3">
        <v>44489</v>
      </c>
      <c r="C1495" s="4">
        <v>108.99</v>
      </c>
      <c r="D1495" s="4">
        <v>84.052499999999995</v>
      </c>
      <c r="E1495" s="4">
        <v>61</v>
      </c>
      <c r="F1495" s="4">
        <v>107.033</v>
      </c>
      <c r="G1495" s="4">
        <v>6529.0129999999999</v>
      </c>
      <c r="H1495" s="5">
        <f t="shared" si="23"/>
        <v>2.5209274300274327E-2</v>
      </c>
    </row>
    <row r="1496" spans="1:8" ht="13.5" x14ac:dyDescent="0.25">
      <c r="A1496" s="1"/>
      <c r="B1496" s="3">
        <v>44490</v>
      </c>
      <c r="C1496" s="4">
        <v>108.99</v>
      </c>
      <c r="D1496" s="4">
        <v>84.052499999999995</v>
      </c>
      <c r="E1496" s="4">
        <v>2</v>
      </c>
      <c r="F1496" s="4">
        <v>108.99</v>
      </c>
      <c r="G1496" s="4">
        <v>217.98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106.31</v>
      </c>
      <c r="D1497" s="4">
        <v>81.985699999999994</v>
      </c>
      <c r="E1497" s="4">
        <v>36</v>
      </c>
      <c r="F1497" s="4">
        <v>106.31</v>
      </c>
      <c r="G1497" s="4">
        <v>3827.16</v>
      </c>
      <c r="H1497" s="5">
        <f t="shared" si="23"/>
        <v>-2.4589393533803287E-2</v>
      </c>
    </row>
    <row r="1498" spans="1:8" ht="13.5" x14ac:dyDescent="0.25">
      <c r="A1498" s="1"/>
      <c r="B1498" s="3">
        <v>44494</v>
      </c>
      <c r="C1498" s="4">
        <v>106.3</v>
      </c>
      <c r="D1498" s="4">
        <v>81.977900000000005</v>
      </c>
      <c r="E1498" s="4">
        <v>139</v>
      </c>
      <c r="F1498" s="4">
        <v>106.3</v>
      </c>
      <c r="G1498" s="4">
        <v>14775.7</v>
      </c>
      <c r="H1498" s="5">
        <f t="shared" si="23"/>
        <v>-9.5138542453000063E-5</v>
      </c>
    </row>
    <row r="1499" spans="1:8" ht="13.5" x14ac:dyDescent="0.25">
      <c r="A1499" s="1"/>
      <c r="B1499" s="3">
        <v>44495</v>
      </c>
      <c r="C1499" s="4">
        <v>106.45</v>
      </c>
      <c r="D1499" s="4">
        <v>82.093599999999995</v>
      </c>
      <c r="E1499" s="4">
        <v>3</v>
      </c>
      <c r="F1499" s="4">
        <v>106.45</v>
      </c>
      <c r="G1499" s="4">
        <v>319.35000000000002</v>
      </c>
      <c r="H1499" s="5">
        <f t="shared" si="23"/>
        <v>1.4113559874062362E-3</v>
      </c>
    </row>
    <row r="1500" spans="1:8" ht="13.5" x14ac:dyDescent="0.25">
      <c r="A1500" s="1"/>
      <c r="B1500" s="3">
        <v>44496</v>
      </c>
      <c r="C1500" s="4">
        <v>106.3</v>
      </c>
      <c r="D1500" s="4">
        <v>81.977900000000005</v>
      </c>
      <c r="E1500" s="4">
        <v>82</v>
      </c>
      <c r="F1500" s="4">
        <v>106.41500000000001</v>
      </c>
      <c r="G1500" s="4">
        <v>8726.0300000000007</v>
      </c>
      <c r="H1500" s="5">
        <f t="shared" si="23"/>
        <v>-1.4093668690371686E-3</v>
      </c>
    </row>
    <row r="1501" spans="1:8" ht="13.5" x14ac:dyDescent="0.25">
      <c r="A1501" s="1"/>
      <c r="B1501" s="3">
        <v>44497</v>
      </c>
      <c r="C1501" s="4">
        <v>106.3</v>
      </c>
      <c r="D1501" s="4">
        <v>81.977900000000005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106.3</v>
      </c>
      <c r="D1502" s="4">
        <v>81.977900000000005</v>
      </c>
      <c r="E1502" s="4">
        <v>375</v>
      </c>
      <c r="F1502" s="4">
        <v>106.322</v>
      </c>
      <c r="G1502" s="4">
        <v>39870.75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106.3</v>
      </c>
      <c r="D1503" s="4">
        <v>81.977900000000005</v>
      </c>
      <c r="E1503" s="4">
        <v>7</v>
      </c>
      <c r="F1503" s="4">
        <v>106.3</v>
      </c>
      <c r="G1503" s="4">
        <v>744.1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107</v>
      </c>
      <c r="D1504" s="4">
        <v>82.517799999999994</v>
      </c>
      <c r="E1504" s="4">
        <v>12</v>
      </c>
      <c r="F1504" s="4">
        <v>107</v>
      </c>
      <c r="G1504" s="4">
        <v>1284</v>
      </c>
      <c r="H1504" s="5">
        <f t="shared" si="23"/>
        <v>6.5859213275771726E-3</v>
      </c>
    </row>
    <row r="1505" spans="1:8" ht="13.5" x14ac:dyDescent="0.25">
      <c r="A1505" s="1"/>
      <c r="B1505" s="3">
        <v>44503</v>
      </c>
      <c r="C1505" s="4">
        <v>107</v>
      </c>
      <c r="D1505" s="4">
        <v>82.517799999999994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109</v>
      </c>
      <c r="D1506" s="4">
        <v>84.060199999999995</v>
      </c>
      <c r="E1506" s="4">
        <v>43</v>
      </c>
      <c r="F1506" s="4">
        <v>109</v>
      </c>
      <c r="G1506" s="4">
        <v>4687</v>
      </c>
      <c r="H1506" s="5">
        <f t="shared" si="23"/>
        <v>1.869172469455076E-2</v>
      </c>
    </row>
    <row r="1507" spans="1:8" ht="13.5" x14ac:dyDescent="0.25">
      <c r="A1507" s="1"/>
      <c r="B1507" s="3">
        <v>44505</v>
      </c>
      <c r="C1507" s="4">
        <v>109</v>
      </c>
      <c r="D1507" s="4">
        <v>84.060199999999995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113.49</v>
      </c>
      <c r="D1508" s="4">
        <v>87.522800000000004</v>
      </c>
      <c r="E1508" s="4">
        <v>6</v>
      </c>
      <c r="F1508" s="4">
        <v>113.49</v>
      </c>
      <c r="G1508" s="4">
        <v>680.94</v>
      </c>
      <c r="H1508" s="5">
        <f t="shared" si="23"/>
        <v>4.1191907704240645E-2</v>
      </c>
    </row>
    <row r="1509" spans="1:8" ht="13.5" x14ac:dyDescent="0.25">
      <c r="A1509" s="1"/>
      <c r="B1509" s="3">
        <v>44509</v>
      </c>
      <c r="C1509" s="4">
        <v>113.49</v>
      </c>
      <c r="D1509" s="4">
        <v>87.522800000000004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108.39</v>
      </c>
      <c r="D1510" s="4">
        <v>83.589699999999993</v>
      </c>
      <c r="E1510" s="4">
        <v>100</v>
      </c>
      <c r="F1510" s="4">
        <v>108.39</v>
      </c>
      <c r="G1510" s="4">
        <v>10839</v>
      </c>
      <c r="H1510" s="5">
        <f t="shared" si="23"/>
        <v>-4.4938004725625896E-2</v>
      </c>
    </row>
    <row r="1511" spans="1:8" ht="13.5" x14ac:dyDescent="0.25">
      <c r="A1511" s="1"/>
      <c r="B1511" s="3">
        <v>44511</v>
      </c>
      <c r="C1511" s="4">
        <v>106.3</v>
      </c>
      <c r="D1511" s="4">
        <v>81.977900000000005</v>
      </c>
      <c r="E1511" s="4">
        <v>5544</v>
      </c>
      <c r="F1511" s="4">
        <v>106.3</v>
      </c>
      <c r="G1511" s="4">
        <v>589327.19999999995</v>
      </c>
      <c r="H1511" s="5">
        <f t="shared" si="23"/>
        <v>-1.928227999382685E-2</v>
      </c>
    </row>
    <row r="1512" spans="1:8" ht="13.5" x14ac:dyDescent="0.25">
      <c r="A1512" s="1"/>
      <c r="B1512" s="3">
        <v>44512</v>
      </c>
      <c r="C1512" s="4">
        <v>111.08</v>
      </c>
      <c r="D1512" s="4">
        <v>85.664299999999997</v>
      </c>
      <c r="E1512" s="4">
        <v>2</v>
      </c>
      <c r="F1512" s="4">
        <v>111.08</v>
      </c>
      <c r="G1512" s="4">
        <v>222.16</v>
      </c>
      <c r="H1512" s="5">
        <f t="shared" si="23"/>
        <v>4.4968217043861718E-2</v>
      </c>
    </row>
    <row r="1513" spans="1:8" ht="13.5" x14ac:dyDescent="0.25">
      <c r="A1513" s="1"/>
      <c r="B1513" s="3">
        <v>44515</v>
      </c>
      <c r="C1513" s="4">
        <v>111.08</v>
      </c>
      <c r="D1513" s="4">
        <v>85.664299999999997</v>
      </c>
      <c r="E1513" s="4">
        <v>0</v>
      </c>
      <c r="F1513" s="4">
        <v>0</v>
      </c>
      <c r="G1513" s="4">
        <v>0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109</v>
      </c>
      <c r="D1514" s="4">
        <v>84.060199999999995</v>
      </c>
      <c r="E1514" s="4">
        <v>115</v>
      </c>
      <c r="F1514" s="4">
        <v>109</v>
      </c>
      <c r="G1514" s="4">
        <v>12535</v>
      </c>
      <c r="H1514" s="5">
        <f t="shared" si="23"/>
        <v>-1.8725420040787148E-2</v>
      </c>
    </row>
    <row r="1515" spans="1:8" ht="13.5" x14ac:dyDescent="0.25">
      <c r="A1515" s="1"/>
      <c r="B1515" s="3">
        <v>44517</v>
      </c>
      <c r="C1515" s="4">
        <v>109.5</v>
      </c>
      <c r="D1515" s="4">
        <v>84.445800000000006</v>
      </c>
      <c r="E1515" s="4">
        <v>207</v>
      </c>
      <c r="F1515" s="4">
        <v>109.5</v>
      </c>
      <c r="G1515" s="4">
        <v>22666.5</v>
      </c>
      <c r="H1515" s="5">
        <f t="shared" si="23"/>
        <v>4.5871887052375661E-3</v>
      </c>
    </row>
    <row r="1516" spans="1:8" ht="13.5" x14ac:dyDescent="0.25">
      <c r="A1516" s="1"/>
      <c r="B1516" s="3">
        <v>44518</v>
      </c>
      <c r="C1516" s="4">
        <v>109.5</v>
      </c>
      <c r="D1516" s="4">
        <v>84.445800000000006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109.5</v>
      </c>
      <c r="D1517" s="4">
        <v>84.445800000000006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109.5</v>
      </c>
      <c r="D1518" s="4">
        <v>84.445800000000006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106.52</v>
      </c>
      <c r="D1519" s="4">
        <v>82.147599999999997</v>
      </c>
      <c r="E1519" s="4">
        <v>10</v>
      </c>
      <c r="F1519" s="4">
        <v>106.52</v>
      </c>
      <c r="G1519" s="4">
        <v>1065.2</v>
      </c>
      <c r="H1519" s="5">
        <f t="shared" si="23"/>
        <v>-2.7215089441985373E-2</v>
      </c>
    </row>
    <row r="1520" spans="1:8" ht="13.5" x14ac:dyDescent="0.25">
      <c r="A1520" s="1"/>
      <c r="B1520" s="3">
        <v>44524</v>
      </c>
      <c r="C1520" s="4">
        <v>106.52</v>
      </c>
      <c r="D1520" s="4">
        <v>82.147599999999997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106.52</v>
      </c>
      <c r="D1521" s="4">
        <v>82.147599999999997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106.51</v>
      </c>
      <c r="D1522" s="4">
        <v>82.139899999999997</v>
      </c>
      <c r="E1522" s="4">
        <v>135</v>
      </c>
      <c r="F1522" s="4">
        <v>106.639</v>
      </c>
      <c r="G1522" s="4">
        <v>14396.264999999999</v>
      </c>
      <c r="H1522" s="5">
        <f t="shared" si="23"/>
        <v>-9.3733718331391526E-5</v>
      </c>
    </row>
    <row r="1523" spans="1:8" ht="13.5" x14ac:dyDescent="0.25">
      <c r="A1523" s="1"/>
      <c r="B1523" s="3">
        <v>44529</v>
      </c>
      <c r="C1523" s="4">
        <v>108.8</v>
      </c>
      <c r="D1523" s="4">
        <v>83.905900000000003</v>
      </c>
      <c r="E1523" s="4">
        <v>4</v>
      </c>
      <c r="F1523" s="4">
        <v>108.8</v>
      </c>
      <c r="G1523" s="4">
        <v>435.2</v>
      </c>
      <c r="H1523" s="5">
        <f t="shared" si="23"/>
        <v>2.1499904431342202E-2</v>
      </c>
    </row>
    <row r="1524" spans="1:8" ht="13.5" x14ac:dyDescent="0.25">
      <c r="A1524" s="1"/>
      <c r="B1524" s="3">
        <v>44530</v>
      </c>
      <c r="C1524" s="4">
        <v>108.8</v>
      </c>
      <c r="D1524" s="4">
        <v>83.905900000000003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108.8</v>
      </c>
      <c r="D1525" s="4">
        <v>83.905900000000003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108.7</v>
      </c>
      <c r="D1526" s="4">
        <v>83.828800000000001</v>
      </c>
      <c r="E1526" s="4">
        <v>46</v>
      </c>
      <c r="F1526" s="4">
        <v>108.7</v>
      </c>
      <c r="G1526" s="4">
        <v>5000.2</v>
      </c>
      <c r="H1526" s="5">
        <f t="shared" si="23"/>
        <v>-9.1888651453594439E-4</v>
      </c>
    </row>
    <row r="1527" spans="1:8" ht="13.5" x14ac:dyDescent="0.25">
      <c r="A1527" s="1"/>
      <c r="B1527" s="3">
        <v>44533</v>
      </c>
      <c r="C1527" s="4">
        <v>108.69</v>
      </c>
      <c r="D1527" s="4">
        <v>83.821100000000001</v>
      </c>
      <c r="E1527" s="4">
        <v>50</v>
      </c>
      <c r="F1527" s="4">
        <v>108.69</v>
      </c>
      <c r="G1527" s="4">
        <v>5434.5</v>
      </c>
      <c r="H1527" s="5">
        <f t="shared" si="23"/>
        <v>-9.1853873609067739E-5</v>
      </c>
    </row>
    <row r="1528" spans="1:8" ht="13.5" x14ac:dyDescent="0.25">
      <c r="A1528" s="1"/>
      <c r="B1528" s="3">
        <v>44536</v>
      </c>
      <c r="C1528" s="4">
        <v>105.5</v>
      </c>
      <c r="D1528" s="4">
        <v>81.361000000000004</v>
      </c>
      <c r="E1528" s="4">
        <v>6</v>
      </c>
      <c r="F1528" s="4">
        <v>105.5</v>
      </c>
      <c r="G1528" s="4">
        <v>633</v>
      </c>
      <c r="H1528" s="5">
        <f t="shared" si="23"/>
        <v>-2.9349412021555395E-2</v>
      </c>
    </row>
    <row r="1529" spans="1:8" ht="13.5" x14ac:dyDescent="0.25">
      <c r="A1529" s="1"/>
      <c r="B1529" s="3">
        <v>44537</v>
      </c>
      <c r="C1529" s="4">
        <v>105.5</v>
      </c>
      <c r="D1529" s="4">
        <v>81.361000000000004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105.5</v>
      </c>
      <c r="D1530" s="4">
        <v>81.361000000000004</v>
      </c>
      <c r="E1530" s="4">
        <v>144</v>
      </c>
      <c r="F1530" s="4">
        <v>105.5</v>
      </c>
      <c r="G1530" s="4">
        <v>15192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105.5</v>
      </c>
      <c r="D1531" s="4">
        <v>81.361000000000004</v>
      </c>
      <c r="E1531" s="4">
        <v>56</v>
      </c>
      <c r="F1531" s="4">
        <v>105.5</v>
      </c>
      <c r="G1531" s="4">
        <v>5908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105</v>
      </c>
      <c r="D1532" s="4">
        <v>80.975399999999993</v>
      </c>
      <c r="E1532" s="4">
        <v>112</v>
      </c>
      <c r="F1532" s="4">
        <v>105</v>
      </c>
      <c r="G1532" s="4">
        <v>11760</v>
      </c>
      <c r="H1532" s="5">
        <f t="shared" si="23"/>
        <v>-4.7393714433206424E-3</v>
      </c>
    </row>
    <row r="1533" spans="1:8" ht="13.5" x14ac:dyDescent="0.25">
      <c r="A1533" s="1"/>
      <c r="B1533" s="3">
        <v>44543</v>
      </c>
      <c r="C1533" s="4">
        <v>108.6</v>
      </c>
      <c r="D1533" s="4">
        <v>83.7517</v>
      </c>
      <c r="E1533" s="4">
        <v>1</v>
      </c>
      <c r="F1533" s="4">
        <v>108.6</v>
      </c>
      <c r="G1533" s="4">
        <v>108.6</v>
      </c>
      <c r="H1533" s="5">
        <f t="shared" si="23"/>
        <v>3.4285721342531265E-2</v>
      </c>
    </row>
    <row r="1534" spans="1:8" ht="13.5" x14ac:dyDescent="0.25">
      <c r="A1534" s="1"/>
      <c r="B1534" s="3">
        <v>44544</v>
      </c>
      <c r="C1534" s="4">
        <v>105.01</v>
      </c>
      <c r="D1534" s="4">
        <v>80.983099999999993</v>
      </c>
      <c r="E1534" s="4">
        <v>21</v>
      </c>
      <c r="F1534" s="4">
        <v>105.01</v>
      </c>
      <c r="G1534" s="4">
        <v>2205.21</v>
      </c>
      <c r="H1534" s="5">
        <f t="shared" si="23"/>
        <v>-3.3057239435139898E-2</v>
      </c>
    </row>
    <row r="1535" spans="1:8" ht="13.5" x14ac:dyDescent="0.25">
      <c r="A1535" s="1"/>
      <c r="B1535" s="3">
        <v>44545</v>
      </c>
      <c r="C1535" s="4">
        <v>105.31</v>
      </c>
      <c r="D1535" s="4">
        <v>81.214500000000001</v>
      </c>
      <c r="E1535" s="4">
        <v>22</v>
      </c>
      <c r="F1535" s="4">
        <v>105.31</v>
      </c>
      <c r="G1535" s="4">
        <v>2316.8200000000002</v>
      </c>
      <c r="H1535" s="5">
        <f t="shared" si="23"/>
        <v>2.8573862941775239E-3</v>
      </c>
    </row>
    <row r="1536" spans="1:8" ht="13.5" x14ac:dyDescent="0.25">
      <c r="A1536" s="1"/>
      <c r="B1536" s="3">
        <v>44546</v>
      </c>
      <c r="C1536" s="4">
        <v>105.31</v>
      </c>
      <c r="D1536" s="4">
        <v>81.214500000000001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105</v>
      </c>
      <c r="D1537" s="4">
        <v>80.975399999999993</v>
      </c>
      <c r="E1537" s="4">
        <v>95</v>
      </c>
      <c r="F1537" s="4">
        <v>105.114</v>
      </c>
      <c r="G1537" s="4">
        <v>9985.83</v>
      </c>
      <c r="H1537" s="5">
        <f t="shared" si="23"/>
        <v>-2.9440555565817391E-3</v>
      </c>
    </row>
    <row r="1538" spans="1:8" ht="13.5" x14ac:dyDescent="0.25">
      <c r="A1538" s="1"/>
      <c r="B1538" s="3">
        <v>44551</v>
      </c>
      <c r="C1538" s="4">
        <v>105</v>
      </c>
      <c r="D1538" s="4">
        <v>80.975399999999993</v>
      </c>
      <c r="E1538" s="4">
        <v>25</v>
      </c>
      <c r="F1538" s="4">
        <v>105</v>
      </c>
      <c r="G1538" s="4">
        <v>2625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105</v>
      </c>
      <c r="D1539" s="4">
        <v>80.975399999999993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104.01</v>
      </c>
      <c r="D1540" s="4">
        <v>80.2119</v>
      </c>
      <c r="E1540" s="4">
        <v>16</v>
      </c>
      <c r="F1540" s="4">
        <v>104.01</v>
      </c>
      <c r="G1540" s="4">
        <v>1664.16</v>
      </c>
      <c r="H1540" s="5">
        <f t="shared" si="23"/>
        <v>-9.4287894842136431E-3</v>
      </c>
    </row>
    <row r="1541" spans="1:8" ht="13.5" x14ac:dyDescent="0.25">
      <c r="A1541" s="1"/>
      <c r="B1541" s="3">
        <v>44554</v>
      </c>
      <c r="C1541" s="4">
        <v>104</v>
      </c>
      <c r="D1541" s="4">
        <v>80.2042</v>
      </c>
      <c r="E1541" s="4">
        <v>80</v>
      </c>
      <c r="F1541" s="4">
        <v>104</v>
      </c>
      <c r="G1541" s="4">
        <v>8320</v>
      </c>
      <c r="H1541" s="5">
        <f t="shared" si="23"/>
        <v>-9.5995731306699108E-5</v>
      </c>
    </row>
    <row r="1542" spans="1:8" ht="13.5" x14ac:dyDescent="0.25">
      <c r="A1542" s="1"/>
      <c r="B1542" s="3">
        <v>44557</v>
      </c>
      <c r="C1542" s="4">
        <v>104</v>
      </c>
      <c r="D1542" s="4">
        <v>80.2042</v>
      </c>
      <c r="E1542" s="4">
        <v>23</v>
      </c>
      <c r="F1542" s="4">
        <v>104</v>
      </c>
      <c r="G1542" s="4">
        <v>2392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104</v>
      </c>
      <c r="D1543" s="4">
        <v>80.2042</v>
      </c>
      <c r="E1543" s="4">
        <v>77</v>
      </c>
      <c r="F1543" s="4">
        <v>104</v>
      </c>
      <c r="G1543" s="4">
        <v>8008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104.03</v>
      </c>
      <c r="D1544" s="4">
        <v>80.2273</v>
      </c>
      <c r="E1544" s="4">
        <v>18</v>
      </c>
      <c r="F1544" s="4">
        <v>104.03</v>
      </c>
      <c r="G1544" s="4">
        <v>1872.54</v>
      </c>
      <c r="H1544" s="5">
        <f t="shared" si="24"/>
        <v>2.880148421154934E-4</v>
      </c>
    </row>
    <row r="1545" spans="1:8" ht="13.5" x14ac:dyDescent="0.25">
      <c r="A1545" s="1"/>
      <c r="B1545" s="3">
        <v>44560</v>
      </c>
      <c r="C1545" s="4">
        <v>104.03</v>
      </c>
      <c r="D1545" s="4">
        <v>80.2273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102.72</v>
      </c>
      <c r="D1546" s="4">
        <v>79.217100000000002</v>
      </c>
      <c r="E1546" s="4">
        <v>62</v>
      </c>
      <c r="F1546" s="4">
        <v>102.72</v>
      </c>
      <c r="G1546" s="4">
        <v>6368.64</v>
      </c>
      <c r="H1546" s="5">
        <f t="shared" si="24"/>
        <v>-1.2591723764853081E-2</v>
      </c>
    </row>
    <row r="1547" spans="1:8" ht="13.5" x14ac:dyDescent="0.25">
      <c r="A1547" s="1"/>
      <c r="B1547" s="3">
        <v>44564</v>
      </c>
      <c r="C1547" s="4">
        <v>101.5</v>
      </c>
      <c r="D1547" s="4">
        <v>78.276200000000003</v>
      </c>
      <c r="E1547" s="4">
        <v>29</v>
      </c>
      <c r="F1547" s="4">
        <v>101.5</v>
      </c>
      <c r="G1547" s="4">
        <v>2943.5</v>
      </c>
      <c r="H1547" s="5">
        <f t="shared" si="24"/>
        <v>-1.187748604783562E-2</v>
      </c>
    </row>
    <row r="1548" spans="1:8" ht="13.5" x14ac:dyDescent="0.25">
      <c r="A1548" s="1"/>
      <c r="B1548" s="3">
        <v>44565</v>
      </c>
      <c r="C1548" s="4">
        <v>101.5</v>
      </c>
      <c r="D1548" s="4">
        <v>78.276200000000003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102.01</v>
      </c>
      <c r="D1549" s="4">
        <v>78.669499999999999</v>
      </c>
      <c r="E1549" s="4">
        <v>265</v>
      </c>
      <c r="F1549" s="4">
        <v>102.01</v>
      </c>
      <c r="G1549" s="4">
        <v>27032.65</v>
      </c>
      <c r="H1549" s="5">
        <f t="shared" si="24"/>
        <v>5.0245157531918563E-3</v>
      </c>
    </row>
    <row r="1550" spans="1:8" ht="13.5" x14ac:dyDescent="0.25">
      <c r="A1550" s="1"/>
      <c r="B1550" s="3">
        <v>44567</v>
      </c>
      <c r="C1550" s="4">
        <v>102.01</v>
      </c>
      <c r="D1550" s="4">
        <v>78.669499999999999</v>
      </c>
      <c r="E1550" s="4">
        <v>171</v>
      </c>
      <c r="F1550" s="4">
        <v>102.01</v>
      </c>
      <c r="G1550" s="4">
        <v>17443.71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102.01</v>
      </c>
      <c r="D1551" s="4">
        <v>78.669499999999999</v>
      </c>
      <c r="E1551" s="4">
        <v>363</v>
      </c>
      <c r="F1551" s="4">
        <v>102.01</v>
      </c>
      <c r="G1551" s="4">
        <v>37029.629999999997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102.01</v>
      </c>
      <c r="D1552" s="4">
        <v>78.669499999999999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102.01</v>
      </c>
      <c r="D1553" s="4">
        <v>78.669499999999999</v>
      </c>
      <c r="E1553" s="4">
        <v>60</v>
      </c>
      <c r="F1553" s="4">
        <v>102.01</v>
      </c>
      <c r="G1553" s="4">
        <v>6120.6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102.01</v>
      </c>
      <c r="D1554" s="4">
        <v>78.669499999999999</v>
      </c>
      <c r="E1554" s="4">
        <v>93</v>
      </c>
      <c r="F1554" s="4">
        <v>102.01</v>
      </c>
      <c r="G1554" s="4">
        <v>9486.93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105</v>
      </c>
      <c r="D1555" s="4">
        <v>80.975399999999993</v>
      </c>
      <c r="E1555" s="4">
        <v>5</v>
      </c>
      <c r="F1555" s="4">
        <v>105</v>
      </c>
      <c r="G1555" s="4">
        <v>525</v>
      </c>
      <c r="H1555" s="5">
        <f t="shared" si="24"/>
        <v>2.9311232434424957E-2</v>
      </c>
    </row>
    <row r="1556" spans="1:8" ht="13.5" x14ac:dyDescent="0.25">
      <c r="A1556" s="1"/>
      <c r="B1556" s="3">
        <v>44575</v>
      </c>
      <c r="C1556" s="4">
        <v>105</v>
      </c>
      <c r="D1556" s="4">
        <v>80.975399999999993</v>
      </c>
      <c r="E1556" s="4">
        <v>3</v>
      </c>
      <c r="F1556" s="4">
        <v>105</v>
      </c>
      <c r="G1556" s="4">
        <v>315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102.02</v>
      </c>
      <c r="D1557" s="4">
        <v>78.677199999999999</v>
      </c>
      <c r="E1557" s="4">
        <v>15</v>
      </c>
      <c r="F1557" s="4">
        <v>102.02</v>
      </c>
      <c r="G1557" s="4">
        <v>1530.3</v>
      </c>
      <c r="H1557" s="5">
        <f t="shared" si="24"/>
        <v>-2.8381459060405931E-2</v>
      </c>
    </row>
    <row r="1558" spans="1:8" ht="13.5" x14ac:dyDescent="0.25">
      <c r="A1558" s="1"/>
      <c r="B1558" s="3">
        <v>44579</v>
      </c>
      <c r="C1558" s="4">
        <v>102.02</v>
      </c>
      <c r="D1558" s="4">
        <v>78.677199999999999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104</v>
      </c>
      <c r="D1559" s="4">
        <v>80.2042</v>
      </c>
      <c r="E1559" s="4">
        <v>5</v>
      </c>
      <c r="F1559" s="4">
        <v>104</v>
      </c>
      <c r="G1559" s="4">
        <v>520</v>
      </c>
      <c r="H1559" s="5">
        <f t="shared" si="24"/>
        <v>1.9408418194851888E-2</v>
      </c>
    </row>
    <row r="1560" spans="1:8" ht="13.5" x14ac:dyDescent="0.25">
      <c r="A1560" s="1"/>
      <c r="B1560" s="3">
        <v>44581</v>
      </c>
      <c r="C1560" s="4">
        <v>102.01</v>
      </c>
      <c r="D1560" s="4">
        <v>78.669499999999999</v>
      </c>
      <c r="E1560" s="4">
        <v>198</v>
      </c>
      <c r="F1560" s="4">
        <v>102.5</v>
      </c>
      <c r="G1560" s="4">
        <v>20295</v>
      </c>
      <c r="H1560" s="5">
        <f t="shared" si="24"/>
        <v>-1.9134908146954909E-2</v>
      </c>
    </row>
    <row r="1561" spans="1:8" ht="13.5" x14ac:dyDescent="0.25">
      <c r="A1561" s="1"/>
      <c r="B1561" s="3">
        <v>44582</v>
      </c>
      <c r="C1561" s="4">
        <v>102.01</v>
      </c>
      <c r="D1561" s="4">
        <v>78.669499999999999</v>
      </c>
      <c r="E1561" s="4">
        <v>47</v>
      </c>
      <c r="F1561" s="4">
        <v>102.01</v>
      </c>
      <c r="G1561" s="4">
        <v>4794.47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102.01</v>
      </c>
      <c r="D1562" s="4">
        <v>78.669499999999999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102</v>
      </c>
      <c r="D1563" s="4">
        <v>78.661799999999999</v>
      </c>
      <c r="E1563" s="4">
        <v>44</v>
      </c>
      <c r="F1563" s="4">
        <v>102</v>
      </c>
      <c r="G1563" s="4">
        <v>4488</v>
      </c>
      <c r="H1563" s="5">
        <f t="shared" si="24"/>
        <v>-9.7877830671350632E-5</v>
      </c>
    </row>
    <row r="1564" spans="1:8" ht="13.5" x14ac:dyDescent="0.25">
      <c r="A1564" s="1"/>
      <c r="B1564" s="3">
        <v>44587</v>
      </c>
      <c r="C1564" s="4">
        <v>102</v>
      </c>
      <c r="D1564" s="4">
        <v>78.661799999999999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98.01</v>
      </c>
      <c r="D1565" s="4">
        <v>75.584699999999998</v>
      </c>
      <c r="E1565" s="4">
        <v>2</v>
      </c>
      <c r="F1565" s="4">
        <v>98.01</v>
      </c>
      <c r="G1565" s="4">
        <v>196.02</v>
      </c>
      <c r="H1565" s="5">
        <f t="shared" si="24"/>
        <v>-3.9118097984027843E-2</v>
      </c>
    </row>
    <row r="1566" spans="1:8" ht="13.5" x14ac:dyDescent="0.25">
      <c r="A1566" s="1"/>
      <c r="B1566" s="3">
        <v>44589</v>
      </c>
      <c r="C1566" s="4">
        <v>99.26</v>
      </c>
      <c r="D1566" s="4">
        <v>76.548699999999997</v>
      </c>
      <c r="E1566" s="4">
        <v>20</v>
      </c>
      <c r="F1566" s="4">
        <v>99.26</v>
      </c>
      <c r="G1566" s="4">
        <v>1985.2</v>
      </c>
      <c r="H1566" s="5">
        <f t="shared" si="24"/>
        <v>1.2753903898540295E-2</v>
      </c>
    </row>
    <row r="1567" spans="1:8" ht="13.5" x14ac:dyDescent="0.25">
      <c r="A1567" s="1"/>
      <c r="B1567" s="3">
        <v>44592</v>
      </c>
      <c r="C1567" s="4">
        <v>99.26</v>
      </c>
      <c r="D1567" s="4">
        <v>76.548699999999997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103.5</v>
      </c>
      <c r="D1568" s="4">
        <v>79.818600000000004</v>
      </c>
      <c r="E1568" s="4">
        <v>823</v>
      </c>
      <c r="F1568" s="4">
        <v>103.501</v>
      </c>
      <c r="G1568" s="4">
        <v>85181.323000000004</v>
      </c>
      <c r="H1568" s="5">
        <f t="shared" si="24"/>
        <v>4.2716597407924724E-2</v>
      </c>
    </row>
    <row r="1569" spans="1:8" ht="13.5" x14ac:dyDescent="0.25">
      <c r="A1569" s="1"/>
      <c r="B1569" s="3">
        <v>44594</v>
      </c>
      <c r="C1569" s="4">
        <v>103.5</v>
      </c>
      <c r="D1569" s="4">
        <v>79.818600000000004</v>
      </c>
      <c r="E1569" s="4">
        <v>179</v>
      </c>
      <c r="F1569" s="4">
        <v>103.5</v>
      </c>
      <c r="G1569" s="4">
        <v>18526.5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103.5</v>
      </c>
      <c r="D1570" s="4">
        <v>79.818600000000004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103.5</v>
      </c>
      <c r="D1571" s="4">
        <v>79.818600000000004</v>
      </c>
      <c r="E1571" s="4">
        <v>483</v>
      </c>
      <c r="F1571" s="4">
        <v>103.5</v>
      </c>
      <c r="G1571" s="4">
        <v>49990.5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103.5</v>
      </c>
      <c r="D1572" s="4">
        <v>79.818600000000004</v>
      </c>
      <c r="E1572" s="4">
        <v>0</v>
      </c>
      <c r="F1572" s="4">
        <v>0</v>
      </c>
      <c r="G1572" s="4">
        <v>0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103.5</v>
      </c>
      <c r="D1573" s="4">
        <v>79.818600000000004</v>
      </c>
      <c r="E1573" s="4">
        <v>136</v>
      </c>
      <c r="F1573" s="4">
        <v>103.5</v>
      </c>
      <c r="G1573" s="4">
        <v>14076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103.5</v>
      </c>
      <c r="D1574" s="4">
        <v>79.818600000000004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103.5</v>
      </c>
      <c r="D1575" s="4">
        <v>79.818600000000004</v>
      </c>
      <c r="E1575" s="4">
        <v>0</v>
      </c>
      <c r="F1575" s="4">
        <v>0</v>
      </c>
      <c r="G1575" s="4">
        <v>0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103.5</v>
      </c>
      <c r="D1576" s="4">
        <v>79.818600000000004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100</v>
      </c>
      <c r="D1577" s="4">
        <v>77.119399999999999</v>
      </c>
      <c r="E1577" s="4">
        <v>168</v>
      </c>
      <c r="F1577" s="4">
        <v>102.89400000000001</v>
      </c>
      <c r="G1577" s="4">
        <v>17286.191999999999</v>
      </c>
      <c r="H1577" s="5">
        <f t="shared" si="24"/>
        <v>-3.3816679320358971E-2</v>
      </c>
    </row>
    <row r="1578" spans="1:8" ht="13.5" x14ac:dyDescent="0.25">
      <c r="A1578" s="1"/>
      <c r="B1578" s="3">
        <v>44607</v>
      </c>
      <c r="C1578" s="4">
        <v>99.75</v>
      </c>
      <c r="D1578" s="4">
        <v>76.926599999999993</v>
      </c>
      <c r="E1578" s="4">
        <v>7</v>
      </c>
      <c r="F1578" s="4">
        <v>99.75</v>
      </c>
      <c r="G1578" s="4">
        <v>698.25</v>
      </c>
      <c r="H1578" s="5">
        <f t="shared" si="24"/>
        <v>-2.5000194503588644E-3</v>
      </c>
    </row>
    <row r="1579" spans="1:8" ht="13.5" x14ac:dyDescent="0.25">
      <c r="A1579" s="1"/>
      <c r="B1579" s="3">
        <v>44608</v>
      </c>
      <c r="C1579" s="4">
        <v>99.75</v>
      </c>
      <c r="D1579" s="4">
        <v>76.926599999999993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100</v>
      </c>
      <c r="D1580" s="4">
        <v>77.119399999999999</v>
      </c>
      <c r="E1580" s="4">
        <v>187</v>
      </c>
      <c r="F1580" s="4">
        <v>100</v>
      </c>
      <c r="G1580" s="4">
        <v>18700</v>
      </c>
      <c r="H1580" s="5">
        <f t="shared" si="24"/>
        <v>2.5062852121373546E-3</v>
      </c>
    </row>
    <row r="1581" spans="1:8" ht="13.5" x14ac:dyDescent="0.25">
      <c r="A1581" s="1"/>
      <c r="B1581" s="3">
        <v>44610</v>
      </c>
      <c r="C1581" s="4">
        <v>100</v>
      </c>
      <c r="D1581" s="4">
        <v>77.119399999999999</v>
      </c>
      <c r="E1581" s="4">
        <v>8</v>
      </c>
      <c r="F1581" s="4">
        <v>100</v>
      </c>
      <c r="G1581" s="4">
        <v>800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100</v>
      </c>
      <c r="D1582" s="4">
        <v>77.119399999999999</v>
      </c>
      <c r="E1582" s="4">
        <v>55</v>
      </c>
      <c r="F1582" s="4">
        <v>100</v>
      </c>
      <c r="G1582" s="4">
        <v>5500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100</v>
      </c>
      <c r="D1583" s="4">
        <v>77.119399999999999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99.74</v>
      </c>
      <c r="D1584" s="4">
        <v>76.918899999999994</v>
      </c>
      <c r="E1584" s="4">
        <v>25</v>
      </c>
      <c r="F1584" s="4">
        <v>99.75</v>
      </c>
      <c r="G1584" s="4">
        <v>2493.75</v>
      </c>
      <c r="H1584" s="5">
        <f t="shared" si="24"/>
        <v>-2.5998646255028595E-3</v>
      </c>
    </row>
    <row r="1585" spans="1:8" ht="13.5" x14ac:dyDescent="0.25">
      <c r="A1585" s="1"/>
      <c r="B1585" s="3">
        <v>44616</v>
      </c>
      <c r="C1585" s="4">
        <v>97</v>
      </c>
      <c r="D1585" s="4">
        <v>74.805800000000005</v>
      </c>
      <c r="E1585" s="4">
        <v>160</v>
      </c>
      <c r="F1585" s="4">
        <v>97</v>
      </c>
      <c r="G1585" s="4">
        <v>15520</v>
      </c>
      <c r="H1585" s="5">
        <f t="shared" si="24"/>
        <v>-2.7471791718290159E-2</v>
      </c>
    </row>
    <row r="1586" spans="1:8" ht="13.5" x14ac:dyDescent="0.25">
      <c r="A1586" s="1"/>
      <c r="B1586" s="3">
        <v>44617</v>
      </c>
      <c r="C1586" s="4">
        <v>98</v>
      </c>
      <c r="D1586" s="4">
        <v>75.576999999999998</v>
      </c>
      <c r="E1586" s="4">
        <v>8</v>
      </c>
      <c r="F1586" s="4">
        <v>96.674999999999997</v>
      </c>
      <c r="G1586" s="4">
        <v>773.4</v>
      </c>
      <c r="H1586" s="5">
        <f t="shared" si="24"/>
        <v>1.0309361038849838E-2</v>
      </c>
    </row>
    <row r="1587" spans="1:8" ht="13.5" x14ac:dyDescent="0.25">
      <c r="A1587" s="1"/>
      <c r="B1587" s="3">
        <v>44620</v>
      </c>
      <c r="C1587" s="4">
        <v>98</v>
      </c>
      <c r="D1587" s="4">
        <v>75.576999999999998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98</v>
      </c>
      <c r="D1588" s="4">
        <v>75.576999999999998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97.4</v>
      </c>
      <c r="D1589" s="4">
        <v>75.1143</v>
      </c>
      <c r="E1589" s="4">
        <v>41</v>
      </c>
      <c r="F1589" s="4">
        <v>97.216999999999999</v>
      </c>
      <c r="G1589" s="4">
        <v>3985.8969999999999</v>
      </c>
      <c r="H1589" s="5">
        <f t="shared" si="24"/>
        <v>-6.1222329544702503E-3</v>
      </c>
    </row>
    <row r="1590" spans="1:8" ht="13.5" x14ac:dyDescent="0.25">
      <c r="A1590" s="1"/>
      <c r="B1590" s="3">
        <v>44623</v>
      </c>
      <c r="C1590" s="4">
        <v>97.4</v>
      </c>
      <c r="D1590" s="4">
        <v>75.1143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97.4</v>
      </c>
      <c r="D1591" s="4">
        <v>75.1143</v>
      </c>
      <c r="E1591" s="4">
        <v>76</v>
      </c>
      <c r="F1591" s="4">
        <v>97.4</v>
      </c>
      <c r="G1591" s="4">
        <v>7402.4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97.4</v>
      </c>
      <c r="D1592" s="4">
        <v>75.1143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97.4</v>
      </c>
      <c r="D1593" s="4">
        <v>75.1143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97.4</v>
      </c>
      <c r="D1594" s="4">
        <v>75.1143</v>
      </c>
      <c r="E1594" s="4">
        <v>0</v>
      </c>
      <c r="F1594" s="4">
        <v>0</v>
      </c>
      <c r="G1594" s="4">
        <v>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97.4</v>
      </c>
      <c r="D1595" s="4">
        <v>75.1143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97.4</v>
      </c>
      <c r="D1596" s="4">
        <v>75.1143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97.4</v>
      </c>
      <c r="D1597" s="4">
        <v>75.1143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97.4</v>
      </c>
      <c r="D1598" s="4">
        <v>75.1143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98</v>
      </c>
      <c r="D1599" s="4">
        <v>75.576999999999998</v>
      </c>
      <c r="E1599" s="4">
        <v>6</v>
      </c>
      <c r="F1599" s="4">
        <v>98</v>
      </c>
      <c r="G1599" s="4">
        <v>588</v>
      </c>
      <c r="H1599" s="5">
        <f t="shared" si="24"/>
        <v>6.159945576275065E-3</v>
      </c>
    </row>
    <row r="1600" spans="1:8" ht="13.5" x14ac:dyDescent="0.25">
      <c r="A1600" s="1"/>
      <c r="B1600" s="3">
        <v>44637</v>
      </c>
      <c r="C1600" s="4">
        <v>99.4</v>
      </c>
      <c r="D1600" s="4">
        <v>76.656700000000001</v>
      </c>
      <c r="E1600" s="4">
        <v>15</v>
      </c>
      <c r="F1600" s="4">
        <v>99.4</v>
      </c>
      <c r="G1600" s="4">
        <v>1491</v>
      </c>
      <c r="H1600" s="5">
        <f t="shared" si="24"/>
        <v>1.4286092329677052E-2</v>
      </c>
    </row>
    <row r="1601" spans="1:8" ht="13.5" x14ac:dyDescent="0.25">
      <c r="A1601" s="1"/>
      <c r="B1601" s="3">
        <v>44638</v>
      </c>
      <c r="C1601" s="4">
        <v>99.4</v>
      </c>
      <c r="D1601" s="4">
        <v>76.656700000000001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98</v>
      </c>
      <c r="D1602" s="4">
        <v>75.576999999999998</v>
      </c>
      <c r="E1602" s="4">
        <v>200</v>
      </c>
      <c r="F1602" s="4">
        <v>98</v>
      </c>
      <c r="G1602" s="4">
        <v>19600</v>
      </c>
      <c r="H1602" s="5">
        <f t="shared" si="24"/>
        <v>-1.4084874511947456E-2</v>
      </c>
    </row>
    <row r="1603" spans="1:8" ht="13.5" x14ac:dyDescent="0.25">
      <c r="A1603" s="1"/>
      <c r="B1603" s="3">
        <v>44642</v>
      </c>
      <c r="C1603" s="4">
        <v>98</v>
      </c>
      <c r="D1603" s="4">
        <v>75.576999999999998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98.3</v>
      </c>
      <c r="D1604" s="4">
        <v>75.808400000000006</v>
      </c>
      <c r="E1604" s="4">
        <v>58</v>
      </c>
      <c r="F1604" s="4">
        <v>98.3</v>
      </c>
      <c r="G1604" s="4">
        <v>5701.4</v>
      </c>
      <c r="H1604" s="5">
        <f t="shared" si="24"/>
        <v>3.0617780541700229E-3</v>
      </c>
    </row>
    <row r="1605" spans="1:8" ht="13.5" x14ac:dyDescent="0.25">
      <c r="A1605" s="1"/>
      <c r="B1605" s="3">
        <v>44644</v>
      </c>
      <c r="C1605" s="4">
        <v>98.3</v>
      </c>
      <c r="D1605" s="4">
        <v>75.808400000000006</v>
      </c>
      <c r="E1605" s="4">
        <v>45</v>
      </c>
      <c r="F1605" s="4">
        <v>98.3</v>
      </c>
      <c r="G1605" s="4">
        <v>4423.5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98.3</v>
      </c>
      <c r="D1606" s="4">
        <v>75.808400000000006</v>
      </c>
      <c r="E1606" s="4">
        <v>100</v>
      </c>
      <c r="F1606" s="4">
        <v>98.3</v>
      </c>
      <c r="G1606" s="4">
        <v>9830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99.3</v>
      </c>
      <c r="D1607" s="4">
        <v>76.579599999999999</v>
      </c>
      <c r="E1607" s="4">
        <v>103</v>
      </c>
      <c r="F1607" s="4">
        <v>98.037999999999997</v>
      </c>
      <c r="G1607" s="4">
        <v>10097.914000000001</v>
      </c>
      <c r="H1607" s="5">
        <f t="shared" ref="H1607:H1670" si="25">(D1607-D1606)/D1606</f>
        <v>1.0173015127611098E-2</v>
      </c>
    </row>
    <row r="1608" spans="1:8" ht="13.5" x14ac:dyDescent="0.25">
      <c r="A1608" s="1"/>
      <c r="B1608" s="3">
        <v>44649</v>
      </c>
      <c r="C1608" s="4">
        <v>98</v>
      </c>
      <c r="D1608" s="4">
        <v>75.576999999999998</v>
      </c>
      <c r="E1608" s="4">
        <v>124</v>
      </c>
      <c r="F1608" s="4">
        <v>98</v>
      </c>
      <c r="G1608" s="4">
        <v>12152</v>
      </c>
      <c r="H1608" s="5">
        <f t="shared" si="25"/>
        <v>-1.3092259557375608E-2</v>
      </c>
    </row>
    <row r="1609" spans="1:8" ht="13.5" x14ac:dyDescent="0.25">
      <c r="A1609" s="1"/>
      <c r="B1609" s="3">
        <v>44650</v>
      </c>
      <c r="C1609" s="4">
        <v>98</v>
      </c>
      <c r="D1609" s="4">
        <v>75.576999999999998</v>
      </c>
      <c r="E1609" s="4">
        <v>107</v>
      </c>
      <c r="F1609" s="4">
        <v>98</v>
      </c>
      <c r="G1609" s="4">
        <v>10486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98</v>
      </c>
      <c r="D1610" s="4">
        <v>75.576999999999998</v>
      </c>
      <c r="E1610" s="4">
        <v>100</v>
      </c>
      <c r="F1610" s="4">
        <v>98</v>
      </c>
      <c r="G1610" s="4">
        <v>9800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98</v>
      </c>
      <c r="D1611" s="4">
        <v>75.576999999999998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98</v>
      </c>
      <c r="D1612" s="4">
        <v>75.576999999999998</v>
      </c>
      <c r="E1612" s="4">
        <v>463</v>
      </c>
      <c r="F1612" s="4">
        <v>98</v>
      </c>
      <c r="G1612" s="4">
        <v>45374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98</v>
      </c>
      <c r="D1613" s="4">
        <v>75.576999999999998</v>
      </c>
      <c r="E1613" s="4">
        <v>12</v>
      </c>
      <c r="F1613" s="4">
        <v>98</v>
      </c>
      <c r="G1613" s="4">
        <v>1176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97</v>
      </c>
      <c r="D1614" s="4">
        <v>74.805800000000005</v>
      </c>
      <c r="E1614" s="4">
        <v>10</v>
      </c>
      <c r="F1614" s="4">
        <v>97</v>
      </c>
      <c r="G1614" s="4">
        <v>970</v>
      </c>
      <c r="H1614" s="5">
        <f t="shared" si="25"/>
        <v>-1.0204162642073557E-2</v>
      </c>
    </row>
    <row r="1615" spans="1:8" ht="13.5" x14ac:dyDescent="0.25">
      <c r="A1615" s="1"/>
      <c r="B1615" s="3">
        <v>44658</v>
      </c>
      <c r="C1615" s="4">
        <v>97</v>
      </c>
      <c r="D1615" s="4">
        <v>74.805800000000005</v>
      </c>
      <c r="E1615" s="4">
        <v>41</v>
      </c>
      <c r="F1615" s="4">
        <v>97</v>
      </c>
      <c r="G1615" s="4">
        <v>3977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94.95</v>
      </c>
      <c r="D1616" s="4">
        <v>73.224900000000005</v>
      </c>
      <c r="E1616" s="4">
        <v>762</v>
      </c>
      <c r="F1616" s="4">
        <v>94.95</v>
      </c>
      <c r="G1616" s="4">
        <v>72351.899999999994</v>
      </c>
      <c r="H1616" s="5">
        <f t="shared" si="25"/>
        <v>-2.113338805279804E-2</v>
      </c>
    </row>
    <row r="1617" spans="1:8" ht="13.5" x14ac:dyDescent="0.25">
      <c r="A1617" s="1"/>
      <c r="B1617" s="3">
        <v>44662</v>
      </c>
      <c r="C1617" s="4">
        <v>94.95</v>
      </c>
      <c r="D1617" s="4">
        <v>73.224900000000005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94.94</v>
      </c>
      <c r="D1618" s="4">
        <v>73.217200000000005</v>
      </c>
      <c r="E1618" s="4">
        <v>11</v>
      </c>
      <c r="F1618" s="4">
        <v>94.94</v>
      </c>
      <c r="G1618" s="4">
        <v>1044.3399999999999</v>
      </c>
      <c r="H1618" s="5">
        <f t="shared" si="25"/>
        <v>-1.0515548672650721E-4</v>
      </c>
    </row>
    <row r="1619" spans="1:8" ht="13.5" x14ac:dyDescent="0.25">
      <c r="A1619" s="1"/>
      <c r="B1619" s="3">
        <v>44664</v>
      </c>
      <c r="C1619" s="4">
        <v>94.94</v>
      </c>
      <c r="D1619" s="4">
        <v>73.217200000000005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94.95</v>
      </c>
      <c r="D1620" s="4">
        <v>73.224900000000005</v>
      </c>
      <c r="E1620" s="4">
        <v>2</v>
      </c>
      <c r="F1620" s="4">
        <v>94.95</v>
      </c>
      <c r="G1620" s="4">
        <v>189.9</v>
      </c>
      <c r="H1620" s="5">
        <f t="shared" si="25"/>
        <v>1.0516654556579353E-4</v>
      </c>
    </row>
    <row r="1621" spans="1:8" ht="13.5" x14ac:dyDescent="0.25">
      <c r="A1621" s="1"/>
      <c r="B1621" s="3">
        <v>44666</v>
      </c>
      <c r="C1621" s="4">
        <v>94.95</v>
      </c>
      <c r="D1621" s="4">
        <v>73.224900000000005</v>
      </c>
      <c r="E1621" s="4">
        <v>3</v>
      </c>
      <c r="F1621" s="4">
        <v>94.95</v>
      </c>
      <c r="G1621" s="4">
        <v>284.85000000000002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94.95</v>
      </c>
      <c r="D1622" s="4">
        <v>73.224900000000005</v>
      </c>
      <c r="E1622" s="4">
        <v>10</v>
      </c>
      <c r="F1622" s="4">
        <v>94.95</v>
      </c>
      <c r="G1622" s="4">
        <v>949.5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94.95</v>
      </c>
      <c r="D1623" s="4">
        <v>73.224900000000005</v>
      </c>
      <c r="E1623" s="4">
        <v>248</v>
      </c>
      <c r="F1623" s="4">
        <v>94.95</v>
      </c>
      <c r="G1623" s="4">
        <v>23547.599999999999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94.5</v>
      </c>
      <c r="D1624" s="4">
        <v>72.877899999999997</v>
      </c>
      <c r="E1624" s="4">
        <v>51</v>
      </c>
      <c r="F1624" s="4">
        <v>94.5</v>
      </c>
      <c r="G1624" s="4">
        <v>4819.5</v>
      </c>
      <c r="H1624" s="5">
        <f t="shared" si="25"/>
        <v>-4.7388251810519151E-3</v>
      </c>
    </row>
    <row r="1625" spans="1:8" ht="13.5" x14ac:dyDescent="0.25">
      <c r="A1625" s="1"/>
      <c r="B1625" s="3">
        <v>44672</v>
      </c>
      <c r="C1625" s="4">
        <v>94.49</v>
      </c>
      <c r="D1625" s="4">
        <v>72.870099999999994</v>
      </c>
      <c r="E1625" s="4">
        <v>25</v>
      </c>
      <c r="F1625" s="4">
        <v>94.49</v>
      </c>
      <c r="G1625" s="4">
        <v>2362.25</v>
      </c>
      <c r="H1625" s="5">
        <f t="shared" si="25"/>
        <v>-1.0702833094810825E-4</v>
      </c>
    </row>
    <row r="1626" spans="1:8" ht="13.5" x14ac:dyDescent="0.25">
      <c r="A1626" s="1"/>
      <c r="B1626" s="3">
        <v>44673</v>
      </c>
      <c r="C1626" s="4">
        <v>94.49</v>
      </c>
      <c r="D1626" s="4">
        <v>72.870099999999994</v>
      </c>
      <c r="E1626" s="4">
        <v>60</v>
      </c>
      <c r="F1626" s="4">
        <v>94.49</v>
      </c>
      <c r="G1626" s="4">
        <v>5669.4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94.5</v>
      </c>
      <c r="D1627" s="4">
        <v>72.877899999999997</v>
      </c>
      <c r="E1627" s="4">
        <v>10</v>
      </c>
      <c r="F1627" s="4">
        <v>94.5</v>
      </c>
      <c r="G1627" s="4">
        <v>945</v>
      </c>
      <c r="H1627" s="5">
        <f t="shared" si="25"/>
        <v>1.0703978723788136E-4</v>
      </c>
    </row>
    <row r="1628" spans="1:8" ht="13.5" x14ac:dyDescent="0.25">
      <c r="A1628" s="1"/>
      <c r="B1628" s="3">
        <v>44677</v>
      </c>
      <c r="C1628" s="4">
        <v>94.5</v>
      </c>
      <c r="D1628" s="4">
        <v>72.877899999999997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94.5</v>
      </c>
      <c r="D1629" s="4">
        <v>72.877899999999997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94.5</v>
      </c>
      <c r="D1630" s="4">
        <v>72.877899999999997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94.5</v>
      </c>
      <c r="D1631" s="4">
        <v>72.877899999999997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94.5</v>
      </c>
      <c r="D1632" s="4">
        <v>72.877899999999997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94.5</v>
      </c>
      <c r="D1633" s="4">
        <v>72.877899999999997</v>
      </c>
      <c r="E1633" s="4">
        <v>3</v>
      </c>
      <c r="F1633" s="4">
        <v>94.5</v>
      </c>
      <c r="G1633" s="4">
        <v>283.5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94.5</v>
      </c>
      <c r="D1634" s="4">
        <v>72.877899999999997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94.5</v>
      </c>
      <c r="D1635" s="4">
        <v>72.877899999999997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94.5</v>
      </c>
      <c r="D1636" s="4">
        <v>72.877899999999997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98.75</v>
      </c>
      <c r="D1637" s="4">
        <v>76.1554</v>
      </c>
      <c r="E1637" s="4">
        <v>10</v>
      </c>
      <c r="F1637" s="4">
        <v>98.75</v>
      </c>
      <c r="G1637" s="4">
        <v>987.5</v>
      </c>
      <c r="H1637" s="5">
        <f t="shared" si="25"/>
        <v>4.4972481369523594E-2</v>
      </c>
    </row>
    <row r="1638" spans="1:8" ht="13.5" x14ac:dyDescent="0.25">
      <c r="A1638" s="1"/>
      <c r="B1638" s="3">
        <v>44693</v>
      </c>
      <c r="C1638" s="4">
        <v>98.75</v>
      </c>
      <c r="D1638" s="4">
        <v>76.1554</v>
      </c>
      <c r="E1638" s="4">
        <v>10</v>
      </c>
      <c r="F1638" s="4">
        <v>98.75</v>
      </c>
      <c r="G1638" s="4">
        <v>987.5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98.75</v>
      </c>
      <c r="D1639" s="4">
        <v>76.1554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98.75</v>
      </c>
      <c r="D1640" s="4">
        <v>76.1554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98</v>
      </c>
      <c r="D1641" s="4">
        <v>75.576999999999998</v>
      </c>
      <c r="E1641" s="4">
        <v>18</v>
      </c>
      <c r="F1641" s="4">
        <v>98.417000000000002</v>
      </c>
      <c r="G1641" s="4">
        <v>1771.5060000000001</v>
      </c>
      <c r="H1641" s="5">
        <f t="shared" si="25"/>
        <v>-7.594996546535138E-3</v>
      </c>
    </row>
    <row r="1642" spans="1:8" ht="13.5" x14ac:dyDescent="0.25">
      <c r="A1642" s="1"/>
      <c r="B1642" s="3">
        <v>44699</v>
      </c>
      <c r="C1642" s="4">
        <v>98</v>
      </c>
      <c r="D1642" s="4">
        <v>75.576999999999998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98</v>
      </c>
      <c r="D1643" s="4">
        <v>75.576999999999998</v>
      </c>
      <c r="E1643" s="4">
        <v>1</v>
      </c>
      <c r="F1643" s="4">
        <v>98</v>
      </c>
      <c r="G1643" s="4">
        <v>98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98</v>
      </c>
      <c r="D1644" s="4">
        <v>75.576999999999998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98</v>
      </c>
      <c r="D1645" s="4">
        <v>75.576999999999998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98</v>
      </c>
      <c r="D1646" s="4">
        <v>75.576999999999998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97</v>
      </c>
      <c r="D1647" s="4">
        <v>74.805800000000005</v>
      </c>
      <c r="E1647" s="4">
        <v>12</v>
      </c>
      <c r="F1647" s="4">
        <v>97</v>
      </c>
      <c r="G1647" s="4">
        <v>1164</v>
      </c>
      <c r="H1647" s="5">
        <f t="shared" si="25"/>
        <v>-1.0204162642073557E-2</v>
      </c>
    </row>
    <row r="1648" spans="1:8" ht="13.5" x14ac:dyDescent="0.25">
      <c r="A1648" s="1"/>
      <c r="B1648" s="3">
        <v>44707</v>
      </c>
      <c r="C1648" s="4">
        <v>97</v>
      </c>
      <c r="D1648" s="4">
        <v>74.805800000000005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97</v>
      </c>
      <c r="D1649" s="4">
        <v>74.805800000000005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97</v>
      </c>
      <c r="D1650" s="4">
        <v>74.805800000000005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97</v>
      </c>
      <c r="D1651" s="4">
        <v>74.805800000000005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97</v>
      </c>
      <c r="D1652" s="4">
        <v>74.805800000000005</v>
      </c>
      <c r="E1652" s="4">
        <v>110</v>
      </c>
      <c r="F1652" s="4">
        <v>97</v>
      </c>
      <c r="G1652" s="4">
        <v>10670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97</v>
      </c>
      <c r="D1653" s="4">
        <v>74.805800000000005</v>
      </c>
      <c r="E1653" s="4">
        <v>100</v>
      </c>
      <c r="F1653" s="4">
        <v>97</v>
      </c>
      <c r="G1653" s="4">
        <v>9700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97</v>
      </c>
      <c r="D1654" s="4">
        <v>74.805800000000005</v>
      </c>
      <c r="E1654" s="4">
        <v>10</v>
      </c>
      <c r="F1654" s="4">
        <v>97</v>
      </c>
      <c r="G1654" s="4">
        <v>970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97</v>
      </c>
      <c r="D1655" s="4">
        <v>74.805800000000005</v>
      </c>
      <c r="E1655" s="4">
        <v>45</v>
      </c>
      <c r="F1655" s="4">
        <v>97</v>
      </c>
      <c r="G1655" s="4">
        <v>4365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96.99</v>
      </c>
      <c r="D1656" s="4">
        <v>74.798100000000005</v>
      </c>
      <c r="E1656" s="4">
        <v>51</v>
      </c>
      <c r="F1656" s="4">
        <v>96.99</v>
      </c>
      <c r="G1656" s="4">
        <v>4946.49</v>
      </c>
      <c r="H1656" s="5">
        <f t="shared" si="25"/>
        <v>-1.0293319501963508E-4</v>
      </c>
    </row>
    <row r="1657" spans="1:8" ht="13.5" x14ac:dyDescent="0.25">
      <c r="A1657" s="1"/>
      <c r="B1657" s="3">
        <v>44720</v>
      </c>
      <c r="C1657" s="4">
        <v>93</v>
      </c>
      <c r="D1657" s="4">
        <v>71.721100000000007</v>
      </c>
      <c r="E1657" s="4">
        <v>47</v>
      </c>
      <c r="F1657" s="4">
        <v>93</v>
      </c>
      <c r="G1657" s="4">
        <v>4371</v>
      </c>
      <c r="H1657" s="5">
        <f t="shared" si="25"/>
        <v>-4.1137408570538526E-2</v>
      </c>
    </row>
    <row r="1658" spans="1:8" ht="13.5" x14ac:dyDescent="0.25">
      <c r="A1658" s="1"/>
      <c r="B1658" s="3">
        <v>44721</v>
      </c>
      <c r="C1658" s="4">
        <v>90.11</v>
      </c>
      <c r="D1658" s="4">
        <v>69.4923</v>
      </c>
      <c r="E1658" s="4">
        <v>64</v>
      </c>
      <c r="F1658" s="4">
        <v>90.11</v>
      </c>
      <c r="G1658" s="4">
        <v>5767.04</v>
      </c>
      <c r="H1658" s="5">
        <f t="shared" si="25"/>
        <v>-3.107593162960421E-2</v>
      </c>
    </row>
    <row r="1659" spans="1:8" ht="13.5" x14ac:dyDescent="0.25">
      <c r="A1659" s="1"/>
      <c r="B1659" s="3">
        <v>44722</v>
      </c>
      <c r="C1659" s="4">
        <v>94.16</v>
      </c>
      <c r="D1659" s="4">
        <v>72.615600000000001</v>
      </c>
      <c r="E1659" s="4">
        <v>200</v>
      </c>
      <c r="F1659" s="4">
        <v>94.16</v>
      </c>
      <c r="G1659" s="4">
        <v>18832</v>
      </c>
      <c r="H1659" s="5">
        <f t="shared" si="25"/>
        <v>4.4944547813210965E-2</v>
      </c>
    </row>
    <row r="1660" spans="1:8" ht="13.5" x14ac:dyDescent="0.25">
      <c r="A1660" s="1"/>
      <c r="B1660" s="3">
        <v>44725</v>
      </c>
      <c r="C1660" s="4">
        <v>94.16</v>
      </c>
      <c r="D1660" s="4">
        <v>72.615600000000001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97</v>
      </c>
      <c r="D1661" s="4">
        <v>74.805800000000005</v>
      </c>
      <c r="E1661" s="4">
        <v>7</v>
      </c>
      <c r="F1661" s="4">
        <v>97</v>
      </c>
      <c r="G1661" s="4">
        <v>679</v>
      </c>
      <c r="H1661" s="5">
        <f t="shared" si="25"/>
        <v>3.0161563080109567E-2</v>
      </c>
    </row>
    <row r="1662" spans="1:8" ht="13.5" x14ac:dyDescent="0.25">
      <c r="A1662" s="1"/>
      <c r="B1662" s="3">
        <v>44727</v>
      </c>
      <c r="C1662" s="4">
        <v>92.67</v>
      </c>
      <c r="D1662" s="4">
        <v>71.4666</v>
      </c>
      <c r="E1662" s="4">
        <v>113</v>
      </c>
      <c r="F1662" s="4">
        <v>94.585999999999999</v>
      </c>
      <c r="G1662" s="4">
        <v>10688.218000000001</v>
      </c>
      <c r="H1662" s="5">
        <f t="shared" si="25"/>
        <v>-4.4638249975269363E-2</v>
      </c>
    </row>
    <row r="1663" spans="1:8" ht="13.5" x14ac:dyDescent="0.25">
      <c r="A1663" s="1"/>
      <c r="B1663" s="3">
        <v>44728</v>
      </c>
      <c r="C1663" s="4">
        <v>92.67</v>
      </c>
      <c r="D1663" s="4">
        <v>71.4666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93.11</v>
      </c>
      <c r="D1664" s="4">
        <v>71.805899999999994</v>
      </c>
      <c r="E1664" s="4">
        <v>10</v>
      </c>
      <c r="F1664" s="4">
        <v>93.11</v>
      </c>
      <c r="G1664" s="4">
        <v>931.1</v>
      </c>
      <c r="H1664" s="5">
        <f t="shared" si="25"/>
        <v>4.7476723392465064E-3</v>
      </c>
    </row>
    <row r="1665" spans="1:8" ht="13.5" x14ac:dyDescent="0.25">
      <c r="A1665" s="1"/>
      <c r="B1665" s="3">
        <v>44732</v>
      </c>
      <c r="C1665" s="4">
        <v>96</v>
      </c>
      <c r="D1665" s="4">
        <v>74.034599999999998</v>
      </c>
      <c r="E1665" s="4">
        <v>49</v>
      </c>
      <c r="F1665" s="4">
        <v>96</v>
      </c>
      <c r="G1665" s="4">
        <v>4704</v>
      </c>
      <c r="H1665" s="5">
        <f t="shared" si="25"/>
        <v>3.1037839509009756E-2</v>
      </c>
    </row>
    <row r="1666" spans="1:8" ht="13.5" x14ac:dyDescent="0.25">
      <c r="A1666" s="1"/>
      <c r="B1666" s="3">
        <v>44733</v>
      </c>
      <c r="C1666" s="4">
        <v>96</v>
      </c>
      <c r="D1666" s="4">
        <v>74.034599999999998</v>
      </c>
      <c r="E1666" s="4">
        <v>114</v>
      </c>
      <c r="F1666" s="4">
        <v>96</v>
      </c>
      <c r="G1666" s="4">
        <v>10944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96</v>
      </c>
      <c r="D1667" s="4">
        <v>74.034599999999998</v>
      </c>
      <c r="E1667" s="4">
        <v>4</v>
      </c>
      <c r="F1667" s="4">
        <v>96</v>
      </c>
      <c r="G1667" s="4">
        <v>384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94</v>
      </c>
      <c r="D1668" s="4">
        <v>72.4923</v>
      </c>
      <c r="E1668" s="4">
        <v>4</v>
      </c>
      <c r="F1668" s="4">
        <v>94</v>
      </c>
      <c r="G1668" s="4">
        <v>376</v>
      </c>
      <c r="H1668" s="5">
        <f t="shared" si="25"/>
        <v>-2.0832151453509539E-2</v>
      </c>
    </row>
    <row r="1669" spans="1:8" ht="13.5" x14ac:dyDescent="0.25">
      <c r="A1669" s="1"/>
      <c r="B1669" s="3">
        <v>44736</v>
      </c>
      <c r="C1669" s="4">
        <v>97</v>
      </c>
      <c r="D1669" s="4">
        <v>74.805800000000005</v>
      </c>
      <c r="E1669" s="4">
        <v>50</v>
      </c>
      <c r="F1669" s="4">
        <v>97</v>
      </c>
      <c r="G1669" s="4">
        <v>4850</v>
      </c>
      <c r="H1669" s="5">
        <f t="shared" si="25"/>
        <v>3.1913734286262194E-2</v>
      </c>
    </row>
    <row r="1670" spans="1:8" ht="13.5" x14ac:dyDescent="0.25">
      <c r="A1670" s="1"/>
      <c r="B1670" s="3">
        <v>44739</v>
      </c>
      <c r="C1670" s="4">
        <v>97</v>
      </c>
      <c r="D1670" s="4">
        <v>74.805800000000005</v>
      </c>
      <c r="E1670" s="4">
        <v>2</v>
      </c>
      <c r="F1670" s="4">
        <v>97</v>
      </c>
      <c r="G1670" s="4">
        <v>194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97</v>
      </c>
      <c r="D1671" s="4">
        <v>74.805800000000005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96.8</v>
      </c>
      <c r="D1672" s="4">
        <v>74.651600000000002</v>
      </c>
      <c r="E1672" s="4">
        <v>14</v>
      </c>
      <c r="F1672" s="4">
        <v>96.8</v>
      </c>
      <c r="G1672" s="4">
        <v>1355.2</v>
      </c>
      <c r="H1672" s="5">
        <f t="shared" si="26"/>
        <v>-2.0613374898738198E-3</v>
      </c>
    </row>
    <row r="1673" spans="1:8" ht="13.5" x14ac:dyDescent="0.25">
      <c r="A1673" s="1"/>
      <c r="B1673" s="3">
        <v>44742</v>
      </c>
      <c r="C1673" s="4">
        <v>96.8</v>
      </c>
      <c r="D1673" s="4">
        <v>74.651600000000002</v>
      </c>
      <c r="E1673" s="4">
        <v>42</v>
      </c>
      <c r="F1673" s="4">
        <v>96.8</v>
      </c>
      <c r="G1673" s="4">
        <v>4065.6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96</v>
      </c>
      <c r="D1674" s="4">
        <v>74.034599999999998</v>
      </c>
      <c r="E1674" s="4">
        <v>2</v>
      </c>
      <c r="F1674" s="4">
        <v>96</v>
      </c>
      <c r="G1674" s="4">
        <v>192</v>
      </c>
      <c r="H1674" s="5">
        <f t="shared" si="26"/>
        <v>-8.2650606283054141E-3</v>
      </c>
    </row>
    <row r="1675" spans="1:8" ht="13.5" x14ac:dyDescent="0.25">
      <c r="A1675" s="1"/>
      <c r="B1675" s="3">
        <v>44746</v>
      </c>
      <c r="C1675" s="4">
        <v>96</v>
      </c>
      <c r="D1675" s="4">
        <v>74.034599999999998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96</v>
      </c>
      <c r="D1676" s="4">
        <v>74.034599999999998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96</v>
      </c>
      <c r="D1677" s="4">
        <v>74.034599999999998</v>
      </c>
      <c r="E1677" s="4">
        <v>50</v>
      </c>
      <c r="F1677" s="4">
        <v>96</v>
      </c>
      <c r="G1677" s="4">
        <v>4800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96</v>
      </c>
      <c r="D1678" s="4">
        <v>74.034599999999998</v>
      </c>
      <c r="E1678" s="4">
        <v>51</v>
      </c>
      <c r="F1678" s="4">
        <v>96</v>
      </c>
      <c r="G1678" s="4">
        <v>4896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96</v>
      </c>
      <c r="D1679" s="4">
        <v>74.034599999999998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96</v>
      </c>
      <c r="D1680" s="4">
        <v>74.034599999999998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96.01</v>
      </c>
      <c r="D1681" s="4">
        <v>74.042400000000001</v>
      </c>
      <c r="E1681" s="4">
        <v>15</v>
      </c>
      <c r="F1681" s="4">
        <v>96.01</v>
      </c>
      <c r="G1681" s="4">
        <v>1440.15</v>
      </c>
      <c r="H1681" s="5">
        <f t="shared" si="26"/>
        <v>1.0535614428933416E-4</v>
      </c>
    </row>
    <row r="1682" spans="1:8" ht="13.5" x14ac:dyDescent="0.25">
      <c r="A1682" s="1"/>
      <c r="B1682" s="3">
        <v>44755</v>
      </c>
      <c r="C1682" s="4">
        <v>96</v>
      </c>
      <c r="D1682" s="4">
        <v>74.034599999999998</v>
      </c>
      <c r="E1682" s="4">
        <v>1</v>
      </c>
      <c r="F1682" s="4">
        <v>96</v>
      </c>
      <c r="G1682" s="4">
        <v>96</v>
      </c>
      <c r="H1682" s="5">
        <f t="shared" si="26"/>
        <v>-1.0534504554151591E-4</v>
      </c>
    </row>
    <row r="1683" spans="1:8" ht="13.5" x14ac:dyDescent="0.25">
      <c r="A1683" s="1"/>
      <c r="B1683" s="3">
        <v>44756</v>
      </c>
      <c r="C1683" s="4">
        <v>96</v>
      </c>
      <c r="D1683" s="4">
        <v>74.034599999999998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96</v>
      </c>
      <c r="D1684" s="4">
        <v>74.034599999999998</v>
      </c>
      <c r="E1684" s="4">
        <v>88</v>
      </c>
      <c r="F1684" s="4">
        <v>96</v>
      </c>
      <c r="G1684" s="4">
        <v>8448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94.45</v>
      </c>
      <c r="D1685" s="4">
        <v>77.2667</v>
      </c>
      <c r="E1685" s="4">
        <v>20</v>
      </c>
      <c r="F1685" s="4">
        <v>94.45</v>
      </c>
      <c r="G1685" s="4">
        <v>1889</v>
      </c>
      <c r="H1685" s="5">
        <f t="shared" si="26"/>
        <v>4.3656614609925669E-2</v>
      </c>
    </row>
    <row r="1686" spans="1:8" ht="13.5" x14ac:dyDescent="0.25">
      <c r="A1686" s="1"/>
      <c r="B1686" s="3">
        <v>44761</v>
      </c>
      <c r="C1686" s="4">
        <v>90.5</v>
      </c>
      <c r="D1686" s="4">
        <v>74.035300000000007</v>
      </c>
      <c r="E1686" s="4">
        <v>77</v>
      </c>
      <c r="F1686" s="4">
        <v>90.545000000000002</v>
      </c>
      <c r="G1686" s="4">
        <v>6971.9650000000001</v>
      </c>
      <c r="H1686" s="5">
        <f t="shared" si="26"/>
        <v>-4.1821379714676483E-2</v>
      </c>
    </row>
    <row r="1687" spans="1:8" ht="13.5" x14ac:dyDescent="0.25">
      <c r="A1687" s="1"/>
      <c r="B1687" s="3">
        <v>44762</v>
      </c>
      <c r="C1687" s="4">
        <v>90.5</v>
      </c>
      <c r="D1687" s="4">
        <v>74.035300000000007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90.5</v>
      </c>
      <c r="D1688" s="4">
        <v>74.035300000000007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89.7</v>
      </c>
      <c r="D1689" s="4">
        <v>73.380799999999994</v>
      </c>
      <c r="E1689" s="4">
        <v>4</v>
      </c>
      <c r="F1689" s="4">
        <v>89.7</v>
      </c>
      <c r="G1689" s="4">
        <v>358.8</v>
      </c>
      <c r="H1689" s="5">
        <f t="shared" si="26"/>
        <v>-8.8403774956002466E-3</v>
      </c>
    </row>
    <row r="1690" spans="1:8" ht="13.5" x14ac:dyDescent="0.25">
      <c r="A1690" s="1"/>
      <c r="B1690" s="3">
        <v>44768</v>
      </c>
      <c r="C1690" s="4">
        <v>89.99</v>
      </c>
      <c r="D1690" s="4">
        <v>73.618099999999998</v>
      </c>
      <c r="E1690" s="4">
        <v>11</v>
      </c>
      <c r="F1690" s="4">
        <v>89.99</v>
      </c>
      <c r="G1690" s="4">
        <v>989.89</v>
      </c>
      <c r="H1690" s="5">
        <f t="shared" si="26"/>
        <v>3.2338159300526127E-3</v>
      </c>
    </row>
    <row r="1691" spans="1:8" ht="13.5" x14ac:dyDescent="0.25">
      <c r="A1691" s="1"/>
      <c r="B1691" s="3">
        <v>44769</v>
      </c>
      <c r="C1691" s="4">
        <v>89.99</v>
      </c>
      <c r="D1691" s="4">
        <v>73.618099999999998</v>
      </c>
      <c r="E1691" s="4">
        <v>15</v>
      </c>
      <c r="F1691" s="4">
        <v>90.058000000000007</v>
      </c>
      <c r="G1691" s="4">
        <v>1350.87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89.5</v>
      </c>
      <c r="D1692" s="4">
        <v>73.217200000000005</v>
      </c>
      <c r="E1692" s="4">
        <v>24</v>
      </c>
      <c r="F1692" s="4">
        <v>89.724999999999994</v>
      </c>
      <c r="G1692" s="4">
        <v>2153.4</v>
      </c>
      <c r="H1692" s="5">
        <f t="shared" si="26"/>
        <v>-5.4456716486841273E-3</v>
      </c>
    </row>
    <row r="1693" spans="1:8" ht="13.5" x14ac:dyDescent="0.25">
      <c r="A1693" s="1"/>
      <c r="B1693" s="3">
        <v>44771</v>
      </c>
      <c r="C1693" s="4">
        <v>89.1</v>
      </c>
      <c r="D1693" s="4">
        <v>72.89</v>
      </c>
      <c r="E1693" s="4">
        <v>4</v>
      </c>
      <c r="F1693" s="4">
        <v>89.1</v>
      </c>
      <c r="G1693" s="4">
        <v>356.4</v>
      </c>
      <c r="H1693" s="5">
        <f t="shared" si="26"/>
        <v>-4.4688952868998646E-3</v>
      </c>
    </row>
    <row r="1694" spans="1:8" ht="13.5" x14ac:dyDescent="0.25">
      <c r="A1694" s="1"/>
      <c r="B1694" s="3">
        <v>44774</v>
      </c>
      <c r="C1694" s="4">
        <v>89.1</v>
      </c>
      <c r="D1694" s="4">
        <v>72.89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89.1</v>
      </c>
      <c r="D1695" s="4">
        <v>72.89</v>
      </c>
      <c r="E1695" s="4">
        <v>135</v>
      </c>
      <c r="F1695" s="4">
        <v>89.1</v>
      </c>
      <c r="G1695" s="4">
        <v>12028.5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89.1</v>
      </c>
      <c r="D1696" s="4">
        <v>72.89</v>
      </c>
      <c r="E1696" s="4">
        <v>38</v>
      </c>
      <c r="F1696" s="4">
        <v>88.665999999999997</v>
      </c>
      <c r="G1696" s="4">
        <v>3369.308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89</v>
      </c>
      <c r="D1697" s="4">
        <v>72.808199999999999</v>
      </c>
      <c r="E1697" s="4">
        <v>3</v>
      </c>
      <c r="F1697" s="4">
        <v>89</v>
      </c>
      <c r="G1697" s="4">
        <v>267</v>
      </c>
      <c r="H1697" s="5">
        <f t="shared" si="26"/>
        <v>-1.1222389902593114E-3</v>
      </c>
    </row>
    <row r="1698" spans="1:8" ht="13.5" x14ac:dyDescent="0.25">
      <c r="A1698" s="1"/>
      <c r="B1698" s="3">
        <v>44778</v>
      </c>
      <c r="C1698" s="4">
        <v>90</v>
      </c>
      <c r="D1698" s="4">
        <v>73.626300000000001</v>
      </c>
      <c r="E1698" s="4">
        <v>243</v>
      </c>
      <c r="F1698" s="4">
        <v>89.819000000000003</v>
      </c>
      <c r="G1698" s="4">
        <v>21826.017</v>
      </c>
      <c r="H1698" s="5">
        <f t="shared" si="26"/>
        <v>1.1236371727360396E-2</v>
      </c>
    </row>
    <row r="1699" spans="1:8" ht="13.5" x14ac:dyDescent="0.25">
      <c r="A1699" s="1"/>
      <c r="B1699" s="3">
        <v>44781</v>
      </c>
      <c r="C1699" s="4">
        <v>90.01</v>
      </c>
      <c r="D1699" s="4">
        <v>73.634399999999999</v>
      </c>
      <c r="E1699" s="4">
        <v>15</v>
      </c>
      <c r="F1699" s="4">
        <v>91.34</v>
      </c>
      <c r="G1699" s="4">
        <v>1370.1</v>
      </c>
      <c r="H1699" s="5">
        <f t="shared" si="26"/>
        <v>1.1001503538815459E-4</v>
      </c>
    </row>
    <row r="1700" spans="1:8" ht="13.5" x14ac:dyDescent="0.25">
      <c r="A1700" s="1"/>
      <c r="B1700" s="3">
        <v>44782</v>
      </c>
      <c r="C1700" s="4">
        <v>93.49</v>
      </c>
      <c r="D1700" s="4">
        <v>76.481300000000005</v>
      </c>
      <c r="E1700" s="4">
        <v>5</v>
      </c>
      <c r="F1700" s="4">
        <v>93.49</v>
      </c>
      <c r="G1700" s="4">
        <v>467.45</v>
      </c>
      <c r="H1700" s="5">
        <f t="shared" si="26"/>
        <v>3.866263594189679E-2</v>
      </c>
    </row>
    <row r="1701" spans="1:8" ht="13.5" x14ac:dyDescent="0.25">
      <c r="A1701" s="1"/>
      <c r="B1701" s="3">
        <v>44783</v>
      </c>
      <c r="C1701" s="4">
        <v>93.49</v>
      </c>
      <c r="D1701" s="4">
        <v>76.481300000000005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93.49</v>
      </c>
      <c r="D1702" s="4">
        <v>76.481300000000005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92.97</v>
      </c>
      <c r="D1703" s="4">
        <v>76.055899999999994</v>
      </c>
      <c r="E1703" s="4">
        <v>2</v>
      </c>
      <c r="F1703" s="4">
        <v>92.97</v>
      </c>
      <c r="G1703" s="4">
        <v>185.94</v>
      </c>
      <c r="H1703" s="5">
        <f t="shared" si="26"/>
        <v>-5.5621439489131385E-3</v>
      </c>
    </row>
    <row r="1704" spans="1:8" ht="13.5" x14ac:dyDescent="0.25">
      <c r="A1704" s="1"/>
      <c r="B1704" s="3">
        <v>44788</v>
      </c>
      <c r="C1704" s="4">
        <v>92.96</v>
      </c>
      <c r="D1704" s="4">
        <v>76.047799999999995</v>
      </c>
      <c r="E1704" s="4">
        <v>15</v>
      </c>
      <c r="F1704" s="4">
        <v>92.96</v>
      </c>
      <c r="G1704" s="4">
        <v>1394.4</v>
      </c>
      <c r="H1704" s="5">
        <f t="shared" si="26"/>
        <v>-1.06500613364629E-4</v>
      </c>
    </row>
    <row r="1705" spans="1:8" ht="13.5" x14ac:dyDescent="0.25">
      <c r="A1705" s="1"/>
      <c r="B1705" s="3">
        <v>44789</v>
      </c>
      <c r="C1705" s="4">
        <v>92.96</v>
      </c>
      <c r="D1705" s="4">
        <v>76.047799999999995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92.96</v>
      </c>
      <c r="D1706" s="4">
        <v>76.047799999999995</v>
      </c>
      <c r="E1706" s="4">
        <v>11</v>
      </c>
      <c r="F1706" s="4">
        <v>92.96</v>
      </c>
      <c r="G1706" s="4">
        <v>1022.56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92.96</v>
      </c>
      <c r="D1707" s="4">
        <v>76.047799999999995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90.06</v>
      </c>
      <c r="D1708" s="4">
        <v>73.675399999999996</v>
      </c>
      <c r="E1708" s="4">
        <v>8</v>
      </c>
      <c r="F1708" s="4">
        <v>90.058000000000007</v>
      </c>
      <c r="G1708" s="4">
        <v>720.46400000000006</v>
      </c>
      <c r="H1708" s="5">
        <f t="shared" si="26"/>
        <v>-3.1196168725459501E-2</v>
      </c>
    </row>
    <row r="1709" spans="1:8" ht="13.5" x14ac:dyDescent="0.25">
      <c r="A1709" s="1"/>
      <c r="B1709" s="3">
        <v>44795</v>
      </c>
      <c r="C1709" s="4">
        <v>93</v>
      </c>
      <c r="D1709" s="4">
        <v>76.080500000000001</v>
      </c>
      <c r="E1709" s="4">
        <v>16</v>
      </c>
      <c r="F1709" s="4">
        <v>93</v>
      </c>
      <c r="G1709" s="4">
        <v>1488</v>
      </c>
      <c r="H1709" s="5">
        <f t="shared" si="26"/>
        <v>3.2644546212168571E-2</v>
      </c>
    </row>
    <row r="1710" spans="1:8" ht="13.5" x14ac:dyDescent="0.25">
      <c r="A1710" s="1"/>
      <c r="B1710" s="3">
        <v>44796</v>
      </c>
      <c r="C1710" s="4">
        <v>93</v>
      </c>
      <c r="D1710" s="4">
        <v>76.080500000000001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93</v>
      </c>
      <c r="D1711" s="4">
        <v>76.080500000000001</v>
      </c>
      <c r="E1711" s="4">
        <v>4</v>
      </c>
      <c r="F1711" s="4">
        <v>93</v>
      </c>
      <c r="G1711" s="4">
        <v>372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93</v>
      </c>
      <c r="D1712" s="4">
        <v>76.080500000000001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93.5</v>
      </c>
      <c r="D1713" s="4">
        <v>76.489500000000007</v>
      </c>
      <c r="E1713" s="4">
        <v>5</v>
      </c>
      <c r="F1713" s="4">
        <v>93.5</v>
      </c>
      <c r="G1713" s="4">
        <v>467.5</v>
      </c>
      <c r="H1713" s="5">
        <f t="shared" si="26"/>
        <v>5.3758847536491744E-3</v>
      </c>
    </row>
    <row r="1714" spans="1:8" ht="13.5" x14ac:dyDescent="0.25">
      <c r="A1714" s="1"/>
      <c r="B1714" s="3">
        <v>44802</v>
      </c>
      <c r="C1714" s="4">
        <v>94</v>
      </c>
      <c r="D1714" s="4">
        <v>76.898499999999999</v>
      </c>
      <c r="E1714" s="4">
        <v>552</v>
      </c>
      <c r="F1714" s="4">
        <v>94</v>
      </c>
      <c r="G1714" s="4">
        <v>51888</v>
      </c>
      <c r="H1714" s="5">
        <f t="shared" si="26"/>
        <v>5.3471391498178412E-3</v>
      </c>
    </row>
    <row r="1715" spans="1:8" ht="13.5" x14ac:dyDescent="0.25">
      <c r="A1715" s="1"/>
      <c r="B1715" s="3">
        <v>44803</v>
      </c>
      <c r="C1715" s="4">
        <v>94</v>
      </c>
      <c r="D1715" s="4">
        <v>76.898499999999999</v>
      </c>
      <c r="E1715" s="4">
        <v>116</v>
      </c>
      <c r="F1715" s="4">
        <v>94</v>
      </c>
      <c r="G1715" s="4">
        <v>10904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94</v>
      </c>
      <c r="D1716" s="4">
        <v>76.898499999999999</v>
      </c>
      <c r="E1716" s="4">
        <v>30</v>
      </c>
      <c r="F1716" s="4">
        <v>94</v>
      </c>
      <c r="G1716" s="4">
        <v>2820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94</v>
      </c>
      <c r="D1717" s="4">
        <v>76.898499999999999</v>
      </c>
      <c r="E1717" s="4">
        <v>18</v>
      </c>
      <c r="F1717" s="4">
        <v>94</v>
      </c>
      <c r="G1717" s="4">
        <v>1692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93.5</v>
      </c>
      <c r="D1718" s="4">
        <v>76.489500000000007</v>
      </c>
      <c r="E1718" s="4">
        <v>18</v>
      </c>
      <c r="F1718" s="4">
        <v>93.5</v>
      </c>
      <c r="G1718" s="4">
        <v>1683</v>
      </c>
      <c r="H1718" s="5">
        <f t="shared" si="26"/>
        <v>-5.3186993244340505E-3</v>
      </c>
    </row>
    <row r="1719" spans="1:8" ht="13.5" x14ac:dyDescent="0.25">
      <c r="A1719" s="1"/>
      <c r="B1719" s="3">
        <v>44809</v>
      </c>
      <c r="C1719" s="4">
        <v>94</v>
      </c>
      <c r="D1719" s="4">
        <v>76.898499999999999</v>
      </c>
      <c r="E1719" s="4">
        <v>39</v>
      </c>
      <c r="F1719" s="4">
        <v>94</v>
      </c>
      <c r="G1719" s="4">
        <v>3666</v>
      </c>
      <c r="H1719" s="5">
        <f t="shared" si="26"/>
        <v>5.3471391498178412E-3</v>
      </c>
    </row>
    <row r="1720" spans="1:8" ht="13.5" x14ac:dyDescent="0.25">
      <c r="A1720" s="1"/>
      <c r="B1720" s="3">
        <v>44810</v>
      </c>
      <c r="C1720" s="4">
        <v>94.5</v>
      </c>
      <c r="D1720" s="4">
        <v>77.307599999999994</v>
      </c>
      <c r="E1720" s="4">
        <v>7</v>
      </c>
      <c r="F1720" s="4">
        <v>94.5</v>
      </c>
      <c r="G1720" s="4">
        <v>661.5</v>
      </c>
      <c r="H1720" s="5">
        <f t="shared" si="26"/>
        <v>5.3199997399168402E-3</v>
      </c>
    </row>
    <row r="1721" spans="1:8" ht="13.5" x14ac:dyDescent="0.25">
      <c r="A1721" s="1"/>
      <c r="B1721" s="3">
        <v>44811</v>
      </c>
      <c r="C1721" s="4">
        <v>94.5</v>
      </c>
      <c r="D1721" s="4">
        <v>77.307599999999994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94.5</v>
      </c>
      <c r="D1722" s="4">
        <v>77.307599999999994</v>
      </c>
      <c r="E1722" s="4">
        <v>121</v>
      </c>
      <c r="F1722" s="4">
        <v>94.5</v>
      </c>
      <c r="G1722" s="4">
        <v>11434.5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94.5</v>
      </c>
      <c r="D1723" s="4">
        <v>77.307599999999994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94</v>
      </c>
      <c r="D1724" s="4">
        <v>76.898499999999999</v>
      </c>
      <c r="E1724" s="4">
        <v>9</v>
      </c>
      <c r="F1724" s="4">
        <v>94</v>
      </c>
      <c r="G1724" s="4">
        <v>846</v>
      </c>
      <c r="H1724" s="5">
        <f t="shared" si="26"/>
        <v>-5.2918471146432581E-3</v>
      </c>
    </row>
    <row r="1725" spans="1:8" ht="13.5" x14ac:dyDescent="0.25">
      <c r="A1725" s="1"/>
      <c r="B1725" s="3">
        <v>44817</v>
      </c>
      <c r="C1725" s="4">
        <v>94</v>
      </c>
      <c r="D1725" s="4">
        <v>76.898499999999999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94</v>
      </c>
      <c r="D1726" s="4">
        <v>76.898499999999999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94</v>
      </c>
      <c r="D1727" s="4">
        <v>76.898499999999999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91</v>
      </c>
      <c r="D1728" s="4">
        <v>74.444299999999998</v>
      </c>
      <c r="E1728" s="4">
        <v>145</v>
      </c>
      <c r="F1728" s="4">
        <v>91</v>
      </c>
      <c r="G1728" s="4">
        <v>13195</v>
      </c>
      <c r="H1728" s="5">
        <f t="shared" si="26"/>
        <v>-3.1914796777570434E-2</v>
      </c>
    </row>
    <row r="1729" spans="1:8" ht="13.5" x14ac:dyDescent="0.25">
      <c r="A1729" s="1"/>
      <c r="B1729" s="3">
        <v>44823</v>
      </c>
      <c r="C1729" s="4">
        <v>91</v>
      </c>
      <c r="D1729" s="4">
        <v>74.444299999999998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91</v>
      </c>
      <c r="D1730" s="4">
        <v>74.444299999999998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91</v>
      </c>
      <c r="D1731" s="4">
        <v>74.444299999999998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91</v>
      </c>
      <c r="D1732" s="4">
        <v>74.444299999999998</v>
      </c>
      <c r="E1732" s="4">
        <v>104</v>
      </c>
      <c r="F1732" s="4">
        <v>91</v>
      </c>
      <c r="G1732" s="4">
        <v>9464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91</v>
      </c>
      <c r="D1733" s="4">
        <v>74.444299999999998</v>
      </c>
      <c r="E1733" s="4">
        <v>70</v>
      </c>
      <c r="F1733" s="4">
        <v>91</v>
      </c>
      <c r="G1733" s="4">
        <v>6370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91</v>
      </c>
      <c r="D1734" s="4">
        <v>74.444299999999998</v>
      </c>
      <c r="E1734" s="4">
        <v>95</v>
      </c>
      <c r="F1734" s="4">
        <v>91</v>
      </c>
      <c r="G1734" s="4">
        <v>8645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91</v>
      </c>
      <c r="D1735" s="4">
        <v>74.444299999999998</v>
      </c>
      <c r="E1735" s="4">
        <v>80</v>
      </c>
      <c r="F1735" s="4">
        <v>91</v>
      </c>
      <c r="G1735" s="4">
        <v>7280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91</v>
      </c>
      <c r="D1736" s="4">
        <v>74.444299999999998</v>
      </c>
      <c r="E1736" s="4">
        <v>40</v>
      </c>
      <c r="F1736" s="4">
        <v>91</v>
      </c>
      <c r="G1736" s="4">
        <v>3640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91</v>
      </c>
      <c r="D1737" s="4">
        <v>74.444299999999998</v>
      </c>
      <c r="E1737" s="4">
        <v>44</v>
      </c>
      <c r="F1737" s="4">
        <v>91</v>
      </c>
      <c r="G1737" s="4">
        <v>4004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91</v>
      </c>
      <c r="D1738" s="4">
        <v>74.444299999999998</v>
      </c>
      <c r="E1738" s="4">
        <v>4</v>
      </c>
      <c r="F1738" s="4">
        <v>91</v>
      </c>
      <c r="G1738" s="4">
        <v>364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91</v>
      </c>
      <c r="D1739" s="4">
        <v>74.444299999999998</v>
      </c>
      <c r="E1739" s="4">
        <v>15</v>
      </c>
      <c r="F1739" s="4">
        <v>91</v>
      </c>
      <c r="G1739" s="4">
        <v>1365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91</v>
      </c>
      <c r="D1740" s="4">
        <v>74.444299999999998</v>
      </c>
      <c r="E1740" s="4">
        <v>22</v>
      </c>
      <c r="F1740" s="4">
        <v>91</v>
      </c>
      <c r="G1740" s="4">
        <v>2002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88.51</v>
      </c>
      <c r="D1741" s="4">
        <v>72.407300000000006</v>
      </c>
      <c r="E1741" s="4">
        <v>10</v>
      </c>
      <c r="F1741" s="4">
        <v>88.51</v>
      </c>
      <c r="G1741" s="4">
        <v>885.1</v>
      </c>
      <c r="H1741" s="5">
        <f t="shared" si="27"/>
        <v>-2.7362739659046991E-2</v>
      </c>
    </row>
    <row r="1742" spans="1:8" ht="13.5" x14ac:dyDescent="0.25">
      <c r="A1742" s="1"/>
      <c r="B1742" s="3">
        <v>44840</v>
      </c>
      <c r="C1742" s="4">
        <v>92</v>
      </c>
      <c r="D1742" s="4">
        <v>75.2624</v>
      </c>
      <c r="E1742" s="4">
        <v>5</v>
      </c>
      <c r="F1742" s="4">
        <v>92</v>
      </c>
      <c r="G1742" s="4">
        <v>460</v>
      </c>
      <c r="H1742" s="5">
        <f t="shared" si="27"/>
        <v>3.9431107084506575E-2</v>
      </c>
    </row>
    <row r="1743" spans="1:8" ht="13.5" x14ac:dyDescent="0.25">
      <c r="A1743" s="1"/>
      <c r="B1743" s="3">
        <v>44841</v>
      </c>
      <c r="C1743" s="4">
        <v>92</v>
      </c>
      <c r="D1743" s="4">
        <v>75.2624</v>
      </c>
      <c r="E1743" s="4">
        <v>26</v>
      </c>
      <c r="F1743" s="4">
        <v>92</v>
      </c>
      <c r="G1743" s="4">
        <v>2392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92</v>
      </c>
      <c r="D1744" s="4">
        <v>75.2624</v>
      </c>
      <c r="E1744" s="4">
        <v>10</v>
      </c>
      <c r="F1744" s="4">
        <v>92</v>
      </c>
      <c r="G1744" s="4">
        <v>920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92</v>
      </c>
      <c r="D1745" s="4">
        <v>75.2624</v>
      </c>
      <c r="E1745" s="4">
        <v>5</v>
      </c>
      <c r="F1745" s="4">
        <v>92</v>
      </c>
      <c r="G1745" s="4">
        <v>460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91</v>
      </c>
      <c r="D1746" s="4">
        <v>74.444299999999998</v>
      </c>
      <c r="E1746" s="4">
        <v>5</v>
      </c>
      <c r="F1746" s="4">
        <v>91</v>
      </c>
      <c r="G1746" s="4">
        <v>455</v>
      </c>
      <c r="H1746" s="5">
        <f t="shared" si="27"/>
        <v>-1.0869969599693887E-2</v>
      </c>
    </row>
    <row r="1747" spans="1:8" ht="13.5" x14ac:dyDescent="0.25">
      <c r="A1747" s="1"/>
      <c r="B1747" s="3">
        <v>44847</v>
      </c>
      <c r="C1747" s="4">
        <v>91</v>
      </c>
      <c r="D1747" s="4">
        <v>74.444299999999998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91</v>
      </c>
      <c r="D1748" s="4">
        <v>74.444299999999998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91</v>
      </c>
      <c r="D1749" s="4">
        <v>74.444299999999998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91</v>
      </c>
      <c r="D1750" s="4">
        <v>74.444299999999998</v>
      </c>
      <c r="E1750" s="4">
        <v>0</v>
      </c>
      <c r="F1750" s="4">
        <v>0</v>
      </c>
      <c r="G1750" s="4">
        <v>0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91</v>
      </c>
      <c r="D1751" s="4">
        <v>74.444299999999998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88.6</v>
      </c>
      <c r="D1752" s="4">
        <v>72.480999999999995</v>
      </c>
      <c r="E1752" s="4">
        <v>59</v>
      </c>
      <c r="F1752" s="4">
        <v>87.813999999999993</v>
      </c>
      <c r="G1752" s="4">
        <v>5181.0259999999998</v>
      </c>
      <c r="H1752" s="5">
        <f t="shared" si="27"/>
        <v>-2.6372737738147901E-2</v>
      </c>
    </row>
    <row r="1753" spans="1:8" ht="13.5" x14ac:dyDescent="0.25">
      <c r="A1753" s="1"/>
      <c r="B1753" s="3">
        <v>44855</v>
      </c>
      <c r="C1753" s="4">
        <v>91</v>
      </c>
      <c r="D1753" s="4">
        <v>74.444299999999998</v>
      </c>
      <c r="E1753" s="4">
        <v>1</v>
      </c>
      <c r="F1753" s="4">
        <v>91</v>
      </c>
      <c r="G1753" s="4">
        <v>91</v>
      </c>
      <c r="H1753" s="5">
        <f t="shared" si="27"/>
        <v>2.7087098687932066E-2</v>
      </c>
    </row>
    <row r="1754" spans="1:8" ht="13.5" x14ac:dyDescent="0.25">
      <c r="A1754" s="1"/>
      <c r="B1754" s="3">
        <v>44858</v>
      </c>
      <c r="C1754" s="4">
        <v>91</v>
      </c>
      <c r="D1754" s="4">
        <v>74.444299999999998</v>
      </c>
      <c r="E1754" s="4">
        <v>15</v>
      </c>
      <c r="F1754" s="4">
        <v>91</v>
      </c>
      <c r="G1754" s="4">
        <v>1365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90.99</v>
      </c>
      <c r="D1755" s="4">
        <v>74.436199999999999</v>
      </c>
      <c r="E1755" s="4">
        <v>2</v>
      </c>
      <c r="F1755" s="4">
        <v>90.99</v>
      </c>
      <c r="G1755" s="4">
        <v>181.98</v>
      </c>
      <c r="H1755" s="5">
        <f t="shared" si="27"/>
        <v>-1.0880618126570988E-4</v>
      </c>
    </row>
    <row r="1756" spans="1:8" ht="13.5" x14ac:dyDescent="0.25">
      <c r="A1756" s="1"/>
      <c r="B1756" s="3">
        <v>44860</v>
      </c>
      <c r="C1756" s="4">
        <v>89.01</v>
      </c>
      <c r="D1756" s="4">
        <v>72.816400000000002</v>
      </c>
      <c r="E1756" s="4">
        <v>2</v>
      </c>
      <c r="F1756" s="4">
        <v>89.01</v>
      </c>
      <c r="G1756" s="4">
        <v>178.02</v>
      </c>
      <c r="H1756" s="5">
        <f t="shared" si="27"/>
        <v>-2.1760917403091478E-2</v>
      </c>
    </row>
    <row r="1757" spans="1:8" ht="13.5" x14ac:dyDescent="0.25">
      <c r="A1757" s="1"/>
      <c r="B1757" s="3">
        <v>44861</v>
      </c>
      <c r="C1757" s="4">
        <v>89.55</v>
      </c>
      <c r="D1757" s="4">
        <v>73.258099999999999</v>
      </c>
      <c r="E1757" s="4">
        <v>25</v>
      </c>
      <c r="F1757" s="4">
        <v>89.55</v>
      </c>
      <c r="G1757" s="4">
        <v>2238.75</v>
      </c>
      <c r="H1757" s="5">
        <f t="shared" si="27"/>
        <v>6.065941189072754E-3</v>
      </c>
    </row>
    <row r="1758" spans="1:8" ht="13.5" x14ac:dyDescent="0.25">
      <c r="A1758" s="1"/>
      <c r="B1758" s="3">
        <v>44862</v>
      </c>
      <c r="C1758" s="4">
        <v>89.54</v>
      </c>
      <c r="D1758" s="4">
        <v>73.25</v>
      </c>
      <c r="E1758" s="4">
        <v>3</v>
      </c>
      <c r="F1758" s="4">
        <v>89.54</v>
      </c>
      <c r="G1758" s="4">
        <v>268.62</v>
      </c>
      <c r="H1758" s="5">
        <f t="shared" si="27"/>
        <v>-1.1056797814847622E-4</v>
      </c>
    </row>
    <row r="1759" spans="1:8" ht="13.5" x14ac:dyDescent="0.25">
      <c r="A1759" s="1"/>
      <c r="B1759" s="3">
        <v>44865</v>
      </c>
      <c r="C1759" s="4">
        <v>89.54</v>
      </c>
      <c r="D1759" s="4">
        <v>73.25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89.55</v>
      </c>
      <c r="D1760" s="4">
        <v>73.258099999999999</v>
      </c>
      <c r="E1760" s="4">
        <v>22</v>
      </c>
      <c r="F1760" s="4">
        <v>89.549000000000007</v>
      </c>
      <c r="G1760" s="4">
        <v>1970.078</v>
      </c>
      <c r="H1760" s="5">
        <f t="shared" si="27"/>
        <v>1.1058020477814179E-4</v>
      </c>
    </row>
    <row r="1761" spans="1:8" ht="13.5" x14ac:dyDescent="0.25">
      <c r="A1761" s="1"/>
      <c r="B1761" s="3">
        <v>44867</v>
      </c>
      <c r="C1761" s="4">
        <v>89.55</v>
      </c>
      <c r="D1761" s="4">
        <v>73.258099999999999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89.55</v>
      </c>
      <c r="D1762" s="4">
        <v>73.258099999999999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89.55</v>
      </c>
      <c r="D1763" s="4">
        <v>73.258099999999999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89.55</v>
      </c>
      <c r="D1764" s="4">
        <v>73.258099999999999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87.99</v>
      </c>
      <c r="D1765" s="4">
        <v>71.981899999999996</v>
      </c>
      <c r="E1765" s="4">
        <v>4</v>
      </c>
      <c r="F1765" s="4">
        <v>87.992000000000004</v>
      </c>
      <c r="G1765" s="4">
        <v>351.96800000000002</v>
      </c>
      <c r="H1765" s="5">
        <f t="shared" si="27"/>
        <v>-1.7420599223840132E-2</v>
      </c>
    </row>
    <row r="1766" spans="1:8" ht="13.5" x14ac:dyDescent="0.25">
      <c r="A1766" s="1"/>
      <c r="B1766" s="3">
        <v>44874</v>
      </c>
      <c r="C1766" s="4">
        <v>88</v>
      </c>
      <c r="D1766" s="4">
        <v>71.990099999999998</v>
      </c>
      <c r="E1766" s="4">
        <v>245</v>
      </c>
      <c r="F1766" s="4">
        <v>88</v>
      </c>
      <c r="G1766" s="4">
        <v>21560</v>
      </c>
      <c r="H1766" s="5">
        <f t="shared" si="27"/>
        <v>1.1391752648932866E-4</v>
      </c>
    </row>
    <row r="1767" spans="1:8" ht="13.5" x14ac:dyDescent="0.25">
      <c r="A1767" s="1"/>
      <c r="B1767" s="3">
        <v>44875</v>
      </c>
      <c r="C1767" s="4">
        <v>87.55</v>
      </c>
      <c r="D1767" s="4">
        <v>71.622</v>
      </c>
      <c r="E1767" s="4">
        <v>6</v>
      </c>
      <c r="F1767" s="4">
        <v>87.55</v>
      </c>
      <c r="G1767" s="4">
        <v>525.29999999999995</v>
      </c>
      <c r="H1767" s="5">
        <f t="shared" si="27"/>
        <v>-5.1132030654214723E-3</v>
      </c>
    </row>
    <row r="1768" spans="1:8" ht="13.5" x14ac:dyDescent="0.25">
      <c r="A1768" s="1"/>
      <c r="B1768" s="3">
        <v>44876</v>
      </c>
      <c r="C1768" s="4">
        <v>88</v>
      </c>
      <c r="D1768" s="4">
        <v>71.990099999999998</v>
      </c>
      <c r="E1768" s="4">
        <v>104</v>
      </c>
      <c r="F1768" s="4">
        <v>88</v>
      </c>
      <c r="G1768" s="4">
        <v>9152</v>
      </c>
      <c r="H1768" s="5">
        <f t="shared" si="27"/>
        <v>5.1394822819803739E-3</v>
      </c>
    </row>
    <row r="1769" spans="1:8" ht="13.5" x14ac:dyDescent="0.25">
      <c r="A1769" s="1"/>
      <c r="B1769" s="3">
        <v>44879</v>
      </c>
      <c r="C1769" s="4">
        <v>88</v>
      </c>
      <c r="D1769" s="4">
        <v>71.990099999999998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88</v>
      </c>
      <c r="D1770" s="4">
        <v>71.990099999999998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90.97</v>
      </c>
      <c r="D1771" s="4">
        <v>74.419799999999995</v>
      </c>
      <c r="E1771" s="4">
        <v>100</v>
      </c>
      <c r="F1771" s="4">
        <v>90.97</v>
      </c>
      <c r="G1771" s="4">
        <v>9097</v>
      </c>
      <c r="H1771" s="5">
        <f t="shared" si="27"/>
        <v>3.3750474023511522E-2</v>
      </c>
    </row>
    <row r="1772" spans="1:8" ht="13.5" x14ac:dyDescent="0.25">
      <c r="A1772" s="1"/>
      <c r="B1772" s="3">
        <v>44882</v>
      </c>
      <c r="C1772" s="4">
        <v>90.97</v>
      </c>
      <c r="D1772" s="4">
        <v>74.419799999999995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90.96</v>
      </c>
      <c r="D1773" s="4">
        <v>74.411600000000007</v>
      </c>
      <c r="E1773" s="4">
        <v>1545</v>
      </c>
      <c r="F1773" s="4">
        <v>90.96</v>
      </c>
      <c r="G1773" s="4">
        <v>140533.20000000001</v>
      </c>
      <c r="H1773" s="5">
        <f t="shared" si="27"/>
        <v>-1.1018573014154829E-4</v>
      </c>
    </row>
    <row r="1774" spans="1:8" ht="13.5" x14ac:dyDescent="0.25">
      <c r="A1774" s="1"/>
      <c r="B1774" s="3">
        <v>44886</v>
      </c>
      <c r="C1774" s="4">
        <v>90.96</v>
      </c>
      <c r="D1774" s="4">
        <v>74.411600000000007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90.96</v>
      </c>
      <c r="D1775" s="4">
        <v>74.411600000000007</v>
      </c>
      <c r="E1775" s="4">
        <v>1500</v>
      </c>
      <c r="F1775" s="4">
        <v>90.96</v>
      </c>
      <c r="G1775" s="4">
        <v>136440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90.97</v>
      </c>
      <c r="D1776" s="4">
        <v>74.419799999999995</v>
      </c>
      <c r="E1776" s="4">
        <v>1</v>
      </c>
      <c r="F1776" s="4">
        <v>90.97</v>
      </c>
      <c r="G1776" s="4">
        <v>90.97</v>
      </c>
      <c r="H1776" s="5">
        <f t="shared" si="27"/>
        <v>1.1019787237457593E-4</v>
      </c>
    </row>
    <row r="1777" spans="1:8" ht="13.5" x14ac:dyDescent="0.25">
      <c r="A1777" s="1"/>
      <c r="B1777" s="3">
        <v>44889</v>
      </c>
      <c r="C1777" s="4">
        <v>90.97</v>
      </c>
      <c r="D1777" s="4">
        <v>74.419799999999995</v>
      </c>
      <c r="E1777" s="4">
        <v>0</v>
      </c>
      <c r="F1777" s="4">
        <v>0</v>
      </c>
      <c r="G1777" s="4">
        <v>0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90.97</v>
      </c>
      <c r="D1778" s="4">
        <v>74.419799999999995</v>
      </c>
      <c r="E1778" s="4">
        <v>5</v>
      </c>
      <c r="F1778" s="4">
        <v>90.97</v>
      </c>
      <c r="G1778" s="4">
        <v>454.85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90.97</v>
      </c>
      <c r="D1779" s="4">
        <v>74.419799999999995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90.97</v>
      </c>
      <c r="D1780" s="4">
        <v>74.419799999999995</v>
      </c>
      <c r="E1780" s="4">
        <v>94</v>
      </c>
      <c r="F1780" s="4">
        <v>90.97</v>
      </c>
      <c r="G1780" s="4">
        <v>8551.18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90.97</v>
      </c>
      <c r="D1781" s="4">
        <v>74.419799999999995</v>
      </c>
      <c r="E1781" s="4">
        <v>456</v>
      </c>
      <c r="F1781" s="4">
        <v>90.97</v>
      </c>
      <c r="G1781" s="4">
        <v>41482.32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90.97</v>
      </c>
      <c r="D1782" s="4">
        <v>74.419799999999995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90.97</v>
      </c>
      <c r="D1783" s="4">
        <v>74.419799999999995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90.97</v>
      </c>
      <c r="D1784" s="4">
        <v>74.419799999999995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90</v>
      </c>
      <c r="D1785" s="4">
        <v>73.626300000000001</v>
      </c>
      <c r="E1785" s="4">
        <v>101</v>
      </c>
      <c r="F1785" s="4">
        <v>90</v>
      </c>
      <c r="G1785" s="4">
        <v>9090</v>
      </c>
      <c r="H1785" s="5">
        <f t="shared" si="27"/>
        <v>-1.0662484983834875E-2</v>
      </c>
    </row>
    <row r="1786" spans="1:8" ht="13.5" x14ac:dyDescent="0.25">
      <c r="A1786" s="1"/>
      <c r="B1786" s="3">
        <v>44902</v>
      </c>
      <c r="C1786" s="4">
        <v>90</v>
      </c>
      <c r="D1786" s="4">
        <v>73.626300000000001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90</v>
      </c>
      <c r="D1787" s="4">
        <v>73.626300000000001</v>
      </c>
      <c r="E1787" s="4">
        <v>70</v>
      </c>
      <c r="F1787" s="4">
        <v>90</v>
      </c>
      <c r="G1787" s="4">
        <v>6300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90</v>
      </c>
      <c r="D1788" s="4">
        <v>73.626300000000001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87.99</v>
      </c>
      <c r="D1789" s="4">
        <v>71.981899999999996</v>
      </c>
      <c r="E1789" s="4">
        <v>50</v>
      </c>
      <c r="F1789" s="4">
        <v>87.99</v>
      </c>
      <c r="G1789" s="4">
        <v>4399.5</v>
      </c>
      <c r="H1789" s="5">
        <f t="shared" si="27"/>
        <v>-2.2334410394111947E-2</v>
      </c>
    </row>
    <row r="1790" spans="1:8" ht="13.5" x14ac:dyDescent="0.25">
      <c r="A1790" s="1"/>
      <c r="B1790" s="3">
        <v>44908</v>
      </c>
      <c r="C1790" s="4">
        <v>87.99</v>
      </c>
      <c r="D1790" s="4">
        <v>71.981899999999996</v>
      </c>
      <c r="E1790" s="4">
        <v>1</v>
      </c>
      <c r="F1790" s="4">
        <v>87.99</v>
      </c>
      <c r="G1790" s="4">
        <v>87.99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87.99</v>
      </c>
      <c r="D1791" s="4">
        <v>71.981899999999996</v>
      </c>
      <c r="E1791" s="4">
        <v>68</v>
      </c>
      <c r="F1791" s="4">
        <v>87.99</v>
      </c>
      <c r="G1791" s="4">
        <v>5983.32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87.99</v>
      </c>
      <c r="D1792" s="4">
        <v>71.981899999999996</v>
      </c>
      <c r="E1792" s="4">
        <v>5</v>
      </c>
      <c r="F1792" s="4">
        <v>87.99</v>
      </c>
      <c r="G1792" s="4">
        <v>439.95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87.99</v>
      </c>
      <c r="D1793" s="4">
        <v>71.981899999999996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87.99</v>
      </c>
      <c r="D1794" s="4">
        <v>71.981899999999996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87.99</v>
      </c>
      <c r="D1795" s="4">
        <v>71.981899999999996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87.99</v>
      </c>
      <c r="D1796" s="4">
        <v>71.981899999999996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87.99</v>
      </c>
      <c r="D1797" s="4">
        <v>71.981899999999996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85</v>
      </c>
      <c r="D1798" s="4">
        <v>69.535899999999998</v>
      </c>
      <c r="E1798" s="4">
        <v>109</v>
      </c>
      <c r="F1798" s="4">
        <v>85</v>
      </c>
      <c r="G1798" s="4">
        <v>9265</v>
      </c>
      <c r="H1798" s="5">
        <f t="shared" si="27"/>
        <v>-3.3980764608880817E-2</v>
      </c>
    </row>
    <row r="1799" spans="1:8" ht="13.5" x14ac:dyDescent="0.25">
      <c r="A1799" s="1"/>
      <c r="B1799" s="3">
        <v>44921</v>
      </c>
      <c r="C1799" s="4">
        <v>88</v>
      </c>
      <c r="D1799" s="4">
        <v>71.990099999999998</v>
      </c>
      <c r="E1799" s="4">
        <v>2</v>
      </c>
      <c r="F1799" s="4">
        <v>88</v>
      </c>
      <c r="G1799" s="4">
        <v>176</v>
      </c>
      <c r="H1799" s="5">
        <f t="shared" ref="H1799:H1862" si="28">(D1799-D1798)/D1798</f>
        <v>3.5293999214794085E-2</v>
      </c>
    </row>
    <row r="1800" spans="1:8" ht="13.5" x14ac:dyDescent="0.25">
      <c r="A1800" s="1"/>
      <c r="B1800" s="3">
        <v>44922</v>
      </c>
      <c r="C1800" s="4">
        <v>88</v>
      </c>
      <c r="D1800" s="4">
        <v>71.990099999999998</v>
      </c>
      <c r="E1800" s="4">
        <v>70</v>
      </c>
      <c r="F1800" s="4">
        <v>87.99</v>
      </c>
      <c r="G1800" s="4">
        <v>6159.3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85</v>
      </c>
      <c r="D1801" s="4">
        <v>69.535899999999998</v>
      </c>
      <c r="E1801" s="4">
        <v>145</v>
      </c>
      <c r="F1801" s="4">
        <v>85</v>
      </c>
      <c r="G1801" s="4">
        <v>12325</v>
      </c>
      <c r="H1801" s="5">
        <f t="shared" si="28"/>
        <v>-3.409079859591805E-2</v>
      </c>
    </row>
    <row r="1802" spans="1:8" ht="13.5" x14ac:dyDescent="0.25">
      <c r="A1802" s="1"/>
      <c r="B1802" s="3">
        <v>44924</v>
      </c>
      <c r="C1802" s="4">
        <v>88</v>
      </c>
      <c r="D1802" s="4">
        <v>71.990099999999998</v>
      </c>
      <c r="E1802" s="4">
        <v>67</v>
      </c>
      <c r="F1802" s="4">
        <v>88</v>
      </c>
      <c r="G1802" s="4">
        <v>5896</v>
      </c>
      <c r="H1802" s="5">
        <f t="shared" si="28"/>
        <v>3.5293999214794085E-2</v>
      </c>
    </row>
    <row r="1803" spans="1:8" ht="13.5" x14ac:dyDescent="0.25">
      <c r="A1803" s="1"/>
      <c r="B1803" s="3">
        <v>44925</v>
      </c>
      <c r="C1803" s="4">
        <v>88</v>
      </c>
      <c r="D1803" s="4">
        <v>71.990099999999998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88</v>
      </c>
      <c r="D1804" s="4">
        <v>71.990099999999998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88</v>
      </c>
      <c r="D1805" s="4">
        <v>71.990099999999998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88</v>
      </c>
      <c r="D1806" s="4">
        <v>71.990099999999998</v>
      </c>
      <c r="E1806" s="4">
        <v>90</v>
      </c>
      <c r="F1806" s="4">
        <v>88</v>
      </c>
      <c r="G1806" s="4">
        <v>7920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87.99</v>
      </c>
      <c r="D1807" s="4">
        <v>71.981899999999996</v>
      </c>
      <c r="E1807" s="4">
        <v>35</v>
      </c>
      <c r="F1807" s="4">
        <v>87.99</v>
      </c>
      <c r="G1807" s="4">
        <v>3079.65</v>
      </c>
      <c r="H1807" s="5">
        <f t="shared" si="28"/>
        <v>-1.1390455076464967E-4</v>
      </c>
    </row>
    <row r="1808" spans="1:8" ht="13.5" x14ac:dyDescent="0.25">
      <c r="A1808" s="1"/>
      <c r="B1808" s="3">
        <v>44932</v>
      </c>
      <c r="C1808" s="4">
        <v>87.99</v>
      </c>
      <c r="D1808" s="4">
        <v>71.981899999999996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88</v>
      </c>
      <c r="D1809" s="4">
        <v>71.990099999999998</v>
      </c>
      <c r="E1809" s="4">
        <v>5</v>
      </c>
      <c r="F1809" s="4">
        <v>88</v>
      </c>
      <c r="G1809" s="4">
        <v>440</v>
      </c>
      <c r="H1809" s="5">
        <f t="shared" si="28"/>
        <v>1.1391752648932866E-4</v>
      </c>
    </row>
    <row r="1810" spans="1:8" ht="13.5" x14ac:dyDescent="0.25">
      <c r="A1810" s="1"/>
      <c r="B1810" s="3">
        <v>44936</v>
      </c>
      <c r="C1810" s="4">
        <v>87.99</v>
      </c>
      <c r="D1810" s="4">
        <v>71.981899999999996</v>
      </c>
      <c r="E1810" s="4">
        <v>25</v>
      </c>
      <c r="F1810" s="4">
        <v>87.99</v>
      </c>
      <c r="G1810" s="4">
        <v>2199.75</v>
      </c>
      <c r="H1810" s="5">
        <f t="shared" si="28"/>
        <v>-1.1390455076464967E-4</v>
      </c>
    </row>
    <row r="1811" spans="1:8" ht="13.5" x14ac:dyDescent="0.25">
      <c r="A1811" s="1"/>
      <c r="B1811" s="3">
        <v>44937</v>
      </c>
      <c r="C1811" s="4">
        <v>86.01</v>
      </c>
      <c r="D1811" s="4">
        <v>70.362200000000001</v>
      </c>
      <c r="E1811" s="4">
        <v>6</v>
      </c>
      <c r="F1811" s="4">
        <v>86.01</v>
      </c>
      <c r="G1811" s="4">
        <v>516.05999999999995</v>
      </c>
      <c r="H1811" s="5">
        <f t="shared" si="28"/>
        <v>-2.2501489957892119E-2</v>
      </c>
    </row>
    <row r="1812" spans="1:8" ht="13.5" x14ac:dyDescent="0.25">
      <c r="A1812" s="1"/>
      <c r="B1812" s="3">
        <v>44938</v>
      </c>
      <c r="C1812" s="4">
        <v>86</v>
      </c>
      <c r="D1812" s="4">
        <v>70.353999999999999</v>
      </c>
      <c r="E1812" s="4">
        <v>10</v>
      </c>
      <c r="F1812" s="4">
        <v>86</v>
      </c>
      <c r="G1812" s="4">
        <v>860</v>
      </c>
      <c r="H1812" s="5">
        <f t="shared" si="28"/>
        <v>-1.1653984667907207E-4</v>
      </c>
    </row>
    <row r="1813" spans="1:8" ht="13.5" x14ac:dyDescent="0.25">
      <c r="A1813" s="1"/>
      <c r="B1813" s="3">
        <v>44939</v>
      </c>
      <c r="C1813" s="4">
        <v>86</v>
      </c>
      <c r="D1813" s="4">
        <v>70.353999999999999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86</v>
      </c>
      <c r="D1814" s="4">
        <v>70.353999999999999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88</v>
      </c>
      <c r="D1815" s="4">
        <v>71.990099999999998</v>
      </c>
      <c r="E1815" s="4">
        <v>14</v>
      </c>
      <c r="F1815" s="4">
        <v>88</v>
      </c>
      <c r="G1815" s="4">
        <v>1232</v>
      </c>
      <c r="H1815" s="5">
        <f t="shared" si="28"/>
        <v>2.3255252011257343E-2</v>
      </c>
    </row>
    <row r="1816" spans="1:8" ht="13.5" x14ac:dyDescent="0.25">
      <c r="A1816" s="1"/>
      <c r="B1816" s="3">
        <v>44944</v>
      </c>
      <c r="C1816" s="4">
        <v>88</v>
      </c>
      <c r="D1816" s="4">
        <v>71.990099999999998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88</v>
      </c>
      <c r="D1817" s="4">
        <v>71.990099999999998</v>
      </c>
      <c r="E1817" s="4">
        <v>17</v>
      </c>
      <c r="F1817" s="4">
        <v>88</v>
      </c>
      <c r="G1817" s="4">
        <v>1496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87</v>
      </c>
      <c r="D1818" s="4">
        <v>71.1721</v>
      </c>
      <c r="E1818" s="4">
        <v>5</v>
      </c>
      <c r="F1818" s="4">
        <v>87</v>
      </c>
      <c r="G1818" s="4">
        <v>435</v>
      </c>
      <c r="H1818" s="5">
        <f t="shared" si="28"/>
        <v>-1.1362673478714405E-2</v>
      </c>
    </row>
    <row r="1819" spans="1:8" ht="13.5" x14ac:dyDescent="0.25">
      <c r="A1819" s="1"/>
      <c r="B1819" s="3">
        <v>44949</v>
      </c>
      <c r="C1819" s="4">
        <v>88</v>
      </c>
      <c r="D1819" s="4">
        <v>71.990099999999998</v>
      </c>
      <c r="E1819" s="4">
        <v>305</v>
      </c>
      <c r="F1819" s="4">
        <v>87.983999999999995</v>
      </c>
      <c r="G1819" s="4">
        <v>26835.119999999999</v>
      </c>
      <c r="H1819" s="5">
        <f t="shared" si="28"/>
        <v>1.1493267727100898E-2</v>
      </c>
    </row>
    <row r="1820" spans="1:8" ht="13.5" x14ac:dyDescent="0.25">
      <c r="A1820" s="1"/>
      <c r="B1820" s="3">
        <v>44950</v>
      </c>
      <c r="C1820" s="4">
        <v>88</v>
      </c>
      <c r="D1820" s="4">
        <v>71.990099999999998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88</v>
      </c>
      <c r="D1821" s="4">
        <v>71.990099999999998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88</v>
      </c>
      <c r="D1822" s="4">
        <v>71.990099999999998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87.9</v>
      </c>
      <c r="D1823" s="4">
        <v>71.908299999999997</v>
      </c>
      <c r="E1823" s="4">
        <v>53</v>
      </c>
      <c r="F1823" s="4">
        <v>87.9</v>
      </c>
      <c r="G1823" s="4">
        <v>4658.7</v>
      </c>
      <c r="H1823" s="5">
        <f t="shared" si="28"/>
        <v>-1.1362673478714602E-3</v>
      </c>
    </row>
    <row r="1824" spans="1:8" ht="13.5" x14ac:dyDescent="0.25">
      <c r="A1824" s="1"/>
      <c r="B1824" s="3">
        <v>44956</v>
      </c>
      <c r="C1824" s="4">
        <v>87.9</v>
      </c>
      <c r="D1824" s="4">
        <v>71.908299999999997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87.9</v>
      </c>
      <c r="D1825" s="4">
        <v>71.908299999999997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87.9</v>
      </c>
      <c r="D1826" s="4">
        <v>71.908299999999997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87.9</v>
      </c>
      <c r="D1827" s="4">
        <v>71.908299999999997</v>
      </c>
      <c r="E1827" s="4">
        <v>5</v>
      </c>
      <c r="F1827" s="4">
        <v>87.9</v>
      </c>
      <c r="G1827" s="4">
        <v>439.5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87.9</v>
      </c>
      <c r="D1828" s="4">
        <v>71.908299999999997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87.9</v>
      </c>
      <c r="D1829" s="4">
        <v>71.908299999999997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88</v>
      </c>
      <c r="D1830" s="4">
        <v>71.990099999999998</v>
      </c>
      <c r="E1830" s="4">
        <v>100</v>
      </c>
      <c r="F1830" s="4">
        <v>88</v>
      </c>
      <c r="G1830" s="4">
        <v>8800</v>
      </c>
      <c r="H1830" s="5">
        <f t="shared" si="28"/>
        <v>1.1375599200648772E-3</v>
      </c>
    </row>
    <row r="1831" spans="1:8" ht="13.5" x14ac:dyDescent="0.25">
      <c r="A1831" s="1"/>
      <c r="B1831" s="3">
        <v>44965</v>
      </c>
      <c r="C1831" s="4">
        <v>88</v>
      </c>
      <c r="D1831" s="4">
        <v>71.990099999999998</v>
      </c>
      <c r="E1831" s="4">
        <v>100</v>
      </c>
      <c r="F1831" s="4">
        <v>88</v>
      </c>
      <c r="G1831" s="4">
        <v>8800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88</v>
      </c>
      <c r="D1832" s="4">
        <v>71.990099999999998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88</v>
      </c>
      <c r="D1833" s="4">
        <v>71.990099999999998</v>
      </c>
      <c r="E1833" s="4">
        <v>100</v>
      </c>
      <c r="F1833" s="4">
        <v>88</v>
      </c>
      <c r="G1833" s="4">
        <v>8800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88</v>
      </c>
      <c r="D1834" s="4">
        <v>71.990099999999998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88</v>
      </c>
      <c r="D1835" s="4">
        <v>71.990099999999998</v>
      </c>
      <c r="E1835" s="4">
        <v>103</v>
      </c>
      <c r="F1835" s="4">
        <v>88</v>
      </c>
      <c r="G1835" s="4">
        <v>9064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88</v>
      </c>
      <c r="D1836" s="4">
        <v>71.990099999999998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87</v>
      </c>
      <c r="D1837" s="4">
        <v>71.1721</v>
      </c>
      <c r="E1837" s="4">
        <v>6</v>
      </c>
      <c r="F1837" s="4">
        <v>87</v>
      </c>
      <c r="G1837" s="4">
        <v>522</v>
      </c>
      <c r="H1837" s="5">
        <f t="shared" si="28"/>
        <v>-1.1362673478714405E-2</v>
      </c>
    </row>
    <row r="1838" spans="1:8" ht="13.5" x14ac:dyDescent="0.25">
      <c r="A1838" s="1"/>
      <c r="B1838" s="3">
        <v>44974</v>
      </c>
      <c r="C1838" s="4">
        <v>88</v>
      </c>
      <c r="D1838" s="4">
        <v>71.990099999999998</v>
      </c>
      <c r="E1838" s="4">
        <v>120</v>
      </c>
      <c r="F1838" s="4">
        <v>88</v>
      </c>
      <c r="G1838" s="4">
        <v>10560</v>
      </c>
      <c r="H1838" s="5">
        <f t="shared" si="28"/>
        <v>1.1493267727100898E-2</v>
      </c>
    </row>
    <row r="1839" spans="1:8" ht="13.5" x14ac:dyDescent="0.25">
      <c r="A1839" s="1"/>
      <c r="B1839" s="3">
        <v>44977</v>
      </c>
      <c r="C1839" s="4">
        <v>88</v>
      </c>
      <c r="D1839" s="4">
        <v>71.990099999999998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88</v>
      </c>
      <c r="D1840" s="4">
        <v>71.990099999999998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88</v>
      </c>
      <c r="D1841" s="4">
        <v>71.990099999999998</v>
      </c>
      <c r="E1841" s="4">
        <v>200</v>
      </c>
      <c r="F1841" s="4">
        <v>88</v>
      </c>
      <c r="G1841" s="4">
        <v>17600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88</v>
      </c>
      <c r="D1842" s="4">
        <v>71.990099999999998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87.99</v>
      </c>
      <c r="D1843" s="4">
        <v>71.981899999999996</v>
      </c>
      <c r="E1843" s="4">
        <v>245</v>
      </c>
      <c r="F1843" s="4">
        <v>87.99</v>
      </c>
      <c r="G1843" s="4">
        <v>21557.55</v>
      </c>
      <c r="H1843" s="5">
        <f t="shared" si="28"/>
        <v>-1.1390455076464967E-4</v>
      </c>
    </row>
    <row r="1844" spans="1:8" ht="13.5" x14ac:dyDescent="0.25">
      <c r="A1844" s="1"/>
      <c r="B1844" s="3">
        <v>44984</v>
      </c>
      <c r="C1844" s="4">
        <v>87.99</v>
      </c>
      <c r="D1844" s="4">
        <v>71.981899999999996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87.99</v>
      </c>
      <c r="D1845" s="4">
        <v>71.981899999999996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87.99</v>
      </c>
      <c r="D1846" s="4">
        <v>71.981899999999996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87.99</v>
      </c>
      <c r="D1847" s="4">
        <v>71.981899999999996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87.99</v>
      </c>
      <c r="D1848" s="4">
        <v>71.981899999999996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87.5</v>
      </c>
      <c r="D1849" s="4">
        <v>71.581100000000006</v>
      </c>
      <c r="E1849" s="4">
        <v>320</v>
      </c>
      <c r="F1849" s="4">
        <v>87.5</v>
      </c>
      <c r="G1849" s="4">
        <v>28000</v>
      </c>
      <c r="H1849" s="5">
        <f t="shared" si="28"/>
        <v>-5.5680664166962756E-3</v>
      </c>
    </row>
    <row r="1850" spans="1:8" ht="13.5" x14ac:dyDescent="0.25">
      <c r="A1850" s="1"/>
      <c r="B1850" s="3">
        <v>44992</v>
      </c>
      <c r="C1850" s="4">
        <v>87.5</v>
      </c>
      <c r="D1850" s="4">
        <v>71.581100000000006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87.5</v>
      </c>
      <c r="D1851" s="4">
        <v>71.581100000000006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87.5</v>
      </c>
      <c r="D1852" s="4">
        <v>71.581100000000006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87.5</v>
      </c>
      <c r="D1853" s="4">
        <v>71.581100000000006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87.5</v>
      </c>
      <c r="D1854" s="4">
        <v>71.581100000000006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87.5</v>
      </c>
      <c r="D1855" s="4">
        <v>71.581100000000006</v>
      </c>
      <c r="E1855" s="4">
        <v>100</v>
      </c>
      <c r="F1855" s="4">
        <v>87.5</v>
      </c>
      <c r="G1855" s="4">
        <v>8750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83.6</v>
      </c>
      <c r="D1856" s="4">
        <v>68.390600000000006</v>
      </c>
      <c r="E1856" s="4">
        <v>128</v>
      </c>
      <c r="F1856" s="4">
        <v>83.6</v>
      </c>
      <c r="G1856" s="4">
        <v>10700.8</v>
      </c>
      <c r="H1856" s="5">
        <f t="shared" si="28"/>
        <v>-4.4571821332726094E-2</v>
      </c>
    </row>
    <row r="1857" spans="1:8" ht="13.5" x14ac:dyDescent="0.25">
      <c r="A1857" s="1"/>
      <c r="B1857" s="3">
        <v>45001</v>
      </c>
      <c r="C1857" s="4">
        <v>83.6</v>
      </c>
      <c r="D1857" s="4">
        <v>68.390600000000006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83.6</v>
      </c>
      <c r="D1858" s="4">
        <v>68.390600000000006</v>
      </c>
      <c r="E1858" s="4">
        <v>0</v>
      </c>
      <c r="F1858" s="4">
        <v>0</v>
      </c>
      <c r="G1858" s="4">
        <v>0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86.51</v>
      </c>
      <c r="D1859" s="4">
        <v>70.771199999999993</v>
      </c>
      <c r="E1859" s="4">
        <v>170</v>
      </c>
      <c r="F1859" s="4">
        <v>86.51</v>
      </c>
      <c r="G1859" s="4">
        <v>14706.7</v>
      </c>
      <c r="H1859" s="5">
        <f t="shared" si="28"/>
        <v>3.4808877243363658E-2</v>
      </c>
    </row>
    <row r="1860" spans="1:8" ht="13.5" x14ac:dyDescent="0.25">
      <c r="A1860" s="1"/>
      <c r="B1860" s="3">
        <v>45007</v>
      </c>
      <c r="C1860" s="4">
        <v>86.51</v>
      </c>
      <c r="D1860" s="4">
        <v>70.771199999999993</v>
      </c>
      <c r="E1860" s="4">
        <v>28</v>
      </c>
      <c r="F1860" s="4">
        <v>86.51</v>
      </c>
      <c r="G1860" s="4">
        <v>2422.2800000000002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86.51</v>
      </c>
      <c r="D1861" s="4">
        <v>70.771199999999993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88</v>
      </c>
      <c r="D1862" s="4">
        <v>71.990099999999998</v>
      </c>
      <c r="E1862" s="4">
        <v>2</v>
      </c>
      <c r="F1862" s="4">
        <v>88</v>
      </c>
      <c r="G1862" s="4">
        <v>176</v>
      </c>
      <c r="H1862" s="5">
        <f t="shared" si="28"/>
        <v>1.7223107704829155E-2</v>
      </c>
    </row>
    <row r="1863" spans="1:8" ht="13.5" x14ac:dyDescent="0.25">
      <c r="A1863" s="1"/>
      <c r="B1863" s="3">
        <v>45012</v>
      </c>
      <c r="C1863" s="4">
        <v>87</v>
      </c>
      <c r="D1863" s="4">
        <v>71.1721</v>
      </c>
      <c r="E1863" s="4">
        <v>110</v>
      </c>
      <c r="F1863" s="4">
        <v>87</v>
      </c>
      <c r="G1863" s="4">
        <v>9570</v>
      </c>
      <c r="H1863" s="5">
        <f t="shared" ref="H1863:H1926" si="29">(D1863-D1862)/D1862</f>
        <v>-1.1362673478714405E-2</v>
      </c>
    </row>
    <row r="1864" spans="1:8" ht="13.5" x14ac:dyDescent="0.25">
      <c r="A1864" s="1"/>
      <c r="B1864" s="3">
        <v>45013</v>
      </c>
      <c r="C1864" s="4">
        <v>87</v>
      </c>
      <c r="D1864" s="4">
        <v>71.1721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87</v>
      </c>
      <c r="D1865" s="4">
        <v>71.1721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87</v>
      </c>
      <c r="D1866" s="4">
        <v>71.1721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87</v>
      </c>
      <c r="D1867" s="4">
        <v>71.1721</v>
      </c>
      <c r="E1867" s="4">
        <v>50</v>
      </c>
      <c r="F1867" s="4">
        <v>87</v>
      </c>
      <c r="G1867" s="4">
        <v>4350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88</v>
      </c>
      <c r="D1868" s="4">
        <v>71.990099999999998</v>
      </c>
      <c r="E1868" s="4">
        <v>2</v>
      </c>
      <c r="F1868" s="4">
        <v>88</v>
      </c>
      <c r="G1868" s="4">
        <v>176</v>
      </c>
      <c r="H1868" s="5">
        <f t="shared" si="29"/>
        <v>1.1493267727100898E-2</v>
      </c>
    </row>
    <row r="1869" spans="1:8" ht="13.5" x14ac:dyDescent="0.25">
      <c r="A1869" s="1"/>
      <c r="B1869" s="3">
        <v>45020</v>
      </c>
      <c r="C1869" s="4">
        <v>88</v>
      </c>
      <c r="D1869" s="4">
        <v>71.990099999999998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87.99</v>
      </c>
      <c r="D1870" s="4">
        <v>71.981899999999996</v>
      </c>
      <c r="E1870" s="4">
        <v>66</v>
      </c>
      <c r="F1870" s="4">
        <v>87.99</v>
      </c>
      <c r="G1870" s="4">
        <v>5807.34</v>
      </c>
      <c r="H1870" s="5">
        <f t="shared" si="29"/>
        <v>-1.1390455076464967E-4</v>
      </c>
    </row>
    <row r="1871" spans="1:8" ht="13.5" x14ac:dyDescent="0.25">
      <c r="A1871" s="1"/>
      <c r="B1871" s="3">
        <v>45022</v>
      </c>
      <c r="C1871" s="4">
        <v>87.99</v>
      </c>
      <c r="D1871" s="4">
        <v>71.981899999999996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88</v>
      </c>
      <c r="D1872" s="4">
        <v>71.990099999999998</v>
      </c>
      <c r="E1872" s="4">
        <v>5</v>
      </c>
      <c r="F1872" s="4">
        <v>88</v>
      </c>
      <c r="G1872" s="4">
        <v>440</v>
      </c>
      <c r="H1872" s="5">
        <f t="shared" si="29"/>
        <v>1.1391752648932866E-4</v>
      </c>
    </row>
    <row r="1873" spans="1:8" ht="13.5" x14ac:dyDescent="0.25">
      <c r="A1873" s="1"/>
      <c r="B1873" s="3">
        <v>45026</v>
      </c>
      <c r="C1873" s="4">
        <v>88</v>
      </c>
      <c r="D1873" s="4">
        <v>71.990099999999998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88</v>
      </c>
      <c r="D1874" s="4">
        <v>71.990099999999998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88</v>
      </c>
      <c r="D1875" s="4">
        <v>71.990099999999998</v>
      </c>
      <c r="E1875" s="4">
        <v>2</v>
      </c>
      <c r="F1875" s="4">
        <v>88</v>
      </c>
      <c r="G1875" s="4">
        <v>176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88</v>
      </c>
      <c r="D1876" s="4">
        <v>71.990099999999998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87.88</v>
      </c>
      <c r="D1877" s="4">
        <v>71.891999999999996</v>
      </c>
      <c r="E1877" s="4">
        <v>109</v>
      </c>
      <c r="F1877" s="4">
        <v>87.909000000000006</v>
      </c>
      <c r="G1877" s="4">
        <v>9582.0810000000001</v>
      </c>
      <c r="H1877" s="5">
        <f t="shared" si="29"/>
        <v>-1.3626873695133401E-3</v>
      </c>
    </row>
    <row r="1878" spans="1:8" ht="13.5" x14ac:dyDescent="0.25">
      <c r="A1878" s="1"/>
      <c r="B1878" s="3">
        <v>45033</v>
      </c>
      <c r="C1878" s="4">
        <v>87.88</v>
      </c>
      <c r="D1878" s="4">
        <v>71.891999999999996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87.88</v>
      </c>
      <c r="D1879" s="4">
        <v>71.891999999999996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87.88</v>
      </c>
      <c r="D1880" s="4">
        <v>71.891999999999996</v>
      </c>
      <c r="E1880" s="4">
        <v>16</v>
      </c>
      <c r="F1880" s="4">
        <v>87.88</v>
      </c>
      <c r="G1880" s="4">
        <v>1406.08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87.88</v>
      </c>
      <c r="D1881" s="4">
        <v>71.891999999999996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88</v>
      </c>
      <c r="D1882" s="4">
        <v>71.990099999999998</v>
      </c>
      <c r="E1882" s="4">
        <v>106</v>
      </c>
      <c r="F1882" s="4">
        <v>88</v>
      </c>
      <c r="G1882" s="4">
        <v>9328</v>
      </c>
      <c r="H1882" s="5">
        <f t="shared" si="29"/>
        <v>1.3645468202303774E-3</v>
      </c>
    </row>
    <row r="1883" spans="1:8" ht="13.5" x14ac:dyDescent="0.25">
      <c r="A1883" s="1"/>
      <c r="B1883" s="3">
        <v>45041</v>
      </c>
      <c r="C1883" s="4">
        <v>88</v>
      </c>
      <c r="D1883" s="4">
        <v>71.990099999999998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87</v>
      </c>
      <c r="D1884" s="4">
        <v>71.1721</v>
      </c>
      <c r="E1884" s="4">
        <v>1220</v>
      </c>
      <c r="F1884" s="4">
        <v>87.39</v>
      </c>
      <c r="G1884" s="4">
        <v>106615.8</v>
      </c>
      <c r="H1884" s="5">
        <f t="shared" si="29"/>
        <v>-1.1362673478714405E-2</v>
      </c>
    </row>
    <row r="1885" spans="1:8" ht="13.5" x14ac:dyDescent="0.25">
      <c r="A1885" s="1"/>
      <c r="B1885" s="3">
        <v>45043</v>
      </c>
      <c r="C1885" s="4">
        <v>87</v>
      </c>
      <c r="D1885" s="4">
        <v>71.1721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88</v>
      </c>
      <c r="D1886" s="4">
        <v>71.990099999999998</v>
      </c>
      <c r="E1886" s="4">
        <v>1</v>
      </c>
      <c r="F1886" s="4">
        <v>88</v>
      </c>
      <c r="G1886" s="4">
        <v>88</v>
      </c>
      <c r="H1886" s="5">
        <f t="shared" si="29"/>
        <v>1.1493267727100898E-2</v>
      </c>
    </row>
    <row r="1887" spans="1:8" ht="13.5" x14ac:dyDescent="0.25">
      <c r="A1887" s="1"/>
      <c r="B1887" s="3">
        <v>45048</v>
      </c>
      <c r="C1887" s="4">
        <v>88</v>
      </c>
      <c r="D1887" s="4">
        <v>71.990099999999998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88</v>
      </c>
      <c r="D1888" s="4">
        <v>71.990099999999998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88</v>
      </c>
      <c r="D1889" s="4">
        <v>71.990099999999998</v>
      </c>
      <c r="E1889" s="4">
        <v>7</v>
      </c>
      <c r="F1889" s="4">
        <v>88</v>
      </c>
      <c r="G1889" s="4">
        <v>616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88</v>
      </c>
      <c r="D1890" s="4">
        <v>71.990099999999998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88</v>
      </c>
      <c r="D1891" s="4">
        <v>71.990099999999998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88</v>
      </c>
      <c r="D1892" s="4">
        <v>71.990099999999998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88</v>
      </c>
      <c r="D1893" s="4">
        <v>71.990099999999998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88</v>
      </c>
      <c r="D1894" s="4">
        <v>71.990099999999998</v>
      </c>
      <c r="E1894" s="4">
        <v>7</v>
      </c>
      <c r="F1894" s="4">
        <v>88</v>
      </c>
      <c r="G1894" s="4">
        <v>616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88</v>
      </c>
      <c r="D1895" s="4">
        <v>71.990099999999998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88</v>
      </c>
      <c r="D1896" s="4">
        <v>71.990099999999998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87.5</v>
      </c>
      <c r="D1897" s="4">
        <v>71.581100000000006</v>
      </c>
      <c r="E1897" s="4">
        <v>103</v>
      </c>
      <c r="F1897" s="4">
        <v>87.515000000000001</v>
      </c>
      <c r="G1897" s="4">
        <v>9014.0450000000001</v>
      </c>
      <c r="H1897" s="5">
        <f t="shared" si="29"/>
        <v>-5.6813367393571037E-3</v>
      </c>
    </row>
    <row r="1898" spans="1:8" ht="13.5" x14ac:dyDescent="0.25">
      <c r="A1898" s="1"/>
      <c r="B1898" s="3">
        <v>45063</v>
      </c>
      <c r="C1898" s="4">
        <v>87.5</v>
      </c>
      <c r="D1898" s="4">
        <v>71.581100000000006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87.5</v>
      </c>
      <c r="D1899" s="4">
        <v>71.581100000000006</v>
      </c>
      <c r="E1899" s="4">
        <v>85</v>
      </c>
      <c r="F1899" s="4">
        <v>87.5</v>
      </c>
      <c r="G1899" s="4">
        <v>7437.5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87.5</v>
      </c>
      <c r="D1900" s="4">
        <v>71.581100000000006</v>
      </c>
      <c r="E1900" s="4">
        <v>0</v>
      </c>
      <c r="F1900" s="4">
        <v>0</v>
      </c>
      <c r="G1900" s="4">
        <v>0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87.5</v>
      </c>
      <c r="D1901" s="4">
        <v>71.581100000000006</v>
      </c>
      <c r="E1901" s="4">
        <v>0</v>
      </c>
      <c r="F1901" s="4">
        <v>0</v>
      </c>
      <c r="G1901" s="4">
        <v>0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87.5</v>
      </c>
      <c r="D1902" s="4">
        <v>71.581100000000006</v>
      </c>
      <c r="E1902" s="4">
        <v>0</v>
      </c>
      <c r="F1902" s="4">
        <v>0</v>
      </c>
      <c r="G1902" s="4">
        <v>0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87.49</v>
      </c>
      <c r="D1903" s="4">
        <v>71.572900000000004</v>
      </c>
      <c r="E1903" s="4">
        <v>5</v>
      </c>
      <c r="F1903" s="4">
        <v>87.49</v>
      </c>
      <c r="G1903" s="4">
        <v>437.45</v>
      </c>
      <c r="H1903" s="5">
        <f t="shared" si="29"/>
        <v>-1.1455537844489963E-4</v>
      </c>
    </row>
    <row r="1904" spans="1:8" ht="13.5" x14ac:dyDescent="0.25">
      <c r="A1904" s="1"/>
      <c r="B1904" s="3">
        <v>45071</v>
      </c>
      <c r="C1904" s="4">
        <v>87.6</v>
      </c>
      <c r="D1904" s="4">
        <v>71.662899999999993</v>
      </c>
      <c r="E1904" s="4">
        <v>63</v>
      </c>
      <c r="F1904" s="4">
        <v>87.6</v>
      </c>
      <c r="G1904" s="4">
        <v>5518.8</v>
      </c>
      <c r="H1904" s="5">
        <f t="shared" si="29"/>
        <v>1.2574591779848127E-3</v>
      </c>
    </row>
    <row r="1905" spans="1:8" ht="13.5" x14ac:dyDescent="0.25">
      <c r="A1905" s="1"/>
      <c r="B1905" s="3">
        <v>45072</v>
      </c>
      <c r="C1905" s="4">
        <v>87.6</v>
      </c>
      <c r="D1905" s="4">
        <v>71.662899999999993</v>
      </c>
      <c r="E1905" s="4">
        <v>7535</v>
      </c>
      <c r="F1905" s="4">
        <v>87.6</v>
      </c>
      <c r="G1905" s="4">
        <v>660066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87.6</v>
      </c>
      <c r="D1906" s="4">
        <v>71.662899999999993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87.6</v>
      </c>
      <c r="D1907" s="4">
        <v>71.662899999999993</v>
      </c>
      <c r="E1907" s="4">
        <v>2</v>
      </c>
      <c r="F1907" s="4">
        <v>87.6</v>
      </c>
      <c r="G1907" s="4">
        <v>175.2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88</v>
      </c>
      <c r="D1908" s="4">
        <v>71.990099999999998</v>
      </c>
      <c r="E1908" s="4">
        <v>14</v>
      </c>
      <c r="F1908" s="4">
        <v>88</v>
      </c>
      <c r="G1908" s="4">
        <v>1232</v>
      </c>
      <c r="H1908" s="5">
        <f t="shared" si="29"/>
        <v>4.565821366425373E-3</v>
      </c>
    </row>
    <row r="1909" spans="1:8" ht="13.5" x14ac:dyDescent="0.25">
      <c r="A1909" s="1"/>
      <c r="B1909" s="3">
        <v>45078</v>
      </c>
      <c r="C1909" s="4">
        <v>88</v>
      </c>
      <c r="D1909" s="4">
        <v>71.990099999999998</v>
      </c>
      <c r="E1909" s="4">
        <v>5</v>
      </c>
      <c r="F1909" s="4">
        <v>88</v>
      </c>
      <c r="G1909" s="4">
        <v>440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88.21</v>
      </c>
      <c r="D1910" s="4">
        <v>72.161900000000003</v>
      </c>
      <c r="E1910" s="4">
        <v>16</v>
      </c>
      <c r="F1910" s="4">
        <v>88.200999999999993</v>
      </c>
      <c r="G1910" s="4">
        <v>1411.2159999999999</v>
      </c>
      <c r="H1910" s="5">
        <f t="shared" si="29"/>
        <v>2.3864392465075702E-3</v>
      </c>
    </row>
    <row r="1911" spans="1:8" ht="13.5" x14ac:dyDescent="0.25">
      <c r="A1911" s="1"/>
      <c r="B1911" s="3">
        <v>45082</v>
      </c>
      <c r="C1911" s="4">
        <v>88.21</v>
      </c>
      <c r="D1911" s="4">
        <v>72.161900000000003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88.21</v>
      </c>
      <c r="D1912" s="4">
        <v>72.161900000000003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89</v>
      </c>
      <c r="D1913" s="4">
        <v>72.808199999999999</v>
      </c>
      <c r="E1913" s="4">
        <v>5</v>
      </c>
      <c r="F1913" s="4">
        <v>89</v>
      </c>
      <c r="G1913" s="4">
        <v>445</v>
      </c>
      <c r="H1913" s="5">
        <f t="shared" si="29"/>
        <v>8.9562497661507881E-3</v>
      </c>
    </row>
    <row r="1914" spans="1:8" ht="13.5" x14ac:dyDescent="0.25">
      <c r="A1914" s="1"/>
      <c r="B1914" s="3">
        <v>45085</v>
      </c>
      <c r="C1914" s="4">
        <v>89</v>
      </c>
      <c r="D1914" s="4">
        <v>72.808199999999999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88.2</v>
      </c>
      <c r="D1915" s="4">
        <v>72.153700000000001</v>
      </c>
      <c r="E1915" s="4">
        <v>5</v>
      </c>
      <c r="F1915" s="4">
        <v>88.2</v>
      </c>
      <c r="G1915" s="4">
        <v>441</v>
      </c>
      <c r="H1915" s="5">
        <f t="shared" si="29"/>
        <v>-8.9893720762221664E-3</v>
      </c>
    </row>
    <row r="1916" spans="1:8" ht="13.5" x14ac:dyDescent="0.25">
      <c r="A1916" s="1"/>
      <c r="B1916" s="3">
        <v>45089</v>
      </c>
      <c r="C1916" s="4">
        <v>88.2</v>
      </c>
      <c r="D1916" s="4">
        <v>72.153700000000001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87</v>
      </c>
      <c r="D1917" s="4">
        <v>71.1721</v>
      </c>
      <c r="E1917" s="4">
        <v>134</v>
      </c>
      <c r="F1917" s="4">
        <v>87</v>
      </c>
      <c r="G1917" s="4">
        <v>11658</v>
      </c>
      <c r="H1917" s="5">
        <f t="shared" si="29"/>
        <v>-1.3604291948992224E-2</v>
      </c>
    </row>
    <row r="1918" spans="1:8" ht="13.5" x14ac:dyDescent="0.25">
      <c r="A1918" s="1"/>
      <c r="B1918" s="3">
        <v>45091</v>
      </c>
      <c r="C1918" s="4">
        <v>87</v>
      </c>
      <c r="D1918" s="4">
        <v>71.1721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89</v>
      </c>
      <c r="D1919" s="4">
        <v>72.808199999999999</v>
      </c>
      <c r="E1919" s="4">
        <v>780</v>
      </c>
      <c r="F1919" s="4">
        <v>88.048000000000002</v>
      </c>
      <c r="G1919" s="4">
        <v>68677.440000000002</v>
      </c>
      <c r="H1919" s="5">
        <f t="shared" si="29"/>
        <v>2.2987940499156256E-2</v>
      </c>
    </row>
    <row r="1920" spans="1:8" ht="13.5" x14ac:dyDescent="0.25">
      <c r="A1920" s="1"/>
      <c r="B1920" s="3">
        <v>45093</v>
      </c>
      <c r="C1920" s="4">
        <v>89</v>
      </c>
      <c r="D1920" s="4">
        <v>72.808199999999999</v>
      </c>
      <c r="E1920" s="4">
        <v>41</v>
      </c>
      <c r="F1920" s="4">
        <v>89</v>
      </c>
      <c r="G1920" s="4">
        <v>3649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88.5</v>
      </c>
      <c r="D1921" s="4">
        <v>72.399199999999993</v>
      </c>
      <c r="E1921" s="4">
        <v>10</v>
      </c>
      <c r="F1921" s="4">
        <v>88.5</v>
      </c>
      <c r="G1921" s="4">
        <v>885</v>
      </c>
      <c r="H1921" s="5">
        <f t="shared" si="29"/>
        <v>-5.6174991278455724E-3</v>
      </c>
    </row>
    <row r="1922" spans="1:8" ht="13.5" x14ac:dyDescent="0.25">
      <c r="A1922" s="1"/>
      <c r="B1922" s="3">
        <v>45097</v>
      </c>
      <c r="C1922" s="4">
        <v>88.5</v>
      </c>
      <c r="D1922" s="4">
        <v>72.399199999999993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89.5</v>
      </c>
      <c r="D1923" s="4">
        <v>73.217200000000005</v>
      </c>
      <c r="E1923" s="4">
        <v>1</v>
      </c>
      <c r="F1923" s="4">
        <v>89.5</v>
      </c>
      <c r="G1923" s="4">
        <v>89.5</v>
      </c>
      <c r="H1923" s="5">
        <f t="shared" si="29"/>
        <v>1.1298467386380127E-2</v>
      </c>
    </row>
    <row r="1924" spans="1:8" ht="13.5" x14ac:dyDescent="0.25">
      <c r="A1924" s="1"/>
      <c r="B1924" s="3">
        <v>45099</v>
      </c>
      <c r="C1924" s="4">
        <v>89.5</v>
      </c>
      <c r="D1924" s="4">
        <v>73.217200000000005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90.99</v>
      </c>
      <c r="D1925" s="4">
        <v>74.436199999999999</v>
      </c>
      <c r="E1925" s="4">
        <v>497</v>
      </c>
      <c r="F1925" s="4">
        <v>90.99</v>
      </c>
      <c r="G1925" s="4">
        <v>45222.03</v>
      </c>
      <c r="H1925" s="5">
        <f t="shared" si="29"/>
        <v>1.6649093382429182E-2</v>
      </c>
    </row>
    <row r="1926" spans="1:8" ht="13.5" x14ac:dyDescent="0.25">
      <c r="A1926" s="1"/>
      <c r="B1926" s="3">
        <v>45103</v>
      </c>
      <c r="C1926" s="4">
        <v>88.5</v>
      </c>
      <c r="D1926" s="4">
        <v>72.399199999999993</v>
      </c>
      <c r="E1926" s="4">
        <v>6</v>
      </c>
      <c r="F1926" s="4">
        <v>88.5</v>
      </c>
      <c r="G1926" s="4">
        <v>531</v>
      </c>
      <c r="H1926" s="5">
        <f t="shared" si="29"/>
        <v>-2.7365717218235296E-2</v>
      </c>
    </row>
    <row r="1927" spans="1:8" ht="13.5" x14ac:dyDescent="0.25">
      <c r="A1927" s="1"/>
      <c r="B1927" s="3">
        <v>45104</v>
      </c>
      <c r="C1927" s="4">
        <v>88.5</v>
      </c>
      <c r="D1927" s="4">
        <v>72.399199999999993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88.5</v>
      </c>
      <c r="D1928" s="4">
        <v>72.399199999999993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89</v>
      </c>
      <c r="D1929" s="4">
        <v>72.808199999999999</v>
      </c>
      <c r="E1929" s="4">
        <v>1</v>
      </c>
      <c r="F1929" s="4">
        <v>89</v>
      </c>
      <c r="G1929" s="4">
        <v>89</v>
      </c>
      <c r="H1929" s="5">
        <f t="shared" si="30"/>
        <v>5.6492336931900635E-3</v>
      </c>
    </row>
    <row r="1930" spans="1:8" ht="13.5" x14ac:dyDescent="0.25">
      <c r="A1930" s="1"/>
      <c r="B1930" s="3">
        <v>45111</v>
      </c>
      <c r="C1930" s="4">
        <v>89</v>
      </c>
      <c r="D1930" s="4">
        <v>72.808199999999999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89</v>
      </c>
      <c r="D1931" s="4">
        <v>72.808199999999999</v>
      </c>
      <c r="E1931" s="4">
        <v>122</v>
      </c>
      <c r="F1931" s="4">
        <v>89</v>
      </c>
      <c r="G1931" s="4">
        <v>10858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89</v>
      </c>
      <c r="D1932" s="4">
        <v>72.808199999999999</v>
      </c>
      <c r="E1932" s="4">
        <v>2</v>
      </c>
      <c r="F1932" s="4">
        <v>89</v>
      </c>
      <c r="G1932" s="4">
        <v>178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91</v>
      </c>
      <c r="D1933" s="4">
        <v>74.444299999999998</v>
      </c>
      <c r="E1933" s="4">
        <v>1</v>
      </c>
      <c r="F1933" s="4">
        <v>91</v>
      </c>
      <c r="G1933" s="4">
        <v>91</v>
      </c>
      <c r="H1933" s="5">
        <f t="shared" si="30"/>
        <v>2.2471369983051347E-2</v>
      </c>
    </row>
    <row r="1934" spans="1:8" ht="13.5" x14ac:dyDescent="0.25">
      <c r="A1934" s="1"/>
      <c r="B1934" s="3">
        <v>45117</v>
      </c>
      <c r="C1934" s="4">
        <v>90.99</v>
      </c>
      <c r="D1934" s="4">
        <v>74.436199999999999</v>
      </c>
      <c r="E1934" s="4">
        <v>74</v>
      </c>
      <c r="F1934" s="4">
        <v>90.99</v>
      </c>
      <c r="G1934" s="4">
        <v>6733.26</v>
      </c>
      <c r="H1934" s="5">
        <f t="shared" si="30"/>
        <v>-1.0880618126570988E-4</v>
      </c>
    </row>
    <row r="1935" spans="1:8" ht="13.5" x14ac:dyDescent="0.25">
      <c r="A1935" s="1"/>
      <c r="B1935" s="3">
        <v>45118</v>
      </c>
      <c r="C1935" s="4">
        <v>91.99</v>
      </c>
      <c r="D1935" s="4">
        <v>75.254199999999997</v>
      </c>
      <c r="E1935" s="4">
        <v>70</v>
      </c>
      <c r="F1935" s="4">
        <v>91.99</v>
      </c>
      <c r="G1935" s="4">
        <v>6439.3</v>
      </c>
      <c r="H1935" s="5">
        <f t="shared" si="30"/>
        <v>1.0989276722884803E-2</v>
      </c>
    </row>
    <row r="1936" spans="1:8" ht="13.5" x14ac:dyDescent="0.25">
      <c r="A1936" s="1"/>
      <c r="B1936" s="3">
        <v>45119</v>
      </c>
      <c r="C1936" s="4">
        <v>88</v>
      </c>
      <c r="D1936" s="4">
        <v>76.626000000000005</v>
      </c>
      <c r="E1936" s="4">
        <v>293</v>
      </c>
      <c r="F1936" s="4">
        <v>88</v>
      </c>
      <c r="G1936" s="4">
        <v>25784</v>
      </c>
      <c r="H1936" s="5">
        <f t="shared" si="30"/>
        <v>1.822888290620334E-2</v>
      </c>
    </row>
    <row r="1937" spans="1:8" ht="13.5" x14ac:dyDescent="0.25">
      <c r="A1937" s="1"/>
      <c r="B1937" s="3">
        <v>45120</v>
      </c>
      <c r="C1937" s="4">
        <v>88</v>
      </c>
      <c r="D1937" s="4">
        <v>76.626000000000005</v>
      </c>
      <c r="E1937" s="4">
        <v>29</v>
      </c>
      <c r="F1937" s="4">
        <v>88</v>
      </c>
      <c r="G1937" s="4">
        <v>2552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88</v>
      </c>
      <c r="D1938" s="4">
        <v>76.626000000000005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88</v>
      </c>
      <c r="D1939" s="4">
        <v>76.626000000000005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88</v>
      </c>
      <c r="D1940" s="4">
        <v>76.626000000000005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90</v>
      </c>
      <c r="D1941" s="4">
        <v>78.367500000000007</v>
      </c>
      <c r="E1941" s="4">
        <v>1</v>
      </c>
      <c r="F1941" s="4">
        <v>90</v>
      </c>
      <c r="G1941" s="4">
        <v>90</v>
      </c>
      <c r="H1941" s="5">
        <f t="shared" si="30"/>
        <v>2.2727272727272752E-2</v>
      </c>
    </row>
    <row r="1942" spans="1:8" ht="13.5" x14ac:dyDescent="0.25">
      <c r="A1942" s="1"/>
      <c r="B1942" s="3">
        <v>45128</v>
      </c>
      <c r="C1942" s="4">
        <v>90</v>
      </c>
      <c r="D1942" s="4">
        <v>78.367500000000007</v>
      </c>
      <c r="E1942" s="4">
        <v>14</v>
      </c>
      <c r="F1942" s="4">
        <v>90</v>
      </c>
      <c r="G1942" s="4">
        <v>1260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89.9</v>
      </c>
      <c r="D1943" s="4">
        <v>78.2804</v>
      </c>
      <c r="E1943" s="4">
        <v>38</v>
      </c>
      <c r="F1943" s="4">
        <v>89.9</v>
      </c>
      <c r="G1943" s="4">
        <v>3416.2</v>
      </c>
      <c r="H1943" s="5">
        <f t="shared" si="30"/>
        <v>-1.1114301209047962E-3</v>
      </c>
    </row>
    <row r="1944" spans="1:8" ht="13.5" x14ac:dyDescent="0.25">
      <c r="A1944" s="1"/>
      <c r="B1944" s="3">
        <v>45133</v>
      </c>
      <c r="C1944" s="4">
        <v>90</v>
      </c>
      <c r="D1944" s="4">
        <v>78.367500000000007</v>
      </c>
      <c r="E1944" s="4">
        <v>1</v>
      </c>
      <c r="F1944" s="4">
        <v>90</v>
      </c>
      <c r="G1944" s="4">
        <v>90</v>
      </c>
      <c r="H1944" s="5">
        <f t="shared" si="30"/>
        <v>1.112666772270027E-3</v>
      </c>
    </row>
    <row r="1945" spans="1:8" ht="13.5" x14ac:dyDescent="0.25">
      <c r="A1945" s="1"/>
      <c r="B1945" s="3">
        <v>45134</v>
      </c>
      <c r="C1945" s="4">
        <v>89.95</v>
      </c>
      <c r="D1945" s="4">
        <v>78.323999999999998</v>
      </c>
      <c r="E1945" s="4">
        <v>55</v>
      </c>
      <c r="F1945" s="4">
        <v>89.95</v>
      </c>
      <c r="G1945" s="4">
        <v>4947.25</v>
      </c>
      <c r="H1945" s="5">
        <f t="shared" si="30"/>
        <v>-5.5507704086526621E-4</v>
      </c>
    </row>
    <row r="1946" spans="1:8" ht="13.5" x14ac:dyDescent="0.25">
      <c r="A1946" s="1"/>
      <c r="B1946" s="3">
        <v>45135</v>
      </c>
      <c r="C1946" s="4">
        <v>89.95</v>
      </c>
      <c r="D1946" s="4">
        <v>78.323999999999998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89.95</v>
      </c>
      <c r="D1947" s="4">
        <v>78.323999999999998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89.95</v>
      </c>
      <c r="D1948" s="4">
        <v>78.323999999999998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89.95</v>
      </c>
      <c r="D1949" s="4">
        <v>78.323999999999998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89.95</v>
      </c>
      <c r="D1950" s="4">
        <v>78.323999999999998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86.05</v>
      </c>
      <c r="D1951" s="4">
        <v>74.927999999999997</v>
      </c>
      <c r="E1951" s="4">
        <v>10</v>
      </c>
      <c r="F1951" s="4">
        <v>86.05</v>
      </c>
      <c r="G1951" s="4">
        <v>860.5</v>
      </c>
      <c r="H1951" s="5">
        <f t="shared" si="30"/>
        <v>-4.3358357591542836E-2</v>
      </c>
    </row>
    <row r="1952" spans="1:8" ht="13.5" x14ac:dyDescent="0.25">
      <c r="A1952" s="1"/>
      <c r="B1952" s="3">
        <v>45145</v>
      </c>
      <c r="C1952" s="4">
        <v>86.05</v>
      </c>
      <c r="D1952" s="4">
        <v>74.927999999999997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86</v>
      </c>
      <c r="D1953" s="4">
        <v>74.884500000000003</v>
      </c>
      <c r="E1953" s="4">
        <v>110</v>
      </c>
      <c r="F1953" s="4">
        <v>86</v>
      </c>
      <c r="G1953" s="4">
        <v>9460</v>
      </c>
      <c r="H1953" s="5">
        <f t="shared" si="30"/>
        <v>-5.8055733504156718E-4</v>
      </c>
    </row>
    <row r="1954" spans="1:8" ht="13.5" x14ac:dyDescent="0.25">
      <c r="A1954" s="1"/>
      <c r="B1954" s="3">
        <v>45147</v>
      </c>
      <c r="C1954" s="4">
        <v>86</v>
      </c>
      <c r="D1954" s="4">
        <v>74.884500000000003</v>
      </c>
      <c r="E1954" s="4">
        <v>277</v>
      </c>
      <c r="F1954" s="4">
        <v>86</v>
      </c>
      <c r="G1954" s="4">
        <v>23822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85.5</v>
      </c>
      <c r="D1955" s="4">
        <v>74.449100000000001</v>
      </c>
      <c r="E1955" s="4">
        <v>26</v>
      </c>
      <c r="F1955" s="4">
        <v>85.5</v>
      </c>
      <c r="G1955" s="4">
        <v>2223</v>
      </c>
      <c r="H1955" s="5">
        <f t="shared" si="30"/>
        <v>-5.8142873358305296E-3</v>
      </c>
    </row>
    <row r="1956" spans="1:8" ht="13.5" x14ac:dyDescent="0.25">
      <c r="A1956" s="1"/>
      <c r="B1956" s="3">
        <v>45149</v>
      </c>
      <c r="C1956" s="4">
        <v>85.5</v>
      </c>
      <c r="D1956" s="4">
        <v>74.449100000000001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85.5</v>
      </c>
      <c r="D1957" s="4">
        <v>74.449100000000001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85.5</v>
      </c>
      <c r="D1958" s="4">
        <v>74.449100000000001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85.5</v>
      </c>
      <c r="D1959" s="4">
        <v>74.449100000000001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86.5</v>
      </c>
      <c r="D1960" s="4">
        <v>75.319900000000004</v>
      </c>
      <c r="E1960" s="4">
        <v>5</v>
      </c>
      <c r="F1960" s="4">
        <v>86.5</v>
      </c>
      <c r="G1960" s="4">
        <v>432.5</v>
      </c>
      <c r="H1960" s="5">
        <f t="shared" si="30"/>
        <v>1.169658196002373E-2</v>
      </c>
    </row>
    <row r="1961" spans="1:8" ht="13.5" x14ac:dyDescent="0.25">
      <c r="A1961" s="1"/>
      <c r="B1961" s="3">
        <v>45156</v>
      </c>
      <c r="C1961" s="4">
        <v>86.5</v>
      </c>
      <c r="D1961" s="4">
        <v>75.319900000000004</v>
      </c>
      <c r="E1961" s="4">
        <v>122</v>
      </c>
      <c r="F1961" s="4">
        <v>86.5</v>
      </c>
      <c r="G1961" s="4">
        <v>10553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86.49</v>
      </c>
      <c r="D1962" s="4">
        <v>75.311199999999999</v>
      </c>
      <c r="E1962" s="4">
        <v>9</v>
      </c>
      <c r="F1962" s="4">
        <v>86.49</v>
      </c>
      <c r="G1962" s="4">
        <v>778.41</v>
      </c>
      <c r="H1962" s="5">
        <f t="shared" si="30"/>
        <v>-1.1550732276602322E-4</v>
      </c>
    </row>
    <row r="1963" spans="1:8" ht="13.5" x14ac:dyDescent="0.25">
      <c r="A1963" s="1"/>
      <c r="B1963" s="3">
        <v>45160</v>
      </c>
      <c r="C1963" s="4">
        <v>86.49</v>
      </c>
      <c r="D1963" s="4">
        <v>75.311199999999999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86.49</v>
      </c>
      <c r="D1964" s="4">
        <v>75.311199999999999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86.49</v>
      </c>
      <c r="D1965" s="4">
        <v>75.311199999999999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86.49</v>
      </c>
      <c r="D1966" s="4">
        <v>75.311199999999999</v>
      </c>
      <c r="E1966" s="4">
        <v>2</v>
      </c>
      <c r="F1966" s="4">
        <v>86.49</v>
      </c>
      <c r="G1966" s="4">
        <v>172.98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86.48</v>
      </c>
      <c r="D1967" s="4">
        <v>75.302499999999995</v>
      </c>
      <c r="E1967" s="4">
        <v>13</v>
      </c>
      <c r="F1967" s="4">
        <v>86.483000000000004</v>
      </c>
      <c r="G1967" s="4">
        <v>1124.279</v>
      </c>
      <c r="H1967" s="5">
        <f t="shared" si="30"/>
        <v>-1.1552066624890578E-4</v>
      </c>
    </row>
    <row r="1968" spans="1:8" ht="13.5" x14ac:dyDescent="0.25">
      <c r="A1968" s="1"/>
      <c r="B1968" s="3">
        <v>45167</v>
      </c>
      <c r="C1968" s="4">
        <v>86.5</v>
      </c>
      <c r="D1968" s="4">
        <v>75.319900000000004</v>
      </c>
      <c r="E1968" s="4">
        <v>66</v>
      </c>
      <c r="F1968" s="4">
        <v>86.498000000000005</v>
      </c>
      <c r="G1968" s="4">
        <v>5708.8680000000004</v>
      </c>
      <c r="H1968" s="5">
        <f t="shared" si="30"/>
        <v>2.3106802563008116E-4</v>
      </c>
    </row>
    <row r="1969" spans="1:8" ht="13.5" x14ac:dyDescent="0.25">
      <c r="A1969" s="1"/>
      <c r="B1969" s="3">
        <v>45168</v>
      </c>
      <c r="C1969" s="4">
        <v>86.49</v>
      </c>
      <c r="D1969" s="4">
        <v>75.311199999999999</v>
      </c>
      <c r="E1969" s="4">
        <v>37</v>
      </c>
      <c r="F1969" s="4">
        <v>86.49</v>
      </c>
      <c r="G1969" s="4">
        <v>3200.13</v>
      </c>
      <c r="H1969" s="5">
        <f t="shared" si="30"/>
        <v>-1.1550732276602322E-4</v>
      </c>
    </row>
    <row r="1970" spans="1:8" ht="13.5" x14ac:dyDescent="0.25">
      <c r="A1970" s="1"/>
      <c r="B1970" s="3">
        <v>45169</v>
      </c>
      <c r="C1970" s="4">
        <v>86.49</v>
      </c>
      <c r="D1970" s="4">
        <v>75.311199999999999</v>
      </c>
      <c r="E1970" s="4">
        <v>10</v>
      </c>
      <c r="F1970" s="4">
        <v>86.49</v>
      </c>
      <c r="G1970" s="4">
        <v>864.9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86.48</v>
      </c>
      <c r="D1971" s="4">
        <v>75.302499999999995</v>
      </c>
      <c r="E1971" s="4">
        <v>5</v>
      </c>
      <c r="F1971" s="4">
        <v>86.48</v>
      </c>
      <c r="G1971" s="4">
        <v>432.4</v>
      </c>
      <c r="H1971" s="5">
        <f t="shared" si="30"/>
        <v>-1.1552066624890578E-4</v>
      </c>
    </row>
    <row r="1972" spans="1:8" ht="13.5" x14ac:dyDescent="0.25">
      <c r="A1972" s="1"/>
      <c r="B1972" s="3">
        <v>45173</v>
      </c>
      <c r="C1972" s="4">
        <v>86.48</v>
      </c>
      <c r="D1972" s="4">
        <v>75.302499999999995</v>
      </c>
      <c r="E1972" s="4">
        <v>10</v>
      </c>
      <c r="F1972" s="4">
        <v>86.48</v>
      </c>
      <c r="G1972" s="4">
        <v>864.8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86.48</v>
      </c>
      <c r="D1973" s="4">
        <v>75.302499999999995</v>
      </c>
      <c r="E1973" s="4">
        <v>225</v>
      </c>
      <c r="F1973" s="4">
        <v>86.48</v>
      </c>
      <c r="G1973" s="4">
        <v>19458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86.48</v>
      </c>
      <c r="D1974" s="4">
        <v>75.302499999999995</v>
      </c>
      <c r="E1974" s="4">
        <v>2</v>
      </c>
      <c r="F1974" s="4">
        <v>86.48</v>
      </c>
      <c r="G1974" s="4">
        <v>172.96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84.3</v>
      </c>
      <c r="D1975" s="4">
        <v>73.404200000000003</v>
      </c>
      <c r="E1975" s="4">
        <v>103</v>
      </c>
      <c r="F1975" s="4">
        <v>84.363</v>
      </c>
      <c r="G1975" s="4">
        <v>8689.3889999999992</v>
      </c>
      <c r="H1975" s="5">
        <f t="shared" si="30"/>
        <v>-2.5208990405364923E-2</v>
      </c>
    </row>
    <row r="1976" spans="1:8" ht="13.5" x14ac:dyDescent="0.25">
      <c r="A1976" s="1"/>
      <c r="B1976" s="3">
        <v>45177</v>
      </c>
      <c r="C1976" s="4">
        <v>86</v>
      </c>
      <c r="D1976" s="4">
        <v>74.884500000000003</v>
      </c>
      <c r="E1976" s="4">
        <v>151</v>
      </c>
      <c r="F1976" s="4">
        <v>86</v>
      </c>
      <c r="G1976" s="4">
        <v>12986</v>
      </c>
      <c r="H1976" s="5">
        <f t="shared" si="30"/>
        <v>2.0166420994983933E-2</v>
      </c>
    </row>
    <row r="1977" spans="1:8" ht="13.5" x14ac:dyDescent="0.25">
      <c r="A1977" s="1"/>
      <c r="B1977" s="3">
        <v>45180</v>
      </c>
      <c r="C1977" s="4">
        <v>86</v>
      </c>
      <c r="D1977" s="4">
        <v>74.884500000000003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86</v>
      </c>
      <c r="D1978" s="4">
        <v>74.884500000000003</v>
      </c>
      <c r="E1978" s="4">
        <v>5</v>
      </c>
      <c r="F1978" s="4">
        <v>86</v>
      </c>
      <c r="G1978" s="4">
        <v>430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86</v>
      </c>
      <c r="D1979" s="4">
        <v>74.884500000000003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86</v>
      </c>
      <c r="D1980" s="4">
        <v>74.884500000000003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86</v>
      </c>
      <c r="D1981" s="4">
        <v>74.884500000000003</v>
      </c>
      <c r="E1981" s="4">
        <v>0</v>
      </c>
      <c r="F1981" s="4">
        <v>0</v>
      </c>
      <c r="G1981" s="4">
        <v>0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86</v>
      </c>
      <c r="D1982" s="4">
        <v>74.884500000000003</v>
      </c>
      <c r="E1982" s="4">
        <v>63</v>
      </c>
      <c r="F1982" s="4">
        <v>86</v>
      </c>
      <c r="G1982" s="4">
        <v>5418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86</v>
      </c>
      <c r="D1983" s="4">
        <v>74.884500000000003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86</v>
      </c>
      <c r="D1984" s="4">
        <v>74.884500000000003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86</v>
      </c>
      <c r="D1985" s="4">
        <v>74.884500000000003</v>
      </c>
      <c r="E1985" s="4">
        <v>2</v>
      </c>
      <c r="F1985" s="4">
        <v>86</v>
      </c>
      <c r="G1985" s="4">
        <v>172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86</v>
      </c>
      <c r="D1986" s="4">
        <v>74.884500000000003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86</v>
      </c>
      <c r="D1987" s="4">
        <v>74.884500000000003</v>
      </c>
      <c r="E1987" s="4">
        <v>50</v>
      </c>
      <c r="F1987" s="4">
        <v>86</v>
      </c>
      <c r="G1987" s="4">
        <v>4300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86</v>
      </c>
      <c r="D1988" s="4">
        <v>74.884500000000003</v>
      </c>
      <c r="E1988" s="4">
        <v>120</v>
      </c>
      <c r="F1988" s="4">
        <v>86</v>
      </c>
      <c r="G1988" s="4">
        <v>10320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86</v>
      </c>
      <c r="D1989" s="4">
        <v>74.884500000000003</v>
      </c>
      <c r="E1989" s="4">
        <v>1</v>
      </c>
      <c r="F1989" s="4">
        <v>86</v>
      </c>
      <c r="G1989" s="4">
        <v>86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86</v>
      </c>
      <c r="D1990" s="4">
        <v>74.884500000000003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86</v>
      </c>
      <c r="D1991" s="4">
        <v>74.884500000000003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86</v>
      </c>
      <c r="D1992" s="4">
        <v>74.884500000000003</v>
      </c>
      <c r="E1992" s="4">
        <v>27</v>
      </c>
      <c r="F1992" s="4">
        <v>86</v>
      </c>
      <c r="G1992" s="4">
        <v>2322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86</v>
      </c>
      <c r="D1993" s="4">
        <v>74.884500000000003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85</v>
      </c>
      <c r="D1994" s="4">
        <v>74.0137</v>
      </c>
      <c r="E1994" s="4">
        <v>160</v>
      </c>
      <c r="F1994" s="4">
        <v>85</v>
      </c>
      <c r="G1994" s="4">
        <v>13600</v>
      </c>
      <c r="H1994" s="5">
        <f t="shared" si="31"/>
        <v>-1.1628574671661059E-2</v>
      </c>
    </row>
    <row r="1995" spans="1:8" ht="13.5" x14ac:dyDescent="0.25">
      <c r="A1995" s="1"/>
      <c r="B1995" s="3">
        <v>45205</v>
      </c>
      <c r="C1995" s="4">
        <v>84.1</v>
      </c>
      <c r="D1995" s="4">
        <v>73.230099999999993</v>
      </c>
      <c r="E1995" s="4">
        <v>29</v>
      </c>
      <c r="F1995" s="4">
        <v>84.1</v>
      </c>
      <c r="G1995" s="4">
        <v>2438.9</v>
      </c>
      <c r="H1995" s="5">
        <f t="shared" si="31"/>
        <v>-1.0587229121095243E-2</v>
      </c>
    </row>
    <row r="1996" spans="1:8" ht="13.5" x14ac:dyDescent="0.25">
      <c r="A1996" s="1"/>
      <c r="B1996" s="3">
        <v>45208</v>
      </c>
      <c r="C1996" s="4">
        <v>84</v>
      </c>
      <c r="D1996" s="4">
        <v>73.143000000000001</v>
      </c>
      <c r="E1996" s="4">
        <v>100</v>
      </c>
      <c r="F1996" s="4">
        <v>84</v>
      </c>
      <c r="G1996" s="4">
        <v>8400</v>
      </c>
      <c r="H1996" s="5">
        <f t="shared" si="31"/>
        <v>-1.1894016258340821E-3</v>
      </c>
    </row>
    <row r="1997" spans="1:8" ht="13.5" x14ac:dyDescent="0.25">
      <c r="A1997" s="1"/>
      <c r="B1997" s="3">
        <v>45209</v>
      </c>
      <c r="C1997" s="4">
        <v>84</v>
      </c>
      <c r="D1997" s="4">
        <v>73.143000000000001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84</v>
      </c>
      <c r="D1998" s="4">
        <v>73.143000000000001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84</v>
      </c>
      <c r="D1999" s="4">
        <v>73.143000000000001</v>
      </c>
      <c r="E1999" s="4">
        <v>55</v>
      </c>
      <c r="F1999" s="4">
        <v>84</v>
      </c>
      <c r="G1999" s="4">
        <v>4620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84</v>
      </c>
      <c r="D2000" s="4">
        <v>73.143000000000001</v>
      </c>
      <c r="E2000" s="4">
        <v>44</v>
      </c>
      <c r="F2000" s="4">
        <v>84</v>
      </c>
      <c r="G2000" s="4">
        <v>3696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84</v>
      </c>
      <c r="D2001" s="4">
        <v>73.143000000000001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84</v>
      </c>
      <c r="D2002" s="4">
        <v>73.143000000000001</v>
      </c>
      <c r="E2002" s="4">
        <v>40</v>
      </c>
      <c r="F2002" s="4">
        <v>84</v>
      </c>
      <c r="G2002" s="4">
        <v>3360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84</v>
      </c>
      <c r="D2003" s="4">
        <v>73.143000000000001</v>
      </c>
      <c r="E2003" s="4">
        <v>25</v>
      </c>
      <c r="F2003" s="4">
        <v>84</v>
      </c>
      <c r="G2003" s="4">
        <v>2100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84</v>
      </c>
      <c r="D2004" s="4">
        <v>73.143000000000001</v>
      </c>
      <c r="E2004" s="4">
        <v>23</v>
      </c>
      <c r="F2004" s="4">
        <v>84</v>
      </c>
      <c r="G2004" s="4">
        <v>1932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85</v>
      </c>
      <c r="D2005" s="4">
        <v>74.0137</v>
      </c>
      <c r="E2005" s="4">
        <v>6</v>
      </c>
      <c r="F2005" s="4">
        <v>85</v>
      </c>
      <c r="G2005" s="4">
        <v>510</v>
      </c>
      <c r="H2005" s="5">
        <f t="shared" si="31"/>
        <v>1.1904078312347037E-2</v>
      </c>
    </row>
    <row r="2006" spans="1:8" ht="13.5" x14ac:dyDescent="0.25">
      <c r="A2006" s="1"/>
      <c r="B2006" s="3">
        <v>45222</v>
      </c>
      <c r="C2006" s="4">
        <v>85</v>
      </c>
      <c r="D2006" s="4">
        <v>74.0137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85</v>
      </c>
      <c r="D2007" s="4">
        <v>74.0137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85</v>
      </c>
      <c r="D2008" s="4">
        <v>74.0137</v>
      </c>
      <c r="E2008" s="4">
        <v>0</v>
      </c>
      <c r="F2008" s="4">
        <v>0</v>
      </c>
      <c r="G2008" s="4">
        <v>0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82</v>
      </c>
      <c r="D2009" s="4">
        <v>71.401499999999999</v>
      </c>
      <c r="E2009" s="4">
        <v>100</v>
      </c>
      <c r="F2009" s="4">
        <v>82</v>
      </c>
      <c r="G2009" s="4">
        <v>8200</v>
      </c>
      <c r="H2009" s="5">
        <f t="shared" si="31"/>
        <v>-3.5293465939413939E-2</v>
      </c>
    </row>
    <row r="2010" spans="1:8" ht="13.5" x14ac:dyDescent="0.25">
      <c r="A2010" s="1"/>
      <c r="B2010" s="3">
        <v>45226</v>
      </c>
      <c r="C2010" s="4">
        <v>82</v>
      </c>
      <c r="D2010" s="4">
        <v>71.401499999999999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82</v>
      </c>
      <c r="D2011" s="4">
        <v>71.401499999999999</v>
      </c>
      <c r="E2011" s="4">
        <v>0</v>
      </c>
      <c r="F2011" s="4">
        <v>0</v>
      </c>
      <c r="G2011" s="4">
        <v>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82</v>
      </c>
      <c r="D2012" s="4">
        <v>71.401499999999999</v>
      </c>
      <c r="E2012" s="4">
        <v>0</v>
      </c>
      <c r="F2012" s="4">
        <v>0</v>
      </c>
      <c r="G2012" s="4">
        <v>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82</v>
      </c>
      <c r="D2013" s="4">
        <v>71.401499999999999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82</v>
      </c>
      <c r="D2014" s="4">
        <v>71.401499999999999</v>
      </c>
      <c r="E2014" s="4">
        <v>5</v>
      </c>
      <c r="F2014" s="4">
        <v>82</v>
      </c>
      <c r="G2014" s="4">
        <v>410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82</v>
      </c>
      <c r="D2015" s="4">
        <v>71.401499999999999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82</v>
      </c>
      <c r="D2016" s="4">
        <v>71.401499999999999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82</v>
      </c>
      <c r="D2017" s="4">
        <v>71.401499999999999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83.95</v>
      </c>
      <c r="D2018" s="4">
        <v>73.099500000000006</v>
      </c>
      <c r="E2018" s="4">
        <v>1185</v>
      </c>
      <c r="F2018" s="4">
        <v>83.95</v>
      </c>
      <c r="G2018" s="4">
        <v>99480.75</v>
      </c>
      <c r="H2018" s="5">
        <f t="shared" si="31"/>
        <v>2.3781013003928594E-2</v>
      </c>
    </row>
    <row r="2019" spans="1:8" ht="13.5" x14ac:dyDescent="0.25">
      <c r="A2019" s="1"/>
      <c r="B2019" s="3">
        <v>45239</v>
      </c>
      <c r="C2019" s="4">
        <v>83.95</v>
      </c>
      <c r="D2019" s="4">
        <v>73.099500000000006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83.49</v>
      </c>
      <c r="D2020" s="4">
        <v>72.698899999999995</v>
      </c>
      <c r="E2020" s="4">
        <v>2</v>
      </c>
      <c r="F2020" s="4">
        <v>83.49</v>
      </c>
      <c r="G2020" s="4">
        <v>166.98</v>
      </c>
      <c r="H2020" s="5">
        <f t="shared" si="31"/>
        <v>-5.4802016429662493E-3</v>
      </c>
    </row>
    <row r="2021" spans="1:8" ht="13.5" x14ac:dyDescent="0.25">
      <c r="A2021" s="1"/>
      <c r="B2021" s="3">
        <v>45243</v>
      </c>
      <c r="C2021" s="4">
        <v>83.49</v>
      </c>
      <c r="D2021" s="4">
        <v>72.698899999999995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83.49</v>
      </c>
      <c r="D2022" s="4">
        <v>72.698899999999995</v>
      </c>
      <c r="E2022" s="4">
        <v>0</v>
      </c>
      <c r="F2022" s="4">
        <v>0</v>
      </c>
      <c r="G2022" s="4">
        <v>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83.49</v>
      </c>
      <c r="D2023" s="4">
        <v>72.698899999999995</v>
      </c>
      <c r="E2023" s="4">
        <v>0</v>
      </c>
      <c r="F2023" s="4">
        <v>0</v>
      </c>
      <c r="G2023" s="4">
        <v>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83.49</v>
      </c>
      <c r="D2024" s="4">
        <v>72.698899999999995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83.49</v>
      </c>
      <c r="D2025" s="4">
        <v>72.698899999999995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83.49</v>
      </c>
      <c r="D2026" s="4">
        <v>72.698899999999995</v>
      </c>
      <c r="E2026" s="4">
        <v>2</v>
      </c>
      <c r="F2026" s="4">
        <v>83.49</v>
      </c>
      <c r="G2026" s="4">
        <v>166.98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83.49</v>
      </c>
      <c r="D2027" s="4">
        <v>72.698899999999995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83.5</v>
      </c>
      <c r="D2028" s="4">
        <v>72.707599999999999</v>
      </c>
      <c r="E2028" s="4">
        <v>2</v>
      </c>
      <c r="F2028" s="4">
        <v>83.5</v>
      </c>
      <c r="G2028" s="4">
        <v>167</v>
      </c>
      <c r="H2028" s="5">
        <f t="shared" si="31"/>
        <v>1.1967168691692163E-4</v>
      </c>
    </row>
    <row r="2029" spans="1:8" ht="13.5" x14ac:dyDescent="0.25">
      <c r="A2029" s="1"/>
      <c r="B2029" s="3">
        <v>45253</v>
      </c>
      <c r="C2029" s="4">
        <v>83.49</v>
      </c>
      <c r="D2029" s="4">
        <v>72.698899999999995</v>
      </c>
      <c r="E2029" s="4">
        <v>88</v>
      </c>
      <c r="F2029" s="4">
        <v>83.49</v>
      </c>
      <c r="G2029" s="4">
        <v>7347.12</v>
      </c>
      <c r="H2029" s="5">
        <f t="shared" si="31"/>
        <v>-1.1965736731792266E-4</v>
      </c>
    </row>
    <row r="2030" spans="1:8" ht="13.5" x14ac:dyDescent="0.25">
      <c r="A2030" s="1"/>
      <c r="B2030" s="3">
        <v>45254</v>
      </c>
      <c r="C2030" s="4">
        <v>83.49</v>
      </c>
      <c r="D2030" s="4">
        <v>72.698899999999995</v>
      </c>
      <c r="E2030" s="4">
        <v>0</v>
      </c>
      <c r="F2030" s="4">
        <v>0</v>
      </c>
      <c r="G2030" s="4">
        <v>0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81</v>
      </c>
      <c r="D2031" s="4">
        <v>70.530799999999999</v>
      </c>
      <c r="E2031" s="4">
        <v>7</v>
      </c>
      <c r="F2031" s="4">
        <v>81</v>
      </c>
      <c r="G2031" s="4">
        <v>567</v>
      </c>
      <c r="H2031" s="5">
        <f t="shared" si="31"/>
        <v>-2.9823009701659801E-2</v>
      </c>
    </row>
    <row r="2032" spans="1:8" ht="13.5" x14ac:dyDescent="0.25">
      <c r="A2032" s="1"/>
      <c r="B2032" s="3">
        <v>45258</v>
      </c>
      <c r="C2032" s="4">
        <v>80.989999999999995</v>
      </c>
      <c r="D2032" s="4">
        <v>70.522000000000006</v>
      </c>
      <c r="E2032" s="4">
        <v>12</v>
      </c>
      <c r="F2032" s="4">
        <v>81.198999999999998</v>
      </c>
      <c r="G2032" s="4">
        <v>974.38800000000003</v>
      </c>
      <c r="H2032" s="5">
        <f t="shared" si="31"/>
        <v>-1.2476818638089602E-4</v>
      </c>
    </row>
    <row r="2033" spans="1:8" ht="13.5" x14ac:dyDescent="0.25">
      <c r="A2033" s="1"/>
      <c r="B2033" s="3">
        <v>45259</v>
      </c>
      <c r="C2033" s="4">
        <v>80.489999999999995</v>
      </c>
      <c r="D2033" s="4">
        <v>70.086699999999993</v>
      </c>
      <c r="E2033" s="4">
        <v>107</v>
      </c>
      <c r="F2033" s="4">
        <v>80.509</v>
      </c>
      <c r="G2033" s="4">
        <v>8614.4629999999997</v>
      </c>
      <c r="H2033" s="5">
        <f t="shared" si="31"/>
        <v>-6.1725419018180457E-3</v>
      </c>
    </row>
    <row r="2034" spans="1:8" ht="13.5" x14ac:dyDescent="0.25">
      <c r="A2034" s="1"/>
      <c r="B2034" s="3">
        <v>45260</v>
      </c>
      <c r="C2034" s="4">
        <v>80.489999999999995</v>
      </c>
      <c r="D2034" s="4">
        <v>70.086699999999993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80.489999999999995</v>
      </c>
      <c r="D2035" s="4">
        <v>70.086699999999993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80.489999999999995</v>
      </c>
      <c r="D2036" s="4">
        <v>70.086699999999993</v>
      </c>
      <c r="E2036" s="4">
        <v>2</v>
      </c>
      <c r="F2036" s="4">
        <v>80.489999999999995</v>
      </c>
      <c r="G2036" s="4">
        <v>160.97999999999999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80.489999999999995</v>
      </c>
      <c r="D2037" s="4">
        <v>70.086699999999993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80.489999999999995</v>
      </c>
      <c r="D2038" s="4">
        <v>70.086699999999993</v>
      </c>
      <c r="E2038" s="4">
        <v>0</v>
      </c>
      <c r="F2038" s="4">
        <v>0</v>
      </c>
      <c r="G2038" s="4">
        <v>0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80.489999999999995</v>
      </c>
      <c r="D2039" s="4">
        <v>70.086699999999993</v>
      </c>
      <c r="E2039" s="4">
        <v>0</v>
      </c>
      <c r="F2039" s="4">
        <v>0</v>
      </c>
      <c r="G2039" s="4">
        <v>0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83.98</v>
      </c>
      <c r="D2040" s="4">
        <v>73.125600000000006</v>
      </c>
      <c r="E2040" s="4">
        <v>1034</v>
      </c>
      <c r="F2040" s="4">
        <v>83.98</v>
      </c>
      <c r="G2040" s="4">
        <v>86835.32</v>
      </c>
      <c r="H2040" s="5">
        <f t="shared" si="31"/>
        <v>4.3359153733875506E-2</v>
      </c>
    </row>
    <row r="2041" spans="1:8" ht="13.5" x14ac:dyDescent="0.25">
      <c r="A2041" s="1"/>
      <c r="B2041" s="3">
        <v>45271</v>
      </c>
      <c r="C2041" s="4">
        <v>83.9</v>
      </c>
      <c r="D2041" s="4">
        <v>73.055899999999994</v>
      </c>
      <c r="E2041" s="4">
        <v>9</v>
      </c>
      <c r="F2041" s="4">
        <v>83.9</v>
      </c>
      <c r="G2041" s="4">
        <v>755.1</v>
      </c>
      <c r="H2041" s="5">
        <f t="shared" si="31"/>
        <v>-9.5315457240708636E-4</v>
      </c>
    </row>
    <row r="2042" spans="1:8" ht="13.5" x14ac:dyDescent="0.25">
      <c r="A2042" s="1"/>
      <c r="B2042" s="3">
        <v>45272</v>
      </c>
      <c r="C2042" s="4">
        <v>81.02</v>
      </c>
      <c r="D2042" s="4">
        <v>70.548199999999994</v>
      </c>
      <c r="E2042" s="4">
        <v>10</v>
      </c>
      <c r="F2042" s="4">
        <v>81.02</v>
      </c>
      <c r="G2042" s="4">
        <v>810.2</v>
      </c>
      <c r="H2042" s="5">
        <f t="shared" si="31"/>
        <v>-3.4325769718804369E-2</v>
      </c>
    </row>
    <row r="2043" spans="1:8" ht="13.5" x14ac:dyDescent="0.25">
      <c r="A2043" s="1"/>
      <c r="B2043" s="3">
        <v>45273</v>
      </c>
      <c r="C2043" s="4">
        <v>81.02</v>
      </c>
      <c r="D2043" s="4">
        <v>70.548199999999994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81.02</v>
      </c>
      <c r="D2044" s="4">
        <v>70.548199999999994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81.02</v>
      </c>
      <c r="D2045" s="4">
        <v>70.548199999999994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82</v>
      </c>
      <c r="D2046" s="4">
        <v>71.401499999999999</v>
      </c>
      <c r="E2046" s="4">
        <v>5</v>
      </c>
      <c r="F2046" s="4">
        <v>82</v>
      </c>
      <c r="G2046" s="4">
        <v>410</v>
      </c>
      <c r="H2046" s="5">
        <f t="shared" si="31"/>
        <v>1.2095276704437597E-2</v>
      </c>
    </row>
    <row r="2047" spans="1:8" ht="13.5" x14ac:dyDescent="0.25">
      <c r="A2047" s="1"/>
      <c r="B2047" s="3">
        <v>45279</v>
      </c>
      <c r="C2047" s="4">
        <v>82.11</v>
      </c>
      <c r="D2047" s="4">
        <v>71.497299999999996</v>
      </c>
      <c r="E2047" s="4">
        <v>15</v>
      </c>
      <c r="F2047" s="4">
        <v>82.11</v>
      </c>
      <c r="G2047" s="4">
        <v>1231.6500000000001</v>
      </c>
      <c r="H2047" s="5">
        <f t="shared" si="31"/>
        <v>1.3417085075243097E-3</v>
      </c>
    </row>
    <row r="2048" spans="1:8" ht="13.5" x14ac:dyDescent="0.25">
      <c r="A2048" s="1"/>
      <c r="B2048" s="3">
        <v>45280</v>
      </c>
      <c r="C2048" s="4">
        <v>82.11</v>
      </c>
      <c r="D2048" s="4">
        <v>71.497299999999996</v>
      </c>
      <c r="E2048" s="4">
        <v>59</v>
      </c>
      <c r="F2048" s="4">
        <v>82.11</v>
      </c>
      <c r="G2048" s="4">
        <v>4844.49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81.5</v>
      </c>
      <c r="D2049" s="4">
        <v>70.966099999999997</v>
      </c>
      <c r="E2049" s="4">
        <v>15</v>
      </c>
      <c r="F2049" s="4">
        <v>81.5</v>
      </c>
      <c r="G2049" s="4">
        <v>1222.5</v>
      </c>
      <c r="H2049" s="5">
        <f t="shared" si="31"/>
        <v>-7.4296511896253196E-3</v>
      </c>
    </row>
    <row r="2050" spans="1:8" ht="13.5" x14ac:dyDescent="0.25">
      <c r="A2050" s="1"/>
      <c r="B2050" s="3">
        <v>45282</v>
      </c>
      <c r="C2050" s="4">
        <v>82.11</v>
      </c>
      <c r="D2050" s="4">
        <v>71.497299999999996</v>
      </c>
      <c r="E2050" s="4">
        <v>41</v>
      </c>
      <c r="F2050" s="4">
        <v>82.11</v>
      </c>
      <c r="G2050" s="4">
        <v>3366.51</v>
      </c>
      <c r="H2050" s="5">
        <f t="shared" si="31"/>
        <v>7.4852640908828066E-3</v>
      </c>
    </row>
    <row r="2051" spans="1:8" ht="13.5" x14ac:dyDescent="0.25">
      <c r="A2051" s="1"/>
      <c r="B2051" s="3">
        <v>45285</v>
      </c>
      <c r="C2051" s="4">
        <v>82.11</v>
      </c>
      <c r="D2051" s="4">
        <v>71.497299999999996</v>
      </c>
      <c r="E2051" s="4">
        <v>9</v>
      </c>
      <c r="F2051" s="4">
        <v>82.11</v>
      </c>
      <c r="G2051" s="4">
        <v>738.99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82.11</v>
      </c>
      <c r="D2052" s="4">
        <v>71.497299999999996</v>
      </c>
      <c r="E2052" s="4">
        <v>65</v>
      </c>
      <c r="F2052" s="4">
        <v>82.11</v>
      </c>
      <c r="G2052" s="4">
        <v>5337.15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81.010000000000005</v>
      </c>
      <c r="D2053" s="4">
        <v>70.539500000000004</v>
      </c>
      <c r="E2053" s="4">
        <v>10</v>
      </c>
      <c r="F2053" s="4">
        <v>81.010000000000005</v>
      </c>
      <c r="G2053" s="4">
        <v>810.1</v>
      </c>
      <c r="H2053" s="5">
        <f t="shared" si="31"/>
        <v>-1.3396310070450099E-2</v>
      </c>
    </row>
    <row r="2054" spans="1:8" ht="13.5" x14ac:dyDescent="0.25">
      <c r="A2054" s="1"/>
      <c r="B2054" s="3">
        <v>45288</v>
      </c>
      <c r="C2054" s="4">
        <v>81.010000000000005</v>
      </c>
      <c r="D2054" s="4">
        <v>70.539500000000004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81.12</v>
      </c>
      <c r="D2055" s="4">
        <v>70.635199999999998</v>
      </c>
      <c r="E2055" s="4">
        <v>56</v>
      </c>
      <c r="F2055" s="4">
        <v>81.108000000000004</v>
      </c>
      <c r="G2055" s="4">
        <v>4542.0479999999998</v>
      </c>
      <c r="H2055" s="5">
        <f t="shared" ref="H2055:H2118" si="32">(D2055-D2054)/D2054</f>
        <v>1.3566866790946019E-3</v>
      </c>
    </row>
    <row r="2056" spans="1:8" ht="13.5" x14ac:dyDescent="0.25">
      <c r="A2056" s="1"/>
      <c r="B2056" s="3">
        <v>45293</v>
      </c>
      <c r="C2056" s="4">
        <v>83.98</v>
      </c>
      <c r="D2056" s="4">
        <v>73.125600000000006</v>
      </c>
      <c r="E2056" s="4">
        <v>1</v>
      </c>
      <c r="F2056" s="4">
        <v>83.98</v>
      </c>
      <c r="G2056" s="4">
        <v>83.98</v>
      </c>
      <c r="H2056" s="5">
        <f t="shared" si="32"/>
        <v>3.5257208870365035E-2</v>
      </c>
    </row>
    <row r="2057" spans="1:8" ht="13.5" x14ac:dyDescent="0.25">
      <c r="A2057" s="1"/>
      <c r="B2057" s="3">
        <v>45294</v>
      </c>
      <c r="C2057" s="4">
        <v>83.94</v>
      </c>
      <c r="D2057" s="4">
        <v>73.090800000000002</v>
      </c>
      <c r="E2057" s="4">
        <v>451</v>
      </c>
      <c r="F2057" s="4">
        <v>83.94</v>
      </c>
      <c r="G2057" s="4">
        <v>37856.94</v>
      </c>
      <c r="H2057" s="5">
        <f t="shared" si="32"/>
        <v>-4.7589353113005787E-4</v>
      </c>
    </row>
    <row r="2058" spans="1:8" ht="13.5" x14ac:dyDescent="0.25">
      <c r="A2058" s="1"/>
      <c r="B2058" s="3">
        <v>45295</v>
      </c>
      <c r="C2058" s="4">
        <v>81.25</v>
      </c>
      <c r="D2058" s="4">
        <v>70.748400000000004</v>
      </c>
      <c r="E2058" s="4">
        <v>24</v>
      </c>
      <c r="F2058" s="4">
        <v>81.25</v>
      </c>
      <c r="G2058" s="4">
        <v>1950</v>
      </c>
      <c r="H2058" s="5">
        <f t="shared" si="32"/>
        <v>-3.2047809026580609E-2</v>
      </c>
    </row>
    <row r="2059" spans="1:8" ht="13.5" x14ac:dyDescent="0.25">
      <c r="A2059" s="1"/>
      <c r="B2059" s="3">
        <v>45296</v>
      </c>
      <c r="C2059" s="4">
        <v>81.260000000000005</v>
      </c>
      <c r="D2059" s="4">
        <v>70.757099999999994</v>
      </c>
      <c r="E2059" s="4">
        <v>184</v>
      </c>
      <c r="F2059" s="4">
        <v>81.254000000000005</v>
      </c>
      <c r="G2059" s="4">
        <v>14950.736000000001</v>
      </c>
      <c r="H2059" s="5">
        <f t="shared" si="32"/>
        <v>1.229709788488557E-4</v>
      </c>
    </row>
    <row r="2060" spans="1:8" ht="13.5" x14ac:dyDescent="0.25">
      <c r="A2060" s="1"/>
      <c r="B2060" s="3">
        <v>45299</v>
      </c>
      <c r="C2060" s="4">
        <v>81.260000000000005</v>
      </c>
      <c r="D2060" s="4">
        <v>70.757099999999994</v>
      </c>
      <c r="E2060" s="4">
        <v>75</v>
      </c>
      <c r="F2060" s="4">
        <v>81.260000000000005</v>
      </c>
      <c r="G2060" s="4">
        <v>6094.5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81.260000000000005</v>
      </c>
      <c r="D2061" s="4">
        <v>70.757099999999994</v>
      </c>
      <c r="E2061" s="4">
        <v>43</v>
      </c>
      <c r="F2061" s="4">
        <v>81.260000000000005</v>
      </c>
      <c r="G2061" s="4">
        <v>3494.18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81.260000000000005</v>
      </c>
      <c r="D2062" s="4">
        <v>70.757099999999994</v>
      </c>
      <c r="E2062" s="4">
        <v>30</v>
      </c>
      <c r="F2062" s="4">
        <v>81.260000000000005</v>
      </c>
      <c r="G2062" s="4">
        <v>2437.8000000000002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81.260000000000005</v>
      </c>
      <c r="D2063" s="4">
        <v>70.757099999999994</v>
      </c>
      <c r="E2063" s="4">
        <v>2</v>
      </c>
      <c r="F2063" s="4">
        <v>81.260000000000005</v>
      </c>
      <c r="G2063" s="4">
        <v>162.52000000000001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81.260000000000005</v>
      </c>
      <c r="D2064" s="4">
        <v>70.757099999999994</v>
      </c>
      <c r="E2064" s="4">
        <v>8</v>
      </c>
      <c r="F2064" s="4">
        <v>81.260000000000005</v>
      </c>
      <c r="G2064" s="4">
        <v>650.08000000000004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81.260000000000005</v>
      </c>
      <c r="D2065" s="4">
        <v>70.757099999999994</v>
      </c>
      <c r="E2065" s="4">
        <v>65</v>
      </c>
      <c r="F2065" s="4">
        <v>81.260000000000005</v>
      </c>
      <c r="G2065" s="4">
        <v>5281.9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81.260000000000005</v>
      </c>
      <c r="D2066" s="4">
        <v>70.757099999999994</v>
      </c>
      <c r="E2066" s="4">
        <v>51</v>
      </c>
      <c r="F2066" s="4">
        <v>81.260000000000005</v>
      </c>
      <c r="G2066" s="4">
        <v>4144.26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81.25</v>
      </c>
      <c r="D2067" s="4">
        <v>70.748400000000004</v>
      </c>
      <c r="E2067" s="4">
        <v>100</v>
      </c>
      <c r="F2067" s="4">
        <v>81.25</v>
      </c>
      <c r="G2067" s="4">
        <v>8125</v>
      </c>
      <c r="H2067" s="5">
        <f t="shared" si="32"/>
        <v>-1.2295585884653814E-4</v>
      </c>
    </row>
    <row r="2068" spans="1:8" ht="13.5" x14ac:dyDescent="0.25">
      <c r="A2068" s="1"/>
      <c r="B2068" s="3">
        <v>45309</v>
      </c>
      <c r="C2068" s="4">
        <v>80.5</v>
      </c>
      <c r="D2068" s="4">
        <v>70.095399999999998</v>
      </c>
      <c r="E2068" s="4">
        <v>8</v>
      </c>
      <c r="F2068" s="4">
        <v>80.69</v>
      </c>
      <c r="G2068" s="4">
        <v>645.52</v>
      </c>
      <c r="H2068" s="5">
        <f t="shared" si="32"/>
        <v>-9.2298907113094533E-3</v>
      </c>
    </row>
    <row r="2069" spans="1:8" ht="13.5" x14ac:dyDescent="0.25">
      <c r="A2069" s="1"/>
      <c r="B2069" s="3">
        <v>45310</v>
      </c>
      <c r="C2069" s="4">
        <v>80.5</v>
      </c>
      <c r="D2069" s="4">
        <v>70.095399999999998</v>
      </c>
      <c r="E2069" s="4">
        <v>45</v>
      </c>
      <c r="F2069" s="4">
        <v>80.5</v>
      </c>
      <c r="G2069" s="4">
        <v>3622.5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80.45</v>
      </c>
      <c r="D2070" s="4">
        <v>70.0518</v>
      </c>
      <c r="E2070" s="4">
        <v>75</v>
      </c>
      <c r="F2070" s="4">
        <v>80.617000000000004</v>
      </c>
      <c r="G2070" s="4">
        <v>6046.2749999999996</v>
      </c>
      <c r="H2070" s="5">
        <f t="shared" si="32"/>
        <v>-6.2200943285861644E-4</v>
      </c>
    </row>
    <row r="2071" spans="1:8" ht="13.5" x14ac:dyDescent="0.25">
      <c r="A2071" s="1"/>
      <c r="B2071" s="3">
        <v>45314</v>
      </c>
      <c r="C2071" s="4">
        <v>80.45</v>
      </c>
      <c r="D2071" s="4">
        <v>70.0518</v>
      </c>
      <c r="E2071" s="4">
        <v>134</v>
      </c>
      <c r="F2071" s="4">
        <v>80.45</v>
      </c>
      <c r="G2071" s="4">
        <v>10780.3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80.45</v>
      </c>
      <c r="D2072" s="4">
        <v>70.0518</v>
      </c>
      <c r="E2072" s="4">
        <v>42</v>
      </c>
      <c r="F2072" s="4">
        <v>80.45</v>
      </c>
      <c r="G2072" s="4">
        <v>3378.9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80.45</v>
      </c>
      <c r="D2073" s="4">
        <v>70.0518</v>
      </c>
      <c r="E2073" s="4">
        <v>68</v>
      </c>
      <c r="F2073" s="4">
        <v>80.45</v>
      </c>
      <c r="G2073" s="4">
        <v>5470.6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80.45</v>
      </c>
      <c r="D2074" s="4">
        <v>70.0518</v>
      </c>
      <c r="E2074" s="4">
        <v>75</v>
      </c>
      <c r="F2074" s="4">
        <v>80.483000000000004</v>
      </c>
      <c r="G2074" s="4">
        <v>6036.2250000000004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80.3</v>
      </c>
      <c r="D2075" s="4">
        <v>69.921199999999999</v>
      </c>
      <c r="E2075" s="4">
        <v>13</v>
      </c>
      <c r="F2075" s="4">
        <v>80.3</v>
      </c>
      <c r="G2075" s="4">
        <v>1043.9000000000001</v>
      </c>
      <c r="H2075" s="5">
        <f t="shared" si="32"/>
        <v>-1.8643346780525434E-3</v>
      </c>
    </row>
    <row r="2076" spans="1:8" ht="13.5" x14ac:dyDescent="0.25">
      <c r="A2076" s="1"/>
      <c r="B2076" s="3">
        <v>45321</v>
      </c>
      <c r="C2076" s="4">
        <v>80.3</v>
      </c>
      <c r="D2076" s="4">
        <v>69.921199999999999</v>
      </c>
      <c r="E2076" s="4">
        <v>95</v>
      </c>
      <c r="F2076" s="4">
        <v>80.3</v>
      </c>
      <c r="G2076" s="4">
        <v>7628.5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80.3</v>
      </c>
      <c r="D2077" s="4">
        <v>69.921199999999999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80.45</v>
      </c>
      <c r="D2078" s="4">
        <v>70.0518</v>
      </c>
      <c r="E2078" s="4">
        <v>24</v>
      </c>
      <c r="F2078" s="4">
        <v>80.45</v>
      </c>
      <c r="G2078" s="4">
        <v>1930.8</v>
      </c>
      <c r="H2078" s="5">
        <f t="shared" si="32"/>
        <v>1.8678169138973753E-3</v>
      </c>
    </row>
    <row r="2079" spans="1:8" ht="13.5" x14ac:dyDescent="0.25">
      <c r="A2079" s="1"/>
      <c r="B2079" s="3">
        <v>45324</v>
      </c>
      <c r="C2079" s="4">
        <v>80.45</v>
      </c>
      <c r="D2079" s="4">
        <v>70.0518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80</v>
      </c>
      <c r="D2080" s="4">
        <v>69.66</v>
      </c>
      <c r="E2080" s="4">
        <v>0</v>
      </c>
      <c r="F2080" s="4">
        <v>0</v>
      </c>
      <c r="G2080" s="4">
        <v>0</v>
      </c>
      <c r="H2080" s="5">
        <f t="shared" si="32"/>
        <v>-5.5930040341576302E-3</v>
      </c>
    </row>
    <row r="2081" spans="1:8" ht="13.5" x14ac:dyDescent="0.25">
      <c r="A2081" s="1"/>
      <c r="B2081" s="3">
        <v>45328</v>
      </c>
      <c r="C2081" s="4">
        <v>80</v>
      </c>
      <c r="D2081" s="4">
        <v>69.66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80</v>
      </c>
      <c r="D2082" s="4">
        <v>69.66</v>
      </c>
      <c r="E2082" s="4">
        <v>0</v>
      </c>
      <c r="F2082" s="4">
        <v>0</v>
      </c>
      <c r="G2082" s="4">
        <v>0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80.400000000000006</v>
      </c>
      <c r="D2083" s="4">
        <v>70.008300000000006</v>
      </c>
      <c r="E2083" s="4">
        <v>136</v>
      </c>
      <c r="F2083" s="4">
        <v>80.400000000000006</v>
      </c>
      <c r="G2083" s="4">
        <v>10934.4</v>
      </c>
      <c r="H2083" s="5">
        <f t="shared" si="32"/>
        <v>5.0000000000001285E-3</v>
      </c>
    </row>
    <row r="2084" spans="1:8" ht="13.5" x14ac:dyDescent="0.25">
      <c r="A2084" s="1"/>
      <c r="B2084" s="3">
        <v>45331</v>
      </c>
      <c r="C2084" s="4">
        <v>80.400000000000006</v>
      </c>
      <c r="D2084" s="4">
        <v>70.008300000000006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80.400000000000006</v>
      </c>
      <c r="D2085" s="4">
        <v>70.008300000000006</v>
      </c>
      <c r="E2085" s="4">
        <v>5</v>
      </c>
      <c r="F2085" s="4">
        <v>80.400000000000006</v>
      </c>
      <c r="G2085" s="4">
        <v>402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80.39</v>
      </c>
      <c r="D2086" s="4">
        <v>69.999600000000001</v>
      </c>
      <c r="E2086" s="4">
        <v>3</v>
      </c>
      <c r="F2086" s="4">
        <v>80.39</v>
      </c>
      <c r="G2086" s="4">
        <v>241.17</v>
      </c>
      <c r="H2086" s="5">
        <f t="shared" si="32"/>
        <v>-1.2427097929823452E-4</v>
      </c>
    </row>
    <row r="2087" spans="1:8" ht="13.5" x14ac:dyDescent="0.25">
      <c r="A2087" s="1"/>
      <c r="B2087" s="3">
        <v>45336</v>
      </c>
      <c r="C2087" s="4">
        <v>80.36</v>
      </c>
      <c r="D2087" s="4">
        <v>69.973500000000001</v>
      </c>
      <c r="E2087" s="4">
        <v>24</v>
      </c>
      <c r="F2087" s="4">
        <v>80.367000000000004</v>
      </c>
      <c r="G2087" s="4">
        <v>1928.808</v>
      </c>
      <c r="H2087" s="5">
        <f t="shared" si="32"/>
        <v>-3.7285927348155659E-4</v>
      </c>
    </row>
    <row r="2088" spans="1:8" ht="13.5" x14ac:dyDescent="0.25">
      <c r="A2088" s="1"/>
      <c r="B2088" s="3">
        <v>45337</v>
      </c>
      <c r="C2088" s="4">
        <v>80.36</v>
      </c>
      <c r="D2088" s="4">
        <v>69.973500000000001</v>
      </c>
      <c r="E2088" s="4">
        <v>10</v>
      </c>
      <c r="F2088" s="4">
        <v>80.36</v>
      </c>
      <c r="G2088" s="4">
        <v>803.6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80.36</v>
      </c>
      <c r="D2089" s="4">
        <v>69.973500000000001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80.3</v>
      </c>
      <c r="D2090" s="4">
        <v>69.921199999999999</v>
      </c>
      <c r="E2090" s="4">
        <v>319</v>
      </c>
      <c r="F2090" s="4">
        <v>80.3</v>
      </c>
      <c r="G2090" s="4">
        <v>25615.7</v>
      </c>
      <c r="H2090" s="5">
        <f t="shared" si="32"/>
        <v>-7.4742581119998936E-4</v>
      </c>
    </row>
    <row r="2091" spans="1:8" ht="13.5" x14ac:dyDescent="0.25">
      <c r="A2091" s="1"/>
      <c r="B2091" s="3">
        <v>45342</v>
      </c>
      <c r="C2091" s="4">
        <v>80.290000000000006</v>
      </c>
      <c r="D2091" s="4">
        <v>69.912499999999994</v>
      </c>
      <c r="E2091" s="4">
        <v>40</v>
      </c>
      <c r="F2091" s="4">
        <v>80.290000000000006</v>
      </c>
      <c r="G2091" s="4">
        <v>3211.6</v>
      </c>
      <c r="H2091" s="5">
        <f t="shared" si="32"/>
        <v>-1.2442578216627565E-4</v>
      </c>
    </row>
    <row r="2092" spans="1:8" ht="13.5" x14ac:dyDescent="0.25">
      <c r="A2092" s="1"/>
      <c r="B2092" s="3">
        <v>45343</v>
      </c>
      <c r="C2092" s="4">
        <v>80.290000000000006</v>
      </c>
      <c r="D2092" s="4">
        <v>69.912499999999994</v>
      </c>
      <c r="E2092" s="4">
        <v>73</v>
      </c>
      <c r="F2092" s="4">
        <v>80.290000000000006</v>
      </c>
      <c r="G2092" s="4">
        <v>5861.17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80.290000000000006</v>
      </c>
      <c r="D2093" s="4">
        <v>69.912499999999994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77.010000000000005</v>
      </c>
      <c r="D2094" s="4">
        <v>67.0565</v>
      </c>
      <c r="E2094" s="4">
        <v>21</v>
      </c>
      <c r="F2094" s="4">
        <v>80.134</v>
      </c>
      <c r="G2094" s="4">
        <v>1682.8140000000001</v>
      </c>
      <c r="H2094" s="5">
        <f t="shared" si="32"/>
        <v>-4.0851063829787163E-2</v>
      </c>
    </row>
    <row r="2095" spans="1:8" ht="13.5" x14ac:dyDescent="0.25">
      <c r="A2095" s="1"/>
      <c r="B2095" s="3">
        <v>45348</v>
      </c>
      <c r="C2095" s="4">
        <v>73.55</v>
      </c>
      <c r="D2095" s="4">
        <v>64.043700000000001</v>
      </c>
      <c r="E2095" s="4">
        <v>0</v>
      </c>
      <c r="F2095" s="4">
        <v>0</v>
      </c>
      <c r="G2095" s="4">
        <v>0</v>
      </c>
      <c r="H2095" s="5">
        <f t="shared" si="32"/>
        <v>-4.4929276058249368E-2</v>
      </c>
    </row>
    <row r="2096" spans="1:8" ht="13.5" x14ac:dyDescent="0.25">
      <c r="A2096" s="1"/>
      <c r="B2096" s="3">
        <v>45349</v>
      </c>
      <c r="C2096" s="4">
        <v>76.849999999999994</v>
      </c>
      <c r="D2096" s="4">
        <v>66.917100000000005</v>
      </c>
      <c r="E2096" s="4">
        <v>495</v>
      </c>
      <c r="F2096" s="4">
        <v>76.010000000000005</v>
      </c>
      <c r="G2096" s="4">
        <v>37624.949999999997</v>
      </c>
      <c r="H2096" s="5">
        <f t="shared" si="32"/>
        <v>4.4866239770656659E-2</v>
      </c>
    </row>
    <row r="2097" spans="1:8" ht="13.5" x14ac:dyDescent="0.25">
      <c r="A2097" s="1"/>
      <c r="B2097" s="3">
        <v>45350</v>
      </c>
      <c r="C2097" s="4">
        <v>77.010000000000005</v>
      </c>
      <c r="D2097" s="4">
        <v>67.0565</v>
      </c>
      <c r="E2097" s="4">
        <v>802</v>
      </c>
      <c r="F2097" s="4">
        <v>76.394999999999996</v>
      </c>
      <c r="G2097" s="4">
        <v>61268.79</v>
      </c>
      <c r="H2097" s="5">
        <f t="shared" si="32"/>
        <v>2.0831745547848736E-3</v>
      </c>
    </row>
    <row r="2098" spans="1:8" ht="13.5" x14ac:dyDescent="0.25">
      <c r="A2098" s="1"/>
      <c r="B2098" s="3">
        <v>45351</v>
      </c>
      <c r="C2098" s="4">
        <v>77.010000000000005</v>
      </c>
      <c r="D2098" s="4">
        <v>67.0565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79.55</v>
      </c>
      <c r="D2099" s="4">
        <v>69.268199999999993</v>
      </c>
      <c r="E2099" s="4">
        <v>199</v>
      </c>
      <c r="F2099" s="4">
        <v>79.55</v>
      </c>
      <c r="G2099" s="4">
        <v>15830.45</v>
      </c>
      <c r="H2099" s="5">
        <f t="shared" si="32"/>
        <v>3.2982634047407686E-2</v>
      </c>
    </row>
    <row r="2100" spans="1:8" ht="13.5" x14ac:dyDescent="0.25">
      <c r="A2100" s="1"/>
      <c r="B2100" s="3">
        <v>45355</v>
      </c>
      <c r="C2100" s="4">
        <v>80</v>
      </c>
      <c r="D2100" s="4">
        <v>69.66</v>
      </c>
      <c r="E2100" s="4">
        <v>387</v>
      </c>
      <c r="F2100" s="4">
        <v>80</v>
      </c>
      <c r="G2100" s="4">
        <v>30960</v>
      </c>
      <c r="H2100" s="5">
        <f t="shared" si="32"/>
        <v>5.6562751738893679E-3</v>
      </c>
    </row>
    <row r="2101" spans="1:8" ht="13.5" x14ac:dyDescent="0.25">
      <c r="A2101" s="1"/>
      <c r="B2101" s="3">
        <v>45356</v>
      </c>
      <c r="C2101" s="4">
        <v>78</v>
      </c>
      <c r="D2101" s="4">
        <v>67.918499999999995</v>
      </c>
      <c r="E2101" s="4">
        <v>39</v>
      </c>
      <c r="F2101" s="4">
        <v>78</v>
      </c>
      <c r="G2101" s="4">
        <v>3042</v>
      </c>
      <c r="H2101" s="5">
        <f t="shared" si="32"/>
        <v>-2.5000000000000029E-2</v>
      </c>
    </row>
    <row r="2102" spans="1:8" ht="13.5" x14ac:dyDescent="0.25">
      <c r="A2102" s="1"/>
      <c r="B2102" s="3">
        <v>45357</v>
      </c>
      <c r="C2102" s="4">
        <v>79.989999999999995</v>
      </c>
      <c r="D2102" s="4">
        <v>69.651300000000006</v>
      </c>
      <c r="E2102" s="4">
        <v>5</v>
      </c>
      <c r="F2102" s="4">
        <v>79.989999999999995</v>
      </c>
      <c r="G2102" s="4">
        <v>399.95</v>
      </c>
      <c r="H2102" s="5">
        <f t="shared" si="32"/>
        <v>2.5512930939287703E-2</v>
      </c>
    </row>
    <row r="2103" spans="1:8" ht="13.5" x14ac:dyDescent="0.25">
      <c r="A2103" s="1"/>
      <c r="B2103" s="3">
        <v>45358</v>
      </c>
      <c r="C2103" s="4">
        <v>78</v>
      </c>
      <c r="D2103" s="4">
        <v>67.918499999999995</v>
      </c>
      <c r="E2103" s="4">
        <v>10</v>
      </c>
      <c r="F2103" s="4">
        <v>78</v>
      </c>
      <c r="G2103" s="4">
        <v>780</v>
      </c>
      <c r="H2103" s="5">
        <f t="shared" si="32"/>
        <v>-2.4878214764117994E-2</v>
      </c>
    </row>
    <row r="2104" spans="1:8" ht="13.5" x14ac:dyDescent="0.25">
      <c r="A2104" s="1"/>
      <c r="B2104" s="3">
        <v>45359</v>
      </c>
      <c r="C2104" s="4">
        <v>78.010000000000005</v>
      </c>
      <c r="D2104" s="4">
        <v>67.927199999999999</v>
      </c>
      <c r="E2104" s="4">
        <v>6</v>
      </c>
      <c r="F2104" s="4">
        <v>78.010000000000005</v>
      </c>
      <c r="G2104" s="4">
        <v>468.06</v>
      </c>
      <c r="H2104" s="5">
        <f t="shared" si="32"/>
        <v>1.2809470173818022E-4</v>
      </c>
    </row>
    <row r="2105" spans="1:8" ht="13.5" x14ac:dyDescent="0.25">
      <c r="A2105" s="1"/>
      <c r="B2105" s="3">
        <v>45362</v>
      </c>
      <c r="C2105" s="4">
        <v>80.5</v>
      </c>
      <c r="D2105" s="4">
        <v>70.095399999999998</v>
      </c>
      <c r="E2105" s="4">
        <v>1</v>
      </c>
      <c r="F2105" s="4">
        <v>80.5</v>
      </c>
      <c r="G2105" s="4">
        <v>80.5</v>
      </c>
      <c r="H2105" s="5">
        <f t="shared" si="32"/>
        <v>3.1919466723197759E-2</v>
      </c>
    </row>
    <row r="2106" spans="1:8" ht="13.5" x14ac:dyDescent="0.25">
      <c r="A2106" s="1"/>
      <c r="B2106" s="3">
        <v>45363</v>
      </c>
      <c r="C2106" s="4">
        <v>80.5</v>
      </c>
      <c r="D2106" s="4">
        <v>70.095399999999998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80.5</v>
      </c>
      <c r="D2107" s="4">
        <v>70.095399999999998</v>
      </c>
      <c r="E2107" s="4">
        <v>13</v>
      </c>
      <c r="F2107" s="4">
        <v>80.5</v>
      </c>
      <c r="G2107" s="4">
        <v>1046.5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79</v>
      </c>
      <c r="D2108" s="4">
        <v>68.789299999999997</v>
      </c>
      <c r="E2108" s="4">
        <v>24</v>
      </c>
      <c r="F2108" s="4">
        <v>79</v>
      </c>
      <c r="G2108" s="4">
        <v>1896</v>
      </c>
      <c r="H2108" s="5">
        <f t="shared" si="32"/>
        <v>-1.863317707010732E-2</v>
      </c>
    </row>
    <row r="2109" spans="1:8" ht="13.5" x14ac:dyDescent="0.25">
      <c r="A2109" s="1"/>
      <c r="B2109" s="3">
        <v>45366</v>
      </c>
      <c r="C2109" s="4">
        <v>79</v>
      </c>
      <c r="D2109" s="4">
        <v>68.789299999999997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79</v>
      </c>
      <c r="D2110" s="4">
        <v>68.789299999999997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79</v>
      </c>
      <c r="D2111" s="4">
        <v>68.789299999999997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79.3</v>
      </c>
      <c r="D2112" s="4">
        <v>69.0505</v>
      </c>
      <c r="E2112" s="4">
        <v>5</v>
      </c>
      <c r="F2112" s="4">
        <v>79.3</v>
      </c>
      <c r="G2112" s="4">
        <v>396.5</v>
      </c>
      <c r="H2112" s="5">
        <f t="shared" si="32"/>
        <v>3.7971021655984626E-3</v>
      </c>
    </row>
    <row r="2113" spans="1:8" ht="13.5" x14ac:dyDescent="0.25">
      <c r="A2113" s="1"/>
      <c r="B2113" s="3">
        <v>45373</v>
      </c>
      <c r="C2113" s="4">
        <v>79.3</v>
      </c>
      <c r="D2113" s="4">
        <v>69.0505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80</v>
      </c>
      <c r="D2114" s="4">
        <v>69.66</v>
      </c>
      <c r="E2114" s="4">
        <v>100</v>
      </c>
      <c r="F2114" s="4">
        <v>80</v>
      </c>
      <c r="G2114" s="4">
        <v>8000</v>
      </c>
      <c r="H2114" s="5">
        <f t="shared" si="32"/>
        <v>8.8268730856401779E-3</v>
      </c>
    </row>
    <row r="2115" spans="1:8" ht="13.5" x14ac:dyDescent="0.25">
      <c r="A2115" s="1"/>
      <c r="B2115" s="3">
        <v>45377</v>
      </c>
      <c r="C2115" s="4">
        <v>80</v>
      </c>
      <c r="D2115" s="4">
        <v>69.66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80</v>
      </c>
      <c r="D2116" s="4">
        <v>69.66</v>
      </c>
      <c r="E2116" s="4">
        <v>129</v>
      </c>
      <c r="F2116" s="4">
        <v>80</v>
      </c>
      <c r="G2116" s="4">
        <v>10320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80</v>
      </c>
      <c r="D2117" s="4">
        <v>69.66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80</v>
      </c>
      <c r="D2118" s="4">
        <v>69.66</v>
      </c>
      <c r="E2118" s="4">
        <v>150</v>
      </c>
      <c r="F2118" s="4">
        <v>80</v>
      </c>
      <c r="G2118" s="4">
        <v>12000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80</v>
      </c>
      <c r="D2119" s="4">
        <v>69.66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80</v>
      </c>
      <c r="D2120" s="4">
        <v>69.66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81.95</v>
      </c>
      <c r="D2121" s="4">
        <v>71.358000000000004</v>
      </c>
      <c r="E2121" s="4">
        <v>2</v>
      </c>
      <c r="F2121" s="4">
        <v>81.95</v>
      </c>
      <c r="G2121" s="4">
        <v>163.9</v>
      </c>
      <c r="H2121" s="5">
        <f t="shared" si="33"/>
        <v>2.4375538329026811E-2</v>
      </c>
    </row>
    <row r="2122" spans="1:8" ht="13.5" x14ac:dyDescent="0.25">
      <c r="A2122" s="1"/>
      <c r="B2122" s="3">
        <v>45386</v>
      </c>
      <c r="C2122" s="4">
        <v>81.95</v>
      </c>
      <c r="D2122" s="4">
        <v>71.358000000000004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79</v>
      </c>
      <c r="D2123" s="4">
        <v>68.789299999999997</v>
      </c>
      <c r="E2123" s="4">
        <v>5</v>
      </c>
      <c r="F2123" s="4">
        <v>79</v>
      </c>
      <c r="G2123" s="4">
        <v>395</v>
      </c>
      <c r="H2123" s="5">
        <f t="shared" si="33"/>
        <v>-3.5997365397012343E-2</v>
      </c>
    </row>
    <row r="2124" spans="1:8" ht="13.5" x14ac:dyDescent="0.25">
      <c r="A2124" s="1"/>
      <c r="B2124" s="3">
        <v>45390</v>
      </c>
      <c r="C2124" s="4">
        <v>79.209999999999994</v>
      </c>
      <c r="D2124" s="4">
        <v>68.972099999999998</v>
      </c>
      <c r="E2124" s="4">
        <v>6</v>
      </c>
      <c r="F2124" s="4">
        <v>79.209999999999994</v>
      </c>
      <c r="G2124" s="4">
        <v>475.26</v>
      </c>
      <c r="H2124" s="5">
        <f t="shared" si="33"/>
        <v>2.6573900301355051E-3</v>
      </c>
    </row>
    <row r="2125" spans="1:8" ht="13.5" x14ac:dyDescent="0.25">
      <c r="A2125" s="1"/>
      <c r="B2125" s="3">
        <v>45394</v>
      </c>
      <c r="C2125" s="4">
        <v>79.209999999999994</v>
      </c>
      <c r="D2125" s="4">
        <v>68.972099999999998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79.2</v>
      </c>
      <c r="D2126" s="4">
        <v>68.963399999999993</v>
      </c>
      <c r="E2126" s="4">
        <v>300</v>
      </c>
      <c r="F2126" s="4">
        <v>79.2</v>
      </c>
      <c r="G2126" s="4">
        <v>23760</v>
      </c>
      <c r="H2126" s="5">
        <f t="shared" si="33"/>
        <v>-1.2613796013177204E-4</v>
      </c>
    </row>
    <row r="2127" spans="1:8" ht="13.5" x14ac:dyDescent="0.25">
      <c r="A2127" s="1"/>
      <c r="B2127" s="3">
        <v>45398</v>
      </c>
      <c r="C2127" s="4">
        <v>79.2</v>
      </c>
      <c r="D2127" s="4">
        <v>68.963399999999993</v>
      </c>
      <c r="E2127" s="4">
        <v>200</v>
      </c>
      <c r="F2127" s="4">
        <v>79.2</v>
      </c>
      <c r="G2127" s="4">
        <v>15840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80</v>
      </c>
      <c r="D2128" s="4">
        <v>69.66</v>
      </c>
      <c r="E2128" s="4">
        <v>100</v>
      </c>
      <c r="F2128" s="4">
        <v>80</v>
      </c>
      <c r="G2128" s="4">
        <v>8000</v>
      </c>
      <c r="H2128" s="5">
        <f t="shared" si="33"/>
        <v>1.0101010101010156E-2</v>
      </c>
    </row>
    <row r="2129" spans="1:8" ht="13.5" x14ac:dyDescent="0.25">
      <c r="A2129" s="1"/>
      <c r="B2129" s="3">
        <v>45400</v>
      </c>
      <c r="C2129" s="4">
        <v>80</v>
      </c>
      <c r="D2129" s="4">
        <v>69.66</v>
      </c>
      <c r="E2129" s="4">
        <v>0</v>
      </c>
      <c r="F2129" s="4">
        <v>0</v>
      </c>
      <c r="G2129" s="4">
        <v>0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80</v>
      </c>
      <c r="D2130" s="4">
        <v>69.66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80</v>
      </c>
      <c r="D2131" s="4">
        <v>69.66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80</v>
      </c>
      <c r="D2132" s="4">
        <v>69.66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80</v>
      </c>
      <c r="D2133" s="4">
        <v>69.66</v>
      </c>
      <c r="E2133" s="4">
        <v>0</v>
      </c>
      <c r="F2133" s="4">
        <v>0</v>
      </c>
      <c r="G2133" s="4">
        <v>0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80</v>
      </c>
      <c r="D2134" s="4">
        <v>69.66</v>
      </c>
      <c r="E2134" s="4">
        <v>50</v>
      </c>
      <c r="F2134" s="4">
        <v>80</v>
      </c>
      <c r="G2134" s="4">
        <v>4000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80</v>
      </c>
      <c r="D2135" s="4">
        <v>69.66</v>
      </c>
      <c r="E2135" s="4">
        <v>295</v>
      </c>
      <c r="F2135" s="4">
        <v>80</v>
      </c>
      <c r="G2135" s="4">
        <v>23600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80</v>
      </c>
      <c r="D2136" s="4">
        <v>69.66</v>
      </c>
      <c r="E2136" s="4">
        <v>12</v>
      </c>
      <c r="F2136" s="4">
        <v>80</v>
      </c>
      <c r="G2136" s="4">
        <v>960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79.5</v>
      </c>
      <c r="D2137" s="4">
        <v>69.224599999999995</v>
      </c>
      <c r="E2137" s="4">
        <v>30</v>
      </c>
      <c r="F2137" s="4">
        <v>79.5</v>
      </c>
      <c r="G2137" s="4">
        <v>2385</v>
      </c>
      <c r="H2137" s="5">
        <f t="shared" si="33"/>
        <v>-6.25035888601782E-3</v>
      </c>
    </row>
    <row r="2138" spans="1:8" ht="13.5" x14ac:dyDescent="0.25">
      <c r="A2138" s="1"/>
      <c r="B2138" s="3">
        <v>45414</v>
      </c>
      <c r="C2138" s="4">
        <v>79.5</v>
      </c>
      <c r="D2138" s="4">
        <v>69.224599999999995</v>
      </c>
      <c r="E2138" s="4">
        <v>100</v>
      </c>
      <c r="F2138" s="4">
        <v>79.5</v>
      </c>
      <c r="G2138" s="4">
        <v>7950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76.400000000000006</v>
      </c>
      <c r="D2139" s="4">
        <v>66.525300000000001</v>
      </c>
      <c r="E2139" s="4">
        <v>58</v>
      </c>
      <c r="F2139" s="4">
        <v>76.400000000000006</v>
      </c>
      <c r="G2139" s="4">
        <v>4431.2</v>
      </c>
      <c r="H2139" s="5">
        <f t="shared" si="33"/>
        <v>-3.8993363630847905E-2</v>
      </c>
    </row>
    <row r="2140" spans="1:8" ht="13.5" x14ac:dyDescent="0.25">
      <c r="A2140" s="1"/>
      <c r="B2140" s="3">
        <v>45418</v>
      </c>
      <c r="C2140" s="4">
        <v>78.11</v>
      </c>
      <c r="D2140" s="4">
        <v>68.014300000000006</v>
      </c>
      <c r="E2140" s="4">
        <v>21</v>
      </c>
      <c r="F2140" s="4">
        <v>78.11</v>
      </c>
      <c r="G2140" s="4">
        <v>1640.31</v>
      </c>
      <c r="H2140" s="5">
        <f t="shared" si="33"/>
        <v>2.238246201069374E-2</v>
      </c>
    </row>
    <row r="2141" spans="1:8" ht="13.5" x14ac:dyDescent="0.25">
      <c r="A2141" s="1"/>
      <c r="B2141" s="3">
        <v>45419</v>
      </c>
      <c r="C2141" s="4">
        <v>79</v>
      </c>
      <c r="D2141" s="4">
        <v>68.789299999999997</v>
      </c>
      <c r="E2141" s="4">
        <v>4</v>
      </c>
      <c r="F2141" s="4">
        <v>79</v>
      </c>
      <c r="G2141" s="4">
        <v>316</v>
      </c>
      <c r="H2141" s="5">
        <f t="shared" si="33"/>
        <v>1.1394662593013402E-2</v>
      </c>
    </row>
    <row r="2142" spans="1:8" ht="13.5" x14ac:dyDescent="0.25">
      <c r="A2142" s="1"/>
      <c r="B2142" s="3">
        <v>45420</v>
      </c>
      <c r="C2142" s="4">
        <v>79</v>
      </c>
      <c r="D2142" s="4">
        <v>68.789299999999997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79</v>
      </c>
      <c r="D2143" s="4">
        <v>68.789299999999997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79</v>
      </c>
      <c r="D2144" s="4">
        <v>68.789299999999997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80</v>
      </c>
      <c r="D2145" s="4">
        <v>69.66</v>
      </c>
      <c r="E2145" s="4">
        <v>5</v>
      </c>
      <c r="F2145" s="4">
        <v>80</v>
      </c>
      <c r="G2145" s="4">
        <v>400</v>
      </c>
      <c r="H2145" s="5">
        <f t="shared" si="33"/>
        <v>1.2657491790147586E-2</v>
      </c>
    </row>
    <row r="2146" spans="1:8" ht="13.5" x14ac:dyDescent="0.25">
      <c r="A2146" s="1"/>
      <c r="B2146" s="3">
        <v>45426</v>
      </c>
      <c r="C2146" s="4">
        <v>83</v>
      </c>
      <c r="D2146" s="4">
        <v>72.272300000000001</v>
      </c>
      <c r="E2146" s="4">
        <v>4</v>
      </c>
      <c r="F2146" s="4">
        <v>83</v>
      </c>
      <c r="G2146" s="4">
        <v>332</v>
      </c>
      <c r="H2146" s="5">
        <f t="shared" si="33"/>
        <v>3.7500717772035674E-2</v>
      </c>
    </row>
    <row r="2147" spans="1:8" ht="13.5" x14ac:dyDescent="0.25">
      <c r="A2147" s="1"/>
      <c r="B2147" s="3">
        <v>45427</v>
      </c>
      <c r="C2147" s="4">
        <v>83</v>
      </c>
      <c r="D2147" s="4">
        <v>72.272300000000001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83</v>
      </c>
      <c r="D2148" s="4">
        <v>72.272300000000001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83</v>
      </c>
      <c r="D2149" s="4">
        <v>72.272300000000001</v>
      </c>
      <c r="E2149" s="4">
        <v>0</v>
      </c>
      <c r="F2149" s="4">
        <v>0</v>
      </c>
      <c r="G2149" s="4">
        <v>0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83</v>
      </c>
      <c r="D2150" s="4">
        <v>72.272300000000001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82.99</v>
      </c>
      <c r="D2151" s="4">
        <v>72.263499999999993</v>
      </c>
      <c r="E2151" s="4">
        <v>96</v>
      </c>
      <c r="F2151" s="4">
        <v>82.99</v>
      </c>
      <c r="G2151" s="4">
        <v>7967.04</v>
      </c>
      <c r="H2151" s="5">
        <f t="shared" si="33"/>
        <v>-1.2176172613861621E-4</v>
      </c>
    </row>
    <row r="2152" spans="1:8" ht="13.5" x14ac:dyDescent="0.25">
      <c r="A2152" s="1"/>
      <c r="B2152" s="3">
        <v>45434</v>
      </c>
      <c r="C2152" s="4">
        <v>82.99</v>
      </c>
      <c r="D2152" s="4">
        <v>72.263499999999993</v>
      </c>
      <c r="E2152" s="4">
        <v>82</v>
      </c>
      <c r="F2152" s="4">
        <v>82.997</v>
      </c>
      <c r="G2152" s="4">
        <v>6805.7539999999999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82.99</v>
      </c>
      <c r="D2153" s="4">
        <v>72.263499999999993</v>
      </c>
      <c r="E2153" s="4">
        <v>5</v>
      </c>
      <c r="F2153" s="4">
        <v>82.99</v>
      </c>
      <c r="G2153" s="4">
        <v>414.95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81</v>
      </c>
      <c r="D2154" s="4">
        <v>70.530799999999999</v>
      </c>
      <c r="E2154" s="4">
        <v>1</v>
      </c>
      <c r="F2154" s="4">
        <v>81</v>
      </c>
      <c r="G2154" s="4">
        <v>81</v>
      </c>
      <c r="H2154" s="5">
        <f t="shared" si="33"/>
        <v>-2.3977526690514495E-2</v>
      </c>
    </row>
    <row r="2155" spans="1:8" ht="13.5" x14ac:dyDescent="0.25">
      <c r="A2155" s="1"/>
      <c r="B2155" s="3">
        <v>45439</v>
      </c>
      <c r="C2155" s="4">
        <v>81</v>
      </c>
      <c r="D2155" s="4">
        <v>70.530799999999999</v>
      </c>
      <c r="E2155" s="4">
        <v>46</v>
      </c>
      <c r="F2155" s="4">
        <v>81</v>
      </c>
      <c r="G2155" s="4">
        <v>3726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80.03</v>
      </c>
      <c r="D2156" s="4">
        <v>69.686099999999996</v>
      </c>
      <c r="E2156" s="4">
        <v>120</v>
      </c>
      <c r="F2156" s="4">
        <v>80.03</v>
      </c>
      <c r="G2156" s="4">
        <v>9603.6</v>
      </c>
      <c r="H2156" s="5">
        <f t="shared" si="33"/>
        <v>-1.1976328072274852E-2</v>
      </c>
    </row>
    <row r="2157" spans="1:8" ht="13.5" x14ac:dyDescent="0.25">
      <c r="A2157" s="1"/>
      <c r="B2157" s="3">
        <v>45441</v>
      </c>
      <c r="C2157" s="4">
        <v>80.03</v>
      </c>
      <c r="D2157" s="4">
        <v>69.686099999999996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82.98</v>
      </c>
      <c r="D2158" s="4">
        <v>72.254800000000003</v>
      </c>
      <c r="E2158" s="4">
        <v>264</v>
      </c>
      <c r="F2158" s="4">
        <v>82.98</v>
      </c>
      <c r="G2158" s="4">
        <v>21906.720000000001</v>
      </c>
      <c r="H2158" s="5">
        <f t="shared" si="33"/>
        <v>3.6861009584407897E-2</v>
      </c>
    </row>
    <row r="2159" spans="1:8" ht="13.5" x14ac:dyDescent="0.25">
      <c r="A2159" s="1"/>
      <c r="B2159" s="3">
        <v>45443</v>
      </c>
      <c r="C2159" s="4">
        <v>82.98</v>
      </c>
      <c r="D2159" s="4">
        <v>72.254800000000003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81.099999999999994</v>
      </c>
      <c r="D2160" s="4">
        <v>70.617800000000003</v>
      </c>
      <c r="E2160" s="4">
        <v>30</v>
      </c>
      <c r="F2160" s="4">
        <v>81.099999999999994</v>
      </c>
      <c r="G2160" s="4">
        <v>2433</v>
      </c>
      <c r="H2160" s="5">
        <f t="shared" si="33"/>
        <v>-2.2655934277030734E-2</v>
      </c>
    </row>
    <row r="2161" spans="1:8" ht="13.5" x14ac:dyDescent="0.25">
      <c r="A2161" s="1"/>
      <c r="B2161" s="3">
        <v>45447</v>
      </c>
      <c r="C2161" s="4">
        <v>82</v>
      </c>
      <c r="D2161" s="4">
        <v>71.401499999999999</v>
      </c>
      <c r="E2161" s="4">
        <v>4</v>
      </c>
      <c r="F2161" s="4">
        <v>82</v>
      </c>
      <c r="G2161" s="4">
        <v>328</v>
      </c>
      <c r="H2161" s="5">
        <f t="shared" si="33"/>
        <v>1.109776855127172E-2</v>
      </c>
    </row>
    <row r="2162" spans="1:8" ht="13.5" x14ac:dyDescent="0.25">
      <c r="A2162" s="1"/>
      <c r="B2162" s="3">
        <v>45448</v>
      </c>
      <c r="C2162" s="4">
        <v>82.98</v>
      </c>
      <c r="D2162" s="4">
        <v>72.254800000000003</v>
      </c>
      <c r="E2162" s="4">
        <v>1</v>
      </c>
      <c r="F2162" s="4">
        <v>82.98</v>
      </c>
      <c r="G2162" s="4">
        <v>82.98</v>
      </c>
      <c r="H2162" s="5">
        <f t="shared" si="33"/>
        <v>1.1950729326414772E-2</v>
      </c>
    </row>
    <row r="2163" spans="1:8" ht="13.5" x14ac:dyDescent="0.25">
      <c r="A2163" s="1"/>
      <c r="B2163" s="3">
        <v>45449</v>
      </c>
      <c r="C2163" s="4">
        <v>82.98</v>
      </c>
      <c r="D2163" s="4">
        <v>72.254800000000003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81.010000000000005</v>
      </c>
      <c r="D2164" s="4">
        <v>70.539500000000004</v>
      </c>
      <c r="E2164" s="4">
        <v>62</v>
      </c>
      <c r="F2164" s="4">
        <v>81.010000000000005</v>
      </c>
      <c r="G2164" s="4">
        <v>5022.62</v>
      </c>
      <c r="H2164" s="5">
        <f t="shared" si="33"/>
        <v>-2.3739599306897244E-2</v>
      </c>
    </row>
    <row r="2165" spans="1:8" ht="13.5" x14ac:dyDescent="0.25">
      <c r="A2165" s="1"/>
      <c r="B2165" s="3">
        <v>45453</v>
      </c>
      <c r="C2165" s="4">
        <v>81.99</v>
      </c>
      <c r="D2165" s="4">
        <v>71.392799999999994</v>
      </c>
      <c r="E2165" s="4">
        <v>10</v>
      </c>
      <c r="F2165" s="4">
        <v>81.99</v>
      </c>
      <c r="G2165" s="4">
        <v>819.9</v>
      </c>
      <c r="H2165" s="5">
        <f t="shared" si="33"/>
        <v>1.2096768477236019E-2</v>
      </c>
    </row>
    <row r="2166" spans="1:8" ht="13.5" x14ac:dyDescent="0.25">
      <c r="A2166" s="1"/>
      <c r="B2166" s="3">
        <v>45454</v>
      </c>
      <c r="C2166" s="4">
        <v>81.8</v>
      </c>
      <c r="D2166" s="4">
        <v>71.2273</v>
      </c>
      <c r="E2166" s="4">
        <v>10</v>
      </c>
      <c r="F2166" s="4">
        <v>81.8</v>
      </c>
      <c r="G2166" s="4">
        <v>818</v>
      </c>
      <c r="H2166" s="5">
        <f t="shared" si="33"/>
        <v>-2.3181609349961683E-3</v>
      </c>
    </row>
    <row r="2167" spans="1:8" ht="13.5" x14ac:dyDescent="0.25">
      <c r="A2167" s="1"/>
      <c r="B2167" s="3">
        <v>45455</v>
      </c>
      <c r="C2167" s="4">
        <v>82</v>
      </c>
      <c r="D2167" s="4">
        <v>71.401499999999999</v>
      </c>
      <c r="E2167" s="4">
        <v>10</v>
      </c>
      <c r="F2167" s="4">
        <v>82</v>
      </c>
      <c r="G2167" s="4">
        <v>820</v>
      </c>
      <c r="H2167" s="5">
        <f t="shared" si="33"/>
        <v>2.445691469422525E-3</v>
      </c>
    </row>
    <row r="2168" spans="1:8" ht="13.5" x14ac:dyDescent="0.25">
      <c r="A2168" s="1"/>
      <c r="B2168" s="3">
        <v>45456</v>
      </c>
      <c r="C2168" s="4">
        <v>82</v>
      </c>
      <c r="D2168" s="4">
        <v>71.401499999999999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85</v>
      </c>
      <c r="D2169" s="4">
        <v>74.0137</v>
      </c>
      <c r="E2169" s="4">
        <v>1</v>
      </c>
      <c r="F2169" s="4">
        <v>85</v>
      </c>
      <c r="G2169" s="4">
        <v>85</v>
      </c>
      <c r="H2169" s="5">
        <f t="shared" si="33"/>
        <v>3.6584665588257972E-2</v>
      </c>
    </row>
    <row r="2170" spans="1:8" ht="13.5" x14ac:dyDescent="0.25">
      <c r="A2170" s="1"/>
      <c r="B2170" s="3">
        <v>45461</v>
      </c>
      <c r="C2170" s="4">
        <v>85.99</v>
      </c>
      <c r="D2170" s="4">
        <v>74.875799999999998</v>
      </c>
      <c r="E2170" s="4">
        <v>73</v>
      </c>
      <c r="F2170" s="4">
        <v>85.88</v>
      </c>
      <c r="G2170" s="4">
        <v>6269.24</v>
      </c>
      <c r="H2170" s="5">
        <f t="shared" si="33"/>
        <v>1.1647843574905701E-2</v>
      </c>
    </row>
    <row r="2171" spans="1:8" ht="13.5" x14ac:dyDescent="0.25">
      <c r="A2171" s="1"/>
      <c r="B2171" s="3">
        <v>45462</v>
      </c>
      <c r="C2171" s="4">
        <v>88</v>
      </c>
      <c r="D2171" s="4">
        <v>76.626000000000005</v>
      </c>
      <c r="E2171" s="4">
        <v>213</v>
      </c>
      <c r="F2171" s="4">
        <v>88</v>
      </c>
      <c r="G2171" s="4">
        <v>18744</v>
      </c>
      <c r="H2171" s="5">
        <f t="shared" si="33"/>
        <v>2.3374708517304745E-2</v>
      </c>
    </row>
    <row r="2172" spans="1:8" ht="13.5" x14ac:dyDescent="0.25">
      <c r="A2172" s="1"/>
      <c r="B2172" s="3">
        <v>45463</v>
      </c>
      <c r="C2172" s="4">
        <v>88</v>
      </c>
      <c r="D2172" s="4">
        <v>76.626000000000005</v>
      </c>
      <c r="E2172" s="4">
        <v>11</v>
      </c>
      <c r="F2172" s="4">
        <v>88</v>
      </c>
      <c r="G2172" s="4">
        <v>968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88</v>
      </c>
      <c r="D2173" s="4">
        <v>76.626000000000005</v>
      </c>
      <c r="E2173" s="4">
        <v>28</v>
      </c>
      <c r="F2173" s="4">
        <v>88</v>
      </c>
      <c r="G2173" s="4">
        <v>2464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86</v>
      </c>
      <c r="D2174" s="4">
        <v>74.884500000000003</v>
      </c>
      <c r="E2174" s="4">
        <v>24</v>
      </c>
      <c r="F2174" s="4">
        <v>86.667000000000002</v>
      </c>
      <c r="G2174" s="4">
        <v>2080.0079999999998</v>
      </c>
      <c r="H2174" s="5">
        <f t="shared" si="33"/>
        <v>-2.2727272727272752E-2</v>
      </c>
    </row>
    <row r="2175" spans="1:8" ht="13.5" x14ac:dyDescent="0.25">
      <c r="A2175" s="1"/>
      <c r="B2175" s="3">
        <v>45468</v>
      </c>
      <c r="C2175" s="4">
        <v>85.01</v>
      </c>
      <c r="D2175" s="4">
        <v>74.022499999999994</v>
      </c>
      <c r="E2175" s="4">
        <v>125</v>
      </c>
      <c r="F2175" s="4">
        <v>85.01</v>
      </c>
      <c r="G2175" s="4">
        <v>10626.25</v>
      </c>
      <c r="H2175" s="5">
        <f t="shared" si="33"/>
        <v>-1.1511060366297551E-2</v>
      </c>
    </row>
    <row r="2176" spans="1:8" ht="13.5" x14ac:dyDescent="0.25">
      <c r="A2176" s="1"/>
      <c r="B2176" s="3">
        <v>45469</v>
      </c>
      <c r="C2176" s="4">
        <v>86</v>
      </c>
      <c r="D2176" s="4">
        <v>74.884500000000003</v>
      </c>
      <c r="E2176" s="4">
        <v>239</v>
      </c>
      <c r="F2176" s="4">
        <v>85.585999999999999</v>
      </c>
      <c r="G2176" s="4">
        <v>20455.054</v>
      </c>
      <c r="H2176" s="5">
        <f t="shared" si="33"/>
        <v>1.164510790637994E-2</v>
      </c>
    </row>
    <row r="2177" spans="1:8" ht="13.5" x14ac:dyDescent="0.25">
      <c r="A2177" s="1"/>
      <c r="B2177" s="3">
        <v>45470</v>
      </c>
      <c r="C2177" s="4">
        <v>88</v>
      </c>
      <c r="D2177" s="4">
        <v>76.626000000000005</v>
      </c>
      <c r="E2177" s="4">
        <v>141</v>
      </c>
      <c r="F2177" s="4">
        <v>87.194000000000003</v>
      </c>
      <c r="G2177" s="4">
        <v>12294.353999999999</v>
      </c>
      <c r="H2177" s="5">
        <f t="shared" si="33"/>
        <v>2.32558139534884E-2</v>
      </c>
    </row>
    <row r="2178" spans="1:8" ht="13.5" x14ac:dyDescent="0.25">
      <c r="A2178" s="1"/>
      <c r="B2178" s="3">
        <v>45471</v>
      </c>
      <c r="C2178" s="4">
        <v>88</v>
      </c>
      <c r="D2178" s="4">
        <v>76.626000000000005</v>
      </c>
      <c r="E2178" s="4">
        <v>134</v>
      </c>
      <c r="F2178" s="4">
        <v>88</v>
      </c>
      <c r="G2178" s="4">
        <v>11792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88.1</v>
      </c>
      <c r="D2179" s="4">
        <v>76.713099999999997</v>
      </c>
      <c r="E2179" s="4">
        <v>23</v>
      </c>
      <c r="F2179" s="4">
        <v>88.1</v>
      </c>
      <c r="G2179" s="4">
        <v>2026.3</v>
      </c>
      <c r="H2179" s="5">
        <f t="shared" si="33"/>
        <v>1.1366898963797198E-3</v>
      </c>
    </row>
    <row r="2180" spans="1:8" ht="13.5" x14ac:dyDescent="0.25">
      <c r="A2180" s="1"/>
      <c r="B2180" s="3">
        <v>45475</v>
      </c>
      <c r="C2180" s="4">
        <v>88.1</v>
      </c>
      <c r="D2180" s="4">
        <v>76.713099999999997</v>
      </c>
      <c r="E2180" s="4">
        <v>11</v>
      </c>
      <c r="F2180" s="4">
        <v>88.1</v>
      </c>
      <c r="G2180" s="4">
        <v>969.1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88.44</v>
      </c>
      <c r="D2181" s="4">
        <v>77.009100000000004</v>
      </c>
      <c r="E2181" s="4">
        <v>96</v>
      </c>
      <c r="F2181" s="4">
        <v>88.441000000000003</v>
      </c>
      <c r="G2181" s="4">
        <v>8490.3359999999993</v>
      </c>
      <c r="H2181" s="5">
        <f t="shared" si="33"/>
        <v>3.8585326365380423E-3</v>
      </c>
    </row>
    <row r="2182" spans="1:8" ht="13.5" x14ac:dyDescent="0.25">
      <c r="A2182" s="1"/>
      <c r="B2182" s="3">
        <v>45477</v>
      </c>
      <c r="C2182" s="4">
        <v>88.5</v>
      </c>
      <c r="D2182" s="4">
        <v>77.061400000000006</v>
      </c>
      <c r="E2182" s="4">
        <v>27</v>
      </c>
      <c r="F2182" s="4">
        <v>88.498999999999995</v>
      </c>
      <c r="G2182" s="4">
        <v>2389.473</v>
      </c>
      <c r="H2182" s="5">
        <f t="shared" si="33"/>
        <v>6.7914051715969219E-4</v>
      </c>
    </row>
    <row r="2183" spans="1:8" ht="13.5" x14ac:dyDescent="0.25">
      <c r="A2183" s="1"/>
      <c r="B2183" s="3">
        <v>45478</v>
      </c>
      <c r="C2183" s="4">
        <v>89.5</v>
      </c>
      <c r="D2183" s="4">
        <v>77.932100000000005</v>
      </c>
      <c r="E2183" s="4">
        <v>200</v>
      </c>
      <c r="F2183" s="4">
        <v>89.5</v>
      </c>
      <c r="G2183" s="4">
        <v>17900</v>
      </c>
      <c r="H2183" s="5">
        <f t="shared" ref="H2183:H2246" si="34">(D2183-D2182)/D2182</f>
        <v>1.1298782529255882E-2</v>
      </c>
    </row>
    <row r="2184" spans="1:8" ht="13.5" x14ac:dyDescent="0.25">
      <c r="A2184" s="1"/>
      <c r="B2184" s="3">
        <v>45481</v>
      </c>
      <c r="C2184" s="4">
        <v>84.9</v>
      </c>
      <c r="D2184" s="4">
        <v>79.593800000000002</v>
      </c>
      <c r="E2184" s="4">
        <v>29</v>
      </c>
      <c r="F2184" s="4">
        <v>84.962000000000003</v>
      </c>
      <c r="G2184" s="4">
        <v>2463.8980000000001</v>
      </c>
      <c r="H2184" s="5">
        <f t="shared" si="34"/>
        <v>2.1322407583011314E-2</v>
      </c>
    </row>
    <row r="2185" spans="1:8" ht="13.5" x14ac:dyDescent="0.25">
      <c r="A2185" s="1"/>
      <c r="B2185" s="3">
        <v>45482</v>
      </c>
      <c r="C2185" s="4">
        <v>84.9</v>
      </c>
      <c r="D2185" s="4">
        <v>79.593800000000002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84.99</v>
      </c>
      <c r="D2186" s="4">
        <v>79.678100000000001</v>
      </c>
      <c r="E2186" s="4">
        <v>9</v>
      </c>
      <c r="F2186" s="4">
        <v>84.99</v>
      </c>
      <c r="G2186" s="4">
        <v>764.91</v>
      </c>
      <c r="H2186" s="5">
        <f t="shared" si="34"/>
        <v>1.0591277210033813E-3</v>
      </c>
    </row>
    <row r="2187" spans="1:8" ht="13.5" x14ac:dyDescent="0.25">
      <c r="A2187" s="1"/>
      <c r="B2187" s="3">
        <v>45484</v>
      </c>
      <c r="C2187" s="4">
        <v>84</v>
      </c>
      <c r="D2187" s="4">
        <v>78.75</v>
      </c>
      <c r="E2187" s="4">
        <v>12</v>
      </c>
      <c r="F2187" s="4">
        <v>84</v>
      </c>
      <c r="G2187" s="4">
        <v>1008</v>
      </c>
      <c r="H2187" s="5">
        <f t="shared" si="34"/>
        <v>-1.1648119119306317E-2</v>
      </c>
    </row>
    <row r="2188" spans="1:8" ht="13.5" x14ac:dyDescent="0.25">
      <c r="A2188" s="1"/>
      <c r="B2188" s="3">
        <v>45485</v>
      </c>
      <c r="C2188" s="4">
        <v>84</v>
      </c>
      <c r="D2188" s="4">
        <v>78.75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83.3</v>
      </c>
      <c r="D2189" s="4">
        <v>78.093800000000002</v>
      </c>
      <c r="E2189" s="4">
        <v>1</v>
      </c>
      <c r="F2189" s="4">
        <v>83.3</v>
      </c>
      <c r="G2189" s="4">
        <v>83.3</v>
      </c>
      <c r="H2189" s="5">
        <f t="shared" si="34"/>
        <v>-8.3326984126983923E-3</v>
      </c>
    </row>
    <row r="2190" spans="1:8" ht="13.5" x14ac:dyDescent="0.25">
      <c r="A2190" s="1"/>
      <c r="B2190" s="3">
        <v>45489</v>
      </c>
      <c r="C2190" s="4">
        <v>83.3</v>
      </c>
      <c r="D2190" s="4">
        <v>78.093800000000002</v>
      </c>
      <c r="E2190" s="4">
        <v>5</v>
      </c>
      <c r="F2190" s="4">
        <v>83.3</v>
      </c>
      <c r="G2190" s="4">
        <v>416.5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84.99</v>
      </c>
      <c r="D2191" s="4">
        <v>79.678100000000001</v>
      </c>
      <c r="E2191" s="4">
        <v>2</v>
      </c>
      <c r="F2191" s="4">
        <v>84.99</v>
      </c>
      <c r="G2191" s="4">
        <v>169.98</v>
      </c>
      <c r="H2191" s="5">
        <f t="shared" si="34"/>
        <v>2.0287141872978379E-2</v>
      </c>
    </row>
    <row r="2192" spans="1:8" ht="13.5" x14ac:dyDescent="0.25">
      <c r="A2192" s="1"/>
      <c r="B2192" s="3">
        <v>45491</v>
      </c>
      <c r="C2192" s="4">
        <v>85.4</v>
      </c>
      <c r="D2192" s="4">
        <v>80.0625</v>
      </c>
      <c r="E2192" s="4">
        <v>170</v>
      </c>
      <c r="F2192" s="4">
        <v>85.4</v>
      </c>
      <c r="G2192" s="4">
        <v>14518</v>
      </c>
      <c r="H2192" s="5">
        <f t="shared" si="34"/>
        <v>4.824412228705245E-3</v>
      </c>
    </row>
    <row r="2193" spans="1:8" ht="13.5" x14ac:dyDescent="0.25">
      <c r="A2193" s="1"/>
      <c r="B2193" s="3">
        <v>45492</v>
      </c>
      <c r="C2193" s="4">
        <v>85.4</v>
      </c>
      <c r="D2193" s="4">
        <v>80.0625</v>
      </c>
      <c r="E2193" s="4">
        <v>252</v>
      </c>
      <c r="F2193" s="4">
        <v>85.4</v>
      </c>
      <c r="G2193" s="4">
        <v>21520.799999999999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83.5</v>
      </c>
      <c r="D2194" s="4">
        <v>78.281300000000002</v>
      </c>
      <c r="E2194" s="4">
        <v>179</v>
      </c>
      <c r="F2194" s="4">
        <v>83.5</v>
      </c>
      <c r="G2194" s="4">
        <v>14946.5</v>
      </c>
      <c r="H2194" s="5">
        <f t="shared" si="34"/>
        <v>-2.2247619047619027E-2</v>
      </c>
    </row>
    <row r="2195" spans="1:8" ht="13.5" x14ac:dyDescent="0.25">
      <c r="A2195" s="1"/>
      <c r="B2195" s="3">
        <v>45496</v>
      </c>
      <c r="C2195" s="4">
        <v>83.5</v>
      </c>
      <c r="D2195" s="4">
        <v>78.281300000000002</v>
      </c>
      <c r="E2195" s="4">
        <v>4</v>
      </c>
      <c r="F2195" s="4">
        <v>83.5</v>
      </c>
      <c r="G2195" s="4">
        <v>334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83.5</v>
      </c>
      <c r="D2196" s="4">
        <v>78.281300000000002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83.5</v>
      </c>
      <c r="D2197" s="4">
        <v>78.281300000000002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84.5</v>
      </c>
      <c r="D2198" s="4">
        <v>79.218800000000002</v>
      </c>
      <c r="E2198" s="4">
        <v>9</v>
      </c>
      <c r="F2198" s="4">
        <v>84.5</v>
      </c>
      <c r="G2198" s="4">
        <v>760.5</v>
      </c>
      <c r="H2198" s="5">
        <f t="shared" si="34"/>
        <v>1.1976040254824587E-2</v>
      </c>
    </row>
    <row r="2199" spans="1:8" ht="13.5" x14ac:dyDescent="0.25">
      <c r="A2199" s="1"/>
      <c r="B2199" s="3">
        <v>45503</v>
      </c>
      <c r="C2199" s="4">
        <v>84.5</v>
      </c>
      <c r="D2199" s="4">
        <v>79.218800000000002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84.5</v>
      </c>
      <c r="D2200" s="4">
        <v>79.218800000000002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84.5</v>
      </c>
      <c r="D2201" s="4">
        <v>79.218800000000002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84.5</v>
      </c>
      <c r="D2202" s="4">
        <v>79.218800000000002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84.5</v>
      </c>
      <c r="D2203" s="4">
        <v>79.218800000000002</v>
      </c>
      <c r="E2203" s="4">
        <v>199</v>
      </c>
      <c r="F2203" s="4">
        <v>84.5</v>
      </c>
      <c r="G2203" s="4">
        <v>16815.5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84.5</v>
      </c>
      <c r="D2204" s="4">
        <v>79.218800000000002</v>
      </c>
      <c r="E2204" s="4">
        <v>102</v>
      </c>
      <c r="F2204" s="4">
        <v>84.5</v>
      </c>
      <c r="G2204" s="4">
        <v>8619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84.49</v>
      </c>
      <c r="D2205" s="4">
        <v>79.209400000000002</v>
      </c>
      <c r="E2205" s="4">
        <v>93</v>
      </c>
      <c r="F2205" s="4">
        <v>83.718000000000004</v>
      </c>
      <c r="G2205" s="4">
        <v>7785.7740000000003</v>
      </c>
      <c r="H2205" s="5">
        <f t="shared" si="34"/>
        <v>-1.1865870222724162E-4</v>
      </c>
    </row>
    <row r="2206" spans="1:8" ht="13.5" x14ac:dyDescent="0.25">
      <c r="A2206" s="1"/>
      <c r="B2206" s="3">
        <v>45512</v>
      </c>
      <c r="C2206" s="4">
        <v>84.48</v>
      </c>
      <c r="D2206" s="4">
        <v>79.2</v>
      </c>
      <c r="E2206" s="4">
        <v>74</v>
      </c>
      <c r="F2206" s="4">
        <v>84.48</v>
      </c>
      <c r="G2206" s="4">
        <v>6251.52</v>
      </c>
      <c r="H2206" s="5">
        <f t="shared" si="34"/>
        <v>-1.1867278378575534E-4</v>
      </c>
    </row>
    <row r="2207" spans="1:8" ht="13.5" x14ac:dyDescent="0.25">
      <c r="A2207" s="1"/>
      <c r="B2207" s="3">
        <v>45513</v>
      </c>
      <c r="C2207" s="4">
        <v>84.48</v>
      </c>
      <c r="D2207" s="4">
        <v>79.2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84.48</v>
      </c>
      <c r="D2208" s="4">
        <v>79.2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84.19</v>
      </c>
      <c r="D2209" s="4">
        <v>78.928100000000001</v>
      </c>
      <c r="E2209" s="4">
        <v>3</v>
      </c>
      <c r="F2209" s="4">
        <v>84.19</v>
      </c>
      <c r="G2209" s="4">
        <v>252.57</v>
      </c>
      <c r="H2209" s="5">
        <f t="shared" si="34"/>
        <v>-3.4330808080808364E-3</v>
      </c>
    </row>
    <row r="2210" spans="1:8" ht="13.5" x14ac:dyDescent="0.25">
      <c r="A2210" s="1"/>
      <c r="B2210" s="3">
        <v>45519</v>
      </c>
      <c r="C2210" s="4">
        <v>83.8</v>
      </c>
      <c r="D2210" s="4">
        <v>78.5625</v>
      </c>
      <c r="E2210" s="4">
        <v>188</v>
      </c>
      <c r="F2210" s="4">
        <v>83.8</v>
      </c>
      <c r="G2210" s="4">
        <v>15754.4</v>
      </c>
      <c r="H2210" s="5">
        <f t="shared" si="34"/>
        <v>-4.6320638657208341E-3</v>
      </c>
    </row>
    <row r="2211" spans="1:8" ht="13.5" x14ac:dyDescent="0.25">
      <c r="A2211" s="1"/>
      <c r="B2211" s="3">
        <v>45520</v>
      </c>
      <c r="C2211" s="4">
        <v>84</v>
      </c>
      <c r="D2211" s="4">
        <v>78.75</v>
      </c>
      <c r="E2211" s="4">
        <v>20</v>
      </c>
      <c r="F2211" s="4">
        <v>84</v>
      </c>
      <c r="G2211" s="4">
        <v>1680</v>
      </c>
      <c r="H2211" s="5">
        <f t="shared" si="34"/>
        <v>2.3866348448687352E-3</v>
      </c>
    </row>
    <row r="2212" spans="1:8" ht="13.5" x14ac:dyDescent="0.25">
      <c r="A2212" s="1"/>
      <c r="B2212" s="3">
        <v>45523</v>
      </c>
      <c r="C2212" s="4">
        <v>84</v>
      </c>
      <c r="D2212" s="4">
        <v>78.75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84</v>
      </c>
      <c r="D2213" s="4">
        <v>78.75</v>
      </c>
      <c r="E2213" s="4">
        <v>279</v>
      </c>
      <c r="F2213" s="4">
        <v>84</v>
      </c>
      <c r="G2213" s="4">
        <v>23436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84</v>
      </c>
      <c r="D2214" s="4">
        <v>78.75</v>
      </c>
      <c r="E2214" s="4">
        <v>300</v>
      </c>
      <c r="F2214" s="4">
        <v>84</v>
      </c>
      <c r="G2214" s="4">
        <v>25200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84</v>
      </c>
      <c r="D2215" s="4">
        <v>78.75</v>
      </c>
      <c r="E2215" s="4">
        <v>0</v>
      </c>
      <c r="F2215" s="4">
        <v>0</v>
      </c>
      <c r="G2215" s="4">
        <v>0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84</v>
      </c>
      <c r="D2216" s="4">
        <v>78.75</v>
      </c>
      <c r="E2216" s="4">
        <v>48</v>
      </c>
      <c r="F2216" s="4">
        <v>84</v>
      </c>
      <c r="G2216" s="4">
        <v>4032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84</v>
      </c>
      <c r="D2217" s="4">
        <v>78.75</v>
      </c>
      <c r="E2217" s="4">
        <v>100</v>
      </c>
      <c r="F2217" s="4">
        <v>84</v>
      </c>
      <c r="G2217" s="4">
        <v>8400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84</v>
      </c>
      <c r="D2218" s="4">
        <v>78.75</v>
      </c>
      <c r="E2218" s="4">
        <v>6</v>
      </c>
      <c r="F2218" s="4">
        <v>84</v>
      </c>
      <c r="G2218" s="4">
        <v>504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84</v>
      </c>
      <c r="D2219" s="4">
        <v>78.75</v>
      </c>
      <c r="E2219" s="4">
        <v>243</v>
      </c>
      <c r="F2219" s="4">
        <v>84</v>
      </c>
      <c r="G2219" s="4">
        <v>20412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84</v>
      </c>
      <c r="D2220" s="4">
        <v>78.75</v>
      </c>
      <c r="E2220" s="4">
        <v>294</v>
      </c>
      <c r="F2220" s="4">
        <v>84</v>
      </c>
      <c r="G2220" s="4">
        <v>24696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84</v>
      </c>
      <c r="D2221" s="4">
        <v>78.75</v>
      </c>
      <c r="E2221" s="4">
        <v>10</v>
      </c>
      <c r="F2221" s="4">
        <v>84</v>
      </c>
      <c r="G2221" s="4">
        <v>840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84</v>
      </c>
      <c r="D2222" s="4">
        <v>78.75</v>
      </c>
      <c r="E2222" s="4">
        <v>138</v>
      </c>
      <c r="F2222" s="4">
        <v>84</v>
      </c>
      <c r="G2222" s="4">
        <v>11592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84</v>
      </c>
      <c r="D2223" s="4">
        <v>78.75</v>
      </c>
      <c r="E2223" s="4">
        <v>0</v>
      </c>
      <c r="F2223" s="4">
        <v>0</v>
      </c>
      <c r="G2223" s="4">
        <v>0</v>
      </c>
      <c r="H2223" s="5">
        <f t="shared" si="34"/>
        <v>0</v>
      </c>
    </row>
    <row r="2224" spans="1:8" ht="13.5" x14ac:dyDescent="0.25">
      <c r="A2224" s="1"/>
      <c r="B2224" s="3">
        <v>45539</v>
      </c>
      <c r="C2224" s="4">
        <v>84.4</v>
      </c>
      <c r="D2224" s="4">
        <v>79.125</v>
      </c>
      <c r="E2224" s="4">
        <v>3</v>
      </c>
      <c r="F2224" s="4">
        <v>84.4</v>
      </c>
      <c r="G2224" s="4">
        <v>253.2</v>
      </c>
      <c r="H2224" s="5">
        <f t="shared" si="34"/>
        <v>4.7619047619047623E-3</v>
      </c>
    </row>
    <row r="2225" spans="1:8" ht="13.5" x14ac:dyDescent="0.25">
      <c r="A2225" s="1"/>
      <c r="B2225" s="3">
        <v>45540</v>
      </c>
      <c r="C2225" s="4">
        <v>84.4</v>
      </c>
      <c r="D2225" s="4">
        <v>79.125</v>
      </c>
      <c r="E2225" s="4">
        <v>35</v>
      </c>
      <c r="F2225" s="4">
        <v>84.4</v>
      </c>
      <c r="G2225" s="4">
        <v>2954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84</v>
      </c>
      <c r="D2226" s="4">
        <v>78.75</v>
      </c>
      <c r="E2226" s="4">
        <v>40</v>
      </c>
      <c r="F2226" s="4">
        <v>84</v>
      </c>
      <c r="G2226" s="4">
        <v>3360</v>
      </c>
      <c r="H2226" s="5">
        <f t="shared" si="34"/>
        <v>-4.7393364928909956E-3</v>
      </c>
    </row>
    <row r="2227" spans="1:8" ht="13.5" x14ac:dyDescent="0.25">
      <c r="A2227" s="1"/>
      <c r="B2227" s="3">
        <v>45544</v>
      </c>
      <c r="C2227" s="4">
        <v>84</v>
      </c>
      <c r="D2227" s="4">
        <v>78.75</v>
      </c>
      <c r="E2227" s="4">
        <v>0</v>
      </c>
      <c r="F2227" s="4">
        <v>0</v>
      </c>
      <c r="G2227" s="4">
        <v>0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84</v>
      </c>
      <c r="D2228" s="4">
        <v>78.75</v>
      </c>
      <c r="E2228" s="4">
        <v>150</v>
      </c>
      <c r="F2228" s="4">
        <v>84.132999999999996</v>
      </c>
      <c r="G2228" s="4">
        <v>12619.95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84.39</v>
      </c>
      <c r="D2229" s="4">
        <v>79.115600000000001</v>
      </c>
      <c r="E2229" s="4">
        <v>5</v>
      </c>
      <c r="F2229" s="4">
        <v>84.39</v>
      </c>
      <c r="G2229" s="4">
        <v>421.95</v>
      </c>
      <c r="H2229" s="5">
        <f t="shared" si="34"/>
        <v>4.6425396825396899E-3</v>
      </c>
    </row>
    <row r="2230" spans="1:8" ht="13.5" x14ac:dyDescent="0.25">
      <c r="A2230" s="1"/>
      <c r="B2230" s="3">
        <v>45547</v>
      </c>
      <c r="C2230" s="4">
        <v>84.39</v>
      </c>
      <c r="D2230" s="4">
        <v>79.115600000000001</v>
      </c>
      <c r="E2230" s="4">
        <v>0</v>
      </c>
      <c r="F2230" s="4">
        <v>0</v>
      </c>
      <c r="G2230" s="4">
        <v>0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84.38</v>
      </c>
      <c r="D2231" s="4">
        <v>79.106200000000001</v>
      </c>
      <c r="E2231" s="4">
        <v>6</v>
      </c>
      <c r="F2231" s="4">
        <v>84.38</v>
      </c>
      <c r="G2231" s="4">
        <v>506.28</v>
      </c>
      <c r="H2231" s="5">
        <f t="shared" si="34"/>
        <v>-1.1881348305516748E-4</v>
      </c>
    </row>
    <row r="2232" spans="1:8" ht="13.5" x14ac:dyDescent="0.25">
      <c r="A2232" s="1"/>
      <c r="B2232" s="3">
        <v>45551</v>
      </c>
      <c r="C2232" s="4">
        <v>84.38</v>
      </c>
      <c r="D2232" s="4">
        <v>79.106200000000001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84.38</v>
      </c>
      <c r="D2233" s="4">
        <v>79.106200000000001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84</v>
      </c>
      <c r="D2234" s="4">
        <v>78.75</v>
      </c>
      <c r="E2234" s="4">
        <v>16</v>
      </c>
      <c r="F2234" s="4">
        <v>84</v>
      </c>
      <c r="G2234" s="4">
        <v>1344</v>
      </c>
      <c r="H2234" s="5">
        <f t="shared" si="34"/>
        <v>-4.5028076181133862E-3</v>
      </c>
    </row>
    <row r="2235" spans="1:8" ht="13.5" x14ac:dyDescent="0.25">
      <c r="A2235" s="1"/>
      <c r="B2235" s="3">
        <v>45554</v>
      </c>
      <c r="C2235" s="4">
        <v>84</v>
      </c>
      <c r="D2235" s="4">
        <v>78.75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84</v>
      </c>
      <c r="D2236" s="4">
        <v>78.75</v>
      </c>
      <c r="E2236" s="4">
        <v>3</v>
      </c>
      <c r="F2236" s="4">
        <v>84</v>
      </c>
      <c r="G2236" s="4">
        <v>252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84</v>
      </c>
      <c r="D2237" s="4">
        <v>78.75</v>
      </c>
      <c r="E2237" s="4">
        <v>17</v>
      </c>
      <c r="F2237" s="4">
        <v>84</v>
      </c>
      <c r="G2237" s="4">
        <v>1428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84</v>
      </c>
      <c r="D2238" s="4">
        <v>78.75</v>
      </c>
      <c r="E2238" s="4">
        <v>33</v>
      </c>
      <c r="F2238" s="4">
        <v>84</v>
      </c>
      <c r="G2238" s="4">
        <v>2772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84</v>
      </c>
      <c r="D2239" s="4">
        <v>78.75</v>
      </c>
      <c r="E2239" s="4">
        <v>14</v>
      </c>
      <c r="F2239" s="4">
        <v>84</v>
      </c>
      <c r="G2239" s="4">
        <v>1176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84</v>
      </c>
      <c r="D2240" s="4">
        <v>78.75</v>
      </c>
      <c r="E2240" s="4">
        <v>217</v>
      </c>
      <c r="F2240" s="4">
        <v>84</v>
      </c>
      <c r="G2240" s="4">
        <v>18228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84.49</v>
      </c>
      <c r="D2241" s="4">
        <v>79.209400000000002</v>
      </c>
      <c r="E2241" s="4">
        <v>106</v>
      </c>
      <c r="F2241" s="4">
        <v>84.49</v>
      </c>
      <c r="G2241" s="4">
        <v>8955.94</v>
      </c>
      <c r="H2241" s="5">
        <f t="shared" si="34"/>
        <v>5.8336507936508223E-3</v>
      </c>
    </row>
    <row r="2242" spans="1:8" ht="13.5" x14ac:dyDescent="0.25">
      <c r="A2242" s="1"/>
      <c r="B2242" s="3">
        <v>45565</v>
      </c>
      <c r="C2242" s="4">
        <v>84.5</v>
      </c>
      <c r="D2242" s="4">
        <v>79.218800000000002</v>
      </c>
      <c r="E2242" s="4">
        <v>136</v>
      </c>
      <c r="F2242" s="4">
        <v>84.5</v>
      </c>
      <c r="G2242" s="4">
        <v>11492</v>
      </c>
      <c r="H2242" s="5">
        <f t="shared" si="34"/>
        <v>1.1867278378575534E-4</v>
      </c>
    </row>
    <row r="2243" spans="1:8" ht="13.5" x14ac:dyDescent="0.25">
      <c r="A2243" s="1"/>
      <c r="B2243" s="3">
        <v>45566</v>
      </c>
      <c r="C2243" s="4">
        <v>84.49</v>
      </c>
      <c r="D2243" s="4">
        <v>79.209400000000002</v>
      </c>
      <c r="E2243" s="4">
        <v>281</v>
      </c>
      <c r="F2243" s="4">
        <v>84.492999999999995</v>
      </c>
      <c r="G2243" s="4">
        <v>23742.532999999999</v>
      </c>
      <c r="H2243" s="5">
        <f t="shared" si="34"/>
        <v>-1.1865870222724162E-4</v>
      </c>
    </row>
    <row r="2244" spans="1:8" ht="13.5" x14ac:dyDescent="0.25">
      <c r="A2244" s="1"/>
      <c r="B2244" s="3">
        <v>45567</v>
      </c>
      <c r="C2244" s="4">
        <v>86</v>
      </c>
      <c r="D2244" s="4">
        <v>80.625</v>
      </c>
      <c r="E2244" s="4">
        <v>125</v>
      </c>
      <c r="F2244" s="4">
        <v>85.664000000000001</v>
      </c>
      <c r="G2244" s="4">
        <v>10708</v>
      </c>
      <c r="H2244" s="5">
        <f t="shared" si="34"/>
        <v>1.7871616247566547E-2</v>
      </c>
    </row>
    <row r="2245" spans="1:8" ht="13.5" x14ac:dyDescent="0.25">
      <c r="A2245" s="1"/>
      <c r="B2245" s="3">
        <v>45568</v>
      </c>
      <c r="C2245" s="4">
        <v>88</v>
      </c>
      <c r="D2245" s="4">
        <v>82.5</v>
      </c>
      <c r="E2245" s="4">
        <v>349</v>
      </c>
      <c r="F2245" s="4">
        <v>88</v>
      </c>
      <c r="G2245" s="4">
        <v>30712</v>
      </c>
      <c r="H2245" s="5">
        <f t="shared" si="34"/>
        <v>2.3255813953488372E-2</v>
      </c>
    </row>
    <row r="2246" spans="1:8" ht="13.5" x14ac:dyDescent="0.25">
      <c r="A2246" s="1"/>
      <c r="B2246" s="3">
        <v>45569</v>
      </c>
      <c r="C2246" s="4">
        <v>91.96</v>
      </c>
      <c r="D2246" s="4">
        <v>86.212500000000006</v>
      </c>
      <c r="E2246" s="4">
        <v>0</v>
      </c>
      <c r="F2246" s="4">
        <v>0</v>
      </c>
      <c r="G2246" s="4">
        <v>0</v>
      </c>
      <c r="H2246" s="5">
        <f t="shared" si="34"/>
        <v>4.5000000000000068E-2</v>
      </c>
    </row>
    <row r="2247" spans="1:8" ht="13.5" x14ac:dyDescent="0.25">
      <c r="A2247" s="1"/>
      <c r="B2247" s="3">
        <v>45572</v>
      </c>
      <c r="C2247" s="4">
        <v>95</v>
      </c>
      <c r="D2247" s="4">
        <v>89.0625</v>
      </c>
      <c r="E2247" s="4">
        <v>173</v>
      </c>
      <c r="F2247" s="4">
        <v>94.173000000000002</v>
      </c>
      <c r="G2247" s="4">
        <v>16291.929</v>
      </c>
      <c r="H2247" s="5">
        <f t="shared" ref="H2247:H2310" si="35">(D2247-D2246)/D2246</f>
        <v>3.3057851239669353E-2</v>
      </c>
    </row>
    <row r="2248" spans="1:8" ht="13.5" x14ac:dyDescent="0.25">
      <c r="A2248" s="1"/>
      <c r="B2248" s="3">
        <v>45573</v>
      </c>
      <c r="C2248" s="4">
        <v>92</v>
      </c>
      <c r="D2248" s="4">
        <v>86.25</v>
      </c>
      <c r="E2248" s="4">
        <v>95</v>
      </c>
      <c r="F2248" s="4">
        <v>92</v>
      </c>
      <c r="G2248" s="4">
        <v>8740</v>
      </c>
      <c r="H2248" s="5">
        <f t="shared" si="35"/>
        <v>-3.1578947368421054E-2</v>
      </c>
    </row>
    <row r="2249" spans="1:8" ht="13.5" x14ac:dyDescent="0.25">
      <c r="A2249" s="1"/>
      <c r="B2249" s="3">
        <v>45574</v>
      </c>
      <c r="C2249" s="4">
        <v>93</v>
      </c>
      <c r="D2249" s="4">
        <v>87.1875</v>
      </c>
      <c r="E2249" s="4">
        <v>128</v>
      </c>
      <c r="F2249" s="4">
        <v>93</v>
      </c>
      <c r="G2249" s="4">
        <v>11904</v>
      </c>
      <c r="H2249" s="5">
        <f t="shared" si="35"/>
        <v>1.0869565217391304E-2</v>
      </c>
    </row>
    <row r="2250" spans="1:8" ht="13.5" x14ac:dyDescent="0.25">
      <c r="A2250" s="1"/>
      <c r="B2250" s="3">
        <v>45575</v>
      </c>
      <c r="C2250" s="4">
        <v>93</v>
      </c>
      <c r="D2250" s="4">
        <v>87.1875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90.05</v>
      </c>
      <c r="D2251" s="4">
        <v>84.421899999999994</v>
      </c>
      <c r="E2251" s="4">
        <v>38</v>
      </c>
      <c r="F2251" s="4">
        <v>90.307000000000002</v>
      </c>
      <c r="G2251" s="4">
        <v>3431.6660000000002</v>
      </c>
      <c r="H2251" s="5">
        <f t="shared" si="35"/>
        <v>-3.1720143369175696E-2</v>
      </c>
    </row>
    <row r="2252" spans="1:8" ht="13.5" x14ac:dyDescent="0.25">
      <c r="A2252" s="1"/>
      <c r="B2252" s="3">
        <v>45579</v>
      </c>
      <c r="C2252" s="4">
        <v>90.02</v>
      </c>
      <c r="D2252" s="4">
        <v>84.393799999999999</v>
      </c>
      <c r="E2252" s="4">
        <v>291</v>
      </c>
      <c r="F2252" s="4">
        <v>90.02</v>
      </c>
      <c r="G2252" s="4">
        <v>26195.82</v>
      </c>
      <c r="H2252" s="5">
        <f t="shared" si="35"/>
        <v>-3.328520206249197E-4</v>
      </c>
    </row>
    <row r="2253" spans="1:8" ht="13.5" x14ac:dyDescent="0.25">
      <c r="A2253" s="1"/>
      <c r="B2253" s="3">
        <v>45581</v>
      </c>
      <c r="C2253" s="4">
        <v>90.02</v>
      </c>
      <c r="D2253" s="4">
        <v>84.393799999999999</v>
      </c>
      <c r="E2253" s="4">
        <v>257</v>
      </c>
      <c r="F2253" s="4">
        <v>90.02</v>
      </c>
      <c r="G2253" s="4">
        <v>23135.14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92</v>
      </c>
      <c r="D2254" s="4">
        <v>86.25</v>
      </c>
      <c r="E2254" s="4">
        <v>80</v>
      </c>
      <c r="F2254" s="4">
        <v>92</v>
      </c>
      <c r="G2254" s="4">
        <v>7360</v>
      </c>
      <c r="H2254" s="5">
        <f t="shared" si="35"/>
        <v>2.1994506705468899E-2</v>
      </c>
    </row>
    <row r="2255" spans="1:8" ht="13.5" x14ac:dyDescent="0.25">
      <c r="A2255" s="1"/>
      <c r="B2255" s="3">
        <v>45583</v>
      </c>
      <c r="C2255" s="4">
        <v>92</v>
      </c>
      <c r="D2255" s="4">
        <v>86.25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92</v>
      </c>
      <c r="D2256" s="4">
        <v>86.25</v>
      </c>
      <c r="E2256" s="4">
        <v>0</v>
      </c>
      <c r="F2256" s="4">
        <v>0</v>
      </c>
      <c r="G2256" s="4">
        <v>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90.02</v>
      </c>
      <c r="D2257" s="4">
        <v>84.393799999999999</v>
      </c>
      <c r="E2257" s="4">
        <v>90</v>
      </c>
      <c r="F2257" s="4">
        <v>90.02</v>
      </c>
      <c r="G2257" s="4">
        <v>8101.8</v>
      </c>
      <c r="H2257" s="5">
        <f t="shared" si="35"/>
        <v>-2.152115942028987E-2</v>
      </c>
    </row>
    <row r="2258" spans="1:8" ht="13.5" x14ac:dyDescent="0.25">
      <c r="A2258" s="1"/>
      <c r="B2258" s="3">
        <v>45588</v>
      </c>
      <c r="C2258" s="4">
        <v>90.02</v>
      </c>
      <c r="D2258" s="4">
        <v>84.393799999999999</v>
      </c>
      <c r="E2258" s="4">
        <v>0</v>
      </c>
      <c r="F2258" s="4">
        <v>0</v>
      </c>
      <c r="G2258" s="4">
        <v>0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90.03</v>
      </c>
      <c r="D2259" s="4">
        <v>84.403099999999995</v>
      </c>
      <c r="E2259" s="4">
        <v>30</v>
      </c>
      <c r="F2259" s="4">
        <v>90.03</v>
      </c>
      <c r="G2259" s="4">
        <v>2700.9</v>
      </c>
      <c r="H2259" s="5">
        <f t="shared" si="35"/>
        <v>1.1019766854906508E-4</v>
      </c>
    </row>
    <row r="2260" spans="1:8" ht="13.5" x14ac:dyDescent="0.25">
      <c r="A2260" s="1"/>
      <c r="B2260" s="3">
        <v>45590</v>
      </c>
      <c r="C2260" s="4">
        <v>90.03</v>
      </c>
      <c r="D2260" s="4">
        <v>84.403099999999995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94.08</v>
      </c>
      <c r="D2261" s="4">
        <v>88.2</v>
      </c>
      <c r="E2261" s="4">
        <v>0</v>
      </c>
      <c r="F2261" s="4">
        <v>0</v>
      </c>
      <c r="G2261" s="4">
        <v>0</v>
      </c>
      <c r="H2261" s="5">
        <f t="shared" si="35"/>
        <v>4.498531452043833E-2</v>
      </c>
    </row>
    <row r="2262" spans="1:8" ht="13.5" x14ac:dyDescent="0.25">
      <c r="A2262" s="1"/>
      <c r="B2262" s="3">
        <v>45594</v>
      </c>
      <c r="C2262" s="4">
        <v>98</v>
      </c>
      <c r="D2262" s="4">
        <v>91.875</v>
      </c>
      <c r="E2262" s="4">
        <v>666</v>
      </c>
      <c r="F2262" s="4">
        <v>98</v>
      </c>
      <c r="G2262" s="4">
        <v>65268</v>
      </c>
      <c r="H2262" s="5">
        <f t="shared" si="35"/>
        <v>4.166666666666663E-2</v>
      </c>
    </row>
    <row r="2263" spans="1:8" ht="13.5" x14ac:dyDescent="0.25">
      <c r="A2263" s="1"/>
      <c r="B2263" s="3">
        <v>45595</v>
      </c>
      <c r="C2263" s="4">
        <v>96.07</v>
      </c>
      <c r="D2263" s="4">
        <v>90.065600000000003</v>
      </c>
      <c r="E2263" s="4">
        <v>42</v>
      </c>
      <c r="F2263" s="4">
        <v>96.075999999999993</v>
      </c>
      <c r="G2263" s="4">
        <v>4035.192</v>
      </c>
      <c r="H2263" s="5">
        <f t="shared" si="35"/>
        <v>-1.9694149659863908E-2</v>
      </c>
    </row>
    <row r="2264" spans="1:8" ht="13.5" x14ac:dyDescent="0.25">
      <c r="A2264" s="1"/>
      <c r="B2264" s="3">
        <v>45596</v>
      </c>
      <c r="C2264" s="4">
        <v>96.07</v>
      </c>
      <c r="D2264" s="4">
        <v>90.065600000000003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95.5</v>
      </c>
      <c r="D2265" s="4">
        <v>89.531300000000002</v>
      </c>
      <c r="E2265" s="4">
        <v>12</v>
      </c>
      <c r="F2265" s="4">
        <v>95.5</v>
      </c>
      <c r="G2265" s="4">
        <v>1146</v>
      </c>
      <c r="H2265" s="5">
        <f t="shared" si="35"/>
        <v>-5.932342648025459E-3</v>
      </c>
    </row>
    <row r="2266" spans="1:8" ht="13.5" x14ac:dyDescent="0.25">
      <c r="A2266" s="1"/>
      <c r="B2266" s="3">
        <v>45600</v>
      </c>
      <c r="C2266" s="4">
        <v>95.52</v>
      </c>
      <c r="D2266" s="4">
        <v>89.55</v>
      </c>
      <c r="E2266" s="4">
        <v>50</v>
      </c>
      <c r="F2266" s="4">
        <v>95.52</v>
      </c>
      <c r="G2266" s="4">
        <v>4776</v>
      </c>
      <c r="H2266" s="5">
        <f t="shared" si="35"/>
        <v>2.0886550290228665E-4</v>
      </c>
    </row>
    <row r="2267" spans="1:8" ht="13.5" x14ac:dyDescent="0.25">
      <c r="A2267" s="1"/>
      <c r="B2267" s="3">
        <v>45601</v>
      </c>
      <c r="C2267" s="4">
        <v>95.52</v>
      </c>
      <c r="D2267" s="4">
        <v>89.55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96.07</v>
      </c>
      <c r="D2268" s="4">
        <v>90.065600000000003</v>
      </c>
      <c r="E2268" s="4">
        <v>22</v>
      </c>
      <c r="F2268" s="4">
        <v>96.07</v>
      </c>
      <c r="G2268" s="4">
        <v>2113.54</v>
      </c>
      <c r="H2268" s="5">
        <f t="shared" si="35"/>
        <v>5.7576772752652855E-3</v>
      </c>
    </row>
    <row r="2269" spans="1:8" ht="13.5" x14ac:dyDescent="0.25">
      <c r="A2269" s="1"/>
      <c r="B2269" s="3">
        <v>45603</v>
      </c>
      <c r="C2269" s="4">
        <v>98</v>
      </c>
      <c r="D2269" s="4">
        <v>91.875</v>
      </c>
      <c r="E2269" s="4">
        <v>84</v>
      </c>
      <c r="F2269" s="4">
        <v>98</v>
      </c>
      <c r="G2269" s="4">
        <v>8232</v>
      </c>
      <c r="H2269" s="5">
        <f t="shared" si="35"/>
        <v>2.0089801211561311E-2</v>
      </c>
    </row>
    <row r="2270" spans="1:8" ht="13.5" x14ac:dyDescent="0.25">
      <c r="A2270" s="1"/>
      <c r="B2270" s="3">
        <v>45604</v>
      </c>
      <c r="C2270" s="4">
        <v>98</v>
      </c>
      <c r="D2270" s="4">
        <v>91.875</v>
      </c>
      <c r="E2270" s="4">
        <v>228</v>
      </c>
      <c r="F2270" s="4">
        <v>98</v>
      </c>
      <c r="G2270" s="4">
        <v>22344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99</v>
      </c>
      <c r="D2271" s="4">
        <v>92.8125</v>
      </c>
      <c r="E2271" s="4">
        <v>19</v>
      </c>
      <c r="F2271" s="4">
        <v>98.978999999999999</v>
      </c>
      <c r="G2271" s="4">
        <v>1880.6010000000001</v>
      </c>
      <c r="H2271" s="5">
        <f t="shared" si="35"/>
        <v>1.020408163265306E-2</v>
      </c>
    </row>
    <row r="2272" spans="1:8" ht="13.5" x14ac:dyDescent="0.25">
      <c r="A2272" s="1"/>
      <c r="B2272" s="3">
        <v>45608</v>
      </c>
      <c r="C2272" s="4">
        <v>100</v>
      </c>
      <c r="D2272" s="4">
        <v>93.75</v>
      </c>
      <c r="E2272" s="4">
        <v>107</v>
      </c>
      <c r="F2272" s="4">
        <v>100</v>
      </c>
      <c r="G2272" s="4">
        <v>10700</v>
      </c>
      <c r="H2272" s="5">
        <f t="shared" si="35"/>
        <v>1.0101010101010102E-2</v>
      </c>
    </row>
    <row r="2273" spans="1:8" ht="13.5" x14ac:dyDescent="0.25">
      <c r="A2273" s="1"/>
      <c r="B2273" s="3">
        <v>45609</v>
      </c>
      <c r="C2273" s="4">
        <v>100</v>
      </c>
      <c r="D2273" s="4">
        <v>93.75</v>
      </c>
      <c r="E2273" s="4">
        <v>222</v>
      </c>
      <c r="F2273" s="4">
        <v>100</v>
      </c>
      <c r="G2273" s="4">
        <v>22200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100</v>
      </c>
      <c r="D2274" s="4">
        <v>93.75</v>
      </c>
      <c r="E2274" s="4">
        <v>22</v>
      </c>
      <c r="F2274" s="4">
        <v>100</v>
      </c>
      <c r="G2274" s="4">
        <v>2200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100</v>
      </c>
      <c r="D2275" s="4">
        <v>93.75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100.08</v>
      </c>
      <c r="D2276" s="4">
        <v>93.825000000000003</v>
      </c>
      <c r="E2276" s="4">
        <v>26</v>
      </c>
      <c r="F2276" s="4">
        <v>100.08</v>
      </c>
      <c r="G2276" s="4">
        <v>2602.08</v>
      </c>
      <c r="H2276" s="5">
        <f t="shared" si="35"/>
        <v>8.0000000000003029E-4</v>
      </c>
    </row>
    <row r="2277" spans="1:8" ht="13.5" x14ac:dyDescent="0.25">
      <c r="A2277" s="1"/>
      <c r="B2277" s="3">
        <v>45615</v>
      </c>
      <c r="C2277" s="4">
        <v>98.11</v>
      </c>
      <c r="D2277" s="4">
        <v>91.978099999999998</v>
      </c>
      <c r="E2277" s="4">
        <v>1</v>
      </c>
      <c r="F2277" s="4">
        <v>98.11</v>
      </c>
      <c r="G2277" s="4">
        <v>98.11</v>
      </c>
      <c r="H2277" s="5">
        <f t="shared" si="35"/>
        <v>-1.968451905142558E-2</v>
      </c>
    </row>
    <row r="2278" spans="1:8" ht="13.5" x14ac:dyDescent="0.25">
      <c r="A2278" s="1"/>
      <c r="B2278" s="3">
        <v>45616</v>
      </c>
      <c r="C2278" s="4">
        <v>99.3</v>
      </c>
      <c r="D2278" s="4">
        <v>93.093800000000002</v>
      </c>
      <c r="E2278" s="4">
        <v>14</v>
      </c>
      <c r="F2278" s="4">
        <v>99.3</v>
      </c>
      <c r="G2278" s="4">
        <v>1390.2</v>
      </c>
      <c r="H2278" s="5">
        <f t="shared" si="35"/>
        <v>1.2130061395049517E-2</v>
      </c>
    </row>
    <row r="2279" spans="1:8" ht="13.5" x14ac:dyDescent="0.25">
      <c r="A2279" s="1"/>
      <c r="B2279" s="3">
        <v>45617</v>
      </c>
      <c r="C2279" s="4">
        <v>99.5</v>
      </c>
      <c r="D2279" s="4">
        <v>93.281300000000002</v>
      </c>
      <c r="E2279" s="4">
        <v>662</v>
      </c>
      <c r="F2279" s="4">
        <v>98.213999999999999</v>
      </c>
      <c r="G2279" s="4">
        <v>65017.667999999998</v>
      </c>
      <c r="H2279" s="5">
        <f t="shared" si="35"/>
        <v>2.0140976090781554E-3</v>
      </c>
    </row>
    <row r="2280" spans="1:8" ht="13.5" x14ac:dyDescent="0.25">
      <c r="A2280" s="1"/>
      <c r="B2280" s="3">
        <v>45618</v>
      </c>
      <c r="C2280" s="4">
        <v>99.5</v>
      </c>
      <c r="D2280" s="4">
        <v>93.281300000000002</v>
      </c>
      <c r="E2280" s="4">
        <v>1</v>
      </c>
      <c r="F2280" s="4">
        <v>99.5</v>
      </c>
      <c r="G2280" s="4">
        <v>99.5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99.5</v>
      </c>
      <c r="D2281" s="4">
        <v>93.281300000000002</v>
      </c>
      <c r="E2281" s="4">
        <v>100</v>
      </c>
      <c r="F2281" s="4">
        <v>99.5</v>
      </c>
      <c r="G2281" s="4">
        <v>9950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99.5</v>
      </c>
      <c r="D2282" s="4">
        <v>93.281300000000002</v>
      </c>
      <c r="E2282" s="4">
        <v>40</v>
      </c>
      <c r="F2282" s="4">
        <v>99.5</v>
      </c>
      <c r="G2282" s="4">
        <v>3980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99.5</v>
      </c>
      <c r="D2283" s="4">
        <v>93.281300000000002</v>
      </c>
      <c r="E2283" s="4">
        <v>5</v>
      </c>
      <c r="F2283" s="4">
        <v>99.5</v>
      </c>
      <c r="G2283" s="4">
        <v>497.5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98.4</v>
      </c>
      <c r="D2284" s="4">
        <v>92.25</v>
      </c>
      <c r="E2284" s="4">
        <v>21</v>
      </c>
      <c r="F2284" s="4">
        <v>98.4</v>
      </c>
      <c r="G2284" s="4">
        <v>2066.4</v>
      </c>
      <c r="H2284" s="5">
        <f t="shared" si="35"/>
        <v>-1.1055806469249481E-2</v>
      </c>
    </row>
    <row r="2285" spans="1:8" ht="13.5" x14ac:dyDescent="0.25">
      <c r="A2285" s="1"/>
      <c r="B2285" s="3">
        <v>45625</v>
      </c>
      <c r="C2285" s="4">
        <v>96.1</v>
      </c>
      <c r="D2285" s="4">
        <v>90.093800000000002</v>
      </c>
      <c r="E2285" s="4">
        <v>55</v>
      </c>
      <c r="F2285" s="4">
        <v>96.1</v>
      </c>
      <c r="G2285" s="4">
        <v>5285.5</v>
      </c>
      <c r="H2285" s="5">
        <f t="shared" si="35"/>
        <v>-2.3373441734417327E-2</v>
      </c>
    </row>
    <row r="2286" spans="1:8" ht="13.5" x14ac:dyDescent="0.25">
      <c r="A2286" s="1"/>
      <c r="B2286" s="3">
        <v>45628</v>
      </c>
      <c r="C2286" s="4">
        <v>99</v>
      </c>
      <c r="D2286" s="4">
        <v>92.8125</v>
      </c>
      <c r="E2286" s="4">
        <v>56</v>
      </c>
      <c r="F2286" s="4">
        <v>99</v>
      </c>
      <c r="G2286" s="4">
        <v>5544</v>
      </c>
      <c r="H2286" s="5">
        <f t="shared" si="35"/>
        <v>3.0176327338840167E-2</v>
      </c>
    </row>
    <row r="2287" spans="1:8" ht="13.5" x14ac:dyDescent="0.25">
      <c r="A2287" s="1"/>
      <c r="B2287" s="3">
        <v>45629</v>
      </c>
      <c r="C2287" s="4">
        <v>99</v>
      </c>
      <c r="D2287" s="4">
        <v>92.8125</v>
      </c>
      <c r="E2287" s="4">
        <v>27</v>
      </c>
      <c r="F2287" s="4">
        <v>99</v>
      </c>
      <c r="G2287" s="4">
        <v>2673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100</v>
      </c>
      <c r="D2288" s="4">
        <v>93.75</v>
      </c>
      <c r="E2288" s="4">
        <v>100</v>
      </c>
      <c r="F2288" s="4">
        <v>100</v>
      </c>
      <c r="G2288" s="4">
        <v>10000</v>
      </c>
      <c r="H2288" s="5">
        <f t="shared" si="35"/>
        <v>1.0101010101010102E-2</v>
      </c>
    </row>
    <row r="2289" spans="1:8" ht="13.5" x14ac:dyDescent="0.25">
      <c r="A2289" s="1"/>
      <c r="B2289" s="3">
        <v>45631</v>
      </c>
      <c r="C2289" s="4">
        <v>100</v>
      </c>
      <c r="D2289" s="4">
        <v>93.75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100</v>
      </c>
      <c r="D2290" s="4">
        <v>93.75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100</v>
      </c>
      <c r="D2291" s="4">
        <v>93.75</v>
      </c>
      <c r="E2291" s="4">
        <v>1</v>
      </c>
      <c r="F2291" s="4">
        <v>100</v>
      </c>
      <c r="G2291" s="4">
        <v>100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100</v>
      </c>
      <c r="D2292" s="4">
        <v>93.75</v>
      </c>
      <c r="E2292" s="4">
        <v>320</v>
      </c>
      <c r="F2292" s="4">
        <v>100</v>
      </c>
      <c r="G2292" s="4">
        <v>32000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100</v>
      </c>
      <c r="D2293" s="4">
        <v>93.75</v>
      </c>
      <c r="E2293" s="4">
        <v>48</v>
      </c>
      <c r="F2293" s="4">
        <v>100</v>
      </c>
      <c r="G2293" s="4">
        <v>4800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100.45</v>
      </c>
      <c r="D2294" s="4">
        <v>94.171899999999994</v>
      </c>
      <c r="E2294" s="4">
        <v>47</v>
      </c>
      <c r="F2294" s="4">
        <v>100.45</v>
      </c>
      <c r="G2294" s="4">
        <v>4721.1499999999996</v>
      </c>
      <c r="H2294" s="5">
        <f t="shared" si="35"/>
        <v>4.5002666666665997E-3</v>
      </c>
    </row>
    <row r="2295" spans="1:8" ht="13.5" x14ac:dyDescent="0.25">
      <c r="A2295" s="1"/>
      <c r="B2295" s="3">
        <v>45639</v>
      </c>
      <c r="C2295" s="4">
        <v>100.48</v>
      </c>
      <c r="D2295" s="4">
        <v>94.2</v>
      </c>
      <c r="E2295" s="4">
        <v>199</v>
      </c>
      <c r="F2295" s="4">
        <v>100.48</v>
      </c>
      <c r="G2295" s="4">
        <v>19995.52</v>
      </c>
      <c r="H2295" s="5">
        <f t="shared" si="35"/>
        <v>2.9839049652825438E-4</v>
      </c>
    </row>
    <row r="2296" spans="1:8" ht="13.5" x14ac:dyDescent="0.25">
      <c r="A2296" s="1"/>
      <c r="B2296" s="3">
        <v>45642</v>
      </c>
      <c r="C2296" s="4">
        <v>100.5</v>
      </c>
      <c r="D2296" s="4">
        <v>94.218800000000002</v>
      </c>
      <c r="E2296" s="4">
        <v>174</v>
      </c>
      <c r="F2296" s="4">
        <v>100.5</v>
      </c>
      <c r="G2296" s="4">
        <v>17487</v>
      </c>
      <c r="H2296" s="5">
        <f t="shared" si="35"/>
        <v>1.9957537154988129E-4</v>
      </c>
    </row>
    <row r="2297" spans="1:8" ht="13.5" x14ac:dyDescent="0.25">
      <c r="A2297" s="1"/>
      <c r="B2297" s="3">
        <v>45644</v>
      </c>
      <c r="C2297" s="4">
        <v>100.9</v>
      </c>
      <c r="D2297" s="4">
        <v>94.593800000000002</v>
      </c>
      <c r="E2297" s="4">
        <v>154</v>
      </c>
      <c r="F2297" s="4">
        <v>100.9</v>
      </c>
      <c r="G2297" s="4">
        <v>15538.6</v>
      </c>
      <c r="H2297" s="5">
        <f t="shared" si="35"/>
        <v>3.9800973903297426E-3</v>
      </c>
    </row>
    <row r="2298" spans="1:8" ht="13.5" x14ac:dyDescent="0.25">
      <c r="A2298" s="1"/>
      <c r="B2298" s="3">
        <v>45645</v>
      </c>
      <c r="C2298" s="4">
        <v>100.9</v>
      </c>
      <c r="D2298" s="4">
        <v>94.593800000000002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100</v>
      </c>
      <c r="D2299" s="4">
        <v>93.75</v>
      </c>
      <c r="E2299" s="4">
        <v>17</v>
      </c>
      <c r="F2299" s="4">
        <v>100</v>
      </c>
      <c r="G2299" s="4">
        <v>1700</v>
      </c>
      <c r="H2299" s="5">
        <f t="shared" si="35"/>
        <v>-8.9202463586408581E-3</v>
      </c>
    </row>
    <row r="2300" spans="1:8" ht="13.5" x14ac:dyDescent="0.25">
      <c r="A2300" s="1"/>
      <c r="B2300" s="3">
        <v>45649</v>
      </c>
      <c r="C2300" s="4">
        <v>99.98</v>
      </c>
      <c r="D2300" s="4">
        <v>93.731300000000005</v>
      </c>
      <c r="E2300" s="4">
        <v>42</v>
      </c>
      <c r="F2300" s="4">
        <v>99.98</v>
      </c>
      <c r="G2300" s="4">
        <v>4199.16</v>
      </c>
      <c r="H2300" s="5">
        <f t="shared" si="35"/>
        <v>-1.9946666666661864E-4</v>
      </c>
    </row>
    <row r="2301" spans="1:8" ht="13.5" x14ac:dyDescent="0.25">
      <c r="A2301" s="1"/>
      <c r="B2301" s="3">
        <v>45650</v>
      </c>
      <c r="C2301" s="4">
        <v>95.49</v>
      </c>
      <c r="D2301" s="4">
        <v>89.521900000000002</v>
      </c>
      <c r="E2301" s="4">
        <v>0</v>
      </c>
      <c r="F2301" s="4">
        <v>0</v>
      </c>
      <c r="G2301" s="4">
        <v>0</v>
      </c>
      <c r="H2301" s="5">
        <f t="shared" si="35"/>
        <v>-4.4909224559992252E-2</v>
      </c>
    </row>
    <row r="2302" spans="1:8" ht="13.5" x14ac:dyDescent="0.25">
      <c r="A2302" s="1"/>
      <c r="B2302" s="3">
        <v>45651</v>
      </c>
      <c r="C2302" s="4">
        <v>96.1</v>
      </c>
      <c r="D2302" s="4">
        <v>90.093800000000002</v>
      </c>
      <c r="E2302" s="4">
        <v>92</v>
      </c>
      <c r="F2302" s="4">
        <v>96.1</v>
      </c>
      <c r="G2302" s="4">
        <v>8841.2000000000007</v>
      </c>
      <c r="H2302" s="5">
        <f t="shared" si="35"/>
        <v>6.3883809436573553E-3</v>
      </c>
    </row>
    <row r="2303" spans="1:8" ht="13.5" x14ac:dyDescent="0.25">
      <c r="A2303" s="1"/>
      <c r="B2303" s="3">
        <v>45652</v>
      </c>
      <c r="C2303" s="4">
        <v>96.1</v>
      </c>
      <c r="D2303" s="4">
        <v>90.093800000000002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96.1</v>
      </c>
      <c r="D2304" s="4">
        <v>90.093800000000002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99.99</v>
      </c>
      <c r="D2305" s="4">
        <v>93.740600000000001</v>
      </c>
      <c r="E2305" s="4">
        <v>101</v>
      </c>
      <c r="F2305" s="4">
        <v>100</v>
      </c>
      <c r="G2305" s="4">
        <v>10100</v>
      </c>
      <c r="H2305" s="5">
        <f t="shared" si="35"/>
        <v>4.0477813123655552E-2</v>
      </c>
    </row>
    <row r="2306" spans="1:8" ht="13.5" x14ac:dyDescent="0.25">
      <c r="A2306" s="1"/>
      <c r="B2306" s="3">
        <v>45657</v>
      </c>
      <c r="C2306" s="4">
        <v>100</v>
      </c>
      <c r="D2306" s="4">
        <v>93.75</v>
      </c>
      <c r="E2306" s="4">
        <v>10</v>
      </c>
      <c r="F2306" s="4">
        <v>100</v>
      </c>
      <c r="G2306" s="4">
        <v>1000</v>
      </c>
      <c r="H2306" s="5">
        <f t="shared" si="35"/>
        <v>1.0027672107922724E-4</v>
      </c>
    </row>
    <row r="2307" spans="1:8" ht="13.5" x14ac:dyDescent="0.25">
      <c r="A2307" s="1"/>
      <c r="B2307" s="3">
        <v>45659</v>
      </c>
      <c r="C2307" s="4">
        <v>99.99</v>
      </c>
      <c r="D2307" s="4">
        <v>93.740600000000001</v>
      </c>
      <c r="E2307" s="4">
        <v>56</v>
      </c>
      <c r="F2307" s="4">
        <v>99.99</v>
      </c>
      <c r="G2307" s="4">
        <v>5599.44</v>
      </c>
      <c r="H2307" s="5">
        <f t="shared" si="35"/>
        <v>-1.0026666666666036E-4</v>
      </c>
    </row>
    <row r="2308" spans="1:8" ht="13.5" x14ac:dyDescent="0.25">
      <c r="A2308" s="1"/>
      <c r="B2308" s="3">
        <v>45660</v>
      </c>
      <c r="C2308" s="4">
        <v>99.99</v>
      </c>
      <c r="D2308" s="4">
        <v>93.740600000000001</v>
      </c>
      <c r="E2308" s="4">
        <v>20</v>
      </c>
      <c r="F2308" s="4">
        <v>99.99</v>
      </c>
      <c r="G2308" s="4">
        <v>1999.8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99.98</v>
      </c>
      <c r="D2309" s="4">
        <v>93.731300000000005</v>
      </c>
      <c r="E2309" s="4">
        <v>15</v>
      </c>
      <c r="F2309" s="4">
        <v>99.98</v>
      </c>
      <c r="G2309" s="4">
        <v>1499.7</v>
      </c>
      <c r="H2309" s="5">
        <f t="shared" si="35"/>
        <v>-9.9209947450689333E-5</v>
      </c>
    </row>
    <row r="2310" spans="1:8" ht="13.5" x14ac:dyDescent="0.25">
      <c r="A2310" s="1"/>
      <c r="B2310" s="3">
        <v>45664</v>
      </c>
      <c r="C2310" s="4">
        <v>99.97</v>
      </c>
      <c r="D2310" s="4">
        <v>93.721900000000005</v>
      </c>
      <c r="E2310" s="4">
        <v>120</v>
      </c>
      <c r="F2310" s="4">
        <v>99.977000000000004</v>
      </c>
      <c r="G2310" s="4">
        <v>11997.24</v>
      </c>
      <c r="H2310" s="5">
        <f t="shared" si="35"/>
        <v>-1.0028667051453899E-4</v>
      </c>
    </row>
    <row r="2311" spans="1:8" ht="13.5" x14ac:dyDescent="0.25">
      <c r="A2311" s="1"/>
      <c r="B2311" s="3">
        <v>45665</v>
      </c>
      <c r="C2311" s="4">
        <v>99.98</v>
      </c>
      <c r="D2311" s="4">
        <v>93.731300000000005</v>
      </c>
      <c r="E2311" s="4">
        <v>28</v>
      </c>
      <c r="F2311" s="4">
        <v>99.98</v>
      </c>
      <c r="G2311" s="4">
        <v>2799.44</v>
      </c>
      <c r="H2311" s="5">
        <f t="shared" ref="H2311:H2374" si="36">(D2311-D2310)/D2310</f>
        <v>1.0029672893954783E-4</v>
      </c>
    </row>
    <row r="2312" spans="1:8" ht="13.5" x14ac:dyDescent="0.25">
      <c r="A2312" s="1"/>
      <c r="B2312" s="3">
        <v>45666</v>
      </c>
      <c r="C2312" s="4">
        <v>99.98</v>
      </c>
      <c r="D2312" s="4">
        <v>93.731300000000005</v>
      </c>
      <c r="E2312" s="4">
        <v>119</v>
      </c>
      <c r="F2312" s="4">
        <v>99.98</v>
      </c>
      <c r="G2312" s="4">
        <v>11897.62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99.98</v>
      </c>
      <c r="D2313" s="4">
        <v>93.731300000000005</v>
      </c>
      <c r="E2313" s="4">
        <v>9</v>
      </c>
      <c r="F2313" s="4">
        <v>99.98</v>
      </c>
      <c r="G2313" s="4">
        <v>899.82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99.98</v>
      </c>
      <c r="D2314" s="4">
        <v>93.731300000000005</v>
      </c>
      <c r="E2314" s="4">
        <v>44</v>
      </c>
      <c r="F2314" s="4">
        <v>99.98</v>
      </c>
      <c r="G2314" s="4">
        <v>4399.12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100</v>
      </c>
      <c r="D2315" s="4">
        <v>93.75</v>
      </c>
      <c r="E2315" s="4">
        <v>511</v>
      </c>
      <c r="F2315" s="4">
        <v>99.998999999999995</v>
      </c>
      <c r="G2315" s="4">
        <v>51099.489000000001</v>
      </c>
      <c r="H2315" s="5">
        <f t="shared" si="36"/>
        <v>1.9950646155548357E-4</v>
      </c>
    </row>
    <row r="2316" spans="1:8" ht="13.5" x14ac:dyDescent="0.25">
      <c r="A2316" s="1"/>
      <c r="B2316" s="3">
        <v>45672</v>
      </c>
      <c r="C2316" s="4">
        <v>100.5</v>
      </c>
      <c r="D2316" s="4">
        <v>94.218800000000002</v>
      </c>
      <c r="E2316" s="4">
        <v>147</v>
      </c>
      <c r="F2316" s="4">
        <v>100.5</v>
      </c>
      <c r="G2316" s="4">
        <v>14773.5</v>
      </c>
      <c r="H2316" s="5">
        <f t="shared" si="36"/>
        <v>5.0005333333333511E-3</v>
      </c>
    </row>
    <row r="2317" spans="1:8" ht="13.5" x14ac:dyDescent="0.25">
      <c r="A2317" s="1"/>
      <c r="B2317" s="3">
        <v>45673</v>
      </c>
      <c r="C2317" s="4">
        <v>100.6</v>
      </c>
      <c r="D2317" s="4">
        <v>94.3125</v>
      </c>
      <c r="E2317" s="4">
        <v>100</v>
      </c>
      <c r="F2317" s="4">
        <v>100.6</v>
      </c>
      <c r="G2317" s="4">
        <v>10060</v>
      </c>
      <c r="H2317" s="5">
        <f t="shared" si="36"/>
        <v>9.9449366793037414E-4</v>
      </c>
    </row>
    <row r="2318" spans="1:8" ht="13.5" x14ac:dyDescent="0.25">
      <c r="A2318" s="1"/>
      <c r="B2318" s="3">
        <v>45674</v>
      </c>
      <c r="C2318" s="4">
        <v>100.97</v>
      </c>
      <c r="D2318" s="4">
        <v>94.659400000000005</v>
      </c>
      <c r="E2318" s="4">
        <v>185</v>
      </c>
      <c r="F2318" s="4">
        <v>100.974</v>
      </c>
      <c r="G2318" s="4">
        <v>18680.189999999999</v>
      </c>
      <c r="H2318" s="5">
        <f t="shared" si="36"/>
        <v>3.6781974817760646E-3</v>
      </c>
    </row>
    <row r="2319" spans="1:8" ht="13.5" x14ac:dyDescent="0.25">
      <c r="A2319" s="1"/>
      <c r="B2319" s="3">
        <v>45677</v>
      </c>
      <c r="C2319" s="4">
        <v>100.99</v>
      </c>
      <c r="D2319" s="4">
        <v>94.678100000000001</v>
      </c>
      <c r="E2319" s="4">
        <v>65</v>
      </c>
      <c r="F2319" s="4">
        <v>100.99</v>
      </c>
      <c r="G2319" s="4">
        <v>6564.35</v>
      </c>
      <c r="H2319" s="5">
        <f t="shared" si="36"/>
        <v>1.9755037534566558E-4</v>
      </c>
    </row>
    <row r="2320" spans="1:8" ht="13.5" x14ac:dyDescent="0.25">
      <c r="A2320" s="1"/>
      <c r="B2320" s="3">
        <v>45678</v>
      </c>
      <c r="C2320" s="4">
        <v>101</v>
      </c>
      <c r="D2320" s="4">
        <v>94.6875</v>
      </c>
      <c r="E2320" s="4">
        <v>46</v>
      </c>
      <c r="F2320" s="4">
        <v>101</v>
      </c>
      <c r="G2320" s="4">
        <v>4646</v>
      </c>
      <c r="H2320" s="5">
        <f t="shared" si="36"/>
        <v>9.9283783683865745E-5</v>
      </c>
    </row>
    <row r="2321" spans="1:8" ht="13.5" x14ac:dyDescent="0.25">
      <c r="A2321" s="1"/>
      <c r="B2321" s="3">
        <v>45679</v>
      </c>
      <c r="C2321" s="4">
        <v>101.5</v>
      </c>
      <c r="D2321" s="4">
        <v>95.156300000000002</v>
      </c>
      <c r="E2321" s="4">
        <v>140</v>
      </c>
      <c r="F2321" s="4">
        <v>101.5</v>
      </c>
      <c r="G2321" s="4">
        <v>14210</v>
      </c>
      <c r="H2321" s="5">
        <f t="shared" si="36"/>
        <v>4.9510231023102485E-3</v>
      </c>
    </row>
    <row r="2322" spans="1:8" ht="13.5" x14ac:dyDescent="0.25">
      <c r="A2322" s="1"/>
      <c r="B2322" s="3">
        <v>45680</v>
      </c>
      <c r="C2322" s="4">
        <v>101.98</v>
      </c>
      <c r="D2322" s="4">
        <v>95.606300000000005</v>
      </c>
      <c r="E2322" s="4">
        <v>67</v>
      </c>
      <c r="F2322" s="4">
        <v>101.98</v>
      </c>
      <c r="G2322" s="4">
        <v>6832.66</v>
      </c>
      <c r="H2322" s="5">
        <f t="shared" si="36"/>
        <v>4.7290615545161263E-3</v>
      </c>
    </row>
    <row r="2323" spans="1:8" ht="13.5" x14ac:dyDescent="0.25">
      <c r="A2323" s="1"/>
      <c r="B2323" s="3">
        <v>45681</v>
      </c>
      <c r="C2323" s="4">
        <v>103</v>
      </c>
      <c r="D2323" s="4">
        <v>96.5625</v>
      </c>
      <c r="E2323" s="4">
        <v>149</v>
      </c>
      <c r="F2323" s="4">
        <v>103</v>
      </c>
      <c r="G2323" s="4">
        <v>15347</v>
      </c>
      <c r="H2323" s="5">
        <f t="shared" si="36"/>
        <v>1.0001432959961795E-2</v>
      </c>
    </row>
    <row r="2324" spans="1:8" ht="13.5" x14ac:dyDescent="0.25">
      <c r="A2324" s="1"/>
      <c r="B2324" s="3">
        <v>45684</v>
      </c>
      <c r="C2324" s="4">
        <v>104</v>
      </c>
      <c r="D2324" s="4">
        <v>97.5</v>
      </c>
      <c r="E2324" s="4">
        <v>113</v>
      </c>
      <c r="F2324" s="4">
        <v>103.82299999999999</v>
      </c>
      <c r="G2324" s="4">
        <v>11731.999</v>
      </c>
      <c r="H2324" s="5">
        <f t="shared" si="36"/>
        <v>9.7087378640776691E-3</v>
      </c>
    </row>
    <row r="2325" spans="1:8" ht="13.5" x14ac:dyDescent="0.25">
      <c r="A2325" s="1"/>
      <c r="B2325" s="3">
        <v>45685</v>
      </c>
      <c r="C2325" s="4">
        <v>100.52</v>
      </c>
      <c r="D2325" s="4">
        <v>94.237499999999997</v>
      </c>
      <c r="E2325" s="4">
        <v>77</v>
      </c>
      <c r="F2325" s="4">
        <v>100.52</v>
      </c>
      <c r="G2325" s="4">
        <v>7740.04</v>
      </c>
      <c r="H2325" s="5">
        <f t="shared" si="36"/>
        <v>-3.3461538461538494E-2</v>
      </c>
    </row>
    <row r="2326" spans="1:8" ht="13.5" x14ac:dyDescent="0.25">
      <c r="A2326" s="1"/>
      <c r="B2326" s="3">
        <v>45686</v>
      </c>
      <c r="C2326" s="4">
        <v>100.52</v>
      </c>
      <c r="D2326" s="4">
        <v>94.237499999999997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103.89</v>
      </c>
      <c r="D2327" s="4">
        <v>97.396900000000002</v>
      </c>
      <c r="E2327" s="4">
        <v>670</v>
      </c>
      <c r="F2327" s="4">
        <v>103.89</v>
      </c>
      <c r="G2327" s="4">
        <v>69606.3</v>
      </c>
      <c r="H2327" s="5">
        <f t="shared" si="36"/>
        <v>3.3525931821196502E-2</v>
      </c>
    </row>
    <row r="2328" spans="1:8" ht="13.5" x14ac:dyDescent="0.25">
      <c r="A2328" s="1"/>
      <c r="B2328" s="3">
        <v>45688</v>
      </c>
      <c r="C2328" s="4">
        <v>103.89</v>
      </c>
      <c r="D2328" s="4">
        <v>97.396900000000002</v>
      </c>
      <c r="E2328" s="4">
        <v>0</v>
      </c>
      <c r="F2328" s="4">
        <v>0</v>
      </c>
      <c r="G2328" s="4">
        <v>0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103.8</v>
      </c>
      <c r="D2329" s="4">
        <v>97.3125</v>
      </c>
      <c r="E2329" s="4">
        <v>2</v>
      </c>
      <c r="F2329" s="4">
        <v>103.8</v>
      </c>
      <c r="G2329" s="4">
        <v>207.6</v>
      </c>
      <c r="H2329" s="5">
        <f t="shared" si="36"/>
        <v>-8.6655735449487866E-4</v>
      </c>
    </row>
    <row r="2330" spans="1:8" ht="13.5" x14ac:dyDescent="0.25">
      <c r="A2330" s="1"/>
      <c r="B2330" s="3">
        <v>45692</v>
      </c>
      <c r="C2330" s="4">
        <v>103.8</v>
      </c>
      <c r="D2330" s="4">
        <v>97.3125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103.8</v>
      </c>
      <c r="D2331" s="4">
        <v>97.3125</v>
      </c>
      <c r="E2331" s="4">
        <v>0</v>
      </c>
      <c r="F2331" s="4">
        <v>0</v>
      </c>
      <c r="G2331" s="4">
        <v>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100</v>
      </c>
      <c r="D2332" s="4">
        <v>93.75</v>
      </c>
      <c r="E2332" s="4">
        <v>8</v>
      </c>
      <c r="F2332" s="4">
        <v>100</v>
      </c>
      <c r="G2332" s="4">
        <v>800</v>
      </c>
      <c r="H2332" s="5">
        <f t="shared" si="36"/>
        <v>-3.6608863198458574E-2</v>
      </c>
    </row>
    <row r="2333" spans="1:8" ht="13.5" x14ac:dyDescent="0.25">
      <c r="A2333" s="1"/>
      <c r="B2333" s="3">
        <v>45695</v>
      </c>
      <c r="C2333" s="4">
        <v>100</v>
      </c>
      <c r="D2333" s="4">
        <v>93.75</v>
      </c>
      <c r="E2333" s="4">
        <v>26</v>
      </c>
      <c r="F2333" s="4">
        <v>100</v>
      </c>
      <c r="G2333" s="4">
        <v>2600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100</v>
      </c>
      <c r="D2334" s="4">
        <v>93.75</v>
      </c>
      <c r="E2334" s="4">
        <v>3</v>
      </c>
      <c r="F2334" s="4">
        <v>100</v>
      </c>
      <c r="G2334" s="4">
        <v>300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100</v>
      </c>
      <c r="D2335" s="4">
        <v>93.75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101.99</v>
      </c>
      <c r="D2336" s="4">
        <v>95.615600000000001</v>
      </c>
      <c r="E2336" s="4">
        <v>101</v>
      </c>
      <c r="F2336" s="4">
        <v>101.99</v>
      </c>
      <c r="G2336" s="4">
        <v>10300.99</v>
      </c>
      <c r="H2336" s="5">
        <f t="shared" si="36"/>
        <v>1.9899733333333339E-2</v>
      </c>
    </row>
    <row r="2337" spans="1:8" ht="13.5" x14ac:dyDescent="0.25">
      <c r="A2337" s="1"/>
      <c r="B2337" s="3">
        <v>45701</v>
      </c>
      <c r="C2337" s="4">
        <v>101.99</v>
      </c>
      <c r="D2337" s="4">
        <v>95.615600000000001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101.99</v>
      </c>
      <c r="D2338" s="4">
        <v>95.615600000000001</v>
      </c>
      <c r="E2338" s="4">
        <v>6</v>
      </c>
      <c r="F2338" s="4">
        <v>101.99</v>
      </c>
      <c r="G2338" s="4">
        <v>611.94000000000005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101</v>
      </c>
      <c r="D2339" s="4">
        <v>94.6875</v>
      </c>
      <c r="E2339" s="4">
        <v>9</v>
      </c>
      <c r="F2339" s="4">
        <v>101</v>
      </c>
      <c r="G2339" s="4">
        <v>909</v>
      </c>
      <c r="H2339" s="5">
        <f t="shared" si="36"/>
        <v>-9.7065750777069904E-3</v>
      </c>
    </row>
    <row r="2340" spans="1:8" ht="13.5" x14ac:dyDescent="0.25">
      <c r="A2340" s="1"/>
      <c r="B2340" s="3">
        <v>45706</v>
      </c>
      <c r="C2340" s="4">
        <v>101</v>
      </c>
      <c r="D2340" s="4">
        <v>94.6875</v>
      </c>
      <c r="E2340" s="4">
        <v>9</v>
      </c>
      <c r="F2340" s="4">
        <v>101</v>
      </c>
      <c r="G2340" s="4">
        <v>909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101</v>
      </c>
      <c r="D2341" s="4">
        <v>94.6875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100.84</v>
      </c>
      <c r="D2342" s="4">
        <v>94.537499999999994</v>
      </c>
      <c r="E2342" s="4">
        <v>24</v>
      </c>
      <c r="F2342" s="4">
        <v>100.84</v>
      </c>
      <c r="G2342" s="4">
        <v>2420.16</v>
      </c>
      <c r="H2342" s="5">
        <f t="shared" si="36"/>
        <v>-1.5841584158416441E-3</v>
      </c>
    </row>
    <row r="2343" spans="1:8" ht="13.5" x14ac:dyDescent="0.25">
      <c r="A2343" s="1"/>
      <c r="B2343" s="3">
        <v>45709</v>
      </c>
      <c r="C2343" s="4">
        <v>100.84</v>
      </c>
      <c r="D2343" s="4">
        <v>94.537499999999994</v>
      </c>
      <c r="E2343" s="4">
        <v>0</v>
      </c>
      <c r="F2343" s="4">
        <v>0</v>
      </c>
      <c r="G2343" s="4">
        <v>0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100.78</v>
      </c>
      <c r="D2344" s="4">
        <v>94.481300000000005</v>
      </c>
      <c r="E2344" s="4">
        <v>27</v>
      </c>
      <c r="F2344" s="4">
        <v>100.78</v>
      </c>
      <c r="G2344" s="4">
        <v>2721.06</v>
      </c>
      <c r="H2344" s="5">
        <f t="shared" si="36"/>
        <v>-5.9447309268797902E-4</v>
      </c>
    </row>
    <row r="2345" spans="1:8" ht="13.5" x14ac:dyDescent="0.25">
      <c r="A2345" s="1"/>
      <c r="B2345" s="3">
        <v>45713</v>
      </c>
      <c r="C2345" s="4">
        <v>100.78</v>
      </c>
      <c r="D2345" s="4">
        <v>94.481300000000005</v>
      </c>
      <c r="E2345" s="4">
        <v>189</v>
      </c>
      <c r="F2345" s="4">
        <v>100.08499999999999</v>
      </c>
      <c r="G2345" s="4">
        <v>18916.064999999999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96.32</v>
      </c>
      <c r="D2346" s="4">
        <v>90.3</v>
      </c>
      <c r="E2346" s="4">
        <v>17</v>
      </c>
      <c r="F2346" s="4">
        <v>96.32</v>
      </c>
      <c r="G2346" s="4">
        <v>1637.44</v>
      </c>
      <c r="H2346" s="5">
        <f t="shared" si="36"/>
        <v>-4.4255318248161354E-2</v>
      </c>
    </row>
    <row r="2347" spans="1:8" ht="13.5" x14ac:dyDescent="0.25">
      <c r="A2347" s="1"/>
      <c r="B2347" s="3">
        <v>45715</v>
      </c>
      <c r="C2347" s="4">
        <v>99.32</v>
      </c>
      <c r="D2347" s="4">
        <v>93.112499999999997</v>
      </c>
      <c r="E2347" s="4">
        <v>28</v>
      </c>
      <c r="F2347" s="4">
        <v>99.32</v>
      </c>
      <c r="G2347" s="4">
        <v>2780.96</v>
      </c>
      <c r="H2347" s="5">
        <f t="shared" si="36"/>
        <v>3.1146179401993355E-2</v>
      </c>
    </row>
    <row r="2348" spans="1:8" ht="13.5" x14ac:dyDescent="0.25">
      <c r="A2348" s="1"/>
      <c r="B2348" s="3">
        <v>45716</v>
      </c>
      <c r="C2348" s="4">
        <v>99.32</v>
      </c>
      <c r="D2348" s="4">
        <v>93.112499999999997</v>
      </c>
      <c r="E2348" s="4">
        <v>0</v>
      </c>
      <c r="F2348" s="4">
        <v>0</v>
      </c>
      <c r="G2348" s="4">
        <v>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99.32</v>
      </c>
      <c r="D2349" s="4">
        <v>93.112499999999997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99.32</v>
      </c>
      <c r="D2350" s="4">
        <v>93.112499999999997</v>
      </c>
      <c r="E2350" s="4">
        <v>0</v>
      </c>
      <c r="F2350" s="4">
        <v>0</v>
      </c>
      <c r="G2350" s="4">
        <v>0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99.32</v>
      </c>
      <c r="D2351" s="4">
        <v>93.112499999999997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99.35</v>
      </c>
      <c r="D2352" s="4">
        <v>93.140600000000006</v>
      </c>
      <c r="E2352" s="4">
        <v>186</v>
      </c>
      <c r="F2352" s="4">
        <v>99.35</v>
      </c>
      <c r="G2352" s="4">
        <v>18479.099999999999</v>
      </c>
      <c r="H2352" s="5">
        <f t="shared" si="36"/>
        <v>3.0178547456044161E-4</v>
      </c>
    </row>
    <row r="2353" spans="1:8" ht="13.5" x14ac:dyDescent="0.25">
      <c r="A2353" s="1"/>
      <c r="B2353" s="3">
        <v>45723</v>
      </c>
      <c r="C2353" s="4">
        <v>99.35</v>
      </c>
      <c r="D2353" s="4">
        <v>93.140600000000006</v>
      </c>
      <c r="E2353" s="4">
        <v>42</v>
      </c>
      <c r="F2353" s="4">
        <v>99.35</v>
      </c>
      <c r="G2353" s="4">
        <v>4172.7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101</v>
      </c>
      <c r="D2354" s="4">
        <v>94.6875</v>
      </c>
      <c r="E2354" s="4">
        <v>157</v>
      </c>
      <c r="F2354" s="4">
        <v>100.895</v>
      </c>
      <c r="G2354" s="4">
        <v>15840.514999999999</v>
      </c>
      <c r="H2354" s="5">
        <f t="shared" si="36"/>
        <v>1.6608224555134856E-2</v>
      </c>
    </row>
    <row r="2355" spans="1:8" ht="13.5" x14ac:dyDescent="0.25">
      <c r="A2355" s="1"/>
      <c r="B2355" s="3">
        <v>45727</v>
      </c>
      <c r="C2355" s="4">
        <v>101</v>
      </c>
      <c r="D2355" s="4">
        <v>94.6875</v>
      </c>
      <c r="E2355" s="4">
        <v>0</v>
      </c>
      <c r="F2355" s="4">
        <v>0</v>
      </c>
      <c r="G2355" s="4">
        <v>0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101</v>
      </c>
      <c r="D2356" s="4">
        <v>94.6875</v>
      </c>
      <c r="E2356" s="4">
        <v>0</v>
      </c>
      <c r="F2356" s="4">
        <v>0</v>
      </c>
      <c r="G2356" s="4">
        <v>0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101</v>
      </c>
      <c r="D2357" s="4">
        <v>94.6875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101</v>
      </c>
      <c r="D2358" s="4">
        <v>94.6875</v>
      </c>
      <c r="E2358" s="4">
        <v>0</v>
      </c>
      <c r="F2358" s="4">
        <v>0</v>
      </c>
      <c r="G2358" s="4">
        <v>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101</v>
      </c>
      <c r="D2359" s="4">
        <v>94.6875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101</v>
      </c>
      <c r="D2360" s="4">
        <v>94.6875</v>
      </c>
      <c r="E2360" s="4">
        <v>0</v>
      </c>
      <c r="F2360" s="4">
        <v>0</v>
      </c>
      <c r="G2360" s="4">
        <v>0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100</v>
      </c>
      <c r="D2361" s="4">
        <v>93.75</v>
      </c>
      <c r="E2361" s="4">
        <v>89</v>
      </c>
      <c r="F2361" s="4">
        <v>100</v>
      </c>
      <c r="G2361" s="4">
        <v>8900</v>
      </c>
      <c r="H2361" s="5">
        <f t="shared" si="36"/>
        <v>-9.9009900990099011E-3</v>
      </c>
    </row>
    <row r="2362" spans="1:8" ht="13.5" x14ac:dyDescent="0.25">
      <c r="A2362" s="1"/>
      <c r="B2362" s="3">
        <v>45737</v>
      </c>
      <c r="C2362" s="4">
        <v>100</v>
      </c>
      <c r="D2362" s="4">
        <v>93.75</v>
      </c>
      <c r="E2362" s="4">
        <v>24</v>
      </c>
      <c r="F2362" s="4">
        <v>100.009</v>
      </c>
      <c r="G2362" s="4">
        <v>2400.2159999999999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100</v>
      </c>
      <c r="D2363" s="4">
        <v>93.75</v>
      </c>
      <c r="E2363" s="4">
        <v>0</v>
      </c>
      <c r="F2363" s="4">
        <v>0</v>
      </c>
      <c r="G2363" s="4">
        <v>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100.01</v>
      </c>
      <c r="D2364" s="4">
        <v>93.759399999999999</v>
      </c>
      <c r="E2364" s="4">
        <v>20</v>
      </c>
      <c r="F2364" s="4">
        <v>100.01</v>
      </c>
      <c r="G2364" s="4">
        <v>2000.2</v>
      </c>
      <c r="H2364" s="5">
        <f t="shared" si="36"/>
        <v>1.0026666666666036E-4</v>
      </c>
    </row>
    <row r="2365" spans="1:8" ht="13.5" x14ac:dyDescent="0.25">
      <c r="A2365" s="1"/>
      <c r="B2365" s="3">
        <v>45742</v>
      </c>
      <c r="C2365" s="4">
        <v>100.1</v>
      </c>
      <c r="D2365" s="4">
        <v>93.843800000000002</v>
      </c>
      <c r="E2365" s="4">
        <v>14</v>
      </c>
      <c r="F2365" s="4">
        <v>100.1</v>
      </c>
      <c r="G2365" s="4">
        <v>1401.4</v>
      </c>
      <c r="H2365" s="5">
        <f t="shared" si="36"/>
        <v>9.0017640897875042E-4</v>
      </c>
    </row>
    <row r="2366" spans="1:8" ht="13.5" x14ac:dyDescent="0.25">
      <c r="A2366" s="1"/>
      <c r="B2366" s="3">
        <v>45743</v>
      </c>
      <c r="C2366" s="4">
        <v>101</v>
      </c>
      <c r="D2366" s="4">
        <v>94.6875</v>
      </c>
      <c r="E2366" s="4">
        <v>20</v>
      </c>
      <c r="F2366" s="4">
        <v>101</v>
      </c>
      <c r="G2366" s="4">
        <v>2020</v>
      </c>
      <c r="H2366" s="5">
        <f t="shared" si="36"/>
        <v>8.9904714003482197E-3</v>
      </c>
    </row>
    <row r="2367" spans="1:8" ht="13.5" x14ac:dyDescent="0.25">
      <c r="A2367" s="1"/>
      <c r="B2367" s="3">
        <v>45744</v>
      </c>
      <c r="C2367" s="4">
        <v>102</v>
      </c>
      <c r="D2367" s="4">
        <v>95.625</v>
      </c>
      <c r="E2367" s="4">
        <v>10</v>
      </c>
      <c r="F2367" s="4">
        <v>102</v>
      </c>
      <c r="G2367" s="4">
        <v>1020</v>
      </c>
      <c r="H2367" s="5">
        <f t="shared" si="36"/>
        <v>9.9009900990099011E-3</v>
      </c>
    </row>
    <row r="2368" spans="1:8" ht="13.5" x14ac:dyDescent="0.25">
      <c r="A2368" s="1"/>
      <c r="B2368" s="3">
        <v>45749</v>
      </c>
      <c r="C2368" s="4">
        <v>102</v>
      </c>
      <c r="D2368" s="4">
        <v>95.625</v>
      </c>
      <c r="E2368" s="4">
        <v>54</v>
      </c>
      <c r="F2368" s="4">
        <v>102</v>
      </c>
      <c r="G2368" s="4">
        <v>5508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104</v>
      </c>
      <c r="D2369" s="4">
        <v>97.5</v>
      </c>
      <c r="E2369" s="4">
        <v>4</v>
      </c>
      <c r="F2369" s="4">
        <v>104</v>
      </c>
      <c r="G2369" s="4">
        <v>416</v>
      </c>
      <c r="H2369" s="5">
        <f t="shared" si="36"/>
        <v>1.9607843137254902E-2</v>
      </c>
    </row>
    <row r="2370" spans="1:8" ht="13.5" x14ac:dyDescent="0.25">
      <c r="A2370" s="1"/>
      <c r="B2370" s="3">
        <v>45751</v>
      </c>
      <c r="C2370" s="4">
        <v>108.68</v>
      </c>
      <c r="D2370" s="4">
        <v>101.8875</v>
      </c>
      <c r="E2370" s="4">
        <v>13</v>
      </c>
      <c r="F2370" s="4">
        <v>108.68</v>
      </c>
      <c r="G2370" s="4">
        <v>1412.84</v>
      </c>
      <c r="H2370" s="5">
        <f t="shared" si="36"/>
        <v>4.5000000000000026E-2</v>
      </c>
    </row>
    <row r="2371" spans="1:8" ht="13.5" x14ac:dyDescent="0.25">
      <c r="A2371" s="1"/>
      <c r="B2371" s="3">
        <v>45754</v>
      </c>
      <c r="C2371" s="4">
        <v>110</v>
      </c>
      <c r="D2371" s="4">
        <v>103.125</v>
      </c>
      <c r="E2371" s="4">
        <v>10</v>
      </c>
      <c r="F2371" s="4">
        <v>110</v>
      </c>
      <c r="G2371" s="4">
        <v>1100</v>
      </c>
      <c r="H2371" s="5">
        <f t="shared" si="36"/>
        <v>1.2145748987854223E-2</v>
      </c>
    </row>
    <row r="2372" spans="1:8" ht="13.5" x14ac:dyDescent="0.25">
      <c r="A2372" s="1"/>
      <c r="B2372" s="3">
        <v>45755</v>
      </c>
      <c r="C2372" s="4">
        <v>105.05</v>
      </c>
      <c r="D2372" s="4">
        <v>98.484399999999994</v>
      </c>
      <c r="E2372" s="4">
        <v>140</v>
      </c>
      <c r="F2372" s="4">
        <v>105.05</v>
      </c>
      <c r="G2372" s="4">
        <v>14707</v>
      </c>
      <c r="H2372" s="5">
        <f t="shared" si="36"/>
        <v>-4.4999757575757637E-2</v>
      </c>
    </row>
    <row r="2373" spans="1:8" ht="13.5" x14ac:dyDescent="0.25">
      <c r="A2373" s="1"/>
      <c r="B2373" s="3">
        <v>45757</v>
      </c>
      <c r="C2373" s="4">
        <v>105.05</v>
      </c>
      <c r="D2373" s="4">
        <v>98.484399999999994</v>
      </c>
      <c r="E2373" s="4">
        <v>126</v>
      </c>
      <c r="F2373" s="4">
        <v>105.05</v>
      </c>
      <c r="G2373" s="4">
        <v>13236.3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105.05</v>
      </c>
      <c r="D2374" s="4">
        <v>98.484399999999994</v>
      </c>
      <c r="E2374" s="4">
        <v>10</v>
      </c>
      <c r="F2374" s="4">
        <v>105.05</v>
      </c>
      <c r="G2374" s="4">
        <v>1050.5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105.05</v>
      </c>
      <c r="D2375" s="4">
        <v>98.484399999999994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109.75</v>
      </c>
      <c r="D2376" s="4">
        <v>102.89060000000001</v>
      </c>
      <c r="E2376" s="4">
        <v>8</v>
      </c>
      <c r="F2376" s="4">
        <v>109.75</v>
      </c>
      <c r="G2376" s="4">
        <v>878</v>
      </c>
      <c r="H2376" s="5">
        <f t="shared" si="37"/>
        <v>4.4740080662521303E-2</v>
      </c>
    </row>
    <row r="2377" spans="1:8" ht="13.5" x14ac:dyDescent="0.25">
      <c r="A2377" s="1"/>
      <c r="B2377" s="3">
        <v>45763</v>
      </c>
      <c r="C2377" s="4">
        <v>105.05</v>
      </c>
      <c r="D2377" s="4">
        <v>98.484399999999994</v>
      </c>
      <c r="E2377" s="4">
        <v>63</v>
      </c>
      <c r="F2377" s="4">
        <v>105.05</v>
      </c>
      <c r="G2377" s="4">
        <v>6618.15</v>
      </c>
      <c r="H2377" s="5">
        <f t="shared" si="37"/>
        <v>-4.2824125819073973E-2</v>
      </c>
    </row>
    <row r="2378" spans="1:8" ht="13.5" x14ac:dyDescent="0.25">
      <c r="A2378" s="1"/>
      <c r="B2378" s="3">
        <v>45764</v>
      </c>
      <c r="C2378" s="4">
        <v>103</v>
      </c>
      <c r="D2378" s="4">
        <v>96.5625</v>
      </c>
      <c r="E2378" s="4">
        <v>138</v>
      </c>
      <c r="F2378" s="4">
        <v>103</v>
      </c>
      <c r="G2378" s="4">
        <v>14214</v>
      </c>
      <c r="H2378" s="5">
        <f t="shared" si="37"/>
        <v>-1.9514765790317998E-2</v>
      </c>
    </row>
    <row r="2379" spans="1:8" ht="13.5" x14ac:dyDescent="0.25">
      <c r="A2379" s="1"/>
      <c r="B2379" s="3">
        <v>45765</v>
      </c>
      <c r="C2379" s="4">
        <v>103</v>
      </c>
      <c r="D2379" s="4">
        <v>96.5625</v>
      </c>
      <c r="E2379" s="4">
        <v>41</v>
      </c>
      <c r="F2379" s="4">
        <v>103</v>
      </c>
      <c r="G2379" s="4">
        <v>4223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103</v>
      </c>
      <c r="D2380" s="4">
        <v>96.5625</v>
      </c>
      <c r="E2380" s="4">
        <v>0</v>
      </c>
      <c r="F2380" s="4">
        <v>0</v>
      </c>
      <c r="G2380" s="4">
        <v>0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103</v>
      </c>
      <c r="D2381" s="4">
        <v>96.5625</v>
      </c>
      <c r="E2381" s="4">
        <v>215</v>
      </c>
      <c r="F2381" s="4">
        <v>103</v>
      </c>
      <c r="G2381" s="4">
        <v>22145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101.5</v>
      </c>
      <c r="D2382" s="4">
        <v>95.156300000000002</v>
      </c>
      <c r="E2382" s="4">
        <v>28</v>
      </c>
      <c r="F2382" s="4">
        <v>102.946</v>
      </c>
      <c r="G2382" s="4">
        <v>2882.4879999999998</v>
      </c>
      <c r="H2382" s="5">
        <f t="shared" si="37"/>
        <v>-1.4562588996763737E-2</v>
      </c>
    </row>
    <row r="2383" spans="1:8" ht="13.5" x14ac:dyDescent="0.25">
      <c r="A2383" s="1"/>
      <c r="B2383" s="3">
        <v>45771</v>
      </c>
      <c r="C2383" s="4">
        <v>101.5</v>
      </c>
      <c r="D2383" s="4">
        <v>95.156300000000002</v>
      </c>
      <c r="E2383" s="4">
        <v>0</v>
      </c>
      <c r="F2383" s="4">
        <v>0</v>
      </c>
      <c r="G2383" s="4">
        <v>0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101.5</v>
      </c>
      <c r="D2384" s="4">
        <v>95.156300000000002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101.5</v>
      </c>
      <c r="D2385" s="4">
        <v>95.156300000000002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101.5</v>
      </c>
      <c r="D2386" s="4">
        <v>95.156300000000002</v>
      </c>
      <c r="E2386" s="4">
        <v>0</v>
      </c>
      <c r="F2386" s="4">
        <v>0</v>
      </c>
      <c r="G2386" s="4">
        <v>0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101.5</v>
      </c>
      <c r="D2387" s="4">
        <v>95.156300000000002</v>
      </c>
      <c r="E2387" s="4">
        <v>0</v>
      </c>
      <c r="F2387" s="4">
        <v>0</v>
      </c>
      <c r="G2387" s="4">
        <v>0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104</v>
      </c>
      <c r="D2388" s="4">
        <v>97.5</v>
      </c>
      <c r="E2388" s="4">
        <v>1</v>
      </c>
      <c r="F2388" s="4">
        <v>104</v>
      </c>
      <c r="G2388" s="4">
        <v>104</v>
      </c>
      <c r="H2388" s="5">
        <f t="shared" si="37"/>
        <v>2.463000347848748E-2</v>
      </c>
    </row>
    <row r="2389" spans="1:8" ht="13.5" x14ac:dyDescent="0.25">
      <c r="A2389" s="1"/>
      <c r="B2389" s="3">
        <v>45782</v>
      </c>
      <c r="C2389" s="4">
        <v>104</v>
      </c>
      <c r="D2389" s="4">
        <v>97.5</v>
      </c>
      <c r="E2389" s="4">
        <v>0</v>
      </c>
      <c r="F2389" s="4">
        <v>0</v>
      </c>
      <c r="G2389" s="4">
        <v>0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103</v>
      </c>
      <c r="D2390" s="4">
        <v>96.5625</v>
      </c>
      <c r="E2390" s="4">
        <v>11</v>
      </c>
      <c r="F2390" s="4">
        <v>103</v>
      </c>
      <c r="G2390" s="4">
        <v>1133</v>
      </c>
      <c r="H2390" s="5">
        <f t="shared" si="37"/>
        <v>-9.6153846153846159E-3</v>
      </c>
    </row>
    <row r="2391" spans="1:8" ht="13.5" x14ac:dyDescent="0.25">
      <c r="A2391" s="1"/>
      <c r="B2391" s="3">
        <v>45784</v>
      </c>
      <c r="C2391" s="4">
        <v>103</v>
      </c>
      <c r="D2391" s="4">
        <v>96.5625</v>
      </c>
      <c r="E2391" s="4">
        <v>0</v>
      </c>
      <c r="F2391" s="4">
        <v>0</v>
      </c>
      <c r="G2391" s="4">
        <v>0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103</v>
      </c>
      <c r="D2392" s="4">
        <v>96.5625</v>
      </c>
      <c r="E2392" s="4">
        <v>0</v>
      </c>
      <c r="F2392" s="4">
        <v>0</v>
      </c>
      <c r="G2392" s="4">
        <v>0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103</v>
      </c>
      <c r="D2393" s="4">
        <v>96.5625</v>
      </c>
      <c r="E2393" s="4">
        <v>0</v>
      </c>
      <c r="F2393" s="4">
        <v>0</v>
      </c>
      <c r="G2393" s="4">
        <v>0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103</v>
      </c>
      <c r="D2394" s="4">
        <v>96.5625</v>
      </c>
      <c r="E2394" s="4">
        <v>36</v>
      </c>
      <c r="F2394" s="4">
        <v>103</v>
      </c>
      <c r="G2394" s="4">
        <v>3708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103</v>
      </c>
      <c r="D2395" s="4">
        <v>96.5625</v>
      </c>
      <c r="E2395" s="4">
        <v>0</v>
      </c>
      <c r="F2395" s="4">
        <v>0</v>
      </c>
      <c r="G2395" s="4">
        <v>0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103.2</v>
      </c>
      <c r="D2396" s="4">
        <v>96.75</v>
      </c>
      <c r="E2396" s="4">
        <v>100</v>
      </c>
      <c r="F2396" s="4">
        <v>103.2</v>
      </c>
      <c r="G2396" s="4">
        <v>10320</v>
      </c>
      <c r="H2396" s="5">
        <f t="shared" si="37"/>
        <v>1.9417475728155339E-3</v>
      </c>
    </row>
    <row r="2397" spans="1:8" ht="13.5" x14ac:dyDescent="0.25">
      <c r="A2397" s="1"/>
      <c r="B2397" s="3">
        <v>45792</v>
      </c>
      <c r="C2397" s="4">
        <v>103.2</v>
      </c>
      <c r="D2397" s="4">
        <v>96.75</v>
      </c>
      <c r="E2397" s="4">
        <v>0</v>
      </c>
      <c r="F2397" s="4">
        <v>0</v>
      </c>
      <c r="G2397" s="4">
        <v>0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103.2</v>
      </c>
      <c r="D2398" s="4">
        <v>96.75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103.25</v>
      </c>
      <c r="D2399" s="4">
        <v>96.796899999999994</v>
      </c>
      <c r="E2399" s="4">
        <v>10</v>
      </c>
      <c r="F2399" s="4">
        <v>103.25</v>
      </c>
      <c r="G2399" s="4">
        <v>1032.5</v>
      </c>
      <c r="H2399" s="5">
        <f t="shared" si="37"/>
        <v>4.8475452196375943E-4</v>
      </c>
    </row>
    <row r="2400" spans="1:8" ht="13.5" x14ac:dyDescent="0.25">
      <c r="A2400" s="1"/>
      <c r="B2400" s="3">
        <v>45797</v>
      </c>
      <c r="C2400" s="4">
        <v>105.2</v>
      </c>
      <c r="D2400" s="4">
        <v>98.625</v>
      </c>
      <c r="E2400" s="4">
        <v>1</v>
      </c>
      <c r="F2400" s="4">
        <v>105.2</v>
      </c>
      <c r="G2400" s="4">
        <v>105.2</v>
      </c>
      <c r="H2400" s="5">
        <f t="shared" si="37"/>
        <v>1.8885935396691488E-2</v>
      </c>
    </row>
    <row r="2401" spans="1:8" ht="13.5" x14ac:dyDescent="0.25">
      <c r="A2401" s="1"/>
      <c r="B2401" s="3">
        <v>45798</v>
      </c>
      <c r="C2401" s="4">
        <v>105.2</v>
      </c>
      <c r="D2401" s="4">
        <v>98.625</v>
      </c>
      <c r="E2401" s="4">
        <v>19</v>
      </c>
      <c r="F2401" s="4">
        <v>105.2</v>
      </c>
      <c r="G2401" s="4">
        <v>1998.8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105.2</v>
      </c>
      <c r="D2402" s="4">
        <v>98.625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105.2</v>
      </c>
      <c r="D2403" s="4">
        <v>98.625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105.2</v>
      </c>
      <c r="D2404" s="4">
        <v>98.625</v>
      </c>
      <c r="E2404" s="4">
        <v>0</v>
      </c>
      <c r="F2404" s="4">
        <v>0</v>
      </c>
      <c r="G2404" s="4">
        <v>0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105.9</v>
      </c>
      <c r="D2405" s="4">
        <v>99.281300000000002</v>
      </c>
      <c r="E2405" s="4">
        <v>10</v>
      </c>
      <c r="F2405" s="4">
        <v>105.9</v>
      </c>
      <c r="G2405" s="4">
        <v>1059</v>
      </c>
      <c r="H2405" s="5">
        <f t="shared" si="37"/>
        <v>6.6544993662864555E-3</v>
      </c>
    </row>
    <row r="2406" spans="1:8" ht="13.5" x14ac:dyDescent="0.25">
      <c r="A2406" s="1"/>
      <c r="B2406" s="3">
        <v>45805</v>
      </c>
      <c r="C2406" s="4">
        <v>105.9</v>
      </c>
      <c r="D2406" s="4">
        <v>99.281300000000002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105.9</v>
      </c>
      <c r="D2407" s="4">
        <v>99.281300000000002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105.95</v>
      </c>
      <c r="D2408" s="4">
        <v>99.328100000000006</v>
      </c>
      <c r="E2408" s="4">
        <v>4</v>
      </c>
      <c r="F2408" s="4">
        <v>105.95</v>
      </c>
      <c r="G2408" s="4">
        <v>423.8</v>
      </c>
      <c r="H2408" s="5">
        <f t="shared" si="37"/>
        <v>4.7138786458280274E-4</v>
      </c>
    </row>
    <row r="2409" spans="1:8" ht="13.5" x14ac:dyDescent="0.25">
      <c r="A2409" s="1"/>
      <c r="B2409" s="3">
        <v>45810</v>
      </c>
      <c r="C2409" s="4">
        <v>105.95</v>
      </c>
      <c r="D2409" s="4">
        <v>99.328100000000006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105.95</v>
      </c>
      <c r="D2410" s="4">
        <v>99.328100000000006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106.01</v>
      </c>
      <c r="D2411" s="4">
        <v>99.384399999999999</v>
      </c>
      <c r="E2411" s="4">
        <v>24</v>
      </c>
      <c r="F2411" s="4">
        <v>105.985</v>
      </c>
      <c r="G2411" s="4">
        <v>2543.64</v>
      </c>
      <c r="H2411" s="5">
        <f t="shared" si="37"/>
        <v>5.6680838554239057E-4</v>
      </c>
    </row>
    <row r="2412" spans="1:8" ht="13.5" x14ac:dyDescent="0.25">
      <c r="A2412" s="1"/>
      <c r="B2412" s="3">
        <v>45813</v>
      </c>
      <c r="C2412" s="4">
        <v>108</v>
      </c>
      <c r="D2412" s="4">
        <v>101.25</v>
      </c>
      <c r="E2412" s="4">
        <v>13</v>
      </c>
      <c r="F2412" s="4">
        <v>107.83799999999999</v>
      </c>
      <c r="G2412" s="4">
        <v>1401.894</v>
      </c>
      <c r="H2412" s="5">
        <f t="shared" si="37"/>
        <v>1.8771557709258199E-2</v>
      </c>
    </row>
    <row r="2413" spans="1:8" ht="13.5" x14ac:dyDescent="0.25">
      <c r="A2413" s="1"/>
      <c r="B2413" s="3">
        <v>45817</v>
      </c>
      <c r="C2413" s="4">
        <v>108</v>
      </c>
      <c r="D2413" s="4">
        <v>101.25</v>
      </c>
      <c r="E2413" s="4">
        <v>10</v>
      </c>
      <c r="F2413" s="4">
        <v>108</v>
      </c>
      <c r="G2413" s="4">
        <v>1080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109</v>
      </c>
      <c r="D2414" s="4">
        <v>102.1875</v>
      </c>
      <c r="E2414" s="4">
        <v>14</v>
      </c>
      <c r="F2414" s="4">
        <v>108.93600000000001</v>
      </c>
      <c r="G2414" s="4">
        <v>1525.104</v>
      </c>
      <c r="H2414" s="5">
        <f t="shared" si="37"/>
        <v>9.2592592592592587E-3</v>
      </c>
    </row>
    <row r="2415" spans="1:8" ht="13.5" x14ac:dyDescent="0.25">
      <c r="A2415" s="1"/>
      <c r="B2415" s="3">
        <v>45819</v>
      </c>
      <c r="C2415" s="4">
        <v>109.95</v>
      </c>
      <c r="D2415" s="4">
        <v>103.07810000000001</v>
      </c>
      <c r="E2415" s="4">
        <v>15</v>
      </c>
      <c r="F2415" s="4">
        <v>109.95</v>
      </c>
      <c r="G2415" s="4">
        <v>1649.25</v>
      </c>
      <c r="H2415" s="5">
        <f t="shared" si="37"/>
        <v>8.7153516819572473E-3</v>
      </c>
    </row>
    <row r="2416" spans="1:8" ht="13.5" x14ac:dyDescent="0.25">
      <c r="A2416" s="1"/>
      <c r="B2416" s="3">
        <v>45820</v>
      </c>
      <c r="C2416" s="4">
        <v>110</v>
      </c>
      <c r="D2416" s="4">
        <v>103.125</v>
      </c>
      <c r="E2416" s="4">
        <v>129</v>
      </c>
      <c r="F2416" s="4">
        <v>110</v>
      </c>
      <c r="G2416" s="4">
        <v>14190</v>
      </c>
      <c r="H2416" s="5">
        <f t="shared" si="37"/>
        <v>4.5499480491000243E-4</v>
      </c>
    </row>
    <row r="2417" spans="1:8" ht="13.5" x14ac:dyDescent="0.25">
      <c r="A2417" s="1"/>
      <c r="B2417" s="3">
        <v>45821</v>
      </c>
      <c r="C2417" s="4">
        <v>110.95</v>
      </c>
      <c r="D2417" s="4">
        <v>104.01560000000001</v>
      </c>
      <c r="E2417" s="4">
        <v>2</v>
      </c>
      <c r="F2417" s="4">
        <v>110.95</v>
      </c>
      <c r="G2417" s="4">
        <v>221.9</v>
      </c>
      <c r="H2417" s="5">
        <f t="shared" si="37"/>
        <v>8.6361212121212737E-3</v>
      </c>
    </row>
    <row r="2418" spans="1:8" ht="13.5" x14ac:dyDescent="0.25">
      <c r="A2418" s="1"/>
      <c r="B2418" s="3">
        <v>45824</v>
      </c>
      <c r="C2418" s="4">
        <v>110.95</v>
      </c>
      <c r="D2418" s="4">
        <v>104.01560000000001</v>
      </c>
      <c r="E2418" s="4">
        <v>18</v>
      </c>
      <c r="F2418" s="4">
        <v>110.95</v>
      </c>
      <c r="G2418" s="4">
        <v>1997.1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110.95</v>
      </c>
      <c r="D2419" s="4">
        <v>104.01560000000001</v>
      </c>
      <c r="E2419" s="4">
        <v>16</v>
      </c>
      <c r="F2419" s="4">
        <v>110.95</v>
      </c>
      <c r="G2419" s="4">
        <v>1775.2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110.95</v>
      </c>
      <c r="D2420" s="4">
        <v>104.01560000000001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113</v>
      </c>
      <c r="D2421" s="4">
        <v>105.9375</v>
      </c>
      <c r="E2421" s="4">
        <v>88</v>
      </c>
      <c r="F2421" s="4">
        <v>113</v>
      </c>
      <c r="G2421" s="4">
        <v>9944</v>
      </c>
      <c r="H2421" s="5">
        <f t="shared" si="37"/>
        <v>1.8477036136887098E-2</v>
      </c>
    </row>
    <row r="2422" spans="1:8" ht="13.5" x14ac:dyDescent="0.25">
      <c r="A2422" s="1"/>
      <c r="B2422" s="3">
        <v>45828</v>
      </c>
      <c r="C2422" s="4">
        <v>113</v>
      </c>
      <c r="D2422" s="4">
        <v>105.9375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113</v>
      </c>
      <c r="D2423" s="4">
        <v>105.9375</v>
      </c>
      <c r="E2423" s="4">
        <v>101</v>
      </c>
      <c r="F2423" s="4">
        <v>113</v>
      </c>
      <c r="G2423" s="4">
        <v>11413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113.95</v>
      </c>
      <c r="D2424" s="4">
        <v>106.82810000000001</v>
      </c>
      <c r="E2424" s="4">
        <v>1</v>
      </c>
      <c r="F2424" s="4">
        <v>113.95</v>
      </c>
      <c r="G2424" s="4">
        <v>113.95</v>
      </c>
      <c r="H2424" s="5">
        <f t="shared" si="37"/>
        <v>8.4068436578171677E-3</v>
      </c>
    </row>
    <row r="2425" spans="1:8" ht="13.5" x14ac:dyDescent="0.25">
      <c r="A2425" s="1"/>
      <c r="B2425" s="3">
        <v>45833</v>
      </c>
      <c r="C2425" s="4">
        <v>113.95</v>
      </c>
      <c r="D2425" s="4">
        <v>106.82810000000001</v>
      </c>
      <c r="E2425" s="4">
        <v>0</v>
      </c>
      <c r="F2425" s="4">
        <v>0</v>
      </c>
      <c r="G2425" s="4">
        <v>0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113.98</v>
      </c>
      <c r="D2426" s="4">
        <v>106.8563</v>
      </c>
      <c r="E2426" s="4">
        <v>2</v>
      </c>
      <c r="F2426" s="4">
        <v>113.98</v>
      </c>
      <c r="G2426" s="4">
        <v>227.96</v>
      </c>
      <c r="H2426" s="5">
        <f t="shared" si="37"/>
        <v>2.6397548959494949E-4</v>
      </c>
    </row>
    <row r="2427" spans="1:8" ht="13.5" x14ac:dyDescent="0.25">
      <c r="A2427" s="1"/>
      <c r="B2427" s="3">
        <v>45838</v>
      </c>
      <c r="C2427" s="4">
        <v>113.99</v>
      </c>
      <c r="D2427" s="4">
        <v>106.8656</v>
      </c>
      <c r="E2427" s="4">
        <v>52</v>
      </c>
      <c r="F2427" s="4">
        <v>112.265</v>
      </c>
      <c r="G2427" s="4">
        <v>5837.78</v>
      </c>
      <c r="H2427" s="5">
        <f t="shared" si="37"/>
        <v>8.7032772049903368E-5</v>
      </c>
    </row>
    <row r="2428" spans="1:8" ht="13.5" x14ac:dyDescent="0.25">
      <c r="A2428" s="1"/>
      <c r="B2428" s="3">
        <v>45839</v>
      </c>
      <c r="C2428" s="4">
        <v>113.99</v>
      </c>
      <c r="D2428" s="4">
        <v>106.8656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117.5</v>
      </c>
      <c r="D2429" s="4">
        <v>110.1563</v>
      </c>
      <c r="E2429" s="4">
        <v>21</v>
      </c>
      <c r="F2429" s="4">
        <v>117.5</v>
      </c>
      <c r="G2429" s="4">
        <v>2467.5</v>
      </c>
      <c r="H2429" s="5">
        <f t="shared" si="37"/>
        <v>3.0792883771765665E-2</v>
      </c>
    </row>
    <row r="2430" spans="1:8" ht="13.5" x14ac:dyDescent="0.25">
      <c r="A2430" s="1"/>
      <c r="B2430" s="3">
        <v>45841</v>
      </c>
      <c r="C2430" s="4">
        <v>118.99</v>
      </c>
      <c r="D2430" s="4">
        <v>111.5531</v>
      </c>
      <c r="E2430" s="4">
        <v>57</v>
      </c>
      <c r="F2430" s="4">
        <v>118.122</v>
      </c>
      <c r="G2430" s="4">
        <v>6732.9539999999997</v>
      </c>
      <c r="H2430" s="5">
        <f t="shared" si="37"/>
        <v>1.2680164457230308E-2</v>
      </c>
    </row>
    <row r="2431" spans="1:8" ht="13.5" x14ac:dyDescent="0.25">
      <c r="A2431" s="1"/>
      <c r="B2431" s="3">
        <v>45842</v>
      </c>
      <c r="C2431" s="4">
        <v>118.88</v>
      </c>
      <c r="D2431" s="4">
        <v>111.45</v>
      </c>
      <c r="E2431" s="4">
        <v>126</v>
      </c>
      <c r="F2431" s="4">
        <v>118.88</v>
      </c>
      <c r="G2431" s="4">
        <v>14978.88</v>
      </c>
      <c r="H2431" s="5">
        <f t="shared" si="37"/>
        <v>-9.2422353121515894E-4</v>
      </c>
    </row>
    <row r="2432" spans="1:8" ht="13.5" x14ac:dyDescent="0.25">
      <c r="A2432" s="1"/>
      <c r="B2432" s="3">
        <v>45845</v>
      </c>
      <c r="C2432" s="4">
        <v>113.54</v>
      </c>
      <c r="D2432" s="4">
        <v>106.4438</v>
      </c>
      <c r="E2432" s="4">
        <v>150</v>
      </c>
      <c r="F2432" s="4">
        <v>113.54</v>
      </c>
      <c r="G2432" s="4">
        <v>17031</v>
      </c>
      <c r="H2432" s="5">
        <f t="shared" si="37"/>
        <v>-4.4918797667115359E-2</v>
      </c>
    </row>
    <row r="2433" spans="1:8" ht="13.5" x14ac:dyDescent="0.25">
      <c r="A2433" s="1"/>
      <c r="B2433" s="3">
        <v>45846</v>
      </c>
      <c r="C2433" s="4">
        <v>118</v>
      </c>
      <c r="D2433" s="4">
        <v>110.625</v>
      </c>
      <c r="E2433" s="4">
        <v>81</v>
      </c>
      <c r="F2433" s="4">
        <v>118</v>
      </c>
      <c r="G2433" s="4">
        <v>9558</v>
      </c>
      <c r="H2433" s="5">
        <f t="shared" si="37"/>
        <v>3.9280822368235671E-2</v>
      </c>
    </row>
    <row r="2434" spans="1:8" ht="13.5" x14ac:dyDescent="0.25">
      <c r="A2434" s="1"/>
      <c r="B2434" s="3">
        <v>45847</v>
      </c>
      <c r="C2434" s="4">
        <v>118.95</v>
      </c>
      <c r="D2434" s="4">
        <v>111.51560000000001</v>
      </c>
      <c r="E2434" s="4">
        <v>45</v>
      </c>
      <c r="F2434" s="4">
        <v>118.10599999999999</v>
      </c>
      <c r="G2434" s="4">
        <v>5314.77</v>
      </c>
      <c r="H2434" s="5">
        <f t="shared" si="37"/>
        <v>8.0506214689266102E-3</v>
      </c>
    </row>
    <row r="2435" spans="1:8" ht="13.5" x14ac:dyDescent="0.25">
      <c r="A2435" s="1"/>
      <c r="B2435" s="3">
        <v>45848</v>
      </c>
      <c r="C2435" s="4">
        <v>118.99</v>
      </c>
      <c r="D2435" s="4">
        <v>111.5531</v>
      </c>
      <c r="E2435" s="4">
        <v>110</v>
      </c>
      <c r="F2435" s="4">
        <v>118.99</v>
      </c>
      <c r="G2435" s="4">
        <v>13088.9</v>
      </c>
      <c r="H2435" s="5">
        <f t="shared" si="37"/>
        <v>3.3627582149936254E-4</v>
      </c>
    </row>
    <row r="2436" spans="1:8" ht="13.5" x14ac:dyDescent="0.25">
      <c r="A2436" s="1"/>
      <c r="B2436" s="3">
        <v>45849</v>
      </c>
      <c r="C2436" s="4">
        <v>120</v>
      </c>
      <c r="D2436" s="4">
        <v>112.5</v>
      </c>
      <c r="E2436" s="4">
        <v>50</v>
      </c>
      <c r="F2436" s="4">
        <v>120</v>
      </c>
      <c r="G2436" s="4">
        <v>6000</v>
      </c>
      <c r="H2436" s="5">
        <f t="shared" si="37"/>
        <v>8.4883342551663691E-3</v>
      </c>
    </row>
    <row r="2437" spans="1:8" ht="13.5" x14ac:dyDescent="0.25">
      <c r="A2437" s="1"/>
      <c r="B2437" s="3">
        <v>45852</v>
      </c>
      <c r="C2437" s="4">
        <v>125</v>
      </c>
      <c r="D2437" s="4">
        <v>117.1875</v>
      </c>
      <c r="E2437" s="4">
        <v>73</v>
      </c>
      <c r="F2437" s="4">
        <v>124.589</v>
      </c>
      <c r="G2437" s="4">
        <v>9094.9969999999994</v>
      </c>
      <c r="H2437" s="5">
        <f t="shared" si="37"/>
        <v>4.1666666666666664E-2</v>
      </c>
    </row>
    <row r="2438" spans="1:8" ht="13.5" x14ac:dyDescent="0.25">
      <c r="A2438" s="1"/>
      <c r="B2438" s="3">
        <v>45853</v>
      </c>
      <c r="C2438" s="4">
        <v>120</v>
      </c>
      <c r="D2438" s="4">
        <v>120</v>
      </c>
      <c r="E2438" s="4">
        <v>14</v>
      </c>
      <c r="F2438" s="4">
        <v>120</v>
      </c>
      <c r="G2438" s="4">
        <v>1680</v>
      </c>
      <c r="H2438" s="5">
        <f t="shared" si="37"/>
        <v>2.4E-2</v>
      </c>
    </row>
    <row r="2439" spans="1:8" ht="13.5" x14ac:dyDescent="0.25">
      <c r="A2439" s="1"/>
      <c r="B2439" s="3">
        <v>45854</v>
      </c>
      <c r="C2439" s="4">
        <v>118.1</v>
      </c>
      <c r="D2439" s="4">
        <v>118.1</v>
      </c>
      <c r="E2439" s="4">
        <v>32</v>
      </c>
      <c r="F2439" s="4">
        <v>118.39700000000001</v>
      </c>
      <c r="G2439" s="4">
        <v>3788.7040000000002</v>
      </c>
      <c r="H2439" s="5">
        <f t="shared" ref="H2439:H2502" si="38">(D2439-D2438)/D2438</f>
        <v>-1.583333333333338E-2</v>
      </c>
    </row>
    <row r="2440" spans="1:8" ht="13.5" x14ac:dyDescent="0.25">
      <c r="A2440" s="1"/>
      <c r="B2440" s="3">
        <v>45855</v>
      </c>
      <c r="C2440" s="4">
        <v>117.49</v>
      </c>
      <c r="D2440" s="4">
        <v>117.49</v>
      </c>
      <c r="E2440" s="4">
        <v>83</v>
      </c>
      <c r="F2440" s="4">
        <v>118.027</v>
      </c>
      <c r="G2440" s="4">
        <v>9796.241</v>
      </c>
      <c r="H2440" s="5">
        <f t="shared" si="38"/>
        <v>-5.1651143099068538E-3</v>
      </c>
    </row>
    <row r="2441" spans="1:8" ht="13.5" x14ac:dyDescent="0.25">
      <c r="A2441" s="1"/>
      <c r="B2441" s="3">
        <v>45856</v>
      </c>
      <c r="C2441" s="4">
        <v>116.8</v>
      </c>
      <c r="D2441" s="4">
        <v>116.8</v>
      </c>
      <c r="E2441" s="4">
        <v>30</v>
      </c>
      <c r="F2441" s="4">
        <v>116.822</v>
      </c>
      <c r="G2441" s="4">
        <v>3504.66</v>
      </c>
      <c r="H2441" s="5">
        <f t="shared" si="38"/>
        <v>-5.8728402417226808E-3</v>
      </c>
    </row>
    <row r="2442" spans="1:8" ht="13.5" x14ac:dyDescent="0.25">
      <c r="A2442" s="1"/>
      <c r="B2442" s="3">
        <v>45859</v>
      </c>
      <c r="C2442" s="4">
        <v>116.78</v>
      </c>
      <c r="D2442" s="4">
        <v>116.78</v>
      </c>
      <c r="E2442" s="4">
        <v>45</v>
      </c>
      <c r="F2442" s="4">
        <v>116.78700000000001</v>
      </c>
      <c r="G2442" s="4">
        <v>5255.415</v>
      </c>
      <c r="H2442" s="5">
        <f t="shared" si="38"/>
        <v>-1.712328767122947E-4</v>
      </c>
    </row>
    <row r="2443" spans="1:8" ht="13.5" x14ac:dyDescent="0.25">
      <c r="A2443" s="1"/>
      <c r="B2443" s="3">
        <v>45860</v>
      </c>
      <c r="C2443" s="4">
        <v>116.78</v>
      </c>
      <c r="D2443" s="4">
        <v>116.78</v>
      </c>
      <c r="E2443" s="4">
        <v>14</v>
      </c>
      <c r="F2443" s="4">
        <v>116.78</v>
      </c>
      <c r="G2443" s="4">
        <v>1634.92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116.78</v>
      </c>
      <c r="D2444" s="4">
        <v>116.78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116.78</v>
      </c>
      <c r="D2445" s="4">
        <v>116.78</v>
      </c>
      <c r="E2445" s="4">
        <v>8</v>
      </c>
      <c r="F2445" s="4">
        <v>116.78</v>
      </c>
      <c r="G2445" s="4">
        <v>934.24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120</v>
      </c>
      <c r="D2446" s="4">
        <v>120</v>
      </c>
      <c r="E2446" s="4">
        <v>80</v>
      </c>
      <c r="F2446" s="4">
        <v>120</v>
      </c>
      <c r="G2446" s="4">
        <v>9600</v>
      </c>
      <c r="H2446" s="5">
        <f t="shared" si="38"/>
        <v>2.7573214591539639E-2</v>
      </c>
    </row>
    <row r="2447" spans="1:8" ht="13.5" x14ac:dyDescent="0.25">
      <c r="A2447" s="1"/>
      <c r="B2447" s="3">
        <v>45867</v>
      </c>
      <c r="C2447" s="4">
        <v>120</v>
      </c>
      <c r="D2447" s="4">
        <v>120</v>
      </c>
      <c r="E2447" s="4">
        <v>100</v>
      </c>
      <c r="F2447" s="4">
        <v>120</v>
      </c>
      <c r="G2447" s="4">
        <v>12000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120</v>
      </c>
      <c r="D2448" s="4">
        <v>120</v>
      </c>
      <c r="E2448" s="4">
        <v>15</v>
      </c>
      <c r="F2448" s="4">
        <v>120</v>
      </c>
      <c r="G2448" s="4">
        <v>1800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120</v>
      </c>
      <c r="D2449" s="4">
        <v>120</v>
      </c>
      <c r="E2449" s="4">
        <v>1</v>
      </c>
      <c r="F2449" s="4">
        <v>120</v>
      </c>
      <c r="G2449" s="4">
        <v>120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120</v>
      </c>
      <c r="D2450" s="4">
        <v>120</v>
      </c>
      <c r="E2450" s="4">
        <v>20</v>
      </c>
      <c r="F2450" s="4">
        <v>120</v>
      </c>
      <c r="G2450" s="4">
        <v>2400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120</v>
      </c>
      <c r="D2451" s="4">
        <v>120</v>
      </c>
      <c r="E2451" s="4">
        <v>22</v>
      </c>
      <c r="F2451" s="4">
        <v>120</v>
      </c>
      <c r="G2451" s="4">
        <v>2640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125</v>
      </c>
      <c r="D2452" s="4">
        <v>125</v>
      </c>
      <c r="E2452" s="4">
        <v>156</v>
      </c>
      <c r="F2452" s="4">
        <v>125</v>
      </c>
      <c r="G2452" s="4">
        <v>19500</v>
      </c>
      <c r="H2452" s="5">
        <f t="shared" si="38"/>
        <v>4.1666666666666664E-2</v>
      </c>
    </row>
    <row r="2453" spans="1:8" ht="13.5" x14ac:dyDescent="0.25">
      <c r="A2453" s="1"/>
      <c r="B2453" s="3">
        <v>45875</v>
      </c>
      <c r="C2453" s="4">
        <v>125</v>
      </c>
      <c r="D2453" s="4">
        <v>125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125</v>
      </c>
      <c r="D2454" s="4">
        <v>125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125</v>
      </c>
      <c r="D2455" s="4">
        <v>125</v>
      </c>
      <c r="E2455" s="4">
        <v>51</v>
      </c>
      <c r="F2455" s="4">
        <v>125</v>
      </c>
      <c r="G2455" s="4">
        <v>6375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125</v>
      </c>
      <c r="D2456" s="4">
        <v>125</v>
      </c>
      <c r="E2456" s="4">
        <v>183</v>
      </c>
      <c r="F2456" s="4">
        <v>125</v>
      </c>
      <c r="G2456" s="4">
        <v>22875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125</v>
      </c>
      <c r="D2457" s="4">
        <v>125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125</v>
      </c>
      <c r="D2458" s="4">
        <v>125</v>
      </c>
      <c r="E2458" s="4">
        <v>4</v>
      </c>
      <c r="F2458" s="4">
        <v>125</v>
      </c>
      <c r="G2458" s="4">
        <v>500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125</v>
      </c>
      <c r="D2459" s="4">
        <v>125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125</v>
      </c>
      <c r="D2460" s="4">
        <v>125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125</v>
      </c>
      <c r="D2461" s="4">
        <v>125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125</v>
      </c>
      <c r="D2462" s="4">
        <v>125</v>
      </c>
      <c r="E2462" s="4">
        <v>1</v>
      </c>
      <c r="F2462" s="4">
        <v>125</v>
      </c>
      <c r="G2462" s="4">
        <v>125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127.99</v>
      </c>
      <c r="D2463" s="4">
        <v>127.99</v>
      </c>
      <c r="E2463" s="4">
        <v>22</v>
      </c>
      <c r="F2463" s="4">
        <v>127.99</v>
      </c>
      <c r="G2463" s="4">
        <v>2815.78</v>
      </c>
      <c r="H2463" s="5">
        <f t="shared" si="38"/>
        <v>2.3919999999999959E-2</v>
      </c>
    </row>
    <row r="2464" spans="1:8" ht="13.5" x14ac:dyDescent="0.25">
      <c r="A2464" s="1"/>
      <c r="B2464" s="3">
        <v>45891</v>
      </c>
      <c r="C2464" s="4">
        <v>128.99</v>
      </c>
      <c r="D2464" s="4">
        <v>128.99</v>
      </c>
      <c r="E2464" s="4">
        <v>28</v>
      </c>
      <c r="F2464" s="4">
        <v>128.99</v>
      </c>
      <c r="G2464" s="4">
        <v>3611.72</v>
      </c>
      <c r="H2464" s="5">
        <f t="shared" si="38"/>
        <v>7.813110399250053E-3</v>
      </c>
    </row>
    <row r="2465" spans="1:8" ht="13.5" x14ac:dyDescent="0.25">
      <c r="A2465" s="1"/>
      <c r="B2465" s="3">
        <v>45894</v>
      </c>
      <c r="C2465" s="4">
        <v>125</v>
      </c>
      <c r="D2465" s="4">
        <v>125</v>
      </c>
      <c r="E2465" s="4">
        <v>6</v>
      </c>
      <c r="F2465" s="4">
        <v>125</v>
      </c>
      <c r="G2465" s="4">
        <v>750</v>
      </c>
      <c r="H2465" s="5">
        <f t="shared" si="38"/>
        <v>-3.093263043646801E-2</v>
      </c>
    </row>
    <row r="2466" spans="1:8" ht="13.5" x14ac:dyDescent="0.25">
      <c r="A2466" s="1"/>
      <c r="B2466" s="3">
        <v>45895</v>
      </c>
      <c r="C2466" s="4">
        <v>129</v>
      </c>
      <c r="D2466" s="4">
        <v>129</v>
      </c>
      <c r="E2466" s="4">
        <v>10</v>
      </c>
      <c r="F2466" s="4">
        <v>129</v>
      </c>
      <c r="G2466" s="4">
        <v>1290</v>
      </c>
      <c r="H2466" s="5">
        <f t="shared" si="38"/>
        <v>3.2000000000000001E-2</v>
      </c>
    </row>
    <row r="2467" spans="1:8" ht="13.5" x14ac:dyDescent="0.25">
      <c r="A2467" s="1"/>
      <c r="B2467" s="3">
        <v>45896</v>
      </c>
      <c r="C2467" s="4">
        <v>129</v>
      </c>
      <c r="D2467" s="4">
        <v>129</v>
      </c>
      <c r="E2467" s="4">
        <v>0</v>
      </c>
      <c r="F2467" s="4">
        <v>0</v>
      </c>
      <c r="G2467" s="4">
        <v>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129</v>
      </c>
      <c r="D2468" s="4">
        <v>129</v>
      </c>
      <c r="E2468" s="4">
        <v>0</v>
      </c>
      <c r="F2468" s="4">
        <v>0</v>
      </c>
      <c r="G2468" s="4">
        <v>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129</v>
      </c>
      <c r="D2469" s="4">
        <v>129</v>
      </c>
      <c r="E2469" s="4">
        <v>0</v>
      </c>
      <c r="F2469" s="4">
        <v>0</v>
      </c>
      <c r="G2469" s="4">
        <v>0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125.11</v>
      </c>
      <c r="D2470" s="4">
        <v>125.11</v>
      </c>
      <c r="E2470" s="4">
        <v>112</v>
      </c>
      <c r="F2470" s="4">
        <v>125.11</v>
      </c>
      <c r="G2470" s="4">
        <v>14012.32</v>
      </c>
      <c r="H2470" s="5">
        <f t="shared" si="38"/>
        <v>-3.0155038759689928E-2</v>
      </c>
    </row>
    <row r="2471" spans="1:8" ht="13.5" x14ac:dyDescent="0.25">
      <c r="A2471" s="1"/>
      <c r="B2471" s="3">
        <v>45902</v>
      </c>
      <c r="C2471" s="4">
        <v>127</v>
      </c>
      <c r="D2471" s="4">
        <v>127</v>
      </c>
      <c r="E2471" s="4">
        <v>59</v>
      </c>
      <c r="F2471" s="4">
        <v>127</v>
      </c>
      <c r="G2471" s="4">
        <v>7493</v>
      </c>
      <c r="H2471" s="5">
        <f t="shared" si="38"/>
        <v>1.5106706098633207E-2</v>
      </c>
    </row>
    <row r="2472" spans="1:8" ht="13.5" x14ac:dyDescent="0.25">
      <c r="A2472" s="1"/>
      <c r="B2472" s="3">
        <v>45903</v>
      </c>
      <c r="C2472" s="4">
        <v>127</v>
      </c>
      <c r="D2472" s="4">
        <v>127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125.51</v>
      </c>
      <c r="D2473" s="4">
        <v>125.51</v>
      </c>
      <c r="E2473" s="4">
        <v>26</v>
      </c>
      <c r="F2473" s="4">
        <v>126.71299999999999</v>
      </c>
      <c r="G2473" s="4">
        <v>3294.538</v>
      </c>
      <c r="H2473" s="5">
        <f t="shared" si="38"/>
        <v>-1.1732283464566888E-2</v>
      </c>
    </row>
    <row r="2474" spans="1:8" ht="13.5" x14ac:dyDescent="0.25">
      <c r="A2474" s="1"/>
      <c r="B2474" s="3">
        <v>45908</v>
      </c>
      <c r="C2474" s="4">
        <v>125.51</v>
      </c>
      <c r="D2474" s="4">
        <v>125.51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131.15</v>
      </c>
      <c r="D2475" s="4">
        <v>131.15</v>
      </c>
      <c r="E2475" s="4">
        <v>0</v>
      </c>
      <c r="F2475" s="4">
        <v>0</v>
      </c>
      <c r="G2475" s="4">
        <v>0</v>
      </c>
      <c r="H2475" s="5">
        <f t="shared" si="38"/>
        <v>4.4936658433590952E-2</v>
      </c>
    </row>
    <row r="2476" spans="1:8" ht="13.5" x14ac:dyDescent="0.25">
      <c r="A2476" s="1"/>
      <c r="B2476" s="3">
        <v>45910</v>
      </c>
      <c r="C2476" s="4">
        <v>132</v>
      </c>
      <c r="D2476" s="4">
        <v>132</v>
      </c>
      <c r="E2476" s="4">
        <v>12</v>
      </c>
      <c r="F2476" s="4">
        <v>132</v>
      </c>
      <c r="G2476" s="4">
        <v>1584</v>
      </c>
      <c r="H2476" s="5">
        <f t="shared" si="38"/>
        <v>6.4811284788409782E-3</v>
      </c>
    </row>
    <row r="2477" spans="1:8" ht="13.5" x14ac:dyDescent="0.25">
      <c r="A2477" s="1"/>
      <c r="B2477" s="3">
        <v>45911</v>
      </c>
      <c r="C2477" s="4">
        <v>132.01</v>
      </c>
      <c r="D2477" s="4">
        <v>132.01</v>
      </c>
      <c r="E2477" s="4">
        <v>69</v>
      </c>
      <c r="F2477" s="4">
        <v>132.01</v>
      </c>
      <c r="G2477" s="4">
        <v>9108.69</v>
      </c>
      <c r="H2477" s="5">
        <f t="shared" si="38"/>
        <v>7.5757575757506856E-5</v>
      </c>
    </row>
    <row r="2478" spans="1:8" ht="13.5" x14ac:dyDescent="0.25">
      <c r="A2478" s="1"/>
      <c r="B2478" s="3">
        <v>45912</v>
      </c>
      <c r="C2478" s="4">
        <v>136.01</v>
      </c>
      <c r="D2478" s="4">
        <v>136.01</v>
      </c>
      <c r="E2478" s="4">
        <v>5</v>
      </c>
      <c r="F2478" s="4">
        <v>136.01</v>
      </c>
      <c r="G2478" s="4">
        <v>680.05</v>
      </c>
      <c r="H2478" s="5">
        <f t="shared" si="38"/>
        <v>3.0300734792818727E-2</v>
      </c>
    </row>
    <row r="2479" spans="1:8" ht="13.5" x14ac:dyDescent="0.25">
      <c r="A2479" s="1"/>
      <c r="B2479" s="3">
        <v>45915</v>
      </c>
      <c r="C2479" s="4">
        <v>136.03</v>
      </c>
      <c r="D2479" s="4">
        <v>136.03</v>
      </c>
      <c r="E2479" s="4">
        <v>50</v>
      </c>
      <c r="F2479" s="4">
        <v>136.03</v>
      </c>
      <c r="G2479" s="4">
        <v>6801.5</v>
      </c>
      <c r="H2479" s="5">
        <f t="shared" si="38"/>
        <v>1.4704801117572408E-4</v>
      </c>
    </row>
    <row r="2480" spans="1:8" ht="13.5" x14ac:dyDescent="0.25">
      <c r="A2480" s="1"/>
      <c r="B2480" s="3">
        <v>45916</v>
      </c>
      <c r="C2480" s="4">
        <v>140</v>
      </c>
      <c r="D2480" s="4">
        <v>140</v>
      </c>
      <c r="E2480" s="4">
        <v>183</v>
      </c>
      <c r="F2480" s="4">
        <v>140</v>
      </c>
      <c r="G2480" s="4">
        <v>25620</v>
      </c>
      <c r="H2480" s="5">
        <f t="shared" si="38"/>
        <v>2.9184738660589567E-2</v>
      </c>
    </row>
    <row r="2481" spans="1:8" ht="13.5" x14ac:dyDescent="0.25">
      <c r="A2481" s="1"/>
      <c r="B2481" s="3">
        <v>45917</v>
      </c>
      <c r="C2481" s="4">
        <v>146.30000000000001</v>
      </c>
      <c r="D2481" s="4">
        <v>146.30000000000001</v>
      </c>
      <c r="E2481" s="4">
        <v>25</v>
      </c>
      <c r="F2481" s="4">
        <v>145.6</v>
      </c>
      <c r="G2481" s="4">
        <v>3640</v>
      </c>
      <c r="H2481" s="5">
        <f t="shared" si="38"/>
        <v>4.5000000000000082E-2</v>
      </c>
    </row>
    <row r="2482" spans="1:8" ht="13.5" x14ac:dyDescent="0.25">
      <c r="A2482" s="1"/>
      <c r="B2482" s="3">
        <v>45918</v>
      </c>
      <c r="C2482" s="4">
        <v>146.31</v>
      </c>
      <c r="D2482" s="4">
        <v>146.31</v>
      </c>
      <c r="E2482" s="4">
        <v>169</v>
      </c>
      <c r="F2482" s="4">
        <v>146.31</v>
      </c>
      <c r="G2482" s="4">
        <v>24726.39</v>
      </c>
      <c r="H2482" s="5">
        <f t="shared" si="38"/>
        <v>6.8352699931585129E-5</v>
      </c>
    </row>
    <row r="2483" spans="1:8" ht="13.5" x14ac:dyDescent="0.25">
      <c r="A2483" s="1"/>
      <c r="B2483" s="3">
        <v>45919</v>
      </c>
      <c r="C2483" s="4">
        <v>148.01</v>
      </c>
      <c r="D2483" s="4">
        <v>148.01</v>
      </c>
      <c r="E2483" s="4">
        <v>110</v>
      </c>
      <c r="F2483" s="4">
        <v>148.01</v>
      </c>
      <c r="G2483" s="4">
        <v>16281.1</v>
      </c>
      <c r="H2483" s="5">
        <f t="shared" si="38"/>
        <v>1.1619164787095815E-2</v>
      </c>
    </row>
    <row r="2484" spans="1:8" ht="13.5" x14ac:dyDescent="0.25">
      <c r="A2484" s="1"/>
      <c r="B2484" s="3">
        <v>45922</v>
      </c>
      <c r="C2484" s="4">
        <v>150</v>
      </c>
      <c r="D2484" s="4">
        <v>150</v>
      </c>
      <c r="E2484" s="4">
        <v>182</v>
      </c>
      <c r="F2484" s="4">
        <v>150</v>
      </c>
      <c r="G2484" s="4">
        <v>27300</v>
      </c>
      <c r="H2484" s="5">
        <f t="shared" si="38"/>
        <v>1.344503749746645E-2</v>
      </c>
    </row>
    <row r="2485" spans="1:8" ht="13.5" x14ac:dyDescent="0.25">
      <c r="A2485" s="1"/>
      <c r="B2485" s="3">
        <v>45923</v>
      </c>
      <c r="C2485" s="4">
        <v>150</v>
      </c>
      <c r="D2485" s="4">
        <v>150</v>
      </c>
      <c r="E2485" s="4">
        <v>6</v>
      </c>
      <c r="F2485" s="4">
        <v>150</v>
      </c>
      <c r="G2485" s="4">
        <v>900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156.75</v>
      </c>
      <c r="D2486" s="4">
        <v>156.75</v>
      </c>
      <c r="E2486" s="4">
        <v>47</v>
      </c>
      <c r="F2486" s="4">
        <v>156.75</v>
      </c>
      <c r="G2486" s="4">
        <v>7367.25</v>
      </c>
      <c r="H2486" s="5">
        <f t="shared" si="38"/>
        <v>4.4999999999999998E-2</v>
      </c>
    </row>
    <row r="2487" spans="1:8" ht="13.5" x14ac:dyDescent="0.25">
      <c r="A2487" s="1"/>
      <c r="B2487" s="3">
        <v>45925</v>
      </c>
      <c r="C2487" s="4">
        <v>163</v>
      </c>
      <c r="D2487" s="4">
        <v>163</v>
      </c>
      <c r="E2487" s="4">
        <v>66</v>
      </c>
      <c r="F2487" s="4">
        <v>163</v>
      </c>
      <c r="G2487" s="4">
        <v>10758</v>
      </c>
      <c r="H2487" s="5">
        <f t="shared" si="38"/>
        <v>3.9872408293460927E-2</v>
      </c>
    </row>
    <row r="2488" spans="1:8" ht="13.5" x14ac:dyDescent="0.25">
      <c r="A2488" s="1"/>
      <c r="B2488" s="3">
        <v>45926</v>
      </c>
      <c r="C2488" s="4">
        <v>163</v>
      </c>
      <c r="D2488" s="4">
        <v>163</v>
      </c>
      <c r="E2488" s="4">
        <v>0</v>
      </c>
      <c r="F2488" s="4">
        <v>0</v>
      </c>
      <c r="G2488" s="4">
        <v>0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162</v>
      </c>
      <c r="D2489" s="4">
        <v>162</v>
      </c>
      <c r="E2489" s="4">
        <v>2</v>
      </c>
      <c r="F2489" s="4">
        <v>162</v>
      </c>
      <c r="G2489" s="4">
        <v>324</v>
      </c>
      <c r="H2489" s="5">
        <f t="shared" si="38"/>
        <v>-6.1349693251533744E-3</v>
      </c>
    </row>
    <row r="2490" spans="1:8" ht="13.5" x14ac:dyDescent="0.25">
      <c r="A2490" s="1"/>
      <c r="B2490" s="3">
        <v>45930</v>
      </c>
      <c r="C2490" s="4">
        <v>160</v>
      </c>
      <c r="D2490" s="4">
        <v>160</v>
      </c>
      <c r="E2490" s="4">
        <v>10</v>
      </c>
      <c r="F2490" s="4">
        <v>160</v>
      </c>
      <c r="G2490" s="4">
        <v>1600</v>
      </c>
      <c r="H2490" s="5">
        <f t="shared" si="38"/>
        <v>-1.2345679012345678E-2</v>
      </c>
    </row>
    <row r="2491" spans="1:8" ht="13.5" x14ac:dyDescent="0.25">
      <c r="A2491" s="1"/>
      <c r="B2491" s="3">
        <v>45931</v>
      </c>
      <c r="C2491" s="4">
        <v>160</v>
      </c>
      <c r="D2491" s="4">
        <v>160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160</v>
      </c>
      <c r="D2492" s="4">
        <v>160</v>
      </c>
      <c r="E2492" s="4">
        <v>283</v>
      </c>
      <c r="F2492" s="4">
        <v>160</v>
      </c>
      <c r="G2492" s="4">
        <v>45280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152.80000000000001</v>
      </c>
      <c r="D2493" s="4">
        <v>152.80000000000001</v>
      </c>
      <c r="E2493" s="4">
        <v>27</v>
      </c>
      <c r="F2493" s="4">
        <v>160</v>
      </c>
      <c r="G2493" s="4">
        <v>4320</v>
      </c>
      <c r="H2493" s="5">
        <f t="shared" si="38"/>
        <v>-4.4999999999999929E-2</v>
      </c>
    </row>
    <row r="2494" spans="1:8" ht="13.5" x14ac:dyDescent="0.25">
      <c r="A2494" s="1"/>
      <c r="B2494" s="3">
        <v>45936</v>
      </c>
      <c r="C2494" s="4">
        <v>155.1</v>
      </c>
      <c r="D2494" s="4">
        <v>155.1</v>
      </c>
      <c r="E2494" s="4">
        <v>4</v>
      </c>
      <c r="F2494" s="4">
        <v>155.1</v>
      </c>
      <c r="G2494" s="4">
        <v>620.4</v>
      </c>
      <c r="H2494" s="5">
        <f t="shared" si="38"/>
        <v>1.5052356020942296E-2</v>
      </c>
    </row>
    <row r="2495" spans="1:8" ht="13.5" x14ac:dyDescent="0.25">
      <c r="A2495" s="1"/>
      <c r="B2495" s="3">
        <v>45937</v>
      </c>
      <c r="C2495" s="4">
        <v>155.1</v>
      </c>
      <c r="D2495" s="4">
        <v>155.1</v>
      </c>
      <c r="E2495" s="4">
        <v>6</v>
      </c>
      <c r="F2495" s="4">
        <v>155.1</v>
      </c>
      <c r="G2495" s="4">
        <v>930.6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155.1</v>
      </c>
      <c r="D2496" s="4">
        <v>155.1</v>
      </c>
      <c r="E2496" s="4">
        <v>1</v>
      </c>
      <c r="F2496" s="4">
        <v>155.1</v>
      </c>
      <c r="G2496" s="4">
        <v>155.1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155.1</v>
      </c>
      <c r="D2497" s="4">
        <v>155.1</v>
      </c>
      <c r="E2497" s="4">
        <v>1</v>
      </c>
      <c r="F2497" s="4">
        <v>155.1</v>
      </c>
      <c r="G2497" s="4">
        <v>155.1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153.1</v>
      </c>
      <c r="D2498" s="4">
        <v>153.1</v>
      </c>
      <c r="E2498" s="4">
        <v>1</v>
      </c>
      <c r="F2498" s="4">
        <v>153.1</v>
      </c>
      <c r="G2498" s="4">
        <v>153.1</v>
      </c>
      <c r="H2498" s="5">
        <f t="shared" si="38"/>
        <v>-1.2894906511927789E-2</v>
      </c>
    </row>
    <row r="2499" spans="1:11" ht="13.5" x14ac:dyDescent="0.25">
      <c r="A2499" s="1"/>
      <c r="B2499" s="3">
        <v>45943</v>
      </c>
      <c r="C2499" s="4">
        <v>153</v>
      </c>
      <c r="D2499" s="4">
        <v>153</v>
      </c>
      <c r="E2499" s="4">
        <v>30</v>
      </c>
      <c r="F2499" s="4">
        <v>153</v>
      </c>
      <c r="G2499" s="4">
        <v>4590</v>
      </c>
      <c r="H2499" s="5">
        <f t="shared" si="38"/>
        <v>-6.531678641410472E-4</v>
      </c>
    </row>
    <row r="2500" spans="1:11" ht="13.5" x14ac:dyDescent="0.25">
      <c r="A2500" s="1"/>
      <c r="B2500" s="3">
        <v>45944</v>
      </c>
      <c r="C2500" s="4">
        <v>155</v>
      </c>
      <c r="D2500" s="4">
        <v>155</v>
      </c>
      <c r="E2500" s="4">
        <v>142</v>
      </c>
      <c r="F2500" s="4">
        <v>154.97300000000001</v>
      </c>
      <c r="G2500" s="4">
        <v>22006.166000000001</v>
      </c>
      <c r="H2500" s="5">
        <f t="shared" si="38"/>
        <v>1.3071895424836602E-2</v>
      </c>
    </row>
    <row r="2501" spans="1:11" ht="13.5" x14ac:dyDescent="0.25">
      <c r="A2501" s="1"/>
      <c r="B2501" s="3">
        <v>45946</v>
      </c>
      <c r="C2501" s="4">
        <v>155</v>
      </c>
      <c r="D2501" s="4">
        <v>155</v>
      </c>
      <c r="E2501" s="4">
        <v>0</v>
      </c>
      <c r="F2501" s="4">
        <v>0</v>
      </c>
      <c r="G2501" s="4">
        <v>0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155</v>
      </c>
      <c r="D2502" s="4">
        <v>155</v>
      </c>
      <c r="E2502" s="4">
        <v>247</v>
      </c>
      <c r="F2502" s="4">
        <v>155</v>
      </c>
      <c r="G2502" s="4">
        <v>38285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155</v>
      </c>
      <c r="D2503" s="4">
        <v>155</v>
      </c>
      <c r="E2503" s="4">
        <v>21</v>
      </c>
      <c r="F2503" s="4">
        <v>155</v>
      </c>
      <c r="G2503" s="4">
        <v>3255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153.30000000000001</v>
      </c>
      <c r="D2504" s="4">
        <v>153.30000000000001</v>
      </c>
      <c r="E2504" s="4">
        <v>5</v>
      </c>
      <c r="F2504" s="4">
        <v>153.30000000000001</v>
      </c>
      <c r="G2504" s="4">
        <v>766.5</v>
      </c>
      <c r="H2504" s="5">
        <f t="shared" si="39"/>
        <v>-1.0967741935483798E-2</v>
      </c>
    </row>
    <row r="2505" spans="1:11" ht="13.5" x14ac:dyDescent="0.25">
      <c r="A2505" s="1"/>
      <c r="B2505" s="3">
        <v>45952</v>
      </c>
      <c r="C2505" s="4">
        <v>153.30000000000001</v>
      </c>
      <c r="D2505" s="4">
        <v>153.30000000000001</v>
      </c>
      <c r="E2505" s="4">
        <v>0</v>
      </c>
      <c r="F2505" s="4">
        <v>0</v>
      </c>
      <c r="G2505" s="4">
        <v>0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153.30000000000001</v>
      </c>
      <c r="D2506" s="4">
        <v>153.30000000000001</v>
      </c>
      <c r="E2506" s="4">
        <v>0</v>
      </c>
      <c r="F2506" s="4">
        <v>0</v>
      </c>
      <c r="G2506" s="4">
        <v>0</v>
      </c>
      <c r="H2506" s="5">
        <f t="shared" si="39"/>
        <v>0</v>
      </c>
    </row>
    <row r="2507" spans="1:11" ht="13.5" x14ac:dyDescent="0.25">
      <c r="A2507" s="1"/>
      <c r="B2507" s="3">
        <v>45954</v>
      </c>
      <c r="C2507" s="4">
        <v>153.30000000000001</v>
      </c>
      <c r="D2507" s="4">
        <v>153.30000000000001</v>
      </c>
      <c r="E2507" s="4">
        <v>0</v>
      </c>
      <c r="F2507" s="4">
        <v>0</v>
      </c>
      <c r="G2507" s="4">
        <v>0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153</v>
      </c>
      <c r="D2508" s="4">
        <v>153</v>
      </c>
      <c r="E2508" s="4">
        <v>15</v>
      </c>
      <c r="F2508" s="4">
        <v>153</v>
      </c>
      <c r="G2508" s="4">
        <v>2295</v>
      </c>
      <c r="H2508" s="5">
        <f t="shared" si="39"/>
        <v>-1.9569471624266885E-3</v>
      </c>
    </row>
    <row r="2509" spans="1:11" ht="13.5" x14ac:dyDescent="0.25">
      <c r="A2509" s="1"/>
      <c r="B2509" s="3">
        <v>45958</v>
      </c>
      <c r="C2509" s="4">
        <v>153</v>
      </c>
      <c r="D2509" s="4">
        <v>153</v>
      </c>
      <c r="E2509" s="4">
        <v>59</v>
      </c>
      <c r="F2509" s="4">
        <v>153.07599999999999</v>
      </c>
      <c r="G2509" s="4">
        <v>9031.4840000000004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153</v>
      </c>
      <c r="D2510" s="4">
        <v>153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153.5</v>
      </c>
      <c r="D2511" s="4">
        <v>153.5</v>
      </c>
      <c r="E2511" s="4">
        <v>3</v>
      </c>
      <c r="F2511" s="4">
        <v>153.5</v>
      </c>
      <c r="G2511" s="4">
        <v>460.5</v>
      </c>
      <c r="H2511" s="5">
        <f t="shared" si="39"/>
        <v>3.2679738562091504E-3</v>
      </c>
      <c r="I2511" s="8">
        <v>1637504</v>
      </c>
      <c r="J2511" s="9">
        <f>I2511*D2511</f>
        <v>251356864</v>
      </c>
      <c r="K2511" s="10">
        <f>SUM(E2307:E2511)/205</f>
        <v>43.097560975609753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DC6349-40E5-477F-A6C8-4D3A0239A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6EEFC1-E637-4FFC-8060-DBFF9737D758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25c0b43-6af9-4148-8ec1-c9594105943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1ACBE02-92FA-4507-BCAA-6BFF319853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2025-11-04T19:28:51Z</dcterms:created>
  <dcterms:modified xsi:type="dcterms:W3CDTF">2025-11-05T05:31:34Z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