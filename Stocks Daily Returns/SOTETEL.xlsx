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AACDA691-7BB4-4ECD-8914-DE16C4E0CC6A}" xr6:coauthVersionLast="47" xr6:coauthVersionMax="47" xr10:uidLastSave="{00000000-0000-0000-0000-000000000000}"/>
  <bookViews>
    <workbookView xWindow="28680" yWindow="-120" windowWidth="24240" windowHeight="13020" xr2:uid="{34C1C790-9DCE-4775-96BF-C81466C943B4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<sst xmlns="http://schemas.openxmlformats.org/spreadsheetml/2006/main" count="16" uniqueCount="16">
  <si>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SOTETEL,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</si>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</sst>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1E38-C061-496B-AAC0-3ACD85E094A2}">
  <dimension ref="A1:K2511"/>
  <sheetViews>
    <sheetView showGridLines="0" tabSelected="1" topLeftCell="A2491" workbookViewId="0">
      <selection activeCell="K2502" sqref="K250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1.46</v>
      </c>
      <c r="D5" s="4">
        <v>1.175</v>
      </c>
      <c r="E5" s="4">
        <v>0</v>
      </c>
      <c r="F5" s="4"/>
      <c r="G5" s="4"/>
      <c r="H5" s="1"/>
    </row>
    <row r="6" spans="1:11" ht="13.5" x14ac:dyDescent="0.25">
      <c r="A6" s="1"/>
      <c r="B6" s="3">
        <v>42311</v>
      </c>
      <c r="C6" s="4">
        <v>1.5</v>
      </c>
      <c r="D6" s="4">
        <v>1.2072000000000001</v>
      </c>
      <c r="E6" s="4">
        <v>10</v>
      </c>
      <c r="F6" s="4"/>
      <c r="G6" s="4"/>
      <c r="H6" s="5">
        <f>(D6-D5)/D5</f>
        <v>2.7404255319148942E-2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1.5</v>
      </c>
      <c r="D7" s="4">
        <v>1.2072000000000001</v>
      </c>
      <c r="E7" s="4">
        <v>0</v>
      </c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42313</v>
      </c>
      <c r="C8" s="4">
        <v>1.46</v>
      </c>
      <c r="D8" s="4">
        <v>1.175</v>
      </c>
      <c r="E8" s="4">
        <v>1101</v>
      </c>
      <c r="F8" s="4"/>
      <c r="G8" s="4"/>
      <c r="H8" s="5">
        <f t="shared" si="0"/>
        <v>-2.6673293571901926E-2</v>
      </c>
      <c r="J8" t="s">
        <v>9</v>
      </c>
      <c r="K8" s="6">
        <f>AVERAGE(H6:H2511)</f>
        <v>8.0311944452112892E-4</v>
      </c>
    </row>
    <row r="9" spans="1:11" ht="13.5" x14ac:dyDescent="0.25">
      <c r="A9" s="1"/>
      <c r="B9" s="3">
        <v>42314</v>
      </c>
      <c r="C9" s="4">
        <v>1.46</v>
      </c>
      <c r="D9" s="4">
        <v>1.175</v>
      </c>
      <c r="E9" s="4">
        <v>452</v>
      </c>
      <c r="F9" s="4"/>
      <c r="G9" s="4"/>
      <c r="H9" s="5">
        <f t="shared" si="0"/>
        <v>0</v>
      </c>
      <c r="J9" t="s">
        <v>10</v>
      </c>
      <c r="K9" s="6">
        <f>K8*K6</f>
        <v>0.2023861000193245</v>
      </c>
    </row>
    <row r="10" spans="1:11" ht="13.5" x14ac:dyDescent="0.25">
      <c r="A10" s="1"/>
      <c r="B10" s="3">
        <v>42317</v>
      </c>
      <c r="C10" s="4">
        <v>1.38</v>
      </c>
      <c r="D10" s="4">
        <v>1.1106</v>
      </c>
      <c r="E10" s="4">
        <v>6786</v>
      </c>
      <c r="F10" s="4"/>
      <c r="G10" s="4"/>
      <c r="H10" s="5">
        <f t="shared" si="0"/>
        <v>-5.4808510638297885E-2</v>
      </c>
      <c r="J10" t="s">
        <v>11</v>
      </c>
      <c r="K10" s="6">
        <f>STDEV(H6:H2511)</f>
        <v>2.1362457492768154E-2</v>
      </c>
    </row>
    <row r="11" spans="1:11" ht="13.5" x14ac:dyDescent="0.25">
      <c r="A11" s="1"/>
      <c r="B11" s="3">
        <v>42318</v>
      </c>
      <c r="C11" s="4">
        <v>1.42</v>
      </c>
      <c r="D11" s="4">
        <v>1.1428</v>
      </c>
      <c r="E11" s="4">
        <v>16</v>
      </c>
      <c r="F11" s="4"/>
      <c r="G11" s="4"/>
      <c r="H11" s="5">
        <f t="shared" si="0"/>
        <v>2.8993336934990101E-2</v>
      </c>
      <c r="J11" t="s">
        <v>12</v>
      </c>
      <c r="K11" s="6">
        <f>K10*SQRT(K6)</f>
        <v>0.33911849951431761</v>
      </c>
    </row>
    <row r="12" spans="1:11" ht="13.5" x14ac:dyDescent="0.25">
      <c r="A12" s="1"/>
      <c r="B12" s="3">
        <v>42319</v>
      </c>
      <c r="C12" s="4">
        <v>1.42</v>
      </c>
      <c r="D12" s="4">
        <v>1.1428</v>
      </c>
      <c r="E12" s="4">
        <v>250</v>
      </c>
      <c r="F12" s="4"/>
      <c r="G12" s="4"/>
      <c r="H12" s="5">
        <f t="shared" si="0"/>
        <v>0</v>
      </c>
    </row>
    <row r="13" spans="1:11" ht="13.5" x14ac:dyDescent="0.25">
      <c r="A13" s="1"/>
      <c r="B13" s="3">
        <v>42320</v>
      </c>
      <c r="C13" s="4">
        <v>1.38</v>
      </c>
      <c r="D13" s="4">
        <v>1.1106</v>
      </c>
      <c r="E13" s="4">
        <v>5</v>
      </c>
      <c r="F13" s="4"/>
      <c r="G13" s="4"/>
      <c r="H13" s="5">
        <f t="shared" si="0"/>
        <v>-2.8176408820441028E-2</v>
      </c>
    </row>
    <row r="14" spans="1:11" ht="13.5" x14ac:dyDescent="0.25">
      <c r="A14" s="1"/>
      <c r="B14" s="3">
        <v>42321</v>
      </c>
      <c r="C14" s="4">
        <v>1.38</v>
      </c>
      <c r="D14" s="4">
        <v>1.1106</v>
      </c>
      <c r="E14" s="4">
        <v>1909</v>
      </c>
      <c r="F14" s="4"/>
      <c r="G14" s="4"/>
      <c r="H14" s="5">
        <f t="shared" si="0"/>
        <v>0</v>
      </c>
    </row>
    <row r="15" spans="1:11" ht="13.5" x14ac:dyDescent="0.25">
      <c r="A15" s="1"/>
      <c r="B15" s="3">
        <v>42324</v>
      </c>
      <c r="C15" s="4">
        <v>1.41</v>
      </c>
      <c r="D15" s="4">
        <v>1.1348</v>
      </c>
      <c r="E15" s="4">
        <v>2741</v>
      </c>
      <c r="F15" s="4"/>
      <c r="G15" s="4"/>
      <c r="H15" s="5">
        <f t="shared" si="0"/>
        <v>2.1790023410768952E-2</v>
      </c>
    </row>
    <row r="16" spans="1:11" ht="13.5" x14ac:dyDescent="0.25">
      <c r="A16" s="1"/>
      <c r="B16" s="3">
        <v>42325</v>
      </c>
      <c r="C16" s="4">
        <v>1.4</v>
      </c>
      <c r="D16" s="4">
        <v>1.1267</v>
      </c>
      <c r="E16" s="4">
        <v>2237</v>
      </c>
      <c r="F16" s="4"/>
      <c r="G16" s="4"/>
      <c r="H16" s="5">
        <f t="shared" si="0"/>
        <v>-7.1378216425801869E-3</v>
      </c>
    </row>
    <row r="17" spans="1:8" ht="13.5" x14ac:dyDescent="0.25">
      <c r="A17" s="1"/>
      <c r="B17" s="3">
        <v>42326</v>
      </c>
      <c r="C17" s="4">
        <v>1.42</v>
      </c>
      <c r="D17" s="4">
        <v>1.1428</v>
      </c>
      <c r="E17" s="4">
        <v>290</v>
      </c>
      <c r="F17" s="4"/>
      <c r="G17" s="4"/>
      <c r="H17" s="5">
        <f t="shared" si="0"/>
        <v>1.4289518061595813E-2</v>
      </c>
    </row>
    <row r="18" spans="1:8" ht="13.5" x14ac:dyDescent="0.25">
      <c r="A18" s="1"/>
      <c r="B18" s="3">
        <v>42327</v>
      </c>
      <c r="C18" s="4">
        <v>1.45</v>
      </c>
      <c r="D18" s="4">
        <v>1.167</v>
      </c>
      <c r="E18" s="4">
        <v>1</v>
      </c>
      <c r="F18" s="4"/>
      <c r="G18" s="4"/>
      <c r="H18" s="5">
        <f t="shared" si="0"/>
        <v>2.1176058802940146E-2</v>
      </c>
    </row>
    <row r="19" spans="1:8" ht="13.5" x14ac:dyDescent="0.25">
      <c r="A19" s="1"/>
      <c r="B19" s="3">
        <v>42328</v>
      </c>
      <c r="C19" s="4">
        <v>1.43</v>
      </c>
      <c r="D19" s="4">
        <v>1.1509</v>
      </c>
      <c r="E19" s="4">
        <v>1</v>
      </c>
      <c r="F19" s="4"/>
      <c r="G19" s="4"/>
      <c r="H19" s="5">
        <f t="shared" si="0"/>
        <v>-1.3796058269065983E-2</v>
      </c>
    </row>
    <row r="20" spans="1:8" ht="13.5" x14ac:dyDescent="0.25">
      <c r="A20" s="1"/>
      <c r="B20" s="3">
        <v>42331</v>
      </c>
      <c r="C20" s="4">
        <v>1.45</v>
      </c>
      <c r="D20" s="4">
        <v>1.167</v>
      </c>
      <c r="E20" s="4">
        <v>501</v>
      </c>
      <c r="F20" s="4"/>
      <c r="G20" s="4"/>
      <c r="H20" s="5">
        <f t="shared" si="0"/>
        <v>1.3989052046224696E-2</v>
      </c>
    </row>
    <row r="21" spans="1:8" ht="13.5" x14ac:dyDescent="0.25">
      <c r="A21" s="1"/>
      <c r="B21" s="3">
        <v>42332</v>
      </c>
      <c r="C21" s="4">
        <v>1.44</v>
      </c>
      <c r="D21" s="4">
        <v>1.1589</v>
      </c>
      <c r="E21" s="4">
        <v>300</v>
      </c>
      <c r="F21" s="4"/>
      <c r="G21" s="4"/>
      <c r="H21" s="5">
        <f t="shared" si="0"/>
        <v>-6.9408740359897135E-3</v>
      </c>
    </row>
    <row r="22" spans="1:8" ht="13.5" x14ac:dyDescent="0.25">
      <c r="A22" s="1"/>
      <c r="B22" s="3">
        <v>42333</v>
      </c>
      <c r="C22" s="4">
        <v>1.44</v>
      </c>
      <c r="D22" s="4">
        <v>1.1589</v>
      </c>
      <c r="E22" s="4">
        <v>101</v>
      </c>
      <c r="F22" s="4"/>
      <c r="G22" s="4"/>
      <c r="H22" s="5">
        <f t="shared" si="0"/>
        <v>0</v>
      </c>
    </row>
    <row r="23" spans="1:8" ht="13.5" x14ac:dyDescent="0.25">
      <c r="A23" s="1"/>
      <c r="B23" s="3">
        <v>42334</v>
      </c>
      <c r="C23" s="4">
        <v>1.44</v>
      </c>
      <c r="D23" s="4">
        <v>1.1589</v>
      </c>
      <c r="E23" s="4">
        <v>0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1.44</v>
      </c>
      <c r="D24" s="4">
        <v>1.1589</v>
      </c>
      <c r="E24" s="4">
        <v>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1.38</v>
      </c>
      <c r="D25" s="4">
        <v>1.1106</v>
      </c>
      <c r="E25" s="4">
        <v>100</v>
      </c>
      <c r="F25" s="4"/>
      <c r="G25" s="4"/>
      <c r="H25" s="5">
        <f t="shared" si="0"/>
        <v>-4.1677452756924679E-2</v>
      </c>
    </row>
    <row r="26" spans="1:8" ht="13.5" x14ac:dyDescent="0.25">
      <c r="A26" s="1"/>
      <c r="B26" s="3">
        <v>42339</v>
      </c>
      <c r="C26" s="4">
        <v>1.33</v>
      </c>
      <c r="D26" s="4">
        <v>1.0704</v>
      </c>
      <c r="E26" s="4">
        <v>42023</v>
      </c>
      <c r="F26" s="4"/>
      <c r="G26" s="4"/>
      <c r="H26" s="5">
        <f t="shared" si="0"/>
        <v>-3.6196650459211249E-2</v>
      </c>
    </row>
    <row r="27" spans="1:8" ht="13.5" x14ac:dyDescent="0.25">
      <c r="A27" s="1"/>
      <c r="B27" s="3">
        <v>42340</v>
      </c>
      <c r="C27" s="4">
        <v>1.32</v>
      </c>
      <c r="D27" s="4">
        <v>1.0623</v>
      </c>
      <c r="E27" s="4">
        <v>5401</v>
      </c>
      <c r="F27" s="4"/>
      <c r="G27" s="4"/>
      <c r="H27" s="5">
        <f t="shared" si="0"/>
        <v>-7.5672645739910272E-3</v>
      </c>
    </row>
    <row r="28" spans="1:8" ht="13.5" x14ac:dyDescent="0.25">
      <c r="A28" s="1"/>
      <c r="B28" s="3">
        <v>42341</v>
      </c>
      <c r="C28" s="4">
        <v>1.35</v>
      </c>
      <c r="D28" s="4">
        <v>1.0865</v>
      </c>
      <c r="E28" s="4">
        <v>1975</v>
      </c>
      <c r="F28" s="4"/>
      <c r="G28" s="4"/>
      <c r="H28" s="5">
        <f t="shared" si="0"/>
        <v>2.2780758731055256E-2</v>
      </c>
    </row>
    <row r="29" spans="1:8" ht="13.5" x14ac:dyDescent="0.25">
      <c r="A29" s="1"/>
      <c r="B29" s="3">
        <v>42342</v>
      </c>
      <c r="C29" s="4">
        <v>1.35</v>
      </c>
      <c r="D29" s="4">
        <v>1.0865</v>
      </c>
      <c r="E29" s="4">
        <v>451</v>
      </c>
      <c r="F29" s="4"/>
      <c r="G29" s="4"/>
      <c r="H29" s="5">
        <f t="shared" si="0"/>
        <v>0</v>
      </c>
    </row>
    <row r="30" spans="1:8" ht="13.5" x14ac:dyDescent="0.25">
      <c r="A30" s="1"/>
      <c r="B30" s="3">
        <v>42345</v>
      </c>
      <c r="C30" s="4">
        <v>1.33</v>
      </c>
      <c r="D30" s="4">
        <v>1.0704</v>
      </c>
      <c r="E30" s="4">
        <v>3305</v>
      </c>
      <c r="F30" s="4"/>
      <c r="G30" s="4"/>
      <c r="H30" s="5">
        <f t="shared" si="0"/>
        <v>-1.4818223653934655E-2</v>
      </c>
    </row>
    <row r="31" spans="1:8" ht="13.5" x14ac:dyDescent="0.25">
      <c r="A31" s="1"/>
      <c r="B31" s="3">
        <v>42346</v>
      </c>
      <c r="C31" s="4">
        <v>1.3</v>
      </c>
      <c r="D31" s="4">
        <v>1.0463</v>
      </c>
      <c r="E31" s="4">
        <v>6190</v>
      </c>
      <c r="F31" s="4"/>
      <c r="G31" s="4"/>
      <c r="H31" s="5">
        <f t="shared" si="0"/>
        <v>-2.2514947683109129E-2</v>
      </c>
    </row>
    <row r="32" spans="1:8" ht="13.5" x14ac:dyDescent="0.25">
      <c r="A32" s="1"/>
      <c r="B32" s="3">
        <v>42347</v>
      </c>
      <c r="C32" s="4">
        <v>1.27</v>
      </c>
      <c r="D32" s="4">
        <v>1.0221</v>
      </c>
      <c r="E32" s="4">
        <v>4964</v>
      </c>
      <c r="F32" s="4"/>
      <c r="G32" s="4"/>
      <c r="H32" s="5">
        <f t="shared" si="0"/>
        <v>-2.3129121666825958E-2</v>
      </c>
    </row>
    <row r="33" spans="1:8" ht="13.5" x14ac:dyDescent="0.25">
      <c r="A33" s="1"/>
      <c r="B33" s="3">
        <v>42348</v>
      </c>
      <c r="C33" s="4">
        <v>1.24</v>
      </c>
      <c r="D33" s="4">
        <v>0.998</v>
      </c>
      <c r="E33" s="4">
        <v>4686</v>
      </c>
      <c r="F33" s="4"/>
      <c r="G33" s="4"/>
      <c r="H33" s="5">
        <f t="shared" si="0"/>
        <v>-2.357890617356424E-2</v>
      </c>
    </row>
    <row r="34" spans="1:8" ht="13.5" x14ac:dyDescent="0.25">
      <c r="A34" s="1"/>
      <c r="B34" s="3">
        <v>42349</v>
      </c>
      <c r="C34" s="4">
        <v>1.25</v>
      </c>
      <c r="D34" s="4">
        <v>1.006</v>
      </c>
      <c r="E34" s="4">
        <v>22065</v>
      </c>
      <c r="F34" s="4"/>
      <c r="G34" s="4"/>
      <c r="H34" s="5">
        <f t="shared" si="0"/>
        <v>8.0160320641282628E-3</v>
      </c>
    </row>
    <row r="35" spans="1:8" ht="13.5" x14ac:dyDescent="0.25">
      <c r="A35" s="1"/>
      <c r="B35" s="3">
        <v>42352</v>
      </c>
      <c r="C35" s="4">
        <v>1.25</v>
      </c>
      <c r="D35" s="4">
        <v>1.006</v>
      </c>
      <c r="E35" s="4">
        <v>954</v>
      </c>
      <c r="F35" s="4"/>
      <c r="G35" s="4"/>
      <c r="H35" s="5">
        <f t="shared" si="0"/>
        <v>0</v>
      </c>
    </row>
    <row r="36" spans="1:8" ht="13.5" x14ac:dyDescent="0.25">
      <c r="A36" s="1"/>
      <c r="B36" s="3">
        <v>42353</v>
      </c>
      <c r="C36" s="4">
        <v>1.23</v>
      </c>
      <c r="D36" s="4">
        <v>0.9899</v>
      </c>
      <c r="E36" s="4">
        <v>6280</v>
      </c>
      <c r="F36" s="4"/>
      <c r="G36" s="4"/>
      <c r="H36" s="5">
        <f t="shared" si="0"/>
        <v>-1.6003976143141155E-2</v>
      </c>
    </row>
    <row r="37" spans="1:8" ht="13.5" x14ac:dyDescent="0.25">
      <c r="A37" s="1"/>
      <c r="B37" s="3">
        <v>42354</v>
      </c>
      <c r="C37" s="4">
        <v>1.28</v>
      </c>
      <c r="D37" s="4">
        <v>1.0302</v>
      </c>
      <c r="E37" s="4">
        <v>2</v>
      </c>
      <c r="F37" s="4"/>
      <c r="G37" s="4"/>
      <c r="H37" s="5">
        <f t="shared" si="0"/>
        <v>4.0711182947772505E-2</v>
      </c>
    </row>
    <row r="38" spans="1:8" ht="13.5" x14ac:dyDescent="0.25">
      <c r="A38" s="1"/>
      <c r="B38" s="3">
        <v>42355</v>
      </c>
      <c r="C38" s="4">
        <v>1.26</v>
      </c>
      <c r="D38" s="4">
        <v>1.0141</v>
      </c>
      <c r="E38" s="4">
        <v>3388</v>
      </c>
      <c r="F38" s="4"/>
      <c r="G38" s="4"/>
      <c r="H38" s="5">
        <f t="shared" si="0"/>
        <v>-1.5628033391574453E-2</v>
      </c>
    </row>
    <row r="39" spans="1:8" ht="13.5" x14ac:dyDescent="0.25">
      <c r="A39" s="1"/>
      <c r="B39" s="3">
        <v>42356</v>
      </c>
      <c r="C39" s="4">
        <v>1.25</v>
      </c>
      <c r="D39" s="4">
        <v>1.006</v>
      </c>
      <c r="E39" s="4">
        <v>1050</v>
      </c>
      <c r="F39" s="4"/>
      <c r="G39" s="4"/>
      <c r="H39" s="5">
        <f t="shared" si="0"/>
        <v>-7.9873779706143341E-3</v>
      </c>
    </row>
    <row r="40" spans="1:8" ht="13.5" x14ac:dyDescent="0.25">
      <c r="A40" s="1"/>
      <c r="B40" s="3">
        <v>42359</v>
      </c>
      <c r="C40" s="4">
        <v>1.22</v>
      </c>
      <c r="D40" s="4">
        <v>0.9819</v>
      </c>
      <c r="E40" s="4">
        <v>3995</v>
      </c>
      <c r="F40" s="4"/>
      <c r="G40" s="4"/>
      <c r="H40" s="5">
        <f t="shared" si="0"/>
        <v>-2.3956262425447326E-2</v>
      </c>
    </row>
    <row r="41" spans="1:8" ht="13.5" x14ac:dyDescent="0.25">
      <c r="A41" s="1"/>
      <c r="B41" s="3">
        <v>42360</v>
      </c>
      <c r="C41" s="4">
        <v>1.23</v>
      </c>
      <c r="D41" s="4">
        <v>0.9899</v>
      </c>
      <c r="E41" s="4">
        <v>15073</v>
      </c>
      <c r="F41" s="4"/>
      <c r="G41" s="4"/>
      <c r="H41" s="5">
        <f t="shared" si="0"/>
        <v>8.1474691923821233E-3</v>
      </c>
    </row>
    <row r="42" spans="1:8" ht="13.5" x14ac:dyDescent="0.25">
      <c r="A42" s="1"/>
      <c r="B42" s="3">
        <v>42361</v>
      </c>
      <c r="C42" s="4">
        <v>1.21</v>
      </c>
      <c r="D42" s="4">
        <v>0.9738</v>
      </c>
      <c r="E42" s="4">
        <v>9837</v>
      </c>
      <c r="F42" s="4"/>
      <c r="G42" s="4"/>
      <c r="H42" s="5">
        <f t="shared" si="0"/>
        <v>-1.6264269118092738E-2</v>
      </c>
    </row>
    <row r="43" spans="1:8" ht="13.5" x14ac:dyDescent="0.25">
      <c r="A43" s="1"/>
      <c r="B43" s="3">
        <v>42363</v>
      </c>
      <c r="C43" s="4">
        <v>1.2</v>
      </c>
      <c r="D43" s="4">
        <v>0.96579999999999999</v>
      </c>
      <c r="E43" s="4">
        <v>998</v>
      </c>
      <c r="F43" s="4"/>
      <c r="G43" s="4"/>
      <c r="H43" s="5">
        <f t="shared" si="0"/>
        <v>-8.2152392688437121E-3</v>
      </c>
    </row>
    <row r="44" spans="1:8" ht="13.5" x14ac:dyDescent="0.25">
      <c r="A44" s="1"/>
      <c r="B44" s="3">
        <v>42366</v>
      </c>
      <c r="C44" s="4">
        <v>1.23</v>
      </c>
      <c r="D44" s="4">
        <v>0.9899</v>
      </c>
      <c r="E44" s="4">
        <v>5</v>
      </c>
      <c r="F44" s="4"/>
      <c r="G44" s="4"/>
      <c r="H44" s="5">
        <f t="shared" si="0"/>
        <v>2.4953406502381457E-2</v>
      </c>
    </row>
    <row r="45" spans="1:8" ht="13.5" x14ac:dyDescent="0.25">
      <c r="A45" s="1"/>
      <c r="B45" s="3">
        <v>42367</v>
      </c>
      <c r="C45" s="4">
        <v>1.2</v>
      </c>
      <c r="D45" s="4">
        <v>0.96579999999999999</v>
      </c>
      <c r="E45" s="4">
        <v>66</v>
      </c>
      <c r="F45" s="4"/>
      <c r="G45" s="4"/>
      <c r="H45" s="5">
        <f t="shared" si="0"/>
        <v>-2.4345893524598455E-2</v>
      </c>
    </row>
    <row r="46" spans="1:8" ht="13.5" x14ac:dyDescent="0.25">
      <c r="A46" s="1"/>
      <c r="B46" s="3">
        <v>42368</v>
      </c>
      <c r="C46" s="4">
        <v>1.2</v>
      </c>
      <c r="D46" s="4">
        <v>0.96579999999999999</v>
      </c>
      <c r="E46" s="4">
        <v>3966</v>
      </c>
      <c r="F46" s="4"/>
      <c r="G46" s="4"/>
      <c r="H46" s="5">
        <f t="shared" si="0"/>
        <v>0</v>
      </c>
    </row>
    <row r="47" spans="1:8" ht="13.5" x14ac:dyDescent="0.25">
      <c r="A47" s="1"/>
      <c r="B47" s="3">
        <v>42369</v>
      </c>
      <c r="C47" s="4">
        <v>1.2</v>
      </c>
      <c r="D47" s="4">
        <v>0.96579999999999999</v>
      </c>
      <c r="E47" s="4">
        <v>1535</v>
      </c>
      <c r="F47" s="4"/>
      <c r="G47" s="4"/>
      <c r="H47" s="5">
        <f t="shared" si="0"/>
        <v>0</v>
      </c>
    </row>
    <row r="48" spans="1:8" ht="13.5" x14ac:dyDescent="0.25">
      <c r="A48" s="1"/>
      <c r="B48" s="3">
        <v>42373</v>
      </c>
      <c r="C48" s="4">
        <v>1.23</v>
      </c>
      <c r="D48" s="4">
        <v>0.9899</v>
      </c>
      <c r="E48" s="4">
        <v>824</v>
      </c>
      <c r="F48" s="4"/>
      <c r="G48" s="4"/>
      <c r="H48" s="5">
        <f t="shared" si="0"/>
        <v>2.4953406502381457E-2</v>
      </c>
    </row>
    <row r="49" spans="1:8" ht="13.5" x14ac:dyDescent="0.25">
      <c r="A49" s="1"/>
      <c r="B49" s="3">
        <v>42374</v>
      </c>
      <c r="C49" s="4">
        <v>1.27</v>
      </c>
      <c r="D49" s="4">
        <v>1.0221</v>
      </c>
      <c r="E49" s="4">
        <v>13269</v>
      </c>
      <c r="F49" s="4"/>
      <c r="G49" s="4"/>
      <c r="H49" s="5">
        <f t="shared" si="0"/>
        <v>3.2528538236185477E-2</v>
      </c>
    </row>
    <row r="50" spans="1:8" ht="13.5" x14ac:dyDescent="0.25">
      <c r="A50" s="1"/>
      <c r="B50" s="3">
        <v>42375</v>
      </c>
      <c r="C50" s="4">
        <v>1.33</v>
      </c>
      <c r="D50" s="4">
        <v>1.0704</v>
      </c>
      <c r="E50" s="4">
        <v>8872</v>
      </c>
      <c r="F50" s="4"/>
      <c r="G50" s="4"/>
      <c r="H50" s="5">
        <f t="shared" si="0"/>
        <v>4.7255650132081016E-2</v>
      </c>
    </row>
    <row r="51" spans="1:8" ht="13.5" x14ac:dyDescent="0.25">
      <c r="A51" s="1"/>
      <c r="B51" s="3">
        <v>42376</v>
      </c>
      <c r="C51" s="4">
        <v>1.32</v>
      </c>
      <c r="D51" s="4">
        <v>1.0623</v>
      </c>
      <c r="E51" s="4">
        <v>730</v>
      </c>
      <c r="F51" s="4"/>
      <c r="G51" s="4"/>
      <c r="H51" s="5">
        <f t="shared" si="0"/>
        <v>-7.5672645739910272E-3</v>
      </c>
    </row>
    <row r="52" spans="1:8" ht="13.5" x14ac:dyDescent="0.25">
      <c r="A52" s="1"/>
      <c r="B52" s="3">
        <v>42377</v>
      </c>
      <c r="C52" s="4">
        <v>1.3</v>
      </c>
      <c r="D52" s="4">
        <v>1.0463</v>
      </c>
      <c r="E52" s="4">
        <v>5002</v>
      </c>
      <c r="F52" s="4"/>
      <c r="G52" s="4"/>
      <c r="H52" s="5">
        <f t="shared" si="0"/>
        <v>-1.5061658665160514E-2</v>
      </c>
    </row>
    <row r="53" spans="1:8" ht="13.5" x14ac:dyDescent="0.25">
      <c r="A53" s="1"/>
      <c r="B53" s="3">
        <v>42380</v>
      </c>
      <c r="C53" s="4">
        <v>1.3</v>
      </c>
      <c r="D53" s="4">
        <v>1.0463</v>
      </c>
      <c r="E53" s="4">
        <v>795</v>
      </c>
      <c r="F53" s="4"/>
      <c r="G53" s="4"/>
      <c r="H53" s="5">
        <f t="shared" si="0"/>
        <v>0</v>
      </c>
    </row>
    <row r="54" spans="1:8" ht="13.5" x14ac:dyDescent="0.25">
      <c r="A54" s="1"/>
      <c r="B54" s="3">
        <v>42381</v>
      </c>
      <c r="C54" s="4">
        <v>1.25</v>
      </c>
      <c r="D54" s="4">
        <v>1.006</v>
      </c>
      <c r="E54" s="4">
        <v>5919</v>
      </c>
      <c r="F54" s="4"/>
      <c r="G54" s="4"/>
      <c r="H54" s="5">
        <f t="shared" si="0"/>
        <v>-3.8516677817069675E-2</v>
      </c>
    </row>
    <row r="55" spans="1:8" ht="13.5" x14ac:dyDescent="0.25">
      <c r="A55" s="1"/>
      <c r="B55" s="3">
        <v>42382</v>
      </c>
      <c r="C55" s="4">
        <v>1.23</v>
      </c>
      <c r="D55" s="4">
        <v>0.9899</v>
      </c>
      <c r="E55" s="4">
        <v>1864</v>
      </c>
      <c r="F55" s="4"/>
      <c r="G55" s="4"/>
      <c r="H55" s="5">
        <f t="shared" si="0"/>
        <v>-1.6003976143141155E-2</v>
      </c>
    </row>
    <row r="56" spans="1:8" ht="13.5" x14ac:dyDescent="0.25">
      <c r="A56" s="1"/>
      <c r="B56" s="3">
        <v>42384</v>
      </c>
      <c r="C56" s="4">
        <v>1.25</v>
      </c>
      <c r="D56" s="4">
        <v>1.006</v>
      </c>
      <c r="E56" s="4">
        <v>294</v>
      </c>
      <c r="F56" s="4"/>
      <c r="G56" s="4"/>
      <c r="H56" s="5">
        <f t="shared" si="0"/>
        <v>1.6264269118092738E-2</v>
      </c>
    </row>
    <row r="57" spans="1:8" ht="13.5" x14ac:dyDescent="0.25">
      <c r="A57" s="1"/>
      <c r="B57" s="3">
        <v>42387</v>
      </c>
      <c r="C57" s="4">
        <v>1.24</v>
      </c>
      <c r="D57" s="4">
        <v>0.998</v>
      </c>
      <c r="E57" s="4">
        <v>3573</v>
      </c>
      <c r="F57" s="4"/>
      <c r="G57" s="4"/>
      <c r="H57" s="5">
        <f t="shared" si="0"/>
        <v>-7.9522862823061709E-3</v>
      </c>
    </row>
    <row r="58" spans="1:8" ht="13.5" x14ac:dyDescent="0.25">
      <c r="A58" s="1"/>
      <c r="B58" s="3">
        <v>42388</v>
      </c>
      <c r="C58" s="4">
        <v>1.24</v>
      </c>
      <c r="D58" s="4">
        <v>0.998</v>
      </c>
      <c r="E58" s="4">
        <v>1536</v>
      </c>
      <c r="F58" s="4"/>
      <c r="G58" s="4"/>
      <c r="H58" s="5">
        <f t="shared" si="0"/>
        <v>0</v>
      </c>
    </row>
    <row r="59" spans="1:8" ht="13.5" x14ac:dyDescent="0.25">
      <c r="A59" s="1"/>
      <c r="B59" s="3">
        <v>42389</v>
      </c>
      <c r="C59" s="4">
        <v>1.23</v>
      </c>
      <c r="D59" s="4">
        <v>0.9899</v>
      </c>
      <c r="E59" s="4">
        <v>10625</v>
      </c>
      <c r="F59" s="4"/>
      <c r="G59" s="4"/>
      <c r="H59" s="5">
        <f t="shared" si="0"/>
        <v>-8.116232464929856E-3</v>
      </c>
    </row>
    <row r="60" spans="1:8" ht="13.5" x14ac:dyDescent="0.25">
      <c r="A60" s="1"/>
      <c r="B60" s="3">
        <v>42390</v>
      </c>
      <c r="C60" s="4">
        <v>1.23</v>
      </c>
      <c r="D60" s="4">
        <v>0.9899</v>
      </c>
      <c r="E60" s="4">
        <v>3130</v>
      </c>
      <c r="F60" s="4"/>
      <c r="G60" s="4"/>
      <c r="H60" s="5">
        <f t="shared" si="0"/>
        <v>0</v>
      </c>
    </row>
    <row r="61" spans="1:8" ht="13.5" x14ac:dyDescent="0.25">
      <c r="A61" s="1"/>
      <c r="B61" s="3">
        <v>42391</v>
      </c>
      <c r="C61" s="4">
        <v>1.23</v>
      </c>
      <c r="D61" s="4">
        <v>0.9899</v>
      </c>
      <c r="E61" s="4">
        <v>439</v>
      </c>
      <c r="F61" s="4"/>
      <c r="G61" s="4"/>
      <c r="H61" s="5">
        <f t="shared" si="0"/>
        <v>0</v>
      </c>
    </row>
    <row r="62" spans="1:8" ht="13.5" x14ac:dyDescent="0.25">
      <c r="A62" s="1"/>
      <c r="B62" s="3">
        <v>42394</v>
      </c>
      <c r="C62" s="4">
        <v>1.23</v>
      </c>
      <c r="D62" s="4">
        <v>0.9899</v>
      </c>
      <c r="E62" s="4">
        <v>1702</v>
      </c>
      <c r="F62" s="4"/>
      <c r="G62" s="4"/>
      <c r="H62" s="5">
        <f t="shared" si="0"/>
        <v>0</v>
      </c>
    </row>
    <row r="63" spans="1:8" ht="13.5" x14ac:dyDescent="0.25">
      <c r="A63" s="1"/>
      <c r="B63" s="3">
        <v>42395</v>
      </c>
      <c r="C63" s="4">
        <v>1.3</v>
      </c>
      <c r="D63" s="4">
        <v>1.0463</v>
      </c>
      <c r="E63" s="4">
        <v>7546</v>
      </c>
      <c r="F63" s="4"/>
      <c r="G63" s="4"/>
      <c r="H63" s="5">
        <f t="shared" si="0"/>
        <v>5.6975452065865247E-2</v>
      </c>
    </row>
    <row r="64" spans="1:8" ht="13.5" x14ac:dyDescent="0.25">
      <c r="A64" s="1"/>
      <c r="B64" s="3">
        <v>42396</v>
      </c>
      <c r="C64" s="4">
        <v>1.37</v>
      </c>
      <c r="D64" s="4">
        <v>1.1026</v>
      </c>
      <c r="E64" s="4">
        <v>16381</v>
      </c>
      <c r="F64" s="4"/>
      <c r="G64" s="4"/>
      <c r="H64" s="5">
        <f t="shared" si="0"/>
        <v>5.380865908439264E-2</v>
      </c>
    </row>
    <row r="65" spans="1:8" ht="13.5" x14ac:dyDescent="0.25">
      <c r="A65" s="1"/>
      <c r="B65" s="3">
        <v>42397</v>
      </c>
      <c r="C65" s="4">
        <v>1.45</v>
      </c>
      <c r="D65" s="4">
        <v>1.167</v>
      </c>
      <c r="E65" s="4">
        <v>11069</v>
      </c>
      <c r="F65" s="4"/>
      <c r="G65" s="4"/>
      <c r="H65" s="5">
        <f t="shared" si="0"/>
        <v>5.8407400689279895E-2</v>
      </c>
    </row>
    <row r="66" spans="1:8" ht="13.5" x14ac:dyDescent="0.25">
      <c r="A66" s="1"/>
      <c r="B66" s="3">
        <v>42398</v>
      </c>
      <c r="C66" s="4">
        <v>1.51</v>
      </c>
      <c r="D66" s="4">
        <v>1.2153</v>
      </c>
      <c r="E66" s="4">
        <v>0</v>
      </c>
      <c r="F66" s="4"/>
      <c r="G66" s="4"/>
      <c r="H66" s="5">
        <f t="shared" si="0"/>
        <v>4.1388174807197947E-2</v>
      </c>
    </row>
    <row r="67" spans="1:8" ht="13.5" x14ac:dyDescent="0.25">
      <c r="A67" s="1"/>
      <c r="B67" s="3">
        <v>42401</v>
      </c>
      <c r="C67" s="4">
        <v>1.59</v>
      </c>
      <c r="D67" s="4">
        <v>1.2796000000000001</v>
      </c>
      <c r="E67" s="4">
        <v>2172</v>
      </c>
      <c r="F67" s="4"/>
      <c r="G67" s="4"/>
      <c r="H67" s="5">
        <f t="shared" si="0"/>
        <v>5.2908746811486891E-2</v>
      </c>
    </row>
    <row r="68" spans="1:8" ht="13.5" x14ac:dyDescent="0.25">
      <c r="A68" s="1"/>
      <c r="B68" s="3">
        <v>42402</v>
      </c>
      <c r="C68" s="4">
        <v>1.66</v>
      </c>
      <c r="D68" s="4">
        <v>1.3360000000000001</v>
      </c>
      <c r="E68" s="4">
        <v>0</v>
      </c>
      <c r="F68" s="4"/>
      <c r="G68" s="4"/>
      <c r="H68" s="5">
        <f t="shared" si="0"/>
        <v>4.4076273835573616E-2</v>
      </c>
    </row>
    <row r="69" spans="1:8" ht="13.5" x14ac:dyDescent="0.25">
      <c r="A69" s="1"/>
      <c r="B69" s="3">
        <v>42403</v>
      </c>
      <c r="C69" s="4">
        <v>1.73</v>
      </c>
      <c r="D69" s="4">
        <v>1.3923000000000001</v>
      </c>
      <c r="E69" s="4">
        <v>0</v>
      </c>
      <c r="F69" s="4"/>
      <c r="G69" s="4"/>
      <c r="H69" s="5">
        <f t="shared" si="0"/>
        <v>4.2140718562874262E-2</v>
      </c>
    </row>
    <row r="70" spans="1:8" ht="13.5" x14ac:dyDescent="0.25">
      <c r="A70" s="1"/>
      <c r="B70" s="3">
        <v>42404</v>
      </c>
      <c r="C70" s="4">
        <v>1.83</v>
      </c>
      <c r="D70" s="4">
        <v>1.4728000000000001</v>
      </c>
      <c r="E70" s="4">
        <v>67277</v>
      </c>
      <c r="F70" s="4"/>
      <c r="G70" s="4"/>
      <c r="H70" s="5">
        <f t="shared" si="0"/>
        <v>5.7817998994469592E-2</v>
      </c>
    </row>
    <row r="71" spans="1:8" ht="13.5" x14ac:dyDescent="0.25">
      <c r="A71" s="1"/>
      <c r="B71" s="3">
        <v>42405</v>
      </c>
      <c r="C71" s="4">
        <v>1.91</v>
      </c>
      <c r="D71" s="4">
        <v>1.5371999999999999</v>
      </c>
      <c r="E71" s="4">
        <v>0</v>
      </c>
      <c r="F71" s="4"/>
      <c r="G71" s="4"/>
      <c r="H71" s="5">
        <f t="shared" ref="H71:H134" si="1">(D71-D70)/D70</f>
        <v>4.372623574144472E-2</v>
      </c>
    </row>
    <row r="72" spans="1:8" ht="13.5" x14ac:dyDescent="0.25">
      <c r="A72" s="1"/>
      <c r="B72" s="3">
        <v>42408</v>
      </c>
      <c r="C72" s="4">
        <v>2.02</v>
      </c>
      <c r="D72" s="4">
        <v>1.6256999999999999</v>
      </c>
      <c r="E72" s="4">
        <v>54455</v>
      </c>
      <c r="F72" s="4"/>
      <c r="G72" s="4"/>
      <c r="H72" s="5">
        <f t="shared" si="1"/>
        <v>5.7572209211553489E-2</v>
      </c>
    </row>
    <row r="73" spans="1:8" ht="13.5" x14ac:dyDescent="0.25">
      <c r="A73" s="1"/>
      <c r="B73" s="3">
        <v>42409</v>
      </c>
      <c r="C73" s="4">
        <v>2.11</v>
      </c>
      <c r="D73" s="4">
        <v>1.6980999999999999</v>
      </c>
      <c r="E73" s="4">
        <v>0</v>
      </c>
      <c r="F73" s="4"/>
      <c r="G73" s="4"/>
      <c r="H73" s="5">
        <f t="shared" si="1"/>
        <v>4.4534661991757409E-2</v>
      </c>
    </row>
    <row r="74" spans="1:8" ht="13.5" x14ac:dyDescent="0.25">
      <c r="A74" s="1"/>
      <c r="B74" s="3">
        <v>42410</v>
      </c>
      <c r="C74" s="4">
        <v>2.23</v>
      </c>
      <c r="D74" s="4">
        <v>1.7947</v>
      </c>
      <c r="E74" s="4">
        <v>53939</v>
      </c>
      <c r="F74" s="4"/>
      <c r="G74" s="4"/>
      <c r="H74" s="5">
        <f t="shared" si="1"/>
        <v>5.688710912195985E-2</v>
      </c>
    </row>
    <row r="75" spans="1:8" ht="13.5" x14ac:dyDescent="0.25">
      <c r="A75" s="1"/>
      <c r="B75" s="3">
        <v>42411</v>
      </c>
      <c r="C75" s="4">
        <v>2.36</v>
      </c>
      <c r="D75" s="4">
        <v>1.8993</v>
      </c>
      <c r="E75" s="4">
        <v>43767</v>
      </c>
      <c r="F75" s="4"/>
      <c r="G75" s="4"/>
      <c r="H75" s="5">
        <f t="shared" si="1"/>
        <v>5.8282721346186006E-2</v>
      </c>
    </row>
    <row r="76" spans="1:8" ht="13.5" x14ac:dyDescent="0.25">
      <c r="A76" s="1"/>
      <c r="B76" s="3">
        <v>42412</v>
      </c>
      <c r="C76" s="4">
        <v>2.46</v>
      </c>
      <c r="D76" s="4">
        <v>1.9798</v>
      </c>
      <c r="E76" s="4">
        <v>0</v>
      </c>
      <c r="F76" s="4"/>
      <c r="G76" s="4"/>
      <c r="H76" s="5">
        <f t="shared" si="1"/>
        <v>4.2384036223871963E-2</v>
      </c>
    </row>
    <row r="77" spans="1:8" ht="13.5" x14ac:dyDescent="0.25">
      <c r="A77" s="1"/>
      <c r="B77" s="3">
        <v>42415</v>
      </c>
      <c r="C77" s="4">
        <v>2.6</v>
      </c>
      <c r="D77" s="4">
        <v>2.0924999999999998</v>
      </c>
      <c r="E77" s="4">
        <v>30802</v>
      </c>
      <c r="F77" s="4"/>
      <c r="G77" s="4"/>
      <c r="H77" s="5">
        <f t="shared" si="1"/>
        <v>5.6924941913324478E-2</v>
      </c>
    </row>
    <row r="78" spans="1:8" ht="13.5" x14ac:dyDescent="0.25">
      <c r="A78" s="1"/>
      <c r="B78" s="3">
        <v>42416</v>
      </c>
      <c r="C78" s="4">
        <v>2.75</v>
      </c>
      <c r="D78" s="4">
        <v>2.2132000000000001</v>
      </c>
      <c r="E78" s="4">
        <v>19100</v>
      </c>
      <c r="F78" s="4"/>
      <c r="G78" s="4"/>
      <c r="H78" s="5">
        <f t="shared" si="1"/>
        <v>5.7682198327359741E-2</v>
      </c>
    </row>
    <row r="79" spans="1:8" ht="13.5" x14ac:dyDescent="0.25">
      <c r="A79" s="1"/>
      <c r="B79" s="3">
        <v>42417</v>
      </c>
      <c r="C79" s="4">
        <v>2.87</v>
      </c>
      <c r="D79" s="4">
        <v>2.3098000000000001</v>
      </c>
      <c r="E79" s="4">
        <v>0</v>
      </c>
      <c r="F79" s="4"/>
      <c r="G79" s="4"/>
      <c r="H79" s="5">
        <f t="shared" si="1"/>
        <v>4.3647207663112246E-2</v>
      </c>
    </row>
    <row r="80" spans="1:8" ht="13.5" x14ac:dyDescent="0.25">
      <c r="A80" s="1"/>
      <c r="B80" s="3">
        <v>42418</v>
      </c>
      <c r="C80" s="4">
        <v>2.99</v>
      </c>
      <c r="D80" s="4">
        <v>2.4064000000000001</v>
      </c>
      <c r="E80" s="4">
        <v>0</v>
      </c>
      <c r="F80" s="4"/>
      <c r="G80" s="4"/>
      <c r="H80" s="5">
        <f t="shared" si="1"/>
        <v>4.1821802753485154E-2</v>
      </c>
    </row>
    <row r="81" spans="1:8" ht="13.5" x14ac:dyDescent="0.25">
      <c r="A81" s="1"/>
      <c r="B81" s="3">
        <v>42419</v>
      </c>
      <c r="C81" s="4">
        <v>2.81</v>
      </c>
      <c r="D81" s="4">
        <v>2.2614999999999998</v>
      </c>
      <c r="E81" s="4">
        <v>113555</v>
      </c>
      <c r="F81" s="4"/>
      <c r="G81" s="4"/>
      <c r="H81" s="5">
        <f t="shared" si="1"/>
        <v>-6.0214428191489464E-2</v>
      </c>
    </row>
    <row r="82" spans="1:8" ht="13.5" x14ac:dyDescent="0.25">
      <c r="A82" s="1"/>
      <c r="B82" s="3">
        <v>42422</v>
      </c>
      <c r="C82" s="4">
        <v>2.65</v>
      </c>
      <c r="D82" s="4">
        <v>2.1326999999999998</v>
      </c>
      <c r="E82" s="4">
        <v>117765</v>
      </c>
      <c r="F82" s="4"/>
      <c r="G82" s="4"/>
      <c r="H82" s="5">
        <f t="shared" si="1"/>
        <v>-5.6953349546761012E-2</v>
      </c>
    </row>
    <row r="83" spans="1:8" ht="13.5" x14ac:dyDescent="0.25">
      <c r="A83" s="1"/>
      <c r="B83" s="3">
        <v>42423</v>
      </c>
      <c r="C83" s="4">
        <v>2.54</v>
      </c>
      <c r="D83" s="4">
        <v>2.0442</v>
      </c>
      <c r="E83" s="4">
        <v>0</v>
      </c>
      <c r="F83" s="4"/>
      <c r="G83" s="4"/>
      <c r="H83" s="5">
        <f t="shared" si="1"/>
        <v>-4.1496694331129465E-2</v>
      </c>
    </row>
    <row r="84" spans="1:8" ht="13.5" x14ac:dyDescent="0.25">
      <c r="A84" s="1"/>
      <c r="B84" s="3">
        <v>42424</v>
      </c>
      <c r="C84" s="4">
        <v>2.4300000000000002</v>
      </c>
      <c r="D84" s="4">
        <v>1.9557</v>
      </c>
      <c r="E84" s="4">
        <v>0</v>
      </c>
      <c r="F84" s="4"/>
      <c r="G84" s="4"/>
      <c r="H84" s="5">
        <f t="shared" si="1"/>
        <v>-4.3293219841502799E-2</v>
      </c>
    </row>
    <row r="85" spans="1:8" ht="13.5" x14ac:dyDescent="0.25">
      <c r="A85" s="1"/>
      <c r="B85" s="3">
        <v>42425</v>
      </c>
      <c r="C85" s="4">
        <v>2.33</v>
      </c>
      <c r="D85" s="4">
        <v>1.8752</v>
      </c>
      <c r="E85" s="4">
        <v>0</v>
      </c>
      <c r="F85" s="4"/>
      <c r="G85" s="4"/>
      <c r="H85" s="5">
        <f t="shared" si="1"/>
        <v>-4.116173237204071E-2</v>
      </c>
    </row>
    <row r="86" spans="1:8" ht="13.5" x14ac:dyDescent="0.25">
      <c r="A86" s="1"/>
      <c r="B86" s="3">
        <v>42426</v>
      </c>
      <c r="C86" s="4">
        <v>2.4500000000000002</v>
      </c>
      <c r="D86" s="4">
        <v>1.9718</v>
      </c>
      <c r="E86" s="4">
        <v>81059</v>
      </c>
      <c r="F86" s="4"/>
      <c r="G86" s="4"/>
      <c r="H86" s="5">
        <f t="shared" si="1"/>
        <v>5.1514505119453935E-2</v>
      </c>
    </row>
    <row r="87" spans="1:8" ht="13.5" x14ac:dyDescent="0.25">
      <c r="A87" s="1"/>
      <c r="B87" s="3">
        <v>42429</v>
      </c>
      <c r="C87" s="4">
        <v>2.59</v>
      </c>
      <c r="D87" s="4">
        <v>2.0844999999999998</v>
      </c>
      <c r="E87" s="4">
        <v>12817</v>
      </c>
      <c r="F87" s="4"/>
      <c r="G87" s="4"/>
      <c r="H87" s="5">
        <f t="shared" si="1"/>
        <v>5.7155898164113907E-2</v>
      </c>
    </row>
    <row r="88" spans="1:8" ht="13.5" x14ac:dyDescent="0.25">
      <c r="A88" s="1"/>
      <c r="B88" s="3">
        <v>42430</v>
      </c>
      <c r="C88" s="4">
        <v>2.5499999999999998</v>
      </c>
      <c r="D88" s="4">
        <v>2.0522999999999998</v>
      </c>
      <c r="E88" s="4">
        <v>26459</v>
      </c>
      <c r="F88" s="4"/>
      <c r="G88" s="4"/>
      <c r="H88" s="5">
        <f t="shared" si="1"/>
        <v>-1.5447349484288803E-2</v>
      </c>
    </row>
    <row r="89" spans="1:8" ht="13.5" x14ac:dyDescent="0.25">
      <c r="A89" s="1"/>
      <c r="B89" s="3">
        <v>42431</v>
      </c>
      <c r="C89" s="4">
        <v>2.5</v>
      </c>
      <c r="D89" s="4">
        <v>2.012</v>
      </c>
      <c r="E89" s="4">
        <v>18005</v>
      </c>
      <c r="F89" s="4"/>
      <c r="G89" s="4"/>
      <c r="H89" s="5">
        <f t="shared" si="1"/>
        <v>-1.9636505384202984E-2</v>
      </c>
    </row>
    <row r="90" spans="1:8" ht="13.5" x14ac:dyDescent="0.25">
      <c r="A90" s="1"/>
      <c r="B90" s="3">
        <v>42432</v>
      </c>
      <c r="C90" s="4">
        <v>2.6</v>
      </c>
      <c r="D90" s="4">
        <v>2.0924999999999998</v>
      </c>
      <c r="E90" s="4">
        <v>19215</v>
      </c>
      <c r="F90" s="4"/>
      <c r="G90" s="4"/>
      <c r="H90" s="5">
        <f t="shared" si="1"/>
        <v>4.0009940357852783E-2</v>
      </c>
    </row>
    <row r="91" spans="1:8" ht="13.5" x14ac:dyDescent="0.25">
      <c r="A91" s="1"/>
      <c r="B91" s="3">
        <v>42433</v>
      </c>
      <c r="C91" s="4">
        <v>2.62</v>
      </c>
      <c r="D91" s="4">
        <v>2.1086</v>
      </c>
      <c r="E91" s="4">
        <v>15520</v>
      </c>
      <c r="F91" s="4"/>
      <c r="G91" s="4"/>
      <c r="H91" s="5">
        <f t="shared" si="1"/>
        <v>7.6941457586619964E-3</v>
      </c>
    </row>
    <row r="92" spans="1:8" ht="13.5" x14ac:dyDescent="0.25">
      <c r="A92" s="1"/>
      <c r="B92" s="3">
        <v>42436</v>
      </c>
      <c r="C92" s="4">
        <v>2.4700000000000002</v>
      </c>
      <c r="D92" s="4">
        <v>1.9879</v>
      </c>
      <c r="E92" s="4">
        <v>4146</v>
      </c>
      <c r="F92" s="4"/>
      <c r="G92" s="4"/>
      <c r="H92" s="5">
        <f t="shared" si="1"/>
        <v>-5.7241771791710153E-2</v>
      </c>
    </row>
    <row r="93" spans="1:8" ht="13.5" x14ac:dyDescent="0.25">
      <c r="A93" s="1"/>
      <c r="B93" s="3">
        <v>42437</v>
      </c>
      <c r="C93" s="4">
        <v>2.33</v>
      </c>
      <c r="D93" s="4">
        <v>1.8752</v>
      </c>
      <c r="E93" s="4">
        <v>10799</v>
      </c>
      <c r="F93" s="4"/>
      <c r="G93" s="4"/>
      <c r="H93" s="5">
        <f t="shared" si="1"/>
        <v>-5.6692992605261845E-2</v>
      </c>
    </row>
    <row r="94" spans="1:8" ht="13.5" x14ac:dyDescent="0.25">
      <c r="A94" s="1"/>
      <c r="B94" s="3">
        <v>42438</v>
      </c>
      <c r="C94" s="4">
        <v>2.31</v>
      </c>
      <c r="D94" s="4">
        <v>1.8591</v>
      </c>
      <c r="E94" s="4">
        <v>1080</v>
      </c>
      <c r="F94" s="4"/>
      <c r="G94" s="4"/>
      <c r="H94" s="5">
        <f t="shared" si="1"/>
        <v>-8.5857508532423219E-3</v>
      </c>
    </row>
    <row r="95" spans="1:8" ht="13.5" x14ac:dyDescent="0.25">
      <c r="A95" s="1"/>
      <c r="B95" s="3">
        <v>42439</v>
      </c>
      <c r="C95" s="4">
        <v>2.17</v>
      </c>
      <c r="D95" s="4">
        <v>1.7464</v>
      </c>
      <c r="E95" s="4">
        <v>2355</v>
      </c>
      <c r="F95" s="4"/>
      <c r="G95" s="4"/>
      <c r="H95" s="5">
        <f t="shared" si="1"/>
        <v>-6.0620730460975755E-2</v>
      </c>
    </row>
    <row r="96" spans="1:8" ht="13.5" x14ac:dyDescent="0.25">
      <c r="A96" s="1"/>
      <c r="B96" s="3">
        <v>42440</v>
      </c>
      <c r="C96" s="4">
        <v>2.1800000000000002</v>
      </c>
      <c r="D96" s="4">
        <v>1.7544999999999999</v>
      </c>
      <c r="E96" s="4">
        <v>7950</v>
      </c>
      <c r="F96" s="4"/>
      <c r="G96" s="4"/>
      <c r="H96" s="5">
        <f t="shared" si="1"/>
        <v>4.6381126889601448E-3</v>
      </c>
    </row>
    <row r="97" spans="1:8" ht="13.5" x14ac:dyDescent="0.25">
      <c r="A97" s="1"/>
      <c r="B97" s="3">
        <v>42443</v>
      </c>
      <c r="C97" s="4">
        <v>2.31</v>
      </c>
      <c r="D97" s="4">
        <v>1.8591</v>
      </c>
      <c r="E97" s="4">
        <v>12739</v>
      </c>
      <c r="F97" s="4"/>
      <c r="G97" s="4"/>
      <c r="H97" s="5">
        <f t="shared" si="1"/>
        <v>5.9618124821886595E-2</v>
      </c>
    </row>
    <row r="98" spans="1:8" ht="13.5" x14ac:dyDescent="0.25">
      <c r="A98" s="1"/>
      <c r="B98" s="3">
        <v>42444</v>
      </c>
      <c r="C98" s="4">
        <v>2.44</v>
      </c>
      <c r="D98" s="4">
        <v>1.9637</v>
      </c>
      <c r="E98" s="4">
        <v>7513</v>
      </c>
      <c r="F98" s="4"/>
      <c r="G98" s="4"/>
      <c r="H98" s="5">
        <f t="shared" si="1"/>
        <v>5.6263783551180696E-2</v>
      </c>
    </row>
    <row r="99" spans="1:8" ht="13.5" x14ac:dyDescent="0.25">
      <c r="A99" s="1"/>
      <c r="B99" s="3">
        <v>42445</v>
      </c>
      <c r="C99" s="4">
        <v>2.4500000000000002</v>
      </c>
      <c r="D99" s="4">
        <v>1.9718</v>
      </c>
      <c r="E99" s="4">
        <v>8893</v>
      </c>
      <c r="F99" s="4"/>
      <c r="G99" s="4"/>
      <c r="H99" s="5">
        <f t="shared" si="1"/>
        <v>4.1248663237765425E-3</v>
      </c>
    </row>
    <row r="100" spans="1:8" ht="13.5" x14ac:dyDescent="0.25">
      <c r="A100" s="1"/>
      <c r="B100" s="3">
        <v>42446</v>
      </c>
      <c r="C100" s="4">
        <v>2.35</v>
      </c>
      <c r="D100" s="4">
        <v>1.8913</v>
      </c>
      <c r="E100" s="4">
        <v>6788</v>
      </c>
      <c r="F100" s="4"/>
      <c r="G100" s="4"/>
      <c r="H100" s="5">
        <f t="shared" si="1"/>
        <v>-4.0825641545795731E-2</v>
      </c>
    </row>
    <row r="101" spans="1:8" ht="13.5" x14ac:dyDescent="0.25">
      <c r="A101" s="1"/>
      <c r="B101" s="3">
        <v>42447</v>
      </c>
      <c r="C101" s="4">
        <v>2.35</v>
      </c>
      <c r="D101" s="4">
        <v>1.8913</v>
      </c>
      <c r="E101" s="4">
        <v>3142</v>
      </c>
      <c r="F101" s="4"/>
      <c r="G101" s="4"/>
      <c r="H101" s="5">
        <f t="shared" si="1"/>
        <v>0</v>
      </c>
    </row>
    <row r="102" spans="1:8" ht="13.5" x14ac:dyDescent="0.25">
      <c r="A102" s="1"/>
      <c r="B102" s="3">
        <v>42450</v>
      </c>
      <c r="C102" s="4">
        <v>2.21</v>
      </c>
      <c r="D102" s="4">
        <v>1.7786</v>
      </c>
      <c r="E102" s="4">
        <v>3260</v>
      </c>
      <c r="F102" s="4"/>
      <c r="G102" s="4"/>
      <c r="H102" s="5">
        <f t="shared" si="1"/>
        <v>-5.9588642732512041E-2</v>
      </c>
    </row>
    <row r="103" spans="1:8" ht="13.5" x14ac:dyDescent="0.25">
      <c r="A103" s="1"/>
      <c r="B103" s="3">
        <v>42451</v>
      </c>
      <c r="C103" s="4">
        <v>2.29</v>
      </c>
      <c r="D103" s="4">
        <v>1.843</v>
      </c>
      <c r="E103" s="4">
        <v>14468</v>
      </c>
      <c r="F103" s="4"/>
      <c r="G103" s="4"/>
      <c r="H103" s="5">
        <f t="shared" si="1"/>
        <v>3.6208253682671769E-2</v>
      </c>
    </row>
    <row r="104" spans="1:8" ht="13.5" x14ac:dyDescent="0.25">
      <c r="A104" s="1"/>
      <c r="B104" s="3">
        <v>42452</v>
      </c>
      <c r="C104" s="4">
        <v>2.2400000000000002</v>
      </c>
      <c r="D104" s="4">
        <v>1.8028</v>
      </c>
      <c r="E104" s="4">
        <v>2897</v>
      </c>
      <c r="F104" s="4"/>
      <c r="G104" s="4"/>
      <c r="H104" s="5">
        <f t="shared" si="1"/>
        <v>-2.1812262615301146E-2</v>
      </c>
    </row>
    <row r="105" spans="1:8" ht="13.5" x14ac:dyDescent="0.25">
      <c r="A105" s="1"/>
      <c r="B105" s="3">
        <v>42453</v>
      </c>
      <c r="C105" s="4">
        <v>2.2999999999999998</v>
      </c>
      <c r="D105" s="4">
        <v>1.8511</v>
      </c>
      <c r="E105" s="4">
        <v>643</v>
      </c>
      <c r="F105" s="4"/>
      <c r="G105" s="4"/>
      <c r="H105" s="5">
        <f t="shared" si="1"/>
        <v>2.6791657421788337E-2</v>
      </c>
    </row>
    <row r="106" spans="1:8" ht="13.5" x14ac:dyDescent="0.25">
      <c r="A106" s="1"/>
      <c r="B106" s="3">
        <v>42454</v>
      </c>
      <c r="C106" s="4">
        <v>2.2400000000000002</v>
      </c>
      <c r="D106" s="4">
        <v>1.8028</v>
      </c>
      <c r="E106" s="4">
        <v>385</v>
      </c>
      <c r="F106" s="4"/>
      <c r="G106" s="4"/>
      <c r="H106" s="5">
        <f t="shared" si="1"/>
        <v>-2.6092593592998762E-2</v>
      </c>
    </row>
    <row r="107" spans="1:8" ht="13.5" x14ac:dyDescent="0.25">
      <c r="A107" s="1"/>
      <c r="B107" s="3">
        <v>42457</v>
      </c>
      <c r="C107" s="4">
        <v>2.1800000000000002</v>
      </c>
      <c r="D107" s="4">
        <v>1.7544999999999999</v>
      </c>
      <c r="E107" s="4">
        <v>4748</v>
      </c>
      <c r="F107" s="4"/>
      <c r="G107" s="4"/>
      <c r="H107" s="5">
        <f t="shared" si="1"/>
        <v>-2.6791657421788337E-2</v>
      </c>
    </row>
    <row r="108" spans="1:8" ht="13.5" x14ac:dyDescent="0.25">
      <c r="A108" s="1"/>
      <c r="B108" s="3">
        <v>42458</v>
      </c>
      <c r="C108" s="4">
        <v>2.09</v>
      </c>
      <c r="D108" s="4">
        <v>1.6819999999999999</v>
      </c>
      <c r="E108" s="4">
        <v>5892</v>
      </c>
      <c r="F108" s="4"/>
      <c r="G108" s="4"/>
      <c r="H108" s="5">
        <f t="shared" si="1"/>
        <v>-4.1322314049586785E-2</v>
      </c>
    </row>
    <row r="109" spans="1:8" ht="13.5" x14ac:dyDescent="0.25">
      <c r="A109" s="1"/>
      <c r="B109" s="3">
        <v>42459</v>
      </c>
      <c r="C109" s="4">
        <v>2.21</v>
      </c>
      <c r="D109" s="4">
        <v>1.7786</v>
      </c>
      <c r="E109" s="4">
        <v>6587</v>
      </c>
      <c r="F109" s="4"/>
      <c r="G109" s="4"/>
      <c r="H109" s="5">
        <f t="shared" si="1"/>
        <v>5.7431629013079681E-2</v>
      </c>
    </row>
    <row r="110" spans="1:8" ht="13.5" x14ac:dyDescent="0.25">
      <c r="A110" s="1"/>
      <c r="B110" s="3">
        <v>42460</v>
      </c>
      <c r="C110" s="4">
        <v>2.2999999999999998</v>
      </c>
      <c r="D110" s="4">
        <v>1.8511</v>
      </c>
      <c r="E110" s="4">
        <v>0</v>
      </c>
      <c r="F110" s="4"/>
      <c r="G110" s="4"/>
      <c r="H110" s="5">
        <f t="shared" si="1"/>
        <v>4.0762397391206573E-2</v>
      </c>
    </row>
    <row r="111" spans="1:8" ht="13.5" x14ac:dyDescent="0.25">
      <c r="A111" s="1"/>
      <c r="B111" s="3">
        <v>42461</v>
      </c>
      <c r="C111" s="4">
        <v>2.4</v>
      </c>
      <c r="D111" s="4">
        <v>1.9315</v>
      </c>
      <c r="E111" s="4">
        <v>36777</v>
      </c>
      <c r="F111" s="4"/>
      <c r="G111" s="4"/>
      <c r="H111" s="5">
        <f t="shared" si="1"/>
        <v>4.3433634055426516E-2</v>
      </c>
    </row>
    <row r="112" spans="1:8" ht="13.5" x14ac:dyDescent="0.25">
      <c r="A112" s="1"/>
      <c r="B112" s="3">
        <v>42464</v>
      </c>
      <c r="C112" s="4">
        <v>2.4300000000000002</v>
      </c>
      <c r="D112" s="4">
        <v>1.9557</v>
      </c>
      <c r="E112" s="4">
        <v>18742</v>
      </c>
      <c r="F112" s="4"/>
      <c r="G112" s="4"/>
      <c r="H112" s="5">
        <f t="shared" si="1"/>
        <v>1.2529122443696609E-2</v>
      </c>
    </row>
    <row r="113" spans="1:8" ht="13.5" x14ac:dyDescent="0.25">
      <c r="A113" s="1"/>
      <c r="B113" s="3">
        <v>42465</v>
      </c>
      <c r="C113" s="4">
        <v>2.5099999999999998</v>
      </c>
      <c r="D113" s="4">
        <v>2.0200999999999998</v>
      </c>
      <c r="E113" s="4">
        <v>69796</v>
      </c>
      <c r="F113" s="4"/>
      <c r="G113" s="4"/>
      <c r="H113" s="5">
        <f t="shared" si="1"/>
        <v>3.2929385897632453E-2</v>
      </c>
    </row>
    <row r="114" spans="1:8" ht="13.5" x14ac:dyDescent="0.25">
      <c r="A114" s="1"/>
      <c r="B114" s="3">
        <v>42466</v>
      </c>
      <c r="C114" s="4">
        <v>2.63</v>
      </c>
      <c r="D114" s="4">
        <v>2.1166</v>
      </c>
      <c r="E114" s="4">
        <v>70856</v>
      </c>
      <c r="F114" s="4"/>
      <c r="G114" s="4"/>
      <c r="H114" s="5">
        <f t="shared" si="1"/>
        <v>4.7769912380575347E-2</v>
      </c>
    </row>
    <row r="115" spans="1:8" ht="13.5" x14ac:dyDescent="0.25">
      <c r="A115" s="1"/>
      <c r="B115" s="3">
        <v>42467</v>
      </c>
      <c r="C115" s="4">
        <v>2.74</v>
      </c>
      <c r="D115" s="4">
        <v>2.2052</v>
      </c>
      <c r="E115" s="4">
        <v>0</v>
      </c>
      <c r="F115" s="4"/>
      <c r="G115" s="4"/>
      <c r="H115" s="5">
        <f t="shared" si="1"/>
        <v>4.1859586128696974E-2</v>
      </c>
    </row>
    <row r="116" spans="1:8" ht="13.5" x14ac:dyDescent="0.25">
      <c r="A116" s="1"/>
      <c r="B116" s="3">
        <v>42468</v>
      </c>
      <c r="C116" s="4">
        <v>2.9</v>
      </c>
      <c r="D116" s="4">
        <v>2.3338999999999999</v>
      </c>
      <c r="E116" s="4">
        <v>46077</v>
      </c>
      <c r="F116" s="4"/>
      <c r="G116" s="4"/>
      <c r="H116" s="5">
        <f t="shared" si="1"/>
        <v>5.83620533284962E-2</v>
      </c>
    </row>
    <row r="117" spans="1:8" ht="13.5" x14ac:dyDescent="0.25">
      <c r="A117" s="1"/>
      <c r="B117" s="3">
        <v>42471</v>
      </c>
      <c r="C117" s="4">
        <v>3.03</v>
      </c>
      <c r="D117" s="4">
        <v>2.4386000000000001</v>
      </c>
      <c r="E117" s="4">
        <v>0</v>
      </c>
      <c r="F117" s="4"/>
      <c r="G117" s="4"/>
      <c r="H117" s="5">
        <f t="shared" si="1"/>
        <v>4.486053387034588E-2</v>
      </c>
    </row>
    <row r="118" spans="1:8" ht="13.5" x14ac:dyDescent="0.25">
      <c r="A118" s="1"/>
      <c r="B118" s="3">
        <v>42472</v>
      </c>
      <c r="C118" s="4">
        <v>2.9</v>
      </c>
      <c r="D118" s="4">
        <v>2.3338999999999999</v>
      </c>
      <c r="E118" s="4">
        <v>89210</v>
      </c>
      <c r="F118" s="4"/>
      <c r="G118" s="4"/>
      <c r="H118" s="5">
        <f t="shared" si="1"/>
        <v>-4.2934470597884127E-2</v>
      </c>
    </row>
    <row r="119" spans="1:8" ht="13.5" x14ac:dyDescent="0.25">
      <c r="A119" s="1"/>
      <c r="B119" s="3">
        <v>42473</v>
      </c>
      <c r="C119" s="4">
        <v>2.86</v>
      </c>
      <c r="D119" s="4">
        <v>2.3018000000000001</v>
      </c>
      <c r="E119" s="4">
        <v>12154</v>
      </c>
      <c r="F119" s="4"/>
      <c r="G119" s="4"/>
      <c r="H119" s="5">
        <f t="shared" si="1"/>
        <v>-1.3753802647928273E-2</v>
      </c>
    </row>
    <row r="120" spans="1:8" ht="13.5" x14ac:dyDescent="0.25">
      <c r="A120" s="1"/>
      <c r="B120" s="3">
        <v>42474</v>
      </c>
      <c r="C120" s="4">
        <v>3.03</v>
      </c>
      <c r="D120" s="4">
        <v>2.4386000000000001</v>
      </c>
      <c r="E120" s="4">
        <v>55907</v>
      </c>
      <c r="F120" s="4"/>
      <c r="G120" s="4"/>
      <c r="H120" s="5">
        <f t="shared" si="1"/>
        <v>5.9431749065948399E-2</v>
      </c>
    </row>
    <row r="121" spans="1:8" ht="13.5" x14ac:dyDescent="0.25">
      <c r="A121" s="1"/>
      <c r="B121" s="3">
        <v>42475</v>
      </c>
      <c r="C121" s="4">
        <v>3.17</v>
      </c>
      <c r="D121" s="4">
        <v>2.5512000000000001</v>
      </c>
      <c r="E121" s="4">
        <v>56028</v>
      </c>
      <c r="F121" s="4"/>
      <c r="G121" s="4"/>
      <c r="H121" s="5">
        <f t="shared" si="1"/>
        <v>4.6174034281965072E-2</v>
      </c>
    </row>
    <row r="122" spans="1:8" ht="13.5" x14ac:dyDescent="0.25">
      <c r="A122" s="1"/>
      <c r="B122" s="3">
        <v>42478</v>
      </c>
      <c r="C122" s="4">
        <v>3.23</v>
      </c>
      <c r="D122" s="4">
        <v>2.5994999999999999</v>
      </c>
      <c r="E122" s="4">
        <v>12047</v>
      </c>
      <c r="F122" s="4"/>
      <c r="G122" s="4"/>
      <c r="H122" s="5">
        <f t="shared" si="1"/>
        <v>1.8932267168391262E-2</v>
      </c>
    </row>
    <row r="123" spans="1:8" ht="13.5" x14ac:dyDescent="0.25">
      <c r="A123" s="1"/>
      <c r="B123" s="3">
        <v>42479</v>
      </c>
      <c r="C123" s="4">
        <v>3.42</v>
      </c>
      <c r="D123" s="4">
        <v>2.7524000000000002</v>
      </c>
      <c r="E123" s="4">
        <v>56852</v>
      </c>
      <c r="F123" s="4"/>
      <c r="G123" s="4"/>
      <c r="H123" s="5">
        <f t="shared" si="1"/>
        <v>5.8819003654549055E-2</v>
      </c>
    </row>
    <row r="124" spans="1:8" ht="13.5" x14ac:dyDescent="0.25">
      <c r="A124" s="1"/>
      <c r="B124" s="3">
        <v>42480</v>
      </c>
      <c r="C124" s="4">
        <v>3.4</v>
      </c>
      <c r="D124" s="4">
        <v>2.7363</v>
      </c>
      <c r="E124" s="4">
        <v>25713</v>
      </c>
      <c r="F124" s="4"/>
      <c r="G124" s="4"/>
      <c r="H124" s="5">
        <f t="shared" si="1"/>
        <v>-5.8494404883012007E-3</v>
      </c>
    </row>
    <row r="125" spans="1:8" ht="13.5" x14ac:dyDescent="0.25">
      <c r="A125" s="1"/>
      <c r="B125" s="3">
        <v>42481</v>
      </c>
      <c r="C125" s="4">
        <v>3.4</v>
      </c>
      <c r="D125" s="4">
        <v>2.7363</v>
      </c>
      <c r="E125" s="4">
        <v>41975</v>
      </c>
      <c r="F125" s="4"/>
      <c r="G125" s="4"/>
      <c r="H125" s="5">
        <f t="shared" si="1"/>
        <v>0</v>
      </c>
    </row>
    <row r="126" spans="1:8" ht="13.5" x14ac:dyDescent="0.25">
      <c r="A126" s="1"/>
      <c r="B126" s="3">
        <v>42482</v>
      </c>
      <c r="C126" s="4">
        <v>3.39</v>
      </c>
      <c r="D126" s="4">
        <v>2.7282999999999999</v>
      </c>
      <c r="E126" s="4">
        <v>674</v>
      </c>
      <c r="F126" s="4"/>
      <c r="G126" s="4"/>
      <c r="H126" s="5">
        <f t="shared" si="1"/>
        <v>-2.9236560318678536E-3</v>
      </c>
    </row>
    <row r="127" spans="1:8" ht="13.5" x14ac:dyDescent="0.25">
      <c r="A127" s="1"/>
      <c r="B127" s="3">
        <v>42485</v>
      </c>
      <c r="C127" s="4">
        <v>3.3</v>
      </c>
      <c r="D127" s="4">
        <v>2.6558999999999999</v>
      </c>
      <c r="E127" s="4">
        <v>8428</v>
      </c>
      <c r="F127" s="4"/>
      <c r="G127" s="4"/>
      <c r="H127" s="5">
        <f t="shared" si="1"/>
        <v>-2.6536671187186167E-2</v>
      </c>
    </row>
    <row r="128" spans="1:8" ht="13.5" x14ac:dyDescent="0.25">
      <c r="A128" s="1"/>
      <c r="B128" s="3">
        <v>42486</v>
      </c>
      <c r="C128" s="4">
        <v>3.38</v>
      </c>
      <c r="D128" s="4">
        <v>2.7202999999999999</v>
      </c>
      <c r="E128" s="4">
        <v>76035</v>
      </c>
      <c r="F128" s="4"/>
      <c r="G128" s="4"/>
      <c r="H128" s="5">
        <f t="shared" si="1"/>
        <v>2.4247900899883285E-2</v>
      </c>
    </row>
    <row r="129" spans="1:8" ht="13.5" x14ac:dyDescent="0.25">
      <c r="A129" s="1"/>
      <c r="B129" s="3">
        <v>42487</v>
      </c>
      <c r="C129" s="4">
        <v>3.5</v>
      </c>
      <c r="D129" s="4">
        <v>2.8168000000000002</v>
      </c>
      <c r="E129" s="4">
        <v>87561</v>
      </c>
      <c r="F129" s="4"/>
      <c r="G129" s="4"/>
      <c r="H129" s="5">
        <f t="shared" si="1"/>
        <v>3.5474028599786885E-2</v>
      </c>
    </row>
    <row r="130" spans="1:8" ht="13.5" x14ac:dyDescent="0.25">
      <c r="A130" s="1"/>
      <c r="B130" s="3">
        <v>42488</v>
      </c>
      <c r="C130" s="4">
        <v>3.58</v>
      </c>
      <c r="D130" s="4">
        <v>2.8812000000000002</v>
      </c>
      <c r="E130" s="4">
        <v>19764</v>
      </c>
      <c r="F130" s="4"/>
      <c r="G130" s="4"/>
      <c r="H130" s="5">
        <f t="shared" si="1"/>
        <v>2.2862823061630223E-2</v>
      </c>
    </row>
    <row r="131" spans="1:8" ht="13.5" x14ac:dyDescent="0.25">
      <c r="A131" s="1"/>
      <c r="B131" s="3">
        <v>42489</v>
      </c>
      <c r="C131" s="4">
        <v>3.57</v>
      </c>
      <c r="D131" s="4">
        <v>2.8732000000000002</v>
      </c>
      <c r="E131" s="4">
        <v>3785</v>
      </c>
      <c r="F131" s="4"/>
      <c r="G131" s="4"/>
      <c r="H131" s="5">
        <f t="shared" si="1"/>
        <v>-2.7766208524226039E-3</v>
      </c>
    </row>
    <row r="132" spans="1:8" ht="13.5" x14ac:dyDescent="0.25">
      <c r="A132" s="1"/>
      <c r="B132" s="3">
        <v>42492</v>
      </c>
      <c r="C132" s="4">
        <v>3.56</v>
      </c>
      <c r="D132" s="4">
        <v>2.8651</v>
      </c>
      <c r="E132" s="4">
        <v>25391</v>
      </c>
      <c r="F132" s="4"/>
      <c r="G132" s="4"/>
      <c r="H132" s="5">
        <f t="shared" si="1"/>
        <v>-2.819156341361624E-3</v>
      </c>
    </row>
    <row r="133" spans="1:8" ht="13.5" x14ac:dyDescent="0.25">
      <c r="A133" s="1"/>
      <c r="B133" s="3">
        <v>42493</v>
      </c>
      <c r="C133" s="4">
        <v>3.54</v>
      </c>
      <c r="D133" s="4">
        <v>2.8490000000000002</v>
      </c>
      <c r="E133" s="4">
        <v>13526</v>
      </c>
      <c r="F133" s="4"/>
      <c r="G133" s="4"/>
      <c r="H133" s="5">
        <f t="shared" si="1"/>
        <v>-5.6193501099437299E-3</v>
      </c>
    </row>
    <row r="134" spans="1:8" ht="13.5" x14ac:dyDescent="0.25">
      <c r="A134" s="1"/>
      <c r="B134" s="3">
        <v>42494</v>
      </c>
      <c r="C134" s="4">
        <v>3.44</v>
      </c>
      <c r="D134" s="4">
        <v>2.7685</v>
      </c>
      <c r="E134" s="4">
        <v>4150</v>
      </c>
      <c r="F134" s="4"/>
      <c r="G134" s="4"/>
      <c r="H134" s="5">
        <f t="shared" si="1"/>
        <v>-2.8255528255528337E-2</v>
      </c>
    </row>
    <row r="135" spans="1:8" ht="13.5" x14ac:dyDescent="0.25">
      <c r="A135" s="1"/>
      <c r="B135" s="3">
        <v>42495</v>
      </c>
      <c r="C135" s="4">
        <v>3.29</v>
      </c>
      <c r="D135" s="4">
        <v>2.6478000000000002</v>
      </c>
      <c r="E135" s="4">
        <v>9753</v>
      </c>
      <c r="F135" s="4"/>
      <c r="G135" s="4"/>
      <c r="H135" s="5">
        <f t="shared" ref="H135:H198" si="2">(D135-D134)/D134</f>
        <v>-4.3597616037565401E-2</v>
      </c>
    </row>
    <row r="136" spans="1:8" ht="13.5" x14ac:dyDescent="0.25">
      <c r="A136" s="1"/>
      <c r="B136" s="3">
        <v>42496</v>
      </c>
      <c r="C136" s="4">
        <v>3.17</v>
      </c>
      <c r="D136" s="4">
        <v>2.5512000000000001</v>
      </c>
      <c r="E136" s="4">
        <v>15227</v>
      </c>
      <c r="F136" s="4"/>
      <c r="G136" s="4"/>
      <c r="H136" s="5">
        <f t="shared" si="2"/>
        <v>-3.6483118060276459E-2</v>
      </c>
    </row>
    <row r="137" spans="1:8" ht="13.5" x14ac:dyDescent="0.25">
      <c r="A137" s="1"/>
      <c r="B137" s="3">
        <v>42499</v>
      </c>
      <c r="C137" s="4">
        <v>3.3</v>
      </c>
      <c r="D137" s="4">
        <v>2.6558999999999999</v>
      </c>
      <c r="E137" s="4">
        <v>18814</v>
      </c>
      <c r="F137" s="4"/>
      <c r="G137" s="4"/>
      <c r="H137" s="5">
        <f t="shared" si="2"/>
        <v>4.1039510818438298E-2</v>
      </c>
    </row>
    <row r="138" spans="1:8" ht="13.5" x14ac:dyDescent="0.25">
      <c r="A138" s="1"/>
      <c r="B138" s="3">
        <v>42500</v>
      </c>
      <c r="C138" s="4">
        <v>3.19</v>
      </c>
      <c r="D138" s="4">
        <v>2.5672999999999999</v>
      </c>
      <c r="E138" s="4">
        <v>5071</v>
      </c>
      <c r="F138" s="4"/>
      <c r="G138" s="4"/>
      <c r="H138" s="5">
        <f t="shared" si="2"/>
        <v>-3.3359689747354954E-2</v>
      </c>
    </row>
    <row r="139" spans="1:8" ht="13.5" x14ac:dyDescent="0.25">
      <c r="A139" s="1"/>
      <c r="B139" s="3">
        <v>42501</v>
      </c>
      <c r="C139" s="4">
        <v>3.24</v>
      </c>
      <c r="D139" s="4">
        <v>2.6076000000000001</v>
      </c>
      <c r="E139" s="4">
        <v>9104</v>
      </c>
      <c r="F139" s="4"/>
      <c r="G139" s="4"/>
      <c r="H139" s="5">
        <f t="shared" si="2"/>
        <v>1.5697425310637721E-2</v>
      </c>
    </row>
    <row r="140" spans="1:8" ht="13.5" x14ac:dyDescent="0.25">
      <c r="A140" s="1"/>
      <c r="B140" s="3">
        <v>42502</v>
      </c>
      <c r="C140" s="4">
        <v>3.22</v>
      </c>
      <c r="D140" s="4">
        <v>2.5914999999999999</v>
      </c>
      <c r="E140" s="4">
        <v>2871</v>
      </c>
      <c r="F140" s="4"/>
      <c r="G140" s="4"/>
      <c r="H140" s="5">
        <f t="shared" si="2"/>
        <v>-6.1742598558061912E-3</v>
      </c>
    </row>
    <row r="141" spans="1:8" ht="13.5" x14ac:dyDescent="0.25">
      <c r="A141" s="1"/>
      <c r="B141" s="3">
        <v>42503</v>
      </c>
      <c r="C141" s="4">
        <v>3.19</v>
      </c>
      <c r="D141" s="4">
        <v>2.5672999999999999</v>
      </c>
      <c r="E141" s="4">
        <v>4543</v>
      </c>
      <c r="F141" s="4"/>
      <c r="G141" s="4"/>
      <c r="H141" s="5">
        <f t="shared" si="2"/>
        <v>-9.3382211074667185E-3</v>
      </c>
    </row>
    <row r="142" spans="1:8" ht="13.5" x14ac:dyDescent="0.25">
      <c r="A142" s="1"/>
      <c r="B142" s="3">
        <v>42506</v>
      </c>
      <c r="C142" s="4">
        <v>3.18</v>
      </c>
      <c r="D142" s="4">
        <v>2.5592999999999999</v>
      </c>
      <c r="E142" s="4">
        <v>10521</v>
      </c>
      <c r="F142" s="4"/>
      <c r="G142" s="4"/>
      <c r="H142" s="5">
        <f t="shared" si="2"/>
        <v>-3.1161142055856376E-3</v>
      </c>
    </row>
    <row r="143" spans="1:8" ht="13.5" x14ac:dyDescent="0.25">
      <c r="A143" s="1"/>
      <c r="B143" s="3">
        <v>42507</v>
      </c>
      <c r="C143" s="4">
        <v>3.19</v>
      </c>
      <c r="D143" s="4">
        <v>2.5672999999999999</v>
      </c>
      <c r="E143" s="4">
        <v>1453</v>
      </c>
      <c r="F143" s="4"/>
      <c r="G143" s="4"/>
      <c r="H143" s="5">
        <f t="shared" si="2"/>
        <v>3.1258547259016166E-3</v>
      </c>
    </row>
    <row r="144" spans="1:8" ht="13.5" x14ac:dyDescent="0.25">
      <c r="A144" s="1"/>
      <c r="B144" s="3">
        <v>42508</v>
      </c>
      <c r="C144" s="4">
        <v>3.37</v>
      </c>
      <c r="D144" s="4">
        <v>2.7122000000000002</v>
      </c>
      <c r="E144" s="4">
        <v>97652</v>
      </c>
      <c r="F144" s="4"/>
      <c r="G144" s="4"/>
      <c r="H144" s="5">
        <f t="shared" si="2"/>
        <v>5.6440618548669906E-2</v>
      </c>
    </row>
    <row r="145" spans="1:8" ht="13.5" x14ac:dyDescent="0.25">
      <c r="A145" s="1"/>
      <c r="B145" s="3">
        <v>42509</v>
      </c>
      <c r="C145" s="4">
        <v>3.41</v>
      </c>
      <c r="D145" s="4">
        <v>2.7444000000000002</v>
      </c>
      <c r="E145" s="4">
        <v>8136</v>
      </c>
      <c r="F145" s="4"/>
      <c r="G145" s="4"/>
      <c r="H145" s="5">
        <f t="shared" si="2"/>
        <v>1.1872280805250351E-2</v>
      </c>
    </row>
    <row r="146" spans="1:8" ht="13.5" x14ac:dyDescent="0.25">
      <c r="A146" s="1"/>
      <c r="B146" s="3">
        <v>42510</v>
      </c>
      <c r="C146" s="4">
        <v>3.35</v>
      </c>
      <c r="D146" s="4">
        <v>2.6960999999999999</v>
      </c>
      <c r="E146" s="4">
        <v>231</v>
      </c>
      <c r="F146" s="4"/>
      <c r="G146" s="4"/>
      <c r="H146" s="5">
        <f t="shared" si="2"/>
        <v>-1.7599475295146563E-2</v>
      </c>
    </row>
    <row r="147" spans="1:8" ht="13.5" x14ac:dyDescent="0.25">
      <c r="A147" s="1"/>
      <c r="B147" s="3">
        <v>42513</v>
      </c>
      <c r="C147" s="4">
        <v>3.25</v>
      </c>
      <c r="D147" s="4">
        <v>2.6156000000000001</v>
      </c>
      <c r="E147" s="4">
        <v>4171</v>
      </c>
      <c r="F147" s="4"/>
      <c r="G147" s="4"/>
      <c r="H147" s="5">
        <f t="shared" si="2"/>
        <v>-2.9857942954638107E-2</v>
      </c>
    </row>
    <row r="148" spans="1:8" ht="13.5" x14ac:dyDescent="0.25">
      <c r="A148" s="1"/>
      <c r="B148" s="3">
        <v>42514</v>
      </c>
      <c r="C148" s="4">
        <v>3.16</v>
      </c>
      <c r="D148" s="4">
        <v>2.5432000000000001</v>
      </c>
      <c r="E148" s="4">
        <v>4491</v>
      </c>
      <c r="F148" s="4"/>
      <c r="G148" s="4"/>
      <c r="H148" s="5">
        <f t="shared" si="2"/>
        <v>-2.7680073405719534E-2</v>
      </c>
    </row>
    <row r="149" spans="1:8" ht="13.5" x14ac:dyDescent="0.25">
      <c r="A149" s="1"/>
      <c r="B149" s="3">
        <v>42515</v>
      </c>
      <c r="C149" s="4">
        <v>3.22</v>
      </c>
      <c r="D149" s="4">
        <v>2.5914999999999999</v>
      </c>
      <c r="E149" s="4">
        <v>61665</v>
      </c>
      <c r="F149" s="4"/>
      <c r="G149" s="4"/>
      <c r="H149" s="5">
        <f t="shared" si="2"/>
        <v>1.899182132746138E-2</v>
      </c>
    </row>
    <row r="150" spans="1:8" ht="13.5" x14ac:dyDescent="0.25">
      <c r="A150" s="1"/>
      <c r="B150" s="3">
        <v>42516</v>
      </c>
      <c r="C150" s="4">
        <v>3.31</v>
      </c>
      <c r="D150" s="4">
        <v>2.6638999999999999</v>
      </c>
      <c r="E150" s="4">
        <v>2532</v>
      </c>
      <c r="F150" s="4"/>
      <c r="G150" s="4"/>
      <c r="H150" s="5">
        <f t="shared" si="2"/>
        <v>2.793748794134672E-2</v>
      </c>
    </row>
    <row r="151" spans="1:8" ht="13.5" x14ac:dyDescent="0.25">
      <c r="A151" s="1"/>
      <c r="B151" s="3">
        <v>42517</v>
      </c>
      <c r="C151" s="4">
        <v>3.31</v>
      </c>
      <c r="D151" s="4">
        <v>2.6638999999999999</v>
      </c>
      <c r="E151" s="4">
        <v>1507</v>
      </c>
      <c r="F151" s="4"/>
      <c r="G151" s="4"/>
      <c r="H151" s="5">
        <f t="shared" si="2"/>
        <v>0</v>
      </c>
    </row>
    <row r="152" spans="1:8" ht="13.5" x14ac:dyDescent="0.25">
      <c r="A152" s="1"/>
      <c r="B152" s="3">
        <v>42520</v>
      </c>
      <c r="C152" s="4">
        <v>3.3</v>
      </c>
      <c r="D152" s="4">
        <v>2.6558999999999999</v>
      </c>
      <c r="E152" s="4">
        <v>2981</v>
      </c>
      <c r="F152" s="4"/>
      <c r="G152" s="4"/>
      <c r="H152" s="5">
        <f t="shared" si="2"/>
        <v>-3.0031157325725467E-3</v>
      </c>
    </row>
    <row r="153" spans="1:8" ht="13.5" x14ac:dyDescent="0.25">
      <c r="A153" s="1"/>
      <c r="B153" s="3">
        <v>42521</v>
      </c>
      <c r="C153" s="4">
        <v>3.23</v>
      </c>
      <c r="D153" s="4">
        <v>2.5994999999999999</v>
      </c>
      <c r="E153" s="4">
        <v>7269</v>
      </c>
      <c r="F153" s="4"/>
      <c r="G153" s="4"/>
      <c r="H153" s="5">
        <f t="shared" si="2"/>
        <v>-2.1235739297413309E-2</v>
      </c>
    </row>
    <row r="154" spans="1:8" ht="13.5" x14ac:dyDescent="0.25">
      <c r="A154" s="1"/>
      <c r="B154" s="3">
        <v>42522</v>
      </c>
      <c r="C154" s="4">
        <v>3.18</v>
      </c>
      <c r="D154" s="4">
        <v>2.5592999999999999</v>
      </c>
      <c r="E154" s="4">
        <v>7203</v>
      </c>
      <c r="F154" s="4"/>
      <c r="G154" s="4"/>
      <c r="H154" s="5">
        <f t="shared" si="2"/>
        <v>-1.5464512406231973E-2</v>
      </c>
    </row>
    <row r="155" spans="1:8" ht="13.5" x14ac:dyDescent="0.25">
      <c r="A155" s="1"/>
      <c r="B155" s="3">
        <v>42523</v>
      </c>
      <c r="C155" s="4">
        <v>3.24</v>
      </c>
      <c r="D155" s="4">
        <v>2.6076000000000001</v>
      </c>
      <c r="E155" s="4">
        <v>7884</v>
      </c>
      <c r="F155" s="4"/>
      <c r="G155" s="4"/>
      <c r="H155" s="5">
        <f t="shared" si="2"/>
        <v>1.8872347907631083E-2</v>
      </c>
    </row>
    <row r="156" spans="1:8" ht="13.5" x14ac:dyDescent="0.25">
      <c r="A156" s="1"/>
      <c r="B156" s="3">
        <v>42524</v>
      </c>
      <c r="C156" s="4">
        <v>3.23</v>
      </c>
      <c r="D156" s="4">
        <v>2.5994999999999999</v>
      </c>
      <c r="E156" s="4">
        <v>15990</v>
      </c>
      <c r="F156" s="4"/>
      <c r="G156" s="4"/>
      <c r="H156" s="5">
        <f t="shared" si="2"/>
        <v>-3.1063046479522234E-3</v>
      </c>
    </row>
    <row r="157" spans="1:8" ht="13.5" x14ac:dyDescent="0.25">
      <c r="A157" s="1"/>
      <c r="B157" s="3">
        <v>42527</v>
      </c>
      <c r="C157" s="4">
        <v>3.22</v>
      </c>
      <c r="D157" s="4">
        <v>2.5914999999999999</v>
      </c>
      <c r="E157" s="4">
        <v>487</v>
      </c>
      <c r="F157" s="4"/>
      <c r="G157" s="4"/>
      <c r="H157" s="5">
        <f t="shared" si="2"/>
        <v>-3.0775149067128324E-3</v>
      </c>
    </row>
    <row r="158" spans="1:8" ht="13.5" x14ac:dyDescent="0.25">
      <c r="A158" s="1"/>
      <c r="B158" s="3">
        <v>42528</v>
      </c>
      <c r="C158" s="4">
        <v>3.06</v>
      </c>
      <c r="D158" s="4">
        <v>2.4626999999999999</v>
      </c>
      <c r="E158" s="4">
        <v>1290</v>
      </c>
      <c r="F158" s="4"/>
      <c r="G158" s="4"/>
      <c r="H158" s="5">
        <f t="shared" si="2"/>
        <v>-4.9700945398417913E-2</v>
      </c>
    </row>
    <row r="159" spans="1:8" ht="13.5" x14ac:dyDescent="0.25">
      <c r="A159" s="1"/>
      <c r="B159" s="3">
        <v>42529</v>
      </c>
      <c r="C159" s="4">
        <v>2.97</v>
      </c>
      <c r="D159" s="4">
        <v>2.3902999999999999</v>
      </c>
      <c r="E159" s="4">
        <v>6371</v>
      </c>
      <c r="F159" s="4"/>
      <c r="G159" s="4"/>
      <c r="H159" s="5">
        <f t="shared" si="2"/>
        <v>-2.9398627522637763E-2</v>
      </c>
    </row>
    <row r="160" spans="1:8" ht="13.5" x14ac:dyDescent="0.25">
      <c r="A160" s="1"/>
      <c r="B160" s="3">
        <v>42530</v>
      </c>
      <c r="C160" s="4">
        <v>2.97</v>
      </c>
      <c r="D160" s="4">
        <v>2.3902999999999999</v>
      </c>
      <c r="E160" s="4">
        <v>855</v>
      </c>
      <c r="F160" s="4"/>
      <c r="G160" s="4"/>
      <c r="H160" s="5">
        <f t="shared" si="2"/>
        <v>0</v>
      </c>
    </row>
    <row r="161" spans="1:8" ht="13.5" x14ac:dyDescent="0.25">
      <c r="A161" s="1"/>
      <c r="B161" s="3">
        <v>42531</v>
      </c>
      <c r="C161" s="4">
        <v>3.07</v>
      </c>
      <c r="D161" s="4">
        <v>2.4708000000000001</v>
      </c>
      <c r="E161" s="4">
        <v>3115</v>
      </c>
      <c r="F161" s="4"/>
      <c r="G161" s="4"/>
      <c r="H161" s="5">
        <f t="shared" si="2"/>
        <v>3.3677781031669768E-2</v>
      </c>
    </row>
    <row r="162" spans="1:8" ht="13.5" x14ac:dyDescent="0.25">
      <c r="A162" s="1"/>
      <c r="B162" s="3">
        <v>42534</v>
      </c>
      <c r="C162" s="4">
        <v>3.07</v>
      </c>
      <c r="D162" s="4">
        <v>2.4708000000000001</v>
      </c>
      <c r="E162" s="4">
        <v>60</v>
      </c>
      <c r="F162" s="4"/>
      <c r="G162" s="4"/>
      <c r="H162" s="5">
        <f t="shared" si="2"/>
        <v>0</v>
      </c>
    </row>
    <row r="163" spans="1:8" ht="13.5" x14ac:dyDescent="0.25">
      <c r="A163" s="1"/>
      <c r="B163" s="3">
        <v>42535</v>
      </c>
      <c r="C163" s="4">
        <v>3.1</v>
      </c>
      <c r="D163" s="4">
        <v>2.4948999999999999</v>
      </c>
      <c r="E163" s="4">
        <v>3015</v>
      </c>
      <c r="F163" s="4"/>
      <c r="G163" s="4"/>
      <c r="H163" s="5">
        <f t="shared" si="2"/>
        <v>9.7539258539743358E-3</v>
      </c>
    </row>
    <row r="164" spans="1:8" ht="13.5" x14ac:dyDescent="0.25">
      <c r="A164" s="1"/>
      <c r="B164" s="3">
        <v>42536</v>
      </c>
      <c r="C164" s="4">
        <v>3.15</v>
      </c>
      <c r="D164" s="4">
        <v>2.5350999999999999</v>
      </c>
      <c r="E164" s="4">
        <v>2</v>
      </c>
      <c r="F164" s="4"/>
      <c r="G164" s="4"/>
      <c r="H164" s="5">
        <f t="shared" si="2"/>
        <v>1.611287025532086E-2</v>
      </c>
    </row>
    <row r="165" spans="1:8" ht="13.5" x14ac:dyDescent="0.25">
      <c r="A165" s="1"/>
      <c r="B165" s="3">
        <v>42537</v>
      </c>
      <c r="C165" s="4">
        <v>3.01</v>
      </c>
      <c r="D165" s="4">
        <v>2.4224999999999999</v>
      </c>
      <c r="E165" s="4">
        <v>300</v>
      </c>
      <c r="F165" s="4"/>
      <c r="G165" s="4"/>
      <c r="H165" s="5">
        <f t="shared" si="2"/>
        <v>-4.4416393830618135E-2</v>
      </c>
    </row>
    <row r="166" spans="1:8" ht="13.5" x14ac:dyDescent="0.25">
      <c r="A166" s="1"/>
      <c r="B166" s="3">
        <v>42538</v>
      </c>
      <c r="C166" s="4">
        <v>3.06</v>
      </c>
      <c r="D166" s="4">
        <v>2.4626999999999999</v>
      </c>
      <c r="E166" s="4">
        <v>3286</v>
      </c>
      <c r="F166" s="4"/>
      <c r="G166" s="4"/>
      <c r="H166" s="5">
        <f t="shared" si="2"/>
        <v>1.6594427244582051E-2</v>
      </c>
    </row>
    <row r="167" spans="1:8" ht="13.5" x14ac:dyDescent="0.25">
      <c r="A167" s="1"/>
      <c r="B167" s="3">
        <v>42541</v>
      </c>
      <c r="C167" s="4">
        <v>3.06</v>
      </c>
      <c r="D167" s="4">
        <v>2.4626999999999999</v>
      </c>
      <c r="E167" s="4">
        <v>0</v>
      </c>
      <c r="F167" s="4"/>
      <c r="G167" s="4"/>
      <c r="H167" s="5">
        <f t="shared" si="2"/>
        <v>0</v>
      </c>
    </row>
    <row r="168" spans="1:8" ht="13.5" x14ac:dyDescent="0.25">
      <c r="A168" s="1"/>
      <c r="B168" s="3">
        <v>42542</v>
      </c>
      <c r="C168" s="4">
        <v>3</v>
      </c>
      <c r="D168" s="4">
        <v>2.4144000000000001</v>
      </c>
      <c r="E168" s="4">
        <v>7225</v>
      </c>
      <c r="F168" s="4"/>
      <c r="G168" s="4"/>
      <c r="H168" s="5">
        <f t="shared" si="2"/>
        <v>-1.9612620294798308E-2</v>
      </c>
    </row>
    <row r="169" spans="1:8" ht="13.5" x14ac:dyDescent="0.25">
      <c r="A169" s="1"/>
      <c r="B169" s="3">
        <v>42543</v>
      </c>
      <c r="C169" s="4">
        <v>3</v>
      </c>
      <c r="D169" s="4">
        <v>2.4144000000000001</v>
      </c>
      <c r="E169" s="4">
        <v>337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42544</v>
      </c>
      <c r="C170" s="4">
        <v>3.08</v>
      </c>
      <c r="D170" s="4">
        <v>2.4788000000000001</v>
      </c>
      <c r="E170" s="4">
        <v>7172</v>
      </c>
      <c r="F170" s="4"/>
      <c r="G170" s="4"/>
      <c r="H170" s="5">
        <f t="shared" si="2"/>
        <v>2.6673293571901926E-2</v>
      </c>
    </row>
    <row r="171" spans="1:8" ht="13.5" x14ac:dyDescent="0.25">
      <c r="A171" s="1"/>
      <c r="B171" s="3">
        <v>42545</v>
      </c>
      <c r="C171" s="4">
        <v>3.05</v>
      </c>
      <c r="D171" s="4">
        <v>2.4546999999999999</v>
      </c>
      <c r="E171" s="4">
        <v>5236</v>
      </c>
      <c r="F171" s="4"/>
      <c r="G171" s="4"/>
      <c r="H171" s="5">
        <f t="shared" si="2"/>
        <v>-9.7224463450057419E-3</v>
      </c>
    </row>
    <row r="172" spans="1:8" ht="13.5" x14ac:dyDescent="0.25">
      <c r="A172" s="1"/>
      <c r="B172" s="3">
        <v>42548</v>
      </c>
      <c r="C172" s="4">
        <v>3.05</v>
      </c>
      <c r="D172" s="4">
        <v>2.4546999999999999</v>
      </c>
      <c r="E172" s="4">
        <v>0</v>
      </c>
      <c r="F172" s="4"/>
      <c r="G172" s="4"/>
      <c r="H172" s="5">
        <f t="shared" si="2"/>
        <v>0</v>
      </c>
    </row>
    <row r="173" spans="1:8" ht="13.5" x14ac:dyDescent="0.25">
      <c r="A173" s="1"/>
      <c r="B173" s="3">
        <v>42549</v>
      </c>
      <c r="C173" s="4">
        <v>3.05</v>
      </c>
      <c r="D173" s="4">
        <v>2.4546999999999999</v>
      </c>
      <c r="E173" s="4">
        <v>621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42550</v>
      </c>
      <c r="C174" s="4">
        <v>2.96</v>
      </c>
      <c r="D174" s="4">
        <v>2.3822000000000001</v>
      </c>
      <c r="E174" s="4">
        <v>540</v>
      </c>
      <c r="F174" s="4"/>
      <c r="G174" s="4"/>
      <c r="H174" s="5">
        <f t="shared" si="2"/>
        <v>-2.9535177414755281E-2</v>
      </c>
    </row>
    <row r="175" spans="1:8" ht="13.5" x14ac:dyDescent="0.25">
      <c r="A175" s="1"/>
      <c r="B175" s="3">
        <v>42551</v>
      </c>
      <c r="C175" s="4">
        <v>2.96</v>
      </c>
      <c r="D175" s="4">
        <v>2.3822000000000001</v>
      </c>
      <c r="E175" s="4">
        <v>206</v>
      </c>
      <c r="F175" s="4"/>
      <c r="G175" s="4"/>
      <c r="H175" s="5">
        <f t="shared" si="2"/>
        <v>0</v>
      </c>
    </row>
    <row r="176" spans="1:8" ht="13.5" x14ac:dyDescent="0.25">
      <c r="A176" s="1"/>
      <c r="B176" s="3">
        <v>42552</v>
      </c>
      <c r="C176" s="4">
        <v>2.88</v>
      </c>
      <c r="D176" s="4">
        <v>2.3178000000000001</v>
      </c>
      <c r="E176" s="4">
        <v>3263</v>
      </c>
      <c r="F176" s="4"/>
      <c r="G176" s="4"/>
      <c r="H176" s="5">
        <f t="shared" si="2"/>
        <v>-2.7033834270842085E-2</v>
      </c>
    </row>
    <row r="177" spans="1:8" ht="13.5" x14ac:dyDescent="0.25">
      <c r="A177" s="1"/>
      <c r="B177" s="3">
        <v>42555</v>
      </c>
      <c r="C177" s="4">
        <v>2.98</v>
      </c>
      <c r="D177" s="4">
        <v>2.3982999999999999</v>
      </c>
      <c r="E177" s="4">
        <v>224</v>
      </c>
      <c r="F177" s="4"/>
      <c r="G177" s="4"/>
      <c r="H177" s="5">
        <f t="shared" si="2"/>
        <v>3.4731210630770469E-2</v>
      </c>
    </row>
    <row r="178" spans="1:8" ht="13.5" x14ac:dyDescent="0.25">
      <c r="A178" s="1"/>
      <c r="B178" s="3">
        <v>42559</v>
      </c>
      <c r="C178" s="4">
        <v>2.97</v>
      </c>
      <c r="D178" s="4">
        <v>2.3902999999999999</v>
      </c>
      <c r="E178" s="4">
        <v>2905</v>
      </c>
      <c r="F178" s="4"/>
      <c r="G178" s="4"/>
      <c r="H178" s="5">
        <f t="shared" si="2"/>
        <v>-3.3356961180836457E-3</v>
      </c>
    </row>
    <row r="179" spans="1:8" ht="13.5" x14ac:dyDescent="0.25">
      <c r="A179" s="1"/>
      <c r="B179" s="3">
        <v>42562</v>
      </c>
      <c r="C179" s="4">
        <v>2.97</v>
      </c>
      <c r="D179" s="4">
        <v>2.3902999999999999</v>
      </c>
      <c r="E179" s="4">
        <v>1018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42563</v>
      </c>
      <c r="C180" s="4">
        <v>3</v>
      </c>
      <c r="D180" s="4">
        <v>2.4144000000000001</v>
      </c>
      <c r="E180" s="4">
        <v>860</v>
      </c>
      <c r="F180" s="4"/>
      <c r="G180" s="4"/>
      <c r="H180" s="5">
        <f t="shared" si="2"/>
        <v>1.008241643308381E-2</v>
      </c>
    </row>
    <row r="181" spans="1:8" ht="13.5" x14ac:dyDescent="0.25">
      <c r="A181" s="1"/>
      <c r="B181" s="3">
        <v>42564</v>
      </c>
      <c r="C181" s="4">
        <v>3</v>
      </c>
      <c r="D181" s="4">
        <v>2.4144000000000001</v>
      </c>
      <c r="E181" s="4">
        <v>941</v>
      </c>
      <c r="F181" s="4"/>
      <c r="G181" s="4"/>
      <c r="H181" s="5">
        <f t="shared" si="2"/>
        <v>0</v>
      </c>
    </row>
    <row r="182" spans="1:8" ht="13.5" x14ac:dyDescent="0.25">
      <c r="A182" s="1"/>
      <c r="B182" s="3">
        <v>42565</v>
      </c>
      <c r="C182" s="4">
        <v>3.08</v>
      </c>
      <c r="D182" s="4">
        <v>2.4788000000000001</v>
      </c>
      <c r="E182" s="4">
        <v>2896</v>
      </c>
      <c r="F182" s="4"/>
      <c r="G182" s="4"/>
      <c r="H182" s="5">
        <f t="shared" si="2"/>
        <v>2.6673293571901926E-2</v>
      </c>
    </row>
    <row r="183" spans="1:8" ht="13.5" x14ac:dyDescent="0.25">
      <c r="A183" s="1"/>
      <c r="B183" s="3">
        <v>42566</v>
      </c>
      <c r="C183" s="4">
        <v>2.95</v>
      </c>
      <c r="D183" s="4">
        <v>2.3742000000000001</v>
      </c>
      <c r="E183" s="4">
        <v>4</v>
      </c>
      <c r="F183" s="4"/>
      <c r="G183" s="4"/>
      <c r="H183" s="5">
        <f t="shared" si="2"/>
        <v>-4.2197837663385515E-2</v>
      </c>
    </row>
    <row r="184" spans="1:8" ht="13.5" x14ac:dyDescent="0.25">
      <c r="A184" s="1"/>
      <c r="B184" s="3">
        <v>42569</v>
      </c>
      <c r="C184" s="4">
        <v>3.04</v>
      </c>
      <c r="D184" s="4">
        <v>2.4466000000000001</v>
      </c>
      <c r="E184" s="4">
        <v>1654</v>
      </c>
      <c r="F184" s="4"/>
      <c r="G184" s="4"/>
      <c r="H184" s="5">
        <f t="shared" si="2"/>
        <v>3.0494482351950139E-2</v>
      </c>
    </row>
    <row r="185" spans="1:8" ht="13.5" x14ac:dyDescent="0.25">
      <c r="A185" s="1"/>
      <c r="B185" s="3">
        <v>42570</v>
      </c>
      <c r="C185" s="4">
        <v>3</v>
      </c>
      <c r="D185" s="4">
        <v>2.4144000000000001</v>
      </c>
      <c r="E185" s="4">
        <v>375</v>
      </c>
      <c r="F185" s="4"/>
      <c r="G185" s="4"/>
      <c r="H185" s="5">
        <f t="shared" si="2"/>
        <v>-1.3161121556445683E-2</v>
      </c>
    </row>
    <row r="186" spans="1:8" ht="13.5" x14ac:dyDescent="0.25">
      <c r="A186" s="1"/>
      <c r="B186" s="3">
        <v>42571</v>
      </c>
      <c r="C186" s="4">
        <v>3</v>
      </c>
      <c r="D186" s="4">
        <v>2.4144000000000001</v>
      </c>
      <c r="E186" s="4">
        <v>11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2.92</v>
      </c>
      <c r="D187" s="4">
        <v>2.35</v>
      </c>
      <c r="E187" s="4">
        <v>1051</v>
      </c>
      <c r="F187" s="4"/>
      <c r="G187" s="4"/>
      <c r="H187" s="5">
        <f t="shared" si="2"/>
        <v>-2.6673293571901926E-2</v>
      </c>
    </row>
    <row r="188" spans="1:8" ht="13.5" x14ac:dyDescent="0.25">
      <c r="A188" s="1"/>
      <c r="B188" s="3">
        <v>42573</v>
      </c>
      <c r="C188" s="4">
        <v>2.79</v>
      </c>
      <c r="D188" s="4">
        <v>2.2454000000000001</v>
      </c>
      <c r="E188" s="4">
        <v>2704</v>
      </c>
      <c r="F188" s="4"/>
      <c r="G188" s="4"/>
      <c r="H188" s="5">
        <f t="shared" si="2"/>
        <v>-4.451063829787235E-2</v>
      </c>
    </row>
    <row r="189" spans="1:8" ht="13.5" x14ac:dyDescent="0.25">
      <c r="A189" s="1"/>
      <c r="B189" s="3">
        <v>42577</v>
      </c>
      <c r="C189" s="4">
        <v>2.75</v>
      </c>
      <c r="D189" s="4">
        <v>2.2132000000000001</v>
      </c>
      <c r="E189" s="4">
        <v>652</v>
      </c>
      <c r="F189" s="4"/>
      <c r="G189" s="4"/>
      <c r="H189" s="5">
        <f t="shared" si="2"/>
        <v>-1.4340429322169772E-2</v>
      </c>
    </row>
    <row r="190" spans="1:8" ht="13.5" x14ac:dyDescent="0.25">
      <c r="A190" s="1"/>
      <c r="B190" s="3">
        <v>42578</v>
      </c>
      <c r="C190" s="4">
        <v>2.67</v>
      </c>
      <c r="D190" s="4">
        <v>2.1488</v>
      </c>
      <c r="E190" s="4">
        <v>779</v>
      </c>
      <c r="F190" s="4"/>
      <c r="G190" s="4"/>
      <c r="H190" s="5">
        <f t="shared" si="2"/>
        <v>-2.9098138442074827E-2</v>
      </c>
    </row>
    <row r="191" spans="1:8" ht="13.5" x14ac:dyDescent="0.25">
      <c r="A191" s="1"/>
      <c r="B191" s="3">
        <v>42579</v>
      </c>
      <c r="C191" s="4">
        <v>2.56</v>
      </c>
      <c r="D191" s="4">
        <v>2.0602999999999998</v>
      </c>
      <c r="E191" s="4">
        <v>1946</v>
      </c>
      <c r="F191" s="4"/>
      <c r="G191" s="4"/>
      <c r="H191" s="5">
        <f t="shared" si="2"/>
        <v>-4.1185778108711955E-2</v>
      </c>
    </row>
    <row r="192" spans="1:8" ht="13.5" x14ac:dyDescent="0.25">
      <c r="A192" s="1"/>
      <c r="B192" s="3">
        <v>42580</v>
      </c>
      <c r="C192" s="4">
        <v>2.52</v>
      </c>
      <c r="D192" s="4">
        <v>2.0280999999999998</v>
      </c>
      <c r="E192" s="4">
        <v>1782</v>
      </c>
      <c r="F192" s="4"/>
      <c r="G192" s="4"/>
      <c r="H192" s="5">
        <f t="shared" si="2"/>
        <v>-1.5628791923506292E-2</v>
      </c>
    </row>
    <row r="193" spans="1:8" ht="13.5" x14ac:dyDescent="0.25">
      <c r="A193" s="1"/>
      <c r="B193" s="3">
        <v>42583</v>
      </c>
      <c r="C193" s="4">
        <v>2.58</v>
      </c>
      <c r="D193" s="4">
        <v>2.0764</v>
      </c>
      <c r="E193" s="4">
        <v>517</v>
      </c>
      <c r="F193" s="4"/>
      <c r="G193" s="4"/>
      <c r="H193" s="5">
        <f t="shared" si="2"/>
        <v>2.3815393718258585E-2</v>
      </c>
    </row>
    <row r="194" spans="1:8" ht="13.5" x14ac:dyDescent="0.25">
      <c r="A194" s="1"/>
      <c r="B194" s="3">
        <v>42584</v>
      </c>
      <c r="C194" s="4">
        <v>2.5499999999999998</v>
      </c>
      <c r="D194" s="4">
        <v>2.0522999999999998</v>
      </c>
      <c r="E194" s="4">
        <v>2976</v>
      </c>
      <c r="F194" s="4"/>
      <c r="G194" s="4"/>
      <c r="H194" s="5">
        <f t="shared" si="2"/>
        <v>-1.1606626854170791E-2</v>
      </c>
    </row>
    <row r="195" spans="1:8" ht="13.5" x14ac:dyDescent="0.25">
      <c r="A195" s="1"/>
      <c r="B195" s="3">
        <v>42585</v>
      </c>
      <c r="C195" s="4">
        <v>2.5299999999999998</v>
      </c>
      <c r="D195" s="4">
        <v>2.0362</v>
      </c>
      <c r="E195" s="4">
        <v>5430</v>
      </c>
      <c r="F195" s="4"/>
      <c r="G195" s="4"/>
      <c r="H195" s="5">
        <f t="shared" si="2"/>
        <v>-7.8448569897187469E-3</v>
      </c>
    </row>
    <row r="196" spans="1:8" ht="13.5" x14ac:dyDescent="0.25">
      <c r="A196" s="1"/>
      <c r="B196" s="3">
        <v>42586</v>
      </c>
      <c r="C196" s="4">
        <v>2.58</v>
      </c>
      <c r="D196" s="4">
        <v>2.0764</v>
      </c>
      <c r="E196" s="4">
        <v>1133</v>
      </c>
      <c r="F196" s="4"/>
      <c r="G196" s="4"/>
      <c r="H196" s="5">
        <f t="shared" si="2"/>
        <v>1.9742657892152054E-2</v>
      </c>
    </row>
    <row r="197" spans="1:8" ht="13.5" x14ac:dyDescent="0.25">
      <c r="A197" s="1"/>
      <c r="B197" s="3">
        <v>42587</v>
      </c>
      <c r="C197" s="4">
        <v>2.58</v>
      </c>
      <c r="D197" s="4">
        <v>2.0764</v>
      </c>
      <c r="E197" s="4">
        <v>3013</v>
      </c>
      <c r="F197" s="4"/>
      <c r="G197" s="4"/>
      <c r="H197" s="5">
        <f t="shared" si="2"/>
        <v>0</v>
      </c>
    </row>
    <row r="198" spans="1:8" ht="13.5" x14ac:dyDescent="0.25">
      <c r="A198" s="1"/>
      <c r="B198" s="3">
        <v>42590</v>
      </c>
      <c r="C198" s="4">
        <v>2.67</v>
      </c>
      <c r="D198" s="4">
        <v>2.1488</v>
      </c>
      <c r="E198" s="4">
        <v>2288</v>
      </c>
      <c r="F198" s="4"/>
      <c r="G198" s="4"/>
      <c r="H198" s="5">
        <f t="shared" si="2"/>
        <v>3.4868040839915244E-2</v>
      </c>
    </row>
    <row r="199" spans="1:8" ht="13.5" x14ac:dyDescent="0.25">
      <c r="A199" s="1"/>
      <c r="B199" s="3">
        <v>42591</v>
      </c>
      <c r="C199" s="4">
        <v>2.76</v>
      </c>
      <c r="D199" s="4">
        <v>2.2212999999999998</v>
      </c>
      <c r="E199" s="4">
        <v>7419</v>
      </c>
      <c r="F199" s="4"/>
      <c r="G199" s="4"/>
      <c r="H199" s="5">
        <f t="shared" ref="H199:H262" si="3">(D199-D198)/D198</f>
        <v>3.3739761727475698E-2</v>
      </c>
    </row>
    <row r="200" spans="1:8" ht="13.5" x14ac:dyDescent="0.25">
      <c r="A200" s="1"/>
      <c r="B200" s="3">
        <v>42592</v>
      </c>
      <c r="C200" s="4">
        <v>2.8</v>
      </c>
      <c r="D200" s="4">
        <v>2.2534999999999998</v>
      </c>
      <c r="E200" s="4">
        <v>361</v>
      </c>
      <c r="F200" s="4"/>
      <c r="G200" s="4"/>
      <c r="H200" s="5">
        <f t="shared" si="3"/>
        <v>1.4496015846576333E-2</v>
      </c>
    </row>
    <row r="201" spans="1:8" ht="13.5" x14ac:dyDescent="0.25">
      <c r="A201" s="1"/>
      <c r="B201" s="3">
        <v>42593</v>
      </c>
      <c r="C201" s="4">
        <v>2.8</v>
      </c>
      <c r="D201" s="4">
        <v>2.2534999999999998</v>
      </c>
      <c r="E201" s="4">
        <v>551</v>
      </c>
      <c r="F201" s="4"/>
      <c r="G201" s="4"/>
      <c r="H201" s="5">
        <f t="shared" si="3"/>
        <v>0</v>
      </c>
    </row>
    <row r="202" spans="1:8" ht="13.5" x14ac:dyDescent="0.25">
      <c r="A202" s="1"/>
      <c r="B202" s="3">
        <v>42594</v>
      </c>
      <c r="C202" s="4">
        <v>2.8</v>
      </c>
      <c r="D202" s="4">
        <v>2.2534999999999998</v>
      </c>
      <c r="E202" s="4">
        <v>0</v>
      </c>
      <c r="F202" s="4"/>
      <c r="G202" s="4"/>
      <c r="H202" s="5">
        <f t="shared" si="3"/>
        <v>0</v>
      </c>
    </row>
    <row r="203" spans="1:8" ht="13.5" x14ac:dyDescent="0.25">
      <c r="A203" s="1"/>
      <c r="B203" s="3">
        <v>42597</v>
      </c>
      <c r="C203" s="4">
        <v>2.79</v>
      </c>
      <c r="D203" s="4">
        <v>2.2454000000000001</v>
      </c>
      <c r="E203" s="4">
        <v>20</v>
      </c>
      <c r="F203" s="4"/>
      <c r="G203" s="4"/>
      <c r="H203" s="5">
        <f t="shared" si="3"/>
        <v>-3.59440869758144E-3</v>
      </c>
    </row>
    <row r="204" spans="1:8" ht="13.5" x14ac:dyDescent="0.25">
      <c r="A204" s="1"/>
      <c r="B204" s="3">
        <v>42598</v>
      </c>
      <c r="C204" s="4">
        <v>2.79</v>
      </c>
      <c r="D204" s="4">
        <v>2.2454000000000001</v>
      </c>
      <c r="E204" s="4">
        <v>0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2.71</v>
      </c>
      <c r="D205" s="4">
        <v>2.181</v>
      </c>
      <c r="E205" s="4">
        <v>1</v>
      </c>
      <c r="F205" s="4"/>
      <c r="G205" s="4"/>
      <c r="H205" s="5">
        <f t="shared" si="3"/>
        <v>-2.8680858644339544E-2</v>
      </c>
    </row>
    <row r="206" spans="1:8" ht="13.5" x14ac:dyDescent="0.25">
      <c r="A206" s="1"/>
      <c r="B206" s="3">
        <v>42600</v>
      </c>
      <c r="C206" s="4">
        <v>2.67</v>
      </c>
      <c r="D206" s="4">
        <v>2.1488</v>
      </c>
      <c r="E206" s="4">
        <v>9</v>
      </c>
      <c r="F206" s="4"/>
      <c r="G206" s="4"/>
      <c r="H206" s="5">
        <f t="shared" si="3"/>
        <v>-1.4763869784502524E-2</v>
      </c>
    </row>
    <row r="207" spans="1:8" ht="13.5" x14ac:dyDescent="0.25">
      <c r="A207" s="1"/>
      <c r="B207" s="3">
        <v>42601</v>
      </c>
      <c r="C207" s="4">
        <v>2.7</v>
      </c>
      <c r="D207" s="4">
        <v>2.173</v>
      </c>
      <c r="E207" s="4">
        <v>2258</v>
      </c>
      <c r="F207" s="4"/>
      <c r="G207" s="4"/>
      <c r="H207" s="5">
        <f t="shared" si="3"/>
        <v>1.1262099776619508E-2</v>
      </c>
    </row>
    <row r="208" spans="1:8" ht="13.5" x14ac:dyDescent="0.25">
      <c r="A208" s="1"/>
      <c r="B208" s="3">
        <v>42604</v>
      </c>
      <c r="C208" s="4">
        <v>2.7</v>
      </c>
      <c r="D208" s="4">
        <v>2.173</v>
      </c>
      <c r="E208" s="4">
        <v>0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42605</v>
      </c>
      <c r="C209" s="4">
        <v>2.54</v>
      </c>
      <c r="D209" s="4">
        <v>2.0442</v>
      </c>
      <c r="E209" s="4">
        <v>5632</v>
      </c>
      <c r="F209" s="4"/>
      <c r="G209" s="4"/>
      <c r="H209" s="5">
        <f t="shared" si="3"/>
        <v>-5.9272894615738619E-2</v>
      </c>
    </row>
    <row r="210" spans="1:8" ht="13.5" x14ac:dyDescent="0.25">
      <c r="A210" s="1"/>
      <c r="B210" s="3">
        <v>42606</v>
      </c>
      <c r="C210" s="4">
        <v>2.44</v>
      </c>
      <c r="D210" s="4">
        <v>1.9637</v>
      </c>
      <c r="E210" s="4">
        <v>1696</v>
      </c>
      <c r="F210" s="4"/>
      <c r="G210" s="4"/>
      <c r="H210" s="5">
        <f t="shared" si="3"/>
        <v>-3.937970844340085E-2</v>
      </c>
    </row>
    <row r="211" spans="1:8" ht="13.5" x14ac:dyDescent="0.25">
      <c r="A211" s="1"/>
      <c r="B211" s="3">
        <v>42607</v>
      </c>
      <c r="C211" s="4">
        <v>2.4700000000000002</v>
      </c>
      <c r="D211" s="4">
        <v>1.9879</v>
      </c>
      <c r="E211" s="4">
        <v>518</v>
      </c>
      <c r="F211" s="4"/>
      <c r="G211" s="4"/>
      <c r="H211" s="5">
        <f t="shared" si="3"/>
        <v>1.2323674695727453E-2</v>
      </c>
    </row>
    <row r="212" spans="1:8" ht="13.5" x14ac:dyDescent="0.25">
      <c r="A212" s="1"/>
      <c r="B212" s="3">
        <v>42608</v>
      </c>
      <c r="C212" s="4">
        <v>2.4700000000000002</v>
      </c>
      <c r="D212" s="4">
        <v>1.9879</v>
      </c>
      <c r="E212" s="4">
        <v>5781</v>
      </c>
      <c r="F212" s="4"/>
      <c r="G212" s="4"/>
      <c r="H212" s="5">
        <f t="shared" si="3"/>
        <v>0</v>
      </c>
    </row>
    <row r="213" spans="1:8" ht="13.5" x14ac:dyDescent="0.25">
      <c r="A213" s="1"/>
      <c r="B213" s="3">
        <v>42611</v>
      </c>
      <c r="C213" s="4">
        <v>2.4</v>
      </c>
      <c r="D213" s="4">
        <v>1.9315</v>
      </c>
      <c r="E213" s="4">
        <v>1015</v>
      </c>
      <c r="F213" s="4"/>
      <c r="G213" s="4"/>
      <c r="H213" s="5">
        <f t="shared" si="3"/>
        <v>-2.8371648473263244E-2</v>
      </c>
    </row>
    <row r="214" spans="1:8" ht="13.5" x14ac:dyDescent="0.25">
      <c r="A214" s="1"/>
      <c r="B214" s="3">
        <v>42612</v>
      </c>
      <c r="C214" s="4">
        <v>2.35</v>
      </c>
      <c r="D214" s="4">
        <v>1.8913</v>
      </c>
      <c r="E214" s="4">
        <v>280</v>
      </c>
      <c r="F214" s="4"/>
      <c r="G214" s="4"/>
      <c r="H214" s="5">
        <f t="shared" si="3"/>
        <v>-2.0812839761843133E-2</v>
      </c>
    </row>
    <row r="215" spans="1:8" ht="13.5" x14ac:dyDescent="0.25">
      <c r="A215" s="1"/>
      <c r="B215" s="3">
        <v>42613</v>
      </c>
      <c r="C215" s="4">
        <v>2.2999999999999998</v>
      </c>
      <c r="D215" s="4">
        <v>1.8511</v>
      </c>
      <c r="E215" s="4">
        <v>1890</v>
      </c>
      <c r="F215" s="4"/>
      <c r="G215" s="4"/>
      <c r="H215" s="5">
        <f t="shared" si="3"/>
        <v>-2.1255221276370757E-2</v>
      </c>
    </row>
    <row r="216" spans="1:8" ht="13.5" x14ac:dyDescent="0.25">
      <c r="A216" s="1"/>
      <c r="B216" s="3">
        <v>42614</v>
      </c>
      <c r="C216" s="4">
        <v>2.4300000000000002</v>
      </c>
      <c r="D216" s="4">
        <v>1.9557</v>
      </c>
      <c r="E216" s="4">
        <v>2568</v>
      </c>
      <c r="F216" s="4"/>
      <c r="G216" s="4"/>
      <c r="H216" s="5">
        <f t="shared" si="3"/>
        <v>5.650694181837828E-2</v>
      </c>
    </row>
    <row r="217" spans="1:8" ht="13.5" x14ac:dyDescent="0.25">
      <c r="A217" s="1"/>
      <c r="B217" s="3">
        <v>42615</v>
      </c>
      <c r="C217" s="4">
        <v>2.4500000000000002</v>
      </c>
      <c r="D217" s="4">
        <v>1.9718</v>
      </c>
      <c r="E217" s="4">
        <v>3917</v>
      </c>
      <c r="F217" s="4"/>
      <c r="G217" s="4"/>
      <c r="H217" s="5">
        <f t="shared" si="3"/>
        <v>8.2323464744081427E-3</v>
      </c>
    </row>
    <row r="218" spans="1:8" ht="13.5" x14ac:dyDescent="0.25">
      <c r="A218" s="1"/>
      <c r="B218" s="3">
        <v>42618</v>
      </c>
      <c r="C218" s="4">
        <v>2.5</v>
      </c>
      <c r="D218" s="4">
        <v>2.012</v>
      </c>
      <c r="E218" s="4">
        <v>1910</v>
      </c>
      <c r="F218" s="4"/>
      <c r="G218" s="4"/>
      <c r="H218" s="5">
        <f t="shared" si="3"/>
        <v>2.0387463231565074E-2</v>
      </c>
    </row>
    <row r="219" spans="1:8" ht="13.5" x14ac:dyDescent="0.25">
      <c r="A219" s="1"/>
      <c r="B219" s="3">
        <v>42619</v>
      </c>
      <c r="C219" s="4">
        <v>2.48</v>
      </c>
      <c r="D219" s="4">
        <v>1.9959</v>
      </c>
      <c r="E219" s="4">
        <v>3096</v>
      </c>
      <c r="F219" s="4"/>
      <c r="G219" s="4"/>
      <c r="H219" s="5">
        <f t="shared" si="3"/>
        <v>-8.0019880715705774E-3</v>
      </c>
    </row>
    <row r="220" spans="1:8" ht="13.5" x14ac:dyDescent="0.25">
      <c r="A220" s="1"/>
      <c r="B220" s="3">
        <v>42620</v>
      </c>
      <c r="C220" s="4">
        <v>2.41</v>
      </c>
      <c r="D220" s="4">
        <v>1.9396</v>
      </c>
      <c r="E220" s="4">
        <v>1204</v>
      </c>
      <c r="F220" s="4"/>
      <c r="G220" s="4"/>
      <c r="H220" s="5">
        <f t="shared" si="3"/>
        <v>-2.8207826043388954E-2</v>
      </c>
    </row>
    <row r="221" spans="1:8" ht="13.5" x14ac:dyDescent="0.25">
      <c r="A221" s="1"/>
      <c r="B221" s="3">
        <v>42621</v>
      </c>
      <c r="C221" s="4">
        <v>2.4900000000000002</v>
      </c>
      <c r="D221" s="4">
        <v>2.004</v>
      </c>
      <c r="E221" s="4">
        <v>2017</v>
      </c>
      <c r="F221" s="4"/>
      <c r="G221" s="4"/>
      <c r="H221" s="5">
        <f t="shared" si="3"/>
        <v>3.3202722210765111E-2</v>
      </c>
    </row>
    <row r="222" spans="1:8" ht="13.5" x14ac:dyDescent="0.25">
      <c r="A222" s="1"/>
      <c r="B222" s="3">
        <v>42622</v>
      </c>
      <c r="C222" s="4">
        <v>2.5099999999999998</v>
      </c>
      <c r="D222" s="4">
        <v>2.0200999999999998</v>
      </c>
      <c r="E222" s="4">
        <v>1064</v>
      </c>
      <c r="F222" s="4"/>
      <c r="G222" s="4"/>
      <c r="H222" s="5">
        <f t="shared" si="3"/>
        <v>8.0339321357284343E-3</v>
      </c>
    </row>
    <row r="223" spans="1:8" ht="13.5" x14ac:dyDescent="0.25">
      <c r="A223" s="1"/>
      <c r="B223" s="3">
        <v>42627</v>
      </c>
      <c r="C223" s="4">
        <v>2.5099999999999998</v>
      </c>
      <c r="D223" s="4">
        <v>2.0200999999999998</v>
      </c>
      <c r="E223" s="4">
        <v>1064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2.5499999999999998</v>
      </c>
      <c r="D224" s="4">
        <v>2.0522999999999998</v>
      </c>
      <c r="E224" s="4">
        <v>362</v>
      </c>
      <c r="F224" s="4"/>
      <c r="G224" s="4"/>
      <c r="H224" s="5">
        <f t="shared" si="3"/>
        <v>1.5939804960150492E-2</v>
      </c>
    </row>
    <row r="225" spans="1:8" ht="13.5" x14ac:dyDescent="0.25">
      <c r="A225" s="1"/>
      <c r="B225" s="3">
        <v>42629</v>
      </c>
      <c r="C225" s="4">
        <v>2.48</v>
      </c>
      <c r="D225" s="4">
        <v>1.9959</v>
      </c>
      <c r="E225" s="4">
        <v>2428</v>
      </c>
      <c r="F225" s="4"/>
      <c r="G225" s="4"/>
      <c r="H225" s="5">
        <f t="shared" si="3"/>
        <v>-2.748136237392184E-2</v>
      </c>
    </row>
    <row r="226" spans="1:8" ht="13.5" x14ac:dyDescent="0.25">
      <c r="A226" s="1"/>
      <c r="B226" s="3">
        <v>42632</v>
      </c>
      <c r="C226" s="4">
        <v>2.5</v>
      </c>
      <c r="D226" s="4">
        <v>2.012</v>
      </c>
      <c r="E226" s="4">
        <v>1130</v>
      </c>
      <c r="F226" s="4"/>
      <c r="G226" s="4"/>
      <c r="H226" s="5">
        <f t="shared" si="3"/>
        <v>8.0665363996192205E-3</v>
      </c>
    </row>
    <row r="227" spans="1:8" ht="13.5" x14ac:dyDescent="0.25">
      <c r="A227" s="1"/>
      <c r="B227" s="3">
        <v>42633</v>
      </c>
      <c r="C227" s="4">
        <v>2.5</v>
      </c>
      <c r="D227" s="4">
        <v>2.012</v>
      </c>
      <c r="E227" s="4">
        <v>648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42634</v>
      </c>
      <c r="C228" s="4">
        <v>2.4900000000000002</v>
      </c>
      <c r="D228" s="4">
        <v>2.004</v>
      </c>
      <c r="E228" s="4">
        <v>377</v>
      </c>
      <c r="F228" s="4"/>
      <c r="G228" s="4"/>
      <c r="H228" s="5">
        <f t="shared" si="3"/>
        <v>-3.9761431411530854E-3</v>
      </c>
    </row>
    <row r="229" spans="1:8" ht="13.5" x14ac:dyDescent="0.25">
      <c r="A229" s="1"/>
      <c r="B229" s="3">
        <v>42635</v>
      </c>
      <c r="C229" s="4">
        <v>2.5</v>
      </c>
      <c r="D229" s="4">
        <v>2.012</v>
      </c>
      <c r="E229" s="4">
        <v>1</v>
      </c>
      <c r="F229" s="4"/>
      <c r="G229" s="4"/>
      <c r="H229" s="5">
        <f t="shared" si="3"/>
        <v>3.9920159680638754E-3</v>
      </c>
    </row>
    <row r="230" spans="1:8" ht="13.5" x14ac:dyDescent="0.25">
      <c r="A230" s="1"/>
      <c r="B230" s="3">
        <v>42636</v>
      </c>
      <c r="C230" s="4">
        <v>2.5</v>
      </c>
      <c r="D230" s="4">
        <v>2.012</v>
      </c>
      <c r="E230" s="4">
        <v>93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2.5</v>
      </c>
      <c r="D231" s="4">
        <v>2.012</v>
      </c>
      <c r="E231" s="4">
        <v>1929</v>
      </c>
      <c r="F231" s="4"/>
      <c r="G231" s="4"/>
      <c r="H231" s="5">
        <f t="shared" si="3"/>
        <v>0</v>
      </c>
    </row>
    <row r="232" spans="1:8" ht="13.5" x14ac:dyDescent="0.25">
      <c r="A232" s="1"/>
      <c r="B232" s="3">
        <v>42640</v>
      </c>
      <c r="C232" s="4">
        <v>2.5</v>
      </c>
      <c r="D232" s="4">
        <v>2.012</v>
      </c>
      <c r="E232" s="4">
        <v>547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42641</v>
      </c>
      <c r="C233" s="4">
        <v>2.48</v>
      </c>
      <c r="D233" s="4">
        <v>1.9959</v>
      </c>
      <c r="E233" s="4">
        <v>2977</v>
      </c>
      <c r="F233" s="4"/>
      <c r="G233" s="4"/>
      <c r="H233" s="5">
        <f t="shared" si="3"/>
        <v>-8.0019880715705774E-3</v>
      </c>
    </row>
    <row r="234" spans="1:8" ht="13.5" x14ac:dyDescent="0.25">
      <c r="A234" s="1"/>
      <c r="B234" s="3">
        <v>42642</v>
      </c>
      <c r="C234" s="4">
        <v>2.48</v>
      </c>
      <c r="D234" s="4">
        <v>1.9959</v>
      </c>
      <c r="E234" s="4">
        <v>538</v>
      </c>
      <c r="F234" s="4"/>
      <c r="G234" s="4"/>
      <c r="H234" s="5">
        <f t="shared" si="3"/>
        <v>0</v>
      </c>
    </row>
    <row r="235" spans="1:8" ht="13.5" x14ac:dyDescent="0.25">
      <c r="A235" s="1"/>
      <c r="B235" s="3">
        <v>42643</v>
      </c>
      <c r="C235" s="4">
        <v>2.42</v>
      </c>
      <c r="D235" s="4">
        <v>1.9476</v>
      </c>
      <c r="E235" s="4">
        <v>2311</v>
      </c>
      <c r="F235" s="4"/>
      <c r="G235" s="4"/>
      <c r="H235" s="5">
        <f t="shared" si="3"/>
        <v>-2.4199609198857663E-2</v>
      </c>
    </row>
    <row r="236" spans="1:8" ht="13.5" x14ac:dyDescent="0.25">
      <c r="A236" s="1"/>
      <c r="B236" s="3">
        <v>42647</v>
      </c>
      <c r="C236" s="4">
        <v>2.4</v>
      </c>
      <c r="D236" s="4">
        <v>1.9315</v>
      </c>
      <c r="E236" s="4">
        <v>2542</v>
      </c>
      <c r="F236" s="4"/>
      <c r="G236" s="4"/>
      <c r="H236" s="5">
        <f t="shared" si="3"/>
        <v>-8.2665845142739797E-3</v>
      </c>
    </row>
    <row r="237" spans="1:8" ht="13.5" x14ac:dyDescent="0.25">
      <c r="A237" s="1"/>
      <c r="B237" s="3">
        <v>42648</v>
      </c>
      <c r="C237" s="4">
        <v>2.48</v>
      </c>
      <c r="D237" s="4">
        <v>1.9959</v>
      </c>
      <c r="E237" s="4">
        <v>3189</v>
      </c>
      <c r="F237" s="4"/>
      <c r="G237" s="4"/>
      <c r="H237" s="5">
        <f t="shared" si="3"/>
        <v>3.3341962205539741E-2</v>
      </c>
    </row>
    <row r="238" spans="1:8" ht="13.5" x14ac:dyDescent="0.25">
      <c r="A238" s="1"/>
      <c r="B238" s="3">
        <v>42649</v>
      </c>
      <c r="C238" s="4">
        <v>2.41</v>
      </c>
      <c r="D238" s="4">
        <v>1.9396</v>
      </c>
      <c r="E238" s="4">
        <v>2309</v>
      </c>
      <c r="F238" s="4"/>
      <c r="G238" s="4"/>
      <c r="H238" s="5">
        <f t="shared" si="3"/>
        <v>-2.8207826043388954E-2</v>
      </c>
    </row>
    <row r="239" spans="1:8" ht="13.5" x14ac:dyDescent="0.25">
      <c r="A239" s="1"/>
      <c r="B239" s="3">
        <v>42650</v>
      </c>
      <c r="C239" s="4">
        <v>2.5499999999999998</v>
      </c>
      <c r="D239" s="4">
        <v>2.0522999999999998</v>
      </c>
      <c r="E239" s="4">
        <v>37438</v>
      </c>
      <c r="F239" s="4"/>
      <c r="G239" s="4"/>
      <c r="H239" s="5">
        <f t="shared" si="3"/>
        <v>5.8104763868838831E-2</v>
      </c>
    </row>
    <row r="240" spans="1:8" ht="13.5" x14ac:dyDescent="0.25">
      <c r="A240" s="1"/>
      <c r="B240" s="3">
        <v>42653</v>
      </c>
      <c r="C240" s="4">
        <v>2.54</v>
      </c>
      <c r="D240" s="4">
        <v>2.0442</v>
      </c>
      <c r="E240" s="4">
        <v>2672</v>
      </c>
      <c r="F240" s="4"/>
      <c r="G240" s="4"/>
      <c r="H240" s="5">
        <f t="shared" si="3"/>
        <v>-3.9467914047652758E-3</v>
      </c>
    </row>
    <row r="241" spans="1:8" ht="13.5" x14ac:dyDescent="0.25">
      <c r="A241" s="1"/>
      <c r="B241" s="3">
        <v>42654</v>
      </c>
      <c r="C241" s="4">
        <v>2.4900000000000002</v>
      </c>
      <c r="D241" s="4">
        <v>2.004</v>
      </c>
      <c r="E241" s="4">
        <v>9260</v>
      </c>
      <c r="F241" s="4"/>
      <c r="G241" s="4"/>
      <c r="H241" s="5">
        <f t="shared" si="3"/>
        <v>-1.9665394775462291E-2</v>
      </c>
    </row>
    <row r="242" spans="1:8" ht="13.5" x14ac:dyDescent="0.25">
      <c r="A242" s="1"/>
      <c r="B242" s="3">
        <v>42655</v>
      </c>
      <c r="C242" s="4">
        <v>2.5499999999999998</v>
      </c>
      <c r="D242" s="4">
        <v>2.0522999999999998</v>
      </c>
      <c r="E242" s="4">
        <v>49902</v>
      </c>
      <c r="F242" s="4"/>
      <c r="G242" s="4"/>
      <c r="H242" s="5">
        <f t="shared" si="3"/>
        <v>2.4101796407185523E-2</v>
      </c>
    </row>
    <row r="243" spans="1:8" ht="13.5" x14ac:dyDescent="0.25">
      <c r="A243" s="1"/>
      <c r="B243" s="3">
        <v>42656</v>
      </c>
      <c r="C243" s="4">
        <v>2.64</v>
      </c>
      <c r="D243" s="4">
        <v>2.1246999999999998</v>
      </c>
      <c r="E243" s="4">
        <v>81678</v>
      </c>
      <c r="F243" s="4"/>
      <c r="G243" s="4"/>
      <c r="H243" s="5">
        <f t="shared" si="3"/>
        <v>3.5277493543828885E-2</v>
      </c>
    </row>
    <row r="244" spans="1:8" ht="13.5" x14ac:dyDescent="0.25">
      <c r="A244" s="1"/>
      <c r="B244" s="3">
        <v>42657</v>
      </c>
      <c r="C244" s="4">
        <v>2.65</v>
      </c>
      <c r="D244" s="4">
        <v>2.1326999999999998</v>
      </c>
      <c r="E244" s="4">
        <v>11192</v>
      </c>
      <c r="F244" s="4"/>
      <c r="G244" s="4"/>
      <c r="H244" s="5">
        <f t="shared" si="3"/>
        <v>3.765237445286397E-3</v>
      </c>
    </row>
    <row r="245" spans="1:8" ht="13.5" x14ac:dyDescent="0.25">
      <c r="A245" s="1"/>
      <c r="B245" s="3">
        <v>42660</v>
      </c>
      <c r="C245" s="4">
        <v>2.8</v>
      </c>
      <c r="D245" s="4">
        <v>2.2534999999999998</v>
      </c>
      <c r="E245" s="4">
        <v>18046</v>
      </c>
      <c r="F245" s="4"/>
      <c r="G245" s="4"/>
      <c r="H245" s="5">
        <f t="shared" si="3"/>
        <v>5.6641815538988151E-2</v>
      </c>
    </row>
    <row r="246" spans="1:8" ht="13.5" x14ac:dyDescent="0.25">
      <c r="A246" s="1"/>
      <c r="B246" s="3">
        <v>42661</v>
      </c>
      <c r="C246" s="4">
        <v>2.92</v>
      </c>
      <c r="D246" s="4">
        <v>2.35</v>
      </c>
      <c r="E246" s="4">
        <v>47104</v>
      </c>
      <c r="F246" s="4"/>
      <c r="G246" s="4"/>
      <c r="H246" s="5">
        <f t="shared" si="3"/>
        <v>4.2822276458841915E-2</v>
      </c>
    </row>
    <row r="247" spans="1:8" ht="13.5" x14ac:dyDescent="0.25">
      <c r="A247" s="1"/>
      <c r="B247" s="3">
        <v>42662</v>
      </c>
      <c r="C247" s="4">
        <v>2.84</v>
      </c>
      <c r="D247" s="4">
        <v>2.2856999999999998</v>
      </c>
      <c r="E247" s="4">
        <v>5977</v>
      </c>
      <c r="F247" s="4"/>
      <c r="G247" s="4"/>
      <c r="H247" s="5">
        <f t="shared" si="3"/>
        <v>-2.736170212765968E-2</v>
      </c>
    </row>
    <row r="248" spans="1:8" ht="13.5" x14ac:dyDescent="0.25">
      <c r="A248" s="1"/>
      <c r="B248" s="3">
        <v>42663</v>
      </c>
      <c r="C248" s="4">
        <v>2.8</v>
      </c>
      <c r="D248" s="4">
        <v>2.2534999999999998</v>
      </c>
      <c r="E248" s="4">
        <v>8852</v>
      </c>
      <c r="F248" s="4"/>
      <c r="G248" s="4"/>
      <c r="H248" s="5">
        <f t="shared" si="3"/>
        <v>-1.40875880474253E-2</v>
      </c>
    </row>
    <row r="249" spans="1:8" ht="13.5" x14ac:dyDescent="0.25">
      <c r="A249" s="1"/>
      <c r="B249" s="3">
        <v>42664</v>
      </c>
      <c r="C249" s="4">
        <v>2.72</v>
      </c>
      <c r="D249" s="4">
        <v>2.1890999999999998</v>
      </c>
      <c r="E249" s="4">
        <v>3031</v>
      </c>
      <c r="F249" s="4"/>
      <c r="G249" s="4"/>
      <c r="H249" s="5">
        <f t="shared" si="3"/>
        <v>-2.8577767916574227E-2</v>
      </c>
    </row>
    <row r="250" spans="1:8" ht="13.5" x14ac:dyDescent="0.25">
      <c r="A250" s="1"/>
      <c r="B250" s="3">
        <v>42667</v>
      </c>
      <c r="C250" s="4">
        <v>2.72</v>
      </c>
      <c r="D250" s="4">
        <v>2.1890999999999998</v>
      </c>
      <c r="E250" s="4">
        <v>8780</v>
      </c>
      <c r="F250" s="4"/>
      <c r="G250" s="4"/>
      <c r="H250" s="5">
        <f t="shared" si="3"/>
        <v>0</v>
      </c>
    </row>
    <row r="251" spans="1:8" ht="13.5" x14ac:dyDescent="0.25">
      <c r="A251" s="1"/>
      <c r="B251" s="3">
        <v>42668</v>
      </c>
      <c r="C251" s="4">
        <v>2.7</v>
      </c>
      <c r="D251" s="4">
        <v>2.173</v>
      </c>
      <c r="E251" s="4">
        <v>13646</v>
      </c>
      <c r="F251" s="4"/>
      <c r="G251" s="4"/>
      <c r="H251" s="5">
        <f t="shared" si="3"/>
        <v>-7.3546206203461617E-3</v>
      </c>
    </row>
    <row r="252" spans="1:8" ht="13.5" x14ac:dyDescent="0.25">
      <c r="A252" s="1"/>
      <c r="B252" s="3">
        <v>42669</v>
      </c>
      <c r="C252" s="4">
        <v>2.72</v>
      </c>
      <c r="D252" s="4">
        <v>2.1890999999999998</v>
      </c>
      <c r="E252" s="4">
        <v>16931</v>
      </c>
      <c r="F252" s="4"/>
      <c r="G252" s="4"/>
      <c r="H252" s="5">
        <f t="shared" si="3"/>
        <v>7.4091118269672251E-3</v>
      </c>
    </row>
    <row r="253" spans="1:8" ht="13.5" x14ac:dyDescent="0.25">
      <c r="A253" s="1"/>
      <c r="B253" s="3">
        <v>42670</v>
      </c>
      <c r="C253" s="4">
        <v>2.81</v>
      </c>
      <c r="D253" s="4">
        <v>2.2614999999999998</v>
      </c>
      <c r="E253" s="4">
        <v>14374</v>
      </c>
      <c r="F253" s="4"/>
      <c r="G253" s="4"/>
      <c r="H253" s="5">
        <f t="shared" si="3"/>
        <v>3.3072952354849035E-2</v>
      </c>
    </row>
    <row r="254" spans="1:8" ht="13.5" x14ac:dyDescent="0.25">
      <c r="A254" s="1"/>
      <c r="B254" s="3">
        <v>42671</v>
      </c>
      <c r="C254" s="4">
        <v>2.8</v>
      </c>
      <c r="D254" s="4">
        <v>2.2534999999999998</v>
      </c>
      <c r="E254" s="4">
        <v>709</v>
      </c>
      <c r="F254" s="4"/>
      <c r="G254" s="4"/>
      <c r="H254" s="5">
        <f t="shared" si="3"/>
        <v>-3.5374751271280156E-3</v>
      </c>
    </row>
    <row r="255" spans="1:8" ht="13.5" x14ac:dyDescent="0.25">
      <c r="A255" s="1"/>
      <c r="B255" s="3">
        <v>42674</v>
      </c>
      <c r="C255" s="4">
        <v>2.8</v>
      </c>
      <c r="D255" s="4">
        <v>2.2534999999999998</v>
      </c>
      <c r="E255" s="4">
        <v>6745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2.8</v>
      </c>
      <c r="D256" s="4">
        <v>2.2534999999999998</v>
      </c>
      <c r="E256" s="4">
        <v>17215</v>
      </c>
      <c r="F256" s="4"/>
      <c r="G256" s="4"/>
      <c r="H256" s="5">
        <f t="shared" si="3"/>
        <v>0</v>
      </c>
    </row>
    <row r="257" spans="1:8" ht="13.5" x14ac:dyDescent="0.25">
      <c r="A257" s="1"/>
      <c r="B257" s="3">
        <v>42676</v>
      </c>
      <c r="C257" s="4">
        <v>2.82</v>
      </c>
      <c r="D257" s="4">
        <v>2.2696000000000001</v>
      </c>
      <c r="E257" s="4">
        <v>27504</v>
      </c>
      <c r="F257" s="4"/>
      <c r="G257" s="4"/>
      <c r="H257" s="5">
        <f t="shared" si="3"/>
        <v>7.1444419791436547E-3</v>
      </c>
    </row>
    <row r="258" spans="1:8" ht="13.5" x14ac:dyDescent="0.25">
      <c r="A258" s="1"/>
      <c r="B258" s="3">
        <v>42677</v>
      </c>
      <c r="C258" s="4">
        <v>2.8</v>
      </c>
      <c r="D258" s="4">
        <v>2.2534999999999998</v>
      </c>
      <c r="E258" s="4">
        <v>6382</v>
      </c>
      <c r="F258" s="4"/>
      <c r="G258" s="4"/>
      <c r="H258" s="5">
        <f t="shared" si="3"/>
        <v>-7.0937610151569552E-3</v>
      </c>
    </row>
    <row r="259" spans="1:8" ht="13.5" x14ac:dyDescent="0.25">
      <c r="A259" s="1"/>
      <c r="B259" s="3">
        <v>42678</v>
      </c>
      <c r="C259" s="4">
        <v>2.92</v>
      </c>
      <c r="D259" s="4">
        <v>2.35</v>
      </c>
      <c r="E259" s="4">
        <v>17795</v>
      </c>
      <c r="F259" s="4"/>
      <c r="G259" s="4"/>
      <c r="H259" s="5">
        <f t="shared" si="3"/>
        <v>4.2822276458841915E-2</v>
      </c>
    </row>
    <row r="260" spans="1:8" ht="13.5" x14ac:dyDescent="0.25">
      <c r="A260" s="1"/>
      <c r="B260" s="3">
        <v>42681</v>
      </c>
      <c r="C260" s="4">
        <v>3</v>
      </c>
      <c r="D260" s="4">
        <v>2.4144000000000001</v>
      </c>
      <c r="E260" s="4">
        <v>25901</v>
      </c>
      <c r="F260" s="4"/>
      <c r="G260" s="4"/>
      <c r="H260" s="5">
        <f t="shared" si="3"/>
        <v>2.7404255319148942E-2</v>
      </c>
    </row>
    <row r="261" spans="1:8" ht="13.5" x14ac:dyDescent="0.25">
      <c r="A261" s="1"/>
      <c r="B261" s="3">
        <v>42682</v>
      </c>
      <c r="C261" s="4">
        <v>3</v>
      </c>
      <c r="D261" s="4">
        <v>2.4144000000000001</v>
      </c>
      <c r="E261" s="4">
        <v>14169</v>
      </c>
      <c r="F261" s="4"/>
      <c r="G261" s="4"/>
      <c r="H261" s="5">
        <f t="shared" si="3"/>
        <v>0</v>
      </c>
    </row>
    <row r="262" spans="1:8" ht="13.5" x14ac:dyDescent="0.25">
      <c r="A262" s="1"/>
      <c r="B262" s="3">
        <v>42683</v>
      </c>
      <c r="C262" s="4">
        <v>3</v>
      </c>
      <c r="D262" s="4">
        <v>2.4144000000000001</v>
      </c>
      <c r="E262" s="4">
        <v>6600</v>
      </c>
      <c r="F262" s="4"/>
      <c r="G262" s="4"/>
      <c r="H262" s="5">
        <f t="shared" si="3"/>
        <v>0</v>
      </c>
    </row>
    <row r="263" spans="1:8" ht="13.5" x14ac:dyDescent="0.25">
      <c r="A263" s="1"/>
      <c r="B263" s="3">
        <v>42684</v>
      </c>
      <c r="C263" s="4">
        <v>3.02</v>
      </c>
      <c r="D263" s="4">
        <v>2.4304999999999999</v>
      </c>
      <c r="E263" s="4">
        <v>9831</v>
      </c>
      <c r="F263" s="4"/>
      <c r="G263" s="4"/>
      <c r="H263" s="5">
        <f t="shared" ref="H263:H326" si="4">(D263-D262)/D262</f>
        <v>6.6683233929753895E-3</v>
      </c>
    </row>
    <row r="264" spans="1:8" ht="13.5" x14ac:dyDescent="0.25">
      <c r="A264" s="1"/>
      <c r="B264" s="3">
        <v>42685</v>
      </c>
      <c r="C264" s="4">
        <v>3</v>
      </c>
      <c r="D264" s="4">
        <v>2.4144000000000001</v>
      </c>
      <c r="E264" s="4">
        <v>17430</v>
      </c>
      <c r="F264" s="4"/>
      <c r="G264" s="4"/>
      <c r="H264" s="5">
        <f t="shared" si="4"/>
        <v>-6.6241514091749769E-3</v>
      </c>
    </row>
    <row r="265" spans="1:8" ht="13.5" x14ac:dyDescent="0.25">
      <c r="A265" s="1"/>
      <c r="B265" s="3">
        <v>42688</v>
      </c>
      <c r="C265" s="4">
        <v>2.99</v>
      </c>
      <c r="D265" s="4">
        <v>2.4064000000000001</v>
      </c>
      <c r="E265" s="4">
        <v>914</v>
      </c>
      <c r="F265" s="4"/>
      <c r="G265" s="4"/>
      <c r="H265" s="5">
        <f t="shared" si="4"/>
        <v>-3.3134526176275708E-3</v>
      </c>
    </row>
    <row r="266" spans="1:8" ht="13.5" x14ac:dyDescent="0.25">
      <c r="A266" s="1"/>
      <c r="B266" s="3">
        <v>42689</v>
      </c>
      <c r="C266" s="4">
        <v>2.98</v>
      </c>
      <c r="D266" s="4">
        <v>2.3982999999999999</v>
      </c>
      <c r="E266" s="4">
        <v>5782</v>
      </c>
      <c r="F266" s="4"/>
      <c r="G266" s="4"/>
      <c r="H266" s="5">
        <f t="shared" si="4"/>
        <v>-3.3660239361703033E-3</v>
      </c>
    </row>
    <row r="267" spans="1:8" ht="13.5" x14ac:dyDescent="0.25">
      <c r="A267" s="1"/>
      <c r="B267" s="3">
        <v>42690</v>
      </c>
      <c r="C267" s="4">
        <v>2.95</v>
      </c>
      <c r="D267" s="4">
        <v>2.3742000000000001</v>
      </c>
      <c r="E267" s="4">
        <v>262</v>
      </c>
      <c r="F267" s="4"/>
      <c r="G267" s="4"/>
      <c r="H267" s="5">
        <f t="shared" si="4"/>
        <v>-1.0048784555726886E-2</v>
      </c>
    </row>
    <row r="268" spans="1:8" ht="13.5" x14ac:dyDescent="0.25">
      <c r="A268" s="1"/>
      <c r="B268" s="3">
        <v>42691</v>
      </c>
      <c r="C268" s="4">
        <v>2.93</v>
      </c>
      <c r="D268" s="4">
        <v>2.3580999999999999</v>
      </c>
      <c r="E268" s="4">
        <v>12300</v>
      </c>
      <c r="F268" s="4"/>
      <c r="G268" s="4"/>
      <c r="H268" s="5">
        <f t="shared" si="4"/>
        <v>-6.7812315727403859E-3</v>
      </c>
    </row>
    <row r="269" spans="1:8" ht="13.5" x14ac:dyDescent="0.25">
      <c r="A269" s="1"/>
      <c r="B269" s="3">
        <v>42692</v>
      </c>
      <c r="C269" s="4">
        <v>2.91</v>
      </c>
      <c r="D269" s="4">
        <v>2.3420000000000001</v>
      </c>
      <c r="E269" s="4">
        <v>398</v>
      </c>
      <c r="F269" s="4"/>
      <c r="G269" s="4"/>
      <c r="H269" s="5">
        <f t="shared" si="4"/>
        <v>-6.8275306390737384E-3</v>
      </c>
    </row>
    <row r="270" spans="1:8" ht="13.5" x14ac:dyDescent="0.25">
      <c r="A270" s="1"/>
      <c r="B270" s="3">
        <v>42695</v>
      </c>
      <c r="C270" s="4">
        <v>2.9</v>
      </c>
      <c r="D270" s="4">
        <v>2.3338999999999999</v>
      </c>
      <c r="E270" s="4">
        <v>1960</v>
      </c>
      <c r="F270" s="4"/>
      <c r="G270" s="4"/>
      <c r="H270" s="5">
        <f t="shared" si="4"/>
        <v>-3.4585824081982144E-3</v>
      </c>
    </row>
    <row r="271" spans="1:8" ht="13.5" x14ac:dyDescent="0.25">
      <c r="A271" s="1"/>
      <c r="B271" s="3">
        <v>42696</v>
      </c>
      <c r="C271" s="4">
        <v>2.81</v>
      </c>
      <c r="D271" s="4">
        <v>2.2614999999999998</v>
      </c>
      <c r="E271" s="4">
        <v>4389</v>
      </c>
      <c r="F271" s="4"/>
      <c r="G271" s="4"/>
      <c r="H271" s="5">
        <f t="shared" si="4"/>
        <v>-3.1021037747975502E-2</v>
      </c>
    </row>
    <row r="272" spans="1:8" ht="13.5" x14ac:dyDescent="0.25">
      <c r="A272" s="1"/>
      <c r="B272" s="3">
        <v>42697</v>
      </c>
      <c r="C272" s="4">
        <v>2.79</v>
      </c>
      <c r="D272" s="4">
        <v>2.2454000000000001</v>
      </c>
      <c r="E272" s="4">
        <v>326</v>
      </c>
      <c r="F272" s="4"/>
      <c r="G272" s="4"/>
      <c r="H272" s="5">
        <f t="shared" si="4"/>
        <v>-7.1191686933450285E-3</v>
      </c>
    </row>
    <row r="273" spans="1:8" ht="13.5" x14ac:dyDescent="0.25">
      <c r="A273" s="1"/>
      <c r="B273" s="3">
        <v>42698</v>
      </c>
      <c r="C273" s="4">
        <v>2.74</v>
      </c>
      <c r="D273" s="4">
        <v>2.2052</v>
      </c>
      <c r="E273" s="4">
        <v>1451</v>
      </c>
      <c r="F273" s="4"/>
      <c r="G273" s="4"/>
      <c r="H273" s="5">
        <f t="shared" si="4"/>
        <v>-1.7903268905317543E-2</v>
      </c>
    </row>
    <row r="274" spans="1:8" ht="13.5" x14ac:dyDescent="0.25">
      <c r="A274" s="1"/>
      <c r="B274" s="3">
        <v>42699</v>
      </c>
      <c r="C274" s="4">
        <v>2.71</v>
      </c>
      <c r="D274" s="4">
        <v>2.181</v>
      </c>
      <c r="E274" s="4">
        <v>7974</v>
      </c>
      <c r="F274" s="4"/>
      <c r="G274" s="4"/>
      <c r="H274" s="5">
        <f t="shared" si="4"/>
        <v>-1.0974061309631779E-2</v>
      </c>
    </row>
    <row r="275" spans="1:8" ht="13.5" x14ac:dyDescent="0.25">
      <c r="A275" s="1"/>
      <c r="B275" s="3">
        <v>42702</v>
      </c>
      <c r="C275" s="4">
        <v>2.69</v>
      </c>
      <c r="D275" s="4">
        <v>2.1648999999999998</v>
      </c>
      <c r="E275" s="4">
        <v>4146</v>
      </c>
      <c r="F275" s="4"/>
      <c r="G275" s="4"/>
      <c r="H275" s="5">
        <f t="shared" si="4"/>
        <v>-7.3819348922513637E-3</v>
      </c>
    </row>
    <row r="276" spans="1:8" ht="13.5" x14ac:dyDescent="0.25">
      <c r="A276" s="1"/>
      <c r="B276" s="3">
        <v>42703</v>
      </c>
      <c r="C276" s="4">
        <v>2.75</v>
      </c>
      <c r="D276" s="4">
        <v>2.2132000000000001</v>
      </c>
      <c r="E276" s="4">
        <v>151</v>
      </c>
      <c r="F276" s="4"/>
      <c r="G276" s="4"/>
      <c r="H276" s="5">
        <f t="shared" si="4"/>
        <v>2.2310499330223214E-2</v>
      </c>
    </row>
    <row r="277" spans="1:8" ht="13.5" x14ac:dyDescent="0.25">
      <c r="A277" s="1"/>
      <c r="B277" s="3">
        <v>42704</v>
      </c>
      <c r="C277" s="4">
        <v>2.68</v>
      </c>
      <c r="D277" s="4">
        <v>2.1568999999999998</v>
      </c>
      <c r="E277" s="4">
        <v>2494</v>
      </c>
      <c r="F277" s="4"/>
      <c r="G277" s="4"/>
      <c r="H277" s="5">
        <f t="shared" si="4"/>
        <v>-2.5438279414422664E-2</v>
      </c>
    </row>
    <row r="278" spans="1:8" ht="13.5" x14ac:dyDescent="0.25">
      <c r="A278" s="1"/>
      <c r="B278" s="3">
        <v>42705</v>
      </c>
      <c r="C278" s="4">
        <v>2.72</v>
      </c>
      <c r="D278" s="4">
        <v>2.1890999999999998</v>
      </c>
      <c r="E278" s="4">
        <v>51</v>
      </c>
      <c r="F278" s="4"/>
      <c r="G278" s="4"/>
      <c r="H278" s="5">
        <f t="shared" si="4"/>
        <v>1.4928833047429185E-2</v>
      </c>
    </row>
    <row r="279" spans="1:8" ht="13.5" x14ac:dyDescent="0.25">
      <c r="A279" s="1"/>
      <c r="B279" s="3">
        <v>42706</v>
      </c>
      <c r="C279" s="4">
        <v>2.68</v>
      </c>
      <c r="D279" s="4">
        <v>2.1568999999999998</v>
      </c>
      <c r="E279" s="4">
        <v>172</v>
      </c>
      <c r="F279" s="4"/>
      <c r="G279" s="4"/>
      <c r="H279" s="5">
        <f t="shared" si="4"/>
        <v>-1.4709241240692526E-2</v>
      </c>
    </row>
    <row r="280" spans="1:8" ht="13.5" x14ac:dyDescent="0.25">
      <c r="A280" s="1"/>
      <c r="B280" s="3">
        <v>42709</v>
      </c>
      <c r="C280" s="4">
        <v>2.68</v>
      </c>
      <c r="D280" s="4">
        <v>2.1568999999999998</v>
      </c>
      <c r="E280" s="4">
        <v>1130</v>
      </c>
      <c r="F280" s="4"/>
      <c r="G280" s="4"/>
      <c r="H280" s="5">
        <f t="shared" si="4"/>
        <v>0</v>
      </c>
    </row>
    <row r="281" spans="1:8" ht="13.5" x14ac:dyDescent="0.25">
      <c r="A281" s="1"/>
      <c r="B281" s="3">
        <v>42710</v>
      </c>
      <c r="C281" s="4">
        <v>2.6</v>
      </c>
      <c r="D281" s="4">
        <v>2.0924999999999998</v>
      </c>
      <c r="E281" s="4">
        <v>2252</v>
      </c>
      <c r="F281" s="4"/>
      <c r="G281" s="4"/>
      <c r="H281" s="5">
        <f t="shared" si="4"/>
        <v>-2.9857666094858369E-2</v>
      </c>
    </row>
    <row r="282" spans="1:8" ht="13.5" x14ac:dyDescent="0.25">
      <c r="A282" s="1"/>
      <c r="B282" s="3">
        <v>42711</v>
      </c>
      <c r="C282" s="4">
        <v>2.6</v>
      </c>
      <c r="D282" s="4">
        <v>2.0924999999999998</v>
      </c>
      <c r="E282" s="4">
        <v>1465</v>
      </c>
      <c r="F282" s="4"/>
      <c r="G282" s="4"/>
      <c r="H282" s="5">
        <f t="shared" si="4"/>
        <v>0</v>
      </c>
    </row>
    <row r="283" spans="1:8" ht="13.5" x14ac:dyDescent="0.25">
      <c r="A283" s="1"/>
      <c r="B283" s="3">
        <v>42712</v>
      </c>
      <c r="C283" s="4">
        <v>2.67</v>
      </c>
      <c r="D283" s="4">
        <v>2.1488</v>
      </c>
      <c r="E283" s="4">
        <v>303</v>
      </c>
      <c r="F283" s="4"/>
      <c r="G283" s="4"/>
      <c r="H283" s="5">
        <f t="shared" si="4"/>
        <v>2.6905615292712185E-2</v>
      </c>
    </row>
    <row r="284" spans="1:8" ht="13.5" x14ac:dyDescent="0.25">
      <c r="A284" s="1"/>
      <c r="B284" s="3">
        <v>42713</v>
      </c>
      <c r="C284" s="4">
        <v>2.61</v>
      </c>
      <c r="D284" s="4">
        <v>2.1004999999999998</v>
      </c>
      <c r="E284" s="4">
        <v>801</v>
      </c>
      <c r="F284" s="4"/>
      <c r="G284" s="4"/>
      <c r="H284" s="5">
        <f t="shared" si="4"/>
        <v>-2.24776619508564E-2</v>
      </c>
    </row>
    <row r="285" spans="1:8" ht="13.5" x14ac:dyDescent="0.25">
      <c r="A285" s="1"/>
      <c r="B285" s="3">
        <v>42717</v>
      </c>
      <c r="C285" s="4">
        <v>2.6</v>
      </c>
      <c r="D285" s="4">
        <v>2.0924999999999998</v>
      </c>
      <c r="E285" s="4">
        <v>3117</v>
      </c>
      <c r="F285" s="4"/>
      <c r="G285" s="4"/>
      <c r="H285" s="5">
        <f t="shared" si="4"/>
        <v>-3.8086169959533483E-3</v>
      </c>
    </row>
    <row r="286" spans="1:8" ht="13.5" x14ac:dyDescent="0.25">
      <c r="A286" s="1"/>
      <c r="B286" s="3">
        <v>42718</v>
      </c>
      <c r="C286" s="4">
        <v>2.59</v>
      </c>
      <c r="D286" s="4">
        <v>2.0844999999999998</v>
      </c>
      <c r="E286" s="4">
        <v>493</v>
      </c>
      <c r="F286" s="4"/>
      <c r="G286" s="4"/>
      <c r="H286" s="5">
        <f t="shared" si="4"/>
        <v>-3.8231780167264076E-3</v>
      </c>
    </row>
    <row r="287" spans="1:8" ht="13.5" x14ac:dyDescent="0.25">
      <c r="A287" s="1"/>
      <c r="B287" s="3">
        <v>42719</v>
      </c>
      <c r="C287" s="4">
        <v>2.52</v>
      </c>
      <c r="D287" s="4">
        <v>2.0280999999999998</v>
      </c>
      <c r="E287" s="4">
        <v>1519</v>
      </c>
      <c r="F287" s="4"/>
      <c r="G287" s="4"/>
      <c r="H287" s="5">
        <f t="shared" si="4"/>
        <v>-2.705684816502759E-2</v>
      </c>
    </row>
    <row r="288" spans="1:8" ht="13.5" x14ac:dyDescent="0.25">
      <c r="A288" s="1"/>
      <c r="B288" s="3">
        <v>42720</v>
      </c>
      <c r="C288" s="4">
        <v>2.46</v>
      </c>
      <c r="D288" s="4">
        <v>1.9798</v>
      </c>
      <c r="E288" s="4">
        <v>1741</v>
      </c>
      <c r="F288" s="4"/>
      <c r="G288" s="4"/>
      <c r="H288" s="5">
        <f t="shared" si="4"/>
        <v>-2.3815393718258367E-2</v>
      </c>
    </row>
    <row r="289" spans="1:8" ht="13.5" x14ac:dyDescent="0.25">
      <c r="A289" s="1"/>
      <c r="B289" s="3">
        <v>42723</v>
      </c>
      <c r="C289" s="4">
        <v>2.5</v>
      </c>
      <c r="D289" s="4">
        <v>2.012</v>
      </c>
      <c r="E289" s="4">
        <v>3319</v>
      </c>
      <c r="F289" s="4"/>
      <c r="G289" s="4"/>
      <c r="H289" s="5">
        <f t="shared" si="4"/>
        <v>1.6264269118092738E-2</v>
      </c>
    </row>
    <row r="290" spans="1:8" ht="13.5" x14ac:dyDescent="0.25">
      <c r="A290" s="1"/>
      <c r="B290" s="3">
        <v>42724</v>
      </c>
      <c r="C290" s="4">
        <v>2.5</v>
      </c>
      <c r="D290" s="4">
        <v>2.012</v>
      </c>
      <c r="E290" s="4">
        <v>0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2.52</v>
      </c>
      <c r="D291" s="4">
        <v>2.0280999999999998</v>
      </c>
      <c r="E291" s="4">
        <v>51</v>
      </c>
      <c r="F291" s="4"/>
      <c r="G291" s="4"/>
      <c r="H291" s="5">
        <f t="shared" si="4"/>
        <v>8.0019880715704681E-3</v>
      </c>
    </row>
    <row r="292" spans="1:8" ht="13.5" x14ac:dyDescent="0.25">
      <c r="A292" s="1"/>
      <c r="B292" s="3">
        <v>42726</v>
      </c>
      <c r="C292" s="4">
        <v>2.5299999999999998</v>
      </c>
      <c r="D292" s="4">
        <v>2.0362</v>
      </c>
      <c r="E292" s="4">
        <v>400</v>
      </c>
      <c r="F292" s="4"/>
      <c r="G292" s="4"/>
      <c r="H292" s="5">
        <f t="shared" si="4"/>
        <v>3.9938859030620869E-3</v>
      </c>
    </row>
    <row r="293" spans="1:8" ht="13.5" x14ac:dyDescent="0.25">
      <c r="A293" s="1"/>
      <c r="B293" s="3">
        <v>42727</v>
      </c>
      <c r="C293" s="4">
        <v>2.5299999999999998</v>
      </c>
      <c r="D293" s="4">
        <v>2.0362</v>
      </c>
      <c r="E293" s="4">
        <v>0</v>
      </c>
      <c r="F293" s="4"/>
      <c r="G293" s="4"/>
      <c r="H293" s="5">
        <f t="shared" si="4"/>
        <v>0</v>
      </c>
    </row>
    <row r="294" spans="1:8" ht="13.5" x14ac:dyDescent="0.25">
      <c r="A294" s="1"/>
      <c r="B294" s="3">
        <v>42730</v>
      </c>
      <c r="C294" s="4">
        <v>2.5</v>
      </c>
      <c r="D294" s="4">
        <v>2.012</v>
      </c>
      <c r="E294" s="4">
        <v>1298</v>
      </c>
      <c r="F294" s="4"/>
      <c r="G294" s="4"/>
      <c r="H294" s="5">
        <f t="shared" si="4"/>
        <v>-1.1884883606718397E-2</v>
      </c>
    </row>
    <row r="295" spans="1:8" ht="13.5" x14ac:dyDescent="0.25">
      <c r="A295" s="1"/>
      <c r="B295" s="3">
        <v>42731</v>
      </c>
      <c r="C295" s="4">
        <v>2.46</v>
      </c>
      <c r="D295" s="4">
        <v>1.9798</v>
      </c>
      <c r="E295" s="4">
        <v>943</v>
      </c>
      <c r="F295" s="4"/>
      <c r="G295" s="4"/>
      <c r="H295" s="5">
        <f t="shared" si="4"/>
        <v>-1.6003976143141155E-2</v>
      </c>
    </row>
    <row r="296" spans="1:8" ht="13.5" x14ac:dyDescent="0.25">
      <c r="A296" s="1"/>
      <c r="B296" s="3">
        <v>42732</v>
      </c>
      <c r="C296" s="4">
        <v>2.48</v>
      </c>
      <c r="D296" s="4">
        <v>1.9959</v>
      </c>
      <c r="E296" s="4">
        <v>3884</v>
      </c>
      <c r="F296" s="4"/>
      <c r="G296" s="4"/>
      <c r="H296" s="5">
        <f t="shared" si="4"/>
        <v>8.1321345590463692E-3</v>
      </c>
    </row>
    <row r="297" spans="1:8" ht="13.5" x14ac:dyDescent="0.25">
      <c r="A297" s="1"/>
      <c r="B297" s="3">
        <v>42733</v>
      </c>
      <c r="C297" s="4">
        <v>2.46</v>
      </c>
      <c r="D297" s="4">
        <v>1.9798</v>
      </c>
      <c r="E297" s="4">
        <v>2063</v>
      </c>
      <c r="F297" s="4"/>
      <c r="G297" s="4"/>
      <c r="H297" s="5">
        <f t="shared" si="4"/>
        <v>-8.0665363996192205E-3</v>
      </c>
    </row>
    <row r="298" spans="1:8" ht="13.5" x14ac:dyDescent="0.25">
      <c r="A298" s="1"/>
      <c r="B298" s="3">
        <v>42734</v>
      </c>
      <c r="C298" s="4">
        <v>2.52</v>
      </c>
      <c r="D298" s="4">
        <v>2.0280999999999998</v>
      </c>
      <c r="E298" s="4">
        <v>3867</v>
      </c>
      <c r="F298" s="4"/>
      <c r="G298" s="4"/>
      <c r="H298" s="5">
        <f t="shared" si="4"/>
        <v>2.4396403677138998E-2</v>
      </c>
    </row>
    <row r="299" spans="1:8" ht="13.5" x14ac:dyDescent="0.25">
      <c r="A299" s="1"/>
      <c r="B299" s="3">
        <v>42737</v>
      </c>
      <c r="C299" s="4">
        <v>2.54</v>
      </c>
      <c r="D299" s="4">
        <v>2.0442</v>
      </c>
      <c r="E299" s="4">
        <v>43</v>
      </c>
      <c r="F299" s="4"/>
      <c r="G299" s="4"/>
      <c r="H299" s="5">
        <f t="shared" si="4"/>
        <v>7.9384645727529346E-3</v>
      </c>
    </row>
    <row r="300" spans="1:8" ht="13.5" x14ac:dyDescent="0.25">
      <c r="A300" s="1"/>
      <c r="B300" s="3">
        <v>42738</v>
      </c>
      <c r="C300" s="4">
        <v>2.61</v>
      </c>
      <c r="D300" s="4">
        <v>2.1004999999999998</v>
      </c>
      <c r="E300" s="4">
        <v>3521</v>
      </c>
      <c r="F300" s="4"/>
      <c r="G300" s="4"/>
      <c r="H300" s="5">
        <f t="shared" si="4"/>
        <v>2.7541336464142353E-2</v>
      </c>
    </row>
    <row r="301" spans="1:8" ht="13.5" x14ac:dyDescent="0.25">
      <c r="A301" s="1"/>
      <c r="B301" s="3">
        <v>42739</v>
      </c>
      <c r="C301" s="4">
        <v>2.68</v>
      </c>
      <c r="D301" s="4">
        <v>2.1568999999999998</v>
      </c>
      <c r="E301" s="4">
        <v>2976</v>
      </c>
      <c r="F301" s="4"/>
      <c r="G301" s="4"/>
      <c r="H301" s="5">
        <f t="shared" si="4"/>
        <v>2.6850749821471082E-2</v>
      </c>
    </row>
    <row r="302" spans="1:8" ht="13.5" x14ac:dyDescent="0.25">
      <c r="A302" s="1"/>
      <c r="B302" s="3">
        <v>42740</v>
      </c>
      <c r="C302" s="4">
        <v>2.83</v>
      </c>
      <c r="D302" s="4">
        <v>2.2776000000000001</v>
      </c>
      <c r="E302" s="4">
        <v>9552</v>
      </c>
      <c r="F302" s="4"/>
      <c r="G302" s="4"/>
      <c r="H302" s="5">
        <f t="shared" si="4"/>
        <v>5.5959942510084036E-2</v>
      </c>
    </row>
    <row r="303" spans="1:8" ht="13.5" x14ac:dyDescent="0.25">
      <c r="A303" s="1"/>
      <c r="B303" s="3">
        <v>42741</v>
      </c>
      <c r="C303" s="4">
        <v>2.93</v>
      </c>
      <c r="D303" s="4">
        <v>2.3580999999999999</v>
      </c>
      <c r="E303" s="4">
        <v>18968</v>
      </c>
      <c r="F303" s="4"/>
      <c r="G303" s="4"/>
      <c r="H303" s="5">
        <f t="shared" si="4"/>
        <v>3.5344221988057513E-2</v>
      </c>
    </row>
    <row r="304" spans="1:8" ht="13.5" x14ac:dyDescent="0.25">
      <c r="A304" s="1"/>
      <c r="B304" s="3">
        <v>42744</v>
      </c>
      <c r="C304" s="4">
        <v>2.92</v>
      </c>
      <c r="D304" s="4">
        <v>2.35</v>
      </c>
      <c r="E304" s="4">
        <v>2603</v>
      </c>
      <c r="F304" s="4"/>
      <c r="G304" s="4"/>
      <c r="H304" s="5">
        <f t="shared" si="4"/>
        <v>-3.434968830838291E-3</v>
      </c>
    </row>
    <row r="305" spans="1:8" ht="13.5" x14ac:dyDescent="0.25">
      <c r="A305" s="1"/>
      <c r="B305" s="3">
        <v>42745</v>
      </c>
      <c r="C305" s="4">
        <v>2.89</v>
      </c>
      <c r="D305" s="4">
        <v>2.3258999999999999</v>
      </c>
      <c r="E305" s="4">
        <v>836</v>
      </c>
      <c r="F305" s="4"/>
      <c r="G305" s="4"/>
      <c r="H305" s="5">
        <f t="shared" si="4"/>
        <v>-1.0255319148936268E-2</v>
      </c>
    </row>
    <row r="306" spans="1:8" ht="13.5" x14ac:dyDescent="0.25">
      <c r="A306" s="1"/>
      <c r="B306" s="3">
        <v>42746</v>
      </c>
      <c r="C306" s="4">
        <v>2.89</v>
      </c>
      <c r="D306" s="4">
        <v>2.3258999999999999</v>
      </c>
      <c r="E306" s="4">
        <v>7346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2.81</v>
      </c>
      <c r="D307" s="4">
        <v>2.2614999999999998</v>
      </c>
      <c r="E307" s="4">
        <v>500</v>
      </c>
      <c r="F307" s="4"/>
      <c r="G307" s="4"/>
      <c r="H307" s="5">
        <f t="shared" si="4"/>
        <v>-2.768820671567996E-2</v>
      </c>
    </row>
    <row r="308" spans="1:8" ht="13.5" x14ac:dyDescent="0.25">
      <c r="A308" s="1"/>
      <c r="B308" s="3">
        <v>42748</v>
      </c>
      <c r="C308" s="4">
        <v>2.88</v>
      </c>
      <c r="D308" s="4">
        <v>2.3178000000000001</v>
      </c>
      <c r="E308" s="4">
        <v>23389</v>
      </c>
      <c r="F308" s="4"/>
      <c r="G308" s="4"/>
      <c r="H308" s="5">
        <f t="shared" si="4"/>
        <v>2.4894981207163495E-2</v>
      </c>
    </row>
    <row r="309" spans="1:8" ht="13.5" x14ac:dyDescent="0.25">
      <c r="A309" s="1"/>
      <c r="B309" s="3">
        <v>42751</v>
      </c>
      <c r="C309" s="4">
        <v>2.92</v>
      </c>
      <c r="D309" s="4">
        <v>2.35</v>
      </c>
      <c r="E309" s="4">
        <v>12826</v>
      </c>
      <c r="F309" s="4"/>
      <c r="G309" s="4"/>
      <c r="H309" s="5">
        <f t="shared" si="4"/>
        <v>1.3892484252308225E-2</v>
      </c>
    </row>
    <row r="310" spans="1:8" ht="13.5" x14ac:dyDescent="0.25">
      <c r="A310" s="1"/>
      <c r="B310" s="3">
        <v>42752</v>
      </c>
      <c r="C310" s="4">
        <v>3.07</v>
      </c>
      <c r="D310" s="4">
        <v>2.4708000000000001</v>
      </c>
      <c r="E310" s="4">
        <v>29195</v>
      </c>
      <c r="F310" s="4"/>
      <c r="G310" s="4"/>
      <c r="H310" s="5">
        <f t="shared" si="4"/>
        <v>5.1404255319148939E-2</v>
      </c>
    </row>
    <row r="311" spans="1:8" ht="13.5" x14ac:dyDescent="0.25">
      <c r="A311" s="1"/>
      <c r="B311" s="3">
        <v>42753</v>
      </c>
      <c r="C311" s="4">
        <v>3.05</v>
      </c>
      <c r="D311" s="4">
        <v>2.4546999999999999</v>
      </c>
      <c r="E311" s="4">
        <v>4726</v>
      </c>
      <c r="F311" s="4"/>
      <c r="G311" s="4"/>
      <c r="H311" s="5">
        <f t="shared" si="4"/>
        <v>-6.5161081431116333E-3</v>
      </c>
    </row>
    <row r="312" spans="1:8" ht="13.5" x14ac:dyDescent="0.25">
      <c r="A312" s="1"/>
      <c r="B312" s="3">
        <v>42754</v>
      </c>
      <c r="C312" s="4">
        <v>3</v>
      </c>
      <c r="D312" s="4">
        <v>2.4144000000000001</v>
      </c>
      <c r="E312" s="4">
        <v>5165</v>
      </c>
      <c r="F312" s="4"/>
      <c r="G312" s="4"/>
      <c r="H312" s="5">
        <f t="shared" si="4"/>
        <v>-1.6417484825029447E-2</v>
      </c>
    </row>
    <row r="313" spans="1:8" ht="13.5" x14ac:dyDescent="0.25">
      <c r="A313" s="1"/>
      <c r="B313" s="3">
        <v>42755</v>
      </c>
      <c r="C313" s="4">
        <v>3.05</v>
      </c>
      <c r="D313" s="4">
        <v>2.4546999999999999</v>
      </c>
      <c r="E313" s="4">
        <v>267</v>
      </c>
      <c r="F313" s="4"/>
      <c r="G313" s="4"/>
      <c r="H313" s="5">
        <f t="shared" si="4"/>
        <v>1.6691517561298781E-2</v>
      </c>
    </row>
    <row r="314" spans="1:8" ht="13.5" x14ac:dyDescent="0.25">
      <c r="A314" s="1"/>
      <c r="B314" s="3">
        <v>42758</v>
      </c>
      <c r="C314" s="4">
        <v>3.12</v>
      </c>
      <c r="D314" s="4">
        <v>2.5110000000000001</v>
      </c>
      <c r="E314" s="4">
        <v>539</v>
      </c>
      <c r="F314" s="4"/>
      <c r="G314" s="4"/>
      <c r="H314" s="5">
        <f t="shared" si="4"/>
        <v>2.293559294414806E-2</v>
      </c>
    </row>
    <row r="315" spans="1:8" ht="13.5" x14ac:dyDescent="0.25">
      <c r="A315" s="1"/>
      <c r="B315" s="3">
        <v>42759</v>
      </c>
      <c r="C315" s="4">
        <v>3.22</v>
      </c>
      <c r="D315" s="4">
        <v>2.5914999999999999</v>
      </c>
      <c r="E315" s="4">
        <v>12600</v>
      </c>
      <c r="F315" s="4"/>
      <c r="G315" s="4"/>
      <c r="H315" s="5">
        <f t="shared" si="4"/>
        <v>3.2058940661091113E-2</v>
      </c>
    </row>
    <row r="316" spans="1:8" ht="13.5" x14ac:dyDescent="0.25">
      <c r="A316" s="1"/>
      <c r="B316" s="3">
        <v>42760</v>
      </c>
      <c r="C316" s="4">
        <v>3.24</v>
      </c>
      <c r="D316" s="4">
        <v>2.6076000000000001</v>
      </c>
      <c r="E316" s="4">
        <v>14854</v>
      </c>
      <c r="F316" s="4"/>
      <c r="G316" s="4"/>
      <c r="H316" s="5">
        <f t="shared" si="4"/>
        <v>6.212618174802325E-3</v>
      </c>
    </row>
    <row r="317" spans="1:8" ht="13.5" x14ac:dyDescent="0.25">
      <c r="A317" s="1"/>
      <c r="B317" s="3">
        <v>42761</v>
      </c>
      <c r="C317" s="4">
        <v>3.3</v>
      </c>
      <c r="D317" s="4">
        <v>2.6558999999999999</v>
      </c>
      <c r="E317" s="4">
        <v>6958</v>
      </c>
      <c r="F317" s="4"/>
      <c r="G317" s="4"/>
      <c r="H317" s="5">
        <f t="shared" si="4"/>
        <v>1.8522779567418234E-2</v>
      </c>
    </row>
    <row r="318" spans="1:8" ht="13.5" x14ac:dyDescent="0.25">
      <c r="A318" s="1"/>
      <c r="B318" s="3">
        <v>42762</v>
      </c>
      <c r="C318" s="4">
        <v>3.22</v>
      </c>
      <c r="D318" s="4">
        <v>2.5914999999999999</v>
      </c>
      <c r="E318" s="4">
        <v>2750</v>
      </c>
      <c r="F318" s="4"/>
      <c r="G318" s="4"/>
      <c r="H318" s="5">
        <f t="shared" si="4"/>
        <v>-2.4247900899883285E-2</v>
      </c>
    </row>
    <row r="319" spans="1:8" ht="13.5" x14ac:dyDescent="0.25">
      <c r="A319" s="1"/>
      <c r="B319" s="3">
        <v>42765</v>
      </c>
      <c r="C319" s="4">
        <v>3.08</v>
      </c>
      <c r="D319" s="4">
        <v>2.4788000000000001</v>
      </c>
      <c r="E319" s="4">
        <v>1281</v>
      </c>
      <c r="F319" s="4"/>
      <c r="G319" s="4"/>
      <c r="H319" s="5">
        <f t="shared" si="4"/>
        <v>-4.3488327223615592E-2</v>
      </c>
    </row>
    <row r="320" spans="1:8" ht="13.5" x14ac:dyDescent="0.25">
      <c r="A320" s="1"/>
      <c r="B320" s="3">
        <v>42766</v>
      </c>
      <c r="C320" s="4">
        <v>2.96</v>
      </c>
      <c r="D320" s="4">
        <v>2.3822000000000001</v>
      </c>
      <c r="E320" s="4">
        <v>2060</v>
      </c>
      <c r="F320" s="4"/>
      <c r="G320" s="4"/>
      <c r="H320" s="5">
        <f t="shared" si="4"/>
        <v>-3.8970469582055842E-2</v>
      </c>
    </row>
    <row r="321" spans="1:8" ht="13.5" x14ac:dyDescent="0.25">
      <c r="A321" s="1"/>
      <c r="B321" s="3">
        <v>42767</v>
      </c>
      <c r="C321" s="4">
        <v>2.88</v>
      </c>
      <c r="D321" s="4">
        <v>2.3178000000000001</v>
      </c>
      <c r="E321" s="4">
        <v>4472</v>
      </c>
      <c r="F321" s="4"/>
      <c r="G321" s="4"/>
      <c r="H321" s="5">
        <f t="shared" si="4"/>
        <v>-2.7033834270842085E-2</v>
      </c>
    </row>
    <row r="322" spans="1:8" ht="13.5" x14ac:dyDescent="0.25">
      <c r="A322" s="1"/>
      <c r="B322" s="3">
        <v>42768</v>
      </c>
      <c r="C322" s="4">
        <v>2.93</v>
      </c>
      <c r="D322" s="4">
        <v>2.3580999999999999</v>
      </c>
      <c r="E322" s="4">
        <v>2570</v>
      </c>
      <c r="F322" s="4"/>
      <c r="G322" s="4"/>
      <c r="H322" s="5">
        <f t="shared" si="4"/>
        <v>1.7387177495901192E-2</v>
      </c>
    </row>
    <row r="323" spans="1:8" ht="13.5" x14ac:dyDescent="0.25">
      <c r="A323" s="1"/>
      <c r="B323" s="3">
        <v>42769</v>
      </c>
      <c r="C323" s="4">
        <v>2.99</v>
      </c>
      <c r="D323" s="4">
        <v>2.4064000000000001</v>
      </c>
      <c r="E323" s="4">
        <v>7668</v>
      </c>
      <c r="F323" s="4"/>
      <c r="G323" s="4"/>
      <c r="H323" s="5">
        <f t="shared" si="4"/>
        <v>2.0482591917221592E-2</v>
      </c>
    </row>
    <row r="324" spans="1:8" ht="13.5" x14ac:dyDescent="0.25">
      <c r="A324" s="1"/>
      <c r="B324" s="3">
        <v>42772</v>
      </c>
      <c r="C324" s="4">
        <v>2.97</v>
      </c>
      <c r="D324" s="4">
        <v>2.3902999999999999</v>
      </c>
      <c r="E324" s="4">
        <v>14353</v>
      </c>
      <c r="F324" s="4"/>
      <c r="G324" s="4"/>
      <c r="H324" s="5">
        <f t="shared" si="4"/>
        <v>-6.6904920212766889E-3</v>
      </c>
    </row>
    <row r="325" spans="1:8" ht="13.5" x14ac:dyDescent="0.25">
      <c r="A325" s="1"/>
      <c r="B325" s="3">
        <v>42773</v>
      </c>
      <c r="C325" s="4">
        <v>3.14</v>
      </c>
      <c r="D325" s="4">
        <v>2.5270999999999999</v>
      </c>
      <c r="E325" s="4">
        <v>7792</v>
      </c>
      <c r="F325" s="4"/>
      <c r="G325" s="4"/>
      <c r="H325" s="5">
        <f t="shared" si="4"/>
        <v>5.7231309877421262E-2</v>
      </c>
    </row>
    <row r="326" spans="1:8" ht="13.5" x14ac:dyDescent="0.25">
      <c r="A326" s="1"/>
      <c r="B326" s="3">
        <v>42774</v>
      </c>
      <c r="C326" s="4">
        <v>3.2</v>
      </c>
      <c r="D326" s="4">
        <v>2.5754000000000001</v>
      </c>
      <c r="E326" s="4">
        <v>13031</v>
      </c>
      <c r="F326" s="4"/>
      <c r="G326" s="4"/>
      <c r="H326" s="5">
        <f t="shared" si="4"/>
        <v>1.9112817063036774E-2</v>
      </c>
    </row>
    <row r="327" spans="1:8" ht="13.5" x14ac:dyDescent="0.25">
      <c r="A327" s="1"/>
      <c r="B327" s="3">
        <v>42775</v>
      </c>
      <c r="C327" s="4">
        <v>3.33</v>
      </c>
      <c r="D327" s="4">
        <v>2.68</v>
      </c>
      <c r="E327" s="4">
        <v>12830</v>
      </c>
      <c r="F327" s="4"/>
      <c r="G327" s="4"/>
      <c r="H327" s="5">
        <f t="shared" ref="H327:H390" si="5">(D327-D326)/D326</f>
        <v>4.061505008930652E-2</v>
      </c>
    </row>
    <row r="328" spans="1:8" ht="13.5" x14ac:dyDescent="0.25">
      <c r="A328" s="1"/>
      <c r="B328" s="3">
        <v>42776</v>
      </c>
      <c r="C328" s="4">
        <v>3.53</v>
      </c>
      <c r="D328" s="4">
        <v>2.8410000000000002</v>
      </c>
      <c r="E328" s="4">
        <v>39789</v>
      </c>
      <c r="F328" s="4"/>
      <c r="G328" s="4"/>
      <c r="H328" s="5">
        <f t="shared" si="5"/>
        <v>6.0074626865671651E-2</v>
      </c>
    </row>
    <row r="329" spans="1:8" ht="13.5" x14ac:dyDescent="0.25">
      <c r="A329" s="1"/>
      <c r="B329" s="3">
        <v>42779</v>
      </c>
      <c r="C329" s="4">
        <v>3.72</v>
      </c>
      <c r="D329" s="4">
        <v>2.9939</v>
      </c>
      <c r="E329" s="4">
        <v>80974</v>
      </c>
      <c r="F329" s="4"/>
      <c r="G329" s="4"/>
      <c r="H329" s="5">
        <f t="shared" si="5"/>
        <v>5.3819077789510665E-2</v>
      </c>
    </row>
    <row r="330" spans="1:8" ht="13.5" x14ac:dyDescent="0.25">
      <c r="A330" s="1"/>
      <c r="B330" s="3">
        <v>42780</v>
      </c>
      <c r="C330" s="4">
        <v>3.7</v>
      </c>
      <c r="D330" s="4">
        <v>2.9777999999999998</v>
      </c>
      <c r="E330" s="4">
        <v>17147</v>
      </c>
      <c r="F330" s="4"/>
      <c r="G330" s="4"/>
      <c r="H330" s="5">
        <f t="shared" si="5"/>
        <v>-5.3776011222820483E-3</v>
      </c>
    </row>
    <row r="331" spans="1:8" ht="13.5" x14ac:dyDescent="0.25">
      <c r="A331" s="1"/>
      <c r="B331" s="3">
        <v>42781</v>
      </c>
      <c r="C331" s="4">
        <v>3.61</v>
      </c>
      <c r="D331" s="4">
        <v>2.9054000000000002</v>
      </c>
      <c r="E331" s="4">
        <v>3940</v>
      </c>
      <c r="F331" s="4"/>
      <c r="G331" s="4"/>
      <c r="H331" s="5">
        <f t="shared" si="5"/>
        <v>-2.4313251393646176E-2</v>
      </c>
    </row>
    <row r="332" spans="1:8" ht="13.5" x14ac:dyDescent="0.25">
      <c r="A332" s="1"/>
      <c r="B332" s="3">
        <v>42782</v>
      </c>
      <c r="C332" s="4">
        <v>3.58</v>
      </c>
      <c r="D332" s="4">
        <v>2.8812000000000002</v>
      </c>
      <c r="E332" s="4">
        <v>1600</v>
      </c>
      <c r="F332" s="4"/>
      <c r="G332" s="4"/>
      <c r="H332" s="5">
        <f t="shared" si="5"/>
        <v>-8.3293178219866447E-3</v>
      </c>
    </row>
    <row r="333" spans="1:8" ht="13.5" x14ac:dyDescent="0.25">
      <c r="A333" s="1"/>
      <c r="B333" s="3">
        <v>42783</v>
      </c>
      <c r="C333" s="4">
        <v>3.37</v>
      </c>
      <c r="D333" s="4">
        <v>2.7122000000000002</v>
      </c>
      <c r="E333" s="4">
        <v>11768</v>
      </c>
      <c r="F333" s="4"/>
      <c r="G333" s="4"/>
      <c r="H333" s="5">
        <f t="shared" si="5"/>
        <v>-5.865611550742747E-2</v>
      </c>
    </row>
    <row r="334" spans="1:8" ht="13.5" x14ac:dyDescent="0.25">
      <c r="A334" s="1"/>
      <c r="B334" s="3">
        <v>42786</v>
      </c>
      <c r="C334" s="4">
        <v>3.52</v>
      </c>
      <c r="D334" s="4">
        <v>2.8329</v>
      </c>
      <c r="E334" s="4">
        <v>23188</v>
      </c>
      <c r="F334" s="4"/>
      <c r="G334" s="4"/>
      <c r="H334" s="5">
        <f t="shared" si="5"/>
        <v>4.4502617801047049E-2</v>
      </c>
    </row>
    <row r="335" spans="1:8" ht="13.5" x14ac:dyDescent="0.25">
      <c r="A335" s="1"/>
      <c r="B335" s="3">
        <v>42787</v>
      </c>
      <c r="C335" s="4">
        <v>3.55</v>
      </c>
      <c r="D335" s="4">
        <v>2.8571</v>
      </c>
      <c r="E335" s="4">
        <v>3242</v>
      </c>
      <c r="F335" s="4"/>
      <c r="G335" s="4"/>
      <c r="H335" s="5">
        <f t="shared" si="5"/>
        <v>8.5424829679833381E-3</v>
      </c>
    </row>
    <row r="336" spans="1:8" ht="13.5" x14ac:dyDescent="0.25">
      <c r="A336" s="1"/>
      <c r="B336" s="3">
        <v>42788</v>
      </c>
      <c r="C336" s="4">
        <v>3.54</v>
      </c>
      <c r="D336" s="4">
        <v>2.8490000000000002</v>
      </c>
      <c r="E336" s="4">
        <v>2082</v>
      </c>
      <c r="F336" s="4"/>
      <c r="G336" s="4"/>
      <c r="H336" s="5">
        <f t="shared" si="5"/>
        <v>-2.8350425256378057E-3</v>
      </c>
    </row>
    <row r="337" spans="1:8" ht="13.5" x14ac:dyDescent="0.25">
      <c r="A337" s="1"/>
      <c r="B337" s="3">
        <v>42789</v>
      </c>
      <c r="C337" s="4">
        <v>3.54</v>
      </c>
      <c r="D337" s="4">
        <v>2.8490000000000002</v>
      </c>
      <c r="E337" s="4">
        <v>611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3.33</v>
      </c>
      <c r="D338" s="4">
        <v>2.68</v>
      </c>
      <c r="E338" s="4">
        <v>15701</v>
      </c>
      <c r="F338" s="4"/>
      <c r="G338" s="4"/>
      <c r="H338" s="5">
        <f t="shared" si="5"/>
        <v>-5.9319059319059328E-2</v>
      </c>
    </row>
    <row r="339" spans="1:8" ht="13.5" x14ac:dyDescent="0.25">
      <c r="A339" s="1"/>
      <c r="B339" s="3">
        <v>42793</v>
      </c>
      <c r="C339" s="4">
        <v>3.2</v>
      </c>
      <c r="D339" s="4">
        <v>2.5754000000000001</v>
      </c>
      <c r="E339" s="4">
        <v>8785</v>
      </c>
      <c r="F339" s="4"/>
      <c r="G339" s="4"/>
      <c r="H339" s="5">
        <f t="shared" si="5"/>
        <v>-3.9029850746268663E-2</v>
      </c>
    </row>
    <row r="340" spans="1:8" ht="13.5" x14ac:dyDescent="0.25">
      <c r="A340" s="1"/>
      <c r="B340" s="3">
        <v>42794</v>
      </c>
      <c r="C340" s="4">
        <v>3.3</v>
      </c>
      <c r="D340" s="4">
        <v>2.6558999999999999</v>
      </c>
      <c r="E340" s="4">
        <v>910</v>
      </c>
      <c r="F340" s="4"/>
      <c r="G340" s="4"/>
      <c r="H340" s="5">
        <f t="shared" si="5"/>
        <v>3.1257280422458567E-2</v>
      </c>
    </row>
    <row r="341" spans="1:8" ht="13.5" x14ac:dyDescent="0.25">
      <c r="A341" s="1"/>
      <c r="B341" s="3">
        <v>42795</v>
      </c>
      <c r="C341" s="4">
        <v>3.29</v>
      </c>
      <c r="D341" s="4">
        <v>2.6478000000000002</v>
      </c>
      <c r="E341" s="4">
        <v>8855</v>
      </c>
      <c r="F341" s="4"/>
      <c r="G341" s="4"/>
      <c r="H341" s="5">
        <f t="shared" si="5"/>
        <v>-3.0498136225007621E-3</v>
      </c>
    </row>
    <row r="342" spans="1:8" ht="13.5" x14ac:dyDescent="0.25">
      <c r="A342" s="1"/>
      <c r="B342" s="3">
        <v>42796</v>
      </c>
      <c r="C342" s="4">
        <v>3.3</v>
      </c>
      <c r="D342" s="4">
        <v>2.6558999999999999</v>
      </c>
      <c r="E342" s="4">
        <v>10971</v>
      </c>
      <c r="F342" s="4"/>
      <c r="G342" s="4"/>
      <c r="H342" s="5">
        <f t="shared" si="5"/>
        <v>3.0591434398367602E-3</v>
      </c>
    </row>
    <row r="343" spans="1:8" ht="13.5" x14ac:dyDescent="0.25">
      <c r="A343" s="1"/>
      <c r="B343" s="3">
        <v>42797</v>
      </c>
      <c r="C343" s="4">
        <v>3.22</v>
      </c>
      <c r="D343" s="4">
        <v>2.5914999999999999</v>
      </c>
      <c r="E343" s="4">
        <v>6602</v>
      </c>
      <c r="F343" s="4"/>
      <c r="G343" s="4"/>
      <c r="H343" s="5">
        <f t="shared" si="5"/>
        <v>-2.4247900899883285E-2</v>
      </c>
    </row>
    <row r="344" spans="1:8" ht="13.5" x14ac:dyDescent="0.25">
      <c r="A344" s="1"/>
      <c r="B344" s="3">
        <v>42800</v>
      </c>
      <c r="C344" s="4">
        <v>3.28</v>
      </c>
      <c r="D344" s="4">
        <v>2.6398000000000001</v>
      </c>
      <c r="E344" s="4">
        <v>4806</v>
      </c>
      <c r="F344" s="4"/>
      <c r="G344" s="4"/>
      <c r="H344" s="5">
        <f t="shared" si="5"/>
        <v>1.8637854524406805E-2</v>
      </c>
    </row>
    <row r="345" spans="1:8" ht="13.5" x14ac:dyDescent="0.25">
      <c r="A345" s="1"/>
      <c r="B345" s="3">
        <v>42801</v>
      </c>
      <c r="C345" s="4">
        <v>3.38</v>
      </c>
      <c r="D345" s="4">
        <v>2.7202999999999999</v>
      </c>
      <c r="E345" s="4">
        <v>27897</v>
      </c>
      <c r="F345" s="4"/>
      <c r="G345" s="4"/>
      <c r="H345" s="5">
        <f t="shared" si="5"/>
        <v>3.0494734449579435E-2</v>
      </c>
    </row>
    <row r="346" spans="1:8" ht="13.5" x14ac:dyDescent="0.25">
      <c r="A346" s="1"/>
      <c r="B346" s="3">
        <v>42802</v>
      </c>
      <c r="C346" s="4">
        <v>3.38</v>
      </c>
      <c r="D346" s="4">
        <v>2.7202999999999999</v>
      </c>
      <c r="E346" s="4">
        <v>100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3.35</v>
      </c>
      <c r="D347" s="4">
        <v>2.6960999999999999</v>
      </c>
      <c r="E347" s="4">
        <v>536</v>
      </c>
      <c r="F347" s="4"/>
      <c r="G347" s="4"/>
      <c r="H347" s="5">
        <f t="shared" si="5"/>
        <v>-8.8960776384957533E-3</v>
      </c>
    </row>
    <row r="348" spans="1:8" ht="13.5" x14ac:dyDescent="0.25">
      <c r="A348" s="1"/>
      <c r="B348" s="3">
        <v>42804</v>
      </c>
      <c r="C348" s="4">
        <v>3.33</v>
      </c>
      <c r="D348" s="4">
        <v>2.68</v>
      </c>
      <c r="E348" s="4">
        <v>1571</v>
      </c>
      <c r="F348" s="4"/>
      <c r="G348" s="4"/>
      <c r="H348" s="5">
        <f t="shared" si="5"/>
        <v>-5.971588590927555E-3</v>
      </c>
    </row>
    <row r="349" spans="1:8" ht="13.5" x14ac:dyDescent="0.25">
      <c r="A349" s="1"/>
      <c r="B349" s="3">
        <v>42807</v>
      </c>
      <c r="C349" s="4">
        <v>3.33</v>
      </c>
      <c r="D349" s="4">
        <v>2.68</v>
      </c>
      <c r="E349" s="4">
        <v>457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3.33</v>
      </c>
      <c r="D350" s="4">
        <v>2.68</v>
      </c>
      <c r="E350" s="4">
        <v>895</v>
      </c>
      <c r="F350" s="4"/>
      <c r="G350" s="4"/>
      <c r="H350" s="5">
        <f t="shared" si="5"/>
        <v>0</v>
      </c>
    </row>
    <row r="351" spans="1:8" ht="13.5" x14ac:dyDescent="0.25">
      <c r="A351" s="1"/>
      <c r="B351" s="3">
        <v>42809</v>
      </c>
      <c r="C351" s="4">
        <v>3.24</v>
      </c>
      <c r="D351" s="4">
        <v>2.6076000000000001</v>
      </c>
      <c r="E351" s="4">
        <v>6776</v>
      </c>
      <c r="F351" s="4"/>
      <c r="G351" s="4"/>
      <c r="H351" s="5">
        <f t="shared" si="5"/>
        <v>-2.7014925373134335E-2</v>
      </c>
    </row>
    <row r="352" spans="1:8" ht="13.5" x14ac:dyDescent="0.25">
      <c r="A352" s="1"/>
      <c r="B352" s="3">
        <v>42810</v>
      </c>
      <c r="C352" s="4">
        <v>3.23</v>
      </c>
      <c r="D352" s="4">
        <v>2.5994999999999999</v>
      </c>
      <c r="E352" s="4">
        <v>4509</v>
      </c>
      <c r="F352" s="4"/>
      <c r="G352" s="4"/>
      <c r="H352" s="5">
        <f t="shared" si="5"/>
        <v>-3.1063046479522234E-3</v>
      </c>
    </row>
    <row r="353" spans="1:8" ht="13.5" x14ac:dyDescent="0.25">
      <c r="A353" s="1"/>
      <c r="B353" s="3">
        <v>42811</v>
      </c>
      <c r="C353" s="4">
        <v>3.2</v>
      </c>
      <c r="D353" s="4">
        <v>2.5754000000000001</v>
      </c>
      <c r="E353" s="4">
        <v>14338</v>
      </c>
      <c r="F353" s="4"/>
      <c r="G353" s="4"/>
      <c r="H353" s="5">
        <f t="shared" si="5"/>
        <v>-9.2710136564723173E-3</v>
      </c>
    </row>
    <row r="354" spans="1:8" ht="13.5" x14ac:dyDescent="0.25">
      <c r="A354" s="1"/>
      <c r="B354" s="3">
        <v>42815</v>
      </c>
      <c r="C354" s="4">
        <v>3.28</v>
      </c>
      <c r="D354" s="4">
        <v>2.6398000000000001</v>
      </c>
      <c r="E354" s="4">
        <v>1</v>
      </c>
      <c r="F354" s="4"/>
      <c r="G354" s="4"/>
      <c r="H354" s="5">
        <f t="shared" si="5"/>
        <v>2.5005824337966921E-2</v>
      </c>
    </row>
    <row r="355" spans="1:8" ht="13.5" x14ac:dyDescent="0.25">
      <c r="A355" s="1"/>
      <c r="B355" s="3">
        <v>42816</v>
      </c>
      <c r="C355" s="4">
        <v>3.25</v>
      </c>
      <c r="D355" s="4">
        <v>2.6156000000000001</v>
      </c>
      <c r="E355" s="4">
        <v>6436</v>
      </c>
      <c r="F355" s="4"/>
      <c r="G355" s="4"/>
      <c r="H355" s="5">
        <f t="shared" si="5"/>
        <v>-9.1673611637245241E-3</v>
      </c>
    </row>
    <row r="356" spans="1:8" ht="13.5" x14ac:dyDescent="0.25">
      <c r="A356" s="1"/>
      <c r="B356" s="3">
        <v>42817</v>
      </c>
      <c r="C356" s="4">
        <v>3.19</v>
      </c>
      <c r="D356" s="4">
        <v>2.5672999999999999</v>
      </c>
      <c r="E356" s="4">
        <v>3423</v>
      </c>
      <c r="F356" s="4"/>
      <c r="G356" s="4"/>
      <c r="H356" s="5">
        <f t="shared" si="5"/>
        <v>-1.846612631900911E-2</v>
      </c>
    </row>
    <row r="357" spans="1:8" ht="13.5" x14ac:dyDescent="0.25">
      <c r="A357" s="1"/>
      <c r="B357" s="3">
        <v>42818</v>
      </c>
      <c r="C357" s="4">
        <v>3.18</v>
      </c>
      <c r="D357" s="4">
        <v>2.5592999999999999</v>
      </c>
      <c r="E357" s="4">
        <v>1422</v>
      </c>
      <c r="F357" s="4"/>
      <c r="G357" s="4"/>
      <c r="H357" s="5">
        <f t="shared" si="5"/>
        <v>-3.1161142055856376E-3</v>
      </c>
    </row>
    <row r="358" spans="1:8" ht="13.5" x14ac:dyDescent="0.25">
      <c r="A358" s="1"/>
      <c r="B358" s="3">
        <v>42821</v>
      </c>
      <c r="C358" s="4">
        <v>3.32</v>
      </c>
      <c r="D358" s="4">
        <v>2.6720000000000002</v>
      </c>
      <c r="E358" s="4">
        <v>21101</v>
      </c>
      <c r="F358" s="4"/>
      <c r="G358" s="4"/>
      <c r="H358" s="5">
        <f t="shared" si="5"/>
        <v>4.403547845113908E-2</v>
      </c>
    </row>
    <row r="359" spans="1:8" ht="13.5" x14ac:dyDescent="0.25">
      <c r="A359" s="1"/>
      <c r="B359" s="3">
        <v>42822</v>
      </c>
      <c r="C359" s="4">
        <v>3.4</v>
      </c>
      <c r="D359" s="4">
        <v>2.7363</v>
      </c>
      <c r="E359" s="4">
        <v>41966</v>
      </c>
      <c r="F359" s="4"/>
      <c r="G359" s="4"/>
      <c r="H359" s="5">
        <f t="shared" si="5"/>
        <v>2.4064371257484955E-2</v>
      </c>
    </row>
    <row r="360" spans="1:8" ht="13.5" x14ac:dyDescent="0.25">
      <c r="A360" s="1"/>
      <c r="B360" s="3">
        <v>42823</v>
      </c>
      <c r="C360" s="4">
        <v>3.3</v>
      </c>
      <c r="D360" s="4">
        <v>2.6558999999999999</v>
      </c>
      <c r="E360" s="4">
        <v>5966</v>
      </c>
      <c r="F360" s="4"/>
      <c r="G360" s="4"/>
      <c r="H360" s="5">
        <f t="shared" si="5"/>
        <v>-2.938274312027191E-2</v>
      </c>
    </row>
    <row r="361" spans="1:8" ht="13.5" x14ac:dyDescent="0.25">
      <c r="A361" s="1"/>
      <c r="B361" s="3">
        <v>42824</v>
      </c>
      <c r="C361" s="4">
        <v>3.25</v>
      </c>
      <c r="D361" s="4">
        <v>2.6156000000000001</v>
      </c>
      <c r="E361" s="4">
        <v>7841</v>
      </c>
      <c r="F361" s="4"/>
      <c r="G361" s="4"/>
      <c r="H361" s="5">
        <f t="shared" si="5"/>
        <v>-1.5173764072442404E-2</v>
      </c>
    </row>
    <row r="362" spans="1:8" ht="13.5" x14ac:dyDescent="0.25">
      <c r="A362" s="1"/>
      <c r="B362" s="3">
        <v>42825</v>
      </c>
      <c r="C362" s="4">
        <v>3.28</v>
      </c>
      <c r="D362" s="4">
        <v>2.6398000000000001</v>
      </c>
      <c r="E362" s="4">
        <v>11975</v>
      </c>
      <c r="F362" s="4"/>
      <c r="G362" s="4"/>
      <c r="H362" s="5">
        <f t="shared" si="5"/>
        <v>9.2521792322985165E-3</v>
      </c>
    </row>
    <row r="363" spans="1:8" ht="13.5" x14ac:dyDescent="0.25">
      <c r="A363" s="1"/>
      <c r="B363" s="3">
        <v>42828</v>
      </c>
      <c r="C363" s="4">
        <v>3.28</v>
      </c>
      <c r="D363" s="4">
        <v>2.6398000000000001</v>
      </c>
      <c r="E363" s="4">
        <v>1057</v>
      </c>
      <c r="F363" s="4"/>
      <c r="G363" s="4"/>
      <c r="H363" s="5">
        <f t="shared" si="5"/>
        <v>0</v>
      </c>
    </row>
    <row r="364" spans="1:8" ht="13.5" x14ac:dyDescent="0.25">
      <c r="A364" s="1"/>
      <c r="B364" s="3">
        <v>42829</v>
      </c>
      <c r="C364" s="4">
        <v>3.18</v>
      </c>
      <c r="D364" s="4">
        <v>2.5592999999999999</v>
      </c>
      <c r="E364" s="4">
        <v>7717</v>
      </c>
      <c r="F364" s="4"/>
      <c r="G364" s="4"/>
      <c r="H364" s="5">
        <f t="shared" si="5"/>
        <v>-3.0494734449579602E-2</v>
      </c>
    </row>
    <row r="365" spans="1:8" ht="13.5" x14ac:dyDescent="0.25">
      <c r="A365" s="1"/>
      <c r="B365" s="3">
        <v>42830</v>
      </c>
      <c r="C365" s="4">
        <v>3.08</v>
      </c>
      <c r="D365" s="4">
        <v>2.4788000000000001</v>
      </c>
      <c r="E365" s="4">
        <v>18964</v>
      </c>
      <c r="F365" s="4"/>
      <c r="G365" s="4"/>
      <c r="H365" s="5">
        <f t="shared" si="5"/>
        <v>-3.145391317938491E-2</v>
      </c>
    </row>
    <row r="366" spans="1:8" ht="13.5" x14ac:dyDescent="0.25">
      <c r="A366" s="1"/>
      <c r="B366" s="3">
        <v>42831</v>
      </c>
      <c r="C366" s="4">
        <v>3.15</v>
      </c>
      <c r="D366" s="4">
        <v>2.5350999999999999</v>
      </c>
      <c r="E366" s="4">
        <v>5830</v>
      </c>
      <c r="F366" s="4"/>
      <c r="G366" s="4"/>
      <c r="H366" s="5">
        <f t="shared" si="5"/>
        <v>2.2712602872357508E-2</v>
      </c>
    </row>
    <row r="367" spans="1:8" ht="13.5" x14ac:dyDescent="0.25">
      <c r="A367" s="1"/>
      <c r="B367" s="3">
        <v>42832</v>
      </c>
      <c r="C367" s="4">
        <v>3.15</v>
      </c>
      <c r="D367" s="4">
        <v>2.5350999999999999</v>
      </c>
      <c r="E367" s="4">
        <v>3270</v>
      </c>
      <c r="F367" s="4"/>
      <c r="G367" s="4"/>
      <c r="H367" s="5">
        <f t="shared" si="5"/>
        <v>0</v>
      </c>
    </row>
    <row r="368" spans="1:8" ht="13.5" x14ac:dyDescent="0.25">
      <c r="A368" s="1"/>
      <c r="B368" s="3">
        <v>42835</v>
      </c>
      <c r="C368" s="4">
        <v>3.19</v>
      </c>
      <c r="D368" s="4">
        <v>2.5672999999999999</v>
      </c>
      <c r="E368" s="4">
        <v>1214</v>
      </c>
      <c r="F368" s="4"/>
      <c r="G368" s="4"/>
      <c r="H368" s="5">
        <f t="shared" si="5"/>
        <v>1.2701668573231828E-2</v>
      </c>
    </row>
    <row r="369" spans="1:8" ht="13.5" x14ac:dyDescent="0.25">
      <c r="A369" s="1"/>
      <c r="B369" s="3">
        <v>42836</v>
      </c>
      <c r="C369" s="4">
        <v>3.19</v>
      </c>
      <c r="D369" s="4">
        <v>2.5672999999999999</v>
      </c>
      <c r="E369" s="4">
        <v>1184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3.17</v>
      </c>
      <c r="D370" s="4">
        <v>2.5512000000000001</v>
      </c>
      <c r="E370" s="4">
        <v>2807</v>
      </c>
      <c r="F370" s="4"/>
      <c r="G370" s="4"/>
      <c r="H370" s="5">
        <f t="shared" si="5"/>
        <v>-6.2711798387410046E-3</v>
      </c>
    </row>
    <row r="371" spans="1:8" ht="13.5" x14ac:dyDescent="0.25">
      <c r="A371" s="1"/>
      <c r="B371" s="3">
        <v>42838</v>
      </c>
      <c r="C371" s="4">
        <v>3.18</v>
      </c>
      <c r="D371" s="4">
        <v>2.5592999999999999</v>
      </c>
      <c r="E371" s="4">
        <v>539</v>
      </c>
      <c r="F371" s="4"/>
      <c r="G371" s="4"/>
      <c r="H371" s="5">
        <f t="shared" si="5"/>
        <v>3.1749764816556029E-3</v>
      </c>
    </row>
    <row r="372" spans="1:8" ht="13.5" x14ac:dyDescent="0.25">
      <c r="A372" s="1"/>
      <c r="B372" s="3">
        <v>42839</v>
      </c>
      <c r="C372" s="4">
        <v>3.18</v>
      </c>
      <c r="D372" s="4">
        <v>2.5592999999999999</v>
      </c>
      <c r="E372" s="4">
        <v>0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42842</v>
      </c>
      <c r="C373" s="4">
        <v>3.18</v>
      </c>
      <c r="D373" s="4">
        <v>2.5592999999999999</v>
      </c>
      <c r="E373" s="4">
        <v>0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3.1</v>
      </c>
      <c r="D374" s="4">
        <v>2.4948999999999999</v>
      </c>
      <c r="E374" s="4">
        <v>18</v>
      </c>
      <c r="F374" s="4"/>
      <c r="G374" s="4"/>
      <c r="H374" s="5">
        <f t="shared" si="5"/>
        <v>-2.5163130543507998E-2</v>
      </c>
    </row>
    <row r="375" spans="1:8" ht="13.5" x14ac:dyDescent="0.25">
      <c r="A375" s="1"/>
      <c r="B375" s="3">
        <v>42844</v>
      </c>
      <c r="C375" s="4">
        <v>3.09</v>
      </c>
      <c r="D375" s="4">
        <v>2.4868999999999999</v>
      </c>
      <c r="E375" s="4">
        <v>7123</v>
      </c>
      <c r="F375" s="4"/>
      <c r="G375" s="4"/>
      <c r="H375" s="5">
        <f t="shared" si="5"/>
        <v>-3.2065413443424615E-3</v>
      </c>
    </row>
    <row r="376" spans="1:8" ht="13.5" x14ac:dyDescent="0.25">
      <c r="A376" s="1"/>
      <c r="B376" s="3">
        <v>42845</v>
      </c>
      <c r="C376" s="4">
        <v>3.15</v>
      </c>
      <c r="D376" s="4">
        <v>2.5350999999999999</v>
      </c>
      <c r="E376" s="4">
        <v>6</v>
      </c>
      <c r="F376" s="4"/>
      <c r="G376" s="4"/>
      <c r="H376" s="5">
        <f t="shared" si="5"/>
        <v>1.9381559371104598E-2</v>
      </c>
    </row>
    <row r="377" spans="1:8" ht="13.5" x14ac:dyDescent="0.25">
      <c r="A377" s="1"/>
      <c r="B377" s="3">
        <v>42846</v>
      </c>
      <c r="C377" s="4">
        <v>3.15</v>
      </c>
      <c r="D377" s="4">
        <v>2.5350999999999999</v>
      </c>
      <c r="E377" s="4">
        <v>1901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3.15</v>
      </c>
      <c r="D378" s="4">
        <v>2.5350999999999999</v>
      </c>
      <c r="E378" s="4">
        <v>1688</v>
      </c>
      <c r="F378" s="4"/>
      <c r="G378" s="4"/>
      <c r="H378" s="5">
        <f t="shared" si="5"/>
        <v>0</v>
      </c>
    </row>
    <row r="379" spans="1:8" ht="13.5" x14ac:dyDescent="0.25">
      <c r="A379" s="1"/>
      <c r="B379" s="3">
        <v>42850</v>
      </c>
      <c r="C379" s="4">
        <v>3.09</v>
      </c>
      <c r="D379" s="4">
        <v>2.4868999999999999</v>
      </c>
      <c r="E379" s="4">
        <v>2001</v>
      </c>
      <c r="F379" s="4"/>
      <c r="G379" s="4"/>
      <c r="H379" s="5">
        <f t="shared" si="5"/>
        <v>-1.901305668415448E-2</v>
      </c>
    </row>
    <row r="380" spans="1:8" ht="13.5" x14ac:dyDescent="0.25">
      <c r="A380" s="1"/>
      <c r="B380" s="3">
        <v>42851</v>
      </c>
      <c r="C380" s="4">
        <v>3.17</v>
      </c>
      <c r="D380" s="4">
        <v>2.5512000000000001</v>
      </c>
      <c r="E380" s="4">
        <v>5490</v>
      </c>
      <c r="F380" s="4"/>
      <c r="G380" s="4"/>
      <c r="H380" s="5">
        <f t="shared" si="5"/>
        <v>2.5855482729502693E-2</v>
      </c>
    </row>
    <row r="381" spans="1:8" ht="13.5" x14ac:dyDescent="0.25">
      <c r="A381" s="1"/>
      <c r="B381" s="3">
        <v>42852</v>
      </c>
      <c r="C381" s="4">
        <v>3.08</v>
      </c>
      <c r="D381" s="4">
        <v>2.4788000000000001</v>
      </c>
      <c r="E381" s="4">
        <v>2980</v>
      </c>
      <c r="F381" s="4"/>
      <c r="G381" s="4"/>
      <c r="H381" s="5">
        <f t="shared" si="5"/>
        <v>-2.8378802132329892E-2</v>
      </c>
    </row>
    <row r="382" spans="1:8" ht="13.5" x14ac:dyDescent="0.25">
      <c r="A382" s="1"/>
      <c r="B382" s="3">
        <v>42853</v>
      </c>
      <c r="C382" s="4">
        <v>3.21</v>
      </c>
      <c r="D382" s="4">
        <v>2.5834000000000001</v>
      </c>
      <c r="E382" s="4">
        <v>39067</v>
      </c>
      <c r="F382" s="4"/>
      <c r="G382" s="4"/>
      <c r="H382" s="5">
        <f t="shared" si="5"/>
        <v>4.2197837663385515E-2</v>
      </c>
    </row>
    <row r="383" spans="1:8" ht="13.5" x14ac:dyDescent="0.25">
      <c r="A383" s="1"/>
      <c r="B383" s="3">
        <v>42857</v>
      </c>
      <c r="C383" s="4">
        <v>3.24</v>
      </c>
      <c r="D383" s="4">
        <v>2.6076000000000001</v>
      </c>
      <c r="E383" s="4">
        <v>7608</v>
      </c>
      <c r="F383" s="4"/>
      <c r="G383" s="4"/>
      <c r="H383" s="5">
        <f t="shared" si="5"/>
        <v>9.3675001935433922E-3</v>
      </c>
    </row>
    <row r="384" spans="1:8" ht="13.5" x14ac:dyDescent="0.25">
      <c r="A384" s="1"/>
      <c r="B384" s="3">
        <v>42858</v>
      </c>
      <c r="C384" s="4">
        <v>3.24</v>
      </c>
      <c r="D384" s="4">
        <v>2.6076000000000001</v>
      </c>
      <c r="E384" s="4">
        <v>13180</v>
      </c>
      <c r="F384" s="4"/>
      <c r="G384" s="4"/>
      <c r="H384" s="5">
        <f t="shared" si="5"/>
        <v>0</v>
      </c>
    </row>
    <row r="385" spans="1:8" ht="13.5" x14ac:dyDescent="0.25">
      <c r="A385" s="1"/>
      <c r="B385" s="3">
        <v>42859</v>
      </c>
      <c r="C385" s="4">
        <v>3.26</v>
      </c>
      <c r="D385" s="4">
        <v>2.6236999999999999</v>
      </c>
      <c r="E385" s="4">
        <v>4324</v>
      </c>
      <c r="F385" s="4"/>
      <c r="G385" s="4"/>
      <c r="H385" s="5">
        <f t="shared" si="5"/>
        <v>6.1742598558060212E-3</v>
      </c>
    </row>
    <row r="386" spans="1:8" ht="13.5" x14ac:dyDescent="0.25">
      <c r="A386" s="1"/>
      <c r="B386" s="3">
        <v>42860</v>
      </c>
      <c r="C386" s="4">
        <v>3.27</v>
      </c>
      <c r="D386" s="4">
        <v>2.6316999999999999</v>
      </c>
      <c r="E386" s="4">
        <v>542</v>
      </c>
      <c r="F386" s="4"/>
      <c r="G386" s="4"/>
      <c r="H386" s="5">
        <f t="shared" si="5"/>
        <v>3.0491290925029565E-3</v>
      </c>
    </row>
    <row r="387" spans="1:8" ht="13.5" x14ac:dyDescent="0.25">
      <c r="A387" s="1"/>
      <c r="B387" s="3">
        <v>42863</v>
      </c>
      <c r="C387" s="4">
        <v>3.26</v>
      </c>
      <c r="D387" s="4">
        <v>2.6236999999999999</v>
      </c>
      <c r="E387" s="4">
        <v>5649</v>
      </c>
      <c r="F387" s="4"/>
      <c r="G387" s="4"/>
      <c r="H387" s="5">
        <f t="shared" si="5"/>
        <v>-3.0398601664323468E-3</v>
      </c>
    </row>
    <row r="388" spans="1:8" ht="13.5" x14ac:dyDescent="0.25">
      <c r="A388" s="1"/>
      <c r="B388" s="3">
        <v>42864</v>
      </c>
      <c r="C388" s="4">
        <v>3.25</v>
      </c>
      <c r="D388" s="4">
        <v>2.6156000000000001</v>
      </c>
      <c r="E388" s="4">
        <v>3876</v>
      </c>
      <c r="F388" s="4"/>
      <c r="G388" s="4"/>
      <c r="H388" s="5">
        <f t="shared" si="5"/>
        <v>-3.0872432061591548E-3</v>
      </c>
    </row>
    <row r="389" spans="1:8" ht="13.5" x14ac:dyDescent="0.25">
      <c r="A389" s="1"/>
      <c r="B389" s="3">
        <v>42865</v>
      </c>
      <c r="C389" s="4">
        <v>3.18</v>
      </c>
      <c r="D389" s="4">
        <v>2.5592999999999999</v>
      </c>
      <c r="E389" s="4">
        <v>155</v>
      </c>
      <c r="F389" s="4"/>
      <c r="G389" s="4"/>
      <c r="H389" s="5">
        <f t="shared" si="5"/>
        <v>-2.1524697966049944E-2</v>
      </c>
    </row>
    <row r="390" spans="1:8" ht="13.5" x14ac:dyDescent="0.25">
      <c r="A390" s="1"/>
      <c r="B390" s="3">
        <v>42866</v>
      </c>
      <c r="C390" s="4">
        <v>3.18</v>
      </c>
      <c r="D390" s="4">
        <v>2.5592999999999999</v>
      </c>
      <c r="E390" s="4">
        <v>2864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3.25</v>
      </c>
      <c r="D391" s="4">
        <v>2.6156000000000001</v>
      </c>
      <c r="E391" s="4">
        <v>146</v>
      </c>
      <c r="F391" s="4"/>
      <c r="G391" s="4"/>
      <c r="H391" s="5">
        <f t="shared" ref="H391:H454" si="6">(D391-D390)/D390</f>
        <v>2.19982026335327E-2</v>
      </c>
    </row>
    <row r="392" spans="1:8" ht="13.5" x14ac:dyDescent="0.25">
      <c r="A392" s="1"/>
      <c r="B392" s="3">
        <v>42870</v>
      </c>
      <c r="C392" s="4">
        <v>3.25</v>
      </c>
      <c r="D392" s="4">
        <v>2.6156000000000001</v>
      </c>
      <c r="E392" s="4">
        <v>2601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42871</v>
      </c>
      <c r="C393" s="4">
        <v>3.25</v>
      </c>
      <c r="D393" s="4">
        <v>2.6156000000000001</v>
      </c>
      <c r="E393" s="4">
        <v>4748</v>
      </c>
      <c r="F393" s="4"/>
      <c r="G393" s="4"/>
      <c r="H393" s="5">
        <f t="shared" si="6"/>
        <v>0</v>
      </c>
    </row>
    <row r="394" spans="1:8" ht="13.5" x14ac:dyDescent="0.25">
      <c r="A394" s="1"/>
      <c r="B394" s="3">
        <v>42872</v>
      </c>
      <c r="C394" s="4">
        <v>3.16</v>
      </c>
      <c r="D394" s="4">
        <v>2.5432000000000001</v>
      </c>
      <c r="E394" s="4">
        <v>1870</v>
      </c>
      <c r="F394" s="4"/>
      <c r="G394" s="4"/>
      <c r="H394" s="5">
        <f t="shared" si="6"/>
        <v>-2.7680073405719534E-2</v>
      </c>
    </row>
    <row r="395" spans="1:8" ht="13.5" x14ac:dyDescent="0.25">
      <c r="A395" s="1"/>
      <c r="B395" s="3">
        <v>42873</v>
      </c>
      <c r="C395" s="4">
        <v>3.12</v>
      </c>
      <c r="D395" s="4">
        <v>2.5110000000000001</v>
      </c>
      <c r="E395" s="4">
        <v>3220</v>
      </c>
      <c r="F395" s="4"/>
      <c r="G395" s="4"/>
      <c r="H395" s="5">
        <f t="shared" si="6"/>
        <v>-1.2661214218307645E-2</v>
      </c>
    </row>
    <row r="396" spans="1:8" ht="13.5" x14ac:dyDescent="0.25">
      <c r="A396" s="1"/>
      <c r="B396" s="3">
        <v>42874</v>
      </c>
      <c r="C396" s="4">
        <v>3.25</v>
      </c>
      <c r="D396" s="4">
        <v>2.6156000000000001</v>
      </c>
      <c r="E396" s="4">
        <v>601</v>
      </c>
      <c r="F396" s="4"/>
      <c r="G396" s="4"/>
      <c r="H396" s="5">
        <f t="shared" si="6"/>
        <v>4.1656710473914782E-2</v>
      </c>
    </row>
    <row r="397" spans="1:8" ht="13.5" x14ac:dyDescent="0.25">
      <c r="A397" s="1"/>
      <c r="B397" s="3">
        <v>42877</v>
      </c>
      <c r="C397" s="4">
        <v>3.23</v>
      </c>
      <c r="D397" s="4">
        <v>2.5994999999999999</v>
      </c>
      <c r="E397" s="4">
        <v>2259</v>
      </c>
      <c r="F397" s="4"/>
      <c r="G397" s="4"/>
      <c r="H397" s="5">
        <f t="shared" si="6"/>
        <v>-6.1553754396697601E-3</v>
      </c>
    </row>
    <row r="398" spans="1:8" ht="13.5" x14ac:dyDescent="0.25">
      <c r="A398" s="1"/>
      <c r="B398" s="3">
        <v>42878</v>
      </c>
      <c r="C398" s="4">
        <v>3.14</v>
      </c>
      <c r="D398" s="4">
        <v>2.5270999999999999</v>
      </c>
      <c r="E398" s="4">
        <v>931</v>
      </c>
      <c r="F398" s="4"/>
      <c r="G398" s="4"/>
      <c r="H398" s="5">
        <f t="shared" si="6"/>
        <v>-2.7851509905751113E-2</v>
      </c>
    </row>
    <row r="399" spans="1:8" ht="13.5" x14ac:dyDescent="0.25">
      <c r="A399" s="1"/>
      <c r="B399" s="3">
        <v>42879</v>
      </c>
      <c r="C399" s="4">
        <v>3.13</v>
      </c>
      <c r="D399" s="4">
        <v>2.5190999999999999</v>
      </c>
      <c r="E399" s="4">
        <v>8026</v>
      </c>
      <c r="F399" s="4"/>
      <c r="G399" s="4"/>
      <c r="H399" s="5">
        <f t="shared" si="6"/>
        <v>-3.1656839855961406E-3</v>
      </c>
    </row>
    <row r="400" spans="1:8" ht="13.5" x14ac:dyDescent="0.25">
      <c r="A400" s="1"/>
      <c r="B400" s="3">
        <v>42880</v>
      </c>
      <c r="C400" s="4">
        <v>3.04</v>
      </c>
      <c r="D400" s="4">
        <v>2.4466000000000001</v>
      </c>
      <c r="E400" s="4">
        <v>8866</v>
      </c>
      <c r="F400" s="4"/>
      <c r="G400" s="4"/>
      <c r="H400" s="5">
        <f t="shared" si="6"/>
        <v>-2.8780119884085503E-2</v>
      </c>
    </row>
    <row r="401" spans="1:8" ht="13.5" x14ac:dyDescent="0.25">
      <c r="A401" s="1"/>
      <c r="B401" s="3">
        <v>42881</v>
      </c>
      <c r="C401" s="4">
        <v>3.04</v>
      </c>
      <c r="D401" s="4">
        <v>2.4466000000000001</v>
      </c>
      <c r="E401" s="4">
        <v>2227</v>
      </c>
      <c r="F401" s="4"/>
      <c r="G401" s="4"/>
      <c r="H401" s="5">
        <f t="shared" si="6"/>
        <v>0</v>
      </c>
    </row>
    <row r="402" spans="1:8" ht="13.5" x14ac:dyDescent="0.25">
      <c r="A402" s="1"/>
      <c r="B402" s="3">
        <v>42884</v>
      </c>
      <c r="C402" s="4">
        <v>3.03</v>
      </c>
      <c r="D402" s="4">
        <v>2.4386000000000001</v>
      </c>
      <c r="E402" s="4">
        <v>699</v>
      </c>
      <c r="F402" s="4"/>
      <c r="G402" s="4"/>
      <c r="H402" s="5">
        <f t="shared" si="6"/>
        <v>-3.2698438649554512E-3</v>
      </c>
    </row>
    <row r="403" spans="1:8" ht="13.5" x14ac:dyDescent="0.25">
      <c r="A403" s="1"/>
      <c r="B403" s="3">
        <v>42885</v>
      </c>
      <c r="C403" s="4">
        <v>3.12</v>
      </c>
      <c r="D403" s="4">
        <v>2.5110000000000001</v>
      </c>
      <c r="E403" s="4">
        <v>339</v>
      </c>
      <c r="F403" s="4"/>
      <c r="G403" s="4"/>
      <c r="H403" s="5">
        <f t="shared" si="6"/>
        <v>2.9689165914869194E-2</v>
      </c>
    </row>
    <row r="404" spans="1:8" ht="13.5" x14ac:dyDescent="0.25">
      <c r="A404" s="1"/>
      <c r="B404" s="3">
        <v>42886</v>
      </c>
      <c r="C404" s="4">
        <v>3.12</v>
      </c>
      <c r="D404" s="4">
        <v>2.5110000000000001</v>
      </c>
      <c r="E404" s="4">
        <v>0</v>
      </c>
      <c r="F404" s="4"/>
      <c r="G404" s="4"/>
      <c r="H404" s="5">
        <f t="shared" si="6"/>
        <v>0</v>
      </c>
    </row>
    <row r="405" spans="1:8" ht="13.5" x14ac:dyDescent="0.25">
      <c r="A405" s="1"/>
      <c r="B405" s="3">
        <v>42887</v>
      </c>
      <c r="C405" s="4">
        <v>3.05</v>
      </c>
      <c r="D405" s="4">
        <v>2.4546999999999999</v>
      </c>
      <c r="E405" s="4">
        <v>180</v>
      </c>
      <c r="F405" s="4"/>
      <c r="G405" s="4"/>
      <c r="H405" s="5">
        <f t="shared" si="6"/>
        <v>-2.2421346077260151E-2</v>
      </c>
    </row>
    <row r="406" spans="1:8" ht="13.5" x14ac:dyDescent="0.25">
      <c r="A406" s="1"/>
      <c r="B406" s="3">
        <v>42888</v>
      </c>
      <c r="C406" s="4">
        <v>3.14</v>
      </c>
      <c r="D406" s="4">
        <v>2.5270999999999999</v>
      </c>
      <c r="E406" s="4">
        <v>251</v>
      </c>
      <c r="F406" s="4"/>
      <c r="G406" s="4"/>
      <c r="H406" s="5">
        <f t="shared" si="6"/>
        <v>2.9494439239010888E-2</v>
      </c>
    </row>
    <row r="407" spans="1:8" ht="13.5" x14ac:dyDescent="0.25">
      <c r="A407" s="1"/>
      <c r="B407" s="3">
        <v>42891</v>
      </c>
      <c r="C407" s="4">
        <v>3.14</v>
      </c>
      <c r="D407" s="4">
        <v>2.5270999999999999</v>
      </c>
      <c r="E407" s="4">
        <v>0</v>
      </c>
      <c r="F407" s="4"/>
      <c r="G407" s="4"/>
      <c r="H407" s="5">
        <f t="shared" si="6"/>
        <v>0</v>
      </c>
    </row>
    <row r="408" spans="1:8" ht="13.5" x14ac:dyDescent="0.25">
      <c r="A408" s="1"/>
      <c r="B408" s="3">
        <v>42892</v>
      </c>
      <c r="C408" s="4">
        <v>3.14</v>
      </c>
      <c r="D408" s="4">
        <v>2.5270999999999999</v>
      </c>
      <c r="E408" s="4">
        <v>0</v>
      </c>
      <c r="F408" s="4"/>
      <c r="G408" s="4"/>
      <c r="H408" s="5">
        <f t="shared" si="6"/>
        <v>0</v>
      </c>
    </row>
    <row r="409" spans="1:8" ht="13.5" x14ac:dyDescent="0.25">
      <c r="A409" s="1"/>
      <c r="B409" s="3">
        <v>42893</v>
      </c>
      <c r="C409" s="4">
        <v>3.14</v>
      </c>
      <c r="D409" s="4">
        <v>2.5270999999999999</v>
      </c>
      <c r="E409" s="4">
        <v>0</v>
      </c>
      <c r="F409" s="4"/>
      <c r="G409" s="4"/>
      <c r="H409" s="5">
        <f t="shared" si="6"/>
        <v>0</v>
      </c>
    </row>
    <row r="410" spans="1:8" ht="13.5" x14ac:dyDescent="0.25">
      <c r="A410" s="1"/>
      <c r="B410" s="3">
        <v>42894</v>
      </c>
      <c r="C410" s="4">
        <v>3.04</v>
      </c>
      <c r="D410" s="4">
        <v>2.4466000000000001</v>
      </c>
      <c r="E410" s="4">
        <v>1691</v>
      </c>
      <c r="F410" s="4"/>
      <c r="G410" s="4"/>
      <c r="H410" s="5">
        <f t="shared" si="6"/>
        <v>-3.1854695105061059E-2</v>
      </c>
    </row>
    <row r="411" spans="1:8" ht="13.5" x14ac:dyDescent="0.25">
      <c r="A411" s="1"/>
      <c r="B411" s="3">
        <v>42895</v>
      </c>
      <c r="C411" s="4">
        <v>3</v>
      </c>
      <c r="D411" s="4">
        <v>2.4144000000000001</v>
      </c>
      <c r="E411" s="4">
        <v>3127</v>
      </c>
      <c r="F411" s="4"/>
      <c r="G411" s="4"/>
      <c r="H411" s="5">
        <f t="shared" si="6"/>
        <v>-1.3161121556445683E-2</v>
      </c>
    </row>
    <row r="412" spans="1:8" ht="13.5" x14ac:dyDescent="0.25">
      <c r="A412" s="1"/>
      <c r="B412" s="3">
        <v>42898</v>
      </c>
      <c r="C412" s="4">
        <v>3.09</v>
      </c>
      <c r="D412" s="4">
        <v>2.4868999999999999</v>
      </c>
      <c r="E412" s="4">
        <v>350</v>
      </c>
      <c r="F412" s="4"/>
      <c r="G412" s="4"/>
      <c r="H412" s="5">
        <f t="shared" si="6"/>
        <v>3.0028164347249746E-2</v>
      </c>
    </row>
    <row r="413" spans="1:8" ht="13.5" x14ac:dyDescent="0.25">
      <c r="A413" s="1"/>
      <c r="B413" s="3">
        <v>42899</v>
      </c>
      <c r="C413" s="4">
        <v>3.04</v>
      </c>
      <c r="D413" s="4">
        <v>2.4466000000000001</v>
      </c>
      <c r="E413" s="4">
        <v>401</v>
      </c>
      <c r="F413" s="4"/>
      <c r="G413" s="4"/>
      <c r="H413" s="5">
        <f t="shared" si="6"/>
        <v>-1.6204913748039642E-2</v>
      </c>
    </row>
    <row r="414" spans="1:8" ht="13.5" x14ac:dyDescent="0.25">
      <c r="A414" s="1"/>
      <c r="B414" s="3">
        <v>42900</v>
      </c>
      <c r="C414" s="4">
        <v>3.04</v>
      </c>
      <c r="D414" s="4">
        <v>2.4466000000000001</v>
      </c>
      <c r="E414" s="4">
        <v>451</v>
      </c>
      <c r="F414" s="4"/>
      <c r="G414" s="4"/>
      <c r="H414" s="5">
        <f t="shared" si="6"/>
        <v>0</v>
      </c>
    </row>
    <row r="415" spans="1:8" ht="13.5" x14ac:dyDescent="0.25">
      <c r="A415" s="1"/>
      <c r="B415" s="3">
        <v>42901</v>
      </c>
      <c r="C415" s="4">
        <v>3.04</v>
      </c>
      <c r="D415" s="4">
        <v>2.4466000000000001</v>
      </c>
      <c r="E415" s="4">
        <v>0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3.13</v>
      </c>
      <c r="D416" s="4">
        <v>2.5190999999999999</v>
      </c>
      <c r="E416" s="4">
        <v>3565</v>
      </c>
      <c r="F416" s="4"/>
      <c r="G416" s="4"/>
      <c r="H416" s="5">
        <f t="shared" si="6"/>
        <v>2.9632960026158662E-2</v>
      </c>
    </row>
    <row r="417" spans="1:8" ht="13.5" x14ac:dyDescent="0.25">
      <c r="A417" s="1"/>
      <c r="B417" s="3">
        <v>42905</v>
      </c>
      <c r="C417" s="4">
        <v>3.2</v>
      </c>
      <c r="D417" s="4">
        <v>2.5754000000000001</v>
      </c>
      <c r="E417" s="4">
        <v>14818</v>
      </c>
      <c r="F417" s="4"/>
      <c r="G417" s="4"/>
      <c r="H417" s="5">
        <f t="shared" si="6"/>
        <v>2.2349251716883109E-2</v>
      </c>
    </row>
    <row r="418" spans="1:8" ht="13.5" x14ac:dyDescent="0.25">
      <c r="A418" s="1"/>
      <c r="B418" s="3">
        <v>42906</v>
      </c>
      <c r="C418" s="4">
        <v>3.22</v>
      </c>
      <c r="D418" s="4">
        <v>2.5914999999999999</v>
      </c>
      <c r="E418" s="4">
        <v>26512</v>
      </c>
      <c r="F418" s="4"/>
      <c r="G418" s="4"/>
      <c r="H418" s="5">
        <f t="shared" si="6"/>
        <v>6.2514560844916444E-3</v>
      </c>
    </row>
    <row r="419" spans="1:8" ht="13.5" x14ac:dyDescent="0.25">
      <c r="A419" s="1"/>
      <c r="B419" s="3">
        <v>42907</v>
      </c>
      <c r="C419" s="4">
        <v>3.22</v>
      </c>
      <c r="D419" s="4">
        <v>2.5914999999999999</v>
      </c>
      <c r="E419" s="4">
        <v>18603</v>
      </c>
      <c r="F419" s="4"/>
      <c r="G419" s="4"/>
      <c r="H419" s="5">
        <f t="shared" si="6"/>
        <v>0</v>
      </c>
    </row>
    <row r="420" spans="1:8" ht="13.5" x14ac:dyDescent="0.25">
      <c r="A420" s="1"/>
      <c r="B420" s="3">
        <v>42908</v>
      </c>
      <c r="C420" s="4">
        <v>3.2</v>
      </c>
      <c r="D420" s="4">
        <v>2.5754000000000001</v>
      </c>
      <c r="E420" s="4">
        <v>3654</v>
      </c>
      <c r="F420" s="4"/>
      <c r="G420" s="4"/>
      <c r="H420" s="5">
        <f t="shared" si="6"/>
        <v>-6.2126181748021541E-3</v>
      </c>
    </row>
    <row r="421" spans="1:8" ht="13.5" x14ac:dyDescent="0.25">
      <c r="A421" s="1"/>
      <c r="B421" s="3">
        <v>42909</v>
      </c>
      <c r="C421" s="4">
        <v>3.11</v>
      </c>
      <c r="D421" s="4">
        <v>2.5030000000000001</v>
      </c>
      <c r="E421" s="4">
        <v>5702</v>
      </c>
      <c r="F421" s="4"/>
      <c r="G421" s="4"/>
      <c r="H421" s="5">
        <f t="shared" si="6"/>
        <v>-2.8112137920323063E-2</v>
      </c>
    </row>
    <row r="422" spans="1:8" ht="13.5" x14ac:dyDescent="0.25">
      <c r="A422" s="1"/>
      <c r="B422" s="3">
        <v>42914</v>
      </c>
      <c r="C422" s="4">
        <v>3.11</v>
      </c>
      <c r="D422" s="4">
        <v>2.5030000000000001</v>
      </c>
      <c r="E422" s="4">
        <v>798</v>
      </c>
      <c r="F422" s="4"/>
      <c r="G422" s="4"/>
      <c r="H422" s="5">
        <f t="shared" si="6"/>
        <v>0</v>
      </c>
    </row>
    <row r="423" spans="1:8" ht="13.5" x14ac:dyDescent="0.25">
      <c r="A423" s="1"/>
      <c r="B423" s="3">
        <v>42915</v>
      </c>
      <c r="C423" s="4">
        <v>3.02</v>
      </c>
      <c r="D423" s="4">
        <v>2.4304999999999999</v>
      </c>
      <c r="E423" s="4">
        <v>12233</v>
      </c>
      <c r="F423" s="4"/>
      <c r="G423" s="4"/>
      <c r="H423" s="5">
        <f t="shared" si="6"/>
        <v>-2.8965241709948152E-2</v>
      </c>
    </row>
    <row r="424" spans="1:8" ht="13.5" x14ac:dyDescent="0.25">
      <c r="A424" s="1"/>
      <c r="B424" s="3">
        <v>42916</v>
      </c>
      <c r="C424" s="4">
        <v>2.98</v>
      </c>
      <c r="D424" s="4">
        <v>2.3982999999999999</v>
      </c>
      <c r="E424" s="4">
        <v>8923</v>
      </c>
      <c r="F424" s="4"/>
      <c r="G424" s="4"/>
      <c r="H424" s="5">
        <f t="shared" si="6"/>
        <v>-1.3248302818350138E-2</v>
      </c>
    </row>
    <row r="425" spans="1:8" ht="13.5" x14ac:dyDescent="0.25">
      <c r="A425" s="1"/>
      <c r="B425" s="3">
        <v>42919</v>
      </c>
      <c r="C425" s="4">
        <v>2.98</v>
      </c>
      <c r="D425" s="4">
        <v>2.3982999999999999</v>
      </c>
      <c r="E425" s="4">
        <v>2356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2.96</v>
      </c>
      <c r="D426" s="4">
        <v>2.3822000000000001</v>
      </c>
      <c r="E426" s="4">
        <v>8243</v>
      </c>
      <c r="F426" s="4"/>
      <c r="G426" s="4"/>
      <c r="H426" s="5">
        <f t="shared" si="6"/>
        <v>-6.7130884376432401E-3</v>
      </c>
    </row>
    <row r="427" spans="1:8" ht="13.5" x14ac:dyDescent="0.25">
      <c r="A427" s="1"/>
      <c r="B427" s="3">
        <v>42921</v>
      </c>
      <c r="C427" s="4">
        <v>3.08</v>
      </c>
      <c r="D427" s="4">
        <v>2.4788000000000001</v>
      </c>
      <c r="E427" s="4">
        <v>21881</v>
      </c>
      <c r="F427" s="4"/>
      <c r="G427" s="4"/>
      <c r="H427" s="5">
        <f t="shared" si="6"/>
        <v>4.0550751406263123E-2</v>
      </c>
    </row>
    <row r="428" spans="1:8" ht="13.5" x14ac:dyDescent="0.25">
      <c r="A428" s="1"/>
      <c r="B428" s="3">
        <v>42922</v>
      </c>
      <c r="C428" s="4">
        <v>3.1</v>
      </c>
      <c r="D428" s="4">
        <v>2.4948999999999999</v>
      </c>
      <c r="E428" s="4">
        <v>5736</v>
      </c>
      <c r="F428" s="4"/>
      <c r="G428" s="4"/>
      <c r="H428" s="5">
        <f t="shared" si="6"/>
        <v>6.4950782636758837E-3</v>
      </c>
    </row>
    <row r="429" spans="1:8" ht="13.5" x14ac:dyDescent="0.25">
      <c r="A429" s="1"/>
      <c r="B429" s="3">
        <v>42923</v>
      </c>
      <c r="C429" s="4">
        <v>3.09</v>
      </c>
      <c r="D429" s="4">
        <v>2.4868999999999999</v>
      </c>
      <c r="E429" s="4">
        <v>5502</v>
      </c>
      <c r="F429" s="4"/>
      <c r="G429" s="4"/>
      <c r="H429" s="5">
        <f t="shared" si="6"/>
        <v>-3.2065413443424615E-3</v>
      </c>
    </row>
    <row r="430" spans="1:8" ht="13.5" x14ac:dyDescent="0.25">
      <c r="A430" s="1"/>
      <c r="B430" s="3">
        <v>42926</v>
      </c>
      <c r="C430" s="4">
        <v>3.12</v>
      </c>
      <c r="D430" s="4">
        <v>2.5110000000000001</v>
      </c>
      <c r="E430" s="4">
        <v>9479</v>
      </c>
      <c r="F430" s="4"/>
      <c r="G430" s="4"/>
      <c r="H430" s="5">
        <f t="shared" si="6"/>
        <v>9.6907796855523875E-3</v>
      </c>
    </row>
    <row r="431" spans="1:8" ht="13.5" x14ac:dyDescent="0.25">
      <c r="A431" s="1"/>
      <c r="B431" s="3">
        <v>42927</v>
      </c>
      <c r="C431" s="4">
        <v>3.11</v>
      </c>
      <c r="D431" s="4">
        <v>2.5030000000000001</v>
      </c>
      <c r="E431" s="4">
        <v>4972</v>
      </c>
      <c r="F431" s="4"/>
      <c r="G431" s="4"/>
      <c r="H431" s="5">
        <f t="shared" si="6"/>
        <v>-3.1859816806053391E-3</v>
      </c>
    </row>
    <row r="432" spans="1:8" ht="13.5" x14ac:dyDescent="0.25">
      <c r="A432" s="1"/>
      <c r="B432" s="3">
        <v>42928</v>
      </c>
      <c r="C432" s="4">
        <v>3.02</v>
      </c>
      <c r="D432" s="4">
        <v>2.4304999999999999</v>
      </c>
      <c r="E432" s="4">
        <v>3009</v>
      </c>
      <c r="F432" s="4"/>
      <c r="G432" s="4"/>
      <c r="H432" s="5">
        <f t="shared" si="6"/>
        <v>-2.8965241709948152E-2</v>
      </c>
    </row>
    <row r="433" spans="1:8" ht="13.5" x14ac:dyDescent="0.25">
      <c r="A433" s="1"/>
      <c r="B433" s="3">
        <v>42929</v>
      </c>
      <c r="C433" s="4">
        <v>3.08</v>
      </c>
      <c r="D433" s="4">
        <v>2.4788000000000001</v>
      </c>
      <c r="E433" s="4">
        <v>4392</v>
      </c>
      <c r="F433" s="4"/>
      <c r="G433" s="4"/>
      <c r="H433" s="5">
        <f t="shared" si="6"/>
        <v>1.9872454227525298E-2</v>
      </c>
    </row>
    <row r="434" spans="1:8" ht="13.5" x14ac:dyDescent="0.25">
      <c r="A434" s="1"/>
      <c r="B434" s="3">
        <v>42930</v>
      </c>
      <c r="C434" s="4">
        <v>3.07</v>
      </c>
      <c r="D434" s="4">
        <v>2.4708000000000001</v>
      </c>
      <c r="E434" s="4">
        <v>1600</v>
      </c>
      <c r="F434" s="4"/>
      <c r="G434" s="4"/>
      <c r="H434" s="5">
        <f t="shared" si="6"/>
        <v>-3.2273680813296782E-3</v>
      </c>
    </row>
    <row r="435" spans="1:8" ht="13.5" x14ac:dyDescent="0.25">
      <c r="A435" s="1"/>
      <c r="B435" s="3">
        <v>42933</v>
      </c>
      <c r="C435" s="4">
        <v>3.06</v>
      </c>
      <c r="D435" s="4">
        <v>2.4626999999999999</v>
      </c>
      <c r="E435" s="4">
        <v>1050</v>
      </c>
      <c r="F435" s="4"/>
      <c r="G435" s="4"/>
      <c r="H435" s="5">
        <f t="shared" si="6"/>
        <v>-3.2782904322487525E-3</v>
      </c>
    </row>
    <row r="436" spans="1:8" ht="13.5" x14ac:dyDescent="0.25">
      <c r="A436" s="1"/>
      <c r="B436" s="3">
        <v>42934</v>
      </c>
      <c r="C436" s="4">
        <v>3.06</v>
      </c>
      <c r="D436" s="4">
        <v>2.4626999999999999</v>
      </c>
      <c r="E436" s="4">
        <v>4067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3.14</v>
      </c>
      <c r="D437" s="4">
        <v>2.5270999999999999</v>
      </c>
      <c r="E437" s="4">
        <v>7087</v>
      </c>
      <c r="F437" s="4"/>
      <c r="G437" s="4"/>
      <c r="H437" s="5">
        <f t="shared" si="6"/>
        <v>2.6150160393064528E-2</v>
      </c>
    </row>
    <row r="438" spans="1:8" ht="13.5" x14ac:dyDescent="0.25">
      <c r="A438" s="1"/>
      <c r="B438" s="3">
        <v>42936</v>
      </c>
      <c r="C438" s="4">
        <v>3.1</v>
      </c>
      <c r="D438" s="4">
        <v>2.4948999999999999</v>
      </c>
      <c r="E438" s="4">
        <v>8903</v>
      </c>
      <c r="F438" s="4"/>
      <c r="G438" s="4"/>
      <c r="H438" s="5">
        <f t="shared" si="6"/>
        <v>-1.2741878042024458E-2</v>
      </c>
    </row>
    <row r="439" spans="1:8" ht="13.5" x14ac:dyDescent="0.25">
      <c r="A439" s="1"/>
      <c r="B439" s="3">
        <v>42937</v>
      </c>
      <c r="C439" s="4">
        <v>3.1</v>
      </c>
      <c r="D439" s="4">
        <v>2.4948999999999999</v>
      </c>
      <c r="E439" s="4">
        <v>13367</v>
      </c>
      <c r="F439" s="4"/>
      <c r="G439" s="4"/>
      <c r="H439" s="5">
        <f t="shared" si="6"/>
        <v>0</v>
      </c>
    </row>
    <row r="440" spans="1:8" ht="13.5" x14ac:dyDescent="0.25">
      <c r="A440" s="1"/>
      <c r="B440" s="3">
        <v>42940</v>
      </c>
      <c r="C440" s="4">
        <v>3.12</v>
      </c>
      <c r="D440" s="4">
        <v>2.5110000000000001</v>
      </c>
      <c r="E440" s="4">
        <v>587</v>
      </c>
      <c r="F440" s="4"/>
      <c r="G440" s="4"/>
      <c r="H440" s="5">
        <f t="shared" si="6"/>
        <v>6.4531644554892886E-3</v>
      </c>
    </row>
    <row r="441" spans="1:8" ht="13.5" x14ac:dyDescent="0.25">
      <c r="A441" s="1"/>
      <c r="B441" s="3">
        <v>42942</v>
      </c>
      <c r="C441" s="4">
        <v>3.08</v>
      </c>
      <c r="D441" s="4">
        <v>2.4788000000000001</v>
      </c>
      <c r="E441" s="4">
        <v>33111</v>
      </c>
      <c r="F441" s="4"/>
      <c r="G441" s="4"/>
      <c r="H441" s="5">
        <f t="shared" si="6"/>
        <v>-1.2823576264436481E-2</v>
      </c>
    </row>
    <row r="442" spans="1:8" ht="13.5" x14ac:dyDescent="0.25">
      <c r="A442" s="1"/>
      <c r="B442" s="3">
        <v>42943</v>
      </c>
      <c r="C442" s="4">
        <v>3.11</v>
      </c>
      <c r="D442" s="4">
        <v>2.5030000000000001</v>
      </c>
      <c r="E442" s="4">
        <v>4603</v>
      </c>
      <c r="F442" s="4"/>
      <c r="G442" s="4"/>
      <c r="H442" s="5">
        <f t="shared" si="6"/>
        <v>9.7627884460222674E-3</v>
      </c>
    </row>
    <row r="443" spans="1:8" ht="13.5" x14ac:dyDescent="0.25">
      <c r="A443" s="1"/>
      <c r="B443" s="3">
        <v>42944</v>
      </c>
      <c r="C443" s="4">
        <v>3.05</v>
      </c>
      <c r="D443" s="4">
        <v>2.4546999999999999</v>
      </c>
      <c r="E443" s="4">
        <v>3056</v>
      </c>
      <c r="F443" s="4"/>
      <c r="G443" s="4"/>
      <c r="H443" s="5">
        <f t="shared" si="6"/>
        <v>-1.9296843787455147E-2</v>
      </c>
    </row>
    <row r="444" spans="1:8" ht="13.5" x14ac:dyDescent="0.25">
      <c r="A444" s="1"/>
      <c r="B444" s="3">
        <v>42947</v>
      </c>
      <c r="C444" s="4">
        <v>3</v>
      </c>
      <c r="D444" s="4">
        <v>2.4144000000000001</v>
      </c>
      <c r="E444" s="4">
        <v>2772</v>
      </c>
      <c r="F444" s="4"/>
      <c r="G444" s="4"/>
      <c r="H444" s="5">
        <f t="shared" si="6"/>
        <v>-1.6417484825029447E-2</v>
      </c>
    </row>
    <row r="445" spans="1:8" ht="13.5" x14ac:dyDescent="0.25">
      <c r="A445" s="1"/>
      <c r="B445" s="3">
        <v>42948</v>
      </c>
      <c r="C445" s="4">
        <v>3.09</v>
      </c>
      <c r="D445" s="4">
        <v>2.4868999999999999</v>
      </c>
      <c r="E445" s="4">
        <v>8374</v>
      </c>
      <c r="F445" s="4"/>
      <c r="G445" s="4"/>
      <c r="H445" s="5">
        <f t="shared" si="6"/>
        <v>3.0028164347249746E-2</v>
      </c>
    </row>
    <row r="446" spans="1:8" ht="13.5" x14ac:dyDescent="0.25">
      <c r="A446" s="1"/>
      <c r="B446" s="3">
        <v>42949</v>
      </c>
      <c r="C446" s="4">
        <v>3.1</v>
      </c>
      <c r="D446" s="4">
        <v>2.4948999999999999</v>
      </c>
      <c r="E446" s="4">
        <v>2782</v>
      </c>
      <c r="F446" s="4"/>
      <c r="G446" s="4"/>
      <c r="H446" s="5">
        <f t="shared" si="6"/>
        <v>3.2168563271542916E-3</v>
      </c>
    </row>
    <row r="447" spans="1:8" ht="13.5" x14ac:dyDescent="0.25">
      <c r="A447" s="1"/>
      <c r="B447" s="3">
        <v>42950</v>
      </c>
      <c r="C447" s="4">
        <v>3.14</v>
      </c>
      <c r="D447" s="4">
        <v>2.5270999999999999</v>
      </c>
      <c r="E447" s="4">
        <v>23</v>
      </c>
      <c r="F447" s="4"/>
      <c r="G447" s="4"/>
      <c r="H447" s="5">
        <f t="shared" si="6"/>
        <v>1.2906328910978399E-2</v>
      </c>
    </row>
    <row r="448" spans="1:8" ht="13.5" x14ac:dyDescent="0.25">
      <c r="A448" s="1"/>
      <c r="B448" s="3">
        <v>42951</v>
      </c>
      <c r="C448" s="4">
        <v>3.32</v>
      </c>
      <c r="D448" s="4">
        <v>2.6720000000000002</v>
      </c>
      <c r="E448" s="4">
        <v>31495</v>
      </c>
      <c r="F448" s="4"/>
      <c r="G448" s="4"/>
      <c r="H448" s="5">
        <f t="shared" si="6"/>
        <v>5.733845118911015E-2</v>
      </c>
    </row>
    <row r="449" spans="1:8" ht="13.5" x14ac:dyDescent="0.25">
      <c r="A449" s="1"/>
      <c r="B449" s="3">
        <v>42954</v>
      </c>
      <c r="C449" s="4">
        <v>3.32</v>
      </c>
      <c r="D449" s="4">
        <v>2.6720000000000002</v>
      </c>
      <c r="E449" s="4">
        <v>18580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3.24</v>
      </c>
      <c r="D450" s="4">
        <v>2.6076000000000001</v>
      </c>
      <c r="E450" s="4">
        <v>10036</v>
      </c>
      <c r="F450" s="4"/>
      <c r="G450" s="4"/>
      <c r="H450" s="5">
        <f t="shared" si="6"/>
        <v>-2.4101796407185631E-2</v>
      </c>
    </row>
    <row r="451" spans="1:8" ht="13.5" x14ac:dyDescent="0.25">
      <c r="A451" s="1"/>
      <c r="B451" s="3">
        <v>42956</v>
      </c>
      <c r="C451" s="4">
        <v>3.24</v>
      </c>
      <c r="D451" s="4">
        <v>2.6076000000000001</v>
      </c>
      <c r="E451" s="4">
        <v>2993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3.17</v>
      </c>
      <c r="D452" s="4">
        <v>2.5512000000000001</v>
      </c>
      <c r="E452" s="4">
        <v>4090</v>
      </c>
      <c r="F452" s="4"/>
      <c r="G452" s="4"/>
      <c r="H452" s="5">
        <f t="shared" si="6"/>
        <v>-2.1629084215370457E-2</v>
      </c>
    </row>
    <row r="453" spans="1:8" ht="13.5" x14ac:dyDescent="0.25">
      <c r="A453" s="1"/>
      <c r="B453" s="3">
        <v>42958</v>
      </c>
      <c r="C453" s="4">
        <v>3.11</v>
      </c>
      <c r="D453" s="4">
        <v>2.5030000000000001</v>
      </c>
      <c r="E453" s="4">
        <v>7790</v>
      </c>
      <c r="F453" s="4"/>
      <c r="G453" s="4"/>
      <c r="H453" s="5">
        <f t="shared" si="6"/>
        <v>-1.8893069927877086E-2</v>
      </c>
    </row>
    <row r="454" spans="1:8" ht="13.5" x14ac:dyDescent="0.25">
      <c r="A454" s="1"/>
      <c r="B454" s="3">
        <v>42961</v>
      </c>
      <c r="C454" s="4">
        <v>3.05</v>
      </c>
      <c r="D454" s="4">
        <v>2.4546999999999999</v>
      </c>
      <c r="E454" s="4">
        <v>1386</v>
      </c>
      <c r="F454" s="4"/>
      <c r="G454" s="4"/>
      <c r="H454" s="5">
        <f t="shared" si="6"/>
        <v>-1.9296843787455147E-2</v>
      </c>
    </row>
    <row r="455" spans="1:8" ht="13.5" x14ac:dyDescent="0.25">
      <c r="A455" s="1"/>
      <c r="B455" s="3">
        <v>42962</v>
      </c>
      <c r="C455" s="4">
        <v>3.1</v>
      </c>
      <c r="D455" s="4">
        <v>2.4948999999999999</v>
      </c>
      <c r="E455" s="4">
        <v>2484</v>
      </c>
      <c r="F455" s="4"/>
      <c r="G455" s="4"/>
      <c r="H455" s="5">
        <f t="shared" ref="H455:H518" si="7">(D455-D454)/D454</f>
        <v>1.637674664928505E-2</v>
      </c>
    </row>
    <row r="456" spans="1:8" ht="13.5" x14ac:dyDescent="0.25">
      <c r="A456" s="1"/>
      <c r="B456" s="3">
        <v>42963</v>
      </c>
      <c r="C456" s="4">
        <v>3.15</v>
      </c>
      <c r="D456" s="4">
        <v>2.5350999999999999</v>
      </c>
      <c r="E456" s="4">
        <v>2014</v>
      </c>
      <c r="F456" s="4"/>
      <c r="G456" s="4"/>
      <c r="H456" s="5">
        <f t="shared" si="7"/>
        <v>1.611287025532086E-2</v>
      </c>
    </row>
    <row r="457" spans="1:8" ht="13.5" x14ac:dyDescent="0.25">
      <c r="A457" s="1"/>
      <c r="B457" s="3">
        <v>42964</v>
      </c>
      <c r="C457" s="4">
        <v>3.1</v>
      </c>
      <c r="D457" s="4">
        <v>2.4948999999999999</v>
      </c>
      <c r="E457" s="4">
        <v>1746</v>
      </c>
      <c r="F457" s="4"/>
      <c r="G457" s="4"/>
      <c r="H457" s="5">
        <f t="shared" si="7"/>
        <v>-1.5857362628693153E-2</v>
      </c>
    </row>
    <row r="458" spans="1:8" ht="13.5" x14ac:dyDescent="0.25">
      <c r="A458" s="1"/>
      <c r="B458" s="3">
        <v>42965</v>
      </c>
      <c r="C458" s="4">
        <v>3.07</v>
      </c>
      <c r="D458" s="4">
        <v>2.4708000000000001</v>
      </c>
      <c r="E458" s="4">
        <v>1777</v>
      </c>
      <c r="F458" s="4"/>
      <c r="G458" s="4"/>
      <c r="H458" s="5">
        <f t="shared" si="7"/>
        <v>-9.6597057998315718E-3</v>
      </c>
    </row>
    <row r="459" spans="1:8" ht="13.5" x14ac:dyDescent="0.25">
      <c r="A459" s="1"/>
      <c r="B459" s="3">
        <v>42968</v>
      </c>
      <c r="C459" s="4">
        <v>3.08</v>
      </c>
      <c r="D459" s="4">
        <v>2.4788000000000001</v>
      </c>
      <c r="E459" s="4">
        <v>3902</v>
      </c>
      <c r="F459" s="4"/>
      <c r="G459" s="4"/>
      <c r="H459" s="5">
        <f t="shared" si="7"/>
        <v>3.2378177108628812E-3</v>
      </c>
    </row>
    <row r="460" spans="1:8" ht="13.5" x14ac:dyDescent="0.25">
      <c r="A460" s="1"/>
      <c r="B460" s="3">
        <v>42969</v>
      </c>
      <c r="C460" s="4">
        <v>3.1</v>
      </c>
      <c r="D460" s="4">
        <v>2.4948999999999999</v>
      </c>
      <c r="E460" s="4">
        <v>7697</v>
      </c>
      <c r="F460" s="4"/>
      <c r="G460" s="4"/>
      <c r="H460" s="5">
        <f t="shared" si="7"/>
        <v>6.4950782636758837E-3</v>
      </c>
    </row>
    <row r="461" spans="1:8" ht="13.5" x14ac:dyDescent="0.25">
      <c r="A461" s="1"/>
      <c r="B461" s="3">
        <v>42970</v>
      </c>
      <c r="C461" s="4">
        <v>3.09</v>
      </c>
      <c r="D461" s="4">
        <v>2.4868999999999999</v>
      </c>
      <c r="E461" s="4">
        <v>6063</v>
      </c>
      <c r="F461" s="4"/>
      <c r="G461" s="4"/>
      <c r="H461" s="5">
        <f t="shared" si="7"/>
        <v>-3.2065413443424615E-3</v>
      </c>
    </row>
    <row r="462" spans="1:8" ht="13.5" x14ac:dyDescent="0.25">
      <c r="A462" s="1"/>
      <c r="B462" s="3">
        <v>42971</v>
      </c>
      <c r="C462" s="4">
        <v>3.1</v>
      </c>
      <c r="D462" s="4">
        <v>2.4948999999999999</v>
      </c>
      <c r="E462" s="4">
        <v>4395</v>
      </c>
      <c r="F462" s="4"/>
      <c r="G462" s="4"/>
      <c r="H462" s="5">
        <f t="shared" si="7"/>
        <v>3.2168563271542916E-3</v>
      </c>
    </row>
    <row r="463" spans="1:8" ht="13.5" x14ac:dyDescent="0.25">
      <c r="A463" s="1"/>
      <c r="B463" s="3">
        <v>42972</v>
      </c>
      <c r="C463" s="4">
        <v>3.05</v>
      </c>
      <c r="D463" s="4">
        <v>2.4546999999999999</v>
      </c>
      <c r="E463" s="4">
        <v>4768</v>
      </c>
      <c r="F463" s="4"/>
      <c r="G463" s="4"/>
      <c r="H463" s="5">
        <f t="shared" si="7"/>
        <v>-1.611287025532086E-2</v>
      </c>
    </row>
    <row r="464" spans="1:8" ht="13.5" x14ac:dyDescent="0.25">
      <c r="A464" s="1"/>
      <c r="B464" s="3">
        <v>42975</v>
      </c>
      <c r="C464" s="4">
        <v>3.05</v>
      </c>
      <c r="D464" s="4">
        <v>2.4546999999999999</v>
      </c>
      <c r="E464" s="4">
        <v>2809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3.02</v>
      </c>
      <c r="D465" s="4">
        <v>2.4304999999999999</v>
      </c>
      <c r="E465" s="4">
        <v>7218</v>
      </c>
      <c r="F465" s="4"/>
      <c r="G465" s="4"/>
      <c r="H465" s="5">
        <f t="shared" si="7"/>
        <v>-9.8586385301666201E-3</v>
      </c>
    </row>
    <row r="466" spans="1:8" ht="13.5" x14ac:dyDescent="0.25">
      <c r="A466" s="1"/>
      <c r="B466" s="3">
        <v>42977</v>
      </c>
      <c r="C466" s="4">
        <v>3.1</v>
      </c>
      <c r="D466" s="4">
        <v>2.4948999999999999</v>
      </c>
      <c r="E466" s="4">
        <v>400</v>
      </c>
      <c r="F466" s="4"/>
      <c r="G466" s="4"/>
      <c r="H466" s="5">
        <f t="shared" si="7"/>
        <v>2.6496605636700275E-2</v>
      </c>
    </row>
    <row r="467" spans="1:8" ht="13.5" x14ac:dyDescent="0.25">
      <c r="A467" s="1"/>
      <c r="B467" s="3">
        <v>42978</v>
      </c>
      <c r="C467" s="4">
        <v>3.05</v>
      </c>
      <c r="D467" s="4">
        <v>2.4546999999999999</v>
      </c>
      <c r="E467" s="4">
        <v>110</v>
      </c>
      <c r="F467" s="4"/>
      <c r="G467" s="4"/>
      <c r="H467" s="5">
        <f t="shared" si="7"/>
        <v>-1.611287025532086E-2</v>
      </c>
    </row>
    <row r="468" spans="1:8" ht="13.5" x14ac:dyDescent="0.25">
      <c r="A468" s="1"/>
      <c r="B468" s="3">
        <v>42982</v>
      </c>
      <c r="C468" s="4">
        <v>3.1</v>
      </c>
      <c r="D468" s="4">
        <v>2.4948999999999999</v>
      </c>
      <c r="E468" s="4">
        <v>432</v>
      </c>
      <c r="F468" s="4"/>
      <c r="G468" s="4"/>
      <c r="H468" s="5">
        <f t="shared" si="7"/>
        <v>1.637674664928505E-2</v>
      </c>
    </row>
    <row r="469" spans="1:8" ht="13.5" x14ac:dyDescent="0.25">
      <c r="A469" s="1"/>
      <c r="B469" s="3">
        <v>42983</v>
      </c>
      <c r="C469" s="4">
        <v>3.1</v>
      </c>
      <c r="D469" s="4">
        <v>2.4948999999999999</v>
      </c>
      <c r="E469" s="4">
        <v>2501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3.01</v>
      </c>
      <c r="D470" s="4">
        <v>2.4224999999999999</v>
      </c>
      <c r="E470" s="4">
        <v>500</v>
      </c>
      <c r="F470" s="4"/>
      <c r="G470" s="4"/>
      <c r="H470" s="5">
        <f t="shared" si="7"/>
        <v>-2.9019199166299258E-2</v>
      </c>
    </row>
    <row r="471" spans="1:8" ht="13.5" x14ac:dyDescent="0.25">
      <c r="A471" s="1"/>
      <c r="B471" s="3">
        <v>42985</v>
      </c>
      <c r="C471" s="4">
        <v>3.1</v>
      </c>
      <c r="D471" s="4">
        <v>2.4948999999999999</v>
      </c>
      <c r="E471" s="4">
        <v>1</v>
      </c>
      <c r="F471" s="4"/>
      <c r="G471" s="4"/>
      <c r="H471" s="5">
        <f t="shared" si="7"/>
        <v>2.9886480908152744E-2</v>
      </c>
    </row>
    <row r="472" spans="1:8" ht="13.5" x14ac:dyDescent="0.25">
      <c r="A472" s="1"/>
      <c r="B472" s="3">
        <v>42986</v>
      </c>
      <c r="C472" s="4">
        <v>3.05</v>
      </c>
      <c r="D472" s="4">
        <v>2.4546999999999999</v>
      </c>
      <c r="E472" s="4">
        <v>1618</v>
      </c>
      <c r="F472" s="4"/>
      <c r="G472" s="4"/>
      <c r="H472" s="5">
        <f t="shared" si="7"/>
        <v>-1.611287025532086E-2</v>
      </c>
    </row>
    <row r="473" spans="1:8" ht="13.5" x14ac:dyDescent="0.25">
      <c r="A473" s="1"/>
      <c r="B473" s="3">
        <v>42989</v>
      </c>
      <c r="C473" s="4">
        <v>3</v>
      </c>
      <c r="D473" s="4">
        <v>2.4144000000000001</v>
      </c>
      <c r="E473" s="4">
        <v>1200</v>
      </c>
      <c r="F473" s="4"/>
      <c r="G473" s="4"/>
      <c r="H473" s="5">
        <f t="shared" si="7"/>
        <v>-1.6417484825029447E-2</v>
      </c>
    </row>
    <row r="474" spans="1:8" ht="13.5" x14ac:dyDescent="0.25">
      <c r="A474" s="1"/>
      <c r="B474" s="3">
        <v>42990</v>
      </c>
      <c r="C474" s="4">
        <v>2.98</v>
      </c>
      <c r="D474" s="4">
        <v>2.3982999999999999</v>
      </c>
      <c r="E474" s="4">
        <v>4088</v>
      </c>
      <c r="F474" s="4"/>
      <c r="G474" s="4"/>
      <c r="H474" s="5">
        <f t="shared" si="7"/>
        <v>-6.6683233929755734E-3</v>
      </c>
    </row>
    <row r="475" spans="1:8" ht="13.5" x14ac:dyDescent="0.25">
      <c r="A475" s="1"/>
      <c r="B475" s="3">
        <v>42991</v>
      </c>
      <c r="C475" s="4">
        <v>2.98</v>
      </c>
      <c r="D475" s="4">
        <v>2.3982999999999999</v>
      </c>
      <c r="E475" s="4">
        <v>1305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2.97</v>
      </c>
      <c r="D476" s="4">
        <v>2.3902999999999999</v>
      </c>
      <c r="E476" s="4">
        <v>418</v>
      </c>
      <c r="F476" s="4"/>
      <c r="G476" s="4"/>
      <c r="H476" s="5">
        <f t="shared" si="7"/>
        <v>-3.3356961180836457E-3</v>
      </c>
    </row>
    <row r="477" spans="1:8" ht="13.5" x14ac:dyDescent="0.25">
      <c r="A477" s="1"/>
      <c r="B477" s="3">
        <v>42993</v>
      </c>
      <c r="C477" s="4">
        <v>2.85</v>
      </c>
      <c r="D477" s="4">
        <v>2.2936999999999999</v>
      </c>
      <c r="E477" s="4">
        <v>5344</v>
      </c>
      <c r="F477" s="4"/>
      <c r="G477" s="4"/>
      <c r="H477" s="5">
        <f t="shared" si="7"/>
        <v>-4.041333723800361E-2</v>
      </c>
    </row>
    <row r="478" spans="1:8" ht="13.5" x14ac:dyDescent="0.25">
      <c r="A478" s="1"/>
      <c r="B478" s="3">
        <v>42996</v>
      </c>
      <c r="C478" s="4">
        <v>2.93</v>
      </c>
      <c r="D478" s="4">
        <v>2.3580999999999999</v>
      </c>
      <c r="E478" s="4">
        <v>868</v>
      </c>
      <c r="F478" s="4"/>
      <c r="G478" s="4"/>
      <c r="H478" s="5">
        <f t="shared" si="7"/>
        <v>2.8076906308584389E-2</v>
      </c>
    </row>
    <row r="479" spans="1:8" ht="13.5" x14ac:dyDescent="0.25">
      <c r="A479" s="1"/>
      <c r="B479" s="3">
        <v>42997</v>
      </c>
      <c r="C479" s="4">
        <v>2.99</v>
      </c>
      <c r="D479" s="4">
        <v>2.4064000000000001</v>
      </c>
      <c r="E479" s="4">
        <v>1384</v>
      </c>
      <c r="F479" s="4"/>
      <c r="G479" s="4"/>
      <c r="H479" s="5">
        <f t="shared" si="7"/>
        <v>2.0482591917221592E-2</v>
      </c>
    </row>
    <row r="480" spans="1:8" ht="13.5" x14ac:dyDescent="0.25">
      <c r="A480" s="1"/>
      <c r="B480" s="3">
        <v>42998</v>
      </c>
      <c r="C480" s="4">
        <v>2.99</v>
      </c>
      <c r="D480" s="4">
        <v>2.4064000000000001</v>
      </c>
      <c r="E480" s="4">
        <v>500</v>
      </c>
      <c r="F480" s="4"/>
      <c r="G480" s="4"/>
      <c r="H480" s="5">
        <f t="shared" si="7"/>
        <v>0</v>
      </c>
    </row>
    <row r="481" spans="1:8" ht="13.5" x14ac:dyDescent="0.25">
      <c r="A481" s="1"/>
      <c r="B481" s="3">
        <v>43000</v>
      </c>
      <c r="C481" s="4">
        <v>2.99</v>
      </c>
      <c r="D481" s="4">
        <v>2.4064000000000001</v>
      </c>
      <c r="E481" s="4">
        <v>1015</v>
      </c>
      <c r="F481" s="4"/>
      <c r="G481" s="4"/>
      <c r="H481" s="5">
        <f t="shared" si="7"/>
        <v>0</v>
      </c>
    </row>
    <row r="482" spans="1:8" ht="13.5" x14ac:dyDescent="0.25">
      <c r="A482" s="1"/>
      <c r="B482" s="3">
        <v>43003</v>
      </c>
      <c r="C482" s="4">
        <v>2.94</v>
      </c>
      <c r="D482" s="4">
        <v>2.3660999999999999</v>
      </c>
      <c r="E482" s="4">
        <v>3483</v>
      </c>
      <c r="F482" s="4"/>
      <c r="G482" s="4"/>
      <c r="H482" s="5">
        <f t="shared" si="7"/>
        <v>-1.6747007978723496E-2</v>
      </c>
    </row>
    <row r="483" spans="1:8" ht="13.5" x14ac:dyDescent="0.25">
      <c r="A483" s="1"/>
      <c r="B483" s="3">
        <v>43004</v>
      </c>
      <c r="C483" s="4">
        <v>2.99</v>
      </c>
      <c r="D483" s="4">
        <v>2.4064000000000001</v>
      </c>
      <c r="E483" s="4">
        <v>25387</v>
      </c>
      <c r="F483" s="4"/>
      <c r="G483" s="4"/>
      <c r="H483" s="5">
        <f t="shared" si="7"/>
        <v>1.7032247157770266E-2</v>
      </c>
    </row>
    <row r="484" spans="1:8" ht="13.5" x14ac:dyDescent="0.25">
      <c r="A484" s="1"/>
      <c r="B484" s="3">
        <v>43005</v>
      </c>
      <c r="C484" s="4">
        <v>3.01</v>
      </c>
      <c r="D484" s="4">
        <v>2.4224999999999999</v>
      </c>
      <c r="E484" s="4">
        <v>155</v>
      </c>
      <c r="F484" s="4"/>
      <c r="G484" s="4"/>
      <c r="H484" s="5">
        <f t="shared" si="7"/>
        <v>6.6904920212765041E-3</v>
      </c>
    </row>
    <row r="485" spans="1:8" ht="13.5" x14ac:dyDescent="0.25">
      <c r="A485" s="1"/>
      <c r="B485" s="3">
        <v>43006</v>
      </c>
      <c r="C485" s="4">
        <v>3</v>
      </c>
      <c r="D485" s="4">
        <v>2.4144000000000001</v>
      </c>
      <c r="E485" s="4">
        <v>403</v>
      </c>
      <c r="F485" s="4"/>
      <c r="G485" s="4"/>
      <c r="H485" s="5">
        <f t="shared" si="7"/>
        <v>-3.3436532507739006E-3</v>
      </c>
    </row>
    <row r="486" spans="1:8" ht="13.5" x14ac:dyDescent="0.25">
      <c r="A486" s="1"/>
      <c r="B486" s="3">
        <v>43007</v>
      </c>
      <c r="C486" s="4">
        <v>2.98</v>
      </c>
      <c r="D486" s="4">
        <v>2.3982999999999999</v>
      </c>
      <c r="E486" s="4">
        <v>1105</v>
      </c>
      <c r="F486" s="4"/>
      <c r="G486" s="4"/>
      <c r="H486" s="5">
        <f t="shared" si="7"/>
        <v>-6.6683233929755734E-3</v>
      </c>
    </row>
    <row r="487" spans="1:8" ht="13.5" x14ac:dyDescent="0.25">
      <c r="A487" s="1"/>
      <c r="B487" s="3">
        <v>43010</v>
      </c>
      <c r="C487" s="4">
        <v>2.94</v>
      </c>
      <c r="D487" s="4">
        <v>2.3660999999999999</v>
      </c>
      <c r="E487" s="4">
        <v>1982</v>
      </c>
      <c r="F487" s="4"/>
      <c r="G487" s="4"/>
      <c r="H487" s="5">
        <f t="shared" si="7"/>
        <v>-1.3426176875286664E-2</v>
      </c>
    </row>
    <row r="488" spans="1:8" ht="13.5" x14ac:dyDescent="0.25">
      <c r="A488" s="1"/>
      <c r="B488" s="3">
        <v>43011</v>
      </c>
      <c r="C488" s="4">
        <v>2.89</v>
      </c>
      <c r="D488" s="4">
        <v>2.3258999999999999</v>
      </c>
      <c r="E488" s="4">
        <v>2656</v>
      </c>
      <c r="F488" s="4"/>
      <c r="G488" s="4"/>
      <c r="H488" s="5">
        <f t="shared" si="7"/>
        <v>-1.6989983517180177E-2</v>
      </c>
    </row>
    <row r="489" spans="1:8" ht="13.5" x14ac:dyDescent="0.25">
      <c r="A489" s="1"/>
      <c r="B489" s="3">
        <v>43012</v>
      </c>
      <c r="C489" s="4">
        <v>2.9</v>
      </c>
      <c r="D489" s="4">
        <v>2.3338999999999999</v>
      </c>
      <c r="E489" s="4">
        <v>12156</v>
      </c>
      <c r="F489" s="4"/>
      <c r="G489" s="4"/>
      <c r="H489" s="5">
        <f t="shared" si="7"/>
        <v>3.439528784556519E-3</v>
      </c>
    </row>
    <row r="490" spans="1:8" ht="13.5" x14ac:dyDescent="0.25">
      <c r="A490" s="1"/>
      <c r="B490" s="3">
        <v>43013</v>
      </c>
      <c r="C490" s="4">
        <v>2.84</v>
      </c>
      <c r="D490" s="4">
        <v>2.2856999999999998</v>
      </c>
      <c r="E490" s="4">
        <v>1553</v>
      </c>
      <c r="F490" s="4"/>
      <c r="G490" s="4"/>
      <c r="H490" s="5">
        <f t="shared" si="7"/>
        <v>-2.0652127340503031E-2</v>
      </c>
    </row>
    <row r="491" spans="1:8" ht="13.5" x14ac:dyDescent="0.25">
      <c r="A491" s="1"/>
      <c r="B491" s="3">
        <v>43014</v>
      </c>
      <c r="C491" s="4">
        <v>2.85</v>
      </c>
      <c r="D491" s="4">
        <v>2.2936999999999999</v>
      </c>
      <c r="E491" s="4">
        <v>20</v>
      </c>
      <c r="F491" s="4"/>
      <c r="G491" s="4"/>
      <c r="H491" s="5">
        <f t="shared" si="7"/>
        <v>3.5000218751367229E-3</v>
      </c>
    </row>
    <row r="492" spans="1:8" ht="13.5" x14ac:dyDescent="0.25">
      <c r="A492" s="1"/>
      <c r="B492" s="3">
        <v>43017</v>
      </c>
      <c r="C492" s="4">
        <v>2.85</v>
      </c>
      <c r="D492" s="4">
        <v>2.2936999999999999</v>
      </c>
      <c r="E492" s="4">
        <v>670</v>
      </c>
      <c r="F492" s="4"/>
      <c r="G492" s="4"/>
      <c r="H492" s="5">
        <f t="shared" si="7"/>
        <v>0</v>
      </c>
    </row>
    <row r="493" spans="1:8" ht="13.5" x14ac:dyDescent="0.25">
      <c r="A493" s="1"/>
      <c r="B493" s="3">
        <v>43018</v>
      </c>
      <c r="C493" s="4">
        <v>2.85</v>
      </c>
      <c r="D493" s="4">
        <v>2.2936999999999999</v>
      </c>
      <c r="E493" s="4">
        <v>4380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2.85</v>
      </c>
      <c r="D494" s="4">
        <v>2.2936999999999999</v>
      </c>
      <c r="E494" s="4">
        <v>19886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2.85</v>
      </c>
      <c r="D495" s="4">
        <v>2.2936999999999999</v>
      </c>
      <c r="E495" s="4">
        <v>21056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2.93</v>
      </c>
      <c r="D496" s="4">
        <v>2.3580999999999999</v>
      </c>
      <c r="E496" s="4">
        <v>5</v>
      </c>
      <c r="F496" s="4"/>
      <c r="G496" s="4"/>
      <c r="H496" s="5">
        <f t="shared" si="7"/>
        <v>2.8076906308584389E-2</v>
      </c>
    </row>
    <row r="497" spans="1:8" ht="13.5" x14ac:dyDescent="0.25">
      <c r="A497" s="1"/>
      <c r="B497" s="3">
        <v>43024</v>
      </c>
      <c r="C497" s="4">
        <v>2.91</v>
      </c>
      <c r="D497" s="4">
        <v>2.3420000000000001</v>
      </c>
      <c r="E497" s="4">
        <v>451</v>
      </c>
      <c r="F497" s="4"/>
      <c r="G497" s="4"/>
      <c r="H497" s="5">
        <f t="shared" si="7"/>
        <v>-6.8275306390737384E-3</v>
      </c>
    </row>
    <row r="498" spans="1:8" ht="13.5" x14ac:dyDescent="0.25">
      <c r="A498" s="1"/>
      <c r="B498" s="3">
        <v>43025</v>
      </c>
      <c r="C498" s="4">
        <v>2.91</v>
      </c>
      <c r="D498" s="4">
        <v>2.3420000000000001</v>
      </c>
      <c r="E498" s="4">
        <v>2894</v>
      </c>
      <c r="F498" s="4"/>
      <c r="G498" s="4"/>
      <c r="H498" s="5">
        <f t="shared" si="7"/>
        <v>0</v>
      </c>
    </row>
    <row r="499" spans="1:8" ht="13.5" x14ac:dyDescent="0.25">
      <c r="A499" s="1"/>
      <c r="B499" s="3">
        <v>43026</v>
      </c>
      <c r="C499" s="4">
        <v>2.92</v>
      </c>
      <c r="D499" s="4">
        <v>2.35</v>
      </c>
      <c r="E499" s="4">
        <v>504</v>
      </c>
      <c r="F499" s="4"/>
      <c r="G499" s="4"/>
      <c r="H499" s="5">
        <f t="shared" si="7"/>
        <v>3.4158838599487647E-3</v>
      </c>
    </row>
    <row r="500" spans="1:8" ht="13.5" x14ac:dyDescent="0.25">
      <c r="A500" s="1"/>
      <c r="B500" s="3">
        <v>43027</v>
      </c>
      <c r="C500" s="4">
        <v>2.89</v>
      </c>
      <c r="D500" s="4">
        <v>2.3258999999999999</v>
      </c>
      <c r="E500" s="4">
        <v>3746</v>
      </c>
      <c r="F500" s="4"/>
      <c r="G500" s="4"/>
      <c r="H500" s="5">
        <f t="shared" si="7"/>
        <v>-1.0255319148936268E-2</v>
      </c>
    </row>
    <row r="501" spans="1:8" ht="13.5" x14ac:dyDescent="0.25">
      <c r="A501" s="1"/>
      <c r="B501" s="3">
        <v>43028</v>
      </c>
      <c r="C501" s="4">
        <v>2.86</v>
      </c>
      <c r="D501" s="4">
        <v>2.3018000000000001</v>
      </c>
      <c r="E501" s="4">
        <v>2689</v>
      </c>
      <c r="F501" s="4"/>
      <c r="G501" s="4"/>
      <c r="H501" s="5">
        <f t="shared" si="7"/>
        <v>-1.0361580463476414E-2</v>
      </c>
    </row>
    <row r="502" spans="1:8" ht="13.5" x14ac:dyDescent="0.25">
      <c r="A502" s="1"/>
      <c r="B502" s="3">
        <v>43031</v>
      </c>
      <c r="C502" s="4">
        <v>2.79</v>
      </c>
      <c r="D502" s="4">
        <v>2.2454000000000001</v>
      </c>
      <c r="E502" s="4">
        <v>12836</v>
      </c>
      <c r="F502" s="4"/>
      <c r="G502" s="4"/>
      <c r="H502" s="5">
        <f t="shared" si="7"/>
        <v>-2.4502563211399774E-2</v>
      </c>
    </row>
    <row r="503" spans="1:8" ht="13.5" x14ac:dyDescent="0.25">
      <c r="A503" s="1"/>
      <c r="B503" s="3">
        <v>43032</v>
      </c>
      <c r="C503" s="4">
        <v>2.8</v>
      </c>
      <c r="D503" s="4">
        <v>2.2534999999999998</v>
      </c>
      <c r="E503" s="4">
        <v>1304</v>
      </c>
      <c r="F503" s="4"/>
      <c r="G503" s="4"/>
      <c r="H503" s="5">
        <f t="shared" si="7"/>
        <v>3.6073750779370153E-3</v>
      </c>
    </row>
    <row r="504" spans="1:8" ht="13.5" x14ac:dyDescent="0.25">
      <c r="A504" s="1"/>
      <c r="B504" s="3">
        <v>43033</v>
      </c>
      <c r="C504" s="4">
        <v>2.8</v>
      </c>
      <c r="D504" s="4">
        <v>2.2534999999999998</v>
      </c>
      <c r="E504" s="4">
        <v>1204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2.85</v>
      </c>
      <c r="D505" s="4">
        <v>2.2936999999999999</v>
      </c>
      <c r="E505" s="4">
        <v>3022</v>
      </c>
      <c r="F505" s="4"/>
      <c r="G505" s="4"/>
      <c r="H505" s="5">
        <f t="shared" si="7"/>
        <v>1.7838917239849129E-2</v>
      </c>
    </row>
    <row r="506" spans="1:8" ht="13.5" x14ac:dyDescent="0.25">
      <c r="A506" s="1"/>
      <c r="B506" s="3">
        <v>43035</v>
      </c>
      <c r="C506" s="4">
        <v>2.77</v>
      </c>
      <c r="D506" s="4">
        <v>2.2292999999999998</v>
      </c>
      <c r="E506" s="4">
        <v>11954</v>
      </c>
      <c r="F506" s="4"/>
      <c r="G506" s="4"/>
      <c r="H506" s="5">
        <f t="shared" si="7"/>
        <v>-2.8076906308584389E-2</v>
      </c>
    </row>
    <row r="507" spans="1:8" ht="13.5" x14ac:dyDescent="0.25">
      <c r="A507" s="1"/>
      <c r="B507" s="3">
        <v>43038</v>
      </c>
      <c r="C507" s="4">
        <v>2.76</v>
      </c>
      <c r="D507" s="4">
        <v>2.2212999999999998</v>
      </c>
      <c r="E507" s="4">
        <v>16300</v>
      </c>
      <c r="F507" s="4"/>
      <c r="G507" s="4"/>
      <c r="H507" s="5">
        <f t="shared" si="7"/>
        <v>-3.5885704032656025E-3</v>
      </c>
    </row>
    <row r="508" spans="1:8" ht="13.5" x14ac:dyDescent="0.25">
      <c r="A508" s="1"/>
      <c r="B508" s="3">
        <v>43039</v>
      </c>
      <c r="C508" s="4">
        <v>2.81</v>
      </c>
      <c r="D508" s="4">
        <v>2.2614999999999998</v>
      </c>
      <c r="E508" s="4">
        <v>6889</v>
      </c>
      <c r="F508" s="4"/>
      <c r="G508" s="4"/>
      <c r="H508" s="5">
        <f t="shared" si="7"/>
        <v>1.8097510466843748E-2</v>
      </c>
    </row>
    <row r="509" spans="1:8" ht="13.5" x14ac:dyDescent="0.25">
      <c r="A509" s="1"/>
      <c r="B509" s="3">
        <v>43040</v>
      </c>
      <c r="C509" s="4">
        <v>2.8</v>
      </c>
      <c r="D509" s="4">
        <v>2.2534999999999998</v>
      </c>
      <c r="E509" s="4">
        <v>7876</v>
      </c>
      <c r="F509" s="4"/>
      <c r="G509" s="4"/>
      <c r="H509" s="5">
        <f t="shared" si="7"/>
        <v>-3.5374751271280156E-3</v>
      </c>
    </row>
    <row r="510" spans="1:8" ht="13.5" x14ac:dyDescent="0.25">
      <c r="A510" s="1"/>
      <c r="B510" s="3">
        <v>43041</v>
      </c>
      <c r="C510" s="4">
        <v>2.79</v>
      </c>
      <c r="D510" s="4">
        <v>2.2454000000000001</v>
      </c>
      <c r="E510" s="4">
        <v>3425</v>
      </c>
      <c r="F510" s="4"/>
      <c r="G510" s="4"/>
      <c r="H510" s="5">
        <f t="shared" si="7"/>
        <v>-3.59440869758144E-3</v>
      </c>
    </row>
    <row r="511" spans="1:8" ht="13.5" x14ac:dyDescent="0.25">
      <c r="A511" s="1"/>
      <c r="B511" s="3">
        <v>43042</v>
      </c>
      <c r="C511" s="4">
        <v>2.75</v>
      </c>
      <c r="D511" s="4">
        <v>2.2132000000000001</v>
      </c>
      <c r="E511" s="4">
        <v>5799</v>
      </c>
      <c r="F511" s="4"/>
      <c r="G511" s="4"/>
      <c r="H511" s="5">
        <f t="shared" si="7"/>
        <v>-1.4340429322169772E-2</v>
      </c>
    </row>
    <row r="512" spans="1:8" ht="13.5" x14ac:dyDescent="0.25">
      <c r="A512" s="1"/>
      <c r="B512" s="3">
        <v>43045</v>
      </c>
      <c r="C512" s="4">
        <v>2.8</v>
      </c>
      <c r="D512" s="4">
        <v>2.2534999999999998</v>
      </c>
      <c r="E512" s="4">
        <v>2520</v>
      </c>
      <c r="F512" s="4"/>
      <c r="G512" s="4"/>
      <c r="H512" s="5">
        <f t="shared" si="7"/>
        <v>1.8208928248689582E-2</v>
      </c>
    </row>
    <row r="513" spans="1:8" ht="13.5" x14ac:dyDescent="0.25">
      <c r="A513" s="1"/>
      <c r="B513" s="3">
        <v>43046</v>
      </c>
      <c r="C513" s="4">
        <v>2.8</v>
      </c>
      <c r="D513" s="4">
        <v>2.2534999999999998</v>
      </c>
      <c r="E513" s="4">
        <v>3339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2.79</v>
      </c>
      <c r="D514" s="4">
        <v>2.2454000000000001</v>
      </c>
      <c r="E514" s="4">
        <v>8652</v>
      </c>
      <c r="F514" s="4"/>
      <c r="G514" s="4"/>
      <c r="H514" s="5">
        <f t="shared" si="7"/>
        <v>-3.59440869758144E-3</v>
      </c>
    </row>
    <row r="515" spans="1:8" ht="13.5" x14ac:dyDescent="0.25">
      <c r="A515" s="1"/>
      <c r="B515" s="3">
        <v>43048</v>
      </c>
      <c r="C515" s="4">
        <v>2.73</v>
      </c>
      <c r="D515" s="4">
        <v>2.1970999999999998</v>
      </c>
      <c r="E515" s="4">
        <v>4735</v>
      </c>
      <c r="F515" s="4"/>
      <c r="G515" s="4"/>
      <c r="H515" s="5">
        <f t="shared" si="7"/>
        <v>-2.1510643983254755E-2</v>
      </c>
    </row>
    <row r="516" spans="1:8" ht="13.5" x14ac:dyDescent="0.25">
      <c r="A516" s="1"/>
      <c r="B516" s="3">
        <v>43049</v>
      </c>
      <c r="C516" s="4">
        <v>2.81</v>
      </c>
      <c r="D516" s="4">
        <v>2.2614999999999998</v>
      </c>
      <c r="E516" s="4">
        <v>4220</v>
      </c>
      <c r="F516" s="4"/>
      <c r="G516" s="4"/>
      <c r="H516" s="5">
        <f t="shared" si="7"/>
        <v>2.9311364981111473E-2</v>
      </c>
    </row>
    <row r="517" spans="1:8" ht="13.5" x14ac:dyDescent="0.25">
      <c r="A517" s="1"/>
      <c r="B517" s="3">
        <v>43052</v>
      </c>
      <c r="C517" s="4">
        <v>2.85</v>
      </c>
      <c r="D517" s="4">
        <v>2.2936999999999999</v>
      </c>
      <c r="E517" s="4">
        <v>231</v>
      </c>
      <c r="F517" s="4"/>
      <c r="G517" s="4"/>
      <c r="H517" s="5">
        <f t="shared" si="7"/>
        <v>1.4238337386690253E-2</v>
      </c>
    </row>
    <row r="518" spans="1:8" ht="13.5" x14ac:dyDescent="0.25">
      <c r="A518" s="1"/>
      <c r="B518" s="3">
        <v>43053</v>
      </c>
      <c r="C518" s="4">
        <v>2.85</v>
      </c>
      <c r="D518" s="4">
        <v>2.2936999999999999</v>
      </c>
      <c r="E518" s="4">
        <v>6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43054</v>
      </c>
      <c r="C519" s="4">
        <v>2.83</v>
      </c>
      <c r="D519" s="4">
        <v>2.2776000000000001</v>
      </c>
      <c r="E519" s="4">
        <v>7095</v>
      </c>
      <c r="F519" s="4"/>
      <c r="G519" s="4"/>
      <c r="H519" s="5">
        <f t="shared" ref="H519:H582" si="8">(D519-D518)/D518</f>
        <v>-7.0192265771460011E-3</v>
      </c>
    </row>
    <row r="520" spans="1:8" ht="13.5" x14ac:dyDescent="0.25">
      <c r="A520" s="1"/>
      <c r="B520" s="3">
        <v>43055</v>
      </c>
      <c r="C520" s="4">
        <v>2.77</v>
      </c>
      <c r="D520" s="4">
        <v>2.2292999999999998</v>
      </c>
      <c r="E520" s="4">
        <v>7745</v>
      </c>
      <c r="F520" s="4"/>
      <c r="G520" s="4"/>
      <c r="H520" s="5">
        <f t="shared" si="8"/>
        <v>-2.1206533192834665E-2</v>
      </c>
    </row>
    <row r="521" spans="1:8" ht="13.5" x14ac:dyDescent="0.25">
      <c r="A521" s="1"/>
      <c r="B521" s="3">
        <v>43056</v>
      </c>
      <c r="C521" s="4">
        <v>2.8</v>
      </c>
      <c r="D521" s="4">
        <v>2.2534999999999998</v>
      </c>
      <c r="E521" s="4">
        <v>1508</v>
      </c>
      <c r="F521" s="4"/>
      <c r="G521" s="4"/>
      <c r="H521" s="5">
        <f t="shared" si="8"/>
        <v>1.0855425469878438E-2</v>
      </c>
    </row>
    <row r="522" spans="1:8" ht="13.5" x14ac:dyDescent="0.25">
      <c r="A522" s="1"/>
      <c r="B522" s="3">
        <v>43059</v>
      </c>
      <c r="C522" s="4">
        <v>2.8</v>
      </c>
      <c r="D522" s="4">
        <v>2.2534999999999998</v>
      </c>
      <c r="E522" s="4">
        <v>1727</v>
      </c>
      <c r="F522" s="4"/>
      <c r="G522" s="4"/>
      <c r="H522" s="5">
        <f t="shared" si="8"/>
        <v>0</v>
      </c>
    </row>
    <row r="523" spans="1:8" ht="13.5" x14ac:dyDescent="0.25">
      <c r="A523" s="1"/>
      <c r="B523" s="3">
        <v>43060</v>
      </c>
      <c r="C523" s="4">
        <v>2.79</v>
      </c>
      <c r="D523" s="4">
        <v>2.2454000000000001</v>
      </c>
      <c r="E523" s="4">
        <v>1175</v>
      </c>
      <c r="F523" s="4"/>
      <c r="G523" s="4"/>
      <c r="H523" s="5">
        <f t="shared" si="8"/>
        <v>-3.59440869758144E-3</v>
      </c>
    </row>
    <row r="524" spans="1:8" ht="13.5" x14ac:dyDescent="0.25">
      <c r="A524" s="1"/>
      <c r="B524" s="3">
        <v>43061</v>
      </c>
      <c r="C524" s="4">
        <v>2.78</v>
      </c>
      <c r="D524" s="4">
        <v>2.2374000000000001</v>
      </c>
      <c r="E524" s="4">
        <v>930</v>
      </c>
      <c r="F524" s="4"/>
      <c r="G524" s="4"/>
      <c r="H524" s="5">
        <f t="shared" si="8"/>
        <v>-3.5628395831477718E-3</v>
      </c>
    </row>
    <row r="525" spans="1:8" ht="13.5" x14ac:dyDescent="0.25">
      <c r="A525" s="1"/>
      <c r="B525" s="3">
        <v>43062</v>
      </c>
      <c r="C525" s="4">
        <v>2.73</v>
      </c>
      <c r="D525" s="4">
        <v>2.1970999999999998</v>
      </c>
      <c r="E525" s="4">
        <v>1803</v>
      </c>
      <c r="F525" s="4"/>
      <c r="G525" s="4"/>
      <c r="H525" s="5">
        <f t="shared" si="8"/>
        <v>-1.8011978188969439E-2</v>
      </c>
    </row>
    <row r="526" spans="1:8" ht="13.5" x14ac:dyDescent="0.25">
      <c r="A526" s="1"/>
      <c r="B526" s="3">
        <v>43063</v>
      </c>
      <c r="C526" s="4">
        <v>2.77</v>
      </c>
      <c r="D526" s="4">
        <v>2.2292999999999998</v>
      </c>
      <c r="E526" s="4">
        <v>1001</v>
      </c>
      <c r="F526" s="4"/>
      <c r="G526" s="4"/>
      <c r="H526" s="5">
        <f t="shared" si="8"/>
        <v>1.4655682490555736E-2</v>
      </c>
    </row>
    <row r="527" spans="1:8" ht="13.5" x14ac:dyDescent="0.25">
      <c r="A527" s="1"/>
      <c r="B527" s="3">
        <v>43066</v>
      </c>
      <c r="C527" s="4">
        <v>2.76</v>
      </c>
      <c r="D527" s="4">
        <v>2.2212999999999998</v>
      </c>
      <c r="E527" s="4">
        <v>2221</v>
      </c>
      <c r="F527" s="4"/>
      <c r="G527" s="4"/>
      <c r="H527" s="5">
        <f t="shared" si="8"/>
        <v>-3.5885704032656025E-3</v>
      </c>
    </row>
    <row r="528" spans="1:8" ht="13.5" x14ac:dyDescent="0.25">
      <c r="A528" s="1"/>
      <c r="B528" s="3">
        <v>43067</v>
      </c>
      <c r="C528" s="4">
        <v>2.76</v>
      </c>
      <c r="D528" s="4">
        <v>2.2212999999999998</v>
      </c>
      <c r="E528" s="4">
        <v>733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2.76</v>
      </c>
      <c r="D529" s="4">
        <v>2.2212999999999998</v>
      </c>
      <c r="E529" s="4">
        <v>889</v>
      </c>
      <c r="F529" s="4"/>
      <c r="G529" s="4"/>
      <c r="H529" s="5">
        <f t="shared" si="8"/>
        <v>0</v>
      </c>
    </row>
    <row r="530" spans="1:8" ht="13.5" x14ac:dyDescent="0.25">
      <c r="A530" s="1"/>
      <c r="B530" s="3">
        <v>43069</v>
      </c>
      <c r="C530" s="4">
        <v>2.83</v>
      </c>
      <c r="D530" s="4">
        <v>2.2776000000000001</v>
      </c>
      <c r="E530" s="4">
        <v>241</v>
      </c>
      <c r="F530" s="4"/>
      <c r="G530" s="4"/>
      <c r="H530" s="5">
        <f t="shared" si="8"/>
        <v>2.5345518390132014E-2</v>
      </c>
    </row>
    <row r="531" spans="1:8" ht="13.5" x14ac:dyDescent="0.25">
      <c r="A531" s="1"/>
      <c r="B531" s="3">
        <v>43073</v>
      </c>
      <c r="C531" s="4">
        <v>2.88</v>
      </c>
      <c r="D531" s="4">
        <v>2.3178000000000001</v>
      </c>
      <c r="E531" s="4">
        <v>2</v>
      </c>
      <c r="F531" s="4"/>
      <c r="G531" s="4"/>
      <c r="H531" s="5">
        <f t="shared" si="8"/>
        <v>1.7650158061116972E-2</v>
      </c>
    </row>
    <row r="532" spans="1:8" ht="13.5" x14ac:dyDescent="0.25">
      <c r="A532" s="1"/>
      <c r="B532" s="3">
        <v>43074</v>
      </c>
      <c r="C532" s="4">
        <v>2.8</v>
      </c>
      <c r="D532" s="4">
        <v>2.2534999999999998</v>
      </c>
      <c r="E532" s="4">
        <v>180</v>
      </c>
      <c r="F532" s="4"/>
      <c r="G532" s="4"/>
      <c r="H532" s="5">
        <f t="shared" si="8"/>
        <v>-2.7741824143584538E-2</v>
      </c>
    </row>
    <row r="533" spans="1:8" ht="13.5" x14ac:dyDescent="0.25">
      <c r="A533" s="1"/>
      <c r="B533" s="3">
        <v>43075</v>
      </c>
      <c r="C533" s="4">
        <v>2.75</v>
      </c>
      <c r="D533" s="4">
        <v>2.2132000000000001</v>
      </c>
      <c r="E533" s="4">
        <v>5369</v>
      </c>
      <c r="F533" s="4"/>
      <c r="G533" s="4"/>
      <c r="H533" s="5">
        <f t="shared" si="8"/>
        <v>-1.7883292655868552E-2</v>
      </c>
    </row>
    <row r="534" spans="1:8" ht="13.5" x14ac:dyDescent="0.25">
      <c r="A534" s="1"/>
      <c r="B534" s="3">
        <v>43076</v>
      </c>
      <c r="C534" s="4">
        <v>2.75</v>
      </c>
      <c r="D534" s="4">
        <v>2.2132000000000001</v>
      </c>
      <c r="E534" s="4">
        <v>4802</v>
      </c>
      <c r="F534" s="4"/>
      <c r="G534" s="4"/>
      <c r="H534" s="5">
        <f t="shared" si="8"/>
        <v>0</v>
      </c>
    </row>
    <row r="535" spans="1:8" ht="13.5" x14ac:dyDescent="0.25">
      <c r="A535" s="1"/>
      <c r="B535" s="3">
        <v>43077</v>
      </c>
      <c r="C535" s="4">
        <v>2.79</v>
      </c>
      <c r="D535" s="4">
        <v>2.2454000000000001</v>
      </c>
      <c r="E535" s="4">
        <v>1</v>
      </c>
      <c r="F535" s="4"/>
      <c r="G535" s="4"/>
      <c r="H535" s="5">
        <f t="shared" si="8"/>
        <v>1.4549069221037414E-2</v>
      </c>
    </row>
    <row r="536" spans="1:8" ht="13.5" x14ac:dyDescent="0.25">
      <c r="A536" s="1"/>
      <c r="B536" s="3">
        <v>43080</v>
      </c>
      <c r="C536" s="4">
        <v>2.75</v>
      </c>
      <c r="D536" s="4">
        <v>2.2132000000000001</v>
      </c>
      <c r="E536" s="4">
        <v>2049</v>
      </c>
      <c r="F536" s="4"/>
      <c r="G536" s="4"/>
      <c r="H536" s="5">
        <f t="shared" si="8"/>
        <v>-1.4340429322169772E-2</v>
      </c>
    </row>
    <row r="537" spans="1:8" ht="13.5" x14ac:dyDescent="0.25">
      <c r="A537" s="1"/>
      <c r="B537" s="3">
        <v>43081</v>
      </c>
      <c r="C537" s="4">
        <v>2.79</v>
      </c>
      <c r="D537" s="4">
        <v>2.2454000000000001</v>
      </c>
      <c r="E537" s="4">
        <v>1533</v>
      </c>
      <c r="F537" s="4"/>
      <c r="G537" s="4"/>
      <c r="H537" s="5">
        <f t="shared" si="8"/>
        <v>1.4549069221037414E-2</v>
      </c>
    </row>
    <row r="538" spans="1:8" ht="13.5" x14ac:dyDescent="0.25">
      <c r="A538" s="1"/>
      <c r="B538" s="3">
        <v>43082</v>
      </c>
      <c r="C538" s="4">
        <v>2.77</v>
      </c>
      <c r="D538" s="4">
        <v>2.2292999999999998</v>
      </c>
      <c r="E538" s="4">
        <v>8749</v>
      </c>
      <c r="F538" s="4"/>
      <c r="G538" s="4"/>
      <c r="H538" s="5">
        <f t="shared" si="8"/>
        <v>-7.1702146610849848E-3</v>
      </c>
    </row>
    <row r="539" spans="1:8" ht="13.5" x14ac:dyDescent="0.25">
      <c r="A539" s="1"/>
      <c r="B539" s="3">
        <v>43083</v>
      </c>
      <c r="C539" s="4">
        <v>2.72</v>
      </c>
      <c r="D539" s="4">
        <v>2.1890999999999998</v>
      </c>
      <c r="E539" s="4">
        <v>3981</v>
      </c>
      <c r="F539" s="4"/>
      <c r="G539" s="4"/>
      <c r="H539" s="5">
        <f t="shared" si="8"/>
        <v>-1.8032566276409642E-2</v>
      </c>
    </row>
    <row r="540" spans="1:8" ht="13.5" x14ac:dyDescent="0.25">
      <c r="A540" s="1"/>
      <c r="B540" s="3">
        <v>43084</v>
      </c>
      <c r="C540" s="4">
        <v>2.75</v>
      </c>
      <c r="D540" s="4">
        <v>2.2132000000000001</v>
      </c>
      <c r="E540" s="4">
        <v>5128</v>
      </c>
      <c r="F540" s="4"/>
      <c r="G540" s="4"/>
      <c r="H540" s="5">
        <f t="shared" si="8"/>
        <v>1.1009090493810349E-2</v>
      </c>
    </row>
    <row r="541" spans="1:8" ht="13.5" x14ac:dyDescent="0.25">
      <c r="A541" s="1"/>
      <c r="B541" s="3">
        <v>43087</v>
      </c>
      <c r="C541" s="4">
        <v>2.75</v>
      </c>
      <c r="D541" s="4">
        <v>2.2132000000000001</v>
      </c>
      <c r="E541" s="4">
        <v>7140</v>
      </c>
      <c r="F541" s="4"/>
      <c r="G541" s="4"/>
      <c r="H541" s="5">
        <f t="shared" si="8"/>
        <v>0</v>
      </c>
    </row>
    <row r="542" spans="1:8" ht="13.5" x14ac:dyDescent="0.25">
      <c r="A542" s="1"/>
      <c r="B542" s="3">
        <v>43088</v>
      </c>
      <c r="C542" s="4">
        <v>2.75</v>
      </c>
      <c r="D542" s="4">
        <v>2.2132000000000001</v>
      </c>
      <c r="E542" s="4">
        <v>4674</v>
      </c>
      <c r="F542" s="4"/>
      <c r="G542" s="4"/>
      <c r="H542" s="5">
        <f t="shared" si="8"/>
        <v>0</v>
      </c>
    </row>
    <row r="543" spans="1:8" ht="13.5" x14ac:dyDescent="0.25">
      <c r="A543" s="1"/>
      <c r="B543" s="3">
        <v>43089</v>
      </c>
      <c r="C543" s="4">
        <v>2.75</v>
      </c>
      <c r="D543" s="4">
        <v>2.2132000000000001</v>
      </c>
      <c r="E543" s="4">
        <v>5000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2.68</v>
      </c>
      <c r="D544" s="4">
        <v>2.1568999999999998</v>
      </c>
      <c r="E544" s="4">
        <v>5888</v>
      </c>
      <c r="F544" s="4"/>
      <c r="G544" s="4"/>
      <c r="H544" s="5">
        <f t="shared" si="8"/>
        <v>-2.5438279414422664E-2</v>
      </c>
    </row>
    <row r="545" spans="1:8" ht="13.5" x14ac:dyDescent="0.25">
      <c r="A545" s="1"/>
      <c r="B545" s="3">
        <v>43091</v>
      </c>
      <c r="C545" s="4">
        <v>2.75</v>
      </c>
      <c r="D545" s="4">
        <v>2.2132000000000001</v>
      </c>
      <c r="E545" s="4">
        <v>5123</v>
      </c>
      <c r="F545" s="4"/>
      <c r="G545" s="4"/>
      <c r="H545" s="5">
        <f t="shared" si="8"/>
        <v>2.6102276415225667E-2</v>
      </c>
    </row>
    <row r="546" spans="1:8" ht="13.5" x14ac:dyDescent="0.25">
      <c r="A546" s="1"/>
      <c r="B546" s="3">
        <v>43094</v>
      </c>
      <c r="C546" s="4">
        <v>2.75</v>
      </c>
      <c r="D546" s="4">
        <v>2.2132000000000001</v>
      </c>
      <c r="E546" s="4">
        <v>5362</v>
      </c>
      <c r="F546" s="4"/>
      <c r="G546" s="4"/>
      <c r="H546" s="5">
        <f t="shared" si="8"/>
        <v>0</v>
      </c>
    </row>
    <row r="547" spans="1:8" ht="13.5" x14ac:dyDescent="0.25">
      <c r="A547" s="1"/>
      <c r="B547" s="3">
        <v>43095</v>
      </c>
      <c r="C547" s="4">
        <v>2.73</v>
      </c>
      <c r="D547" s="4">
        <v>2.1970999999999998</v>
      </c>
      <c r="E547" s="4">
        <v>2111</v>
      </c>
      <c r="F547" s="4"/>
      <c r="G547" s="4"/>
      <c r="H547" s="5">
        <f t="shared" si="8"/>
        <v>-7.2745346105188074E-3</v>
      </c>
    </row>
    <row r="548" spans="1:8" ht="13.5" x14ac:dyDescent="0.25">
      <c r="A548" s="1"/>
      <c r="B548" s="3">
        <v>43096</v>
      </c>
      <c r="C548" s="4">
        <v>2.66</v>
      </c>
      <c r="D548" s="4">
        <v>2.1408</v>
      </c>
      <c r="E548" s="4">
        <v>18855</v>
      </c>
      <c r="F548" s="4"/>
      <c r="G548" s="4"/>
      <c r="H548" s="5">
        <f t="shared" si="8"/>
        <v>-2.5624687087524373E-2</v>
      </c>
    </row>
    <row r="549" spans="1:8" ht="13.5" x14ac:dyDescent="0.25">
      <c r="A549" s="1"/>
      <c r="B549" s="3">
        <v>43097</v>
      </c>
      <c r="C549" s="4">
        <v>2.73</v>
      </c>
      <c r="D549" s="4">
        <v>2.1970999999999998</v>
      </c>
      <c r="E549" s="4">
        <v>8791</v>
      </c>
      <c r="F549" s="4"/>
      <c r="G549" s="4"/>
      <c r="H549" s="5">
        <f t="shared" si="8"/>
        <v>2.6298579970104537E-2</v>
      </c>
    </row>
    <row r="550" spans="1:8" ht="13.5" x14ac:dyDescent="0.25">
      <c r="A550" s="1"/>
      <c r="B550" s="3">
        <v>43098</v>
      </c>
      <c r="C550" s="4">
        <v>2.74</v>
      </c>
      <c r="D550" s="4">
        <v>2.2052</v>
      </c>
      <c r="E550" s="4">
        <v>7770</v>
      </c>
      <c r="F550" s="4"/>
      <c r="G550" s="4"/>
      <c r="H550" s="5">
        <f t="shared" si="8"/>
        <v>3.6866778935871008E-3</v>
      </c>
    </row>
    <row r="551" spans="1:8" ht="13.5" x14ac:dyDescent="0.25">
      <c r="A551" s="1"/>
      <c r="B551" s="3">
        <v>43102</v>
      </c>
      <c r="C551" s="4">
        <v>2.81</v>
      </c>
      <c r="D551" s="4">
        <v>2.2614999999999998</v>
      </c>
      <c r="E551" s="4">
        <v>5315</v>
      </c>
      <c r="F551" s="4"/>
      <c r="G551" s="4"/>
      <c r="H551" s="5">
        <f t="shared" si="8"/>
        <v>2.5530564121168053E-2</v>
      </c>
    </row>
    <row r="552" spans="1:8" ht="13.5" x14ac:dyDescent="0.25">
      <c r="A552" s="1"/>
      <c r="B552" s="3">
        <v>43103</v>
      </c>
      <c r="C552" s="4">
        <v>2.82</v>
      </c>
      <c r="D552" s="4">
        <v>2.2696000000000001</v>
      </c>
      <c r="E552" s="4">
        <v>660</v>
      </c>
      <c r="F552" s="4"/>
      <c r="G552" s="4"/>
      <c r="H552" s="5">
        <f t="shared" si="8"/>
        <v>3.5816935662172093E-3</v>
      </c>
    </row>
    <row r="553" spans="1:8" ht="13.5" x14ac:dyDescent="0.25">
      <c r="A553" s="1"/>
      <c r="B553" s="3">
        <v>43104</v>
      </c>
      <c r="C553" s="4">
        <v>2.88</v>
      </c>
      <c r="D553" s="4">
        <v>2.3178000000000001</v>
      </c>
      <c r="E553" s="4">
        <v>7152</v>
      </c>
      <c r="F553" s="4"/>
      <c r="G553" s="4"/>
      <c r="H553" s="5">
        <f t="shared" si="8"/>
        <v>2.1237222418047243E-2</v>
      </c>
    </row>
    <row r="554" spans="1:8" ht="13.5" x14ac:dyDescent="0.25">
      <c r="A554" s="1"/>
      <c r="B554" s="3">
        <v>43105</v>
      </c>
      <c r="C554" s="4">
        <v>2.88</v>
      </c>
      <c r="D554" s="4">
        <v>2.3178000000000001</v>
      </c>
      <c r="E554" s="4">
        <v>1922</v>
      </c>
      <c r="F554" s="4"/>
      <c r="G554" s="4"/>
      <c r="H554" s="5">
        <f t="shared" si="8"/>
        <v>0</v>
      </c>
    </row>
    <row r="555" spans="1:8" ht="13.5" x14ac:dyDescent="0.25">
      <c r="A555" s="1"/>
      <c r="B555" s="3">
        <v>43108</v>
      </c>
      <c r="C555" s="4">
        <v>2.88</v>
      </c>
      <c r="D555" s="4">
        <v>2.3178000000000001</v>
      </c>
      <c r="E555" s="4">
        <v>0</v>
      </c>
      <c r="F555" s="4"/>
      <c r="G555" s="4"/>
      <c r="H555" s="5">
        <f t="shared" si="8"/>
        <v>0</v>
      </c>
    </row>
    <row r="556" spans="1:8" ht="13.5" x14ac:dyDescent="0.25">
      <c r="A556" s="1"/>
      <c r="B556" s="3">
        <v>43109</v>
      </c>
      <c r="C556" s="4">
        <v>2.8</v>
      </c>
      <c r="D556" s="4">
        <v>2.2534999999999998</v>
      </c>
      <c r="E556" s="4">
        <v>1487</v>
      </c>
      <c r="F556" s="4"/>
      <c r="G556" s="4"/>
      <c r="H556" s="5">
        <f t="shared" si="8"/>
        <v>-2.7741824143584538E-2</v>
      </c>
    </row>
    <row r="557" spans="1:8" ht="13.5" x14ac:dyDescent="0.25">
      <c r="A557" s="1"/>
      <c r="B557" s="3">
        <v>43110</v>
      </c>
      <c r="C557" s="4">
        <v>2.8</v>
      </c>
      <c r="D557" s="4">
        <v>2.2534999999999998</v>
      </c>
      <c r="E557" s="4">
        <v>250</v>
      </c>
      <c r="F557" s="4"/>
      <c r="G557" s="4"/>
      <c r="H557" s="5">
        <f t="shared" si="8"/>
        <v>0</v>
      </c>
    </row>
    <row r="558" spans="1:8" ht="13.5" x14ac:dyDescent="0.25">
      <c r="A558" s="1"/>
      <c r="B558" s="3">
        <v>43111</v>
      </c>
      <c r="C558" s="4">
        <v>2.84</v>
      </c>
      <c r="D558" s="4">
        <v>2.2856999999999998</v>
      </c>
      <c r="E558" s="4">
        <v>10165</v>
      </c>
      <c r="F558" s="4"/>
      <c r="G558" s="4"/>
      <c r="H558" s="5">
        <f t="shared" si="8"/>
        <v>1.4288883958287113E-2</v>
      </c>
    </row>
    <row r="559" spans="1:8" ht="13.5" x14ac:dyDescent="0.25">
      <c r="A559" s="1"/>
      <c r="B559" s="3">
        <v>43112</v>
      </c>
      <c r="C559" s="4">
        <v>2.84</v>
      </c>
      <c r="D559" s="4">
        <v>2.2856999999999998</v>
      </c>
      <c r="E559" s="4">
        <v>900</v>
      </c>
      <c r="F559" s="4"/>
      <c r="G559" s="4"/>
      <c r="H559" s="5">
        <f t="shared" si="8"/>
        <v>0</v>
      </c>
    </row>
    <row r="560" spans="1:8" ht="13.5" x14ac:dyDescent="0.25">
      <c r="A560" s="1"/>
      <c r="B560" s="3">
        <v>43115</v>
      </c>
      <c r="C560" s="4">
        <v>2.72</v>
      </c>
      <c r="D560" s="4">
        <v>2.1890999999999998</v>
      </c>
      <c r="E560" s="4">
        <v>0</v>
      </c>
      <c r="F560" s="4"/>
      <c r="G560" s="4"/>
      <c r="H560" s="5">
        <f t="shared" si="8"/>
        <v>-4.2262764142275901E-2</v>
      </c>
    </row>
    <row r="561" spans="1:8" ht="13.5" x14ac:dyDescent="0.25">
      <c r="A561" s="1"/>
      <c r="B561" s="3">
        <v>43116</v>
      </c>
      <c r="C561" s="4">
        <v>2.8</v>
      </c>
      <c r="D561" s="4">
        <v>2.2534999999999998</v>
      </c>
      <c r="E561" s="4">
        <v>1610</v>
      </c>
      <c r="F561" s="4"/>
      <c r="G561" s="4"/>
      <c r="H561" s="5">
        <f t="shared" si="8"/>
        <v>2.9418482481385053E-2</v>
      </c>
    </row>
    <row r="562" spans="1:8" ht="13.5" x14ac:dyDescent="0.25">
      <c r="A562" s="1"/>
      <c r="B562" s="3">
        <v>43117</v>
      </c>
      <c r="C562" s="4">
        <v>2.8</v>
      </c>
      <c r="D562" s="4">
        <v>2.2534999999999998</v>
      </c>
      <c r="E562" s="4">
        <v>747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2.8</v>
      </c>
      <c r="D563" s="4">
        <v>2.2534999999999998</v>
      </c>
      <c r="E563" s="4">
        <v>10072</v>
      </c>
      <c r="F563" s="4"/>
      <c r="G563" s="4"/>
      <c r="H563" s="5">
        <f t="shared" si="8"/>
        <v>0</v>
      </c>
    </row>
    <row r="564" spans="1:8" ht="13.5" x14ac:dyDescent="0.25">
      <c r="A564" s="1"/>
      <c r="B564" s="3">
        <v>43119</v>
      </c>
      <c r="C564" s="4">
        <v>2.83</v>
      </c>
      <c r="D564" s="4">
        <v>2.2776000000000001</v>
      </c>
      <c r="E564" s="4">
        <v>141</v>
      </c>
      <c r="F564" s="4"/>
      <c r="G564" s="4"/>
      <c r="H564" s="5">
        <f t="shared" si="8"/>
        <v>1.0694475260705672E-2</v>
      </c>
    </row>
    <row r="565" spans="1:8" ht="13.5" x14ac:dyDescent="0.25">
      <c r="A565" s="1"/>
      <c r="B565" s="3">
        <v>43122</v>
      </c>
      <c r="C565" s="4">
        <v>2.8</v>
      </c>
      <c r="D565" s="4">
        <v>2.2534999999999998</v>
      </c>
      <c r="E565" s="4">
        <v>2009</v>
      </c>
      <c r="F565" s="4"/>
      <c r="G565" s="4"/>
      <c r="H565" s="5">
        <f t="shared" si="8"/>
        <v>-1.0581313663505546E-2</v>
      </c>
    </row>
    <row r="566" spans="1:8" ht="13.5" x14ac:dyDescent="0.25">
      <c r="A566" s="1"/>
      <c r="B566" s="3">
        <v>43123</v>
      </c>
      <c r="C566" s="4">
        <v>2.8</v>
      </c>
      <c r="D566" s="4">
        <v>2.2534999999999998</v>
      </c>
      <c r="E566" s="4">
        <v>6561</v>
      </c>
      <c r="F566" s="4"/>
      <c r="G566" s="4"/>
      <c r="H566" s="5">
        <f t="shared" si="8"/>
        <v>0</v>
      </c>
    </row>
    <row r="567" spans="1:8" ht="13.5" x14ac:dyDescent="0.25">
      <c r="A567" s="1"/>
      <c r="B567" s="3">
        <v>43124</v>
      </c>
      <c r="C567" s="4">
        <v>2.8</v>
      </c>
      <c r="D567" s="4">
        <v>2.2534999999999998</v>
      </c>
      <c r="E567" s="4">
        <v>2247</v>
      </c>
      <c r="F567" s="4"/>
      <c r="G567" s="4"/>
      <c r="H567" s="5">
        <f t="shared" si="8"/>
        <v>0</v>
      </c>
    </row>
    <row r="568" spans="1:8" ht="13.5" x14ac:dyDescent="0.25">
      <c r="A568" s="1"/>
      <c r="B568" s="3">
        <v>43125</v>
      </c>
      <c r="C568" s="4">
        <v>2.8</v>
      </c>
      <c r="D568" s="4">
        <v>2.2534999999999998</v>
      </c>
      <c r="E568" s="4">
        <v>20</v>
      </c>
      <c r="F568" s="4"/>
      <c r="G568" s="4"/>
      <c r="H568" s="5">
        <f t="shared" si="8"/>
        <v>0</v>
      </c>
    </row>
    <row r="569" spans="1:8" ht="13.5" x14ac:dyDescent="0.25">
      <c r="A569" s="1"/>
      <c r="B569" s="3">
        <v>43126</v>
      </c>
      <c r="C569" s="4">
        <v>2.88</v>
      </c>
      <c r="D569" s="4">
        <v>2.3178000000000001</v>
      </c>
      <c r="E569" s="4">
        <v>16427</v>
      </c>
      <c r="F569" s="4"/>
      <c r="G569" s="4"/>
      <c r="H569" s="5">
        <f t="shared" si="8"/>
        <v>2.8533392500554804E-2</v>
      </c>
    </row>
    <row r="570" spans="1:8" ht="13.5" x14ac:dyDescent="0.25">
      <c r="A570" s="1"/>
      <c r="B570" s="3">
        <v>43129</v>
      </c>
      <c r="C570" s="4">
        <v>3.05</v>
      </c>
      <c r="D570" s="4">
        <v>2.4546999999999999</v>
      </c>
      <c r="E570" s="4">
        <v>15205</v>
      </c>
      <c r="F570" s="4"/>
      <c r="G570" s="4"/>
      <c r="H570" s="5">
        <f t="shared" si="8"/>
        <v>5.9064630252825864E-2</v>
      </c>
    </row>
    <row r="571" spans="1:8" ht="13.5" x14ac:dyDescent="0.25">
      <c r="A571" s="1"/>
      <c r="B571" s="3">
        <v>43130</v>
      </c>
      <c r="C571" s="4">
        <v>3.13</v>
      </c>
      <c r="D571" s="4">
        <v>2.5190999999999999</v>
      </c>
      <c r="E571" s="4">
        <v>29236</v>
      </c>
      <c r="F571" s="4"/>
      <c r="G571" s="4"/>
      <c r="H571" s="5">
        <f t="shared" si="8"/>
        <v>2.6235385179451672E-2</v>
      </c>
    </row>
    <row r="572" spans="1:8" ht="13.5" x14ac:dyDescent="0.25">
      <c r="A572" s="1"/>
      <c r="B572" s="3">
        <v>43131</v>
      </c>
      <c r="C572" s="4">
        <v>3.05</v>
      </c>
      <c r="D572" s="4">
        <v>2.4546999999999999</v>
      </c>
      <c r="E572" s="4">
        <v>24943</v>
      </c>
      <c r="F572" s="4"/>
      <c r="G572" s="4"/>
      <c r="H572" s="5">
        <f t="shared" si="8"/>
        <v>-2.5564685800484307E-2</v>
      </c>
    </row>
    <row r="573" spans="1:8" ht="13.5" x14ac:dyDescent="0.25">
      <c r="A573" s="1"/>
      <c r="B573" s="3">
        <v>43132</v>
      </c>
      <c r="C573" s="4">
        <v>3.05</v>
      </c>
      <c r="D573" s="4">
        <v>2.4546999999999999</v>
      </c>
      <c r="E573" s="4">
        <v>2766</v>
      </c>
      <c r="F573" s="4"/>
      <c r="G573" s="4"/>
      <c r="H573" s="5">
        <f t="shared" si="8"/>
        <v>0</v>
      </c>
    </row>
    <row r="574" spans="1:8" ht="13.5" x14ac:dyDescent="0.25">
      <c r="A574" s="1"/>
      <c r="B574" s="3">
        <v>43133</v>
      </c>
      <c r="C574" s="4">
        <v>2.99</v>
      </c>
      <c r="D574" s="4">
        <v>2.4064000000000001</v>
      </c>
      <c r="E574" s="4">
        <v>3139</v>
      </c>
      <c r="F574" s="4"/>
      <c r="G574" s="4"/>
      <c r="H574" s="5">
        <f t="shared" si="8"/>
        <v>-1.9676538884588663E-2</v>
      </c>
    </row>
    <row r="575" spans="1:8" ht="13.5" x14ac:dyDescent="0.25">
      <c r="A575" s="1"/>
      <c r="B575" s="3">
        <v>43136</v>
      </c>
      <c r="C575" s="4">
        <v>2.98</v>
      </c>
      <c r="D575" s="4">
        <v>2.3982999999999999</v>
      </c>
      <c r="E575" s="4">
        <v>10183</v>
      </c>
      <c r="F575" s="4"/>
      <c r="G575" s="4"/>
      <c r="H575" s="5">
        <f t="shared" si="8"/>
        <v>-3.3660239361703033E-3</v>
      </c>
    </row>
    <row r="576" spans="1:8" ht="13.5" x14ac:dyDescent="0.25">
      <c r="A576" s="1"/>
      <c r="B576" s="3">
        <v>43137</v>
      </c>
      <c r="C576" s="4">
        <v>2.96</v>
      </c>
      <c r="D576" s="4">
        <v>2.3822000000000001</v>
      </c>
      <c r="E576" s="4">
        <v>7728</v>
      </c>
      <c r="F576" s="4"/>
      <c r="G576" s="4"/>
      <c r="H576" s="5">
        <f t="shared" si="8"/>
        <v>-6.7130884376432401E-3</v>
      </c>
    </row>
    <row r="577" spans="1:8" ht="13.5" x14ac:dyDescent="0.25">
      <c r="A577" s="1"/>
      <c r="B577" s="3">
        <v>43138</v>
      </c>
      <c r="C577" s="4">
        <v>2.84</v>
      </c>
      <c r="D577" s="4">
        <v>2.2856999999999998</v>
      </c>
      <c r="E577" s="4">
        <v>10345</v>
      </c>
      <c r="F577" s="4"/>
      <c r="G577" s="4"/>
      <c r="H577" s="5">
        <f t="shared" si="8"/>
        <v>-4.0508773402737071E-2</v>
      </c>
    </row>
    <row r="578" spans="1:8" ht="13.5" x14ac:dyDescent="0.25">
      <c r="A578" s="1"/>
      <c r="B578" s="3">
        <v>43139</v>
      </c>
      <c r="C578" s="4">
        <v>2.81</v>
      </c>
      <c r="D578" s="4">
        <v>2.2614999999999998</v>
      </c>
      <c r="E578" s="4">
        <v>9737</v>
      </c>
      <c r="F578" s="4"/>
      <c r="G578" s="4"/>
      <c r="H578" s="5">
        <f t="shared" si="8"/>
        <v>-1.0587566172288577E-2</v>
      </c>
    </row>
    <row r="579" spans="1:8" ht="13.5" x14ac:dyDescent="0.25">
      <c r="A579" s="1"/>
      <c r="B579" s="3">
        <v>43140</v>
      </c>
      <c r="C579" s="4">
        <v>2.81</v>
      </c>
      <c r="D579" s="4">
        <v>2.2614999999999998</v>
      </c>
      <c r="E579" s="4">
        <v>12762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2.88</v>
      </c>
      <c r="D580" s="4">
        <v>2.3178000000000001</v>
      </c>
      <c r="E580" s="4">
        <v>955</v>
      </c>
      <c r="F580" s="4"/>
      <c r="G580" s="4"/>
      <c r="H580" s="5">
        <f t="shared" si="8"/>
        <v>2.4894981207163495E-2</v>
      </c>
    </row>
    <row r="581" spans="1:8" ht="13.5" x14ac:dyDescent="0.25">
      <c r="A581" s="1"/>
      <c r="B581" s="3">
        <v>43144</v>
      </c>
      <c r="C581" s="4">
        <v>2.88</v>
      </c>
      <c r="D581" s="4">
        <v>2.3178000000000001</v>
      </c>
      <c r="E581" s="4">
        <v>9682</v>
      </c>
      <c r="F581" s="4"/>
      <c r="G581" s="4"/>
      <c r="H581" s="5">
        <f t="shared" si="8"/>
        <v>0</v>
      </c>
    </row>
    <row r="582" spans="1:8" ht="13.5" x14ac:dyDescent="0.25">
      <c r="A582" s="1"/>
      <c r="B582" s="3">
        <v>43145</v>
      </c>
      <c r="C582" s="4">
        <v>2.86</v>
      </c>
      <c r="D582" s="4">
        <v>2.3018000000000001</v>
      </c>
      <c r="E582" s="4">
        <v>555</v>
      </c>
      <c r="F582" s="4"/>
      <c r="G582" s="4"/>
      <c r="H582" s="5">
        <f t="shared" si="8"/>
        <v>-6.9030977651221041E-3</v>
      </c>
    </row>
    <row r="583" spans="1:8" ht="13.5" x14ac:dyDescent="0.25">
      <c r="A583" s="1"/>
      <c r="B583" s="3">
        <v>43146</v>
      </c>
      <c r="C583" s="4">
        <v>2.85</v>
      </c>
      <c r="D583" s="4">
        <v>2.2936999999999999</v>
      </c>
      <c r="E583" s="4">
        <v>5542</v>
      </c>
      <c r="F583" s="4"/>
      <c r="G583" s="4"/>
      <c r="H583" s="5">
        <f t="shared" ref="H583:H646" si="9">(D583-D582)/D582</f>
        <v>-3.5189851420628282E-3</v>
      </c>
    </row>
    <row r="584" spans="1:8" ht="13.5" x14ac:dyDescent="0.25">
      <c r="A584" s="1"/>
      <c r="B584" s="3">
        <v>43147</v>
      </c>
      <c r="C584" s="4">
        <v>2.88</v>
      </c>
      <c r="D584" s="4">
        <v>2.3178000000000001</v>
      </c>
      <c r="E584" s="4">
        <v>12523</v>
      </c>
      <c r="F584" s="4"/>
      <c r="G584" s="4"/>
      <c r="H584" s="5">
        <f t="shared" si="9"/>
        <v>1.050704102541755E-2</v>
      </c>
    </row>
    <row r="585" spans="1:8" ht="13.5" x14ac:dyDescent="0.25">
      <c r="A585" s="1"/>
      <c r="B585" s="3">
        <v>43150</v>
      </c>
      <c r="C585" s="4">
        <v>2.83</v>
      </c>
      <c r="D585" s="4">
        <v>2.2776000000000001</v>
      </c>
      <c r="E585" s="4">
        <v>1472</v>
      </c>
      <c r="F585" s="4"/>
      <c r="G585" s="4"/>
      <c r="H585" s="5">
        <f t="shared" si="9"/>
        <v>-1.7344033134869277E-2</v>
      </c>
    </row>
    <row r="586" spans="1:8" ht="13.5" x14ac:dyDescent="0.25">
      <c r="A586" s="1"/>
      <c r="B586" s="3">
        <v>43151</v>
      </c>
      <c r="C586" s="4">
        <v>2.83</v>
      </c>
      <c r="D586" s="4">
        <v>2.2776000000000001</v>
      </c>
      <c r="E586" s="4">
        <v>23931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2.79</v>
      </c>
      <c r="D587" s="4">
        <v>2.2454000000000001</v>
      </c>
      <c r="E587" s="4">
        <v>4799</v>
      </c>
      <c r="F587" s="4"/>
      <c r="G587" s="4"/>
      <c r="H587" s="5">
        <f t="shared" si="9"/>
        <v>-1.4137688795223044E-2</v>
      </c>
    </row>
    <row r="588" spans="1:8" ht="13.5" x14ac:dyDescent="0.25">
      <c r="A588" s="1"/>
      <c r="B588" s="3">
        <v>43153</v>
      </c>
      <c r="C588" s="4">
        <v>2.8</v>
      </c>
      <c r="D588" s="4">
        <v>2.2534999999999998</v>
      </c>
      <c r="E588" s="4">
        <v>2086</v>
      </c>
      <c r="F588" s="4"/>
      <c r="G588" s="4"/>
      <c r="H588" s="5">
        <f t="shared" si="9"/>
        <v>3.6073750779370153E-3</v>
      </c>
    </row>
    <row r="589" spans="1:8" ht="13.5" x14ac:dyDescent="0.25">
      <c r="A589" s="1"/>
      <c r="B589" s="3">
        <v>43154</v>
      </c>
      <c r="C589" s="4">
        <v>2.8</v>
      </c>
      <c r="D589" s="4">
        <v>2.2534999999999998</v>
      </c>
      <c r="E589" s="4">
        <v>352</v>
      </c>
      <c r="F589" s="4"/>
      <c r="G589" s="4"/>
      <c r="H589" s="5">
        <f t="shared" si="9"/>
        <v>0</v>
      </c>
    </row>
    <row r="590" spans="1:8" ht="13.5" x14ac:dyDescent="0.25">
      <c r="A590" s="1"/>
      <c r="B590" s="3">
        <v>43157</v>
      </c>
      <c r="C590" s="4">
        <v>2.8</v>
      </c>
      <c r="D590" s="4">
        <v>2.2534999999999998</v>
      </c>
      <c r="E590" s="4">
        <v>2000</v>
      </c>
      <c r="F590" s="4"/>
      <c r="G590" s="4"/>
      <c r="H590" s="5">
        <f t="shared" si="9"/>
        <v>0</v>
      </c>
    </row>
    <row r="591" spans="1:8" ht="13.5" x14ac:dyDescent="0.25">
      <c r="A591" s="1"/>
      <c r="B591" s="3">
        <v>43158</v>
      </c>
      <c r="C591" s="4">
        <v>2.74</v>
      </c>
      <c r="D591" s="4">
        <v>2.2052</v>
      </c>
      <c r="E591" s="4">
        <v>4730</v>
      </c>
      <c r="F591" s="4"/>
      <c r="G591" s="4"/>
      <c r="H591" s="5">
        <f t="shared" si="9"/>
        <v>-2.143332593743057E-2</v>
      </c>
    </row>
    <row r="592" spans="1:8" ht="13.5" x14ac:dyDescent="0.25">
      <c r="A592" s="1"/>
      <c r="B592" s="3">
        <v>43159</v>
      </c>
      <c r="C592" s="4">
        <v>2.8</v>
      </c>
      <c r="D592" s="4">
        <v>2.2534999999999998</v>
      </c>
      <c r="E592" s="4">
        <v>447</v>
      </c>
      <c r="F592" s="4"/>
      <c r="G592" s="4"/>
      <c r="H592" s="5">
        <f t="shared" si="9"/>
        <v>2.1902775258479858E-2</v>
      </c>
    </row>
    <row r="593" spans="1:8" ht="13.5" x14ac:dyDescent="0.25">
      <c r="A593" s="1"/>
      <c r="B593" s="3">
        <v>43160</v>
      </c>
      <c r="C593" s="4">
        <v>2.8</v>
      </c>
      <c r="D593" s="4">
        <v>2.2534999999999998</v>
      </c>
      <c r="E593" s="4">
        <v>1360</v>
      </c>
      <c r="F593" s="4"/>
      <c r="G593" s="4"/>
      <c r="H593" s="5">
        <f t="shared" si="9"/>
        <v>0</v>
      </c>
    </row>
    <row r="594" spans="1:8" ht="13.5" x14ac:dyDescent="0.25">
      <c r="A594" s="1"/>
      <c r="B594" s="3">
        <v>43161</v>
      </c>
      <c r="C594" s="4">
        <v>2.73</v>
      </c>
      <c r="D594" s="4">
        <v>2.1970999999999998</v>
      </c>
      <c r="E594" s="4">
        <v>11506</v>
      </c>
      <c r="F594" s="4"/>
      <c r="G594" s="4"/>
      <c r="H594" s="5">
        <f t="shared" si="9"/>
        <v>-2.5027734635012209E-2</v>
      </c>
    </row>
    <row r="595" spans="1:8" ht="13.5" x14ac:dyDescent="0.25">
      <c r="A595" s="1"/>
      <c r="B595" s="3">
        <v>43164</v>
      </c>
      <c r="C595" s="4">
        <v>2.78</v>
      </c>
      <c r="D595" s="4">
        <v>2.2374000000000001</v>
      </c>
      <c r="E595" s="4">
        <v>1721</v>
      </c>
      <c r="F595" s="4"/>
      <c r="G595" s="4"/>
      <c r="H595" s="5">
        <f t="shared" si="9"/>
        <v>1.8342360384142838E-2</v>
      </c>
    </row>
    <row r="596" spans="1:8" ht="13.5" x14ac:dyDescent="0.25">
      <c r="A596" s="1"/>
      <c r="B596" s="3">
        <v>43165</v>
      </c>
      <c r="C596" s="4">
        <v>2.78</v>
      </c>
      <c r="D596" s="4">
        <v>2.2374000000000001</v>
      </c>
      <c r="E596" s="4">
        <v>2636</v>
      </c>
      <c r="F596" s="4"/>
      <c r="G596" s="4"/>
      <c r="H596" s="5">
        <f t="shared" si="9"/>
        <v>0</v>
      </c>
    </row>
    <row r="597" spans="1:8" ht="13.5" x14ac:dyDescent="0.25">
      <c r="A597" s="1"/>
      <c r="B597" s="3">
        <v>43166</v>
      </c>
      <c r="C597" s="4">
        <v>2.85</v>
      </c>
      <c r="D597" s="4">
        <v>2.2936999999999999</v>
      </c>
      <c r="E597" s="4">
        <v>63907</v>
      </c>
      <c r="F597" s="4"/>
      <c r="G597" s="4"/>
      <c r="H597" s="5">
        <f t="shared" si="9"/>
        <v>2.5163135782604717E-2</v>
      </c>
    </row>
    <row r="598" spans="1:8" ht="13.5" x14ac:dyDescent="0.25">
      <c r="A598" s="1"/>
      <c r="B598" s="3">
        <v>43167</v>
      </c>
      <c r="C598" s="4">
        <v>2.89</v>
      </c>
      <c r="D598" s="4">
        <v>2.3258999999999999</v>
      </c>
      <c r="E598" s="4">
        <v>105</v>
      </c>
      <c r="F598" s="4"/>
      <c r="G598" s="4"/>
      <c r="H598" s="5">
        <f t="shared" si="9"/>
        <v>1.4038453154292195E-2</v>
      </c>
    </row>
    <row r="599" spans="1:8" ht="13.5" x14ac:dyDescent="0.25">
      <c r="A599" s="1"/>
      <c r="B599" s="3">
        <v>43168</v>
      </c>
      <c r="C599" s="4">
        <v>2.8</v>
      </c>
      <c r="D599" s="4">
        <v>2.2534999999999998</v>
      </c>
      <c r="E599" s="4">
        <v>7515</v>
      </c>
      <c r="F599" s="4"/>
      <c r="G599" s="4"/>
      <c r="H599" s="5">
        <f t="shared" si="9"/>
        <v>-3.1127735500236477E-2</v>
      </c>
    </row>
    <row r="600" spans="1:8" ht="13.5" x14ac:dyDescent="0.25">
      <c r="A600" s="1"/>
      <c r="B600" s="3">
        <v>43171</v>
      </c>
      <c r="C600" s="4">
        <v>2.84</v>
      </c>
      <c r="D600" s="4">
        <v>2.2856999999999998</v>
      </c>
      <c r="E600" s="4">
        <v>3895</v>
      </c>
      <c r="F600" s="4"/>
      <c r="G600" s="4"/>
      <c r="H600" s="5">
        <f t="shared" si="9"/>
        <v>1.4288883958287113E-2</v>
      </c>
    </row>
    <row r="601" spans="1:8" ht="13.5" x14ac:dyDescent="0.25">
      <c r="A601" s="1"/>
      <c r="B601" s="3">
        <v>43172</v>
      </c>
      <c r="C601" s="4">
        <v>2.86</v>
      </c>
      <c r="D601" s="4">
        <v>2.3018000000000001</v>
      </c>
      <c r="E601" s="4">
        <v>3865</v>
      </c>
      <c r="F601" s="4"/>
      <c r="G601" s="4"/>
      <c r="H601" s="5">
        <f t="shared" si="9"/>
        <v>7.043794023712747E-3</v>
      </c>
    </row>
    <row r="602" spans="1:8" ht="13.5" x14ac:dyDescent="0.25">
      <c r="A602" s="1"/>
      <c r="B602" s="3">
        <v>43173</v>
      </c>
      <c r="C602" s="4">
        <v>2.79</v>
      </c>
      <c r="D602" s="4">
        <v>2.2454000000000001</v>
      </c>
      <c r="E602" s="4">
        <v>1205</v>
      </c>
      <c r="F602" s="4"/>
      <c r="G602" s="4"/>
      <c r="H602" s="5">
        <f t="shared" si="9"/>
        <v>-2.4502563211399774E-2</v>
      </c>
    </row>
    <row r="603" spans="1:8" ht="13.5" x14ac:dyDescent="0.25">
      <c r="A603" s="1"/>
      <c r="B603" s="3">
        <v>43174</v>
      </c>
      <c r="C603" s="4">
        <v>2.79</v>
      </c>
      <c r="D603" s="4">
        <v>2.2454000000000001</v>
      </c>
      <c r="E603" s="4">
        <v>4832</v>
      </c>
      <c r="F603" s="4"/>
      <c r="G603" s="4"/>
      <c r="H603" s="5">
        <f t="shared" si="9"/>
        <v>0</v>
      </c>
    </row>
    <row r="604" spans="1:8" ht="13.5" x14ac:dyDescent="0.25">
      <c r="A604" s="1"/>
      <c r="B604" s="3">
        <v>43175</v>
      </c>
      <c r="C604" s="4">
        <v>2.85</v>
      </c>
      <c r="D604" s="4">
        <v>2.2936999999999999</v>
      </c>
      <c r="E604" s="4">
        <v>6599</v>
      </c>
      <c r="F604" s="4"/>
      <c r="G604" s="4"/>
      <c r="H604" s="5">
        <f t="shared" si="9"/>
        <v>2.1510643983254557E-2</v>
      </c>
    </row>
    <row r="605" spans="1:8" ht="13.5" x14ac:dyDescent="0.25">
      <c r="A605" s="1"/>
      <c r="B605" s="3">
        <v>43178</v>
      </c>
      <c r="C605" s="4">
        <v>2.78</v>
      </c>
      <c r="D605" s="4">
        <v>2.2374000000000001</v>
      </c>
      <c r="E605" s="4">
        <v>1751</v>
      </c>
      <c r="F605" s="4"/>
      <c r="G605" s="4"/>
      <c r="H605" s="5">
        <f t="shared" si="9"/>
        <v>-2.454549417970955E-2</v>
      </c>
    </row>
    <row r="606" spans="1:8" ht="13.5" x14ac:dyDescent="0.25">
      <c r="A606" s="1"/>
      <c r="B606" s="3">
        <v>43180</v>
      </c>
      <c r="C606" s="4">
        <v>2.79</v>
      </c>
      <c r="D606" s="4">
        <v>2.2454000000000001</v>
      </c>
      <c r="E606" s="4">
        <v>1433</v>
      </c>
      <c r="F606" s="4"/>
      <c r="G606" s="4"/>
      <c r="H606" s="5">
        <f t="shared" si="9"/>
        <v>3.5755787968177379E-3</v>
      </c>
    </row>
    <row r="607" spans="1:8" ht="13.5" x14ac:dyDescent="0.25">
      <c r="A607" s="1"/>
      <c r="B607" s="3">
        <v>43181</v>
      </c>
      <c r="C607" s="4">
        <v>2.72</v>
      </c>
      <c r="D607" s="4">
        <v>2.1890999999999998</v>
      </c>
      <c r="E607" s="4">
        <v>5570</v>
      </c>
      <c r="F607" s="4"/>
      <c r="G607" s="4"/>
      <c r="H607" s="5">
        <f t="shared" si="9"/>
        <v>-2.507348356640253E-2</v>
      </c>
    </row>
    <row r="608" spans="1:8" ht="13.5" x14ac:dyDescent="0.25">
      <c r="A608" s="1"/>
      <c r="B608" s="3">
        <v>43182</v>
      </c>
      <c r="C608" s="4">
        <v>2.79</v>
      </c>
      <c r="D608" s="4">
        <v>2.2454000000000001</v>
      </c>
      <c r="E608" s="4">
        <v>5401</v>
      </c>
      <c r="F608" s="4"/>
      <c r="G608" s="4"/>
      <c r="H608" s="5">
        <f t="shared" si="9"/>
        <v>2.5718331734502876E-2</v>
      </c>
    </row>
    <row r="609" spans="1:8" ht="13.5" x14ac:dyDescent="0.25">
      <c r="A609" s="1"/>
      <c r="B609" s="3">
        <v>43185</v>
      </c>
      <c r="C609" s="4">
        <v>2.75</v>
      </c>
      <c r="D609" s="4">
        <v>2.2132000000000001</v>
      </c>
      <c r="E609" s="4">
        <v>2331</v>
      </c>
      <c r="F609" s="4"/>
      <c r="G609" s="4"/>
      <c r="H609" s="5">
        <f t="shared" si="9"/>
        <v>-1.4340429322169772E-2</v>
      </c>
    </row>
    <row r="610" spans="1:8" ht="13.5" x14ac:dyDescent="0.25">
      <c r="A610" s="1"/>
      <c r="B610" s="3">
        <v>43186</v>
      </c>
      <c r="C610" s="4">
        <v>2.74</v>
      </c>
      <c r="D610" s="4">
        <v>2.2052</v>
      </c>
      <c r="E610" s="4">
        <v>1241</v>
      </c>
      <c r="F610" s="4"/>
      <c r="G610" s="4"/>
      <c r="H610" s="5">
        <f t="shared" si="9"/>
        <v>-3.6146755828664408E-3</v>
      </c>
    </row>
    <row r="611" spans="1:8" ht="13.5" x14ac:dyDescent="0.25">
      <c r="A611" s="1"/>
      <c r="B611" s="3">
        <v>43187</v>
      </c>
      <c r="C611" s="4">
        <v>2.78</v>
      </c>
      <c r="D611" s="4">
        <v>2.2374000000000001</v>
      </c>
      <c r="E611" s="4">
        <v>3677</v>
      </c>
      <c r="F611" s="4"/>
      <c r="G611" s="4"/>
      <c r="H611" s="5">
        <f t="shared" si="9"/>
        <v>1.4601850172319974E-2</v>
      </c>
    </row>
    <row r="612" spans="1:8" ht="13.5" x14ac:dyDescent="0.25">
      <c r="A612" s="1"/>
      <c r="B612" s="3">
        <v>43188</v>
      </c>
      <c r="C612" s="4">
        <v>2.76</v>
      </c>
      <c r="D612" s="4">
        <v>2.2212999999999998</v>
      </c>
      <c r="E612" s="4">
        <v>451</v>
      </c>
      <c r="F612" s="4"/>
      <c r="G612" s="4"/>
      <c r="H612" s="5">
        <f t="shared" si="9"/>
        <v>-7.195852328595792E-3</v>
      </c>
    </row>
    <row r="613" spans="1:8" ht="13.5" x14ac:dyDescent="0.25">
      <c r="A613" s="1"/>
      <c r="B613" s="3">
        <v>43189</v>
      </c>
      <c r="C613" s="4">
        <v>2.76</v>
      </c>
      <c r="D613" s="4">
        <v>2.2212999999999998</v>
      </c>
      <c r="E613" s="4">
        <v>6871</v>
      </c>
      <c r="F613" s="4"/>
      <c r="G613" s="4"/>
      <c r="H613" s="5">
        <f t="shared" si="9"/>
        <v>0</v>
      </c>
    </row>
    <row r="614" spans="1:8" ht="13.5" x14ac:dyDescent="0.25">
      <c r="A614" s="1"/>
      <c r="B614" s="3">
        <v>43192</v>
      </c>
      <c r="C614" s="4">
        <v>2.7</v>
      </c>
      <c r="D614" s="4">
        <v>2.173</v>
      </c>
      <c r="E614" s="4">
        <v>4194</v>
      </c>
      <c r="F614" s="4"/>
      <c r="G614" s="4"/>
      <c r="H614" s="5">
        <f t="shared" si="9"/>
        <v>-2.1744023769864399E-2</v>
      </c>
    </row>
    <row r="615" spans="1:8" ht="13.5" x14ac:dyDescent="0.25">
      <c r="A615" s="1"/>
      <c r="B615" s="3">
        <v>43193</v>
      </c>
      <c r="C615" s="4">
        <v>2.63</v>
      </c>
      <c r="D615" s="4">
        <v>2.1166</v>
      </c>
      <c r="E615" s="4">
        <v>4048</v>
      </c>
      <c r="F615" s="4"/>
      <c r="G615" s="4"/>
      <c r="H615" s="5">
        <f t="shared" si="9"/>
        <v>-2.595490105844455E-2</v>
      </c>
    </row>
    <row r="616" spans="1:8" ht="13.5" x14ac:dyDescent="0.25">
      <c r="A616" s="1"/>
      <c r="B616" s="3">
        <v>43194</v>
      </c>
      <c r="C616" s="4">
        <v>2.74</v>
      </c>
      <c r="D616" s="4">
        <v>2.2052</v>
      </c>
      <c r="E616" s="4">
        <v>5016</v>
      </c>
      <c r="F616" s="4"/>
      <c r="G616" s="4"/>
      <c r="H616" s="5">
        <f t="shared" si="9"/>
        <v>4.1859586128696974E-2</v>
      </c>
    </row>
    <row r="617" spans="1:8" ht="13.5" x14ac:dyDescent="0.25">
      <c r="A617" s="1"/>
      <c r="B617" s="3">
        <v>43195</v>
      </c>
      <c r="C617" s="4">
        <v>2.7</v>
      </c>
      <c r="D617" s="4">
        <v>2.173</v>
      </c>
      <c r="E617" s="4">
        <v>4617</v>
      </c>
      <c r="F617" s="4"/>
      <c r="G617" s="4"/>
      <c r="H617" s="5">
        <f t="shared" si="9"/>
        <v>-1.4601850172319974E-2</v>
      </c>
    </row>
    <row r="618" spans="1:8" ht="13.5" x14ac:dyDescent="0.25">
      <c r="A618" s="1"/>
      <c r="B618" s="3">
        <v>43196</v>
      </c>
      <c r="C618" s="4">
        <v>2.66</v>
      </c>
      <c r="D618" s="4">
        <v>2.1408</v>
      </c>
      <c r="E618" s="4">
        <v>319</v>
      </c>
      <c r="F618" s="4"/>
      <c r="G618" s="4"/>
      <c r="H618" s="5">
        <f t="shared" si="9"/>
        <v>-1.4818223653934655E-2</v>
      </c>
    </row>
    <row r="619" spans="1:8" ht="13.5" x14ac:dyDescent="0.25">
      <c r="A619" s="1"/>
      <c r="B619" s="3">
        <v>43200</v>
      </c>
      <c r="C619" s="4">
        <v>2.61</v>
      </c>
      <c r="D619" s="4">
        <v>2.1004999999999998</v>
      </c>
      <c r="E619" s="4">
        <v>2283</v>
      </c>
      <c r="F619" s="4"/>
      <c r="G619" s="4"/>
      <c r="H619" s="5">
        <f t="shared" si="9"/>
        <v>-1.8824738415545696E-2</v>
      </c>
    </row>
    <row r="620" spans="1:8" ht="13.5" x14ac:dyDescent="0.25">
      <c r="A620" s="1"/>
      <c r="B620" s="3">
        <v>43201</v>
      </c>
      <c r="C620" s="4">
        <v>2.65</v>
      </c>
      <c r="D620" s="4">
        <v>2.1326999999999998</v>
      </c>
      <c r="E620" s="4">
        <v>156</v>
      </c>
      <c r="F620" s="4"/>
      <c r="G620" s="4"/>
      <c r="H620" s="5">
        <f t="shared" si="9"/>
        <v>1.5329683408712215E-2</v>
      </c>
    </row>
    <row r="621" spans="1:8" ht="13.5" x14ac:dyDescent="0.25">
      <c r="A621" s="1"/>
      <c r="B621" s="3">
        <v>43202</v>
      </c>
      <c r="C621" s="4">
        <v>2.6</v>
      </c>
      <c r="D621" s="4">
        <v>2.0924999999999998</v>
      </c>
      <c r="E621" s="4">
        <v>493</v>
      </c>
      <c r="F621" s="4"/>
      <c r="G621" s="4"/>
      <c r="H621" s="5">
        <f t="shared" si="9"/>
        <v>-1.8849345899563941E-2</v>
      </c>
    </row>
    <row r="622" spans="1:8" ht="13.5" x14ac:dyDescent="0.25">
      <c r="A622" s="1"/>
      <c r="B622" s="3">
        <v>43203</v>
      </c>
      <c r="C622" s="4">
        <v>2.65</v>
      </c>
      <c r="D622" s="4">
        <v>2.1326999999999998</v>
      </c>
      <c r="E622" s="4">
        <v>588</v>
      </c>
      <c r="F622" s="4"/>
      <c r="G622" s="4"/>
      <c r="H622" s="5">
        <f t="shared" si="9"/>
        <v>1.9211469534050188E-2</v>
      </c>
    </row>
    <row r="623" spans="1:8" ht="13.5" x14ac:dyDescent="0.25">
      <c r="A623" s="1"/>
      <c r="B623" s="3">
        <v>43206</v>
      </c>
      <c r="C623" s="4">
        <v>2.72</v>
      </c>
      <c r="D623" s="4">
        <v>2.1890999999999998</v>
      </c>
      <c r="E623" s="4">
        <v>6743</v>
      </c>
      <c r="F623" s="4"/>
      <c r="G623" s="4"/>
      <c r="H623" s="5">
        <f t="shared" si="9"/>
        <v>2.6445350963567316E-2</v>
      </c>
    </row>
    <row r="624" spans="1:8" ht="13.5" x14ac:dyDescent="0.25">
      <c r="A624" s="1"/>
      <c r="B624" s="3">
        <v>43207</v>
      </c>
      <c r="C624" s="4">
        <v>2.79</v>
      </c>
      <c r="D624" s="4">
        <v>2.2454000000000001</v>
      </c>
      <c r="E624" s="4">
        <v>12797</v>
      </c>
      <c r="F624" s="4"/>
      <c r="G624" s="4"/>
      <c r="H624" s="5">
        <f t="shared" si="9"/>
        <v>2.5718331734502876E-2</v>
      </c>
    </row>
    <row r="625" spans="1:8" ht="13.5" x14ac:dyDescent="0.25">
      <c r="A625" s="1"/>
      <c r="B625" s="3">
        <v>43208</v>
      </c>
      <c r="C625" s="4">
        <v>2.75</v>
      </c>
      <c r="D625" s="4">
        <v>2.2132000000000001</v>
      </c>
      <c r="E625" s="4">
        <v>6113</v>
      </c>
      <c r="F625" s="4"/>
      <c r="G625" s="4"/>
      <c r="H625" s="5">
        <f t="shared" si="9"/>
        <v>-1.4340429322169772E-2</v>
      </c>
    </row>
    <row r="626" spans="1:8" ht="13.5" x14ac:dyDescent="0.25">
      <c r="A626" s="1"/>
      <c r="B626" s="3">
        <v>43209</v>
      </c>
      <c r="C626" s="4">
        <v>2.8</v>
      </c>
      <c r="D626" s="4">
        <v>2.2534999999999998</v>
      </c>
      <c r="E626" s="4">
        <v>4398</v>
      </c>
      <c r="F626" s="4"/>
      <c r="G626" s="4"/>
      <c r="H626" s="5">
        <f t="shared" si="9"/>
        <v>1.8208928248689582E-2</v>
      </c>
    </row>
    <row r="627" spans="1:8" ht="13.5" x14ac:dyDescent="0.25">
      <c r="A627" s="1"/>
      <c r="B627" s="3">
        <v>43210</v>
      </c>
      <c r="C627" s="4">
        <v>2.75</v>
      </c>
      <c r="D627" s="4">
        <v>2.2132000000000001</v>
      </c>
      <c r="E627" s="4">
        <v>5827</v>
      </c>
      <c r="F627" s="4"/>
      <c r="G627" s="4"/>
      <c r="H627" s="5">
        <f t="shared" si="9"/>
        <v>-1.7883292655868552E-2</v>
      </c>
    </row>
    <row r="628" spans="1:8" ht="13.5" x14ac:dyDescent="0.25">
      <c r="A628" s="1"/>
      <c r="B628" s="3">
        <v>43213</v>
      </c>
      <c r="C628" s="4">
        <v>2.71</v>
      </c>
      <c r="D628" s="4">
        <v>2.181</v>
      </c>
      <c r="E628" s="4">
        <v>552</v>
      </c>
      <c r="F628" s="4"/>
      <c r="G628" s="4"/>
      <c r="H628" s="5">
        <f t="shared" si="9"/>
        <v>-1.4549069221037414E-2</v>
      </c>
    </row>
    <row r="629" spans="1:8" ht="13.5" x14ac:dyDescent="0.25">
      <c r="A629" s="1"/>
      <c r="B629" s="3">
        <v>43214</v>
      </c>
      <c r="C629" s="4">
        <v>2.73</v>
      </c>
      <c r="D629" s="4">
        <v>2.1970999999999998</v>
      </c>
      <c r="E629" s="4">
        <v>3356</v>
      </c>
      <c r="F629" s="4"/>
      <c r="G629" s="4"/>
      <c r="H629" s="5">
        <f t="shared" si="9"/>
        <v>7.3819348922511607E-3</v>
      </c>
    </row>
    <row r="630" spans="1:8" ht="13.5" x14ac:dyDescent="0.25">
      <c r="A630" s="1"/>
      <c r="B630" s="3">
        <v>43215</v>
      </c>
      <c r="C630" s="4">
        <v>2.73</v>
      </c>
      <c r="D630" s="4">
        <v>2.1970999999999998</v>
      </c>
      <c r="E630" s="4">
        <v>1679</v>
      </c>
      <c r="F630" s="4"/>
      <c r="G630" s="4"/>
      <c r="H630" s="5">
        <f t="shared" si="9"/>
        <v>0</v>
      </c>
    </row>
    <row r="631" spans="1:8" ht="13.5" x14ac:dyDescent="0.25">
      <c r="A631" s="1"/>
      <c r="B631" s="3">
        <v>43216</v>
      </c>
      <c r="C631" s="4">
        <v>2.61</v>
      </c>
      <c r="D631" s="4">
        <v>2.1004999999999998</v>
      </c>
      <c r="E631" s="4">
        <v>6878</v>
      </c>
      <c r="F631" s="4"/>
      <c r="G631" s="4"/>
      <c r="H631" s="5">
        <f t="shared" si="9"/>
        <v>-4.3967047471667207E-2</v>
      </c>
    </row>
    <row r="632" spans="1:8" ht="13.5" x14ac:dyDescent="0.25">
      <c r="A632" s="1"/>
      <c r="B632" s="3">
        <v>43217</v>
      </c>
      <c r="C632" s="4">
        <v>2.56</v>
      </c>
      <c r="D632" s="4">
        <v>2.0602999999999998</v>
      </c>
      <c r="E632" s="4">
        <v>7780</v>
      </c>
      <c r="F632" s="4"/>
      <c r="G632" s="4"/>
      <c r="H632" s="5">
        <f t="shared" si="9"/>
        <v>-1.9138300404665565E-2</v>
      </c>
    </row>
    <row r="633" spans="1:8" ht="13.5" x14ac:dyDescent="0.25">
      <c r="A633" s="1"/>
      <c r="B633" s="3">
        <v>43220</v>
      </c>
      <c r="C633" s="4">
        <v>2.54</v>
      </c>
      <c r="D633" s="4">
        <v>2.0442</v>
      </c>
      <c r="E633" s="4">
        <v>12643</v>
      </c>
      <c r="F633" s="4"/>
      <c r="G633" s="4"/>
      <c r="H633" s="5">
        <f t="shared" si="9"/>
        <v>-7.8143959617530366E-3</v>
      </c>
    </row>
    <row r="634" spans="1:8" ht="13.5" x14ac:dyDescent="0.25">
      <c r="A634" s="1"/>
      <c r="B634" s="3">
        <v>43222</v>
      </c>
      <c r="C634" s="4">
        <v>2.5499999999999998</v>
      </c>
      <c r="D634" s="4">
        <v>2.0522999999999998</v>
      </c>
      <c r="E634" s="4">
        <v>4978</v>
      </c>
      <c r="F634" s="4"/>
      <c r="G634" s="4"/>
      <c r="H634" s="5">
        <f t="shared" si="9"/>
        <v>3.9624302905781105E-3</v>
      </c>
    </row>
    <row r="635" spans="1:8" ht="13.5" x14ac:dyDescent="0.25">
      <c r="A635" s="1"/>
      <c r="B635" s="3">
        <v>43223</v>
      </c>
      <c r="C635" s="4">
        <v>2.5499999999999998</v>
      </c>
      <c r="D635" s="4">
        <v>2.0522999999999998</v>
      </c>
      <c r="E635" s="4">
        <v>2171</v>
      </c>
      <c r="F635" s="4"/>
      <c r="G635" s="4"/>
      <c r="H635" s="5">
        <f t="shared" si="9"/>
        <v>0</v>
      </c>
    </row>
    <row r="636" spans="1:8" ht="13.5" x14ac:dyDescent="0.25">
      <c r="A636" s="1"/>
      <c r="B636" s="3">
        <v>43224</v>
      </c>
      <c r="C636" s="4">
        <v>2.62</v>
      </c>
      <c r="D636" s="4">
        <v>2.1086</v>
      </c>
      <c r="E636" s="4">
        <v>103</v>
      </c>
      <c r="F636" s="4"/>
      <c r="G636" s="4"/>
      <c r="H636" s="5">
        <f t="shared" si="9"/>
        <v>2.7432636554110143E-2</v>
      </c>
    </row>
    <row r="637" spans="1:8" ht="13.5" x14ac:dyDescent="0.25">
      <c r="A637" s="1"/>
      <c r="B637" s="3">
        <v>43227</v>
      </c>
      <c r="C637" s="4">
        <v>2.6</v>
      </c>
      <c r="D637" s="4">
        <v>2.0924999999999998</v>
      </c>
      <c r="E637" s="4">
        <v>37</v>
      </c>
      <c r="F637" s="4"/>
      <c r="G637" s="4"/>
      <c r="H637" s="5">
        <f t="shared" si="9"/>
        <v>-7.6353978943375818E-3</v>
      </c>
    </row>
    <row r="638" spans="1:8" ht="13.5" x14ac:dyDescent="0.25">
      <c r="A638" s="1"/>
      <c r="B638" s="3">
        <v>43228</v>
      </c>
      <c r="C638" s="4">
        <v>2.61</v>
      </c>
      <c r="D638" s="4">
        <v>2.1004999999999998</v>
      </c>
      <c r="E638" s="4">
        <v>1453</v>
      </c>
      <c r="F638" s="4"/>
      <c r="G638" s="4"/>
      <c r="H638" s="5">
        <f t="shared" si="9"/>
        <v>3.8231780167264076E-3</v>
      </c>
    </row>
    <row r="639" spans="1:8" ht="13.5" x14ac:dyDescent="0.25">
      <c r="A639" s="1"/>
      <c r="B639" s="3">
        <v>43229</v>
      </c>
      <c r="C639" s="4">
        <v>2.6</v>
      </c>
      <c r="D639" s="4">
        <v>2.0924999999999998</v>
      </c>
      <c r="E639" s="4">
        <v>173</v>
      </c>
      <c r="F639" s="4"/>
      <c r="G639" s="4"/>
      <c r="H639" s="5">
        <f t="shared" si="9"/>
        <v>-3.8086169959533483E-3</v>
      </c>
    </row>
    <row r="640" spans="1:8" ht="13.5" x14ac:dyDescent="0.25">
      <c r="A640" s="1"/>
      <c r="B640" s="3">
        <v>43230</v>
      </c>
      <c r="C640" s="4">
        <v>2.6</v>
      </c>
      <c r="D640" s="4">
        <v>2.0924999999999998</v>
      </c>
      <c r="E640" s="4">
        <v>5183</v>
      </c>
      <c r="F640" s="4"/>
      <c r="G640" s="4"/>
      <c r="H640" s="5">
        <f t="shared" si="9"/>
        <v>0</v>
      </c>
    </row>
    <row r="641" spans="1:8" ht="13.5" x14ac:dyDescent="0.25">
      <c r="A641" s="1"/>
      <c r="B641" s="3">
        <v>43231</v>
      </c>
      <c r="C641" s="4">
        <v>2.6</v>
      </c>
      <c r="D641" s="4">
        <v>2.0924999999999998</v>
      </c>
      <c r="E641" s="4">
        <v>3273</v>
      </c>
      <c r="F641" s="4"/>
      <c r="G641" s="4"/>
      <c r="H641" s="5">
        <f t="shared" si="9"/>
        <v>0</v>
      </c>
    </row>
    <row r="642" spans="1:8" ht="13.5" x14ac:dyDescent="0.25">
      <c r="A642" s="1"/>
      <c r="B642" s="3">
        <v>43234</v>
      </c>
      <c r="C642" s="4">
        <v>2.59</v>
      </c>
      <c r="D642" s="4">
        <v>2.0844999999999998</v>
      </c>
      <c r="E642" s="4">
        <v>2860</v>
      </c>
      <c r="F642" s="4"/>
      <c r="G642" s="4"/>
      <c r="H642" s="5">
        <f t="shared" si="9"/>
        <v>-3.8231780167264076E-3</v>
      </c>
    </row>
    <row r="643" spans="1:8" ht="13.5" x14ac:dyDescent="0.25">
      <c r="A643" s="1"/>
      <c r="B643" s="3">
        <v>43235</v>
      </c>
      <c r="C643" s="4">
        <v>2.59</v>
      </c>
      <c r="D643" s="4">
        <v>2.0844999999999998</v>
      </c>
      <c r="E643" s="4">
        <v>1536</v>
      </c>
      <c r="F643" s="4"/>
      <c r="G643" s="4"/>
      <c r="H643" s="5">
        <f t="shared" si="9"/>
        <v>0</v>
      </c>
    </row>
    <row r="644" spans="1:8" ht="13.5" x14ac:dyDescent="0.25">
      <c r="A644" s="1"/>
      <c r="B644" s="3">
        <v>43236</v>
      </c>
      <c r="C644" s="4">
        <v>2.57</v>
      </c>
      <c r="D644" s="4">
        <v>2.0684</v>
      </c>
      <c r="E644" s="4">
        <v>5193</v>
      </c>
      <c r="F644" s="4"/>
      <c r="G644" s="4"/>
      <c r="H644" s="5">
        <f t="shared" si="9"/>
        <v>-7.7236747421442946E-3</v>
      </c>
    </row>
    <row r="645" spans="1:8" ht="13.5" x14ac:dyDescent="0.25">
      <c r="A645" s="1"/>
      <c r="B645" s="3">
        <v>43237</v>
      </c>
      <c r="C645" s="4">
        <v>2.59</v>
      </c>
      <c r="D645" s="4">
        <v>2.0844999999999998</v>
      </c>
      <c r="E645" s="4">
        <v>1742</v>
      </c>
      <c r="F645" s="4"/>
      <c r="G645" s="4"/>
      <c r="H645" s="5">
        <f t="shared" si="9"/>
        <v>7.7837942370913658E-3</v>
      </c>
    </row>
    <row r="646" spans="1:8" ht="13.5" x14ac:dyDescent="0.25">
      <c r="A646" s="1"/>
      <c r="B646" s="3">
        <v>43238</v>
      </c>
      <c r="C646" s="4">
        <v>2.66</v>
      </c>
      <c r="D646" s="4">
        <v>2.1408</v>
      </c>
      <c r="E646" s="4">
        <v>7613</v>
      </c>
      <c r="F646" s="4"/>
      <c r="G646" s="4"/>
      <c r="H646" s="5">
        <f t="shared" si="9"/>
        <v>2.7008875029983326E-2</v>
      </c>
    </row>
    <row r="647" spans="1:8" ht="13.5" x14ac:dyDescent="0.25">
      <c r="A647" s="1"/>
      <c r="B647" s="3">
        <v>43241</v>
      </c>
      <c r="C647" s="4">
        <v>2.78</v>
      </c>
      <c r="D647" s="4">
        <v>2.2374000000000001</v>
      </c>
      <c r="E647" s="4">
        <v>18547</v>
      </c>
      <c r="F647" s="4"/>
      <c r="G647" s="4"/>
      <c r="H647" s="5">
        <f t="shared" ref="H647:H710" si="10">(D647-D646)/D646</f>
        <v>4.512331838565023E-2</v>
      </c>
    </row>
    <row r="648" spans="1:8" ht="13.5" x14ac:dyDescent="0.25">
      <c r="A648" s="1"/>
      <c r="B648" s="3">
        <v>43242</v>
      </c>
      <c r="C648" s="4">
        <v>2.82</v>
      </c>
      <c r="D648" s="4">
        <v>2.2696000000000001</v>
      </c>
      <c r="E648" s="4">
        <v>39832</v>
      </c>
      <c r="F648" s="4"/>
      <c r="G648" s="4"/>
      <c r="H648" s="5">
        <f t="shared" si="10"/>
        <v>1.4391704657191385E-2</v>
      </c>
    </row>
    <row r="649" spans="1:8" ht="13.5" x14ac:dyDescent="0.25">
      <c r="A649" s="1"/>
      <c r="B649" s="3">
        <v>43243</v>
      </c>
      <c r="C649" s="4">
        <v>2.85</v>
      </c>
      <c r="D649" s="4">
        <v>2.2936999999999999</v>
      </c>
      <c r="E649" s="4">
        <v>4028</v>
      </c>
      <c r="F649" s="4"/>
      <c r="G649" s="4"/>
      <c r="H649" s="5">
        <f t="shared" si="10"/>
        <v>1.0618611209023522E-2</v>
      </c>
    </row>
    <row r="650" spans="1:8" ht="13.5" x14ac:dyDescent="0.25">
      <c r="A650" s="1"/>
      <c r="B650" s="3">
        <v>43244</v>
      </c>
      <c r="C650" s="4">
        <v>2.97</v>
      </c>
      <c r="D650" s="4">
        <v>2.3902999999999999</v>
      </c>
      <c r="E650" s="4">
        <v>181190</v>
      </c>
      <c r="F650" s="4"/>
      <c r="G650" s="4"/>
      <c r="H650" s="5">
        <f t="shared" si="10"/>
        <v>4.2115359462876589E-2</v>
      </c>
    </row>
    <row r="651" spans="1:8" ht="13.5" x14ac:dyDescent="0.25">
      <c r="A651" s="1"/>
      <c r="B651" s="3">
        <v>43245</v>
      </c>
      <c r="C651" s="4">
        <v>3.1</v>
      </c>
      <c r="D651" s="4">
        <v>2.4948999999999999</v>
      </c>
      <c r="E651" s="4">
        <v>0</v>
      </c>
      <c r="F651" s="4"/>
      <c r="G651" s="4"/>
      <c r="H651" s="5">
        <f t="shared" si="10"/>
        <v>4.3760197464753389E-2</v>
      </c>
    </row>
    <row r="652" spans="1:8" ht="13.5" x14ac:dyDescent="0.25">
      <c r="A652" s="1"/>
      <c r="B652" s="3">
        <v>43248</v>
      </c>
      <c r="C652" s="4">
        <v>3.28</v>
      </c>
      <c r="D652" s="4">
        <v>2.6398000000000001</v>
      </c>
      <c r="E652" s="4">
        <v>69157</v>
      </c>
      <c r="F652" s="4"/>
      <c r="G652" s="4"/>
      <c r="H652" s="5">
        <f t="shared" si="10"/>
        <v>5.8078480099402884E-2</v>
      </c>
    </row>
    <row r="653" spans="1:8" ht="13.5" x14ac:dyDescent="0.25">
      <c r="A653" s="1"/>
      <c r="B653" s="3">
        <v>43249</v>
      </c>
      <c r="C653" s="4">
        <v>3.47</v>
      </c>
      <c r="D653" s="4">
        <v>2.7927</v>
      </c>
      <c r="E653" s="4">
        <v>71552</v>
      </c>
      <c r="F653" s="4"/>
      <c r="G653" s="4"/>
      <c r="H653" s="5">
        <f t="shared" si="10"/>
        <v>5.7921054625350334E-2</v>
      </c>
    </row>
    <row r="654" spans="1:8" ht="13.5" x14ac:dyDescent="0.25">
      <c r="A654" s="1"/>
      <c r="B654" s="3">
        <v>43250</v>
      </c>
      <c r="C654" s="4">
        <v>3.67</v>
      </c>
      <c r="D654" s="4">
        <v>2.9535999999999998</v>
      </c>
      <c r="E654" s="4">
        <v>154400</v>
      </c>
      <c r="F654" s="4"/>
      <c r="G654" s="4"/>
      <c r="H654" s="5">
        <f t="shared" si="10"/>
        <v>5.7614494933218685E-2</v>
      </c>
    </row>
    <row r="655" spans="1:8" ht="13.5" x14ac:dyDescent="0.25">
      <c r="A655" s="1"/>
      <c r="B655" s="3">
        <v>43251</v>
      </c>
      <c r="C655" s="4">
        <v>3.8</v>
      </c>
      <c r="D655" s="4">
        <v>3.0583</v>
      </c>
      <c r="E655" s="4">
        <v>149552</v>
      </c>
      <c r="F655" s="4"/>
      <c r="G655" s="4"/>
      <c r="H655" s="5">
        <f t="shared" si="10"/>
        <v>3.5448266522210267E-2</v>
      </c>
    </row>
    <row r="656" spans="1:8" ht="13.5" x14ac:dyDescent="0.25">
      <c r="A656" s="1"/>
      <c r="B656" s="3">
        <v>43252</v>
      </c>
      <c r="C656" s="4">
        <v>3.67</v>
      </c>
      <c r="D656" s="4">
        <v>2.9535999999999998</v>
      </c>
      <c r="E656" s="4">
        <v>93549</v>
      </c>
      <c r="F656" s="4"/>
      <c r="G656" s="4"/>
      <c r="H656" s="5">
        <f t="shared" si="10"/>
        <v>-3.423470555537398E-2</v>
      </c>
    </row>
    <row r="657" spans="1:8" ht="13.5" x14ac:dyDescent="0.25">
      <c r="A657" s="1"/>
      <c r="B657" s="3">
        <v>43255</v>
      </c>
      <c r="C657" s="4">
        <v>3.5</v>
      </c>
      <c r="D657" s="4">
        <v>2.8168000000000002</v>
      </c>
      <c r="E657" s="4">
        <v>66334</v>
      </c>
      <c r="F657" s="4"/>
      <c r="G657" s="4"/>
      <c r="H657" s="5">
        <f t="shared" si="10"/>
        <v>-4.6316359696641253E-2</v>
      </c>
    </row>
    <row r="658" spans="1:8" ht="13.5" x14ac:dyDescent="0.25">
      <c r="A658" s="1"/>
      <c r="B658" s="3">
        <v>43256</v>
      </c>
      <c r="C658" s="4">
        <v>3.7</v>
      </c>
      <c r="D658" s="4">
        <v>2.9777999999999998</v>
      </c>
      <c r="E658" s="4">
        <v>51879</v>
      </c>
      <c r="F658" s="4"/>
      <c r="G658" s="4"/>
      <c r="H658" s="5">
        <f t="shared" si="10"/>
        <v>5.7157057654075395E-2</v>
      </c>
    </row>
    <row r="659" spans="1:8" ht="13.5" x14ac:dyDescent="0.25">
      <c r="A659" s="1"/>
      <c r="B659" s="3">
        <v>43257</v>
      </c>
      <c r="C659" s="4">
        <v>3.88</v>
      </c>
      <c r="D659" s="4">
        <v>3.1227</v>
      </c>
      <c r="E659" s="4">
        <v>38316</v>
      </c>
      <c r="F659" s="4"/>
      <c r="G659" s="4"/>
      <c r="H659" s="5">
        <f t="shared" si="10"/>
        <v>4.8660084626234223E-2</v>
      </c>
    </row>
    <row r="660" spans="1:8" ht="13.5" x14ac:dyDescent="0.25">
      <c r="A660" s="1"/>
      <c r="B660" s="3">
        <v>43258</v>
      </c>
      <c r="C660" s="4">
        <v>3.96</v>
      </c>
      <c r="D660" s="4">
        <v>3.1869999999999998</v>
      </c>
      <c r="E660" s="4">
        <v>37791</v>
      </c>
      <c r="F660" s="4"/>
      <c r="G660" s="4"/>
      <c r="H660" s="5">
        <f t="shared" si="10"/>
        <v>2.0591155090146283E-2</v>
      </c>
    </row>
    <row r="661" spans="1:8" ht="13.5" x14ac:dyDescent="0.25">
      <c r="A661" s="1"/>
      <c r="B661" s="3">
        <v>43259</v>
      </c>
      <c r="C661" s="4">
        <v>3.85</v>
      </c>
      <c r="D661" s="4">
        <v>3.0985</v>
      </c>
      <c r="E661" s="4">
        <v>34132</v>
      </c>
      <c r="F661" s="4"/>
      <c r="G661" s="4"/>
      <c r="H661" s="5">
        <f t="shared" si="10"/>
        <v>-2.7769061813617761E-2</v>
      </c>
    </row>
    <row r="662" spans="1:8" ht="13.5" x14ac:dyDescent="0.25">
      <c r="A662" s="1"/>
      <c r="B662" s="3">
        <v>43262</v>
      </c>
      <c r="C662" s="4">
        <v>3.91</v>
      </c>
      <c r="D662" s="4">
        <v>3.1467999999999998</v>
      </c>
      <c r="E662" s="4">
        <v>17141</v>
      </c>
      <c r="F662" s="4"/>
      <c r="G662" s="4"/>
      <c r="H662" s="5">
        <f t="shared" si="10"/>
        <v>1.5588187832822264E-2</v>
      </c>
    </row>
    <row r="663" spans="1:8" ht="13.5" x14ac:dyDescent="0.25">
      <c r="A663" s="1"/>
      <c r="B663" s="3">
        <v>43263</v>
      </c>
      <c r="C663" s="4">
        <v>3.88</v>
      </c>
      <c r="D663" s="4">
        <v>3.1227</v>
      </c>
      <c r="E663" s="4">
        <v>8845</v>
      </c>
      <c r="F663" s="4"/>
      <c r="G663" s="4"/>
      <c r="H663" s="5">
        <f t="shared" si="10"/>
        <v>-7.6585737892461512E-3</v>
      </c>
    </row>
    <row r="664" spans="1:8" ht="13.5" x14ac:dyDescent="0.25">
      <c r="A664" s="1"/>
      <c r="B664" s="3">
        <v>43264</v>
      </c>
      <c r="C664" s="4">
        <v>3.92</v>
      </c>
      <c r="D664" s="4">
        <v>3.1547999999999998</v>
      </c>
      <c r="E664" s="4">
        <v>27799</v>
      </c>
      <c r="F664" s="4"/>
      <c r="G664" s="4"/>
      <c r="H664" s="5">
        <f t="shared" si="10"/>
        <v>1.0279565760399588E-2</v>
      </c>
    </row>
    <row r="665" spans="1:8" ht="13.5" x14ac:dyDescent="0.25">
      <c r="A665" s="1"/>
      <c r="B665" s="3">
        <v>43265</v>
      </c>
      <c r="C665" s="4">
        <v>4.0999999999999996</v>
      </c>
      <c r="D665" s="4">
        <v>3.2997000000000001</v>
      </c>
      <c r="E665" s="4">
        <v>77719</v>
      </c>
      <c r="F665" s="4"/>
      <c r="G665" s="4"/>
      <c r="H665" s="5">
        <f t="shared" si="10"/>
        <v>4.5930011411183039E-2</v>
      </c>
    </row>
    <row r="666" spans="1:8" ht="13.5" x14ac:dyDescent="0.25">
      <c r="A666" s="1"/>
      <c r="B666" s="3">
        <v>43269</v>
      </c>
      <c r="C666" s="4">
        <v>4.2</v>
      </c>
      <c r="D666" s="4">
        <v>3.3801999999999999</v>
      </c>
      <c r="E666" s="4">
        <v>137493</v>
      </c>
      <c r="F666" s="4"/>
      <c r="G666" s="4"/>
      <c r="H666" s="5">
        <f t="shared" si="10"/>
        <v>2.4396157226414458E-2</v>
      </c>
    </row>
    <row r="667" spans="1:8" ht="13.5" x14ac:dyDescent="0.25">
      <c r="A667" s="1"/>
      <c r="B667" s="3">
        <v>43270</v>
      </c>
      <c r="C667" s="4">
        <v>4.1500000000000004</v>
      </c>
      <c r="D667" s="4">
        <v>3.34</v>
      </c>
      <c r="E667" s="4">
        <v>105367</v>
      </c>
      <c r="F667" s="4"/>
      <c r="G667" s="4"/>
      <c r="H667" s="5">
        <f t="shared" si="10"/>
        <v>-1.1892787409029056E-2</v>
      </c>
    </row>
    <row r="668" spans="1:8" ht="13.5" x14ac:dyDescent="0.25">
      <c r="A668" s="1"/>
      <c r="B668" s="3">
        <v>43271</v>
      </c>
      <c r="C668" s="4">
        <v>4.03</v>
      </c>
      <c r="D668" s="4">
        <v>3.2433999999999998</v>
      </c>
      <c r="E668" s="4">
        <v>16992</v>
      </c>
      <c r="F668" s="4"/>
      <c r="G668" s="4"/>
      <c r="H668" s="5">
        <f t="shared" si="10"/>
        <v>-2.8922155688622761E-2</v>
      </c>
    </row>
    <row r="669" spans="1:8" ht="13.5" x14ac:dyDescent="0.25">
      <c r="A669" s="1"/>
      <c r="B669" s="3">
        <v>43272</v>
      </c>
      <c r="C669" s="4">
        <v>3.82</v>
      </c>
      <c r="D669" s="4">
        <v>3.0743999999999998</v>
      </c>
      <c r="E669" s="4">
        <v>30606</v>
      </c>
      <c r="F669" s="4"/>
      <c r="G669" s="4"/>
      <c r="H669" s="5">
        <f t="shared" si="10"/>
        <v>-5.2105814885613874E-2</v>
      </c>
    </row>
    <row r="670" spans="1:8" ht="13.5" x14ac:dyDescent="0.25">
      <c r="A670" s="1"/>
      <c r="B670" s="3">
        <v>43273</v>
      </c>
      <c r="C670" s="4">
        <v>3.82</v>
      </c>
      <c r="D670" s="4">
        <v>3.0743999999999998</v>
      </c>
      <c r="E670" s="4">
        <v>22476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3.82</v>
      </c>
      <c r="D671" s="4">
        <v>3.0743999999999998</v>
      </c>
      <c r="E671" s="4">
        <v>26982</v>
      </c>
      <c r="F671" s="4"/>
      <c r="G671" s="4"/>
      <c r="H671" s="5">
        <f t="shared" si="10"/>
        <v>0</v>
      </c>
    </row>
    <row r="672" spans="1:8" ht="13.5" x14ac:dyDescent="0.25">
      <c r="A672" s="1"/>
      <c r="B672" s="3">
        <v>43277</v>
      </c>
      <c r="C672" s="4">
        <v>3.85</v>
      </c>
      <c r="D672" s="4">
        <v>3.0985</v>
      </c>
      <c r="E672" s="4">
        <v>16881</v>
      </c>
      <c r="F672" s="4"/>
      <c r="G672" s="4"/>
      <c r="H672" s="5">
        <f t="shared" si="10"/>
        <v>7.8389279208952098E-3</v>
      </c>
    </row>
    <row r="673" spans="1:8" ht="13.5" x14ac:dyDescent="0.25">
      <c r="A673" s="1"/>
      <c r="B673" s="3">
        <v>43278</v>
      </c>
      <c r="C673" s="4">
        <v>4.08</v>
      </c>
      <c r="D673" s="4">
        <v>3.2835999999999999</v>
      </c>
      <c r="E673" s="4">
        <v>71880</v>
      </c>
      <c r="F673" s="4"/>
      <c r="G673" s="4"/>
      <c r="H673" s="5">
        <f t="shared" si="10"/>
        <v>5.9738583185412239E-2</v>
      </c>
    </row>
    <row r="674" spans="1:8" ht="13.5" x14ac:dyDescent="0.25">
      <c r="A674" s="1"/>
      <c r="B674" s="3">
        <v>43279</v>
      </c>
      <c r="C674" s="4">
        <v>4.08</v>
      </c>
      <c r="D674" s="4">
        <v>3.2835999999999999</v>
      </c>
      <c r="E674" s="4">
        <v>23634</v>
      </c>
      <c r="F674" s="4"/>
      <c r="G674" s="4"/>
      <c r="H674" s="5">
        <f t="shared" si="10"/>
        <v>0</v>
      </c>
    </row>
    <row r="675" spans="1:8" ht="13.5" x14ac:dyDescent="0.25">
      <c r="A675" s="1"/>
      <c r="B675" s="3">
        <v>43280</v>
      </c>
      <c r="C675" s="4">
        <v>3.98</v>
      </c>
      <c r="D675" s="4">
        <v>3.2031000000000001</v>
      </c>
      <c r="E675" s="4">
        <v>16223</v>
      </c>
      <c r="F675" s="4"/>
      <c r="G675" s="4"/>
      <c r="H675" s="5">
        <f t="shared" si="10"/>
        <v>-2.4515775368497927E-2</v>
      </c>
    </row>
    <row r="676" spans="1:8" ht="13.5" x14ac:dyDescent="0.25">
      <c r="A676" s="1"/>
      <c r="B676" s="3">
        <v>43283</v>
      </c>
      <c r="C676" s="4">
        <v>4.04</v>
      </c>
      <c r="D676" s="4">
        <v>3.2513999999999998</v>
      </c>
      <c r="E676" s="4">
        <v>2308</v>
      </c>
      <c r="F676" s="4"/>
      <c r="G676" s="4"/>
      <c r="H676" s="5">
        <f t="shared" si="10"/>
        <v>1.5079142081108859E-2</v>
      </c>
    </row>
    <row r="677" spans="1:8" ht="13.5" x14ac:dyDescent="0.25">
      <c r="A677" s="1"/>
      <c r="B677" s="3">
        <v>43284</v>
      </c>
      <c r="C677" s="4">
        <v>4</v>
      </c>
      <c r="D677" s="4">
        <v>3.2191999999999998</v>
      </c>
      <c r="E677" s="4">
        <v>10270</v>
      </c>
      <c r="F677" s="4"/>
      <c r="G677" s="4"/>
      <c r="H677" s="5">
        <f t="shared" si="10"/>
        <v>-9.9034262163990913E-3</v>
      </c>
    </row>
    <row r="678" spans="1:8" ht="13.5" x14ac:dyDescent="0.25">
      <c r="A678" s="1"/>
      <c r="B678" s="3">
        <v>43285</v>
      </c>
      <c r="C678" s="4">
        <v>3.9</v>
      </c>
      <c r="D678" s="4">
        <v>3.1387999999999998</v>
      </c>
      <c r="E678" s="4">
        <v>5808</v>
      </c>
      <c r="F678" s="4"/>
      <c r="G678" s="4"/>
      <c r="H678" s="5">
        <f t="shared" si="10"/>
        <v>-2.4975149105367803E-2</v>
      </c>
    </row>
    <row r="679" spans="1:8" ht="13.5" x14ac:dyDescent="0.25">
      <c r="A679" s="1"/>
      <c r="B679" s="3">
        <v>43286</v>
      </c>
      <c r="C679" s="4">
        <v>3.85</v>
      </c>
      <c r="D679" s="4">
        <v>3.0985</v>
      </c>
      <c r="E679" s="4">
        <v>12068</v>
      </c>
      <c r="F679" s="4"/>
      <c r="G679" s="4"/>
      <c r="H679" s="5">
        <f t="shared" si="10"/>
        <v>-1.2839301643940291E-2</v>
      </c>
    </row>
    <row r="680" spans="1:8" ht="13.5" x14ac:dyDescent="0.25">
      <c r="A680" s="1"/>
      <c r="B680" s="3">
        <v>43287</v>
      </c>
      <c r="C680" s="4">
        <v>3.83</v>
      </c>
      <c r="D680" s="4">
        <v>3.0823999999999998</v>
      </c>
      <c r="E680" s="4">
        <v>2157</v>
      </c>
      <c r="F680" s="4"/>
      <c r="G680" s="4"/>
      <c r="H680" s="5">
        <f t="shared" si="10"/>
        <v>-5.1960626109408504E-3</v>
      </c>
    </row>
    <row r="681" spans="1:8" ht="13.5" x14ac:dyDescent="0.25">
      <c r="A681" s="1"/>
      <c r="B681" s="3">
        <v>43290</v>
      </c>
      <c r="C681" s="4">
        <v>3.8</v>
      </c>
      <c r="D681" s="4">
        <v>3.0583</v>
      </c>
      <c r="E681" s="4">
        <v>4618</v>
      </c>
      <c r="F681" s="4"/>
      <c r="G681" s="4"/>
      <c r="H681" s="5">
        <f t="shared" si="10"/>
        <v>-7.8185829223980634E-3</v>
      </c>
    </row>
    <row r="682" spans="1:8" ht="13.5" x14ac:dyDescent="0.25">
      <c r="A682" s="1"/>
      <c r="B682" s="3">
        <v>43291</v>
      </c>
      <c r="C682" s="4">
        <v>3.83</v>
      </c>
      <c r="D682" s="4">
        <v>3.0823999999999998</v>
      </c>
      <c r="E682" s="4">
        <v>6213</v>
      </c>
      <c r="F682" s="4"/>
      <c r="G682" s="4"/>
      <c r="H682" s="5">
        <f t="shared" si="10"/>
        <v>7.8801948795081539E-3</v>
      </c>
    </row>
    <row r="683" spans="1:8" ht="13.5" x14ac:dyDescent="0.25">
      <c r="A683" s="1"/>
      <c r="B683" s="3">
        <v>43292</v>
      </c>
      <c r="C683" s="4">
        <v>3.82</v>
      </c>
      <c r="D683" s="4">
        <v>3.0743999999999998</v>
      </c>
      <c r="E683" s="4">
        <v>9836</v>
      </c>
      <c r="F683" s="4"/>
      <c r="G683" s="4"/>
      <c r="H683" s="5">
        <f t="shared" si="10"/>
        <v>-2.5953802232027015E-3</v>
      </c>
    </row>
    <row r="684" spans="1:8" ht="13.5" x14ac:dyDescent="0.25">
      <c r="A684" s="1"/>
      <c r="B684" s="3">
        <v>43293</v>
      </c>
      <c r="C684" s="4">
        <v>3.8</v>
      </c>
      <c r="D684" s="4">
        <v>3.0583</v>
      </c>
      <c r="E684" s="4">
        <v>8786</v>
      </c>
      <c r="F684" s="4"/>
      <c r="G684" s="4"/>
      <c r="H684" s="5">
        <f t="shared" si="10"/>
        <v>-5.2367941712203299E-3</v>
      </c>
    </row>
    <row r="685" spans="1:8" ht="13.5" x14ac:dyDescent="0.25">
      <c r="A685" s="1"/>
      <c r="B685" s="3">
        <v>43294</v>
      </c>
      <c r="C685" s="4">
        <v>3.75</v>
      </c>
      <c r="D685" s="4">
        <v>3.0179999999999998</v>
      </c>
      <c r="E685" s="4">
        <v>9677</v>
      </c>
      <c r="F685" s="4"/>
      <c r="G685" s="4"/>
      <c r="H685" s="5">
        <f t="shared" si="10"/>
        <v>-1.3177255337932911E-2</v>
      </c>
    </row>
    <row r="686" spans="1:8" ht="13.5" x14ac:dyDescent="0.25">
      <c r="A686" s="1"/>
      <c r="B686" s="3">
        <v>43297</v>
      </c>
      <c r="C686" s="4">
        <v>3.75</v>
      </c>
      <c r="D686" s="4">
        <v>3.0179999999999998</v>
      </c>
      <c r="E686" s="4">
        <v>6601</v>
      </c>
      <c r="F686" s="4"/>
      <c r="G686" s="4"/>
      <c r="H686" s="5">
        <f t="shared" si="10"/>
        <v>0</v>
      </c>
    </row>
    <row r="687" spans="1:8" ht="13.5" x14ac:dyDescent="0.25">
      <c r="A687" s="1"/>
      <c r="B687" s="3">
        <v>43298</v>
      </c>
      <c r="C687" s="4">
        <v>3.74</v>
      </c>
      <c r="D687" s="4">
        <v>3.01</v>
      </c>
      <c r="E687" s="4">
        <v>18551</v>
      </c>
      <c r="F687" s="4"/>
      <c r="G687" s="4"/>
      <c r="H687" s="5">
        <f t="shared" si="10"/>
        <v>-2.650762094102057E-3</v>
      </c>
    </row>
    <row r="688" spans="1:8" ht="13.5" x14ac:dyDescent="0.25">
      <c r="A688" s="1"/>
      <c r="B688" s="3">
        <v>43299</v>
      </c>
      <c r="C688" s="4">
        <v>3.88</v>
      </c>
      <c r="D688" s="4">
        <v>3.1227</v>
      </c>
      <c r="E688" s="4">
        <v>46772</v>
      </c>
      <c r="F688" s="4"/>
      <c r="G688" s="4"/>
      <c r="H688" s="5">
        <f t="shared" si="10"/>
        <v>3.7441860465116363E-2</v>
      </c>
    </row>
    <row r="689" spans="1:8" ht="13.5" x14ac:dyDescent="0.25">
      <c r="A689" s="1"/>
      <c r="B689" s="3">
        <v>43300</v>
      </c>
      <c r="C689" s="4">
        <v>3.86</v>
      </c>
      <c r="D689" s="4">
        <v>3.1065999999999998</v>
      </c>
      <c r="E689" s="4">
        <v>20962</v>
      </c>
      <c r="F689" s="4"/>
      <c r="G689" s="4"/>
      <c r="H689" s="5">
        <f t="shared" si="10"/>
        <v>-5.1557946648734185E-3</v>
      </c>
    </row>
    <row r="690" spans="1:8" ht="13.5" x14ac:dyDescent="0.25">
      <c r="A690" s="1"/>
      <c r="B690" s="3">
        <v>43301</v>
      </c>
      <c r="C690" s="4">
        <v>3.9</v>
      </c>
      <c r="D690" s="4">
        <v>3.1387999999999998</v>
      </c>
      <c r="E690" s="4">
        <v>11242</v>
      </c>
      <c r="F690" s="4"/>
      <c r="G690" s="4"/>
      <c r="H690" s="5">
        <f t="shared" si="10"/>
        <v>1.036502929247409E-2</v>
      </c>
    </row>
    <row r="691" spans="1:8" ht="13.5" x14ac:dyDescent="0.25">
      <c r="A691" s="1"/>
      <c r="B691" s="3">
        <v>43304</v>
      </c>
      <c r="C691" s="4">
        <v>3.85</v>
      </c>
      <c r="D691" s="4">
        <v>3.0985</v>
      </c>
      <c r="E691" s="4">
        <v>4569</v>
      </c>
      <c r="F691" s="4"/>
      <c r="G691" s="4"/>
      <c r="H691" s="5">
        <f t="shared" si="10"/>
        <v>-1.2839301643940291E-2</v>
      </c>
    </row>
    <row r="692" spans="1:8" ht="13.5" x14ac:dyDescent="0.25">
      <c r="A692" s="1"/>
      <c r="B692" s="3">
        <v>43305</v>
      </c>
      <c r="C692" s="4">
        <v>3.8</v>
      </c>
      <c r="D692" s="4">
        <v>3.0583</v>
      </c>
      <c r="E692" s="4">
        <v>22645</v>
      </c>
      <c r="F692" s="4"/>
      <c r="G692" s="4"/>
      <c r="H692" s="5">
        <f t="shared" si="10"/>
        <v>-1.2974019686945301E-2</v>
      </c>
    </row>
    <row r="693" spans="1:8" ht="13.5" x14ac:dyDescent="0.25">
      <c r="A693" s="1"/>
      <c r="B693" s="3">
        <v>43307</v>
      </c>
      <c r="C693" s="4">
        <v>3.76</v>
      </c>
      <c r="D693" s="4">
        <v>3.0261</v>
      </c>
      <c r="E693" s="4">
        <v>27211</v>
      </c>
      <c r="F693" s="4"/>
      <c r="G693" s="4"/>
      <c r="H693" s="5">
        <f t="shared" si="10"/>
        <v>-1.0528725108720534E-2</v>
      </c>
    </row>
    <row r="694" spans="1:8" ht="13.5" x14ac:dyDescent="0.25">
      <c r="A694" s="1"/>
      <c r="B694" s="3">
        <v>43308</v>
      </c>
      <c r="C694" s="4">
        <v>3.74</v>
      </c>
      <c r="D694" s="4">
        <v>3.01</v>
      </c>
      <c r="E694" s="4">
        <v>16516</v>
      </c>
      <c r="F694" s="4"/>
      <c r="G694" s="4"/>
      <c r="H694" s="5">
        <f t="shared" si="10"/>
        <v>-5.3203793661809676E-3</v>
      </c>
    </row>
    <row r="695" spans="1:8" ht="13.5" x14ac:dyDescent="0.25">
      <c r="A695" s="1"/>
      <c r="B695" s="3">
        <v>43311</v>
      </c>
      <c r="C695" s="4">
        <v>3.9</v>
      </c>
      <c r="D695" s="4">
        <v>3.1387999999999998</v>
      </c>
      <c r="E695" s="4">
        <v>26468</v>
      </c>
      <c r="F695" s="4"/>
      <c r="G695" s="4"/>
      <c r="H695" s="5">
        <f t="shared" si="10"/>
        <v>4.2790697674418614E-2</v>
      </c>
    </row>
    <row r="696" spans="1:8" ht="13.5" x14ac:dyDescent="0.25">
      <c r="A696" s="1"/>
      <c r="B696" s="3">
        <v>43312</v>
      </c>
      <c r="C696" s="4">
        <v>4.07</v>
      </c>
      <c r="D696" s="4">
        <v>3.2755999999999998</v>
      </c>
      <c r="E696" s="4">
        <v>68243</v>
      </c>
      <c r="F696" s="4"/>
      <c r="G696" s="4"/>
      <c r="H696" s="5">
        <f t="shared" si="10"/>
        <v>4.3583535108958849E-2</v>
      </c>
    </row>
    <row r="697" spans="1:8" ht="13.5" x14ac:dyDescent="0.25">
      <c r="A697" s="1"/>
      <c r="B697" s="3">
        <v>43313</v>
      </c>
      <c r="C697" s="4">
        <v>3.9</v>
      </c>
      <c r="D697" s="4">
        <v>3.1387999999999998</v>
      </c>
      <c r="E697" s="4">
        <v>31538</v>
      </c>
      <c r="F697" s="4"/>
      <c r="G697" s="4"/>
      <c r="H697" s="5">
        <f t="shared" si="10"/>
        <v>-4.1763341067285395E-2</v>
      </c>
    </row>
    <row r="698" spans="1:8" ht="13.5" x14ac:dyDescent="0.25">
      <c r="A698" s="1"/>
      <c r="B698" s="3">
        <v>43314</v>
      </c>
      <c r="C698" s="4">
        <v>3.79</v>
      </c>
      <c r="D698" s="4">
        <v>3.0501999999999998</v>
      </c>
      <c r="E698" s="4">
        <v>12166</v>
      </c>
      <c r="F698" s="4"/>
      <c r="G698" s="4"/>
      <c r="H698" s="5">
        <f t="shared" si="10"/>
        <v>-2.8227348031094692E-2</v>
      </c>
    </row>
    <row r="699" spans="1:8" ht="13.5" x14ac:dyDescent="0.25">
      <c r="A699" s="1"/>
      <c r="B699" s="3">
        <v>43315</v>
      </c>
      <c r="C699" s="4">
        <v>3.9</v>
      </c>
      <c r="D699" s="4">
        <v>3.1387999999999998</v>
      </c>
      <c r="E699" s="4">
        <v>24926</v>
      </c>
      <c r="F699" s="4"/>
      <c r="G699" s="4"/>
      <c r="H699" s="5">
        <f t="shared" si="10"/>
        <v>2.9047275588486007E-2</v>
      </c>
    </row>
    <row r="700" spans="1:8" ht="13.5" x14ac:dyDescent="0.25">
      <c r="A700" s="1"/>
      <c r="B700" s="3">
        <v>43318</v>
      </c>
      <c r="C700" s="4">
        <v>3.88</v>
      </c>
      <c r="D700" s="4">
        <v>3.1227</v>
      </c>
      <c r="E700" s="4">
        <v>323</v>
      </c>
      <c r="F700" s="4"/>
      <c r="G700" s="4"/>
      <c r="H700" s="5">
        <f t="shared" si="10"/>
        <v>-5.1293487957180398E-3</v>
      </c>
    </row>
    <row r="701" spans="1:8" ht="13.5" x14ac:dyDescent="0.25">
      <c r="A701" s="1"/>
      <c r="B701" s="3">
        <v>43319</v>
      </c>
      <c r="C701" s="4">
        <v>3.9</v>
      </c>
      <c r="D701" s="4">
        <v>3.1387999999999998</v>
      </c>
      <c r="E701" s="4">
        <v>1208</v>
      </c>
      <c r="F701" s="4"/>
      <c r="G701" s="4"/>
      <c r="H701" s="5">
        <f t="shared" si="10"/>
        <v>5.1557946648732762E-3</v>
      </c>
    </row>
    <row r="702" spans="1:8" ht="13.5" x14ac:dyDescent="0.25">
      <c r="A702" s="1"/>
      <c r="B702" s="3">
        <v>43320</v>
      </c>
      <c r="C702" s="4">
        <v>3.79</v>
      </c>
      <c r="D702" s="4">
        <v>3.0501999999999998</v>
      </c>
      <c r="E702" s="4">
        <v>3033</v>
      </c>
      <c r="F702" s="4"/>
      <c r="G702" s="4"/>
      <c r="H702" s="5">
        <f t="shared" si="10"/>
        <v>-2.8227348031094692E-2</v>
      </c>
    </row>
    <row r="703" spans="1:8" ht="13.5" x14ac:dyDescent="0.25">
      <c r="A703" s="1"/>
      <c r="B703" s="3">
        <v>43321</v>
      </c>
      <c r="C703" s="4">
        <v>3.74</v>
      </c>
      <c r="D703" s="4">
        <v>3.01</v>
      </c>
      <c r="E703" s="4">
        <v>4279</v>
      </c>
      <c r="F703" s="4"/>
      <c r="G703" s="4"/>
      <c r="H703" s="5">
        <f t="shared" si="10"/>
        <v>-1.3179463641728416E-2</v>
      </c>
    </row>
    <row r="704" spans="1:8" ht="13.5" x14ac:dyDescent="0.25">
      <c r="A704" s="1"/>
      <c r="B704" s="3">
        <v>43322</v>
      </c>
      <c r="C704" s="4">
        <v>3.73</v>
      </c>
      <c r="D704" s="4">
        <v>3.0019</v>
      </c>
      <c r="E704" s="4">
        <v>4608</v>
      </c>
      <c r="F704" s="4"/>
      <c r="G704" s="4"/>
      <c r="H704" s="5">
        <f t="shared" si="10"/>
        <v>-2.691029900332151E-3</v>
      </c>
    </row>
    <row r="705" spans="1:8" ht="13.5" x14ac:dyDescent="0.25">
      <c r="A705" s="1"/>
      <c r="B705" s="3">
        <v>43326</v>
      </c>
      <c r="C705" s="4">
        <v>3.69</v>
      </c>
      <c r="D705" s="4">
        <v>2.9697</v>
      </c>
      <c r="E705" s="4">
        <v>12997</v>
      </c>
      <c r="F705" s="4"/>
      <c r="G705" s="4"/>
      <c r="H705" s="5">
        <f t="shared" si="10"/>
        <v>-1.0726539858089879E-2</v>
      </c>
    </row>
    <row r="706" spans="1:8" ht="13.5" x14ac:dyDescent="0.25">
      <c r="A706" s="1"/>
      <c r="B706" s="3">
        <v>43327</v>
      </c>
      <c r="C706" s="4">
        <v>3.75</v>
      </c>
      <c r="D706" s="4">
        <v>3.0179999999999998</v>
      </c>
      <c r="E706" s="4">
        <v>11999</v>
      </c>
      <c r="F706" s="4"/>
      <c r="G706" s="4"/>
      <c r="H706" s="5">
        <f t="shared" si="10"/>
        <v>1.6264269118092665E-2</v>
      </c>
    </row>
    <row r="707" spans="1:8" ht="13.5" x14ac:dyDescent="0.25">
      <c r="A707" s="1"/>
      <c r="B707" s="3">
        <v>43328</v>
      </c>
      <c r="C707" s="4">
        <v>3.68</v>
      </c>
      <c r="D707" s="4">
        <v>2.9617</v>
      </c>
      <c r="E707" s="4">
        <v>7426</v>
      </c>
      <c r="F707" s="4"/>
      <c r="G707" s="4"/>
      <c r="H707" s="5">
        <f t="shared" si="10"/>
        <v>-1.8654738237243142E-2</v>
      </c>
    </row>
    <row r="708" spans="1:8" ht="13.5" x14ac:dyDescent="0.25">
      <c r="A708" s="1"/>
      <c r="B708" s="3">
        <v>43329</v>
      </c>
      <c r="C708" s="4">
        <v>3.62</v>
      </c>
      <c r="D708" s="4">
        <v>2.9134000000000002</v>
      </c>
      <c r="E708" s="4">
        <v>8091</v>
      </c>
      <c r="F708" s="4"/>
      <c r="G708" s="4"/>
      <c r="H708" s="5">
        <f t="shared" si="10"/>
        <v>-1.6308201370834247E-2</v>
      </c>
    </row>
    <row r="709" spans="1:8" ht="13.5" x14ac:dyDescent="0.25">
      <c r="A709" s="1"/>
      <c r="B709" s="3">
        <v>43332</v>
      </c>
      <c r="C709" s="4">
        <v>3.79</v>
      </c>
      <c r="D709" s="4">
        <v>3.0501999999999998</v>
      </c>
      <c r="E709" s="4">
        <v>750</v>
      </c>
      <c r="F709" s="4"/>
      <c r="G709" s="4"/>
      <c r="H709" s="5">
        <f t="shared" si="10"/>
        <v>4.6955447243770022E-2</v>
      </c>
    </row>
    <row r="710" spans="1:8" ht="13.5" x14ac:dyDescent="0.25">
      <c r="A710" s="1"/>
      <c r="B710" s="3">
        <v>43335</v>
      </c>
      <c r="C710" s="4">
        <v>3.79</v>
      </c>
      <c r="D710" s="4">
        <v>3.0501999999999998</v>
      </c>
      <c r="E710" s="4">
        <v>52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3.9</v>
      </c>
      <c r="D711" s="4">
        <v>3.1387999999999998</v>
      </c>
      <c r="E711" s="4">
        <v>24908</v>
      </c>
      <c r="F711" s="4"/>
      <c r="G711" s="4"/>
      <c r="H711" s="5">
        <f t="shared" ref="H711:H774" si="11">(D711-D710)/D710</f>
        <v>2.9047275588486007E-2</v>
      </c>
    </row>
    <row r="712" spans="1:8" ht="13.5" x14ac:dyDescent="0.25">
      <c r="A712" s="1"/>
      <c r="B712" s="3">
        <v>43339</v>
      </c>
      <c r="C712" s="4">
        <v>3.9</v>
      </c>
      <c r="D712" s="4">
        <v>3.1387999999999998</v>
      </c>
      <c r="E712" s="4">
        <v>11236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3.79</v>
      </c>
      <c r="D713" s="4">
        <v>3.0501999999999998</v>
      </c>
      <c r="E713" s="4">
        <v>11392</v>
      </c>
      <c r="F713" s="4"/>
      <c r="G713" s="4"/>
      <c r="H713" s="5">
        <f t="shared" si="11"/>
        <v>-2.8227348031094692E-2</v>
      </c>
    </row>
    <row r="714" spans="1:8" ht="13.5" x14ac:dyDescent="0.25">
      <c r="A714" s="1"/>
      <c r="B714" s="3">
        <v>43341</v>
      </c>
      <c r="C714" s="4">
        <v>3.8</v>
      </c>
      <c r="D714" s="4">
        <v>3.0583</v>
      </c>
      <c r="E714" s="4">
        <v>9676</v>
      </c>
      <c r="F714" s="4"/>
      <c r="G714" s="4"/>
      <c r="H714" s="5">
        <f t="shared" si="11"/>
        <v>2.6555635696020648E-3</v>
      </c>
    </row>
    <row r="715" spans="1:8" ht="13.5" x14ac:dyDescent="0.25">
      <c r="A715" s="1"/>
      <c r="B715" s="3">
        <v>43342</v>
      </c>
      <c r="C715" s="4">
        <v>3.7</v>
      </c>
      <c r="D715" s="4">
        <v>2.9777999999999998</v>
      </c>
      <c r="E715" s="4">
        <v>1617</v>
      </c>
      <c r="F715" s="4"/>
      <c r="G715" s="4"/>
      <c r="H715" s="5">
        <f t="shared" si="11"/>
        <v>-2.6321812771801404E-2</v>
      </c>
    </row>
    <row r="716" spans="1:8" ht="13.5" x14ac:dyDescent="0.25">
      <c r="A716" s="1"/>
      <c r="B716" s="3">
        <v>43343</v>
      </c>
      <c r="C716" s="4">
        <v>3.75</v>
      </c>
      <c r="D716" s="4">
        <v>3.0179999999999998</v>
      </c>
      <c r="E716" s="4">
        <v>22783</v>
      </c>
      <c r="F716" s="4"/>
      <c r="G716" s="4"/>
      <c r="H716" s="5">
        <f t="shared" si="11"/>
        <v>1.349989925448318E-2</v>
      </c>
    </row>
    <row r="717" spans="1:8" ht="13.5" x14ac:dyDescent="0.25">
      <c r="A717" s="1"/>
      <c r="B717" s="3">
        <v>43346</v>
      </c>
      <c r="C717" s="4">
        <v>3.75</v>
      </c>
      <c r="D717" s="4">
        <v>3.0179999999999998</v>
      </c>
      <c r="E717" s="4">
        <v>31</v>
      </c>
      <c r="F717" s="4"/>
      <c r="G717" s="4"/>
      <c r="H717" s="5">
        <f t="shared" si="11"/>
        <v>0</v>
      </c>
    </row>
    <row r="718" spans="1:8" ht="13.5" x14ac:dyDescent="0.25">
      <c r="A718" s="1"/>
      <c r="B718" s="3">
        <v>43347</v>
      </c>
      <c r="C718" s="4">
        <v>3.64</v>
      </c>
      <c r="D718" s="4">
        <v>2.9295</v>
      </c>
      <c r="E718" s="4">
        <v>1646</v>
      </c>
      <c r="F718" s="4"/>
      <c r="G718" s="4"/>
      <c r="H718" s="5">
        <f t="shared" si="11"/>
        <v>-2.9324055666003913E-2</v>
      </c>
    </row>
    <row r="719" spans="1:8" ht="13.5" x14ac:dyDescent="0.25">
      <c r="A719" s="1"/>
      <c r="B719" s="3">
        <v>43348</v>
      </c>
      <c r="C719" s="4">
        <v>3.51</v>
      </c>
      <c r="D719" s="4">
        <v>2.8249</v>
      </c>
      <c r="E719" s="4">
        <v>3274</v>
      </c>
      <c r="F719" s="4"/>
      <c r="G719" s="4"/>
      <c r="H719" s="5">
        <f t="shared" si="11"/>
        <v>-3.5705751834784104E-2</v>
      </c>
    </row>
    <row r="720" spans="1:8" ht="13.5" x14ac:dyDescent="0.25">
      <c r="A720" s="1"/>
      <c r="B720" s="3">
        <v>43349</v>
      </c>
      <c r="C720" s="4">
        <v>3.5</v>
      </c>
      <c r="D720" s="4">
        <v>2.8168000000000002</v>
      </c>
      <c r="E720" s="4">
        <v>3438</v>
      </c>
      <c r="F720" s="4"/>
      <c r="G720" s="4"/>
      <c r="H720" s="5">
        <f t="shared" si="11"/>
        <v>-2.8673581365711259E-3</v>
      </c>
    </row>
    <row r="721" spans="1:8" ht="13.5" x14ac:dyDescent="0.25">
      <c r="A721" s="1"/>
      <c r="B721" s="3">
        <v>43350</v>
      </c>
      <c r="C721" s="4">
        <v>3.5</v>
      </c>
      <c r="D721" s="4">
        <v>2.8168000000000002</v>
      </c>
      <c r="E721" s="4">
        <v>2928</v>
      </c>
      <c r="F721" s="4"/>
      <c r="G721" s="4"/>
      <c r="H721" s="5">
        <f t="shared" si="11"/>
        <v>0</v>
      </c>
    </row>
    <row r="722" spans="1:8" ht="13.5" x14ac:dyDescent="0.25">
      <c r="A722" s="1"/>
      <c r="B722" s="3">
        <v>43353</v>
      </c>
      <c r="C722" s="4">
        <v>3.58</v>
      </c>
      <c r="D722" s="4">
        <v>2.8812000000000002</v>
      </c>
      <c r="E722" s="4">
        <v>637</v>
      </c>
      <c r="F722" s="4"/>
      <c r="G722" s="4"/>
      <c r="H722" s="5">
        <f t="shared" si="11"/>
        <v>2.2862823061630223E-2</v>
      </c>
    </row>
    <row r="723" spans="1:8" ht="13.5" x14ac:dyDescent="0.25">
      <c r="A723" s="1"/>
      <c r="B723" s="3">
        <v>43355</v>
      </c>
      <c r="C723" s="4">
        <v>3.42</v>
      </c>
      <c r="D723" s="4">
        <v>2.7524000000000002</v>
      </c>
      <c r="E723" s="4">
        <v>7536</v>
      </c>
      <c r="F723" s="4"/>
      <c r="G723" s="4"/>
      <c r="H723" s="5">
        <f t="shared" si="11"/>
        <v>-4.470359572400389E-2</v>
      </c>
    </row>
    <row r="724" spans="1:8" ht="13.5" x14ac:dyDescent="0.25">
      <c r="A724" s="1"/>
      <c r="B724" s="3">
        <v>43356</v>
      </c>
      <c r="C724" s="4">
        <v>3.44</v>
      </c>
      <c r="D724" s="4">
        <v>2.7685</v>
      </c>
      <c r="E724" s="4">
        <v>13106</v>
      </c>
      <c r="F724" s="4"/>
      <c r="G724" s="4"/>
      <c r="H724" s="5">
        <f t="shared" si="11"/>
        <v>5.8494404883010394E-3</v>
      </c>
    </row>
    <row r="725" spans="1:8" ht="13.5" x14ac:dyDescent="0.25">
      <c r="A725" s="1"/>
      <c r="B725" s="3">
        <v>43357</v>
      </c>
      <c r="C725" s="4">
        <v>3.34</v>
      </c>
      <c r="D725" s="4">
        <v>2.6880999999999999</v>
      </c>
      <c r="E725" s="4">
        <v>7235</v>
      </c>
      <c r="F725" s="4"/>
      <c r="G725" s="4"/>
      <c r="H725" s="5">
        <f t="shared" si="11"/>
        <v>-2.904099692974536E-2</v>
      </c>
    </row>
    <row r="726" spans="1:8" ht="13.5" x14ac:dyDescent="0.25">
      <c r="A726" s="1"/>
      <c r="B726" s="3">
        <v>43360</v>
      </c>
      <c r="C726" s="4">
        <v>3.33</v>
      </c>
      <c r="D726" s="4">
        <v>2.68</v>
      </c>
      <c r="E726" s="4">
        <v>3098</v>
      </c>
      <c r="F726" s="4"/>
      <c r="G726" s="4"/>
      <c r="H726" s="5">
        <f t="shared" si="11"/>
        <v>-3.0132807559241749E-3</v>
      </c>
    </row>
    <row r="727" spans="1:8" ht="13.5" x14ac:dyDescent="0.25">
      <c r="A727" s="1"/>
      <c r="B727" s="3">
        <v>43361</v>
      </c>
      <c r="C727" s="4">
        <v>3.37</v>
      </c>
      <c r="D727" s="4">
        <v>2.7122000000000002</v>
      </c>
      <c r="E727" s="4">
        <v>3437</v>
      </c>
      <c r="F727" s="4"/>
      <c r="G727" s="4"/>
      <c r="H727" s="5">
        <f t="shared" si="11"/>
        <v>1.201492537313433E-2</v>
      </c>
    </row>
    <row r="728" spans="1:8" ht="13.5" x14ac:dyDescent="0.25">
      <c r="A728" s="1"/>
      <c r="B728" s="3">
        <v>43362</v>
      </c>
      <c r="C728" s="4">
        <v>3.57</v>
      </c>
      <c r="D728" s="4">
        <v>2.8732000000000002</v>
      </c>
      <c r="E728" s="4">
        <v>22574</v>
      </c>
      <c r="F728" s="4"/>
      <c r="G728" s="4"/>
      <c r="H728" s="5">
        <f t="shared" si="11"/>
        <v>5.9361404026251757E-2</v>
      </c>
    </row>
    <row r="729" spans="1:8" ht="13.5" x14ac:dyDescent="0.25">
      <c r="A729" s="1"/>
      <c r="B729" s="3">
        <v>43363</v>
      </c>
      <c r="C729" s="4">
        <v>3.56</v>
      </c>
      <c r="D729" s="4">
        <v>2.8651</v>
      </c>
      <c r="E729" s="4">
        <v>2145</v>
      </c>
      <c r="F729" s="4"/>
      <c r="G729" s="4"/>
      <c r="H729" s="5">
        <f t="shared" si="11"/>
        <v>-2.819156341361624E-3</v>
      </c>
    </row>
    <row r="730" spans="1:8" ht="13.5" x14ac:dyDescent="0.25">
      <c r="A730" s="1"/>
      <c r="B730" s="3">
        <v>43364</v>
      </c>
      <c r="C730" s="4">
        <v>3.5</v>
      </c>
      <c r="D730" s="4">
        <v>2.8168000000000002</v>
      </c>
      <c r="E730" s="4">
        <v>244</v>
      </c>
      <c r="F730" s="4"/>
      <c r="G730" s="4"/>
      <c r="H730" s="5">
        <f t="shared" si="11"/>
        <v>-1.6858050329831346E-2</v>
      </c>
    </row>
    <row r="731" spans="1:8" ht="13.5" x14ac:dyDescent="0.25">
      <c r="A731" s="1"/>
      <c r="B731" s="3">
        <v>43367</v>
      </c>
      <c r="C731" s="4">
        <v>3.5</v>
      </c>
      <c r="D731" s="4">
        <v>2.8168000000000002</v>
      </c>
      <c r="E731" s="4">
        <v>40</v>
      </c>
      <c r="F731" s="4"/>
      <c r="G731" s="4"/>
      <c r="H731" s="5">
        <f t="shared" si="11"/>
        <v>0</v>
      </c>
    </row>
    <row r="732" spans="1:8" ht="13.5" x14ac:dyDescent="0.25">
      <c r="A732" s="1"/>
      <c r="B732" s="3">
        <v>43368</v>
      </c>
      <c r="C732" s="4">
        <v>3.5</v>
      </c>
      <c r="D732" s="4">
        <v>2.8168000000000002</v>
      </c>
      <c r="E732" s="4">
        <v>5778</v>
      </c>
      <c r="F732" s="4"/>
      <c r="G732" s="4"/>
      <c r="H732" s="5">
        <f t="shared" si="11"/>
        <v>0</v>
      </c>
    </row>
    <row r="733" spans="1:8" ht="13.5" x14ac:dyDescent="0.25">
      <c r="A733" s="1"/>
      <c r="B733" s="3">
        <v>43369</v>
      </c>
      <c r="C733" s="4">
        <v>3.41</v>
      </c>
      <c r="D733" s="4">
        <v>2.7444000000000002</v>
      </c>
      <c r="E733" s="4">
        <v>423</v>
      </c>
      <c r="F733" s="4"/>
      <c r="G733" s="4"/>
      <c r="H733" s="5">
        <f t="shared" si="11"/>
        <v>-2.5702925305310997E-2</v>
      </c>
    </row>
    <row r="734" spans="1:8" ht="13.5" x14ac:dyDescent="0.25">
      <c r="A734" s="1"/>
      <c r="B734" s="3">
        <v>43370</v>
      </c>
      <c r="C734" s="4">
        <v>3.55</v>
      </c>
      <c r="D734" s="4">
        <v>2.8571</v>
      </c>
      <c r="E734" s="4">
        <v>5941</v>
      </c>
      <c r="F734" s="4"/>
      <c r="G734" s="4"/>
      <c r="H734" s="5">
        <f t="shared" si="11"/>
        <v>4.1065442355341715E-2</v>
      </c>
    </row>
    <row r="735" spans="1:8" ht="13.5" x14ac:dyDescent="0.25">
      <c r="A735" s="1"/>
      <c r="B735" s="3">
        <v>43371</v>
      </c>
      <c r="C735" s="4">
        <v>3.64</v>
      </c>
      <c r="D735" s="4">
        <v>2.9295</v>
      </c>
      <c r="E735" s="4">
        <v>17540</v>
      </c>
      <c r="F735" s="4"/>
      <c r="G735" s="4"/>
      <c r="H735" s="5">
        <f t="shared" si="11"/>
        <v>2.5340380105701592E-2</v>
      </c>
    </row>
    <row r="736" spans="1:8" ht="13.5" x14ac:dyDescent="0.25">
      <c r="A736" s="1"/>
      <c r="B736" s="3">
        <v>43374</v>
      </c>
      <c r="C736" s="4">
        <v>3.53</v>
      </c>
      <c r="D736" s="4">
        <v>2.8410000000000002</v>
      </c>
      <c r="E736" s="4">
        <v>9267</v>
      </c>
      <c r="F736" s="4"/>
      <c r="G736" s="4"/>
      <c r="H736" s="5">
        <f t="shared" si="11"/>
        <v>-3.0209933435739821E-2</v>
      </c>
    </row>
    <row r="737" spans="1:8" ht="13.5" x14ac:dyDescent="0.25">
      <c r="A737" s="1"/>
      <c r="B737" s="3">
        <v>43375</v>
      </c>
      <c r="C737" s="4">
        <v>3.44</v>
      </c>
      <c r="D737" s="4">
        <v>2.7685</v>
      </c>
      <c r="E737" s="4">
        <v>13702</v>
      </c>
      <c r="F737" s="4"/>
      <c r="G737" s="4"/>
      <c r="H737" s="5">
        <f t="shared" si="11"/>
        <v>-2.5519183386131725E-2</v>
      </c>
    </row>
    <row r="738" spans="1:8" ht="13.5" x14ac:dyDescent="0.25">
      <c r="A738" s="1"/>
      <c r="B738" s="3">
        <v>43376</v>
      </c>
      <c r="C738" s="4">
        <v>3.38</v>
      </c>
      <c r="D738" s="4">
        <v>2.7202999999999999</v>
      </c>
      <c r="E738" s="4">
        <v>5287</v>
      </c>
      <c r="F738" s="4"/>
      <c r="G738" s="4"/>
      <c r="H738" s="5">
        <f t="shared" si="11"/>
        <v>-1.7410149900668241E-2</v>
      </c>
    </row>
    <row r="739" spans="1:8" ht="13.5" x14ac:dyDescent="0.25">
      <c r="A739" s="1"/>
      <c r="B739" s="3">
        <v>43377</v>
      </c>
      <c r="C739" s="4">
        <v>3.38</v>
      </c>
      <c r="D739" s="4">
        <v>2.7202999999999999</v>
      </c>
      <c r="E739" s="4">
        <v>11835</v>
      </c>
      <c r="F739" s="4"/>
      <c r="G739" s="4"/>
      <c r="H739" s="5">
        <f t="shared" si="11"/>
        <v>0</v>
      </c>
    </row>
    <row r="740" spans="1:8" ht="13.5" x14ac:dyDescent="0.25">
      <c r="A740" s="1"/>
      <c r="B740" s="3">
        <v>43378</v>
      </c>
      <c r="C740" s="4">
        <v>3.39</v>
      </c>
      <c r="D740" s="4">
        <v>2.7282999999999999</v>
      </c>
      <c r="E740" s="4">
        <v>8311</v>
      </c>
      <c r="F740" s="4"/>
      <c r="G740" s="4"/>
      <c r="H740" s="5">
        <f t="shared" si="11"/>
        <v>2.9408521118994254E-3</v>
      </c>
    </row>
    <row r="741" spans="1:8" ht="13.5" x14ac:dyDescent="0.25">
      <c r="A741" s="1"/>
      <c r="B741" s="3">
        <v>43381</v>
      </c>
      <c r="C741" s="4">
        <v>3.4</v>
      </c>
      <c r="D741" s="4">
        <v>2.7363</v>
      </c>
      <c r="E741" s="4">
        <v>4139</v>
      </c>
      <c r="F741" s="4"/>
      <c r="G741" s="4"/>
      <c r="H741" s="5">
        <f t="shared" si="11"/>
        <v>2.9322288604625617E-3</v>
      </c>
    </row>
    <row r="742" spans="1:8" ht="13.5" x14ac:dyDescent="0.25">
      <c r="A742" s="1"/>
      <c r="B742" s="3">
        <v>43382</v>
      </c>
      <c r="C742" s="4">
        <v>3.3</v>
      </c>
      <c r="D742" s="4">
        <v>2.6558999999999999</v>
      </c>
      <c r="E742" s="4">
        <v>14013</v>
      </c>
      <c r="F742" s="4"/>
      <c r="G742" s="4"/>
      <c r="H742" s="5">
        <f t="shared" si="11"/>
        <v>-2.938274312027191E-2</v>
      </c>
    </row>
    <row r="743" spans="1:8" ht="13.5" x14ac:dyDescent="0.25">
      <c r="A743" s="1"/>
      <c r="B743" s="3">
        <v>43383</v>
      </c>
      <c r="C743" s="4">
        <v>3.18</v>
      </c>
      <c r="D743" s="4">
        <v>2.5592999999999999</v>
      </c>
      <c r="E743" s="4">
        <v>7364</v>
      </c>
      <c r="F743" s="4"/>
      <c r="G743" s="4"/>
      <c r="H743" s="5">
        <f t="shared" si="11"/>
        <v>-3.637185134982493E-2</v>
      </c>
    </row>
    <row r="744" spans="1:8" ht="13.5" x14ac:dyDescent="0.25">
      <c r="A744" s="1"/>
      <c r="B744" s="3">
        <v>43384</v>
      </c>
      <c r="C744" s="4">
        <v>3.12</v>
      </c>
      <c r="D744" s="4">
        <v>2.5110000000000001</v>
      </c>
      <c r="E744" s="4">
        <v>5264</v>
      </c>
      <c r="F744" s="4"/>
      <c r="G744" s="4"/>
      <c r="H744" s="5">
        <f t="shared" si="11"/>
        <v>-1.8872347907630909E-2</v>
      </c>
    </row>
    <row r="745" spans="1:8" ht="13.5" x14ac:dyDescent="0.25">
      <c r="A745" s="1"/>
      <c r="B745" s="3">
        <v>43385</v>
      </c>
      <c r="C745" s="4">
        <v>3.19</v>
      </c>
      <c r="D745" s="4">
        <v>2.5672999999999999</v>
      </c>
      <c r="E745" s="4">
        <v>4482</v>
      </c>
      <c r="F745" s="4"/>
      <c r="G745" s="4"/>
      <c r="H745" s="5">
        <f t="shared" si="11"/>
        <v>2.2421346077259974E-2</v>
      </c>
    </row>
    <row r="746" spans="1:8" ht="13.5" x14ac:dyDescent="0.25">
      <c r="A746" s="1"/>
      <c r="B746" s="3">
        <v>43389</v>
      </c>
      <c r="C746" s="4">
        <v>3.19</v>
      </c>
      <c r="D746" s="4">
        <v>2.5672999999999999</v>
      </c>
      <c r="E746" s="4">
        <v>1454</v>
      </c>
      <c r="F746" s="4"/>
      <c r="G746" s="4"/>
      <c r="H746" s="5">
        <f t="shared" si="11"/>
        <v>0</v>
      </c>
    </row>
    <row r="747" spans="1:8" ht="13.5" x14ac:dyDescent="0.25">
      <c r="A747" s="1"/>
      <c r="B747" s="3">
        <v>43390</v>
      </c>
      <c r="C747" s="4">
        <v>3.25</v>
      </c>
      <c r="D747" s="4">
        <v>2.6156000000000001</v>
      </c>
      <c r="E747" s="4">
        <v>1270</v>
      </c>
      <c r="F747" s="4"/>
      <c r="G747" s="4"/>
      <c r="H747" s="5">
        <f t="shared" si="11"/>
        <v>1.881353951622336E-2</v>
      </c>
    </row>
    <row r="748" spans="1:8" ht="13.5" x14ac:dyDescent="0.25">
      <c r="A748" s="1"/>
      <c r="B748" s="3">
        <v>43391</v>
      </c>
      <c r="C748" s="4">
        <v>3.25</v>
      </c>
      <c r="D748" s="4">
        <v>2.6156000000000001</v>
      </c>
      <c r="E748" s="4">
        <v>4248</v>
      </c>
      <c r="F748" s="4"/>
      <c r="G748" s="4"/>
      <c r="H748" s="5">
        <f t="shared" si="11"/>
        <v>0</v>
      </c>
    </row>
    <row r="749" spans="1:8" ht="13.5" x14ac:dyDescent="0.25">
      <c r="A749" s="1"/>
      <c r="B749" s="3">
        <v>43392</v>
      </c>
      <c r="C749" s="4">
        <v>3.34</v>
      </c>
      <c r="D749" s="4">
        <v>2.6880999999999999</v>
      </c>
      <c r="E749" s="4">
        <v>4263</v>
      </c>
      <c r="F749" s="4"/>
      <c r="G749" s="4"/>
      <c r="H749" s="5">
        <f t="shared" si="11"/>
        <v>2.7718305551307457E-2</v>
      </c>
    </row>
    <row r="750" spans="1:8" ht="13.5" x14ac:dyDescent="0.25">
      <c r="A750" s="1"/>
      <c r="B750" s="3">
        <v>43395</v>
      </c>
      <c r="C750" s="4">
        <v>3.35</v>
      </c>
      <c r="D750" s="4">
        <v>2.6960999999999999</v>
      </c>
      <c r="E750" s="4">
        <v>571</v>
      </c>
      <c r="F750" s="4"/>
      <c r="G750" s="4"/>
      <c r="H750" s="5">
        <f t="shared" si="11"/>
        <v>2.9760797589375421E-3</v>
      </c>
    </row>
    <row r="751" spans="1:8" ht="13.5" x14ac:dyDescent="0.25">
      <c r="A751" s="1"/>
      <c r="B751" s="3">
        <v>43396</v>
      </c>
      <c r="C751" s="4">
        <v>3.38</v>
      </c>
      <c r="D751" s="4">
        <v>2.7202999999999999</v>
      </c>
      <c r="E751" s="4">
        <v>1843</v>
      </c>
      <c r="F751" s="4"/>
      <c r="G751" s="4"/>
      <c r="H751" s="5">
        <f t="shared" si="11"/>
        <v>8.9759281925744592E-3</v>
      </c>
    </row>
    <row r="752" spans="1:8" ht="13.5" x14ac:dyDescent="0.25">
      <c r="A752" s="1"/>
      <c r="B752" s="3">
        <v>43397</v>
      </c>
      <c r="C752" s="4">
        <v>3.35</v>
      </c>
      <c r="D752" s="4">
        <v>2.6960999999999999</v>
      </c>
      <c r="E752" s="4">
        <v>503</v>
      </c>
      <c r="F752" s="4"/>
      <c r="G752" s="4"/>
      <c r="H752" s="5">
        <f t="shared" si="11"/>
        <v>-8.8960776384957533E-3</v>
      </c>
    </row>
    <row r="753" spans="1:8" ht="13.5" x14ac:dyDescent="0.25">
      <c r="A753" s="1"/>
      <c r="B753" s="3">
        <v>43398</v>
      </c>
      <c r="C753" s="4">
        <v>3.35</v>
      </c>
      <c r="D753" s="4">
        <v>2.6960999999999999</v>
      </c>
      <c r="E753" s="4">
        <v>0</v>
      </c>
      <c r="F753" s="4"/>
      <c r="G753" s="4"/>
      <c r="H753" s="5">
        <f t="shared" si="11"/>
        <v>0</v>
      </c>
    </row>
    <row r="754" spans="1:8" ht="13.5" x14ac:dyDescent="0.25">
      <c r="A754" s="1"/>
      <c r="B754" s="3">
        <v>43399</v>
      </c>
      <c r="C754" s="4">
        <v>3.28</v>
      </c>
      <c r="D754" s="4">
        <v>2.6398000000000001</v>
      </c>
      <c r="E754" s="4">
        <v>3991</v>
      </c>
      <c r="F754" s="4"/>
      <c r="G754" s="4"/>
      <c r="H754" s="5">
        <f t="shared" si="11"/>
        <v>-2.0882014762063646E-2</v>
      </c>
    </row>
    <row r="755" spans="1:8" ht="13.5" x14ac:dyDescent="0.25">
      <c r="A755" s="1"/>
      <c r="B755" s="3">
        <v>43402</v>
      </c>
      <c r="C755" s="4">
        <v>3.18</v>
      </c>
      <c r="D755" s="4">
        <v>2.5592999999999999</v>
      </c>
      <c r="E755" s="4">
        <v>6610</v>
      </c>
      <c r="F755" s="4"/>
      <c r="G755" s="4"/>
      <c r="H755" s="5">
        <f t="shared" si="11"/>
        <v>-3.0494734449579602E-2</v>
      </c>
    </row>
    <row r="756" spans="1:8" ht="13.5" x14ac:dyDescent="0.25">
      <c r="A756" s="1"/>
      <c r="B756" s="3">
        <v>43403</v>
      </c>
      <c r="C756" s="4">
        <v>3.2</v>
      </c>
      <c r="D756" s="4">
        <v>2.5754000000000001</v>
      </c>
      <c r="E756" s="4">
        <v>1677</v>
      </c>
      <c r="F756" s="4"/>
      <c r="G756" s="4"/>
      <c r="H756" s="5">
        <f t="shared" si="11"/>
        <v>6.2907826358770862E-3</v>
      </c>
    </row>
    <row r="757" spans="1:8" ht="13.5" x14ac:dyDescent="0.25">
      <c r="A757" s="1"/>
      <c r="B757" s="3">
        <v>43404</v>
      </c>
      <c r="C757" s="4">
        <v>3.38</v>
      </c>
      <c r="D757" s="4">
        <v>2.7202999999999999</v>
      </c>
      <c r="E757" s="4">
        <v>13750</v>
      </c>
      <c r="F757" s="4"/>
      <c r="G757" s="4"/>
      <c r="H757" s="5">
        <f t="shared" si="11"/>
        <v>5.6263104760425488E-2</v>
      </c>
    </row>
    <row r="758" spans="1:8" ht="13.5" x14ac:dyDescent="0.25">
      <c r="A758" s="1"/>
      <c r="B758" s="3">
        <v>43405</v>
      </c>
      <c r="C758" s="4">
        <v>3.37</v>
      </c>
      <c r="D758" s="4">
        <v>2.7122000000000002</v>
      </c>
      <c r="E758" s="4">
        <v>3079</v>
      </c>
      <c r="F758" s="4"/>
      <c r="G758" s="4"/>
      <c r="H758" s="5">
        <f t="shared" si="11"/>
        <v>-2.9776127632980824E-3</v>
      </c>
    </row>
    <row r="759" spans="1:8" ht="13.5" x14ac:dyDescent="0.25">
      <c r="A759" s="1"/>
      <c r="B759" s="3">
        <v>43406</v>
      </c>
      <c r="C759" s="4">
        <v>3.4</v>
      </c>
      <c r="D759" s="4">
        <v>2.7363</v>
      </c>
      <c r="E759" s="4">
        <v>1651</v>
      </c>
      <c r="F759" s="4"/>
      <c r="G759" s="4"/>
      <c r="H759" s="5">
        <f t="shared" si="11"/>
        <v>8.8857753852959916E-3</v>
      </c>
    </row>
    <row r="760" spans="1:8" ht="13.5" x14ac:dyDescent="0.25">
      <c r="A760" s="1"/>
      <c r="B760" s="3">
        <v>43409</v>
      </c>
      <c r="C760" s="4">
        <v>3.35</v>
      </c>
      <c r="D760" s="4">
        <v>2.6960999999999999</v>
      </c>
      <c r="E760" s="4">
        <v>4</v>
      </c>
      <c r="F760" s="4"/>
      <c r="G760" s="4"/>
      <c r="H760" s="5">
        <f t="shared" si="11"/>
        <v>-1.4691371560135955E-2</v>
      </c>
    </row>
    <row r="761" spans="1:8" ht="13.5" x14ac:dyDescent="0.25">
      <c r="A761" s="1"/>
      <c r="B761" s="3">
        <v>43410</v>
      </c>
      <c r="C761" s="4">
        <v>3.39</v>
      </c>
      <c r="D761" s="4">
        <v>2.7282999999999999</v>
      </c>
      <c r="E761" s="4">
        <v>3913</v>
      </c>
      <c r="F761" s="4"/>
      <c r="G761" s="4"/>
      <c r="H761" s="5">
        <f t="shared" si="11"/>
        <v>1.1943177181855275E-2</v>
      </c>
    </row>
    <row r="762" spans="1:8" ht="13.5" x14ac:dyDescent="0.25">
      <c r="A762" s="1"/>
      <c r="B762" s="3">
        <v>43411</v>
      </c>
      <c r="C762" s="4">
        <v>3.39</v>
      </c>
      <c r="D762" s="4">
        <v>2.7282999999999999</v>
      </c>
      <c r="E762" s="4">
        <v>363</v>
      </c>
      <c r="F762" s="4"/>
      <c r="G762" s="4"/>
      <c r="H762" s="5">
        <f t="shared" si="11"/>
        <v>0</v>
      </c>
    </row>
    <row r="763" spans="1:8" ht="13.5" x14ac:dyDescent="0.25">
      <c r="A763" s="1"/>
      <c r="B763" s="3">
        <v>43412</v>
      </c>
      <c r="C763" s="4">
        <v>3.36</v>
      </c>
      <c r="D763" s="4">
        <v>2.7042000000000002</v>
      </c>
      <c r="E763" s="4">
        <v>1774</v>
      </c>
      <c r="F763" s="4"/>
      <c r="G763" s="4"/>
      <c r="H763" s="5">
        <f t="shared" si="11"/>
        <v>-8.8333394421433818E-3</v>
      </c>
    </row>
    <row r="764" spans="1:8" ht="13.5" x14ac:dyDescent="0.25">
      <c r="A764" s="1"/>
      <c r="B764" s="3">
        <v>43413</v>
      </c>
      <c r="C764" s="4">
        <v>3.35</v>
      </c>
      <c r="D764" s="4">
        <v>2.6960999999999999</v>
      </c>
      <c r="E764" s="4">
        <v>32258</v>
      </c>
      <c r="F764" s="4"/>
      <c r="G764" s="4"/>
      <c r="H764" s="5">
        <f t="shared" si="11"/>
        <v>-2.9953405813180302E-3</v>
      </c>
    </row>
    <row r="765" spans="1:8" ht="13.5" x14ac:dyDescent="0.25">
      <c r="A765" s="1"/>
      <c r="B765" s="3">
        <v>43416</v>
      </c>
      <c r="C765" s="4">
        <v>3.32</v>
      </c>
      <c r="D765" s="4">
        <v>2.6720000000000002</v>
      </c>
      <c r="E765" s="4">
        <v>1507</v>
      </c>
      <c r="F765" s="4"/>
      <c r="G765" s="4"/>
      <c r="H765" s="5">
        <f t="shared" si="11"/>
        <v>-8.9388375802083708E-3</v>
      </c>
    </row>
    <row r="766" spans="1:8" ht="13.5" x14ac:dyDescent="0.25">
      <c r="A766" s="1"/>
      <c r="B766" s="3">
        <v>43417</v>
      </c>
      <c r="C766" s="4">
        <v>3.29</v>
      </c>
      <c r="D766" s="4">
        <v>2.6478000000000002</v>
      </c>
      <c r="E766" s="4">
        <v>411</v>
      </c>
      <c r="F766" s="4"/>
      <c r="G766" s="4"/>
      <c r="H766" s="5">
        <f t="shared" si="11"/>
        <v>-9.0568862275449101E-3</v>
      </c>
    </row>
    <row r="767" spans="1:8" ht="13.5" x14ac:dyDescent="0.25">
      <c r="A767" s="1"/>
      <c r="B767" s="3">
        <v>43418</v>
      </c>
      <c r="C767" s="4">
        <v>3.29</v>
      </c>
      <c r="D767" s="4">
        <v>2.6478000000000002</v>
      </c>
      <c r="E767" s="4">
        <v>1608</v>
      </c>
      <c r="F767" s="4"/>
      <c r="G767" s="4"/>
      <c r="H767" s="5">
        <f t="shared" si="11"/>
        <v>0</v>
      </c>
    </row>
    <row r="768" spans="1:8" ht="13.5" x14ac:dyDescent="0.25">
      <c r="A768" s="1"/>
      <c r="B768" s="3">
        <v>43419</v>
      </c>
      <c r="C768" s="4">
        <v>3.3</v>
      </c>
      <c r="D768" s="4">
        <v>2.6558999999999999</v>
      </c>
      <c r="E768" s="4">
        <v>26493</v>
      </c>
      <c r="F768" s="4"/>
      <c r="G768" s="4"/>
      <c r="H768" s="5">
        <f t="shared" si="11"/>
        <v>3.0591434398367602E-3</v>
      </c>
    </row>
    <row r="769" spans="1:8" ht="13.5" x14ac:dyDescent="0.25">
      <c r="A769" s="1"/>
      <c r="B769" s="3">
        <v>43420</v>
      </c>
      <c r="C769" s="4">
        <v>3.35</v>
      </c>
      <c r="D769" s="4">
        <v>2.6960999999999999</v>
      </c>
      <c r="E769" s="4">
        <v>39728</v>
      </c>
      <c r="F769" s="4"/>
      <c r="G769" s="4"/>
      <c r="H769" s="5">
        <f t="shared" si="11"/>
        <v>1.5136112052411617E-2</v>
      </c>
    </row>
    <row r="770" spans="1:8" ht="13.5" x14ac:dyDescent="0.25">
      <c r="A770" s="1"/>
      <c r="B770" s="3">
        <v>43423</v>
      </c>
      <c r="C770" s="4">
        <v>3.25</v>
      </c>
      <c r="D770" s="4">
        <v>2.6156000000000001</v>
      </c>
      <c r="E770" s="4">
        <v>3476</v>
      </c>
      <c r="F770" s="4"/>
      <c r="G770" s="4"/>
      <c r="H770" s="5">
        <f t="shared" si="11"/>
        <v>-2.9857942954638107E-2</v>
      </c>
    </row>
    <row r="771" spans="1:8" ht="13.5" x14ac:dyDescent="0.25">
      <c r="A771" s="1"/>
      <c r="B771" s="3">
        <v>43425</v>
      </c>
      <c r="C771" s="4">
        <v>3.22</v>
      </c>
      <c r="D771" s="4">
        <v>2.5914999999999999</v>
      </c>
      <c r="E771" s="4">
        <v>7806</v>
      </c>
      <c r="F771" s="4"/>
      <c r="G771" s="4"/>
      <c r="H771" s="5">
        <f t="shared" si="11"/>
        <v>-9.2139470867105937E-3</v>
      </c>
    </row>
    <row r="772" spans="1:8" ht="13.5" x14ac:dyDescent="0.25">
      <c r="A772" s="1"/>
      <c r="B772" s="3">
        <v>43426</v>
      </c>
      <c r="C772" s="4">
        <v>3.21</v>
      </c>
      <c r="D772" s="4">
        <v>2.5834000000000001</v>
      </c>
      <c r="E772" s="4">
        <v>2810</v>
      </c>
      <c r="F772" s="4"/>
      <c r="G772" s="4"/>
      <c r="H772" s="5">
        <f t="shared" si="11"/>
        <v>-3.1256029326643931E-3</v>
      </c>
    </row>
    <row r="773" spans="1:8" ht="13.5" x14ac:dyDescent="0.25">
      <c r="A773" s="1"/>
      <c r="B773" s="3">
        <v>43427</v>
      </c>
      <c r="C773" s="4">
        <v>3.26</v>
      </c>
      <c r="D773" s="4">
        <v>2.6236999999999999</v>
      </c>
      <c r="E773" s="4">
        <v>36847</v>
      </c>
      <c r="F773" s="4"/>
      <c r="G773" s="4"/>
      <c r="H773" s="5">
        <f t="shared" si="11"/>
        <v>1.5599597429743662E-2</v>
      </c>
    </row>
    <row r="774" spans="1:8" ht="13.5" x14ac:dyDescent="0.25">
      <c r="A774" s="1"/>
      <c r="B774" s="3">
        <v>43430</v>
      </c>
      <c r="C774" s="4">
        <v>3.19</v>
      </c>
      <c r="D774" s="4">
        <v>2.5672999999999999</v>
      </c>
      <c r="E774" s="4">
        <v>5000</v>
      </c>
      <c r="F774" s="4"/>
      <c r="G774" s="4"/>
      <c r="H774" s="5">
        <f t="shared" si="11"/>
        <v>-2.1496360102145829E-2</v>
      </c>
    </row>
    <row r="775" spans="1:8" ht="13.5" x14ac:dyDescent="0.25">
      <c r="A775" s="1"/>
      <c r="B775" s="3">
        <v>43431</v>
      </c>
      <c r="C775" s="4">
        <v>3.38</v>
      </c>
      <c r="D775" s="4">
        <v>2.7202999999999999</v>
      </c>
      <c r="E775" s="4">
        <v>62188</v>
      </c>
      <c r="F775" s="4"/>
      <c r="G775" s="4"/>
      <c r="H775" s="5">
        <f t="shared" ref="H775:H838" si="12">(D775-D774)/D774</f>
        <v>5.9595684181825273E-2</v>
      </c>
    </row>
    <row r="776" spans="1:8" ht="13.5" x14ac:dyDescent="0.25">
      <c r="A776" s="1"/>
      <c r="B776" s="3">
        <v>43432</v>
      </c>
      <c r="C776" s="4">
        <v>3.58</v>
      </c>
      <c r="D776" s="4">
        <v>2.8812000000000002</v>
      </c>
      <c r="E776" s="4">
        <v>47845</v>
      </c>
      <c r="F776" s="4"/>
      <c r="G776" s="4"/>
      <c r="H776" s="5">
        <f t="shared" si="12"/>
        <v>5.9147888100577244E-2</v>
      </c>
    </row>
    <row r="777" spans="1:8" ht="13.5" x14ac:dyDescent="0.25">
      <c r="A777" s="1"/>
      <c r="B777" s="3">
        <v>43433</v>
      </c>
      <c r="C777" s="4">
        <v>3.61</v>
      </c>
      <c r="D777" s="4">
        <v>2.9054000000000002</v>
      </c>
      <c r="E777" s="4">
        <v>73822</v>
      </c>
      <c r="F777" s="4"/>
      <c r="G777" s="4"/>
      <c r="H777" s="5">
        <f t="shared" si="12"/>
        <v>8.3992780785783691E-3</v>
      </c>
    </row>
    <row r="778" spans="1:8" ht="13.5" x14ac:dyDescent="0.25">
      <c r="A778" s="1"/>
      <c r="B778" s="3">
        <v>43434</v>
      </c>
      <c r="C778" s="4">
        <v>3.62</v>
      </c>
      <c r="D778" s="4">
        <v>2.9134000000000002</v>
      </c>
      <c r="E778" s="4">
        <v>36498</v>
      </c>
      <c r="F778" s="4"/>
      <c r="G778" s="4"/>
      <c r="H778" s="5">
        <f t="shared" si="12"/>
        <v>2.7534934948716208E-3</v>
      </c>
    </row>
    <row r="779" spans="1:8" ht="13.5" x14ac:dyDescent="0.25">
      <c r="A779" s="1"/>
      <c r="B779" s="3">
        <v>43437</v>
      </c>
      <c r="C779" s="4">
        <v>3.56</v>
      </c>
      <c r="D779" s="4">
        <v>2.8651</v>
      </c>
      <c r="E779" s="4">
        <v>25470</v>
      </c>
      <c r="F779" s="4"/>
      <c r="G779" s="4"/>
      <c r="H779" s="5">
        <f t="shared" si="12"/>
        <v>-1.6578567996155771E-2</v>
      </c>
    </row>
    <row r="780" spans="1:8" ht="13.5" x14ac:dyDescent="0.25">
      <c r="A780" s="1"/>
      <c r="B780" s="3">
        <v>43438</v>
      </c>
      <c r="C780" s="4">
        <v>3.45</v>
      </c>
      <c r="D780" s="4">
        <v>2.7766000000000002</v>
      </c>
      <c r="E780" s="4">
        <v>17461</v>
      </c>
      <c r="F780" s="4"/>
      <c r="G780" s="4"/>
      <c r="H780" s="5">
        <f t="shared" si="12"/>
        <v>-3.0888974206833897E-2</v>
      </c>
    </row>
    <row r="781" spans="1:8" ht="13.5" x14ac:dyDescent="0.25">
      <c r="A781" s="1"/>
      <c r="B781" s="3">
        <v>43439</v>
      </c>
      <c r="C781" s="4">
        <v>3.5</v>
      </c>
      <c r="D781" s="4">
        <v>2.8168000000000002</v>
      </c>
      <c r="E781" s="4">
        <v>18337</v>
      </c>
      <c r="F781" s="4"/>
      <c r="G781" s="4"/>
      <c r="H781" s="5">
        <f t="shared" si="12"/>
        <v>1.4478138730821872E-2</v>
      </c>
    </row>
    <row r="782" spans="1:8" ht="13.5" x14ac:dyDescent="0.25">
      <c r="A782" s="1"/>
      <c r="B782" s="3">
        <v>43440</v>
      </c>
      <c r="C782" s="4">
        <v>3.5</v>
      </c>
      <c r="D782" s="4">
        <v>2.8168000000000002</v>
      </c>
      <c r="E782" s="4">
        <v>11614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3.48</v>
      </c>
      <c r="D783" s="4">
        <v>2.8007</v>
      </c>
      <c r="E783" s="4">
        <v>939</v>
      </c>
      <c r="F783" s="4"/>
      <c r="G783" s="4"/>
      <c r="H783" s="5">
        <f t="shared" si="12"/>
        <v>-5.7157057654076346E-3</v>
      </c>
    </row>
    <row r="784" spans="1:8" ht="13.5" x14ac:dyDescent="0.25">
      <c r="A784" s="1"/>
      <c r="B784" s="3">
        <v>43444</v>
      </c>
      <c r="C784" s="4">
        <v>3.38</v>
      </c>
      <c r="D784" s="4">
        <v>2.7202999999999999</v>
      </c>
      <c r="E784" s="4">
        <v>13635</v>
      </c>
      <c r="F784" s="4"/>
      <c r="G784" s="4"/>
      <c r="H784" s="5">
        <f t="shared" si="12"/>
        <v>-2.8707108937051463E-2</v>
      </c>
    </row>
    <row r="785" spans="1:8" ht="13.5" x14ac:dyDescent="0.25">
      <c r="A785" s="1"/>
      <c r="B785" s="3">
        <v>43445</v>
      </c>
      <c r="C785" s="4">
        <v>3.58</v>
      </c>
      <c r="D785" s="4">
        <v>2.8812000000000002</v>
      </c>
      <c r="E785" s="4">
        <v>56945</v>
      </c>
      <c r="F785" s="4"/>
      <c r="G785" s="4"/>
      <c r="H785" s="5">
        <f t="shared" si="12"/>
        <v>5.9147888100577244E-2</v>
      </c>
    </row>
    <row r="786" spans="1:8" ht="13.5" x14ac:dyDescent="0.25">
      <c r="A786" s="1"/>
      <c r="B786" s="3">
        <v>43446</v>
      </c>
      <c r="C786" s="4">
        <v>3.79</v>
      </c>
      <c r="D786" s="4">
        <v>3.0501999999999998</v>
      </c>
      <c r="E786" s="4">
        <v>18898</v>
      </c>
      <c r="F786" s="4"/>
      <c r="G786" s="4"/>
      <c r="H786" s="5">
        <f t="shared" si="12"/>
        <v>5.8656115507427317E-2</v>
      </c>
    </row>
    <row r="787" spans="1:8" ht="13.5" x14ac:dyDescent="0.25">
      <c r="A787" s="1"/>
      <c r="B787" s="3">
        <v>43447</v>
      </c>
      <c r="C787" s="4">
        <v>4.0199999999999996</v>
      </c>
      <c r="D787" s="4">
        <v>3.2353000000000001</v>
      </c>
      <c r="E787" s="4">
        <v>98375</v>
      </c>
      <c r="F787" s="4"/>
      <c r="G787" s="4"/>
      <c r="H787" s="5">
        <f t="shared" si="12"/>
        <v>6.0684545275719717E-2</v>
      </c>
    </row>
    <row r="788" spans="1:8" ht="13.5" x14ac:dyDescent="0.25">
      <c r="A788" s="1"/>
      <c r="B788" s="3">
        <v>43448</v>
      </c>
      <c r="C788" s="4">
        <v>4.26</v>
      </c>
      <c r="D788" s="4">
        <v>3.4285000000000001</v>
      </c>
      <c r="E788" s="4">
        <v>24891</v>
      </c>
      <c r="F788" s="4"/>
      <c r="G788" s="4"/>
      <c r="H788" s="5">
        <f t="shared" si="12"/>
        <v>5.9716255061354445E-2</v>
      </c>
    </row>
    <row r="789" spans="1:8" ht="13.5" x14ac:dyDescent="0.25">
      <c r="A789" s="1"/>
      <c r="B789" s="3">
        <v>43451</v>
      </c>
      <c r="C789" s="4">
        <v>4.46</v>
      </c>
      <c r="D789" s="4">
        <v>3.5893999999999999</v>
      </c>
      <c r="E789" s="4">
        <v>90858</v>
      </c>
      <c r="F789" s="4"/>
      <c r="G789" s="4"/>
      <c r="H789" s="5">
        <f t="shared" si="12"/>
        <v>4.693014437800782E-2</v>
      </c>
    </row>
    <row r="790" spans="1:8" ht="13.5" x14ac:dyDescent="0.25">
      <c r="A790" s="1"/>
      <c r="B790" s="3">
        <v>43452</v>
      </c>
      <c r="C790" s="4">
        <v>4.68</v>
      </c>
      <c r="D790" s="4">
        <v>3.7665000000000002</v>
      </c>
      <c r="E790" s="4">
        <v>133869</v>
      </c>
      <c r="F790" s="4"/>
      <c r="G790" s="4"/>
      <c r="H790" s="5">
        <f t="shared" si="12"/>
        <v>4.9339722516298062E-2</v>
      </c>
    </row>
    <row r="791" spans="1:8" ht="13.5" x14ac:dyDescent="0.25">
      <c r="A791" s="1"/>
      <c r="B791" s="3">
        <v>43453</v>
      </c>
      <c r="C791" s="4">
        <v>4.8899999999999997</v>
      </c>
      <c r="D791" s="4">
        <v>3.9355000000000002</v>
      </c>
      <c r="E791" s="4">
        <v>218415</v>
      </c>
      <c r="F791" s="4"/>
      <c r="G791" s="4"/>
      <c r="H791" s="5">
        <f t="shared" si="12"/>
        <v>4.4869242001858496E-2</v>
      </c>
    </row>
    <row r="792" spans="1:8" ht="13.5" x14ac:dyDescent="0.25">
      <c r="A792" s="1"/>
      <c r="B792" s="3">
        <v>43454</v>
      </c>
      <c r="C792" s="4">
        <v>5.12</v>
      </c>
      <c r="D792" s="4">
        <v>4.1205999999999996</v>
      </c>
      <c r="E792" s="4">
        <v>170677</v>
      </c>
      <c r="F792" s="4"/>
      <c r="G792" s="4"/>
      <c r="H792" s="5">
        <f t="shared" si="12"/>
        <v>4.7033413797484276E-2</v>
      </c>
    </row>
    <row r="793" spans="1:8" ht="13.5" x14ac:dyDescent="0.25">
      <c r="A793" s="1"/>
      <c r="B793" s="3">
        <v>43455</v>
      </c>
      <c r="C793" s="4">
        <v>5.23</v>
      </c>
      <c r="D793" s="4">
        <v>4.2091000000000003</v>
      </c>
      <c r="E793" s="4">
        <v>96758</v>
      </c>
      <c r="F793" s="4"/>
      <c r="G793" s="4"/>
      <c r="H793" s="5">
        <f t="shared" si="12"/>
        <v>2.14774547396012E-2</v>
      </c>
    </row>
    <row r="794" spans="1:8" ht="13.5" x14ac:dyDescent="0.25">
      <c r="A794" s="1"/>
      <c r="B794" s="3">
        <v>43458</v>
      </c>
      <c r="C794" s="4">
        <v>5.4</v>
      </c>
      <c r="D794" s="4">
        <v>4.3460000000000001</v>
      </c>
      <c r="E794" s="4">
        <v>40066</v>
      </c>
      <c r="F794" s="4"/>
      <c r="G794" s="4"/>
      <c r="H794" s="5">
        <f t="shared" si="12"/>
        <v>3.252476776508037E-2</v>
      </c>
    </row>
    <row r="795" spans="1:8" ht="13.5" x14ac:dyDescent="0.25">
      <c r="A795" s="1"/>
      <c r="B795" s="3">
        <v>43459</v>
      </c>
      <c r="C795" s="4">
        <v>5.1100000000000003</v>
      </c>
      <c r="D795" s="4">
        <v>4.1125999999999996</v>
      </c>
      <c r="E795" s="4">
        <v>78268</v>
      </c>
      <c r="F795" s="4"/>
      <c r="G795" s="4"/>
      <c r="H795" s="5">
        <f t="shared" si="12"/>
        <v>-5.3704555913483776E-2</v>
      </c>
    </row>
    <row r="796" spans="1:8" ht="13.5" x14ac:dyDescent="0.25">
      <c r="A796" s="1"/>
      <c r="B796" s="3">
        <v>43460</v>
      </c>
      <c r="C796" s="4">
        <v>5.41</v>
      </c>
      <c r="D796" s="4">
        <v>4.3540000000000001</v>
      </c>
      <c r="E796" s="4">
        <v>102845</v>
      </c>
      <c r="F796" s="4"/>
      <c r="G796" s="4"/>
      <c r="H796" s="5">
        <f t="shared" si="12"/>
        <v>5.8697660847152784E-2</v>
      </c>
    </row>
    <row r="797" spans="1:8" ht="13.5" x14ac:dyDescent="0.25">
      <c r="A797" s="1"/>
      <c r="B797" s="3">
        <v>43461</v>
      </c>
      <c r="C797" s="4">
        <v>5.73</v>
      </c>
      <c r="D797" s="4">
        <v>4.6116000000000001</v>
      </c>
      <c r="E797" s="4">
        <v>36684</v>
      </c>
      <c r="F797" s="4"/>
      <c r="G797" s="4"/>
      <c r="H797" s="5">
        <f t="shared" si="12"/>
        <v>5.9163987138263679E-2</v>
      </c>
    </row>
    <row r="798" spans="1:8" ht="13.5" x14ac:dyDescent="0.25">
      <c r="A798" s="1"/>
      <c r="B798" s="3">
        <v>43462</v>
      </c>
      <c r="C798" s="4">
        <v>5.75</v>
      </c>
      <c r="D798" s="4">
        <v>4.6276000000000002</v>
      </c>
      <c r="E798" s="4">
        <v>83571</v>
      </c>
      <c r="F798" s="4"/>
      <c r="G798" s="4"/>
      <c r="H798" s="5">
        <f t="shared" si="12"/>
        <v>3.4695116662329809E-3</v>
      </c>
    </row>
    <row r="799" spans="1:8" ht="13.5" x14ac:dyDescent="0.25">
      <c r="A799" s="1"/>
      <c r="B799" s="3">
        <v>43465</v>
      </c>
      <c r="C799" s="4">
        <v>5.74</v>
      </c>
      <c r="D799" s="4">
        <v>4.6196000000000002</v>
      </c>
      <c r="E799" s="4">
        <v>10676</v>
      </c>
      <c r="F799" s="4"/>
      <c r="G799" s="4"/>
      <c r="H799" s="5">
        <f t="shared" si="12"/>
        <v>-1.7287578874578631E-3</v>
      </c>
    </row>
    <row r="800" spans="1:8" ht="13.5" x14ac:dyDescent="0.25">
      <c r="A800" s="1"/>
      <c r="B800" s="3">
        <v>43467</v>
      </c>
      <c r="C800" s="4">
        <v>5.82</v>
      </c>
      <c r="D800" s="4">
        <v>4.6840000000000002</v>
      </c>
      <c r="E800" s="4">
        <v>13464</v>
      </c>
      <c r="F800" s="4"/>
      <c r="G800" s="4"/>
      <c r="H800" s="5">
        <f t="shared" si="12"/>
        <v>1.3940600917828385E-2</v>
      </c>
    </row>
    <row r="801" spans="1:8" ht="13.5" x14ac:dyDescent="0.25">
      <c r="A801" s="1"/>
      <c r="B801" s="3">
        <v>43468</v>
      </c>
      <c r="C801" s="4">
        <v>5.75</v>
      </c>
      <c r="D801" s="4">
        <v>4.6276000000000002</v>
      </c>
      <c r="E801" s="4">
        <v>15651</v>
      </c>
      <c r="F801" s="4"/>
      <c r="G801" s="4"/>
      <c r="H801" s="5">
        <f t="shared" si="12"/>
        <v>-1.2040990606319387E-2</v>
      </c>
    </row>
    <row r="802" spans="1:8" ht="13.5" x14ac:dyDescent="0.25">
      <c r="A802" s="1"/>
      <c r="B802" s="3">
        <v>43469</v>
      </c>
      <c r="C802" s="4">
        <v>5.58</v>
      </c>
      <c r="D802" s="4">
        <v>4.4908000000000001</v>
      </c>
      <c r="E802" s="4">
        <v>30897</v>
      </c>
      <c r="F802" s="4"/>
      <c r="G802" s="4"/>
      <c r="H802" s="5">
        <f t="shared" si="12"/>
        <v>-2.9561759875529437E-2</v>
      </c>
    </row>
    <row r="803" spans="1:8" ht="13.5" x14ac:dyDescent="0.25">
      <c r="A803" s="1"/>
      <c r="B803" s="3">
        <v>43472</v>
      </c>
      <c r="C803" s="4">
        <v>5.9</v>
      </c>
      <c r="D803" s="4">
        <v>4.7484000000000002</v>
      </c>
      <c r="E803" s="4">
        <v>71732</v>
      </c>
      <c r="F803" s="4"/>
      <c r="G803" s="4"/>
      <c r="H803" s="5">
        <f t="shared" si="12"/>
        <v>5.7361717288679087E-2</v>
      </c>
    </row>
    <row r="804" spans="1:8" ht="13.5" x14ac:dyDescent="0.25">
      <c r="A804" s="1"/>
      <c r="B804" s="3">
        <v>43473</v>
      </c>
      <c r="C804" s="4">
        <v>5.81</v>
      </c>
      <c r="D804" s="4">
        <v>4.6759000000000004</v>
      </c>
      <c r="E804" s="4">
        <v>41227</v>
      </c>
      <c r="F804" s="4"/>
      <c r="G804" s="4"/>
      <c r="H804" s="5">
        <f t="shared" si="12"/>
        <v>-1.52683009013562E-2</v>
      </c>
    </row>
    <row r="805" spans="1:8" ht="13.5" x14ac:dyDescent="0.25">
      <c r="A805" s="1"/>
      <c r="B805" s="3">
        <v>43474</v>
      </c>
      <c r="C805" s="4">
        <v>5.85</v>
      </c>
      <c r="D805" s="4">
        <v>4.7081</v>
      </c>
      <c r="E805" s="4">
        <v>5778</v>
      </c>
      <c r="F805" s="4"/>
      <c r="G805" s="4"/>
      <c r="H805" s="5">
        <f t="shared" si="12"/>
        <v>6.8863748155434373E-3</v>
      </c>
    </row>
    <row r="806" spans="1:8" ht="13.5" x14ac:dyDescent="0.25">
      <c r="A806" s="1"/>
      <c r="B806" s="3">
        <v>43475</v>
      </c>
      <c r="C806" s="4">
        <v>6</v>
      </c>
      <c r="D806" s="4">
        <v>4.8288000000000002</v>
      </c>
      <c r="E806" s="4">
        <v>47629</v>
      </c>
      <c r="F806" s="4"/>
      <c r="G806" s="4"/>
      <c r="H806" s="5">
        <f t="shared" si="12"/>
        <v>2.5636668719865818E-2</v>
      </c>
    </row>
    <row r="807" spans="1:8" ht="13.5" x14ac:dyDescent="0.25">
      <c r="A807" s="1"/>
      <c r="B807" s="3">
        <v>43476</v>
      </c>
      <c r="C807" s="4">
        <v>6.3</v>
      </c>
      <c r="D807" s="4">
        <v>5.0702999999999996</v>
      </c>
      <c r="E807" s="4">
        <v>23834</v>
      </c>
      <c r="F807" s="4"/>
      <c r="G807" s="4"/>
      <c r="H807" s="5">
        <f t="shared" si="12"/>
        <v>5.0012425447315975E-2</v>
      </c>
    </row>
    <row r="808" spans="1:8" ht="13.5" x14ac:dyDescent="0.25">
      <c r="A808" s="1"/>
      <c r="B808" s="3">
        <v>43480</v>
      </c>
      <c r="C808" s="4">
        <v>6.61</v>
      </c>
      <c r="D808" s="4">
        <v>5.3197999999999999</v>
      </c>
      <c r="E808" s="4">
        <v>86577</v>
      </c>
      <c r="F808" s="4"/>
      <c r="G808" s="4"/>
      <c r="H808" s="5">
        <f t="shared" si="12"/>
        <v>4.9208133641007491E-2</v>
      </c>
    </row>
    <row r="809" spans="1:8" ht="13.5" x14ac:dyDescent="0.25">
      <c r="A809" s="1"/>
      <c r="B809" s="3">
        <v>43481</v>
      </c>
      <c r="C809" s="4">
        <v>6.6</v>
      </c>
      <c r="D809" s="4">
        <v>5.3117000000000001</v>
      </c>
      <c r="E809" s="4">
        <v>39515</v>
      </c>
      <c r="F809" s="4"/>
      <c r="G809" s="4"/>
      <c r="H809" s="5">
        <f t="shared" si="12"/>
        <v>-1.5226136320913896E-3</v>
      </c>
    </row>
    <row r="810" spans="1:8" ht="13.5" x14ac:dyDescent="0.25">
      <c r="A810" s="1"/>
      <c r="B810" s="3">
        <v>43482</v>
      </c>
      <c r="C810" s="4">
        <v>6.7</v>
      </c>
      <c r="D810" s="4">
        <v>5.3921999999999999</v>
      </c>
      <c r="E810" s="4">
        <v>48322</v>
      </c>
      <c r="F810" s="4"/>
      <c r="G810" s="4"/>
      <c r="H810" s="5">
        <f t="shared" si="12"/>
        <v>1.515522337481405E-2</v>
      </c>
    </row>
    <row r="811" spans="1:8" ht="13.5" x14ac:dyDescent="0.25">
      <c r="A811" s="1"/>
      <c r="B811" s="3">
        <v>43483</v>
      </c>
      <c r="C811" s="4">
        <v>6.76</v>
      </c>
      <c r="D811" s="4">
        <v>5.4405000000000001</v>
      </c>
      <c r="E811" s="4">
        <v>26986</v>
      </c>
      <c r="F811" s="4"/>
      <c r="G811" s="4"/>
      <c r="H811" s="5">
        <f t="shared" si="12"/>
        <v>8.9573828863914982E-3</v>
      </c>
    </row>
    <row r="812" spans="1:8" ht="13.5" x14ac:dyDescent="0.25">
      <c r="A812" s="1"/>
      <c r="B812" s="3">
        <v>43486</v>
      </c>
      <c r="C812" s="4">
        <v>6.7</v>
      </c>
      <c r="D812" s="4">
        <v>5.3921999999999999</v>
      </c>
      <c r="E812" s="4">
        <v>13695</v>
      </c>
      <c r="F812" s="4"/>
      <c r="G812" s="4"/>
      <c r="H812" s="5">
        <f t="shared" si="12"/>
        <v>-8.8778604907637591E-3</v>
      </c>
    </row>
    <row r="813" spans="1:8" ht="13.5" x14ac:dyDescent="0.25">
      <c r="A813" s="1"/>
      <c r="B813" s="3">
        <v>43487</v>
      </c>
      <c r="C813" s="4">
        <v>6.45</v>
      </c>
      <c r="D813" s="4">
        <v>5.1909999999999998</v>
      </c>
      <c r="E813" s="4">
        <v>16858</v>
      </c>
      <c r="F813" s="4"/>
      <c r="G813" s="4"/>
      <c r="H813" s="5">
        <f t="shared" si="12"/>
        <v>-3.7313156040206234E-2</v>
      </c>
    </row>
    <row r="814" spans="1:8" ht="13.5" x14ac:dyDescent="0.25">
      <c r="A814" s="1"/>
      <c r="B814" s="3">
        <v>43488</v>
      </c>
      <c r="C814" s="4">
        <v>6.12</v>
      </c>
      <c r="D814" s="4">
        <v>4.9253999999999998</v>
      </c>
      <c r="E814" s="4">
        <v>36543</v>
      </c>
      <c r="F814" s="4"/>
      <c r="G814" s="4"/>
      <c r="H814" s="5">
        <f t="shared" si="12"/>
        <v>-5.1165478713157402E-2</v>
      </c>
    </row>
    <row r="815" spans="1:8" ht="13.5" x14ac:dyDescent="0.25">
      <c r="A815" s="1"/>
      <c r="B815" s="3">
        <v>43489</v>
      </c>
      <c r="C815" s="4">
        <v>6.3</v>
      </c>
      <c r="D815" s="4">
        <v>5.0702999999999996</v>
      </c>
      <c r="E815" s="4">
        <v>70819</v>
      </c>
      <c r="F815" s="4"/>
      <c r="G815" s="4"/>
      <c r="H815" s="5">
        <f t="shared" si="12"/>
        <v>2.9418930442197549E-2</v>
      </c>
    </row>
    <row r="816" spans="1:8" ht="13.5" x14ac:dyDescent="0.25">
      <c r="A816" s="1"/>
      <c r="B816" s="3">
        <v>43490</v>
      </c>
      <c r="C816" s="4">
        <v>6.27</v>
      </c>
      <c r="D816" s="4">
        <v>5.0461</v>
      </c>
      <c r="E816" s="4">
        <v>7186</v>
      </c>
      <c r="F816" s="4"/>
      <c r="G816" s="4"/>
      <c r="H816" s="5">
        <f t="shared" si="12"/>
        <v>-4.7728931226948225E-3</v>
      </c>
    </row>
    <row r="817" spans="1:8" ht="13.5" x14ac:dyDescent="0.25">
      <c r="A817" s="1"/>
      <c r="B817" s="3">
        <v>43493</v>
      </c>
      <c r="C817" s="4">
        <v>6.29</v>
      </c>
      <c r="D817" s="4">
        <v>5.0621999999999998</v>
      </c>
      <c r="E817" s="4">
        <v>25731</v>
      </c>
      <c r="F817" s="4"/>
      <c r="G817" s="4"/>
      <c r="H817" s="5">
        <f t="shared" si="12"/>
        <v>3.1905828263410914E-3</v>
      </c>
    </row>
    <row r="818" spans="1:8" ht="13.5" x14ac:dyDescent="0.25">
      <c r="A818" s="1"/>
      <c r="B818" s="3">
        <v>43494</v>
      </c>
      <c r="C818" s="4">
        <v>6.19</v>
      </c>
      <c r="D818" s="4">
        <v>4.9817999999999998</v>
      </c>
      <c r="E818" s="4">
        <v>32269</v>
      </c>
      <c r="F818" s="4"/>
      <c r="G818" s="4"/>
      <c r="H818" s="5">
        <f t="shared" si="12"/>
        <v>-1.5882422662083687E-2</v>
      </c>
    </row>
    <row r="819" spans="1:8" ht="13.5" x14ac:dyDescent="0.25">
      <c r="A819" s="1"/>
      <c r="B819" s="3">
        <v>43495</v>
      </c>
      <c r="C819" s="4">
        <v>6.11</v>
      </c>
      <c r="D819" s="4">
        <v>4.9173999999999998</v>
      </c>
      <c r="E819" s="4">
        <v>44507</v>
      </c>
      <c r="F819" s="4"/>
      <c r="G819" s="4"/>
      <c r="H819" s="5">
        <f t="shared" si="12"/>
        <v>-1.2927054478301019E-2</v>
      </c>
    </row>
    <row r="820" spans="1:8" ht="13.5" x14ac:dyDescent="0.25">
      <c r="A820" s="1"/>
      <c r="B820" s="3">
        <v>43496</v>
      </c>
      <c r="C820" s="4">
        <v>6.19</v>
      </c>
      <c r="D820" s="4">
        <v>4.9817999999999998</v>
      </c>
      <c r="E820" s="4">
        <v>27129</v>
      </c>
      <c r="F820" s="4"/>
      <c r="G820" s="4"/>
      <c r="H820" s="5">
        <f t="shared" si="12"/>
        <v>1.309635173058934E-2</v>
      </c>
    </row>
    <row r="821" spans="1:8" ht="13.5" x14ac:dyDescent="0.25">
      <c r="A821" s="1"/>
      <c r="B821" s="3">
        <v>43497</v>
      </c>
      <c r="C821" s="4">
        <v>6.16</v>
      </c>
      <c r="D821" s="4">
        <v>4.9576000000000002</v>
      </c>
      <c r="E821" s="4">
        <v>3376</v>
      </c>
      <c r="F821" s="4"/>
      <c r="G821" s="4"/>
      <c r="H821" s="5">
        <f t="shared" si="12"/>
        <v>-4.8576819623428391E-3</v>
      </c>
    </row>
    <row r="822" spans="1:8" ht="13.5" x14ac:dyDescent="0.25">
      <c r="A822" s="1"/>
      <c r="B822" s="3">
        <v>43500</v>
      </c>
      <c r="C822" s="4">
        <v>6.05</v>
      </c>
      <c r="D822" s="4">
        <v>4.8691000000000004</v>
      </c>
      <c r="E822" s="4">
        <v>1791</v>
      </c>
      <c r="F822" s="4"/>
      <c r="G822" s="4"/>
      <c r="H822" s="5">
        <f t="shared" si="12"/>
        <v>-1.7851379699854727E-2</v>
      </c>
    </row>
    <row r="823" spans="1:8" ht="13.5" x14ac:dyDescent="0.25">
      <c r="A823" s="1"/>
      <c r="B823" s="3">
        <v>43501</v>
      </c>
      <c r="C823" s="4">
        <v>6</v>
      </c>
      <c r="D823" s="4">
        <v>4.8288000000000002</v>
      </c>
      <c r="E823" s="4">
        <v>4567</v>
      </c>
      <c r="F823" s="4"/>
      <c r="G823" s="4"/>
      <c r="H823" s="5">
        <f t="shared" si="12"/>
        <v>-8.276683576020254E-3</v>
      </c>
    </row>
    <row r="824" spans="1:8" ht="13.5" x14ac:dyDescent="0.25">
      <c r="A824" s="1"/>
      <c r="B824" s="3">
        <v>43502</v>
      </c>
      <c r="C824" s="4">
        <v>6.18</v>
      </c>
      <c r="D824" s="4">
        <v>4.9737</v>
      </c>
      <c r="E824" s="4">
        <v>50104</v>
      </c>
      <c r="F824" s="4"/>
      <c r="G824" s="4"/>
      <c r="H824" s="5">
        <f t="shared" si="12"/>
        <v>3.0007455268389622E-2</v>
      </c>
    </row>
    <row r="825" spans="1:8" ht="13.5" x14ac:dyDescent="0.25">
      <c r="A825" s="1"/>
      <c r="B825" s="3">
        <v>43503</v>
      </c>
      <c r="C825" s="4">
        <v>6.3</v>
      </c>
      <c r="D825" s="4">
        <v>5.0702999999999996</v>
      </c>
      <c r="E825" s="4">
        <v>19311</v>
      </c>
      <c r="F825" s="4"/>
      <c r="G825" s="4"/>
      <c r="H825" s="5">
        <f t="shared" si="12"/>
        <v>1.9422160564569552E-2</v>
      </c>
    </row>
    <row r="826" spans="1:8" ht="13.5" x14ac:dyDescent="0.25">
      <c r="A826" s="1"/>
      <c r="B826" s="3">
        <v>43504</v>
      </c>
      <c r="C826" s="4">
        <v>6.35</v>
      </c>
      <c r="D826" s="4">
        <v>5.1105</v>
      </c>
      <c r="E826" s="4">
        <v>2452</v>
      </c>
      <c r="F826" s="4"/>
      <c r="G826" s="4"/>
      <c r="H826" s="5">
        <f t="shared" si="12"/>
        <v>7.9285249393527928E-3</v>
      </c>
    </row>
    <row r="827" spans="1:8" ht="13.5" x14ac:dyDescent="0.25">
      <c r="A827" s="1"/>
      <c r="B827" s="3">
        <v>43507</v>
      </c>
      <c r="C827" s="4">
        <v>6.3</v>
      </c>
      <c r="D827" s="4">
        <v>5.0702999999999996</v>
      </c>
      <c r="E827" s="4">
        <v>8044</v>
      </c>
      <c r="F827" s="4"/>
      <c r="G827" s="4"/>
      <c r="H827" s="5">
        <f t="shared" si="12"/>
        <v>-7.8661579101850024E-3</v>
      </c>
    </row>
    <row r="828" spans="1:8" ht="13.5" x14ac:dyDescent="0.25">
      <c r="A828" s="1"/>
      <c r="B828" s="3">
        <v>43508</v>
      </c>
      <c r="C828" s="4">
        <v>6.38</v>
      </c>
      <c r="D828" s="4">
        <v>5.1346999999999996</v>
      </c>
      <c r="E828" s="4">
        <v>26686</v>
      </c>
      <c r="F828" s="4"/>
      <c r="G828" s="4"/>
      <c r="H828" s="5">
        <f t="shared" si="12"/>
        <v>1.2701418062047614E-2</v>
      </c>
    </row>
    <row r="829" spans="1:8" ht="13.5" x14ac:dyDescent="0.25">
      <c r="A829" s="1"/>
      <c r="B829" s="3">
        <v>43509</v>
      </c>
      <c r="C829" s="4">
        <v>6.35</v>
      </c>
      <c r="D829" s="4">
        <v>5.1105</v>
      </c>
      <c r="E829" s="4">
        <v>6745</v>
      </c>
      <c r="F829" s="4"/>
      <c r="G829" s="4"/>
      <c r="H829" s="5">
        <f t="shared" si="12"/>
        <v>-4.7130309463064169E-3</v>
      </c>
    </row>
    <row r="830" spans="1:8" ht="13.5" x14ac:dyDescent="0.25">
      <c r="A830" s="1"/>
      <c r="B830" s="3">
        <v>43510</v>
      </c>
      <c r="C830" s="4">
        <v>6.39</v>
      </c>
      <c r="D830" s="4">
        <v>5.1426999999999996</v>
      </c>
      <c r="E830" s="4">
        <v>5745</v>
      </c>
      <c r="F830" s="4"/>
      <c r="G830" s="4"/>
      <c r="H830" s="5">
        <f t="shared" si="12"/>
        <v>6.3007533509440491E-3</v>
      </c>
    </row>
    <row r="831" spans="1:8" ht="13.5" x14ac:dyDescent="0.25">
      <c r="A831" s="1"/>
      <c r="B831" s="3">
        <v>43511</v>
      </c>
      <c r="C831" s="4">
        <v>6.25</v>
      </c>
      <c r="D831" s="4">
        <v>5.0301</v>
      </c>
      <c r="E831" s="4">
        <v>9297</v>
      </c>
      <c r="F831" s="4"/>
      <c r="G831" s="4"/>
      <c r="H831" s="5">
        <f t="shared" si="12"/>
        <v>-2.1895113461800144E-2</v>
      </c>
    </row>
    <row r="832" spans="1:8" ht="13.5" x14ac:dyDescent="0.25">
      <c r="A832" s="1"/>
      <c r="B832" s="3">
        <v>43514</v>
      </c>
      <c r="C832" s="4">
        <v>6.15</v>
      </c>
      <c r="D832" s="4">
        <v>4.9496000000000002</v>
      </c>
      <c r="E832" s="4">
        <v>13071</v>
      </c>
      <c r="F832" s="4"/>
      <c r="G832" s="4"/>
      <c r="H832" s="5">
        <f t="shared" si="12"/>
        <v>-1.6003657978966579E-2</v>
      </c>
    </row>
    <row r="833" spans="1:8" ht="13.5" x14ac:dyDescent="0.25">
      <c r="A833" s="1"/>
      <c r="B833" s="3">
        <v>43515</v>
      </c>
      <c r="C833" s="4">
        <v>6.47</v>
      </c>
      <c r="D833" s="4">
        <v>5.2070999999999996</v>
      </c>
      <c r="E833" s="4">
        <v>17171</v>
      </c>
      <c r="F833" s="4"/>
      <c r="G833" s="4"/>
      <c r="H833" s="5">
        <f t="shared" si="12"/>
        <v>5.2024406012606952E-2</v>
      </c>
    </row>
    <row r="834" spans="1:8" ht="13.5" x14ac:dyDescent="0.25">
      <c r="A834" s="1"/>
      <c r="B834" s="3">
        <v>43516</v>
      </c>
      <c r="C834" s="4">
        <v>6.75</v>
      </c>
      <c r="D834" s="4">
        <v>5.4325000000000001</v>
      </c>
      <c r="E834" s="4">
        <v>73271</v>
      </c>
      <c r="F834" s="4"/>
      <c r="G834" s="4"/>
      <c r="H834" s="5">
        <f t="shared" si="12"/>
        <v>4.3287050373528549E-2</v>
      </c>
    </row>
    <row r="835" spans="1:8" ht="13.5" x14ac:dyDescent="0.25">
      <c r="A835" s="1"/>
      <c r="B835" s="3">
        <v>43517</v>
      </c>
      <c r="C835" s="4">
        <v>6.99</v>
      </c>
      <c r="D835" s="4">
        <v>5.6256000000000004</v>
      </c>
      <c r="E835" s="4">
        <v>71340</v>
      </c>
      <c r="F835" s="4"/>
      <c r="G835" s="4"/>
      <c r="H835" s="5">
        <f t="shared" si="12"/>
        <v>3.5545329038196093E-2</v>
      </c>
    </row>
    <row r="836" spans="1:8" ht="13.5" x14ac:dyDescent="0.25">
      <c r="A836" s="1"/>
      <c r="B836" s="3">
        <v>43518</v>
      </c>
      <c r="C836" s="4">
        <v>7.18</v>
      </c>
      <c r="D836" s="4">
        <v>5.7785000000000002</v>
      </c>
      <c r="E836" s="4">
        <v>40805</v>
      </c>
      <c r="F836" s="4"/>
      <c r="G836" s="4"/>
      <c r="H836" s="5">
        <f t="shared" si="12"/>
        <v>2.7179323094425448E-2</v>
      </c>
    </row>
    <row r="837" spans="1:8" ht="13.5" x14ac:dyDescent="0.25">
      <c r="A837" s="1"/>
      <c r="B837" s="3">
        <v>43521</v>
      </c>
      <c r="C837" s="4">
        <v>7.5</v>
      </c>
      <c r="D837" s="4">
        <v>6.0361000000000002</v>
      </c>
      <c r="E837" s="4">
        <v>56813</v>
      </c>
      <c r="F837" s="4"/>
      <c r="G837" s="4"/>
      <c r="H837" s="5">
        <f t="shared" si="12"/>
        <v>4.4579043004239864E-2</v>
      </c>
    </row>
    <row r="838" spans="1:8" ht="13.5" x14ac:dyDescent="0.25">
      <c r="A838" s="1"/>
      <c r="B838" s="3">
        <v>43522</v>
      </c>
      <c r="C838" s="4">
        <v>7.34</v>
      </c>
      <c r="D838" s="4">
        <v>5.9073000000000002</v>
      </c>
      <c r="E838" s="4">
        <v>69628</v>
      </c>
      <c r="F838" s="4"/>
      <c r="G838" s="4"/>
      <c r="H838" s="5">
        <f t="shared" si="12"/>
        <v>-2.1338281340600722E-2</v>
      </c>
    </row>
    <row r="839" spans="1:8" ht="13.5" x14ac:dyDescent="0.25">
      <c r="A839" s="1"/>
      <c r="B839" s="3">
        <v>43523</v>
      </c>
      <c r="C839" s="4">
        <v>7.13</v>
      </c>
      <c r="D839" s="4">
        <v>5.7382999999999997</v>
      </c>
      <c r="E839" s="4">
        <v>48542</v>
      </c>
      <c r="F839" s="4"/>
      <c r="G839" s="4"/>
      <c r="H839" s="5">
        <f t="shared" ref="H839:H902" si="13">(D839-D838)/D838</f>
        <v>-2.8608670627867296E-2</v>
      </c>
    </row>
    <row r="840" spans="1:8" ht="13.5" x14ac:dyDescent="0.25">
      <c r="A840" s="1"/>
      <c r="B840" s="3">
        <v>43524</v>
      </c>
      <c r="C840" s="4">
        <v>7.19</v>
      </c>
      <c r="D840" s="4">
        <v>5.7866</v>
      </c>
      <c r="E840" s="4">
        <v>18615</v>
      </c>
      <c r="F840" s="4"/>
      <c r="G840" s="4"/>
      <c r="H840" s="5">
        <f t="shared" si="13"/>
        <v>8.4171270236830138E-3</v>
      </c>
    </row>
    <row r="841" spans="1:8" ht="13.5" x14ac:dyDescent="0.25">
      <c r="A841" s="1"/>
      <c r="B841" s="3">
        <v>43525</v>
      </c>
      <c r="C841" s="4">
        <v>7</v>
      </c>
      <c r="D841" s="4">
        <v>5.6337000000000002</v>
      </c>
      <c r="E841" s="4">
        <v>6359</v>
      </c>
      <c r="F841" s="4"/>
      <c r="G841" s="4"/>
      <c r="H841" s="5">
        <f t="shared" si="13"/>
        <v>-2.642311547368054E-2</v>
      </c>
    </row>
    <row r="842" spans="1:8" ht="13.5" x14ac:dyDescent="0.25">
      <c r="A842" s="1"/>
      <c r="B842" s="3">
        <v>43528</v>
      </c>
      <c r="C842" s="4">
        <v>6.89</v>
      </c>
      <c r="D842" s="4">
        <v>5.5450999999999997</v>
      </c>
      <c r="E842" s="4">
        <v>2344</v>
      </c>
      <c r="F842" s="4"/>
      <c r="G842" s="4"/>
      <c r="H842" s="5">
        <f t="shared" si="13"/>
        <v>-1.5726787013863083E-2</v>
      </c>
    </row>
    <row r="843" spans="1:8" ht="13.5" x14ac:dyDescent="0.25">
      <c r="A843" s="1"/>
      <c r="B843" s="3">
        <v>43529</v>
      </c>
      <c r="C843" s="4">
        <v>6.99</v>
      </c>
      <c r="D843" s="4">
        <v>5.6256000000000004</v>
      </c>
      <c r="E843" s="4">
        <v>28287</v>
      </c>
      <c r="F843" s="4">
        <v>6.9352999999999998</v>
      </c>
      <c r="G843" s="4">
        <v>196178.83110000001</v>
      </c>
      <c r="H843" s="5">
        <f t="shared" si="13"/>
        <v>1.4517321599249912E-2</v>
      </c>
    </row>
    <row r="844" spans="1:8" ht="13.5" x14ac:dyDescent="0.25">
      <c r="A844" s="1"/>
      <c r="B844" s="3">
        <v>43530</v>
      </c>
      <c r="C844" s="4">
        <v>7.08</v>
      </c>
      <c r="D844" s="4">
        <v>5.6980000000000004</v>
      </c>
      <c r="E844" s="4">
        <v>29033</v>
      </c>
      <c r="F844" s="4">
        <v>7.0364000000000004</v>
      </c>
      <c r="G844" s="4">
        <v>204287.80119999999</v>
      </c>
      <c r="H844" s="5">
        <f t="shared" si="13"/>
        <v>1.2869738339021618E-2</v>
      </c>
    </row>
    <row r="845" spans="1:8" ht="13.5" x14ac:dyDescent="0.25">
      <c r="A845" s="1"/>
      <c r="B845" s="3">
        <v>43531</v>
      </c>
      <c r="C845" s="4">
        <v>7.33</v>
      </c>
      <c r="D845" s="4">
        <v>5.8992000000000004</v>
      </c>
      <c r="E845" s="4">
        <v>26101</v>
      </c>
      <c r="F845" s="4">
        <v>7.1379000000000001</v>
      </c>
      <c r="G845" s="4">
        <v>186306.3279</v>
      </c>
      <c r="H845" s="5">
        <f t="shared" si="13"/>
        <v>3.5310635310635316E-2</v>
      </c>
    </row>
    <row r="846" spans="1:8" ht="13.5" x14ac:dyDescent="0.25">
      <c r="A846" s="1"/>
      <c r="B846" s="3">
        <v>43532</v>
      </c>
      <c r="C846" s="4">
        <v>7.4</v>
      </c>
      <c r="D846" s="4">
        <v>5.9555999999999996</v>
      </c>
      <c r="E846" s="4">
        <v>35581</v>
      </c>
      <c r="F846" s="4">
        <v>7.3982999999999999</v>
      </c>
      <c r="G846" s="4">
        <v>263238.91230000003</v>
      </c>
      <c r="H846" s="5">
        <f t="shared" si="13"/>
        <v>9.5606183889339422E-3</v>
      </c>
    </row>
    <row r="847" spans="1:8" ht="13.5" x14ac:dyDescent="0.25">
      <c r="A847" s="1"/>
      <c r="B847" s="3">
        <v>43535</v>
      </c>
      <c r="C847" s="4">
        <v>7.28</v>
      </c>
      <c r="D847" s="4">
        <v>5.859</v>
      </c>
      <c r="E847" s="4">
        <v>5036</v>
      </c>
      <c r="F847" s="4">
        <v>7.1048</v>
      </c>
      <c r="G847" s="4">
        <v>35779.772799999999</v>
      </c>
      <c r="H847" s="5">
        <f t="shared" si="13"/>
        <v>-1.6220028208744641E-2</v>
      </c>
    </row>
    <row r="848" spans="1:8" ht="13.5" x14ac:dyDescent="0.25">
      <c r="A848" s="1"/>
      <c r="B848" s="3">
        <v>43536</v>
      </c>
      <c r="C848" s="4">
        <v>7.3</v>
      </c>
      <c r="D848" s="4">
        <v>5.8750999999999998</v>
      </c>
      <c r="E848" s="4">
        <v>12108</v>
      </c>
      <c r="F848" s="4">
        <v>7.1661999999999999</v>
      </c>
      <c r="G848" s="4">
        <v>86768.349600000001</v>
      </c>
      <c r="H848" s="5">
        <f t="shared" si="13"/>
        <v>2.7479091995220653E-3</v>
      </c>
    </row>
    <row r="849" spans="1:8" ht="13.5" x14ac:dyDescent="0.25">
      <c r="A849" s="1"/>
      <c r="B849" s="3">
        <v>43537</v>
      </c>
      <c r="C849" s="4">
        <v>7.14</v>
      </c>
      <c r="D849" s="4">
        <v>5.7462999999999997</v>
      </c>
      <c r="E849" s="4">
        <v>10026</v>
      </c>
      <c r="F849" s="4">
        <v>7.1401000000000003</v>
      </c>
      <c r="G849" s="4">
        <v>71586.642600000006</v>
      </c>
      <c r="H849" s="5">
        <f t="shared" si="13"/>
        <v>-2.1923031097343029E-2</v>
      </c>
    </row>
    <row r="850" spans="1:8" ht="13.5" x14ac:dyDescent="0.25">
      <c r="A850" s="1"/>
      <c r="B850" s="3">
        <v>43538</v>
      </c>
      <c r="C850" s="4">
        <v>7.12</v>
      </c>
      <c r="D850" s="4">
        <v>5.7302</v>
      </c>
      <c r="E850" s="4">
        <v>7781</v>
      </c>
      <c r="F850" s="4">
        <v>7.1193999999999997</v>
      </c>
      <c r="G850" s="4">
        <v>55396.051399999997</v>
      </c>
      <c r="H850" s="5">
        <f t="shared" si="13"/>
        <v>-2.8018028992568751E-3</v>
      </c>
    </row>
    <row r="851" spans="1:8" ht="13.5" x14ac:dyDescent="0.25">
      <c r="A851" s="1"/>
      <c r="B851" s="3">
        <v>43539</v>
      </c>
      <c r="C851" s="4">
        <v>7.07</v>
      </c>
      <c r="D851" s="4">
        <v>5.69</v>
      </c>
      <c r="E851" s="4">
        <v>6261</v>
      </c>
      <c r="F851" s="4">
        <v>6.9372999999999996</v>
      </c>
      <c r="G851" s="4">
        <v>43434.435299999997</v>
      </c>
      <c r="H851" s="5">
        <f t="shared" si="13"/>
        <v>-7.0154619385011992E-3</v>
      </c>
    </row>
    <row r="852" spans="1:8" ht="13.5" x14ac:dyDescent="0.25">
      <c r="A852" s="1"/>
      <c r="B852" s="3">
        <v>43542</v>
      </c>
      <c r="C852" s="4">
        <v>7</v>
      </c>
      <c r="D852" s="4">
        <v>5.6337000000000002</v>
      </c>
      <c r="E852" s="4">
        <v>5486</v>
      </c>
      <c r="F852" s="4">
        <v>6.9374000000000002</v>
      </c>
      <c r="G852" s="4">
        <v>38058.576399999998</v>
      </c>
      <c r="H852" s="5">
        <f t="shared" si="13"/>
        <v>-9.8945518453427486E-3</v>
      </c>
    </row>
    <row r="853" spans="1:8" ht="13.5" x14ac:dyDescent="0.25">
      <c r="A853" s="1"/>
      <c r="B853" s="3">
        <v>43543</v>
      </c>
      <c r="C853" s="4">
        <v>7.04</v>
      </c>
      <c r="D853" s="4">
        <v>5.6658999999999997</v>
      </c>
      <c r="E853" s="4">
        <v>3960</v>
      </c>
      <c r="F853" s="4">
        <v>7.0122</v>
      </c>
      <c r="G853" s="4">
        <v>27768.312000000002</v>
      </c>
      <c r="H853" s="5">
        <f t="shared" si="13"/>
        <v>5.7156043097785752E-3</v>
      </c>
    </row>
    <row r="854" spans="1:8" ht="13.5" x14ac:dyDescent="0.25">
      <c r="A854" s="1"/>
      <c r="B854" s="3">
        <v>43545</v>
      </c>
      <c r="C854" s="4">
        <v>7.05</v>
      </c>
      <c r="D854" s="4">
        <v>5.6738999999999997</v>
      </c>
      <c r="E854" s="4">
        <v>7239</v>
      </c>
      <c r="F854" s="4">
        <v>6.8887999999999998</v>
      </c>
      <c r="G854" s="4">
        <v>49868.023200000003</v>
      </c>
      <c r="H854" s="5">
        <f t="shared" si="13"/>
        <v>1.4119557351877031E-3</v>
      </c>
    </row>
    <row r="855" spans="1:8" ht="13.5" x14ac:dyDescent="0.25">
      <c r="A855" s="1"/>
      <c r="B855" s="3">
        <v>43546</v>
      </c>
      <c r="C855" s="4">
        <v>7.03</v>
      </c>
      <c r="D855" s="4">
        <v>5.6577999999999999</v>
      </c>
      <c r="E855" s="4">
        <v>4661</v>
      </c>
      <c r="F855" s="4">
        <v>7.0434999999999999</v>
      </c>
      <c r="G855" s="4">
        <v>32829.753499999999</v>
      </c>
      <c r="H855" s="5">
        <f t="shared" si="13"/>
        <v>-2.8375544158338677E-3</v>
      </c>
    </row>
    <row r="856" spans="1:8" ht="13.5" x14ac:dyDescent="0.25">
      <c r="A856" s="1"/>
      <c r="B856" s="3">
        <v>43549</v>
      </c>
      <c r="C856" s="4">
        <v>6.82</v>
      </c>
      <c r="D856" s="4">
        <v>5.4888000000000003</v>
      </c>
      <c r="E856" s="4">
        <v>7454</v>
      </c>
      <c r="F856" s="4">
        <v>6.8498999999999999</v>
      </c>
      <c r="G856" s="4">
        <v>51059.154600000002</v>
      </c>
      <c r="H856" s="5">
        <f t="shared" si="13"/>
        <v>-2.9870267595178267E-2</v>
      </c>
    </row>
    <row r="857" spans="1:8" ht="13.5" x14ac:dyDescent="0.25">
      <c r="A857" s="1"/>
      <c r="B857" s="3">
        <v>43550</v>
      </c>
      <c r="C857" s="4">
        <v>6.9</v>
      </c>
      <c r="D857" s="4">
        <v>5.5532000000000004</v>
      </c>
      <c r="E857" s="4">
        <v>10665</v>
      </c>
      <c r="F857" s="4">
        <v>6.8792</v>
      </c>
      <c r="G857" s="4">
        <v>73366.668000000005</v>
      </c>
      <c r="H857" s="5">
        <f t="shared" si="13"/>
        <v>1.1732983530097656E-2</v>
      </c>
    </row>
    <row r="858" spans="1:8" ht="13.5" x14ac:dyDescent="0.25">
      <c r="A858" s="1"/>
      <c r="B858" s="3">
        <v>43551</v>
      </c>
      <c r="C858" s="4">
        <v>7.1</v>
      </c>
      <c r="D858" s="4">
        <v>5.7141000000000002</v>
      </c>
      <c r="E858" s="4">
        <v>41603</v>
      </c>
      <c r="F858" s="4">
        <v>7.0841000000000003</v>
      </c>
      <c r="G858" s="4">
        <v>294719.81229999999</v>
      </c>
      <c r="H858" s="5">
        <f t="shared" si="13"/>
        <v>2.8974285096881044E-2</v>
      </c>
    </row>
    <row r="859" spans="1:8" ht="13.5" x14ac:dyDescent="0.25">
      <c r="A859" s="1"/>
      <c r="B859" s="3">
        <v>43552</v>
      </c>
      <c r="C859" s="4">
        <v>7.15</v>
      </c>
      <c r="D859" s="4">
        <v>5.7544000000000004</v>
      </c>
      <c r="E859" s="4">
        <v>12064</v>
      </c>
      <c r="F859" s="4">
        <v>7.1146000000000003</v>
      </c>
      <c r="G859" s="4">
        <v>85830.534400000004</v>
      </c>
      <c r="H859" s="5">
        <f t="shared" si="13"/>
        <v>7.0527292136994841E-3</v>
      </c>
    </row>
    <row r="860" spans="1:8" ht="13.5" x14ac:dyDescent="0.25">
      <c r="A860" s="1"/>
      <c r="B860" s="3">
        <v>43553</v>
      </c>
      <c r="C860" s="4">
        <v>6.94</v>
      </c>
      <c r="D860" s="4">
        <v>5.5853999999999999</v>
      </c>
      <c r="E860" s="4">
        <v>19462</v>
      </c>
      <c r="F860" s="4">
        <v>6.9436</v>
      </c>
      <c r="G860" s="4">
        <v>135136.3432</v>
      </c>
      <c r="H860" s="5">
        <f t="shared" si="13"/>
        <v>-2.9368830807729819E-2</v>
      </c>
    </row>
    <row r="861" spans="1:8" ht="13.5" x14ac:dyDescent="0.25">
      <c r="A861" s="1"/>
      <c r="B861" s="3">
        <v>43556</v>
      </c>
      <c r="C861" s="4">
        <v>6.94</v>
      </c>
      <c r="D861" s="4">
        <v>5.5853999999999999</v>
      </c>
      <c r="E861" s="4">
        <v>5134</v>
      </c>
      <c r="F861" s="4">
        <v>6.9423000000000004</v>
      </c>
      <c r="G861" s="4">
        <v>35641.768199999999</v>
      </c>
      <c r="H861" s="5">
        <f t="shared" si="13"/>
        <v>0</v>
      </c>
    </row>
    <row r="862" spans="1:8" ht="13.5" x14ac:dyDescent="0.25">
      <c r="A862" s="1"/>
      <c r="B862" s="3">
        <v>43557</v>
      </c>
      <c r="C862" s="4">
        <v>6.9</v>
      </c>
      <c r="D862" s="4">
        <v>5.5532000000000004</v>
      </c>
      <c r="E862" s="4">
        <v>4320</v>
      </c>
      <c r="F862" s="4">
        <v>6.8159999999999998</v>
      </c>
      <c r="G862" s="4">
        <v>29445.119999999999</v>
      </c>
      <c r="H862" s="5">
        <f t="shared" si="13"/>
        <v>-5.7650302574568631E-3</v>
      </c>
    </row>
    <row r="863" spans="1:8" ht="13.5" x14ac:dyDescent="0.25">
      <c r="A863" s="1"/>
      <c r="B863" s="3">
        <v>43558</v>
      </c>
      <c r="C863" s="4">
        <v>7.08</v>
      </c>
      <c r="D863" s="4">
        <v>5.6980000000000004</v>
      </c>
      <c r="E863" s="4">
        <v>54795</v>
      </c>
      <c r="F863" s="4">
        <v>6.9846000000000004</v>
      </c>
      <c r="G863" s="4">
        <v>382721.15700000001</v>
      </c>
      <c r="H863" s="5">
        <f t="shared" si="13"/>
        <v>2.607505582366924E-2</v>
      </c>
    </row>
    <row r="864" spans="1:8" ht="13.5" x14ac:dyDescent="0.25">
      <c r="A864" s="1"/>
      <c r="B864" s="3">
        <v>43559</v>
      </c>
      <c r="C864" s="4">
        <v>7.4</v>
      </c>
      <c r="D864" s="4">
        <v>5.9555999999999996</v>
      </c>
      <c r="E864" s="4">
        <v>20616</v>
      </c>
      <c r="F864" s="4">
        <v>7.2339000000000002</v>
      </c>
      <c r="G864" s="4">
        <v>149134.08240000001</v>
      </c>
      <c r="H864" s="5">
        <f t="shared" si="13"/>
        <v>4.5208845208845057E-2</v>
      </c>
    </row>
    <row r="865" spans="1:8" ht="13.5" x14ac:dyDescent="0.25">
      <c r="A865" s="1"/>
      <c r="B865" s="3">
        <v>43560</v>
      </c>
      <c r="C865" s="4">
        <v>7.6</v>
      </c>
      <c r="D865" s="4">
        <v>6.1165000000000003</v>
      </c>
      <c r="E865" s="4">
        <v>13606</v>
      </c>
      <c r="F865" s="4">
        <v>7.5056000000000003</v>
      </c>
      <c r="G865" s="4">
        <v>102121.1936</v>
      </c>
      <c r="H865" s="5">
        <f t="shared" si="13"/>
        <v>2.7016589428437224E-2</v>
      </c>
    </row>
    <row r="866" spans="1:8" ht="13.5" x14ac:dyDescent="0.25">
      <c r="A866" s="1"/>
      <c r="B866" s="3">
        <v>43563</v>
      </c>
      <c r="C866" s="4">
        <v>7.69</v>
      </c>
      <c r="D866" s="4">
        <v>6.1890000000000001</v>
      </c>
      <c r="E866" s="4">
        <v>43566</v>
      </c>
      <c r="F866" s="4">
        <v>7.6669</v>
      </c>
      <c r="G866" s="4">
        <v>334016.1654</v>
      </c>
      <c r="H866" s="5">
        <f t="shared" si="13"/>
        <v>1.1853184010463464E-2</v>
      </c>
    </row>
    <row r="867" spans="1:8" ht="13.5" x14ac:dyDescent="0.25">
      <c r="A867" s="1"/>
      <c r="B867" s="3">
        <v>43565</v>
      </c>
      <c r="C867" s="4">
        <v>7.58</v>
      </c>
      <c r="D867" s="4">
        <v>6.1003999999999996</v>
      </c>
      <c r="E867" s="4">
        <v>22817</v>
      </c>
      <c r="F867" s="4">
        <v>7.4702000000000002</v>
      </c>
      <c r="G867" s="4">
        <v>170447.5534</v>
      </c>
      <c r="H867" s="5">
        <f t="shared" si="13"/>
        <v>-1.4315721441266837E-2</v>
      </c>
    </row>
    <row r="868" spans="1:8" ht="13.5" x14ac:dyDescent="0.25">
      <c r="A868" s="1"/>
      <c r="B868" s="3">
        <v>43566</v>
      </c>
      <c r="C868" s="4">
        <v>7.4</v>
      </c>
      <c r="D868" s="4">
        <v>5.9555999999999996</v>
      </c>
      <c r="E868" s="4">
        <v>11979</v>
      </c>
      <c r="F868" s="4">
        <v>7.4081000000000001</v>
      </c>
      <c r="G868" s="4">
        <v>88741.6299</v>
      </c>
      <c r="H868" s="5">
        <f t="shared" si="13"/>
        <v>-2.3736148449282023E-2</v>
      </c>
    </row>
    <row r="869" spans="1:8" ht="13.5" x14ac:dyDescent="0.25">
      <c r="A869" s="1"/>
      <c r="B869" s="3">
        <v>43567</v>
      </c>
      <c r="C869" s="4">
        <v>7.39</v>
      </c>
      <c r="D869" s="4">
        <v>5.9474999999999998</v>
      </c>
      <c r="E869" s="4">
        <v>22663</v>
      </c>
      <c r="F869" s="4">
        <v>7.4237000000000002</v>
      </c>
      <c r="G869" s="4">
        <v>168243.3131</v>
      </c>
      <c r="H869" s="5">
        <f t="shared" si="13"/>
        <v>-1.3600644771307299E-3</v>
      </c>
    </row>
    <row r="870" spans="1:8" ht="13.5" x14ac:dyDescent="0.25">
      <c r="A870" s="1"/>
      <c r="B870" s="3">
        <v>43570</v>
      </c>
      <c r="C870" s="4">
        <v>7.39</v>
      </c>
      <c r="D870" s="4">
        <v>5.9474999999999998</v>
      </c>
      <c r="E870" s="4">
        <v>20937</v>
      </c>
      <c r="F870" s="4">
        <v>7.3657000000000004</v>
      </c>
      <c r="G870" s="4">
        <v>154215.66089999999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7.39</v>
      </c>
      <c r="D871" s="4">
        <v>5.9474999999999998</v>
      </c>
      <c r="E871" s="4">
        <v>3927</v>
      </c>
      <c r="F871" s="4">
        <v>7.3743999999999996</v>
      </c>
      <c r="G871" s="4">
        <v>28959.268800000002</v>
      </c>
      <c r="H871" s="5">
        <f t="shared" si="13"/>
        <v>0</v>
      </c>
    </row>
    <row r="872" spans="1:8" ht="13.5" x14ac:dyDescent="0.25">
      <c r="A872" s="1"/>
      <c r="B872" s="3">
        <v>43572</v>
      </c>
      <c r="C872" s="4">
        <v>7.38</v>
      </c>
      <c r="D872" s="4">
        <v>5.9394999999999998</v>
      </c>
      <c r="E872" s="4">
        <v>20632</v>
      </c>
      <c r="F872" s="4">
        <v>7.3486000000000002</v>
      </c>
      <c r="G872" s="4">
        <v>151616.31520000001</v>
      </c>
      <c r="H872" s="5">
        <f t="shared" si="13"/>
        <v>-1.345102984447248E-3</v>
      </c>
    </row>
    <row r="873" spans="1:8" ht="13.5" x14ac:dyDescent="0.25">
      <c r="A873" s="1"/>
      <c r="B873" s="3">
        <v>43573</v>
      </c>
      <c r="C873" s="4">
        <v>7.25</v>
      </c>
      <c r="D873" s="4">
        <v>5.8349000000000002</v>
      </c>
      <c r="E873" s="4">
        <v>19587</v>
      </c>
      <c r="F873" s="4">
        <v>7.2954999999999997</v>
      </c>
      <c r="G873" s="4">
        <v>142896.95850000001</v>
      </c>
      <c r="H873" s="5">
        <f t="shared" si="13"/>
        <v>-1.7610910009259968E-2</v>
      </c>
    </row>
    <row r="874" spans="1:8" ht="13.5" x14ac:dyDescent="0.25">
      <c r="A874" s="1"/>
      <c r="B874" s="3">
        <v>43574</v>
      </c>
      <c r="C874" s="4">
        <v>7.22</v>
      </c>
      <c r="D874" s="4">
        <v>5.8106999999999998</v>
      </c>
      <c r="E874" s="4">
        <v>4066</v>
      </c>
      <c r="F874" s="4">
        <v>7.2453000000000003</v>
      </c>
      <c r="G874" s="4">
        <v>29459.389800000001</v>
      </c>
      <c r="H874" s="5">
        <f t="shared" si="13"/>
        <v>-4.1474575399750536E-3</v>
      </c>
    </row>
    <row r="875" spans="1:8" ht="13.5" x14ac:dyDescent="0.25">
      <c r="A875" s="1"/>
      <c r="B875" s="3">
        <v>43577</v>
      </c>
      <c r="C875" s="4">
        <v>7.02</v>
      </c>
      <c r="D875" s="4">
        <v>5.6497999999999999</v>
      </c>
      <c r="E875" s="4">
        <v>12942</v>
      </c>
      <c r="F875" s="4">
        <v>7.0669000000000004</v>
      </c>
      <c r="G875" s="4">
        <v>91459.819799999997</v>
      </c>
      <c r="H875" s="5">
        <f t="shared" si="13"/>
        <v>-2.7690295489355813E-2</v>
      </c>
    </row>
    <row r="876" spans="1:8" ht="13.5" x14ac:dyDescent="0.25">
      <c r="A876" s="1"/>
      <c r="B876" s="3">
        <v>43578</v>
      </c>
      <c r="C876" s="4">
        <v>7.02</v>
      </c>
      <c r="D876" s="4">
        <v>5.6497999999999999</v>
      </c>
      <c r="E876" s="4">
        <v>274</v>
      </c>
      <c r="F876" s="4">
        <v>6.9191000000000003</v>
      </c>
      <c r="G876" s="4">
        <v>1895.8334</v>
      </c>
      <c r="H876" s="5">
        <f t="shared" si="13"/>
        <v>0</v>
      </c>
    </row>
    <row r="877" spans="1:8" ht="13.5" x14ac:dyDescent="0.25">
      <c r="A877" s="1"/>
      <c r="B877" s="3">
        <v>43579</v>
      </c>
      <c r="C877" s="4">
        <v>6.84</v>
      </c>
      <c r="D877" s="4">
        <v>5.5049000000000001</v>
      </c>
      <c r="E877" s="4">
        <v>8131</v>
      </c>
      <c r="F877" s="4">
        <v>6.9488000000000003</v>
      </c>
      <c r="G877" s="4">
        <v>56500.692799999997</v>
      </c>
      <c r="H877" s="5">
        <f t="shared" si="13"/>
        <v>-2.5646925554886863E-2</v>
      </c>
    </row>
    <row r="878" spans="1:8" ht="13.5" x14ac:dyDescent="0.25">
      <c r="A878" s="1"/>
      <c r="B878" s="3">
        <v>43580</v>
      </c>
      <c r="C878" s="4">
        <v>6.8</v>
      </c>
      <c r="D878" s="4">
        <v>5.4726999999999997</v>
      </c>
      <c r="E878" s="4">
        <v>11650</v>
      </c>
      <c r="F878" s="4">
        <v>6.7811000000000003</v>
      </c>
      <c r="G878" s="4">
        <v>78999.815000000002</v>
      </c>
      <c r="H878" s="5">
        <f t="shared" si="13"/>
        <v>-5.8493342295047046E-3</v>
      </c>
    </row>
    <row r="879" spans="1:8" ht="13.5" x14ac:dyDescent="0.25">
      <c r="A879" s="1"/>
      <c r="B879" s="3">
        <v>43581</v>
      </c>
      <c r="C879" s="4">
        <v>6.5</v>
      </c>
      <c r="D879" s="4">
        <v>5.2313000000000001</v>
      </c>
      <c r="E879" s="4">
        <v>56245</v>
      </c>
      <c r="F879" s="4">
        <v>6.4851999999999999</v>
      </c>
      <c r="G879" s="4">
        <v>364760.07400000002</v>
      </c>
      <c r="H879" s="5">
        <f t="shared" si="13"/>
        <v>-4.4109854368044953E-2</v>
      </c>
    </row>
    <row r="880" spans="1:8" ht="13.5" x14ac:dyDescent="0.25">
      <c r="A880" s="1"/>
      <c r="B880" s="3">
        <v>43584</v>
      </c>
      <c r="C880" s="4">
        <v>6.32</v>
      </c>
      <c r="D880" s="4">
        <v>5.0864000000000003</v>
      </c>
      <c r="E880" s="4">
        <v>10169</v>
      </c>
      <c r="F880" s="4">
        <v>6.3106</v>
      </c>
      <c r="G880" s="4">
        <v>64172.491399999999</v>
      </c>
      <c r="H880" s="5">
        <f t="shared" si="13"/>
        <v>-2.7698659988912851E-2</v>
      </c>
    </row>
    <row r="881" spans="1:8" ht="13.5" x14ac:dyDescent="0.25">
      <c r="A881" s="1"/>
      <c r="B881" s="3">
        <v>43585</v>
      </c>
      <c r="C881" s="4">
        <v>6.4</v>
      </c>
      <c r="D881" s="4">
        <v>5.1508000000000003</v>
      </c>
      <c r="E881" s="4">
        <v>1643</v>
      </c>
      <c r="F881" s="4">
        <v>6.2821999999999996</v>
      </c>
      <c r="G881" s="4">
        <v>10321.6546</v>
      </c>
      <c r="H881" s="5">
        <f t="shared" si="13"/>
        <v>1.2661214218307645E-2</v>
      </c>
    </row>
    <row r="882" spans="1:8" ht="13.5" x14ac:dyDescent="0.25">
      <c r="A882" s="1"/>
      <c r="B882" s="3">
        <v>43587</v>
      </c>
      <c r="C882" s="4">
        <v>6.4</v>
      </c>
      <c r="D882" s="4">
        <v>5.1508000000000003</v>
      </c>
      <c r="E882" s="4">
        <v>1636</v>
      </c>
      <c r="F882" s="4">
        <v>6.3815</v>
      </c>
      <c r="G882" s="4">
        <v>10440.134</v>
      </c>
      <c r="H882" s="5">
        <f t="shared" si="13"/>
        <v>0</v>
      </c>
    </row>
    <row r="883" spans="1:8" ht="13.5" x14ac:dyDescent="0.25">
      <c r="A883" s="1"/>
      <c r="B883" s="3">
        <v>43588</v>
      </c>
      <c r="C883" s="4">
        <v>6.58</v>
      </c>
      <c r="D883" s="4">
        <v>5.2956000000000003</v>
      </c>
      <c r="E883" s="4">
        <v>1619</v>
      </c>
      <c r="F883" s="4">
        <v>6.5521000000000003</v>
      </c>
      <c r="G883" s="4">
        <v>10607.849899999999</v>
      </c>
      <c r="H883" s="5">
        <f t="shared" si="13"/>
        <v>2.8112137920323063E-2</v>
      </c>
    </row>
    <row r="884" spans="1:8" ht="13.5" x14ac:dyDescent="0.25">
      <c r="A884" s="1"/>
      <c r="B884" s="3">
        <v>43591</v>
      </c>
      <c r="C884" s="4">
        <v>6.58</v>
      </c>
      <c r="D884" s="4">
        <v>5.2956000000000003</v>
      </c>
      <c r="E884" s="4">
        <v>1452</v>
      </c>
      <c r="F884" s="4">
        <v>6.5351999999999997</v>
      </c>
      <c r="G884" s="4">
        <v>9489.1103999999996</v>
      </c>
      <c r="H884" s="5">
        <f t="shared" si="13"/>
        <v>0</v>
      </c>
    </row>
    <row r="885" spans="1:8" ht="13.5" x14ac:dyDescent="0.25">
      <c r="A885" s="1"/>
      <c r="B885" s="3">
        <v>43592</v>
      </c>
      <c r="C885" s="4">
        <v>6.63</v>
      </c>
      <c r="D885" s="4">
        <v>5.3358999999999996</v>
      </c>
      <c r="E885" s="4">
        <v>246</v>
      </c>
      <c r="F885" s="4">
        <v>6.5609000000000002</v>
      </c>
      <c r="G885" s="4">
        <v>1613.9813999999999</v>
      </c>
      <c r="H885" s="5">
        <f t="shared" si="13"/>
        <v>7.6100913966310399E-3</v>
      </c>
    </row>
    <row r="886" spans="1:8" ht="13.5" x14ac:dyDescent="0.25">
      <c r="A886" s="1"/>
      <c r="B886" s="3">
        <v>43593</v>
      </c>
      <c r="C886" s="4">
        <v>6.59</v>
      </c>
      <c r="D886" s="4">
        <v>5.3037000000000001</v>
      </c>
      <c r="E886" s="4">
        <v>1855</v>
      </c>
      <c r="F886" s="4">
        <v>6.5960000000000001</v>
      </c>
      <c r="G886" s="4">
        <v>12235.58</v>
      </c>
      <c r="H886" s="5">
        <f t="shared" si="13"/>
        <v>-6.0345958507467467E-3</v>
      </c>
    </row>
    <row r="887" spans="1:8" ht="13.5" x14ac:dyDescent="0.25">
      <c r="A887" s="1"/>
      <c r="B887" s="3">
        <v>43594</v>
      </c>
      <c r="C887" s="4">
        <v>6.63</v>
      </c>
      <c r="D887" s="4">
        <v>5.3358999999999996</v>
      </c>
      <c r="E887" s="4">
        <v>71</v>
      </c>
      <c r="F887" s="4">
        <v>6.5979000000000001</v>
      </c>
      <c r="G887" s="4">
        <v>468.45089999999999</v>
      </c>
      <c r="H887" s="5">
        <f t="shared" si="13"/>
        <v>6.071233289967299E-3</v>
      </c>
    </row>
    <row r="888" spans="1:8" ht="13.5" x14ac:dyDescent="0.25">
      <c r="A888" s="1"/>
      <c r="B888" s="3">
        <v>43595</v>
      </c>
      <c r="C888" s="4">
        <v>6.6</v>
      </c>
      <c r="D888" s="4">
        <v>5.3117000000000001</v>
      </c>
      <c r="E888" s="4">
        <v>2207</v>
      </c>
      <c r="F888" s="4">
        <v>6.5068999999999999</v>
      </c>
      <c r="G888" s="4">
        <v>14360.728300000001</v>
      </c>
      <c r="H888" s="5">
        <f t="shared" si="13"/>
        <v>-4.5353173785115082E-3</v>
      </c>
    </row>
    <row r="889" spans="1:8" ht="13.5" x14ac:dyDescent="0.25">
      <c r="A889" s="1"/>
      <c r="B889" s="3">
        <v>43598</v>
      </c>
      <c r="C889" s="4">
        <v>6.6</v>
      </c>
      <c r="D889" s="4">
        <v>5.3117000000000001</v>
      </c>
      <c r="E889" s="4">
        <v>34</v>
      </c>
      <c r="F889" s="4">
        <v>6.6</v>
      </c>
      <c r="G889" s="4">
        <v>224.4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6.69</v>
      </c>
      <c r="D890" s="4">
        <v>5.3841999999999999</v>
      </c>
      <c r="E890" s="4">
        <v>119</v>
      </c>
      <c r="F890" s="4">
        <v>6.6980000000000004</v>
      </c>
      <c r="G890" s="4">
        <v>797.06200000000001</v>
      </c>
      <c r="H890" s="5">
        <f t="shared" si="13"/>
        <v>1.3649114219553022E-2</v>
      </c>
    </row>
    <row r="891" spans="1:8" ht="13.5" x14ac:dyDescent="0.25">
      <c r="A891" s="1"/>
      <c r="B891" s="3">
        <v>43600</v>
      </c>
      <c r="C891" s="4">
        <v>6.48</v>
      </c>
      <c r="D891" s="4">
        <v>5.2152000000000003</v>
      </c>
      <c r="E891" s="4">
        <v>1454</v>
      </c>
      <c r="F891" s="4">
        <v>6.5492999999999997</v>
      </c>
      <c r="G891" s="4">
        <v>9522.6821999999993</v>
      </c>
      <c r="H891" s="5">
        <f t="shared" si="13"/>
        <v>-3.1388135656179116E-2</v>
      </c>
    </row>
    <row r="892" spans="1:8" ht="13.5" x14ac:dyDescent="0.25">
      <c r="A892" s="1"/>
      <c r="B892" s="3">
        <v>43601</v>
      </c>
      <c r="C892" s="4">
        <v>6.39</v>
      </c>
      <c r="D892" s="4">
        <v>5.1426999999999996</v>
      </c>
      <c r="E892" s="4">
        <v>22189</v>
      </c>
      <c r="F892" s="4">
        <v>6.3324999999999996</v>
      </c>
      <c r="G892" s="4">
        <v>140511.8425</v>
      </c>
      <c r="H892" s="5">
        <f t="shared" si="13"/>
        <v>-1.3901672035588409E-2</v>
      </c>
    </row>
    <row r="893" spans="1:8" ht="13.5" x14ac:dyDescent="0.25">
      <c r="A893" s="1"/>
      <c r="B893" s="3">
        <v>43602</v>
      </c>
      <c r="C893" s="4">
        <v>6.57</v>
      </c>
      <c r="D893" s="4">
        <v>5.2876000000000003</v>
      </c>
      <c r="E893" s="4">
        <v>205</v>
      </c>
      <c r="F893" s="4">
        <v>6.4040999999999997</v>
      </c>
      <c r="G893" s="4">
        <v>1312.8405</v>
      </c>
      <c r="H893" s="5">
        <f t="shared" si="13"/>
        <v>2.8175860929084081E-2</v>
      </c>
    </row>
    <row r="894" spans="1:8" ht="13.5" x14ac:dyDescent="0.25">
      <c r="A894" s="1"/>
      <c r="B894" s="3">
        <v>43605</v>
      </c>
      <c r="C894" s="4">
        <v>6.56</v>
      </c>
      <c r="D894" s="4">
        <v>5.2794999999999996</v>
      </c>
      <c r="E894" s="4">
        <v>11837</v>
      </c>
      <c r="F894" s="4">
        <v>6.3826999999999998</v>
      </c>
      <c r="G894" s="4">
        <v>75552.019899999999</v>
      </c>
      <c r="H894" s="5">
        <f t="shared" si="13"/>
        <v>-1.5318859217793822E-3</v>
      </c>
    </row>
    <row r="895" spans="1:8" ht="13.5" x14ac:dyDescent="0.25">
      <c r="A895" s="1"/>
      <c r="B895" s="3">
        <v>43606</v>
      </c>
      <c r="C895" s="4">
        <v>6.54</v>
      </c>
      <c r="D895" s="4">
        <v>5.2633999999999999</v>
      </c>
      <c r="E895" s="4">
        <v>5</v>
      </c>
      <c r="F895" s="4">
        <v>6.54</v>
      </c>
      <c r="G895" s="4">
        <v>32.700000000000003</v>
      </c>
      <c r="H895" s="5">
        <f t="shared" si="13"/>
        <v>-3.0495312056065503E-3</v>
      </c>
    </row>
    <row r="896" spans="1:8" ht="13.5" x14ac:dyDescent="0.25">
      <c r="A896" s="1"/>
      <c r="B896" s="3">
        <v>43607</v>
      </c>
      <c r="C896" s="4">
        <v>6.73</v>
      </c>
      <c r="D896" s="4">
        <v>5.4164000000000003</v>
      </c>
      <c r="E896" s="4">
        <v>4817</v>
      </c>
      <c r="F896" s="4">
        <v>6.5983999999999998</v>
      </c>
      <c r="G896" s="4">
        <v>31784.4928</v>
      </c>
      <c r="H896" s="5">
        <f t="shared" si="13"/>
        <v>2.9068662841509382E-2</v>
      </c>
    </row>
    <row r="897" spans="1:8" ht="13.5" x14ac:dyDescent="0.25">
      <c r="A897" s="1"/>
      <c r="B897" s="3">
        <v>43608</v>
      </c>
      <c r="C897" s="4">
        <v>6.65</v>
      </c>
      <c r="D897" s="4">
        <v>5.3520000000000003</v>
      </c>
      <c r="E897" s="4">
        <v>1034</v>
      </c>
      <c r="F897" s="4">
        <v>6.718</v>
      </c>
      <c r="G897" s="4">
        <v>6946.4120000000003</v>
      </c>
      <c r="H897" s="5">
        <f t="shared" si="13"/>
        <v>-1.1889816114024076E-2</v>
      </c>
    </row>
    <row r="898" spans="1:8" ht="13.5" x14ac:dyDescent="0.25">
      <c r="A898" s="1"/>
      <c r="B898" s="3">
        <v>43609</v>
      </c>
      <c r="C898" s="4">
        <v>6.54</v>
      </c>
      <c r="D898" s="4">
        <v>5.2633999999999999</v>
      </c>
      <c r="E898" s="4">
        <v>3519</v>
      </c>
      <c r="F898" s="4">
        <v>6.5473999999999997</v>
      </c>
      <c r="G898" s="4">
        <v>23040.300599999999</v>
      </c>
      <c r="H898" s="5">
        <f t="shared" si="13"/>
        <v>-1.6554559043348367E-2</v>
      </c>
    </row>
    <row r="899" spans="1:8" ht="13.5" x14ac:dyDescent="0.25">
      <c r="A899" s="1"/>
      <c r="B899" s="3">
        <v>43612</v>
      </c>
      <c r="C899" s="4">
        <v>6.7</v>
      </c>
      <c r="D899" s="4">
        <v>5.3921999999999999</v>
      </c>
      <c r="E899" s="4">
        <v>2248</v>
      </c>
      <c r="F899" s="4">
        <v>6.5995999999999997</v>
      </c>
      <c r="G899" s="4">
        <v>14835.900799999999</v>
      </c>
      <c r="H899" s="5">
        <f t="shared" si="13"/>
        <v>2.4470874339780374E-2</v>
      </c>
    </row>
    <row r="900" spans="1:8" ht="13.5" x14ac:dyDescent="0.25">
      <c r="A900" s="1"/>
      <c r="B900" s="3">
        <v>43613</v>
      </c>
      <c r="C900" s="4">
        <v>6.7</v>
      </c>
      <c r="D900" s="4">
        <v>5.3921999999999999</v>
      </c>
      <c r="E900" s="4">
        <v>244</v>
      </c>
      <c r="F900" s="4">
        <v>6.7</v>
      </c>
      <c r="G900" s="4">
        <v>1634.8</v>
      </c>
      <c r="H900" s="5">
        <f t="shared" si="13"/>
        <v>0</v>
      </c>
    </row>
    <row r="901" spans="1:8" ht="13.5" x14ac:dyDescent="0.25">
      <c r="A901" s="1"/>
      <c r="B901" s="3">
        <v>43614</v>
      </c>
      <c r="C901" s="4">
        <v>6.8</v>
      </c>
      <c r="D901" s="4">
        <v>5.4726999999999997</v>
      </c>
      <c r="E901" s="4">
        <v>10167</v>
      </c>
      <c r="F901" s="4">
        <v>6.7218999999999998</v>
      </c>
      <c r="G901" s="4">
        <v>68341.5573</v>
      </c>
      <c r="H901" s="5">
        <f t="shared" si="13"/>
        <v>1.4928971477319053E-2</v>
      </c>
    </row>
    <row r="902" spans="1:8" ht="13.5" x14ac:dyDescent="0.25">
      <c r="A902" s="1"/>
      <c r="B902" s="3">
        <v>43615</v>
      </c>
      <c r="C902" s="4">
        <v>6.8</v>
      </c>
      <c r="D902" s="4">
        <v>5.4726999999999997</v>
      </c>
      <c r="E902" s="4">
        <v>1</v>
      </c>
      <c r="F902" s="4">
        <v>6.8</v>
      </c>
      <c r="G902" s="4">
        <v>6.8</v>
      </c>
      <c r="H902" s="5">
        <f t="shared" si="13"/>
        <v>0</v>
      </c>
    </row>
    <row r="903" spans="1:8" ht="13.5" x14ac:dyDescent="0.25">
      <c r="A903" s="1"/>
      <c r="B903" s="3">
        <v>43616</v>
      </c>
      <c r="C903" s="4">
        <v>6.83</v>
      </c>
      <c r="D903" s="4">
        <v>5.4968000000000004</v>
      </c>
      <c r="E903" s="4">
        <v>2945</v>
      </c>
      <c r="F903" s="4">
        <v>6.7843999999999998</v>
      </c>
      <c r="G903" s="4">
        <v>19980.058000000001</v>
      </c>
      <c r="H903" s="5">
        <f t="shared" ref="H903:H966" si="14">(D903-D902)/D902</f>
        <v>4.4036764302813379E-3</v>
      </c>
    </row>
    <row r="904" spans="1:8" ht="13.5" x14ac:dyDescent="0.25">
      <c r="A904" s="1"/>
      <c r="B904" s="3">
        <v>43619</v>
      </c>
      <c r="C904" s="4">
        <v>6.8</v>
      </c>
      <c r="D904" s="4">
        <v>5.4726999999999997</v>
      </c>
      <c r="E904" s="4">
        <v>727</v>
      </c>
      <c r="F904" s="4">
        <v>6.6379000000000001</v>
      </c>
      <c r="G904" s="4">
        <v>4825.7533000000003</v>
      </c>
      <c r="H904" s="5">
        <f t="shared" si="14"/>
        <v>-4.3843690874691959E-3</v>
      </c>
    </row>
    <row r="905" spans="1:8" ht="13.5" x14ac:dyDescent="0.25">
      <c r="A905" s="1"/>
      <c r="B905" s="3">
        <v>43623</v>
      </c>
      <c r="C905" s="4">
        <v>6.78</v>
      </c>
      <c r="D905" s="4">
        <v>5.4565999999999999</v>
      </c>
      <c r="E905" s="4">
        <v>4048</v>
      </c>
      <c r="F905" s="4">
        <v>6.6022999999999996</v>
      </c>
      <c r="G905" s="4">
        <v>26726.110400000001</v>
      </c>
      <c r="H905" s="5">
        <f t="shared" si="14"/>
        <v>-2.9418751256235099E-3</v>
      </c>
    </row>
    <row r="906" spans="1:8" ht="13.5" x14ac:dyDescent="0.25">
      <c r="A906" s="1"/>
      <c r="B906" s="3">
        <v>43626</v>
      </c>
      <c r="C906" s="4">
        <v>6.58</v>
      </c>
      <c r="D906" s="4">
        <v>5.2956000000000003</v>
      </c>
      <c r="E906" s="4">
        <v>282</v>
      </c>
      <c r="F906" s="4">
        <v>6.5895999999999999</v>
      </c>
      <c r="G906" s="4">
        <v>1858.2672</v>
      </c>
      <c r="H906" s="5">
        <f t="shared" si="14"/>
        <v>-2.9505552908404425E-2</v>
      </c>
    </row>
    <row r="907" spans="1:8" ht="13.5" x14ac:dyDescent="0.25">
      <c r="A907" s="1"/>
      <c r="B907" s="3">
        <v>43627</v>
      </c>
      <c r="C907" s="4">
        <v>6.35</v>
      </c>
      <c r="D907" s="4">
        <v>5.1105</v>
      </c>
      <c r="E907" s="4">
        <v>13950</v>
      </c>
      <c r="F907" s="4">
        <v>6.3232999999999997</v>
      </c>
      <c r="G907" s="4">
        <v>88210.035000000003</v>
      </c>
      <c r="H907" s="5">
        <f t="shared" si="14"/>
        <v>-3.4953546340358084E-2</v>
      </c>
    </row>
    <row r="908" spans="1:8" ht="13.5" x14ac:dyDescent="0.25">
      <c r="A908" s="1"/>
      <c r="B908" s="3">
        <v>43628</v>
      </c>
      <c r="C908" s="4">
        <v>6.48</v>
      </c>
      <c r="D908" s="4">
        <v>5.2152000000000003</v>
      </c>
      <c r="E908" s="4">
        <v>1</v>
      </c>
      <c r="F908" s="4">
        <v>6.48</v>
      </c>
      <c r="G908" s="4">
        <v>6.48</v>
      </c>
      <c r="H908" s="5">
        <f t="shared" si="14"/>
        <v>2.048723216906374E-2</v>
      </c>
    </row>
    <row r="909" spans="1:8" ht="13.5" x14ac:dyDescent="0.25">
      <c r="A909" s="1"/>
      <c r="B909" s="3">
        <v>43629</v>
      </c>
      <c r="C909" s="4">
        <v>6.45</v>
      </c>
      <c r="D909" s="4">
        <v>5.1909999999999998</v>
      </c>
      <c r="E909" s="4">
        <v>190</v>
      </c>
      <c r="F909" s="4">
        <v>6.3752000000000004</v>
      </c>
      <c r="G909" s="4">
        <v>1211.288</v>
      </c>
      <c r="H909" s="5">
        <f t="shared" si="14"/>
        <v>-4.6402822518792075E-3</v>
      </c>
    </row>
    <row r="910" spans="1:8" ht="13.5" x14ac:dyDescent="0.25">
      <c r="A910" s="1"/>
      <c r="B910" s="3">
        <v>43630</v>
      </c>
      <c r="C910" s="4">
        <v>6.33</v>
      </c>
      <c r="D910" s="4">
        <v>5.0944000000000003</v>
      </c>
      <c r="E910" s="4">
        <v>9456</v>
      </c>
      <c r="F910" s="4">
        <v>6.1875</v>
      </c>
      <c r="G910" s="4">
        <v>58509</v>
      </c>
      <c r="H910" s="5">
        <f t="shared" si="14"/>
        <v>-1.8609131188595564E-2</v>
      </c>
    </row>
    <row r="911" spans="1:8" ht="13.5" x14ac:dyDescent="0.25">
      <c r="A911" s="1"/>
      <c r="B911" s="3">
        <v>43633</v>
      </c>
      <c r="C911" s="4">
        <v>6.33</v>
      </c>
      <c r="D911" s="4">
        <v>5.0944000000000003</v>
      </c>
      <c r="E911" s="4">
        <v>1373</v>
      </c>
      <c r="F911" s="4">
        <v>6.3335999999999997</v>
      </c>
      <c r="G911" s="4">
        <v>8696.0328000000009</v>
      </c>
      <c r="H911" s="5">
        <f t="shared" si="14"/>
        <v>0</v>
      </c>
    </row>
    <row r="912" spans="1:8" ht="13.5" x14ac:dyDescent="0.25">
      <c r="A912" s="1"/>
      <c r="B912" s="3">
        <v>43634</v>
      </c>
      <c r="C912" s="4">
        <v>6.4</v>
      </c>
      <c r="D912" s="4">
        <v>5.1508000000000003</v>
      </c>
      <c r="E912" s="4">
        <v>2992</v>
      </c>
      <c r="F912" s="4">
        <v>6.33</v>
      </c>
      <c r="G912" s="4">
        <v>18939.36</v>
      </c>
      <c r="H912" s="5">
        <f t="shared" si="14"/>
        <v>1.1070979899497489E-2</v>
      </c>
    </row>
    <row r="913" spans="1:8" ht="13.5" x14ac:dyDescent="0.25">
      <c r="A913" s="1"/>
      <c r="B913" s="3">
        <v>43635</v>
      </c>
      <c r="C913" s="4">
        <v>6.4</v>
      </c>
      <c r="D913" s="4">
        <v>5.1508000000000003</v>
      </c>
      <c r="E913" s="4">
        <v>15920</v>
      </c>
      <c r="F913" s="4">
        <v>6.3034999999999997</v>
      </c>
      <c r="G913" s="4">
        <v>100351.72</v>
      </c>
      <c r="H913" s="5">
        <f t="shared" si="14"/>
        <v>0</v>
      </c>
    </row>
    <row r="914" spans="1:8" ht="13.5" x14ac:dyDescent="0.25">
      <c r="A914" s="1"/>
      <c r="B914" s="3">
        <v>43636</v>
      </c>
      <c r="C914" s="4">
        <v>6.4</v>
      </c>
      <c r="D914" s="4">
        <v>5.1508000000000003</v>
      </c>
      <c r="E914" s="4">
        <v>0</v>
      </c>
      <c r="F914" s="4">
        <v>0</v>
      </c>
      <c r="G914" s="4">
        <v>0</v>
      </c>
      <c r="H914" s="5">
        <f t="shared" si="14"/>
        <v>0</v>
      </c>
    </row>
    <row r="915" spans="1:8" ht="13.5" x14ac:dyDescent="0.25">
      <c r="A915" s="1"/>
      <c r="B915" s="3">
        <v>43637</v>
      </c>
      <c r="C915" s="4">
        <v>6.39</v>
      </c>
      <c r="D915" s="4">
        <v>5.1426999999999996</v>
      </c>
      <c r="E915" s="4">
        <v>16594</v>
      </c>
      <c r="F915" s="4">
        <v>6.2925000000000004</v>
      </c>
      <c r="G915" s="4">
        <v>104417.745</v>
      </c>
      <c r="H915" s="5">
        <f t="shared" si="14"/>
        <v>-1.5725712510679239E-3</v>
      </c>
    </row>
    <row r="916" spans="1:8" ht="13.5" x14ac:dyDescent="0.25">
      <c r="A916" s="1"/>
      <c r="B916" s="3">
        <v>43640</v>
      </c>
      <c r="C916" s="4">
        <v>6.33</v>
      </c>
      <c r="D916" s="4">
        <v>5.0944000000000003</v>
      </c>
      <c r="E916" s="4">
        <v>398</v>
      </c>
      <c r="F916" s="4">
        <v>6.3259999999999996</v>
      </c>
      <c r="G916" s="4">
        <v>2517.748</v>
      </c>
      <c r="H916" s="5">
        <f t="shared" si="14"/>
        <v>-9.3919536430278547E-3</v>
      </c>
    </row>
    <row r="917" spans="1:8" ht="13.5" x14ac:dyDescent="0.25">
      <c r="A917" s="1"/>
      <c r="B917" s="3">
        <v>43641</v>
      </c>
      <c r="C917" s="4">
        <v>6.3</v>
      </c>
      <c r="D917" s="4">
        <v>5.0702999999999996</v>
      </c>
      <c r="E917" s="4">
        <v>15223</v>
      </c>
      <c r="F917" s="4">
        <v>6.3339999999999996</v>
      </c>
      <c r="G917" s="4">
        <v>96422.482000000004</v>
      </c>
      <c r="H917" s="5">
        <f t="shared" si="14"/>
        <v>-4.730684673366967E-3</v>
      </c>
    </row>
    <row r="918" spans="1:8" ht="13.5" x14ac:dyDescent="0.25">
      <c r="A918" s="1"/>
      <c r="B918" s="3">
        <v>43642</v>
      </c>
      <c r="C918" s="4">
        <v>6.35</v>
      </c>
      <c r="D918" s="4">
        <v>5.1105</v>
      </c>
      <c r="E918" s="4">
        <v>3876</v>
      </c>
      <c r="F918" s="4">
        <v>6.2933000000000003</v>
      </c>
      <c r="G918" s="4">
        <v>24392.8308</v>
      </c>
      <c r="H918" s="5">
        <f t="shared" si="14"/>
        <v>7.9285249393527928E-3</v>
      </c>
    </row>
    <row r="919" spans="1:8" ht="13.5" x14ac:dyDescent="0.25">
      <c r="A919" s="1"/>
      <c r="B919" s="3">
        <v>43643</v>
      </c>
      <c r="C919" s="4">
        <v>6.16</v>
      </c>
      <c r="D919" s="4">
        <v>4.9576000000000002</v>
      </c>
      <c r="E919" s="4">
        <v>24970</v>
      </c>
      <c r="F919" s="4">
        <v>6.1623999999999999</v>
      </c>
      <c r="G919" s="4">
        <v>153875.128</v>
      </c>
      <c r="H919" s="5">
        <f t="shared" si="14"/>
        <v>-2.9918794638489347E-2</v>
      </c>
    </row>
    <row r="920" spans="1:8" ht="13.5" x14ac:dyDescent="0.25">
      <c r="A920" s="1"/>
      <c r="B920" s="3">
        <v>43644</v>
      </c>
      <c r="C920" s="4">
        <v>6.29</v>
      </c>
      <c r="D920" s="4">
        <v>5.0621999999999998</v>
      </c>
      <c r="E920" s="4">
        <v>4461</v>
      </c>
      <c r="F920" s="4">
        <v>6.1962000000000002</v>
      </c>
      <c r="G920" s="4">
        <v>27641.248200000002</v>
      </c>
      <c r="H920" s="5">
        <f t="shared" si="14"/>
        <v>2.1098918831692671E-2</v>
      </c>
    </row>
    <row r="921" spans="1:8" ht="13.5" x14ac:dyDescent="0.25">
      <c r="A921" s="1"/>
      <c r="B921" s="3">
        <v>43647</v>
      </c>
      <c r="C921" s="4">
        <v>6.28</v>
      </c>
      <c r="D921" s="4">
        <v>5.0541999999999998</v>
      </c>
      <c r="E921" s="4">
        <v>40</v>
      </c>
      <c r="F921" s="4">
        <v>6.28</v>
      </c>
      <c r="G921" s="4">
        <v>251.2</v>
      </c>
      <c r="H921" s="5">
        <f t="shared" si="14"/>
        <v>-1.5803405633914123E-3</v>
      </c>
    </row>
    <row r="922" spans="1:8" ht="13.5" x14ac:dyDescent="0.25">
      <c r="A922" s="1"/>
      <c r="B922" s="3">
        <v>43648</v>
      </c>
      <c r="C922" s="4">
        <v>6.29</v>
      </c>
      <c r="D922" s="4">
        <v>5.0621999999999998</v>
      </c>
      <c r="E922" s="4">
        <v>1109</v>
      </c>
      <c r="F922" s="4">
        <v>6.1512000000000002</v>
      </c>
      <c r="G922" s="4">
        <v>6821.6808000000001</v>
      </c>
      <c r="H922" s="5">
        <f t="shared" si="14"/>
        <v>1.5828419927980703E-3</v>
      </c>
    </row>
    <row r="923" spans="1:8" ht="13.5" x14ac:dyDescent="0.25">
      <c r="A923" s="1"/>
      <c r="B923" s="3">
        <v>43649</v>
      </c>
      <c r="C923" s="4">
        <v>6.47</v>
      </c>
      <c r="D923" s="4">
        <v>5.2070999999999996</v>
      </c>
      <c r="E923" s="4">
        <v>6451</v>
      </c>
      <c r="F923" s="4">
        <v>6.2572000000000001</v>
      </c>
      <c r="G923" s="4">
        <v>40365.197200000002</v>
      </c>
      <c r="H923" s="5">
        <f t="shared" si="14"/>
        <v>2.8623918454426894E-2</v>
      </c>
    </row>
    <row r="924" spans="1:8" ht="13.5" x14ac:dyDescent="0.25">
      <c r="A924" s="1"/>
      <c r="B924" s="3">
        <v>43650</v>
      </c>
      <c r="C924" s="4">
        <v>6.5</v>
      </c>
      <c r="D924" s="4">
        <v>5.2313000000000001</v>
      </c>
      <c r="E924" s="4">
        <v>5933</v>
      </c>
      <c r="F924" s="4">
        <v>6.4116</v>
      </c>
      <c r="G924" s="4">
        <v>38040.022799999999</v>
      </c>
      <c r="H924" s="5">
        <f t="shared" si="14"/>
        <v>4.6475005281251458E-3</v>
      </c>
    </row>
    <row r="925" spans="1:8" ht="13.5" x14ac:dyDescent="0.25">
      <c r="A925" s="1"/>
      <c r="B925" s="3">
        <v>43651</v>
      </c>
      <c r="C925" s="4">
        <v>6.5</v>
      </c>
      <c r="D925" s="4">
        <v>5.2313000000000001</v>
      </c>
      <c r="E925" s="4">
        <v>5195</v>
      </c>
      <c r="F925" s="4">
        <v>6.4527999999999999</v>
      </c>
      <c r="G925" s="4">
        <v>33522.296000000002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6.31</v>
      </c>
      <c r="D926" s="4">
        <v>5.0782999999999996</v>
      </c>
      <c r="E926" s="4">
        <v>4906</v>
      </c>
      <c r="F926" s="4">
        <v>6.3102</v>
      </c>
      <c r="G926" s="4">
        <v>30957.841199999999</v>
      </c>
      <c r="H926" s="5">
        <f t="shared" si="14"/>
        <v>-2.9247032286429848E-2</v>
      </c>
    </row>
    <row r="927" spans="1:8" ht="13.5" x14ac:dyDescent="0.25">
      <c r="A927" s="1"/>
      <c r="B927" s="3">
        <v>43655</v>
      </c>
      <c r="C927" s="4">
        <v>6.31</v>
      </c>
      <c r="D927" s="4">
        <v>5.0782999999999996</v>
      </c>
      <c r="E927" s="4">
        <v>9560</v>
      </c>
      <c r="F927" s="4">
        <v>6.2142999999999997</v>
      </c>
      <c r="G927" s="4">
        <v>59408.707999999999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6.47</v>
      </c>
      <c r="D928" s="4">
        <v>5.2070999999999996</v>
      </c>
      <c r="E928" s="4">
        <v>5</v>
      </c>
      <c r="F928" s="4">
        <v>6.47</v>
      </c>
      <c r="G928" s="4">
        <v>32.35</v>
      </c>
      <c r="H928" s="5">
        <f t="shared" si="14"/>
        <v>2.5362818265955149E-2</v>
      </c>
    </row>
    <row r="929" spans="1:8" ht="13.5" x14ac:dyDescent="0.25">
      <c r="A929" s="1"/>
      <c r="B929" s="3">
        <v>43657</v>
      </c>
      <c r="C929" s="4">
        <v>6.4</v>
      </c>
      <c r="D929" s="4">
        <v>5.1508000000000003</v>
      </c>
      <c r="E929" s="4">
        <v>3318</v>
      </c>
      <c r="F929" s="4">
        <v>6.2984</v>
      </c>
      <c r="G929" s="4">
        <v>20898.091199999999</v>
      </c>
      <c r="H929" s="5">
        <f t="shared" si="14"/>
        <v>-1.0812160319563549E-2</v>
      </c>
    </row>
    <row r="930" spans="1:8" ht="13.5" x14ac:dyDescent="0.25">
      <c r="A930" s="1"/>
      <c r="B930" s="3">
        <v>43658</v>
      </c>
      <c r="C930" s="4">
        <v>6.39</v>
      </c>
      <c r="D930" s="4">
        <v>5.1426999999999996</v>
      </c>
      <c r="E930" s="4">
        <v>8074</v>
      </c>
      <c r="F930" s="4">
        <v>6.2840999999999996</v>
      </c>
      <c r="G930" s="4">
        <v>50737.823400000001</v>
      </c>
      <c r="H930" s="5">
        <f t="shared" si="14"/>
        <v>-1.5725712510679239E-3</v>
      </c>
    </row>
    <row r="931" spans="1:8" ht="13.5" x14ac:dyDescent="0.25">
      <c r="A931" s="1"/>
      <c r="B931" s="3">
        <v>43661</v>
      </c>
      <c r="C931" s="4">
        <v>6.67</v>
      </c>
      <c r="D931" s="4">
        <v>5.3681000000000001</v>
      </c>
      <c r="E931" s="4">
        <v>33115</v>
      </c>
      <c r="F931" s="4">
        <v>6.5617999999999999</v>
      </c>
      <c r="G931" s="4">
        <v>217294.00700000001</v>
      </c>
      <c r="H931" s="5">
        <f t="shared" si="14"/>
        <v>4.3829117000797342E-2</v>
      </c>
    </row>
    <row r="932" spans="1:8" ht="13.5" x14ac:dyDescent="0.25">
      <c r="A932" s="1"/>
      <c r="B932" s="3">
        <v>43662</v>
      </c>
      <c r="C932" s="4">
        <v>7.07</v>
      </c>
      <c r="D932" s="4">
        <v>5.69</v>
      </c>
      <c r="E932" s="4">
        <v>45239</v>
      </c>
      <c r="F932" s="4">
        <v>6.9767000000000001</v>
      </c>
      <c r="G932" s="4">
        <v>315618.9313</v>
      </c>
      <c r="H932" s="5">
        <f t="shared" si="14"/>
        <v>5.9965350869022611E-2</v>
      </c>
    </row>
    <row r="933" spans="1:8" ht="13.5" x14ac:dyDescent="0.25">
      <c r="A933" s="1"/>
      <c r="B933" s="3">
        <v>43663</v>
      </c>
      <c r="C933" s="4">
        <v>6.73</v>
      </c>
      <c r="D933" s="4">
        <v>5.4164000000000003</v>
      </c>
      <c r="E933" s="4">
        <v>15751</v>
      </c>
      <c r="F933" s="4">
        <v>7.0039999999999996</v>
      </c>
      <c r="G933" s="4">
        <v>110320.004</v>
      </c>
      <c r="H933" s="5">
        <f t="shared" si="14"/>
        <v>-4.8084358523725841E-2</v>
      </c>
    </row>
    <row r="934" spans="1:8" ht="13.5" x14ac:dyDescent="0.25">
      <c r="A934" s="1"/>
      <c r="B934" s="3">
        <v>43664</v>
      </c>
      <c r="C934" s="4">
        <v>6.64</v>
      </c>
      <c r="D934" s="4">
        <v>5.3438999999999997</v>
      </c>
      <c r="E934" s="4">
        <v>15617</v>
      </c>
      <c r="F934" s="4">
        <v>6.6420000000000003</v>
      </c>
      <c r="G934" s="4">
        <v>103728.114</v>
      </c>
      <c r="H934" s="5">
        <f t="shared" si="14"/>
        <v>-1.3385274351968221E-2</v>
      </c>
    </row>
    <row r="935" spans="1:8" ht="13.5" x14ac:dyDescent="0.25">
      <c r="A935" s="1"/>
      <c r="B935" s="3">
        <v>43665</v>
      </c>
      <c r="C935" s="4">
        <v>6.6</v>
      </c>
      <c r="D935" s="4">
        <v>5.3117000000000001</v>
      </c>
      <c r="E935" s="4">
        <v>1975</v>
      </c>
      <c r="F935" s="4">
        <v>6.6036000000000001</v>
      </c>
      <c r="G935" s="4">
        <v>13042.11</v>
      </c>
      <c r="H935" s="5">
        <f t="shared" si="14"/>
        <v>-6.025561855573563E-3</v>
      </c>
    </row>
    <row r="936" spans="1:8" ht="13.5" x14ac:dyDescent="0.25">
      <c r="A936" s="1"/>
      <c r="B936" s="3">
        <v>43668</v>
      </c>
      <c r="C936" s="4">
        <v>6.6</v>
      </c>
      <c r="D936" s="4">
        <v>5.3117000000000001</v>
      </c>
      <c r="E936" s="4">
        <v>10778</v>
      </c>
      <c r="F936" s="4">
        <v>6.4231999999999996</v>
      </c>
      <c r="G936" s="4">
        <v>69229.249599999996</v>
      </c>
      <c r="H936" s="5">
        <f t="shared" si="14"/>
        <v>0</v>
      </c>
    </row>
    <row r="937" spans="1:8" ht="13.5" x14ac:dyDescent="0.25">
      <c r="A937" s="1"/>
      <c r="B937" s="3">
        <v>43669</v>
      </c>
      <c r="C937" s="4">
        <v>6.54</v>
      </c>
      <c r="D937" s="4">
        <v>5.2633999999999999</v>
      </c>
      <c r="E937" s="4">
        <v>3980</v>
      </c>
      <c r="F937" s="4">
        <v>6.4131</v>
      </c>
      <c r="G937" s="4">
        <v>25524.137999999999</v>
      </c>
      <c r="H937" s="5">
        <f t="shared" si="14"/>
        <v>-9.0931340248884968E-3</v>
      </c>
    </row>
    <row r="938" spans="1:8" ht="13.5" x14ac:dyDescent="0.25">
      <c r="A938" s="1"/>
      <c r="B938" s="3">
        <v>43670</v>
      </c>
      <c r="C938" s="4">
        <v>6.55</v>
      </c>
      <c r="D938" s="4">
        <v>5.2714999999999996</v>
      </c>
      <c r="E938" s="4">
        <v>22495</v>
      </c>
      <c r="F938" s="4">
        <v>6.5369000000000002</v>
      </c>
      <c r="G938" s="4">
        <v>147047.5655</v>
      </c>
      <c r="H938" s="5">
        <f t="shared" si="14"/>
        <v>1.5389292092563313E-3</v>
      </c>
    </row>
    <row r="939" spans="1:8" ht="13.5" x14ac:dyDescent="0.25">
      <c r="A939" s="1"/>
      <c r="B939" s="3">
        <v>43672</v>
      </c>
      <c r="C939" s="4">
        <v>6.5</v>
      </c>
      <c r="D939" s="4">
        <v>5.2313000000000001</v>
      </c>
      <c r="E939" s="4">
        <v>216</v>
      </c>
      <c r="F939" s="4">
        <v>6.5042</v>
      </c>
      <c r="G939" s="4">
        <v>1404.9072000000001</v>
      </c>
      <c r="H939" s="5">
        <f t="shared" si="14"/>
        <v>-7.6259129280090241E-3</v>
      </c>
    </row>
    <row r="940" spans="1:8" ht="13.5" x14ac:dyDescent="0.25">
      <c r="A940" s="1"/>
      <c r="B940" s="3">
        <v>43675</v>
      </c>
      <c r="C940" s="4">
        <v>6.5</v>
      </c>
      <c r="D940" s="4">
        <v>5.2313000000000001</v>
      </c>
      <c r="E940" s="4">
        <v>2152</v>
      </c>
      <c r="F940" s="4">
        <v>6.4698000000000002</v>
      </c>
      <c r="G940" s="4">
        <v>13923.009599999999</v>
      </c>
      <c r="H940" s="5">
        <f t="shared" si="14"/>
        <v>0</v>
      </c>
    </row>
    <row r="941" spans="1:8" ht="13.5" x14ac:dyDescent="0.25">
      <c r="A941" s="1"/>
      <c r="B941" s="3">
        <v>43676</v>
      </c>
      <c r="C941" s="4">
        <v>6.5</v>
      </c>
      <c r="D941" s="4">
        <v>5.2313000000000001</v>
      </c>
      <c r="E941" s="4">
        <v>4191</v>
      </c>
      <c r="F941" s="4">
        <v>6.4793000000000003</v>
      </c>
      <c r="G941" s="4">
        <v>27154.746299999999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6.27</v>
      </c>
      <c r="D942" s="4">
        <v>5.0461</v>
      </c>
      <c r="E942" s="4">
        <v>84730</v>
      </c>
      <c r="F942" s="4">
        <v>6.2995000000000001</v>
      </c>
      <c r="G942" s="4">
        <v>533756.63500000001</v>
      </c>
      <c r="H942" s="5">
        <f t="shared" si="14"/>
        <v>-3.5402290061743738E-2</v>
      </c>
    </row>
    <row r="943" spans="1:8" ht="13.5" x14ac:dyDescent="0.25">
      <c r="A943" s="1"/>
      <c r="B943" s="3">
        <v>43678</v>
      </c>
      <c r="C943" s="4">
        <v>6.37</v>
      </c>
      <c r="D943" s="4">
        <v>5.1265999999999998</v>
      </c>
      <c r="E943" s="4">
        <v>64551</v>
      </c>
      <c r="F943" s="4">
        <v>6.2996999999999996</v>
      </c>
      <c r="G943" s="4">
        <v>406651.93469999998</v>
      </c>
      <c r="H943" s="5">
        <f t="shared" si="14"/>
        <v>1.5952914131705631E-2</v>
      </c>
    </row>
    <row r="944" spans="1:8" ht="13.5" x14ac:dyDescent="0.25">
      <c r="A944" s="1"/>
      <c r="B944" s="3">
        <v>43679</v>
      </c>
      <c r="C944" s="4">
        <v>6.3</v>
      </c>
      <c r="D944" s="4">
        <v>5.0702999999999996</v>
      </c>
      <c r="E944" s="4">
        <v>1143</v>
      </c>
      <c r="F944" s="4">
        <v>6.3009000000000004</v>
      </c>
      <c r="G944" s="4">
        <v>7201.9287000000004</v>
      </c>
      <c r="H944" s="5">
        <f t="shared" si="14"/>
        <v>-1.0981937346389466E-2</v>
      </c>
    </row>
    <row r="945" spans="1:8" ht="13.5" x14ac:dyDescent="0.25">
      <c r="A945" s="1"/>
      <c r="B945" s="3">
        <v>43682</v>
      </c>
      <c r="C945" s="4">
        <v>6.25</v>
      </c>
      <c r="D945" s="4">
        <v>5.0301</v>
      </c>
      <c r="E945" s="4">
        <v>1630</v>
      </c>
      <c r="F945" s="4">
        <v>6.2548000000000004</v>
      </c>
      <c r="G945" s="4">
        <v>10195.324000000001</v>
      </c>
      <c r="H945" s="5">
        <f t="shared" si="14"/>
        <v>-7.9285249393526176E-3</v>
      </c>
    </row>
    <row r="946" spans="1:8" ht="13.5" x14ac:dyDescent="0.25">
      <c r="A946" s="1"/>
      <c r="B946" s="3">
        <v>43683</v>
      </c>
      <c r="C946" s="4">
        <v>6.3</v>
      </c>
      <c r="D946" s="4">
        <v>5.0702999999999996</v>
      </c>
      <c r="E946" s="4">
        <v>1205</v>
      </c>
      <c r="F946" s="4">
        <v>6.2668999999999997</v>
      </c>
      <c r="G946" s="4">
        <v>7551.6144999999997</v>
      </c>
      <c r="H946" s="5">
        <f t="shared" si="14"/>
        <v>7.9918888292478413E-3</v>
      </c>
    </row>
    <row r="947" spans="1:8" ht="13.5" x14ac:dyDescent="0.25">
      <c r="A947" s="1"/>
      <c r="B947" s="3">
        <v>43684</v>
      </c>
      <c r="C947" s="4">
        <v>6.38</v>
      </c>
      <c r="D947" s="4">
        <v>5.1346999999999996</v>
      </c>
      <c r="E947" s="4">
        <v>1628</v>
      </c>
      <c r="F947" s="4">
        <v>6.2583000000000002</v>
      </c>
      <c r="G947" s="4">
        <v>10188.5124</v>
      </c>
      <c r="H947" s="5">
        <f t="shared" si="14"/>
        <v>1.2701418062047614E-2</v>
      </c>
    </row>
    <row r="948" spans="1:8" ht="13.5" x14ac:dyDescent="0.25">
      <c r="A948" s="1"/>
      <c r="B948" s="3">
        <v>43685</v>
      </c>
      <c r="C948" s="4">
        <v>6.39</v>
      </c>
      <c r="D948" s="4">
        <v>5.1426999999999996</v>
      </c>
      <c r="E948" s="4">
        <v>5000</v>
      </c>
      <c r="F948" s="4">
        <v>6.39</v>
      </c>
      <c r="G948" s="4">
        <v>31950</v>
      </c>
      <c r="H948" s="5">
        <f t="shared" si="14"/>
        <v>1.5580267591095891E-3</v>
      </c>
    </row>
    <row r="949" spans="1:8" ht="13.5" x14ac:dyDescent="0.25">
      <c r="A949" s="1"/>
      <c r="B949" s="3">
        <v>43686</v>
      </c>
      <c r="C949" s="4">
        <v>6.34</v>
      </c>
      <c r="D949" s="4">
        <v>5.1025</v>
      </c>
      <c r="E949" s="4">
        <v>534</v>
      </c>
      <c r="F949" s="4">
        <v>6.2569999999999997</v>
      </c>
      <c r="G949" s="4">
        <v>3341.2379999999998</v>
      </c>
      <c r="H949" s="5">
        <f t="shared" si="14"/>
        <v>-7.8169055165573671E-3</v>
      </c>
    </row>
    <row r="950" spans="1:8" ht="13.5" x14ac:dyDescent="0.25">
      <c r="A950" s="1"/>
      <c r="B950" s="3">
        <v>43691</v>
      </c>
      <c r="C950" s="4">
        <v>6.33</v>
      </c>
      <c r="D950" s="4">
        <v>5.0944000000000003</v>
      </c>
      <c r="E950" s="4">
        <v>1080</v>
      </c>
      <c r="F950" s="4">
        <v>6.1661999999999999</v>
      </c>
      <c r="G950" s="4">
        <v>6659.4960000000001</v>
      </c>
      <c r="H950" s="5">
        <f t="shared" si="14"/>
        <v>-1.5874571288583585E-3</v>
      </c>
    </row>
    <row r="951" spans="1:8" ht="13.5" x14ac:dyDescent="0.25">
      <c r="A951" s="1"/>
      <c r="B951" s="3">
        <v>43692</v>
      </c>
      <c r="C951" s="4">
        <v>6.34</v>
      </c>
      <c r="D951" s="4">
        <v>5.1025</v>
      </c>
      <c r="E951" s="4">
        <v>1</v>
      </c>
      <c r="F951" s="4">
        <v>6.34</v>
      </c>
      <c r="G951" s="4">
        <v>6.34</v>
      </c>
      <c r="H951" s="5">
        <f t="shared" si="14"/>
        <v>1.58998115577885E-3</v>
      </c>
    </row>
    <row r="952" spans="1:8" ht="13.5" x14ac:dyDescent="0.25">
      <c r="A952" s="1"/>
      <c r="B952" s="3">
        <v>43693</v>
      </c>
      <c r="C952" s="4">
        <v>6.15</v>
      </c>
      <c r="D952" s="4">
        <v>4.9496000000000002</v>
      </c>
      <c r="E952" s="4">
        <v>12009</v>
      </c>
      <c r="F952" s="4">
        <v>6.1509</v>
      </c>
      <c r="G952" s="4">
        <v>73866.158100000001</v>
      </c>
      <c r="H952" s="5">
        <f t="shared" si="14"/>
        <v>-2.9965703086722157E-2</v>
      </c>
    </row>
    <row r="953" spans="1:8" ht="13.5" x14ac:dyDescent="0.25">
      <c r="A953" s="1"/>
      <c r="B953" s="3">
        <v>43696</v>
      </c>
      <c r="C953" s="4">
        <v>5.97</v>
      </c>
      <c r="D953" s="4">
        <v>4.8047000000000004</v>
      </c>
      <c r="E953" s="4">
        <v>9985</v>
      </c>
      <c r="F953" s="4">
        <v>5.9842000000000004</v>
      </c>
      <c r="G953" s="4">
        <v>59752.237000000001</v>
      </c>
      <c r="H953" s="5">
        <f t="shared" si="14"/>
        <v>-2.9275092936802933E-2</v>
      </c>
    </row>
    <row r="954" spans="1:8" ht="13.5" x14ac:dyDescent="0.25">
      <c r="A954" s="1"/>
      <c r="B954" s="3">
        <v>43697</v>
      </c>
      <c r="C954" s="4">
        <v>5.95</v>
      </c>
      <c r="D954" s="4">
        <v>4.8680000000000003</v>
      </c>
      <c r="E954" s="4">
        <v>894</v>
      </c>
      <c r="F954" s="4">
        <v>5.8074000000000003</v>
      </c>
      <c r="G954" s="4">
        <v>5191.8155999999999</v>
      </c>
      <c r="H954" s="5">
        <f t="shared" si="14"/>
        <v>1.3174599870959666E-2</v>
      </c>
    </row>
    <row r="955" spans="1:8" ht="13.5" x14ac:dyDescent="0.25">
      <c r="A955" s="1"/>
      <c r="B955" s="3">
        <v>43698</v>
      </c>
      <c r="C955" s="4">
        <v>6.1</v>
      </c>
      <c r="D955" s="4">
        <v>4.9907000000000004</v>
      </c>
      <c r="E955" s="4">
        <v>2621</v>
      </c>
      <c r="F955" s="4">
        <v>6.0232000000000001</v>
      </c>
      <c r="G955" s="4">
        <v>15786.807199999999</v>
      </c>
      <c r="H955" s="5">
        <f t="shared" si="14"/>
        <v>2.5205423171733778E-2</v>
      </c>
    </row>
    <row r="956" spans="1:8" ht="13.5" x14ac:dyDescent="0.25">
      <c r="A956" s="1"/>
      <c r="B956" s="3">
        <v>43699</v>
      </c>
      <c r="C956" s="4">
        <v>6.1</v>
      </c>
      <c r="D956" s="4">
        <v>4.9907000000000004</v>
      </c>
      <c r="E956" s="4">
        <v>760</v>
      </c>
      <c r="F956" s="4">
        <v>6.1006999999999998</v>
      </c>
      <c r="G956" s="4">
        <v>4636.5320000000002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6.09</v>
      </c>
      <c r="D957" s="4">
        <v>4.9824999999999999</v>
      </c>
      <c r="E957" s="4">
        <v>4399</v>
      </c>
      <c r="F957" s="4">
        <v>6.0038</v>
      </c>
      <c r="G957" s="4">
        <v>26410.716199999999</v>
      </c>
      <c r="H957" s="5">
        <f t="shared" si="14"/>
        <v>-1.6430560843169152E-3</v>
      </c>
    </row>
    <row r="958" spans="1:8" ht="13.5" x14ac:dyDescent="0.25">
      <c r="A958" s="1"/>
      <c r="B958" s="3">
        <v>43703</v>
      </c>
      <c r="C958" s="4">
        <v>6.18</v>
      </c>
      <c r="D958" s="4">
        <v>5.0560999999999998</v>
      </c>
      <c r="E958" s="4">
        <v>782</v>
      </c>
      <c r="F958" s="4">
        <v>6.0749000000000004</v>
      </c>
      <c r="G958" s="4">
        <v>4750.5717999999997</v>
      </c>
      <c r="H958" s="5">
        <f t="shared" si="14"/>
        <v>1.4771700953336657E-2</v>
      </c>
    </row>
    <row r="959" spans="1:8" ht="13.5" x14ac:dyDescent="0.25">
      <c r="A959" s="1"/>
      <c r="B959" s="3">
        <v>43704</v>
      </c>
      <c r="C959" s="4">
        <v>6.1</v>
      </c>
      <c r="D959" s="4">
        <v>4.9907000000000004</v>
      </c>
      <c r="E959" s="4">
        <v>6052</v>
      </c>
      <c r="F959" s="4">
        <v>5.9386999999999999</v>
      </c>
      <c r="G959" s="4">
        <v>35941.0124</v>
      </c>
      <c r="H959" s="5">
        <f t="shared" si="14"/>
        <v>-1.2934870750182841E-2</v>
      </c>
    </row>
    <row r="960" spans="1:8" ht="13.5" x14ac:dyDescent="0.25">
      <c r="A960" s="1"/>
      <c r="B960" s="3">
        <v>43705</v>
      </c>
      <c r="C960" s="4">
        <v>5.92</v>
      </c>
      <c r="D960" s="4">
        <v>4.8433999999999999</v>
      </c>
      <c r="E960" s="4">
        <v>7031</v>
      </c>
      <c r="F960" s="4">
        <v>5.9345999999999997</v>
      </c>
      <c r="G960" s="4">
        <v>41726.172599999998</v>
      </c>
      <c r="H960" s="5">
        <f t="shared" si="14"/>
        <v>-2.9514897709740202E-2</v>
      </c>
    </row>
    <row r="961" spans="1:8" ht="13.5" x14ac:dyDescent="0.25">
      <c r="A961" s="1"/>
      <c r="B961" s="3">
        <v>43706</v>
      </c>
      <c r="C961" s="4">
        <v>5.87</v>
      </c>
      <c r="D961" s="4">
        <v>4.8025000000000002</v>
      </c>
      <c r="E961" s="4">
        <v>10072</v>
      </c>
      <c r="F961" s="4">
        <v>5.9001000000000001</v>
      </c>
      <c r="G961" s="4">
        <v>59425.807200000003</v>
      </c>
      <c r="H961" s="5">
        <f t="shared" si="14"/>
        <v>-8.4444811496055903E-3</v>
      </c>
    </row>
    <row r="962" spans="1:8" ht="13.5" x14ac:dyDescent="0.25">
      <c r="A962" s="1"/>
      <c r="B962" s="3">
        <v>43707</v>
      </c>
      <c r="C962" s="4">
        <v>5.86</v>
      </c>
      <c r="D962" s="4">
        <v>4.7942999999999998</v>
      </c>
      <c r="E962" s="4">
        <v>6974</v>
      </c>
      <c r="F962" s="4">
        <v>5.8925000000000001</v>
      </c>
      <c r="G962" s="4">
        <v>41094.294999999998</v>
      </c>
      <c r="H962" s="5">
        <f t="shared" si="14"/>
        <v>-1.707444039562817E-3</v>
      </c>
    </row>
    <row r="963" spans="1:8" ht="13.5" x14ac:dyDescent="0.25">
      <c r="A963" s="1"/>
      <c r="B963" s="3">
        <v>43710</v>
      </c>
      <c r="C963" s="4">
        <v>5.8</v>
      </c>
      <c r="D963" s="4">
        <v>4.7451999999999996</v>
      </c>
      <c r="E963" s="4">
        <v>1314</v>
      </c>
      <c r="F963" s="4">
        <v>5.7458</v>
      </c>
      <c r="G963" s="4">
        <v>7549.9812000000002</v>
      </c>
      <c r="H963" s="5">
        <f t="shared" si="14"/>
        <v>-1.0241328243956396E-2</v>
      </c>
    </row>
    <row r="964" spans="1:8" ht="13.5" x14ac:dyDescent="0.25">
      <c r="A964" s="1"/>
      <c r="B964" s="3">
        <v>43711</v>
      </c>
      <c r="C964" s="4">
        <v>5.7</v>
      </c>
      <c r="D964" s="4">
        <v>4.6634000000000002</v>
      </c>
      <c r="E964" s="4">
        <v>4548</v>
      </c>
      <c r="F964" s="4">
        <v>5.6867999999999999</v>
      </c>
      <c r="G964" s="4">
        <v>25863.5664</v>
      </c>
      <c r="H964" s="5">
        <f t="shared" si="14"/>
        <v>-1.7238472561746487E-2</v>
      </c>
    </row>
    <row r="965" spans="1:8" ht="13.5" x14ac:dyDescent="0.25">
      <c r="A965" s="1"/>
      <c r="B965" s="3">
        <v>43712</v>
      </c>
      <c r="C965" s="4">
        <v>5.59</v>
      </c>
      <c r="D965" s="4">
        <v>4.5734000000000004</v>
      </c>
      <c r="E965" s="4">
        <v>733</v>
      </c>
      <c r="F965" s="4">
        <v>5.5147000000000004</v>
      </c>
      <c r="G965" s="4">
        <v>4042.2750999999998</v>
      </c>
      <c r="H965" s="5">
        <f t="shared" si="14"/>
        <v>-1.929922374233389E-2</v>
      </c>
    </row>
    <row r="966" spans="1:8" ht="13.5" x14ac:dyDescent="0.25">
      <c r="A966" s="1"/>
      <c r="B966" s="3">
        <v>43713</v>
      </c>
      <c r="C966" s="4">
        <v>5.64</v>
      </c>
      <c r="D966" s="4">
        <v>4.6143000000000001</v>
      </c>
      <c r="E966" s="4">
        <v>3806</v>
      </c>
      <c r="F966" s="4">
        <v>5.4978999999999996</v>
      </c>
      <c r="G966" s="4">
        <v>20925.007399999999</v>
      </c>
      <c r="H966" s="5">
        <f t="shared" si="14"/>
        <v>8.943018323347993E-3</v>
      </c>
    </row>
    <row r="967" spans="1:8" ht="13.5" x14ac:dyDescent="0.25">
      <c r="A967" s="1"/>
      <c r="B967" s="3">
        <v>43714</v>
      </c>
      <c r="C967" s="4">
        <v>5.48</v>
      </c>
      <c r="D967" s="4">
        <v>4.4833999999999996</v>
      </c>
      <c r="E967" s="4">
        <v>1489</v>
      </c>
      <c r="F967" s="4">
        <v>5.4996999999999998</v>
      </c>
      <c r="G967" s="4">
        <v>8189.0532999999996</v>
      </c>
      <c r="H967" s="5">
        <f t="shared" ref="H967:H1030" si="15">(D967-D966)/D966</f>
        <v>-2.8368333224974635E-2</v>
      </c>
    </row>
    <row r="968" spans="1:8" ht="13.5" x14ac:dyDescent="0.25">
      <c r="A968" s="1"/>
      <c r="B968" s="3">
        <v>43717</v>
      </c>
      <c r="C968" s="4">
        <v>5.48</v>
      </c>
      <c r="D968" s="4">
        <v>4.4833999999999996</v>
      </c>
      <c r="E968" s="4">
        <v>1533</v>
      </c>
      <c r="F968" s="4">
        <v>5.4097</v>
      </c>
      <c r="G968" s="4">
        <v>8293.0701000000008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5.55</v>
      </c>
      <c r="D969" s="4">
        <v>4.5407000000000002</v>
      </c>
      <c r="E969" s="4">
        <v>5769</v>
      </c>
      <c r="F969" s="4">
        <v>5.5180999999999996</v>
      </c>
      <c r="G969" s="4">
        <v>31833.918900000001</v>
      </c>
      <c r="H969" s="5">
        <f t="shared" si="15"/>
        <v>1.2780479100682647E-2</v>
      </c>
    </row>
    <row r="970" spans="1:8" ht="13.5" x14ac:dyDescent="0.25">
      <c r="A970" s="1"/>
      <c r="B970" s="3">
        <v>43719</v>
      </c>
      <c r="C970" s="4">
        <v>5.64</v>
      </c>
      <c r="D970" s="4">
        <v>4.6143000000000001</v>
      </c>
      <c r="E970" s="4">
        <v>1483</v>
      </c>
      <c r="F970" s="4">
        <v>5.5503999999999998</v>
      </c>
      <c r="G970" s="4">
        <v>8231.2432000000008</v>
      </c>
      <c r="H970" s="5">
        <f t="shared" si="15"/>
        <v>1.6208954566476509E-2</v>
      </c>
    </row>
    <row r="971" spans="1:8" ht="13.5" x14ac:dyDescent="0.25">
      <c r="A971" s="1"/>
      <c r="B971" s="3">
        <v>43720</v>
      </c>
      <c r="C971" s="4">
        <v>5.61</v>
      </c>
      <c r="D971" s="4">
        <v>4.5898000000000003</v>
      </c>
      <c r="E971" s="4">
        <v>1111</v>
      </c>
      <c r="F971" s="4">
        <v>5.6116999999999999</v>
      </c>
      <c r="G971" s="4">
        <v>6234.5986999999996</v>
      </c>
      <c r="H971" s="5">
        <f t="shared" si="15"/>
        <v>-5.3095810848882265E-3</v>
      </c>
    </row>
    <row r="972" spans="1:8" ht="13.5" x14ac:dyDescent="0.25">
      <c r="A972" s="1"/>
      <c r="B972" s="3">
        <v>43721</v>
      </c>
      <c r="C972" s="4">
        <v>5.59</v>
      </c>
      <c r="D972" s="4">
        <v>4.5734000000000004</v>
      </c>
      <c r="E972" s="4">
        <v>7346</v>
      </c>
      <c r="F972" s="4">
        <v>5.5872999999999999</v>
      </c>
      <c r="G972" s="4">
        <v>41044.305800000002</v>
      </c>
      <c r="H972" s="5">
        <f t="shared" si="15"/>
        <v>-3.5731404418493113E-3</v>
      </c>
    </row>
    <row r="973" spans="1:8" ht="13.5" x14ac:dyDescent="0.25">
      <c r="A973" s="1"/>
      <c r="B973" s="3">
        <v>43724</v>
      </c>
      <c r="C973" s="4">
        <v>5.48</v>
      </c>
      <c r="D973" s="4">
        <v>4.4833999999999996</v>
      </c>
      <c r="E973" s="4">
        <v>4691</v>
      </c>
      <c r="F973" s="4">
        <v>5.4701000000000004</v>
      </c>
      <c r="G973" s="4">
        <v>25660.239099999999</v>
      </c>
      <c r="H973" s="5">
        <f t="shared" si="15"/>
        <v>-1.9679013425460433E-2</v>
      </c>
    </row>
    <row r="974" spans="1:8" ht="13.5" x14ac:dyDescent="0.25">
      <c r="A974" s="1"/>
      <c r="B974" s="3">
        <v>43725</v>
      </c>
      <c r="C974" s="4">
        <v>5.54</v>
      </c>
      <c r="D974" s="4">
        <v>4.5324999999999998</v>
      </c>
      <c r="E974" s="4">
        <v>527</v>
      </c>
      <c r="F974" s="4">
        <v>5.4009</v>
      </c>
      <c r="G974" s="4">
        <v>2846.2743</v>
      </c>
      <c r="H974" s="5">
        <f t="shared" si="15"/>
        <v>1.0951510014721003E-2</v>
      </c>
    </row>
    <row r="975" spans="1:8" ht="13.5" x14ac:dyDescent="0.25">
      <c r="A975" s="1"/>
      <c r="B975" s="3">
        <v>43726</v>
      </c>
      <c r="C975" s="4">
        <v>5.53</v>
      </c>
      <c r="D975" s="4">
        <v>4.5243000000000002</v>
      </c>
      <c r="E975" s="4">
        <v>4320</v>
      </c>
      <c r="F975" s="4">
        <v>5.4036999999999997</v>
      </c>
      <c r="G975" s="4">
        <v>23343.984</v>
      </c>
      <c r="H975" s="5">
        <f t="shared" si="15"/>
        <v>-1.8091560948702795E-3</v>
      </c>
    </row>
    <row r="976" spans="1:8" ht="13.5" x14ac:dyDescent="0.25">
      <c r="A976" s="1"/>
      <c r="B976" s="3">
        <v>43727</v>
      </c>
      <c r="C976" s="4">
        <v>5.48</v>
      </c>
      <c r="D976" s="4">
        <v>4.4833999999999996</v>
      </c>
      <c r="E976" s="4">
        <v>1555</v>
      </c>
      <c r="F976" s="4">
        <v>5.4413999999999998</v>
      </c>
      <c r="G976" s="4">
        <v>8461.3770000000004</v>
      </c>
      <c r="H976" s="5">
        <f t="shared" si="15"/>
        <v>-9.0400724974030455E-3</v>
      </c>
    </row>
    <row r="977" spans="1:8" ht="13.5" x14ac:dyDescent="0.25">
      <c r="A977" s="1"/>
      <c r="B977" s="3">
        <v>43728</v>
      </c>
      <c r="C977" s="4">
        <v>5.35</v>
      </c>
      <c r="D977" s="4">
        <v>4.3771000000000004</v>
      </c>
      <c r="E977" s="4">
        <v>3932</v>
      </c>
      <c r="F977" s="4">
        <v>5.3695000000000004</v>
      </c>
      <c r="G977" s="4">
        <v>21112.874</v>
      </c>
      <c r="H977" s="5">
        <f t="shared" si="15"/>
        <v>-2.3709684614354996E-2</v>
      </c>
    </row>
    <row r="978" spans="1:8" ht="13.5" x14ac:dyDescent="0.25">
      <c r="A978" s="1"/>
      <c r="B978" s="3">
        <v>43731</v>
      </c>
      <c r="C978" s="4">
        <v>5.4</v>
      </c>
      <c r="D978" s="4">
        <v>4.4180000000000001</v>
      </c>
      <c r="E978" s="4">
        <v>4822</v>
      </c>
      <c r="F978" s="4">
        <v>5.4028999999999998</v>
      </c>
      <c r="G978" s="4">
        <v>26052.783800000001</v>
      </c>
      <c r="H978" s="5">
        <f t="shared" si="15"/>
        <v>9.3440862671631247E-3</v>
      </c>
    </row>
    <row r="979" spans="1:8" ht="13.5" x14ac:dyDescent="0.25">
      <c r="A979" s="1"/>
      <c r="B979" s="3">
        <v>43732</v>
      </c>
      <c r="C979" s="4">
        <v>5.39</v>
      </c>
      <c r="D979" s="4">
        <v>4.4097999999999997</v>
      </c>
      <c r="E979" s="4">
        <v>1497</v>
      </c>
      <c r="F979" s="4">
        <v>5.2737999999999996</v>
      </c>
      <c r="G979" s="4">
        <v>7894.8786</v>
      </c>
      <c r="H979" s="5">
        <f t="shared" si="15"/>
        <v>-1.8560434585786394E-3</v>
      </c>
    </row>
    <row r="980" spans="1:8" ht="13.5" x14ac:dyDescent="0.25">
      <c r="A980" s="1"/>
      <c r="B980" s="3">
        <v>43733</v>
      </c>
      <c r="C980" s="4">
        <v>5.25</v>
      </c>
      <c r="D980" s="4">
        <v>4.2953000000000001</v>
      </c>
      <c r="E980" s="4">
        <v>1419</v>
      </c>
      <c r="F980" s="4">
        <v>5.3415999999999997</v>
      </c>
      <c r="G980" s="4">
        <v>7579.7304000000004</v>
      </c>
      <c r="H980" s="5">
        <f t="shared" si="15"/>
        <v>-2.5964896367182095E-2</v>
      </c>
    </row>
    <row r="981" spans="1:8" ht="13.5" x14ac:dyDescent="0.25">
      <c r="A981" s="1"/>
      <c r="B981" s="3">
        <v>43734</v>
      </c>
      <c r="C981" s="4">
        <v>5.37</v>
      </c>
      <c r="D981" s="4">
        <v>4.3933999999999997</v>
      </c>
      <c r="E981" s="4">
        <v>6830</v>
      </c>
      <c r="F981" s="4">
        <v>5.2522000000000002</v>
      </c>
      <c r="G981" s="4">
        <v>35872.525999999998</v>
      </c>
      <c r="H981" s="5">
        <f t="shared" si="15"/>
        <v>2.2838916955742236E-2</v>
      </c>
    </row>
    <row r="982" spans="1:8" ht="13.5" x14ac:dyDescent="0.25">
      <c r="A982" s="1"/>
      <c r="B982" s="3">
        <v>43735</v>
      </c>
      <c r="C982" s="4">
        <v>5.35</v>
      </c>
      <c r="D982" s="4">
        <v>4.3771000000000004</v>
      </c>
      <c r="E982" s="4">
        <v>5731</v>
      </c>
      <c r="F982" s="4">
        <v>5.2523</v>
      </c>
      <c r="G982" s="4">
        <v>30100.9313</v>
      </c>
      <c r="H982" s="5">
        <f t="shared" si="15"/>
        <v>-3.710110620476013E-3</v>
      </c>
    </row>
    <row r="983" spans="1:8" ht="13.5" x14ac:dyDescent="0.25">
      <c r="A983" s="1"/>
      <c r="B983" s="3">
        <v>43738</v>
      </c>
      <c r="C983" s="4">
        <v>5.2</v>
      </c>
      <c r="D983" s="4">
        <v>4.2542999999999997</v>
      </c>
      <c r="E983" s="4">
        <v>11795</v>
      </c>
      <c r="F983" s="4">
        <v>5.1375999999999999</v>
      </c>
      <c r="G983" s="4">
        <v>60597.991999999998</v>
      </c>
      <c r="H983" s="5">
        <f t="shared" si="15"/>
        <v>-2.8055104978182054E-2</v>
      </c>
    </row>
    <row r="984" spans="1:8" ht="13.5" x14ac:dyDescent="0.25">
      <c r="A984" s="1"/>
      <c r="B984" s="3">
        <v>43739</v>
      </c>
      <c r="C984" s="4">
        <v>5.18</v>
      </c>
      <c r="D984" s="4">
        <v>4.2380000000000004</v>
      </c>
      <c r="E984" s="4">
        <v>11560</v>
      </c>
      <c r="F984" s="4">
        <v>5.1410999999999998</v>
      </c>
      <c r="G984" s="4">
        <v>59431.116000000002</v>
      </c>
      <c r="H984" s="5">
        <f t="shared" si="15"/>
        <v>-3.8314176245209121E-3</v>
      </c>
    </row>
    <row r="985" spans="1:8" ht="13.5" x14ac:dyDescent="0.25">
      <c r="A985" s="1"/>
      <c r="B985" s="3">
        <v>43740</v>
      </c>
      <c r="C985" s="4">
        <v>5.17</v>
      </c>
      <c r="D985" s="4">
        <v>4.2298</v>
      </c>
      <c r="E985" s="4">
        <v>1053</v>
      </c>
      <c r="F985" s="4">
        <v>5.1558000000000002</v>
      </c>
      <c r="G985" s="4">
        <v>5429.0573999999997</v>
      </c>
      <c r="H985" s="5">
        <f t="shared" si="15"/>
        <v>-1.9348749410100115E-3</v>
      </c>
    </row>
    <row r="986" spans="1:8" ht="13.5" x14ac:dyDescent="0.25">
      <c r="A986" s="1"/>
      <c r="B986" s="3">
        <v>43741</v>
      </c>
      <c r="C986" s="4">
        <v>4.9800000000000004</v>
      </c>
      <c r="D986" s="4">
        <v>4.0743999999999998</v>
      </c>
      <c r="E986" s="4">
        <v>11461</v>
      </c>
      <c r="F986" s="4">
        <v>4.9801000000000002</v>
      </c>
      <c r="G986" s="4">
        <v>57076.926099999997</v>
      </c>
      <c r="H986" s="5">
        <f t="shared" si="15"/>
        <v>-3.6739325736441487E-2</v>
      </c>
    </row>
    <row r="987" spans="1:8" ht="13.5" x14ac:dyDescent="0.25">
      <c r="A987" s="1"/>
      <c r="B987" s="3">
        <v>43742</v>
      </c>
      <c r="C987" s="4">
        <v>4.8</v>
      </c>
      <c r="D987" s="4">
        <v>3.9270999999999998</v>
      </c>
      <c r="E987" s="4">
        <v>49409</v>
      </c>
      <c r="F987" s="4">
        <v>4.7710999999999997</v>
      </c>
      <c r="G987" s="4">
        <v>235735.27989999999</v>
      </c>
      <c r="H987" s="5">
        <f t="shared" si="15"/>
        <v>-3.6152562340467306E-2</v>
      </c>
    </row>
    <row r="988" spans="1:8" ht="13.5" x14ac:dyDescent="0.25">
      <c r="A988" s="1"/>
      <c r="B988" s="3">
        <v>43745</v>
      </c>
      <c r="C988" s="4">
        <v>4.8</v>
      </c>
      <c r="D988" s="4">
        <v>3.9270999999999998</v>
      </c>
      <c r="E988" s="4">
        <v>88</v>
      </c>
      <c r="F988" s="4">
        <v>4.8108000000000004</v>
      </c>
      <c r="G988" s="4">
        <v>423.35039999999998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4.7300000000000004</v>
      </c>
      <c r="D989" s="4">
        <v>3.8698000000000001</v>
      </c>
      <c r="E989" s="4">
        <v>764</v>
      </c>
      <c r="F989" s="4">
        <v>4.7317999999999998</v>
      </c>
      <c r="G989" s="4">
        <v>3615.0952000000002</v>
      </c>
      <c r="H989" s="5">
        <f t="shared" si="15"/>
        <v>-1.4590919508033838E-2</v>
      </c>
    </row>
    <row r="990" spans="1:8" ht="13.5" x14ac:dyDescent="0.25">
      <c r="A990" s="1"/>
      <c r="B990" s="3">
        <v>43747</v>
      </c>
      <c r="C990" s="4">
        <v>4.59</v>
      </c>
      <c r="D990" s="4">
        <v>3.7553000000000001</v>
      </c>
      <c r="E990" s="4">
        <v>7856</v>
      </c>
      <c r="F990" s="4">
        <v>4.5904999999999996</v>
      </c>
      <c r="G990" s="4">
        <v>36062.968000000001</v>
      </c>
      <c r="H990" s="5">
        <f t="shared" si="15"/>
        <v>-2.9588092407876385E-2</v>
      </c>
    </row>
    <row r="991" spans="1:8" ht="13.5" x14ac:dyDescent="0.25">
      <c r="A991" s="1"/>
      <c r="B991" s="3">
        <v>43748</v>
      </c>
      <c r="C991" s="4">
        <v>4.59</v>
      </c>
      <c r="D991" s="4">
        <v>3.7553000000000001</v>
      </c>
      <c r="E991" s="4">
        <v>10027</v>
      </c>
      <c r="F991" s="4">
        <v>4.4827000000000004</v>
      </c>
      <c r="G991" s="4">
        <v>44948.032899999998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4.7</v>
      </c>
      <c r="D992" s="4">
        <v>3.8452999999999999</v>
      </c>
      <c r="E992" s="4">
        <v>5931</v>
      </c>
      <c r="F992" s="4">
        <v>4.7127999999999997</v>
      </c>
      <c r="G992" s="4">
        <v>27951.6168</v>
      </c>
      <c r="H992" s="5">
        <f t="shared" si="15"/>
        <v>2.3966127872606678E-2</v>
      </c>
    </row>
    <row r="993" spans="1:8" ht="13.5" x14ac:dyDescent="0.25">
      <c r="A993" s="1"/>
      <c r="B993" s="3">
        <v>43752</v>
      </c>
      <c r="C993" s="4">
        <v>4.91</v>
      </c>
      <c r="D993" s="4">
        <v>4.0171000000000001</v>
      </c>
      <c r="E993" s="4">
        <v>2878</v>
      </c>
      <c r="F993" s="4">
        <v>4.8673000000000002</v>
      </c>
      <c r="G993" s="4">
        <v>14008.089400000001</v>
      </c>
      <c r="H993" s="5">
        <f t="shared" si="15"/>
        <v>4.4677918497906581E-2</v>
      </c>
    </row>
    <row r="994" spans="1:8" ht="13.5" x14ac:dyDescent="0.25">
      <c r="A994" s="1"/>
      <c r="B994" s="3">
        <v>43754</v>
      </c>
      <c r="C994" s="4">
        <v>5.2</v>
      </c>
      <c r="D994" s="4">
        <v>4.2542999999999997</v>
      </c>
      <c r="E994" s="4">
        <v>6094</v>
      </c>
      <c r="F994" s="4">
        <v>5.1437999999999997</v>
      </c>
      <c r="G994" s="4">
        <v>31346.317200000001</v>
      </c>
      <c r="H994" s="5">
        <f t="shared" si="15"/>
        <v>5.9047571631276198E-2</v>
      </c>
    </row>
    <row r="995" spans="1:8" ht="13.5" x14ac:dyDescent="0.25">
      <c r="A995" s="1"/>
      <c r="B995" s="3">
        <v>43755</v>
      </c>
      <c r="C995" s="4">
        <v>5.51</v>
      </c>
      <c r="D995" s="4">
        <v>4.508</v>
      </c>
      <c r="E995" s="4">
        <v>12567</v>
      </c>
      <c r="F995" s="4">
        <v>5.5071000000000003</v>
      </c>
      <c r="G995" s="4">
        <v>69207.725699999995</v>
      </c>
      <c r="H995" s="5">
        <f t="shared" si="15"/>
        <v>5.9633782290858722E-2</v>
      </c>
    </row>
    <row r="996" spans="1:8" ht="13.5" x14ac:dyDescent="0.25">
      <c r="A996" s="1"/>
      <c r="B996" s="3">
        <v>43756</v>
      </c>
      <c r="C996" s="4">
        <v>5.84</v>
      </c>
      <c r="D996" s="4">
        <v>4.7779999999999996</v>
      </c>
      <c r="E996" s="4">
        <v>23427</v>
      </c>
      <c r="F996" s="4">
        <v>5.7774000000000001</v>
      </c>
      <c r="G996" s="4">
        <v>135347.14980000001</v>
      </c>
      <c r="H996" s="5">
        <f t="shared" si="15"/>
        <v>5.9893522626441785E-2</v>
      </c>
    </row>
    <row r="997" spans="1:8" ht="13.5" x14ac:dyDescent="0.25">
      <c r="A997" s="1"/>
      <c r="B997" s="3">
        <v>43759</v>
      </c>
      <c r="C997" s="4">
        <v>5.75</v>
      </c>
      <c r="D997" s="4">
        <v>4.7042999999999999</v>
      </c>
      <c r="E997" s="4">
        <v>28175</v>
      </c>
      <c r="F997" s="4">
        <v>5.7988</v>
      </c>
      <c r="G997" s="4">
        <v>163381.19</v>
      </c>
      <c r="H997" s="5">
        <f t="shared" si="15"/>
        <v>-1.5424863959815752E-2</v>
      </c>
    </row>
    <row r="998" spans="1:8" ht="13.5" x14ac:dyDescent="0.25">
      <c r="A998" s="1"/>
      <c r="B998" s="3">
        <v>43760</v>
      </c>
      <c r="C998" s="4">
        <v>5.75</v>
      </c>
      <c r="D998" s="4">
        <v>4.7042999999999999</v>
      </c>
      <c r="E998" s="4">
        <v>7501</v>
      </c>
      <c r="F998" s="4">
        <v>5.7971000000000004</v>
      </c>
      <c r="G998" s="4">
        <v>43484.047100000003</v>
      </c>
      <c r="H998" s="5">
        <f t="shared" si="15"/>
        <v>0</v>
      </c>
    </row>
    <row r="999" spans="1:8" ht="13.5" x14ac:dyDescent="0.25">
      <c r="A999" s="1"/>
      <c r="B999" s="3">
        <v>43761</v>
      </c>
      <c r="C999" s="4">
        <v>5.75</v>
      </c>
      <c r="D999" s="4">
        <v>4.7042999999999999</v>
      </c>
      <c r="E999" s="4">
        <v>46</v>
      </c>
      <c r="F999" s="4">
        <v>5.7728000000000002</v>
      </c>
      <c r="G999" s="4">
        <v>265.54880000000003</v>
      </c>
      <c r="H999" s="5">
        <f t="shared" si="15"/>
        <v>0</v>
      </c>
    </row>
    <row r="1000" spans="1:8" ht="13.5" x14ac:dyDescent="0.25">
      <c r="A1000" s="1"/>
      <c r="B1000" s="3">
        <v>43762</v>
      </c>
      <c r="C1000" s="4">
        <v>5.58</v>
      </c>
      <c r="D1000" s="4">
        <v>4.5651999999999999</v>
      </c>
      <c r="E1000" s="4">
        <v>663</v>
      </c>
      <c r="F1000" s="4">
        <v>5.6333000000000002</v>
      </c>
      <c r="G1000" s="4">
        <v>3734.8779</v>
      </c>
      <c r="H1000" s="5">
        <f t="shared" si="15"/>
        <v>-2.9568692472843994E-2</v>
      </c>
    </row>
    <row r="1001" spans="1:8" ht="13.5" x14ac:dyDescent="0.25">
      <c r="A1001" s="1"/>
      <c r="B1001" s="3">
        <v>43763</v>
      </c>
      <c r="C1001" s="4">
        <v>5.4</v>
      </c>
      <c r="D1001" s="4">
        <v>4.4180000000000001</v>
      </c>
      <c r="E1001" s="4">
        <v>613</v>
      </c>
      <c r="F1001" s="4">
        <v>5.4214000000000002</v>
      </c>
      <c r="G1001" s="4">
        <v>3323.3182000000002</v>
      </c>
      <c r="H1001" s="5">
        <f t="shared" si="15"/>
        <v>-3.2243932357837506E-2</v>
      </c>
    </row>
    <row r="1002" spans="1:8" ht="13.5" x14ac:dyDescent="0.25">
      <c r="A1002" s="1"/>
      <c r="B1002" s="3">
        <v>43766</v>
      </c>
      <c r="C1002" s="4">
        <v>5.16</v>
      </c>
      <c r="D1002" s="4">
        <v>4.2215999999999996</v>
      </c>
      <c r="E1002" s="4">
        <v>21511</v>
      </c>
      <c r="F1002" s="4">
        <v>5.1378000000000004</v>
      </c>
      <c r="G1002" s="4">
        <v>110519.21580000001</v>
      </c>
      <c r="H1002" s="5">
        <f t="shared" si="15"/>
        <v>-4.4454504300588629E-2</v>
      </c>
    </row>
    <row r="1003" spans="1:8" ht="13.5" x14ac:dyDescent="0.25">
      <c r="A1003" s="1"/>
      <c r="B1003" s="3">
        <v>43767</v>
      </c>
      <c r="C1003" s="4">
        <v>5.05</v>
      </c>
      <c r="D1003" s="4">
        <v>4.1315999999999997</v>
      </c>
      <c r="E1003" s="4">
        <v>9727</v>
      </c>
      <c r="F1003" s="4">
        <v>5.0511999999999997</v>
      </c>
      <c r="G1003" s="4">
        <v>49133.022400000002</v>
      </c>
      <c r="H1003" s="5">
        <f t="shared" si="15"/>
        <v>-2.131893121091526E-2</v>
      </c>
    </row>
    <row r="1004" spans="1:8" ht="13.5" x14ac:dyDescent="0.25">
      <c r="A1004" s="1"/>
      <c r="B1004" s="3">
        <v>43768</v>
      </c>
      <c r="C1004" s="4">
        <v>5.01</v>
      </c>
      <c r="D1004" s="4">
        <v>4.0989000000000004</v>
      </c>
      <c r="E1004" s="4">
        <v>5319</v>
      </c>
      <c r="F1004" s="4">
        <v>5.0145999999999997</v>
      </c>
      <c r="G1004" s="4">
        <v>26672.6574</v>
      </c>
      <c r="H1004" s="5">
        <f t="shared" si="15"/>
        <v>-7.9146093523088604E-3</v>
      </c>
    </row>
    <row r="1005" spans="1:8" ht="13.5" x14ac:dyDescent="0.25">
      <c r="A1005" s="1"/>
      <c r="B1005" s="3">
        <v>43769</v>
      </c>
      <c r="C1005" s="4">
        <v>5.01</v>
      </c>
      <c r="D1005" s="4">
        <v>4.0989000000000004</v>
      </c>
      <c r="E1005" s="4">
        <v>13297</v>
      </c>
      <c r="F1005" s="4">
        <v>4.9589999999999996</v>
      </c>
      <c r="G1005" s="4">
        <v>65939.823000000004</v>
      </c>
      <c r="H1005" s="5">
        <f t="shared" si="15"/>
        <v>0</v>
      </c>
    </row>
    <row r="1006" spans="1:8" ht="13.5" x14ac:dyDescent="0.25">
      <c r="A1006" s="1"/>
      <c r="B1006" s="3">
        <v>43770</v>
      </c>
      <c r="C1006" s="4">
        <v>4.96</v>
      </c>
      <c r="D1006" s="4">
        <v>4.0579999999999998</v>
      </c>
      <c r="E1006" s="4">
        <v>6440</v>
      </c>
      <c r="F1006" s="4">
        <v>5.0079000000000002</v>
      </c>
      <c r="G1006" s="4">
        <v>32250.876</v>
      </c>
      <c r="H1006" s="5">
        <f t="shared" si="15"/>
        <v>-9.9782868574497061E-3</v>
      </c>
    </row>
    <row r="1007" spans="1:8" ht="13.5" x14ac:dyDescent="0.25">
      <c r="A1007" s="1"/>
      <c r="B1007" s="3">
        <v>43773</v>
      </c>
      <c r="C1007" s="4">
        <v>4.95</v>
      </c>
      <c r="D1007" s="4">
        <v>4.0498000000000003</v>
      </c>
      <c r="E1007" s="4">
        <v>2905</v>
      </c>
      <c r="F1007" s="4">
        <v>4.9509999999999996</v>
      </c>
      <c r="G1007" s="4">
        <v>14382.655000000001</v>
      </c>
      <c r="H1007" s="5">
        <f t="shared" si="15"/>
        <v>-2.0206998521438003E-3</v>
      </c>
    </row>
    <row r="1008" spans="1:8" ht="13.5" x14ac:dyDescent="0.25">
      <c r="A1008" s="1"/>
      <c r="B1008" s="3">
        <v>43774</v>
      </c>
      <c r="C1008" s="4">
        <v>4.7300000000000004</v>
      </c>
      <c r="D1008" s="4">
        <v>3.8698000000000001</v>
      </c>
      <c r="E1008" s="4">
        <v>5002</v>
      </c>
      <c r="F1008" s="4">
        <v>4.7214</v>
      </c>
      <c r="G1008" s="4">
        <v>23616.442800000001</v>
      </c>
      <c r="H1008" s="5">
        <f t="shared" si="15"/>
        <v>-4.4446639340214367E-2</v>
      </c>
    </row>
    <row r="1009" spans="1:8" ht="13.5" x14ac:dyDescent="0.25">
      <c r="A1009" s="1"/>
      <c r="B1009" s="3">
        <v>43775</v>
      </c>
      <c r="C1009" s="4">
        <v>4.66</v>
      </c>
      <c r="D1009" s="4">
        <v>3.8126000000000002</v>
      </c>
      <c r="E1009" s="4">
        <v>2657</v>
      </c>
      <c r="F1009" s="4">
        <v>4.6790000000000003</v>
      </c>
      <c r="G1009" s="4">
        <v>12432.102999999999</v>
      </c>
      <c r="H1009" s="5">
        <f t="shared" si="15"/>
        <v>-1.4781125639567915E-2</v>
      </c>
    </row>
    <row r="1010" spans="1:8" ht="13.5" x14ac:dyDescent="0.25">
      <c r="A1010" s="1"/>
      <c r="B1010" s="3">
        <v>43776</v>
      </c>
      <c r="C1010" s="4">
        <v>4.83</v>
      </c>
      <c r="D1010" s="4">
        <v>3.9516</v>
      </c>
      <c r="E1010" s="4">
        <v>12357</v>
      </c>
      <c r="F1010" s="4">
        <v>4.7361000000000004</v>
      </c>
      <c r="G1010" s="4">
        <v>58523.987699999998</v>
      </c>
      <c r="H1010" s="5">
        <f t="shared" si="15"/>
        <v>3.6458060116455908E-2</v>
      </c>
    </row>
    <row r="1011" spans="1:8" ht="13.5" x14ac:dyDescent="0.25">
      <c r="A1011" s="1"/>
      <c r="B1011" s="3">
        <v>43777</v>
      </c>
      <c r="C1011" s="4">
        <v>5</v>
      </c>
      <c r="D1011" s="4">
        <v>4.0907</v>
      </c>
      <c r="E1011" s="4">
        <v>7029</v>
      </c>
      <c r="F1011" s="4">
        <v>4.9767000000000001</v>
      </c>
      <c r="G1011" s="4">
        <v>34981.224300000002</v>
      </c>
      <c r="H1011" s="5">
        <f t="shared" si="15"/>
        <v>3.5200931268347002E-2</v>
      </c>
    </row>
    <row r="1012" spans="1:8" ht="13.5" x14ac:dyDescent="0.25">
      <c r="A1012" s="1"/>
      <c r="B1012" s="3">
        <v>43780</v>
      </c>
      <c r="C1012" s="4">
        <v>5</v>
      </c>
      <c r="D1012" s="4">
        <v>4.0907</v>
      </c>
      <c r="E1012" s="4">
        <v>2597</v>
      </c>
      <c r="F1012" s="4">
        <v>5.0199999999999996</v>
      </c>
      <c r="G1012" s="4">
        <v>13036.94</v>
      </c>
      <c r="H1012" s="5">
        <f t="shared" si="15"/>
        <v>0</v>
      </c>
    </row>
    <row r="1013" spans="1:8" ht="13.5" x14ac:dyDescent="0.25">
      <c r="A1013" s="1"/>
      <c r="B1013" s="3">
        <v>43781</v>
      </c>
      <c r="C1013" s="4">
        <v>5</v>
      </c>
      <c r="D1013" s="4">
        <v>4.0907</v>
      </c>
      <c r="E1013" s="4">
        <v>1359</v>
      </c>
      <c r="F1013" s="4">
        <v>5.0022000000000002</v>
      </c>
      <c r="G1013" s="4">
        <v>6797.9898000000003</v>
      </c>
      <c r="H1013" s="5">
        <f t="shared" si="15"/>
        <v>0</v>
      </c>
    </row>
    <row r="1014" spans="1:8" ht="13.5" x14ac:dyDescent="0.25">
      <c r="A1014" s="1"/>
      <c r="B1014" s="3">
        <v>43782</v>
      </c>
      <c r="C1014" s="4">
        <v>5</v>
      </c>
      <c r="D1014" s="4">
        <v>4.0907</v>
      </c>
      <c r="E1014" s="4">
        <v>3861</v>
      </c>
      <c r="F1014" s="4">
        <v>4.9522000000000004</v>
      </c>
      <c r="G1014" s="4">
        <v>19120.444200000002</v>
      </c>
      <c r="H1014" s="5">
        <f t="shared" si="15"/>
        <v>0</v>
      </c>
    </row>
    <row r="1015" spans="1:8" ht="13.5" x14ac:dyDescent="0.25">
      <c r="A1015" s="1"/>
      <c r="B1015" s="3">
        <v>43783</v>
      </c>
      <c r="C1015" s="4">
        <v>5</v>
      </c>
      <c r="D1015" s="4">
        <v>4.0907</v>
      </c>
      <c r="E1015" s="4">
        <v>6425</v>
      </c>
      <c r="F1015" s="4">
        <v>4.9919000000000002</v>
      </c>
      <c r="G1015" s="4">
        <v>32072.9575</v>
      </c>
      <c r="H1015" s="5">
        <f t="shared" si="15"/>
        <v>0</v>
      </c>
    </row>
    <row r="1016" spans="1:8" ht="13.5" x14ac:dyDescent="0.25">
      <c r="A1016" s="1"/>
      <c r="B1016" s="3">
        <v>43784</v>
      </c>
      <c r="C1016" s="4">
        <v>4.99</v>
      </c>
      <c r="D1016" s="4">
        <v>4.0824999999999996</v>
      </c>
      <c r="E1016" s="4">
        <v>5016</v>
      </c>
      <c r="F1016" s="4">
        <v>4.9391999999999996</v>
      </c>
      <c r="G1016" s="4">
        <v>24775.0272</v>
      </c>
      <c r="H1016" s="5">
        <f t="shared" si="15"/>
        <v>-2.0045468990638349E-3</v>
      </c>
    </row>
    <row r="1017" spans="1:8" ht="13.5" x14ac:dyDescent="0.25">
      <c r="A1017" s="1"/>
      <c r="B1017" s="3">
        <v>43787</v>
      </c>
      <c r="C1017" s="4">
        <v>5.13</v>
      </c>
      <c r="D1017" s="4">
        <v>4.1970999999999998</v>
      </c>
      <c r="E1017" s="4">
        <v>43187</v>
      </c>
      <c r="F1017" s="4">
        <v>5.0865</v>
      </c>
      <c r="G1017" s="4">
        <v>219670.67550000001</v>
      </c>
      <c r="H1017" s="5">
        <f t="shared" si="15"/>
        <v>2.8071034905082736E-2</v>
      </c>
    </row>
    <row r="1018" spans="1:8" ht="13.5" x14ac:dyDescent="0.25">
      <c r="A1018" s="1"/>
      <c r="B1018" s="3">
        <v>43788</v>
      </c>
      <c r="C1018" s="4">
        <v>5.44</v>
      </c>
      <c r="D1018" s="4">
        <v>4.4507000000000003</v>
      </c>
      <c r="E1018" s="4">
        <v>14751</v>
      </c>
      <c r="F1018" s="4">
        <v>5.3066000000000004</v>
      </c>
      <c r="G1018" s="4">
        <v>78277.656600000002</v>
      </c>
      <c r="H1018" s="5">
        <f t="shared" si="15"/>
        <v>6.0422672797884373E-2</v>
      </c>
    </row>
    <row r="1019" spans="1:8" ht="13.5" x14ac:dyDescent="0.25">
      <c r="A1019" s="1"/>
      <c r="B1019" s="3">
        <v>43789</v>
      </c>
      <c r="C1019" s="4">
        <v>5.57</v>
      </c>
      <c r="D1019" s="4">
        <v>4.5571000000000002</v>
      </c>
      <c r="E1019" s="4">
        <v>17346</v>
      </c>
      <c r="F1019" s="4">
        <v>5.6407999999999996</v>
      </c>
      <c r="G1019" s="4">
        <v>97845.316800000001</v>
      </c>
      <c r="H1019" s="5">
        <f t="shared" si="15"/>
        <v>2.3906351809827628E-2</v>
      </c>
    </row>
    <row r="1020" spans="1:8" ht="13.5" x14ac:dyDescent="0.25">
      <c r="A1020" s="1"/>
      <c r="B1020" s="3">
        <v>43790</v>
      </c>
      <c r="C1020" s="4">
        <v>5.5</v>
      </c>
      <c r="D1020" s="4">
        <v>4.4997999999999996</v>
      </c>
      <c r="E1020" s="4">
        <v>12403</v>
      </c>
      <c r="F1020" s="4">
        <v>5.5077999999999996</v>
      </c>
      <c r="G1020" s="4">
        <v>68313.243400000007</v>
      </c>
      <c r="H1020" s="5">
        <f t="shared" si="15"/>
        <v>-1.2573785960369659E-2</v>
      </c>
    </row>
    <row r="1021" spans="1:8" ht="13.5" x14ac:dyDescent="0.25">
      <c r="A1021" s="1"/>
      <c r="B1021" s="3">
        <v>43791</v>
      </c>
      <c r="C1021" s="4">
        <v>5.54</v>
      </c>
      <c r="D1021" s="4">
        <v>4.5324999999999998</v>
      </c>
      <c r="E1021" s="4">
        <v>441</v>
      </c>
      <c r="F1021" s="4">
        <v>5.5041000000000002</v>
      </c>
      <c r="G1021" s="4">
        <v>2427.3081000000002</v>
      </c>
      <c r="H1021" s="5">
        <f t="shared" si="15"/>
        <v>7.2669896439842164E-3</v>
      </c>
    </row>
    <row r="1022" spans="1:8" ht="13.5" x14ac:dyDescent="0.25">
      <c r="A1022" s="1"/>
      <c r="B1022" s="3">
        <v>43794</v>
      </c>
      <c r="C1022" s="4">
        <v>5.38</v>
      </c>
      <c r="D1022" s="4">
        <v>4.4016000000000002</v>
      </c>
      <c r="E1022" s="4">
        <v>501</v>
      </c>
      <c r="F1022" s="4">
        <v>5.3875999999999999</v>
      </c>
      <c r="G1022" s="4">
        <v>2699.1876000000002</v>
      </c>
      <c r="H1022" s="5">
        <f t="shared" si="15"/>
        <v>-2.8880308880308788E-2</v>
      </c>
    </row>
    <row r="1023" spans="1:8" ht="13.5" x14ac:dyDescent="0.25">
      <c r="A1023" s="1"/>
      <c r="B1023" s="3">
        <v>43795</v>
      </c>
      <c r="C1023" s="4">
        <v>5.35</v>
      </c>
      <c r="D1023" s="4">
        <v>4.3771000000000004</v>
      </c>
      <c r="E1023" s="4">
        <v>370</v>
      </c>
      <c r="F1023" s="4">
        <v>5.3646000000000003</v>
      </c>
      <c r="G1023" s="4">
        <v>1984.902</v>
      </c>
      <c r="H1023" s="5">
        <f t="shared" si="15"/>
        <v>-5.5661577608141907E-3</v>
      </c>
    </row>
    <row r="1024" spans="1:8" ht="13.5" x14ac:dyDescent="0.25">
      <c r="A1024" s="1"/>
      <c r="B1024" s="3">
        <v>43796</v>
      </c>
      <c r="C1024" s="4">
        <v>5.35</v>
      </c>
      <c r="D1024" s="4">
        <v>4.3771000000000004</v>
      </c>
      <c r="E1024" s="4">
        <v>5022</v>
      </c>
      <c r="F1024" s="4">
        <v>5.2500999999999998</v>
      </c>
      <c r="G1024" s="4">
        <v>26366.002199999999</v>
      </c>
      <c r="H1024" s="5">
        <f t="shared" si="15"/>
        <v>0</v>
      </c>
    </row>
    <row r="1025" spans="1:8" ht="13.5" x14ac:dyDescent="0.25">
      <c r="A1025" s="1"/>
      <c r="B1025" s="3">
        <v>43797</v>
      </c>
      <c r="C1025" s="4">
        <v>5.38</v>
      </c>
      <c r="D1025" s="4">
        <v>4.4016000000000002</v>
      </c>
      <c r="E1025" s="4">
        <v>4422</v>
      </c>
      <c r="F1025" s="4">
        <v>5.3766999999999996</v>
      </c>
      <c r="G1025" s="4">
        <v>23775.767400000001</v>
      </c>
      <c r="H1025" s="5">
        <f t="shared" si="15"/>
        <v>5.5973132896209232E-3</v>
      </c>
    </row>
    <row r="1026" spans="1:8" ht="13.5" x14ac:dyDescent="0.25">
      <c r="A1026" s="1"/>
      <c r="B1026" s="3">
        <v>43798</v>
      </c>
      <c r="C1026" s="4">
        <v>5.3</v>
      </c>
      <c r="D1026" s="4">
        <v>4.3361999999999998</v>
      </c>
      <c r="E1026" s="4">
        <v>1774</v>
      </c>
      <c r="F1026" s="4">
        <v>5.3003</v>
      </c>
      <c r="G1026" s="4">
        <v>9402.7322000000004</v>
      </c>
      <c r="H1026" s="5">
        <f t="shared" si="15"/>
        <v>-1.4858233369683829E-2</v>
      </c>
    </row>
    <row r="1027" spans="1:8" ht="13.5" x14ac:dyDescent="0.25">
      <c r="A1027" s="1"/>
      <c r="B1027" s="3">
        <v>43801</v>
      </c>
      <c r="C1027" s="4">
        <v>5.3</v>
      </c>
      <c r="D1027" s="4">
        <v>4.3361999999999998</v>
      </c>
      <c r="E1027" s="4">
        <v>8124</v>
      </c>
      <c r="F1027" s="4">
        <v>5.3052999999999999</v>
      </c>
      <c r="G1027" s="4">
        <v>43100.2572</v>
      </c>
      <c r="H1027" s="5">
        <f t="shared" si="15"/>
        <v>0</v>
      </c>
    </row>
    <row r="1028" spans="1:8" ht="13.5" x14ac:dyDescent="0.25">
      <c r="A1028" s="1"/>
      <c r="B1028" s="3">
        <v>43802</v>
      </c>
      <c r="C1028" s="4">
        <v>5.25</v>
      </c>
      <c r="D1028" s="4">
        <v>4.2953000000000001</v>
      </c>
      <c r="E1028" s="4">
        <v>5756</v>
      </c>
      <c r="F1028" s="4">
        <v>5.1886999999999999</v>
      </c>
      <c r="G1028" s="4">
        <v>29866.157200000001</v>
      </c>
      <c r="H1028" s="5">
        <f t="shared" si="15"/>
        <v>-9.4322217609888181E-3</v>
      </c>
    </row>
    <row r="1029" spans="1:8" ht="13.5" x14ac:dyDescent="0.25">
      <c r="A1029" s="1"/>
      <c r="B1029" s="3">
        <v>43803</v>
      </c>
      <c r="C1029" s="4">
        <v>5.2</v>
      </c>
      <c r="D1029" s="4">
        <v>4.2542999999999997</v>
      </c>
      <c r="E1029" s="4">
        <v>10374</v>
      </c>
      <c r="F1029" s="4">
        <v>5.1990999999999996</v>
      </c>
      <c r="G1029" s="4">
        <v>53935.463400000001</v>
      </c>
      <c r="H1029" s="5">
        <f t="shared" si="15"/>
        <v>-9.5453169743674182E-3</v>
      </c>
    </row>
    <row r="1030" spans="1:8" ht="13.5" x14ac:dyDescent="0.25">
      <c r="A1030" s="1"/>
      <c r="B1030" s="3">
        <v>43804</v>
      </c>
      <c r="C1030" s="4">
        <v>5.05</v>
      </c>
      <c r="D1030" s="4">
        <v>4.1315999999999997</v>
      </c>
      <c r="E1030" s="4">
        <v>10462</v>
      </c>
      <c r="F1030" s="4">
        <v>5.0541999999999998</v>
      </c>
      <c r="G1030" s="4">
        <v>52877.040399999998</v>
      </c>
      <c r="H1030" s="5">
        <f t="shared" si="15"/>
        <v>-2.8841407517100355E-2</v>
      </c>
    </row>
    <row r="1031" spans="1:8" ht="13.5" x14ac:dyDescent="0.25">
      <c r="A1031" s="1"/>
      <c r="B1031" s="3">
        <v>43805</v>
      </c>
      <c r="C1031" s="4">
        <v>5.17</v>
      </c>
      <c r="D1031" s="4">
        <v>4.2298</v>
      </c>
      <c r="E1031" s="4">
        <v>529</v>
      </c>
      <c r="F1031" s="4">
        <v>5.0989000000000004</v>
      </c>
      <c r="G1031" s="4">
        <v>2697.3181</v>
      </c>
      <c r="H1031" s="5">
        <f t="shared" ref="H1031:H1094" si="16">(D1031-D1030)/D1030</f>
        <v>2.3768031755252272E-2</v>
      </c>
    </row>
    <row r="1032" spans="1:8" ht="13.5" x14ac:dyDescent="0.25">
      <c r="A1032" s="1"/>
      <c r="B1032" s="3">
        <v>43808</v>
      </c>
      <c r="C1032" s="4">
        <v>5.17</v>
      </c>
      <c r="D1032" s="4">
        <v>4.2298</v>
      </c>
      <c r="E1032" s="4">
        <v>311</v>
      </c>
      <c r="F1032" s="4">
        <v>5.125</v>
      </c>
      <c r="G1032" s="4">
        <v>1593.875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5.26</v>
      </c>
      <c r="D1033" s="4">
        <v>4.3033999999999999</v>
      </c>
      <c r="E1033" s="4">
        <v>1435</v>
      </c>
      <c r="F1033" s="4">
        <v>5.0206999999999997</v>
      </c>
      <c r="G1033" s="4">
        <v>7204.7044999999998</v>
      </c>
      <c r="H1033" s="5">
        <f t="shared" si="16"/>
        <v>1.7400349898340321E-2</v>
      </c>
    </row>
    <row r="1034" spans="1:8" ht="13.5" x14ac:dyDescent="0.25">
      <c r="A1034" s="1"/>
      <c r="B1034" s="3">
        <v>43810</v>
      </c>
      <c r="C1034" s="4">
        <v>5.23</v>
      </c>
      <c r="D1034" s="4">
        <v>4.2789000000000001</v>
      </c>
      <c r="E1034" s="4">
        <v>492</v>
      </c>
      <c r="F1034" s="4">
        <v>5.1439000000000004</v>
      </c>
      <c r="G1034" s="4">
        <v>2530.7988</v>
      </c>
      <c r="H1034" s="5">
        <f t="shared" si="16"/>
        <v>-5.6931728400798779E-3</v>
      </c>
    </row>
    <row r="1035" spans="1:8" ht="13.5" x14ac:dyDescent="0.25">
      <c r="A1035" s="1"/>
      <c r="B1035" s="3">
        <v>43811</v>
      </c>
      <c r="C1035" s="4">
        <v>5.08</v>
      </c>
      <c r="D1035" s="4">
        <v>4.1562000000000001</v>
      </c>
      <c r="E1035" s="4">
        <v>3863</v>
      </c>
      <c r="F1035" s="4">
        <v>5.08</v>
      </c>
      <c r="G1035" s="4">
        <v>19624.04</v>
      </c>
      <c r="H1035" s="5">
        <f t="shared" si="16"/>
        <v>-2.8675594194769689E-2</v>
      </c>
    </row>
    <row r="1036" spans="1:8" ht="13.5" x14ac:dyDescent="0.25">
      <c r="A1036" s="1"/>
      <c r="B1036" s="3">
        <v>43812</v>
      </c>
      <c r="C1036" s="4">
        <v>5.09</v>
      </c>
      <c r="D1036" s="4">
        <v>4.1643999999999997</v>
      </c>
      <c r="E1036" s="4">
        <v>138</v>
      </c>
      <c r="F1036" s="4">
        <v>5.0994000000000002</v>
      </c>
      <c r="G1036" s="4">
        <v>703.71720000000005</v>
      </c>
      <c r="H1036" s="5">
        <f t="shared" si="16"/>
        <v>1.9729560656367696E-3</v>
      </c>
    </row>
    <row r="1037" spans="1:8" ht="13.5" x14ac:dyDescent="0.25">
      <c r="A1037" s="1"/>
      <c r="B1037" s="3">
        <v>43815</v>
      </c>
      <c r="C1037" s="4">
        <v>5.24</v>
      </c>
      <c r="D1037" s="4">
        <v>4.2870999999999997</v>
      </c>
      <c r="E1037" s="4">
        <v>129</v>
      </c>
      <c r="F1037" s="4">
        <v>5.2321999999999997</v>
      </c>
      <c r="G1037" s="4">
        <v>674.9538</v>
      </c>
      <c r="H1037" s="5">
        <f t="shared" si="16"/>
        <v>2.9464028431466727E-2</v>
      </c>
    </row>
    <row r="1038" spans="1:8" ht="13.5" x14ac:dyDescent="0.25">
      <c r="A1038" s="1"/>
      <c r="B1038" s="3">
        <v>43816</v>
      </c>
      <c r="C1038" s="4">
        <v>5.08</v>
      </c>
      <c r="D1038" s="4">
        <v>4.1562000000000001</v>
      </c>
      <c r="E1038" s="4">
        <v>314</v>
      </c>
      <c r="F1038" s="4">
        <v>5.0898000000000003</v>
      </c>
      <c r="G1038" s="4">
        <v>1598.1972000000001</v>
      </c>
      <c r="H1038" s="5">
        <f t="shared" si="16"/>
        <v>-3.053346084765916E-2</v>
      </c>
    </row>
    <row r="1039" spans="1:8" ht="13.5" x14ac:dyDescent="0.25">
      <c r="A1039" s="1"/>
      <c r="B1039" s="3">
        <v>43817</v>
      </c>
      <c r="C1039" s="4">
        <v>5.08</v>
      </c>
      <c r="D1039" s="4">
        <v>4.1562000000000001</v>
      </c>
      <c r="E1039" s="4">
        <v>468</v>
      </c>
      <c r="F1039" s="4">
        <v>5.0109000000000004</v>
      </c>
      <c r="G1039" s="4">
        <v>2345.1012000000001</v>
      </c>
      <c r="H1039" s="5">
        <f t="shared" si="16"/>
        <v>0</v>
      </c>
    </row>
    <row r="1040" spans="1:8" ht="13.5" x14ac:dyDescent="0.25">
      <c r="A1040" s="1"/>
      <c r="B1040" s="3">
        <v>43818</v>
      </c>
      <c r="C1040" s="4">
        <v>5.08</v>
      </c>
      <c r="D1040" s="4">
        <v>4.1562000000000001</v>
      </c>
      <c r="E1040" s="4">
        <v>1969</v>
      </c>
      <c r="F1040" s="4">
        <v>5.0353000000000003</v>
      </c>
      <c r="G1040" s="4">
        <v>9914.5056999999997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5.15</v>
      </c>
      <c r="D1041" s="4">
        <v>4.2134</v>
      </c>
      <c r="E1041" s="4">
        <v>342</v>
      </c>
      <c r="F1041" s="4">
        <v>5.0917000000000003</v>
      </c>
      <c r="G1041" s="4">
        <v>1741.3614</v>
      </c>
      <c r="H1041" s="5">
        <f t="shared" si="16"/>
        <v>1.3762571579808459E-2</v>
      </c>
    </row>
    <row r="1042" spans="1:8" ht="13.5" x14ac:dyDescent="0.25">
      <c r="A1042" s="1"/>
      <c r="B1042" s="3">
        <v>43822</v>
      </c>
      <c r="C1042" s="4">
        <v>5.0999999999999996</v>
      </c>
      <c r="D1042" s="4">
        <v>4.1725000000000003</v>
      </c>
      <c r="E1042" s="4">
        <v>1534</v>
      </c>
      <c r="F1042" s="4">
        <v>5.0640999999999998</v>
      </c>
      <c r="G1042" s="4">
        <v>7768.3293999999996</v>
      </c>
      <c r="H1042" s="5">
        <f t="shared" si="16"/>
        <v>-9.7071248872643741E-3</v>
      </c>
    </row>
    <row r="1043" spans="1:8" ht="13.5" x14ac:dyDescent="0.25">
      <c r="A1043" s="1"/>
      <c r="B1043" s="3">
        <v>43823</v>
      </c>
      <c r="C1043" s="4">
        <v>5.0999999999999996</v>
      </c>
      <c r="D1043" s="4">
        <v>4.1725000000000003</v>
      </c>
      <c r="E1043" s="4">
        <v>1372</v>
      </c>
      <c r="F1043" s="4">
        <v>5.0420999999999996</v>
      </c>
      <c r="G1043" s="4">
        <v>6917.7611999999999</v>
      </c>
      <c r="H1043" s="5">
        <f t="shared" si="16"/>
        <v>0</v>
      </c>
    </row>
    <row r="1044" spans="1:8" ht="13.5" x14ac:dyDescent="0.25">
      <c r="A1044" s="1"/>
      <c r="B1044" s="3">
        <v>43824</v>
      </c>
      <c r="C1044" s="4">
        <v>5.15</v>
      </c>
      <c r="D1044" s="4">
        <v>4.2134</v>
      </c>
      <c r="E1044" s="4">
        <v>2414</v>
      </c>
      <c r="F1044" s="4">
        <v>5.0506000000000002</v>
      </c>
      <c r="G1044" s="4">
        <v>12192.1484</v>
      </c>
      <c r="H1044" s="5">
        <f t="shared" si="16"/>
        <v>9.8022768124624831E-3</v>
      </c>
    </row>
    <row r="1045" spans="1:8" ht="13.5" x14ac:dyDescent="0.25">
      <c r="A1045" s="1"/>
      <c r="B1045" s="3">
        <v>43825</v>
      </c>
      <c r="C1045" s="4">
        <v>5.14</v>
      </c>
      <c r="D1045" s="4">
        <v>4.2053000000000003</v>
      </c>
      <c r="E1045" s="4">
        <v>232</v>
      </c>
      <c r="F1045" s="4">
        <v>5.14</v>
      </c>
      <c r="G1045" s="4">
        <v>1192.48</v>
      </c>
      <c r="H1045" s="5">
        <f t="shared" si="16"/>
        <v>-1.9224379361085521E-3</v>
      </c>
    </row>
    <row r="1046" spans="1:8" ht="13.5" x14ac:dyDescent="0.25">
      <c r="A1046" s="1"/>
      <c r="B1046" s="3">
        <v>43826</v>
      </c>
      <c r="C1046" s="4">
        <v>5.12</v>
      </c>
      <c r="D1046" s="4">
        <v>4.1889000000000003</v>
      </c>
      <c r="E1046" s="4">
        <v>1914</v>
      </c>
      <c r="F1046" s="4">
        <v>5.0441000000000003</v>
      </c>
      <c r="G1046" s="4">
        <v>9654.4074000000001</v>
      </c>
      <c r="H1046" s="5">
        <f t="shared" si="16"/>
        <v>-3.8998406772406177E-3</v>
      </c>
    </row>
    <row r="1047" spans="1:8" ht="13.5" x14ac:dyDescent="0.25">
      <c r="A1047" s="1"/>
      <c r="B1047" s="3">
        <v>43829</v>
      </c>
      <c r="C1047" s="4">
        <v>5.0999999999999996</v>
      </c>
      <c r="D1047" s="4">
        <v>4.1725000000000003</v>
      </c>
      <c r="E1047" s="4">
        <v>6333</v>
      </c>
      <c r="F1047" s="4">
        <v>5.0002000000000004</v>
      </c>
      <c r="G1047" s="4">
        <v>31666.266599999999</v>
      </c>
      <c r="H1047" s="5">
        <f t="shared" si="16"/>
        <v>-3.9151089784907655E-3</v>
      </c>
    </row>
    <row r="1048" spans="1:8" ht="13.5" x14ac:dyDescent="0.25">
      <c r="A1048" s="1"/>
      <c r="B1048" s="3">
        <v>43830</v>
      </c>
      <c r="C1048" s="4">
        <v>5.15</v>
      </c>
      <c r="D1048" s="4">
        <v>4.2134</v>
      </c>
      <c r="E1048" s="4">
        <v>915</v>
      </c>
      <c r="F1048" s="4">
        <v>5.0289999999999999</v>
      </c>
      <c r="G1048" s="4">
        <v>4601.5349999999999</v>
      </c>
      <c r="H1048" s="5">
        <f t="shared" si="16"/>
        <v>9.8022768124624831E-3</v>
      </c>
    </row>
    <row r="1049" spans="1:8" ht="13.5" x14ac:dyDescent="0.25">
      <c r="A1049" s="1"/>
      <c r="B1049" s="3">
        <v>43832</v>
      </c>
      <c r="C1049" s="4">
        <v>5.15</v>
      </c>
      <c r="D1049" s="4">
        <v>4.2134</v>
      </c>
      <c r="E1049" s="4">
        <v>181</v>
      </c>
      <c r="F1049" s="4">
        <v>5.1185</v>
      </c>
      <c r="G1049" s="4">
        <v>926.44849999999997</v>
      </c>
      <c r="H1049" s="5">
        <f t="shared" si="16"/>
        <v>0</v>
      </c>
    </row>
    <row r="1050" spans="1:8" ht="13.5" x14ac:dyDescent="0.25">
      <c r="A1050" s="1"/>
      <c r="B1050" s="3">
        <v>43833</v>
      </c>
      <c r="C1050" s="4">
        <v>5.15</v>
      </c>
      <c r="D1050" s="4">
        <v>4.2134</v>
      </c>
      <c r="E1050" s="4">
        <v>70</v>
      </c>
      <c r="F1050" s="4">
        <v>5.1079999999999997</v>
      </c>
      <c r="G1050" s="4">
        <v>357.56</v>
      </c>
      <c r="H1050" s="5">
        <f t="shared" si="16"/>
        <v>0</v>
      </c>
    </row>
    <row r="1051" spans="1:8" ht="13.5" x14ac:dyDescent="0.25">
      <c r="A1051" s="1"/>
      <c r="B1051" s="3">
        <v>43836</v>
      </c>
      <c r="C1051" s="4">
        <v>5.0999999999999996</v>
      </c>
      <c r="D1051" s="4">
        <v>4.1725000000000003</v>
      </c>
      <c r="E1051" s="4">
        <v>9558</v>
      </c>
      <c r="F1051" s="4">
        <v>5.0000999999999998</v>
      </c>
      <c r="G1051" s="4">
        <v>47790.955800000003</v>
      </c>
      <c r="H1051" s="5">
        <f t="shared" si="16"/>
        <v>-9.7071248872643741E-3</v>
      </c>
    </row>
    <row r="1052" spans="1:8" ht="13.5" x14ac:dyDescent="0.25">
      <c r="A1052" s="1"/>
      <c r="B1052" s="3">
        <v>43837</v>
      </c>
      <c r="C1052" s="4">
        <v>5</v>
      </c>
      <c r="D1052" s="4">
        <v>4.0907</v>
      </c>
      <c r="E1052" s="4">
        <v>4268</v>
      </c>
      <c r="F1052" s="4">
        <v>4.9942000000000002</v>
      </c>
      <c r="G1052" s="4">
        <v>21315.245599999998</v>
      </c>
      <c r="H1052" s="5">
        <f t="shared" si="16"/>
        <v>-1.9604553624925178E-2</v>
      </c>
    </row>
    <row r="1053" spans="1:8" ht="13.5" x14ac:dyDescent="0.25">
      <c r="A1053" s="1"/>
      <c r="B1053" s="3">
        <v>43838</v>
      </c>
      <c r="C1053" s="4">
        <v>5</v>
      </c>
      <c r="D1053" s="4">
        <v>4.0907</v>
      </c>
      <c r="E1053" s="4">
        <v>0</v>
      </c>
      <c r="F1053" s="4">
        <v>0</v>
      </c>
      <c r="G1053" s="4">
        <v>0</v>
      </c>
      <c r="H1053" s="5">
        <f t="shared" si="16"/>
        <v>0</v>
      </c>
    </row>
    <row r="1054" spans="1:8" ht="13.5" x14ac:dyDescent="0.25">
      <c r="A1054" s="1"/>
      <c r="B1054" s="3">
        <v>43839</v>
      </c>
      <c r="C1054" s="4">
        <v>4.9800000000000004</v>
      </c>
      <c r="D1054" s="4">
        <v>4.0743999999999998</v>
      </c>
      <c r="E1054" s="4">
        <v>20</v>
      </c>
      <c r="F1054" s="4">
        <v>4.9775</v>
      </c>
      <c r="G1054" s="4">
        <v>99.55</v>
      </c>
      <c r="H1054" s="5">
        <f t="shared" si="16"/>
        <v>-3.9846481042364887E-3</v>
      </c>
    </row>
    <row r="1055" spans="1:8" ht="13.5" x14ac:dyDescent="0.25">
      <c r="A1055" s="1"/>
      <c r="B1055" s="3">
        <v>43840</v>
      </c>
      <c r="C1055" s="4">
        <v>4.9000000000000004</v>
      </c>
      <c r="D1055" s="4">
        <v>4.0088999999999997</v>
      </c>
      <c r="E1055" s="4">
        <v>870</v>
      </c>
      <c r="F1055" s="4">
        <v>4.9076000000000004</v>
      </c>
      <c r="G1055" s="4">
        <v>4269.6120000000001</v>
      </c>
      <c r="H1055" s="5">
        <f t="shared" si="16"/>
        <v>-1.6075986648340888E-2</v>
      </c>
    </row>
    <row r="1056" spans="1:8" ht="13.5" x14ac:dyDescent="0.25">
      <c r="A1056" s="1"/>
      <c r="B1056" s="3">
        <v>43843</v>
      </c>
      <c r="C1056" s="4">
        <v>4.84</v>
      </c>
      <c r="D1056" s="4">
        <v>3.9598</v>
      </c>
      <c r="E1056" s="4">
        <v>19</v>
      </c>
      <c r="F1056" s="4">
        <v>4.8989000000000003</v>
      </c>
      <c r="G1056" s="4">
        <v>93.079099999999997</v>
      </c>
      <c r="H1056" s="5">
        <f t="shared" si="16"/>
        <v>-1.2247748759011126E-2</v>
      </c>
    </row>
    <row r="1057" spans="1:8" ht="13.5" x14ac:dyDescent="0.25">
      <c r="A1057" s="1"/>
      <c r="B1057" s="3">
        <v>43845</v>
      </c>
      <c r="C1057" s="4">
        <v>5.13</v>
      </c>
      <c r="D1057" s="4">
        <v>4.1970999999999998</v>
      </c>
      <c r="E1057" s="4">
        <v>45045</v>
      </c>
      <c r="F1057" s="4">
        <v>5.0999999999999996</v>
      </c>
      <c r="G1057" s="4">
        <v>229729.5</v>
      </c>
      <c r="H1057" s="5">
        <f t="shared" si="16"/>
        <v>5.9927269053992586E-2</v>
      </c>
    </row>
    <row r="1058" spans="1:8" ht="13.5" x14ac:dyDescent="0.25">
      <c r="A1058" s="1"/>
      <c r="B1058" s="3">
        <v>43846</v>
      </c>
      <c r="C1058" s="4">
        <v>5.35</v>
      </c>
      <c r="D1058" s="4">
        <v>4.3771000000000004</v>
      </c>
      <c r="E1058" s="4">
        <v>18790</v>
      </c>
      <c r="F1058" s="4">
        <v>5.2786</v>
      </c>
      <c r="G1058" s="4">
        <v>99184.894</v>
      </c>
      <c r="H1058" s="5">
        <f t="shared" si="16"/>
        <v>4.2886755140454272E-2</v>
      </c>
    </row>
    <row r="1059" spans="1:8" ht="13.5" x14ac:dyDescent="0.25">
      <c r="A1059" s="1"/>
      <c r="B1059" s="3">
        <v>43847</v>
      </c>
      <c r="C1059" s="4">
        <v>5.18</v>
      </c>
      <c r="D1059" s="4">
        <v>4.2380000000000004</v>
      </c>
      <c r="E1059" s="4">
        <v>16215</v>
      </c>
      <c r="F1059" s="4">
        <v>5.1281999999999996</v>
      </c>
      <c r="G1059" s="4">
        <v>83153.763000000006</v>
      </c>
      <c r="H1059" s="5">
        <f t="shared" si="16"/>
        <v>-3.1779031779031776E-2</v>
      </c>
    </row>
    <row r="1060" spans="1:8" ht="13.5" x14ac:dyDescent="0.25">
      <c r="A1060" s="1"/>
      <c r="B1060" s="3">
        <v>43850</v>
      </c>
      <c r="C1060" s="4">
        <v>5.24</v>
      </c>
      <c r="D1060" s="4">
        <v>4.2870999999999997</v>
      </c>
      <c r="E1060" s="4">
        <v>991</v>
      </c>
      <c r="F1060" s="4">
        <v>5.1429</v>
      </c>
      <c r="G1060" s="4">
        <v>5096.6139000000003</v>
      </c>
      <c r="H1060" s="5">
        <f t="shared" si="16"/>
        <v>1.158565361019331E-2</v>
      </c>
    </row>
    <row r="1061" spans="1:8" ht="13.5" x14ac:dyDescent="0.25">
      <c r="A1061" s="1"/>
      <c r="B1061" s="3">
        <v>43851</v>
      </c>
      <c r="C1061" s="4">
        <v>5.2</v>
      </c>
      <c r="D1061" s="4">
        <v>4.2542999999999997</v>
      </c>
      <c r="E1061" s="4">
        <v>3785</v>
      </c>
      <c r="F1061" s="4">
        <v>5.1066000000000003</v>
      </c>
      <c r="G1061" s="4">
        <v>19328.481</v>
      </c>
      <c r="H1061" s="5">
        <f t="shared" si="16"/>
        <v>-7.6508595554104037E-3</v>
      </c>
    </row>
    <row r="1062" spans="1:8" ht="13.5" x14ac:dyDescent="0.25">
      <c r="A1062" s="1"/>
      <c r="B1062" s="3">
        <v>43852</v>
      </c>
      <c r="C1062" s="4">
        <v>5.16</v>
      </c>
      <c r="D1062" s="4">
        <v>4.2215999999999996</v>
      </c>
      <c r="E1062" s="4">
        <v>6424</v>
      </c>
      <c r="F1062" s="4">
        <v>5.0502000000000002</v>
      </c>
      <c r="G1062" s="4">
        <v>32442.484799999998</v>
      </c>
      <c r="H1062" s="5">
        <f t="shared" si="16"/>
        <v>-7.6863408786404753E-3</v>
      </c>
    </row>
    <row r="1063" spans="1:8" ht="13.5" x14ac:dyDescent="0.25">
      <c r="A1063" s="1"/>
      <c r="B1063" s="3">
        <v>43853</v>
      </c>
      <c r="C1063" s="4">
        <v>5.28</v>
      </c>
      <c r="D1063" s="4">
        <v>4.3197999999999999</v>
      </c>
      <c r="E1063" s="4">
        <v>1226</v>
      </c>
      <c r="F1063" s="4">
        <v>5.1611000000000002</v>
      </c>
      <c r="G1063" s="4">
        <v>6327.5086000000001</v>
      </c>
      <c r="H1063" s="5">
        <f t="shared" si="16"/>
        <v>2.3261322721243202E-2</v>
      </c>
    </row>
    <row r="1064" spans="1:8" ht="13.5" x14ac:dyDescent="0.25">
      <c r="A1064" s="1"/>
      <c r="B1064" s="3">
        <v>43854</v>
      </c>
      <c r="C1064" s="4">
        <v>5.21</v>
      </c>
      <c r="D1064" s="4">
        <v>4.2625000000000002</v>
      </c>
      <c r="E1064" s="4">
        <v>1417</v>
      </c>
      <c r="F1064" s="4">
        <v>5.2727000000000004</v>
      </c>
      <c r="G1064" s="4">
        <v>7471.4159</v>
      </c>
      <c r="H1064" s="5">
        <f t="shared" si="16"/>
        <v>-1.3264502986249291E-2</v>
      </c>
    </row>
    <row r="1065" spans="1:8" ht="13.5" x14ac:dyDescent="0.25">
      <c r="A1065" s="1"/>
      <c r="B1065" s="3">
        <v>43857</v>
      </c>
      <c r="C1065" s="4">
        <v>5.52</v>
      </c>
      <c r="D1065" s="4">
        <v>4.5162000000000004</v>
      </c>
      <c r="E1065" s="4">
        <v>1392</v>
      </c>
      <c r="F1065" s="4">
        <v>5.4688999999999997</v>
      </c>
      <c r="G1065" s="4">
        <v>7612.7088000000003</v>
      </c>
      <c r="H1065" s="5">
        <f t="shared" si="16"/>
        <v>5.9519061583577768E-2</v>
      </c>
    </row>
    <row r="1066" spans="1:8" ht="13.5" x14ac:dyDescent="0.25">
      <c r="A1066" s="1"/>
      <c r="B1066" s="3">
        <v>43858</v>
      </c>
      <c r="C1066" s="4">
        <v>5.36</v>
      </c>
      <c r="D1066" s="4">
        <v>4.3853</v>
      </c>
      <c r="E1066" s="4">
        <v>1505</v>
      </c>
      <c r="F1066" s="4">
        <v>5.3948</v>
      </c>
      <c r="G1066" s="4">
        <v>8119.174</v>
      </c>
      <c r="H1066" s="5">
        <f t="shared" si="16"/>
        <v>-2.8984544528586079E-2</v>
      </c>
    </row>
    <row r="1067" spans="1:8" ht="13.5" x14ac:dyDescent="0.25">
      <c r="A1067" s="1"/>
      <c r="B1067" s="3">
        <v>43859</v>
      </c>
      <c r="C1067" s="4">
        <v>5.43</v>
      </c>
      <c r="D1067" s="4">
        <v>4.4424999999999999</v>
      </c>
      <c r="E1067" s="4">
        <v>3086</v>
      </c>
      <c r="F1067" s="4">
        <v>5.35</v>
      </c>
      <c r="G1067" s="4">
        <v>16510.099999999999</v>
      </c>
      <c r="H1067" s="5">
        <f t="shared" si="16"/>
        <v>1.3043577406334782E-2</v>
      </c>
    </row>
    <row r="1068" spans="1:8" ht="13.5" x14ac:dyDescent="0.25">
      <c r="A1068" s="1"/>
      <c r="B1068" s="3">
        <v>43860</v>
      </c>
      <c r="C1068" s="4">
        <v>5.36</v>
      </c>
      <c r="D1068" s="4">
        <v>4.3853</v>
      </c>
      <c r="E1068" s="4">
        <v>1719</v>
      </c>
      <c r="F1068" s="4">
        <v>5.2705000000000002</v>
      </c>
      <c r="G1068" s="4">
        <v>9059.9894999999997</v>
      </c>
      <c r="H1068" s="5">
        <f t="shared" si="16"/>
        <v>-1.2875633089476628E-2</v>
      </c>
    </row>
    <row r="1069" spans="1:8" ht="13.5" x14ac:dyDescent="0.25">
      <c r="A1069" s="1"/>
      <c r="B1069" s="3">
        <v>43861</v>
      </c>
      <c r="C1069" s="4">
        <v>5.12</v>
      </c>
      <c r="D1069" s="4">
        <v>4.1889000000000003</v>
      </c>
      <c r="E1069" s="4">
        <v>11406</v>
      </c>
      <c r="F1069" s="4">
        <v>5.1398000000000001</v>
      </c>
      <c r="G1069" s="4">
        <v>58624.558799999999</v>
      </c>
      <c r="H1069" s="5">
        <f t="shared" si="16"/>
        <v>-4.478598955601662E-2</v>
      </c>
    </row>
    <row r="1070" spans="1:8" ht="13.5" x14ac:dyDescent="0.25">
      <c r="A1070" s="1"/>
      <c r="B1070" s="3">
        <v>43864</v>
      </c>
      <c r="C1070" s="4">
        <v>5.2</v>
      </c>
      <c r="D1070" s="4">
        <v>4.2542999999999997</v>
      </c>
      <c r="E1070" s="4">
        <v>1998</v>
      </c>
      <c r="F1070" s="4">
        <v>5.2042999999999999</v>
      </c>
      <c r="G1070" s="4">
        <v>10398.1914</v>
      </c>
      <c r="H1070" s="5">
        <f t="shared" si="16"/>
        <v>1.5612690682517954E-2</v>
      </c>
    </row>
    <row r="1071" spans="1:8" ht="13.5" x14ac:dyDescent="0.25">
      <c r="A1071" s="1"/>
      <c r="B1071" s="3">
        <v>43865</v>
      </c>
      <c r="C1071" s="4">
        <v>5.25</v>
      </c>
      <c r="D1071" s="4">
        <v>4.2953000000000001</v>
      </c>
      <c r="E1071" s="4">
        <v>2113</v>
      </c>
      <c r="F1071" s="4">
        <v>5.2781000000000002</v>
      </c>
      <c r="G1071" s="4">
        <v>11152.6253</v>
      </c>
      <c r="H1071" s="5">
        <f t="shared" si="16"/>
        <v>9.6373081352984918E-3</v>
      </c>
    </row>
    <row r="1072" spans="1:8" ht="13.5" x14ac:dyDescent="0.25">
      <c r="A1072" s="1"/>
      <c r="B1072" s="3">
        <v>43866</v>
      </c>
      <c r="C1072" s="4">
        <v>5.45</v>
      </c>
      <c r="D1072" s="4">
        <v>4.4588999999999999</v>
      </c>
      <c r="E1072" s="4">
        <v>8180</v>
      </c>
      <c r="F1072" s="4">
        <v>5.3952</v>
      </c>
      <c r="G1072" s="4">
        <v>44132.735999999997</v>
      </c>
      <c r="H1072" s="5">
        <f t="shared" si="16"/>
        <v>3.8088142853816905E-2</v>
      </c>
    </row>
    <row r="1073" spans="1:8" ht="13.5" x14ac:dyDescent="0.25">
      <c r="A1073" s="1"/>
      <c r="B1073" s="3">
        <v>43867</v>
      </c>
      <c r="C1073" s="4">
        <v>5.44</v>
      </c>
      <c r="D1073" s="4">
        <v>4.4507000000000003</v>
      </c>
      <c r="E1073" s="4">
        <v>6877</v>
      </c>
      <c r="F1073" s="4">
        <v>5.4711999999999996</v>
      </c>
      <c r="G1073" s="4">
        <v>37625.4424</v>
      </c>
      <c r="H1073" s="5">
        <f t="shared" si="16"/>
        <v>-1.8390185920293214E-3</v>
      </c>
    </row>
    <row r="1074" spans="1:8" ht="13.5" x14ac:dyDescent="0.25">
      <c r="A1074" s="1"/>
      <c r="B1074" s="3">
        <v>43868</v>
      </c>
      <c r="C1074" s="4">
        <v>5.77</v>
      </c>
      <c r="D1074" s="4">
        <v>4.7206999999999999</v>
      </c>
      <c r="E1074" s="4">
        <v>6040</v>
      </c>
      <c r="F1074" s="4">
        <v>5.6315</v>
      </c>
      <c r="G1074" s="4">
        <v>34014.26</v>
      </c>
      <c r="H1074" s="5">
        <f t="shared" si="16"/>
        <v>6.0664614555013721E-2</v>
      </c>
    </row>
    <row r="1075" spans="1:8" ht="13.5" x14ac:dyDescent="0.25">
      <c r="A1075" s="1"/>
      <c r="B1075" s="3">
        <v>43871</v>
      </c>
      <c r="C1075" s="4">
        <v>5.77</v>
      </c>
      <c r="D1075" s="4">
        <v>4.7206999999999999</v>
      </c>
      <c r="E1075" s="4">
        <v>12347</v>
      </c>
      <c r="F1075" s="4">
        <v>5.9149000000000003</v>
      </c>
      <c r="G1075" s="4">
        <v>73031.270300000004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5.75</v>
      </c>
      <c r="D1076" s="4">
        <v>4.7042999999999999</v>
      </c>
      <c r="E1076" s="4">
        <v>5592</v>
      </c>
      <c r="F1076" s="4">
        <v>5.726</v>
      </c>
      <c r="G1076" s="4">
        <v>32019.792000000001</v>
      </c>
      <c r="H1076" s="5">
        <f t="shared" si="16"/>
        <v>-3.4740610502679626E-3</v>
      </c>
    </row>
    <row r="1077" spans="1:8" ht="13.5" x14ac:dyDescent="0.25">
      <c r="A1077" s="1"/>
      <c r="B1077" s="3">
        <v>43873</v>
      </c>
      <c r="C1077" s="4">
        <v>5.69</v>
      </c>
      <c r="D1077" s="4">
        <v>4.6551999999999998</v>
      </c>
      <c r="E1077" s="4">
        <v>5452</v>
      </c>
      <c r="F1077" s="4">
        <v>5.5854999999999997</v>
      </c>
      <c r="G1077" s="4">
        <v>30452.146000000001</v>
      </c>
      <c r="H1077" s="5">
        <f t="shared" si="16"/>
        <v>-1.0437259528516494E-2</v>
      </c>
    </row>
    <row r="1078" spans="1:8" ht="13.5" x14ac:dyDescent="0.25">
      <c r="A1078" s="1"/>
      <c r="B1078" s="3">
        <v>43874</v>
      </c>
      <c r="C1078" s="4">
        <v>5.64</v>
      </c>
      <c r="D1078" s="4">
        <v>4.6143000000000001</v>
      </c>
      <c r="E1078" s="4">
        <v>1721</v>
      </c>
      <c r="F1078" s="4">
        <v>5.6216999999999997</v>
      </c>
      <c r="G1078" s="4">
        <v>9674.9457000000002</v>
      </c>
      <c r="H1078" s="5">
        <f t="shared" si="16"/>
        <v>-8.7858738614881669E-3</v>
      </c>
    </row>
    <row r="1079" spans="1:8" ht="13.5" x14ac:dyDescent="0.25">
      <c r="A1079" s="1"/>
      <c r="B1079" s="3">
        <v>43875</v>
      </c>
      <c r="C1079" s="4">
        <v>5.6</v>
      </c>
      <c r="D1079" s="4">
        <v>4.5815999999999999</v>
      </c>
      <c r="E1079" s="4">
        <v>4326</v>
      </c>
      <c r="F1079" s="4">
        <v>5.5103</v>
      </c>
      <c r="G1079" s="4">
        <v>23837.557799999999</v>
      </c>
      <c r="H1079" s="5">
        <f t="shared" si="16"/>
        <v>-7.0866653663611322E-3</v>
      </c>
    </row>
    <row r="1080" spans="1:8" ht="13.5" x14ac:dyDescent="0.25">
      <c r="A1080" s="1"/>
      <c r="B1080" s="3">
        <v>43878</v>
      </c>
      <c r="C1080" s="4">
        <v>5.53</v>
      </c>
      <c r="D1080" s="4">
        <v>4.5243000000000002</v>
      </c>
      <c r="E1080" s="4">
        <v>3362</v>
      </c>
      <c r="F1080" s="4">
        <v>5.4924999999999997</v>
      </c>
      <c r="G1080" s="4">
        <v>18465.785</v>
      </c>
      <c r="H1080" s="5">
        <f t="shared" si="16"/>
        <v>-1.2506547930853781E-2</v>
      </c>
    </row>
    <row r="1081" spans="1:8" ht="13.5" x14ac:dyDescent="0.25">
      <c r="A1081" s="1"/>
      <c r="B1081" s="3">
        <v>43879</v>
      </c>
      <c r="C1081" s="4">
        <v>5.52</v>
      </c>
      <c r="D1081" s="4">
        <v>4.5162000000000004</v>
      </c>
      <c r="E1081" s="4">
        <v>1481</v>
      </c>
      <c r="F1081" s="4">
        <v>5.5183999999999997</v>
      </c>
      <c r="G1081" s="4">
        <v>8172.7503999999999</v>
      </c>
      <c r="H1081" s="5">
        <f t="shared" si="16"/>
        <v>-1.7903322060870794E-3</v>
      </c>
    </row>
    <row r="1082" spans="1:8" ht="13.5" x14ac:dyDescent="0.25">
      <c r="A1082" s="1"/>
      <c r="B1082" s="3">
        <v>43880</v>
      </c>
      <c r="C1082" s="4">
        <v>5.69</v>
      </c>
      <c r="D1082" s="4">
        <v>4.6551999999999998</v>
      </c>
      <c r="E1082" s="4">
        <v>3643</v>
      </c>
      <c r="F1082" s="4">
        <v>5.6143000000000001</v>
      </c>
      <c r="G1082" s="4">
        <v>20452.894899999999</v>
      </c>
      <c r="H1082" s="5">
        <f t="shared" si="16"/>
        <v>3.077808777290628E-2</v>
      </c>
    </row>
    <row r="1083" spans="1:8" ht="13.5" x14ac:dyDescent="0.25">
      <c r="A1083" s="1"/>
      <c r="B1083" s="3">
        <v>43881</v>
      </c>
      <c r="C1083" s="4">
        <v>5.69</v>
      </c>
      <c r="D1083" s="4">
        <v>4.6551999999999998</v>
      </c>
      <c r="E1083" s="4">
        <v>5207</v>
      </c>
      <c r="F1083" s="4">
        <v>5.7351999999999999</v>
      </c>
      <c r="G1083" s="4">
        <v>29863.186399999999</v>
      </c>
      <c r="H1083" s="5">
        <f t="shared" si="16"/>
        <v>0</v>
      </c>
    </row>
    <row r="1084" spans="1:8" ht="13.5" x14ac:dyDescent="0.25">
      <c r="A1084" s="1"/>
      <c r="B1084" s="3">
        <v>43882</v>
      </c>
      <c r="C1084" s="4">
        <v>5.61</v>
      </c>
      <c r="D1084" s="4">
        <v>4.5898000000000003</v>
      </c>
      <c r="E1084" s="4">
        <v>858</v>
      </c>
      <c r="F1084" s="4">
        <v>5.6125999999999996</v>
      </c>
      <c r="G1084" s="4">
        <v>4815.6108000000004</v>
      </c>
      <c r="H1084" s="5">
        <f t="shared" si="16"/>
        <v>-1.4048805636707223E-2</v>
      </c>
    </row>
    <row r="1085" spans="1:8" ht="13.5" x14ac:dyDescent="0.25">
      <c r="A1085" s="1"/>
      <c r="B1085" s="3">
        <v>43885</v>
      </c>
      <c r="C1085" s="4">
        <v>5.61</v>
      </c>
      <c r="D1085" s="4">
        <v>4.5898000000000003</v>
      </c>
      <c r="E1085" s="4">
        <v>196</v>
      </c>
      <c r="F1085" s="4">
        <v>5.5307000000000004</v>
      </c>
      <c r="G1085" s="4">
        <v>1084.0172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5.57</v>
      </c>
      <c r="D1086" s="4">
        <v>4.5571000000000002</v>
      </c>
      <c r="E1086" s="4">
        <v>1775</v>
      </c>
      <c r="F1086" s="4">
        <v>5.6616</v>
      </c>
      <c r="G1086" s="4">
        <v>10049.34</v>
      </c>
      <c r="H1086" s="5">
        <f t="shared" si="16"/>
        <v>-7.1244934419800801E-3</v>
      </c>
    </row>
    <row r="1087" spans="1:8" ht="13.5" x14ac:dyDescent="0.25">
      <c r="A1087" s="1"/>
      <c r="B1087" s="3">
        <v>43887</v>
      </c>
      <c r="C1087" s="4">
        <v>5.48</v>
      </c>
      <c r="D1087" s="4">
        <v>4.4833999999999996</v>
      </c>
      <c r="E1087" s="4">
        <v>2355</v>
      </c>
      <c r="F1087" s="4">
        <v>5.4691999999999998</v>
      </c>
      <c r="G1087" s="4">
        <v>12879.966</v>
      </c>
      <c r="H1087" s="5">
        <f t="shared" si="16"/>
        <v>-1.6172565886199676E-2</v>
      </c>
    </row>
    <row r="1088" spans="1:8" ht="13.5" x14ac:dyDescent="0.25">
      <c r="A1088" s="1"/>
      <c r="B1088" s="3">
        <v>43888</v>
      </c>
      <c r="C1088" s="4">
        <v>5.44</v>
      </c>
      <c r="D1088" s="4">
        <v>4.4507000000000003</v>
      </c>
      <c r="E1088" s="4">
        <v>430</v>
      </c>
      <c r="F1088" s="4">
        <v>5.4394999999999998</v>
      </c>
      <c r="G1088" s="4">
        <v>2338.9850000000001</v>
      </c>
      <c r="H1088" s="5">
        <f t="shared" si="16"/>
        <v>-7.2935718427977175E-3</v>
      </c>
    </row>
    <row r="1089" spans="1:8" ht="13.5" x14ac:dyDescent="0.25">
      <c r="A1089" s="1"/>
      <c r="B1089" s="3">
        <v>43889</v>
      </c>
      <c r="C1089" s="4">
        <v>5.4</v>
      </c>
      <c r="D1089" s="4">
        <v>4.4180000000000001</v>
      </c>
      <c r="E1089" s="4">
        <v>1805</v>
      </c>
      <c r="F1089" s="4">
        <v>5.3761999999999999</v>
      </c>
      <c r="G1089" s="4">
        <v>9704.0409999999993</v>
      </c>
      <c r="H1089" s="5">
        <f t="shared" si="16"/>
        <v>-7.3471588738850454E-3</v>
      </c>
    </row>
    <row r="1090" spans="1:8" ht="13.5" x14ac:dyDescent="0.25">
      <c r="A1090" s="1"/>
      <c r="B1090" s="3">
        <v>43892</v>
      </c>
      <c r="C1090" s="4">
        <v>5.4</v>
      </c>
      <c r="D1090" s="4">
        <v>4.4180000000000001</v>
      </c>
      <c r="E1090" s="4">
        <v>1265</v>
      </c>
      <c r="F1090" s="4">
        <v>5.3502999999999998</v>
      </c>
      <c r="G1090" s="4">
        <v>6768.1295</v>
      </c>
      <c r="H1090" s="5">
        <f t="shared" si="16"/>
        <v>0</v>
      </c>
    </row>
    <row r="1091" spans="1:8" ht="13.5" x14ac:dyDescent="0.25">
      <c r="A1091" s="1"/>
      <c r="B1091" s="3">
        <v>43893</v>
      </c>
      <c r="C1091" s="4">
        <v>5.34</v>
      </c>
      <c r="D1091" s="4">
        <v>4.3689</v>
      </c>
      <c r="E1091" s="4">
        <v>481</v>
      </c>
      <c r="F1091" s="4">
        <v>5.2408000000000001</v>
      </c>
      <c r="G1091" s="4">
        <v>2520.8247999999999</v>
      </c>
      <c r="H1091" s="5">
        <f t="shared" si="16"/>
        <v>-1.1113626075147157E-2</v>
      </c>
    </row>
    <row r="1092" spans="1:8" ht="13.5" x14ac:dyDescent="0.25">
      <c r="A1092" s="1"/>
      <c r="B1092" s="3">
        <v>43894</v>
      </c>
      <c r="C1092" s="4">
        <v>5.58</v>
      </c>
      <c r="D1092" s="4">
        <v>4.5651999999999999</v>
      </c>
      <c r="E1092" s="4">
        <v>1094</v>
      </c>
      <c r="F1092" s="4">
        <v>5.4035000000000002</v>
      </c>
      <c r="G1092" s="4">
        <v>5911.4290000000001</v>
      </c>
      <c r="H1092" s="5">
        <f t="shared" si="16"/>
        <v>4.4931218384490358E-2</v>
      </c>
    </row>
    <row r="1093" spans="1:8" ht="13.5" x14ac:dyDescent="0.25">
      <c r="A1093" s="1"/>
      <c r="B1093" s="3">
        <v>43895</v>
      </c>
      <c r="C1093" s="4">
        <v>5.42</v>
      </c>
      <c r="D1093" s="4">
        <v>4.4343000000000004</v>
      </c>
      <c r="E1093" s="4">
        <v>255</v>
      </c>
      <c r="F1093" s="4">
        <v>5.42</v>
      </c>
      <c r="G1093" s="4">
        <v>1382.1</v>
      </c>
      <c r="H1093" s="5">
        <f t="shared" si="16"/>
        <v>-2.8673442565495394E-2</v>
      </c>
    </row>
    <row r="1094" spans="1:8" ht="13.5" x14ac:dyDescent="0.25">
      <c r="A1094" s="1"/>
      <c r="B1094" s="3">
        <v>43896</v>
      </c>
      <c r="C1094" s="4">
        <v>5.49</v>
      </c>
      <c r="D1094" s="4">
        <v>4.4916</v>
      </c>
      <c r="E1094" s="4">
        <v>940</v>
      </c>
      <c r="F1094" s="4">
        <v>5.2655000000000003</v>
      </c>
      <c r="G1094" s="4">
        <v>4949.57</v>
      </c>
      <c r="H1094" s="5">
        <f t="shared" si="16"/>
        <v>1.2921994452337389E-2</v>
      </c>
    </row>
    <row r="1095" spans="1:8" ht="13.5" x14ac:dyDescent="0.25">
      <c r="A1095" s="1"/>
      <c r="B1095" s="3">
        <v>43899</v>
      </c>
      <c r="C1095" s="4">
        <v>5.33</v>
      </c>
      <c r="D1095" s="4">
        <v>4.3606999999999996</v>
      </c>
      <c r="E1095" s="4">
        <v>2275</v>
      </c>
      <c r="F1095" s="4">
        <v>5.33</v>
      </c>
      <c r="G1095" s="4">
        <v>12125.75</v>
      </c>
      <c r="H1095" s="5">
        <f t="shared" ref="H1095:H1158" si="17">(D1095-D1094)/D1094</f>
        <v>-2.9143289696322124E-2</v>
      </c>
    </row>
    <row r="1096" spans="1:8" ht="13.5" x14ac:dyDescent="0.25">
      <c r="A1096" s="1"/>
      <c r="B1096" s="3">
        <v>43900</v>
      </c>
      <c r="C1096" s="4">
        <v>5.3</v>
      </c>
      <c r="D1096" s="4">
        <v>4.3361999999999998</v>
      </c>
      <c r="E1096" s="4">
        <v>3957</v>
      </c>
      <c r="F1096" s="4">
        <v>5.0837000000000003</v>
      </c>
      <c r="G1096" s="4">
        <v>20116.2009</v>
      </c>
      <c r="H1096" s="5">
        <f t="shared" si="17"/>
        <v>-5.6183640241245086E-3</v>
      </c>
    </row>
    <row r="1097" spans="1:8" ht="13.5" x14ac:dyDescent="0.25">
      <c r="A1097" s="1"/>
      <c r="B1097" s="3">
        <v>43901</v>
      </c>
      <c r="C1097" s="4">
        <v>5.15</v>
      </c>
      <c r="D1097" s="4">
        <v>4.2134</v>
      </c>
      <c r="E1097" s="4">
        <v>6699</v>
      </c>
      <c r="F1097" s="4">
        <v>5.1786000000000003</v>
      </c>
      <c r="G1097" s="4">
        <v>34691.441400000003</v>
      </c>
      <c r="H1097" s="5">
        <f t="shared" si="17"/>
        <v>-2.8319726949863892E-2</v>
      </c>
    </row>
    <row r="1098" spans="1:8" ht="13.5" x14ac:dyDescent="0.25">
      <c r="A1098" s="1"/>
      <c r="B1098" s="3">
        <v>43902</v>
      </c>
      <c r="C1098" s="4">
        <v>5.18</v>
      </c>
      <c r="D1098" s="4">
        <v>4.2380000000000004</v>
      </c>
      <c r="E1098" s="4">
        <v>1499</v>
      </c>
      <c r="F1098" s="4">
        <v>5.1105999999999998</v>
      </c>
      <c r="G1098" s="4">
        <v>7660.7893999999997</v>
      </c>
      <c r="H1098" s="5">
        <f t="shared" si="17"/>
        <v>5.8385152133669715E-3</v>
      </c>
    </row>
    <row r="1099" spans="1:8" ht="13.5" x14ac:dyDescent="0.25">
      <c r="A1099" s="1"/>
      <c r="B1099" s="3">
        <v>43903</v>
      </c>
      <c r="C1099" s="4">
        <v>5.03</v>
      </c>
      <c r="D1099" s="4">
        <v>4.1153000000000004</v>
      </c>
      <c r="E1099" s="4">
        <v>208</v>
      </c>
      <c r="F1099" s="4">
        <v>5.03</v>
      </c>
      <c r="G1099" s="4">
        <v>1046.24</v>
      </c>
      <c r="H1099" s="5">
        <f t="shared" si="17"/>
        <v>-2.8952336007550736E-2</v>
      </c>
    </row>
    <row r="1100" spans="1:8" ht="13.5" x14ac:dyDescent="0.25">
      <c r="A1100" s="1"/>
      <c r="B1100" s="3">
        <v>43906</v>
      </c>
      <c r="C1100" s="4">
        <v>4.7300000000000004</v>
      </c>
      <c r="D1100" s="4">
        <v>3.8698000000000001</v>
      </c>
      <c r="E1100" s="4">
        <v>5699</v>
      </c>
      <c r="F1100" s="4">
        <v>4.9275000000000002</v>
      </c>
      <c r="G1100" s="4">
        <v>28081.822499999998</v>
      </c>
      <c r="H1100" s="5">
        <f t="shared" si="17"/>
        <v>-5.9655432167764255E-2</v>
      </c>
    </row>
    <row r="1101" spans="1:8" ht="13.5" x14ac:dyDescent="0.25">
      <c r="A1101" s="1"/>
      <c r="B1101" s="3">
        <v>43907</v>
      </c>
      <c r="C1101" s="4">
        <v>4.5199999999999996</v>
      </c>
      <c r="D1101" s="4">
        <v>3.698</v>
      </c>
      <c r="E1101" s="4">
        <v>4984</v>
      </c>
      <c r="F1101" s="4">
        <v>4.5199999999999996</v>
      </c>
      <c r="G1101" s="4">
        <v>22527.68</v>
      </c>
      <c r="H1101" s="5">
        <f t="shared" si="17"/>
        <v>-4.4395059176184859E-2</v>
      </c>
    </row>
    <row r="1102" spans="1:8" ht="13.5" x14ac:dyDescent="0.25">
      <c r="A1102" s="1"/>
      <c r="B1102" s="3">
        <v>43908</v>
      </c>
      <c r="C1102" s="4">
        <v>4.6399999999999997</v>
      </c>
      <c r="D1102" s="4">
        <v>3.7961999999999998</v>
      </c>
      <c r="E1102" s="4">
        <v>5021</v>
      </c>
      <c r="F1102" s="4">
        <v>4.4786000000000001</v>
      </c>
      <c r="G1102" s="4">
        <v>22487.050599999999</v>
      </c>
      <c r="H1102" s="5">
        <f t="shared" si="17"/>
        <v>2.6554894537587845E-2</v>
      </c>
    </row>
    <row r="1103" spans="1:8" ht="13.5" x14ac:dyDescent="0.25">
      <c r="A1103" s="1"/>
      <c r="B1103" s="3">
        <v>43909</v>
      </c>
      <c r="C1103" s="4">
        <v>4.51</v>
      </c>
      <c r="D1103" s="4">
        <v>3.6898</v>
      </c>
      <c r="E1103" s="4">
        <v>6720</v>
      </c>
      <c r="F1103" s="4">
        <v>4.5925000000000002</v>
      </c>
      <c r="G1103" s="4">
        <v>30861.599999999999</v>
      </c>
      <c r="H1103" s="5">
        <f t="shared" si="17"/>
        <v>-2.8028028028027983E-2</v>
      </c>
    </row>
    <row r="1104" spans="1:8" ht="13.5" x14ac:dyDescent="0.25">
      <c r="A1104" s="1"/>
      <c r="B1104" s="3">
        <v>43913</v>
      </c>
      <c r="C1104" s="4">
        <v>4.51</v>
      </c>
      <c r="D1104" s="4">
        <v>3.6898</v>
      </c>
      <c r="E1104" s="4">
        <v>241</v>
      </c>
      <c r="F1104" s="4">
        <v>4.5216000000000003</v>
      </c>
      <c r="G1104" s="4">
        <v>1089.7056</v>
      </c>
      <c r="H1104" s="5">
        <f t="shared" si="17"/>
        <v>0</v>
      </c>
    </row>
    <row r="1105" spans="1:8" ht="13.5" x14ac:dyDescent="0.25">
      <c r="A1105" s="1"/>
      <c r="B1105" s="3">
        <v>43914</v>
      </c>
      <c r="C1105" s="4">
        <v>4.5999999999999996</v>
      </c>
      <c r="D1105" s="4">
        <v>3.7635000000000001</v>
      </c>
      <c r="E1105" s="4">
        <v>3652</v>
      </c>
      <c r="F1105" s="4">
        <v>4.5457999999999998</v>
      </c>
      <c r="G1105" s="4">
        <v>16601.261600000002</v>
      </c>
      <c r="H1105" s="5">
        <f t="shared" si="17"/>
        <v>1.9973982329665591E-2</v>
      </c>
    </row>
    <row r="1106" spans="1:8" ht="13.5" x14ac:dyDescent="0.25">
      <c r="A1106" s="1"/>
      <c r="B1106" s="3">
        <v>43915</v>
      </c>
      <c r="C1106" s="4">
        <v>4.4800000000000004</v>
      </c>
      <c r="D1106" s="4">
        <v>3.6652999999999998</v>
      </c>
      <c r="E1106" s="4">
        <v>4272</v>
      </c>
      <c r="F1106" s="4">
        <v>4.4836999999999998</v>
      </c>
      <c r="G1106" s="4">
        <v>19154.366399999999</v>
      </c>
      <c r="H1106" s="5">
        <f t="shared" si="17"/>
        <v>-2.6092732828484198E-2</v>
      </c>
    </row>
    <row r="1107" spans="1:8" ht="13.5" x14ac:dyDescent="0.25">
      <c r="A1107" s="1"/>
      <c r="B1107" s="3">
        <v>43916</v>
      </c>
      <c r="C1107" s="4">
        <v>4.6100000000000003</v>
      </c>
      <c r="D1107" s="4">
        <v>3.7715999999999998</v>
      </c>
      <c r="E1107" s="4">
        <v>402</v>
      </c>
      <c r="F1107" s="4">
        <v>4.6001000000000003</v>
      </c>
      <c r="G1107" s="4">
        <v>1849.2402</v>
      </c>
      <c r="H1107" s="5">
        <f t="shared" si="17"/>
        <v>2.9001718822470213E-2</v>
      </c>
    </row>
    <row r="1108" spans="1:8" ht="13.5" x14ac:dyDescent="0.25">
      <c r="A1108" s="1"/>
      <c r="B1108" s="3">
        <v>43917</v>
      </c>
      <c r="C1108" s="4">
        <v>4.5999999999999996</v>
      </c>
      <c r="D1108" s="4">
        <v>3.7635000000000001</v>
      </c>
      <c r="E1108" s="4">
        <v>638</v>
      </c>
      <c r="F1108" s="4">
        <v>4.4821</v>
      </c>
      <c r="G1108" s="4">
        <v>2859.5798</v>
      </c>
      <c r="H1108" s="5">
        <f t="shared" si="17"/>
        <v>-2.147629653197522E-3</v>
      </c>
    </row>
    <row r="1109" spans="1:8" ht="13.5" x14ac:dyDescent="0.25">
      <c r="A1109" s="1"/>
      <c r="B1109" s="3">
        <v>43920</v>
      </c>
      <c r="C1109" s="4">
        <v>4.5999999999999996</v>
      </c>
      <c r="D1109" s="4">
        <v>3.7635000000000001</v>
      </c>
      <c r="E1109" s="4">
        <v>101</v>
      </c>
      <c r="F1109" s="4">
        <v>4.6307</v>
      </c>
      <c r="G1109" s="4">
        <v>467.70069999999998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4.47</v>
      </c>
      <c r="D1110" s="4">
        <v>3.6570999999999998</v>
      </c>
      <c r="E1110" s="4">
        <v>1611</v>
      </c>
      <c r="F1110" s="4">
        <v>4.4881000000000002</v>
      </c>
      <c r="G1110" s="4">
        <v>7230.3290999999999</v>
      </c>
      <c r="H1110" s="5">
        <f t="shared" si="17"/>
        <v>-2.82715557326957E-2</v>
      </c>
    </row>
    <row r="1111" spans="1:8" ht="13.5" x14ac:dyDescent="0.25">
      <c r="A1111" s="1"/>
      <c r="B1111" s="3">
        <v>43922</v>
      </c>
      <c r="C1111" s="4">
        <v>4.57</v>
      </c>
      <c r="D1111" s="4">
        <v>3.7389000000000001</v>
      </c>
      <c r="E1111" s="4">
        <v>2261</v>
      </c>
      <c r="F1111" s="4">
        <v>4.4048999999999996</v>
      </c>
      <c r="G1111" s="4">
        <v>9959.4789000000001</v>
      </c>
      <c r="H1111" s="5">
        <f t="shared" si="17"/>
        <v>2.2367449618550306E-2</v>
      </c>
    </row>
    <row r="1112" spans="1:8" ht="13.5" x14ac:dyDescent="0.25">
      <c r="A1112" s="1"/>
      <c r="B1112" s="3">
        <v>43923</v>
      </c>
      <c r="C1112" s="4">
        <v>4.4400000000000004</v>
      </c>
      <c r="D1112" s="4">
        <v>3.6326000000000001</v>
      </c>
      <c r="E1112" s="4">
        <v>949</v>
      </c>
      <c r="F1112" s="4">
        <v>4.4400000000000004</v>
      </c>
      <c r="G1112" s="4">
        <v>4213.5600000000004</v>
      </c>
      <c r="H1112" s="5">
        <f t="shared" si="17"/>
        <v>-2.8430821899489169E-2</v>
      </c>
    </row>
    <row r="1113" spans="1:8" ht="13.5" x14ac:dyDescent="0.25">
      <c r="A1113" s="1"/>
      <c r="B1113" s="3">
        <v>43924</v>
      </c>
      <c r="C1113" s="4">
        <v>4.3899999999999997</v>
      </c>
      <c r="D1113" s="4">
        <v>3.5916999999999999</v>
      </c>
      <c r="E1113" s="4">
        <v>4757</v>
      </c>
      <c r="F1113" s="4">
        <v>4.359</v>
      </c>
      <c r="G1113" s="4">
        <v>20735.762999999999</v>
      </c>
      <c r="H1113" s="5">
        <f t="shared" si="17"/>
        <v>-1.1259153223586456E-2</v>
      </c>
    </row>
    <row r="1114" spans="1:8" ht="13.5" x14ac:dyDescent="0.25">
      <c r="A1114" s="1"/>
      <c r="B1114" s="3">
        <v>43927</v>
      </c>
      <c r="C1114" s="4">
        <v>4.26</v>
      </c>
      <c r="D1114" s="4">
        <v>3.4853000000000001</v>
      </c>
      <c r="E1114" s="4">
        <v>50</v>
      </c>
      <c r="F1114" s="4">
        <v>4.26</v>
      </c>
      <c r="G1114" s="4">
        <v>213</v>
      </c>
      <c r="H1114" s="5">
        <f t="shared" si="17"/>
        <v>-2.9623854999025485E-2</v>
      </c>
    </row>
    <row r="1115" spans="1:8" ht="13.5" x14ac:dyDescent="0.25">
      <c r="A1115" s="1"/>
      <c r="B1115" s="3">
        <v>43928</v>
      </c>
      <c r="C1115" s="4">
        <v>4.29</v>
      </c>
      <c r="D1115" s="4">
        <v>3.5097999999999998</v>
      </c>
      <c r="E1115" s="4">
        <v>101</v>
      </c>
      <c r="F1115" s="4">
        <v>4.2900999999999998</v>
      </c>
      <c r="G1115" s="4">
        <v>433.30009999999999</v>
      </c>
      <c r="H1115" s="5">
        <f t="shared" si="17"/>
        <v>7.0295240008033007E-3</v>
      </c>
    </row>
    <row r="1116" spans="1:8" ht="13.5" x14ac:dyDescent="0.25">
      <c r="A1116" s="1"/>
      <c r="B1116" s="3">
        <v>43929</v>
      </c>
      <c r="C1116" s="4">
        <v>4.28</v>
      </c>
      <c r="D1116" s="4">
        <v>3.5017</v>
      </c>
      <c r="E1116" s="4">
        <v>778</v>
      </c>
      <c r="F1116" s="4">
        <v>4.1920000000000002</v>
      </c>
      <c r="G1116" s="4">
        <v>3261.3760000000002</v>
      </c>
      <c r="H1116" s="5">
        <f t="shared" si="17"/>
        <v>-2.3078238076243017E-3</v>
      </c>
    </row>
    <row r="1117" spans="1:8" ht="13.5" x14ac:dyDescent="0.25">
      <c r="A1117" s="1"/>
      <c r="B1117" s="3">
        <v>43934</v>
      </c>
      <c r="C1117" s="4">
        <v>4.29</v>
      </c>
      <c r="D1117" s="4">
        <v>3.5097999999999998</v>
      </c>
      <c r="E1117" s="4">
        <v>7</v>
      </c>
      <c r="F1117" s="4">
        <v>4.2986000000000004</v>
      </c>
      <c r="G1117" s="4">
        <v>30.090199999999999</v>
      </c>
      <c r="H1117" s="5">
        <f t="shared" si="17"/>
        <v>2.3131621783704414E-3</v>
      </c>
    </row>
    <row r="1118" spans="1:8" ht="13.5" x14ac:dyDescent="0.25">
      <c r="A1118" s="1"/>
      <c r="B1118" s="3">
        <v>43935</v>
      </c>
      <c r="C1118" s="4">
        <v>4.3499999999999996</v>
      </c>
      <c r="D1118" s="4">
        <v>3.5589</v>
      </c>
      <c r="E1118" s="4">
        <v>51</v>
      </c>
      <c r="F1118" s="4">
        <v>4.1734999999999998</v>
      </c>
      <c r="G1118" s="4">
        <v>212.8485</v>
      </c>
      <c r="H1118" s="5">
        <f t="shared" si="17"/>
        <v>1.3989401105476137E-2</v>
      </c>
    </row>
    <row r="1119" spans="1:8" ht="13.5" x14ac:dyDescent="0.25">
      <c r="A1119" s="1"/>
      <c r="B1119" s="3">
        <v>43936</v>
      </c>
      <c r="C1119" s="4">
        <v>4.4800000000000004</v>
      </c>
      <c r="D1119" s="4">
        <v>3.6652999999999998</v>
      </c>
      <c r="E1119" s="4">
        <v>4705</v>
      </c>
      <c r="F1119" s="4">
        <v>4.4654999999999996</v>
      </c>
      <c r="G1119" s="4">
        <v>21010.177500000002</v>
      </c>
      <c r="H1119" s="5">
        <f t="shared" si="17"/>
        <v>2.9896878248897082E-2</v>
      </c>
    </row>
    <row r="1120" spans="1:8" ht="13.5" x14ac:dyDescent="0.25">
      <c r="A1120" s="1"/>
      <c r="B1120" s="3">
        <v>43937</v>
      </c>
      <c r="C1120" s="4">
        <v>4.54</v>
      </c>
      <c r="D1120" s="4">
        <v>3.7143999999999999</v>
      </c>
      <c r="E1120" s="4">
        <v>4088</v>
      </c>
      <c r="F1120" s="4">
        <v>4.5372000000000003</v>
      </c>
      <c r="G1120" s="4">
        <v>18548.0736</v>
      </c>
      <c r="H1120" s="5">
        <f t="shared" si="17"/>
        <v>1.3395902108967928E-2</v>
      </c>
    </row>
    <row r="1121" spans="1:8" ht="13.5" x14ac:dyDescent="0.25">
      <c r="A1121" s="1"/>
      <c r="B1121" s="3">
        <v>43938</v>
      </c>
      <c r="C1121" s="4">
        <v>4.41</v>
      </c>
      <c r="D1121" s="4">
        <v>3.6080000000000001</v>
      </c>
      <c r="E1121" s="4">
        <v>1787</v>
      </c>
      <c r="F1121" s="4">
        <v>4.4111000000000002</v>
      </c>
      <c r="G1121" s="4">
        <v>7882.6356999999998</v>
      </c>
      <c r="H1121" s="5">
        <f t="shared" si="17"/>
        <v>-2.8645272453155242E-2</v>
      </c>
    </row>
    <row r="1122" spans="1:8" ht="13.5" x14ac:dyDescent="0.25">
      <c r="A1122" s="1"/>
      <c r="B1122" s="3">
        <v>43941</v>
      </c>
      <c r="C1122" s="4">
        <v>4.4000000000000004</v>
      </c>
      <c r="D1122" s="4">
        <v>3.5998000000000001</v>
      </c>
      <c r="E1122" s="4">
        <v>5254</v>
      </c>
      <c r="F1122" s="4">
        <v>4.3945999999999996</v>
      </c>
      <c r="G1122" s="4">
        <v>23089.2284</v>
      </c>
      <c r="H1122" s="5">
        <f t="shared" si="17"/>
        <v>-2.2727272727272687E-3</v>
      </c>
    </row>
    <row r="1123" spans="1:8" ht="13.5" x14ac:dyDescent="0.25">
      <c r="A1123" s="1"/>
      <c r="B1123" s="3">
        <v>43942</v>
      </c>
      <c r="C1123" s="4">
        <v>4.53</v>
      </c>
      <c r="D1123" s="4">
        <v>3.7061999999999999</v>
      </c>
      <c r="E1123" s="4">
        <v>7432</v>
      </c>
      <c r="F1123" s="4">
        <v>4.4978999999999996</v>
      </c>
      <c r="G1123" s="4">
        <v>33428.392800000001</v>
      </c>
      <c r="H1123" s="5">
        <f t="shared" si="17"/>
        <v>2.9557197622090067E-2</v>
      </c>
    </row>
    <row r="1124" spans="1:8" ht="13.5" x14ac:dyDescent="0.25">
      <c r="A1124" s="1"/>
      <c r="B1124" s="3">
        <v>43943</v>
      </c>
      <c r="C1124" s="4">
        <v>4.6399999999999997</v>
      </c>
      <c r="D1124" s="4">
        <v>3.7961999999999998</v>
      </c>
      <c r="E1124" s="4">
        <v>2376</v>
      </c>
      <c r="F1124" s="4">
        <v>4.5065999999999997</v>
      </c>
      <c r="G1124" s="4">
        <v>10707.6816</v>
      </c>
      <c r="H1124" s="5">
        <f t="shared" si="17"/>
        <v>2.4283632831471551E-2</v>
      </c>
    </row>
    <row r="1125" spans="1:8" ht="13.5" x14ac:dyDescent="0.25">
      <c r="A1125" s="1"/>
      <c r="B1125" s="3">
        <v>43944</v>
      </c>
      <c r="C1125" s="4">
        <v>4.6399999999999997</v>
      </c>
      <c r="D1125" s="4">
        <v>3.7961999999999998</v>
      </c>
      <c r="E1125" s="4">
        <v>100</v>
      </c>
      <c r="F1125" s="4">
        <v>4.6391999999999998</v>
      </c>
      <c r="G1125" s="4">
        <v>463.92</v>
      </c>
      <c r="H1125" s="5">
        <f t="shared" si="17"/>
        <v>0</v>
      </c>
    </row>
    <row r="1126" spans="1:8" ht="13.5" x14ac:dyDescent="0.25">
      <c r="A1126" s="1"/>
      <c r="B1126" s="3">
        <v>43945</v>
      </c>
      <c r="C1126" s="4">
        <v>4.63</v>
      </c>
      <c r="D1126" s="4">
        <v>3.7879999999999998</v>
      </c>
      <c r="E1126" s="4">
        <v>1358</v>
      </c>
      <c r="F1126" s="4">
        <v>4.5255000000000001</v>
      </c>
      <c r="G1126" s="4">
        <v>6145.6289999999999</v>
      </c>
      <c r="H1126" s="5">
        <f t="shared" si="17"/>
        <v>-2.1600547916337354E-3</v>
      </c>
    </row>
    <row r="1127" spans="1:8" ht="13.5" x14ac:dyDescent="0.25">
      <c r="A1127" s="1"/>
      <c r="B1127" s="3">
        <v>43948</v>
      </c>
      <c r="C1127" s="4">
        <v>4.5</v>
      </c>
      <c r="D1127" s="4">
        <v>3.6816</v>
      </c>
      <c r="E1127" s="4">
        <v>884</v>
      </c>
      <c r="F1127" s="4">
        <v>4.5</v>
      </c>
      <c r="G1127" s="4">
        <v>3978</v>
      </c>
      <c r="H1127" s="5">
        <f t="shared" si="17"/>
        <v>-2.8088701161562785E-2</v>
      </c>
    </row>
    <row r="1128" spans="1:8" ht="13.5" x14ac:dyDescent="0.25">
      <c r="A1128" s="1"/>
      <c r="B1128" s="3">
        <v>43949</v>
      </c>
      <c r="C1128" s="4">
        <v>4.49</v>
      </c>
      <c r="D1128" s="4">
        <v>3.6735000000000002</v>
      </c>
      <c r="E1128" s="4">
        <v>793</v>
      </c>
      <c r="F1128" s="4">
        <v>4.3727999999999998</v>
      </c>
      <c r="G1128" s="4">
        <v>3467.6304</v>
      </c>
      <c r="H1128" s="5">
        <f t="shared" si="17"/>
        <v>-2.2001303780964186E-3</v>
      </c>
    </row>
    <row r="1129" spans="1:8" ht="13.5" x14ac:dyDescent="0.25">
      <c r="A1129" s="1"/>
      <c r="B1129" s="3">
        <v>43950</v>
      </c>
      <c r="C1129" s="4">
        <v>4.3600000000000003</v>
      </c>
      <c r="D1129" s="4">
        <v>3.5670999999999999</v>
      </c>
      <c r="E1129" s="4">
        <v>4599</v>
      </c>
      <c r="F1129" s="4">
        <v>4.3602999999999996</v>
      </c>
      <c r="G1129" s="4">
        <v>20053.019700000001</v>
      </c>
      <c r="H1129" s="5">
        <f t="shared" si="17"/>
        <v>-2.8964203076085548E-2</v>
      </c>
    </row>
    <row r="1130" spans="1:8" ht="13.5" x14ac:dyDescent="0.25">
      <c r="A1130" s="1"/>
      <c r="B1130" s="3">
        <v>43951</v>
      </c>
      <c r="C1130" s="4">
        <v>4.46</v>
      </c>
      <c r="D1130" s="4">
        <v>3.6488999999999998</v>
      </c>
      <c r="E1130" s="4">
        <v>1086</v>
      </c>
      <c r="F1130" s="4">
        <v>4.2435999999999998</v>
      </c>
      <c r="G1130" s="4">
        <v>4608.5496000000003</v>
      </c>
      <c r="H1130" s="5">
        <f t="shared" si="17"/>
        <v>2.293179333352019E-2</v>
      </c>
    </row>
    <row r="1131" spans="1:8" ht="13.5" x14ac:dyDescent="0.25">
      <c r="A1131" s="1"/>
      <c r="B1131" s="3">
        <v>43955</v>
      </c>
      <c r="C1131" s="4">
        <v>4.5</v>
      </c>
      <c r="D1131" s="4">
        <v>3.6816</v>
      </c>
      <c r="E1131" s="4">
        <v>1001</v>
      </c>
      <c r="F1131" s="4">
        <v>4.5</v>
      </c>
      <c r="G1131" s="4">
        <v>4504.5</v>
      </c>
      <c r="H1131" s="5">
        <f t="shared" si="17"/>
        <v>8.9616048672203057E-3</v>
      </c>
    </row>
    <row r="1132" spans="1:8" ht="13.5" x14ac:dyDescent="0.25">
      <c r="A1132" s="1"/>
      <c r="B1132" s="3">
        <v>43956</v>
      </c>
      <c r="C1132" s="4">
        <v>4.37</v>
      </c>
      <c r="D1132" s="4">
        <v>3.5752999999999999</v>
      </c>
      <c r="E1132" s="4">
        <v>1678</v>
      </c>
      <c r="F1132" s="4">
        <v>4.5315000000000003</v>
      </c>
      <c r="G1132" s="4">
        <v>7603.857</v>
      </c>
      <c r="H1132" s="5">
        <f t="shared" si="17"/>
        <v>-2.8873315949587152E-2</v>
      </c>
    </row>
    <row r="1133" spans="1:8" ht="13.5" x14ac:dyDescent="0.25">
      <c r="A1133" s="1"/>
      <c r="B1133" s="3">
        <v>43957</v>
      </c>
      <c r="C1133" s="4">
        <v>4.49</v>
      </c>
      <c r="D1133" s="4">
        <v>3.6735000000000002</v>
      </c>
      <c r="E1133" s="4">
        <v>2003</v>
      </c>
      <c r="F1133" s="4">
        <v>4.2415000000000003</v>
      </c>
      <c r="G1133" s="4">
        <v>8495.7245000000003</v>
      </c>
      <c r="H1133" s="5">
        <f t="shared" si="17"/>
        <v>2.7466226610354458E-2</v>
      </c>
    </row>
    <row r="1134" spans="1:8" ht="13.5" x14ac:dyDescent="0.25">
      <c r="A1134" s="1"/>
      <c r="B1134" s="3">
        <v>43958</v>
      </c>
      <c r="C1134" s="4">
        <v>4.3600000000000003</v>
      </c>
      <c r="D1134" s="4">
        <v>3.5670999999999999</v>
      </c>
      <c r="E1134" s="4">
        <v>1204</v>
      </c>
      <c r="F1134" s="4">
        <v>4.3600000000000003</v>
      </c>
      <c r="G1134" s="4">
        <v>5249.44</v>
      </c>
      <c r="H1134" s="5">
        <f t="shared" si="17"/>
        <v>-2.8964203076085548E-2</v>
      </c>
    </row>
    <row r="1135" spans="1:8" ht="13.5" x14ac:dyDescent="0.25">
      <c r="A1135" s="1"/>
      <c r="B1135" s="3">
        <v>43959</v>
      </c>
      <c r="C1135" s="4">
        <v>4.4400000000000004</v>
      </c>
      <c r="D1135" s="4">
        <v>3.6326000000000001</v>
      </c>
      <c r="E1135" s="4">
        <v>2080</v>
      </c>
      <c r="F1135" s="4">
        <v>4.3948999999999998</v>
      </c>
      <c r="G1135" s="4">
        <v>9141.3919999999998</v>
      </c>
      <c r="H1135" s="5">
        <f t="shared" si="17"/>
        <v>1.8362255053124419E-2</v>
      </c>
    </row>
    <row r="1136" spans="1:8" ht="13.5" x14ac:dyDescent="0.25">
      <c r="A1136" s="1"/>
      <c r="B1136" s="3">
        <v>43962</v>
      </c>
      <c r="C1136" s="4">
        <v>4.55</v>
      </c>
      <c r="D1136" s="4">
        <v>3.7225999999999999</v>
      </c>
      <c r="E1136" s="4">
        <v>2085</v>
      </c>
      <c r="F1136" s="4">
        <v>4.4005000000000001</v>
      </c>
      <c r="G1136" s="4">
        <v>9175.0424999999996</v>
      </c>
      <c r="H1136" s="5">
        <f t="shared" si="17"/>
        <v>2.4775642790287909E-2</v>
      </c>
    </row>
    <row r="1137" spans="1:8" ht="13.5" x14ac:dyDescent="0.25">
      <c r="A1137" s="1"/>
      <c r="B1137" s="3">
        <v>43963</v>
      </c>
      <c r="C1137" s="4">
        <v>4.55</v>
      </c>
      <c r="D1137" s="4">
        <v>3.7225999999999999</v>
      </c>
      <c r="E1137" s="4">
        <v>777</v>
      </c>
      <c r="F1137" s="4">
        <v>4.4207999999999998</v>
      </c>
      <c r="G1137" s="4">
        <v>3434.9616000000001</v>
      </c>
      <c r="H1137" s="5">
        <f t="shared" si="17"/>
        <v>0</v>
      </c>
    </row>
    <row r="1138" spans="1:8" ht="13.5" x14ac:dyDescent="0.25">
      <c r="A1138" s="1"/>
      <c r="B1138" s="3">
        <v>43964</v>
      </c>
      <c r="C1138" s="4">
        <v>4.5999999999999996</v>
      </c>
      <c r="D1138" s="4">
        <v>3.7635000000000001</v>
      </c>
      <c r="E1138" s="4">
        <v>250</v>
      </c>
      <c r="F1138" s="4">
        <v>4.5999999999999996</v>
      </c>
      <c r="G1138" s="4">
        <v>1150</v>
      </c>
      <c r="H1138" s="5">
        <f t="shared" si="17"/>
        <v>1.0986944608606931E-2</v>
      </c>
    </row>
    <row r="1139" spans="1:8" ht="13.5" x14ac:dyDescent="0.25">
      <c r="A1139" s="1"/>
      <c r="B1139" s="3">
        <v>43965</v>
      </c>
      <c r="C1139" s="4">
        <v>4.47</v>
      </c>
      <c r="D1139" s="4">
        <v>3.6570999999999998</v>
      </c>
      <c r="E1139" s="4">
        <v>1204</v>
      </c>
      <c r="F1139" s="4">
        <v>4.47</v>
      </c>
      <c r="G1139" s="4">
        <v>5381.88</v>
      </c>
      <c r="H1139" s="5">
        <f t="shared" si="17"/>
        <v>-2.82715557326957E-2</v>
      </c>
    </row>
    <row r="1140" spans="1:8" ht="13.5" x14ac:dyDescent="0.25">
      <c r="A1140" s="1"/>
      <c r="B1140" s="3">
        <v>43966</v>
      </c>
      <c r="C1140" s="4">
        <v>4.3499999999999996</v>
      </c>
      <c r="D1140" s="4">
        <v>3.5589</v>
      </c>
      <c r="E1140" s="4">
        <v>5173</v>
      </c>
      <c r="F1140" s="4">
        <v>4.3433999999999999</v>
      </c>
      <c r="G1140" s="4">
        <v>22468.408200000002</v>
      </c>
      <c r="H1140" s="5">
        <f t="shared" si="17"/>
        <v>-2.6851877170435551E-2</v>
      </c>
    </row>
    <row r="1141" spans="1:8" ht="13.5" x14ac:dyDescent="0.25">
      <c r="A1141" s="1"/>
      <c r="B1141" s="3">
        <v>43969</v>
      </c>
      <c r="C1141" s="4">
        <v>4.3499999999999996</v>
      </c>
      <c r="D1141" s="4">
        <v>3.5589</v>
      </c>
      <c r="E1141" s="4">
        <v>1201</v>
      </c>
      <c r="F1141" s="4">
        <v>4.2653999999999996</v>
      </c>
      <c r="G1141" s="4">
        <v>5122.7453999999998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4.22</v>
      </c>
      <c r="D1142" s="4">
        <v>3.4525999999999999</v>
      </c>
      <c r="E1142" s="4">
        <v>1323</v>
      </c>
      <c r="F1142" s="4">
        <v>4.2210000000000001</v>
      </c>
      <c r="G1142" s="4">
        <v>5584.3829999999998</v>
      </c>
      <c r="H1142" s="5">
        <f t="shared" si="17"/>
        <v>-2.986877967911435E-2</v>
      </c>
    </row>
    <row r="1143" spans="1:8" ht="13.5" x14ac:dyDescent="0.25">
      <c r="A1143" s="1"/>
      <c r="B1143" s="3">
        <v>43971</v>
      </c>
      <c r="C1143" s="4">
        <v>4.16</v>
      </c>
      <c r="D1143" s="4">
        <v>3.4035000000000002</v>
      </c>
      <c r="E1143" s="4">
        <v>4632</v>
      </c>
      <c r="F1143" s="4">
        <v>4.1571999999999996</v>
      </c>
      <c r="G1143" s="4">
        <v>19256.150399999999</v>
      </c>
      <c r="H1143" s="5">
        <f t="shared" si="17"/>
        <v>-1.422116665701202E-2</v>
      </c>
    </row>
    <row r="1144" spans="1:8" ht="13.5" x14ac:dyDescent="0.25">
      <c r="A1144" s="1"/>
      <c r="B1144" s="3">
        <v>43972</v>
      </c>
      <c r="C1144" s="4">
        <v>4.25</v>
      </c>
      <c r="D1144" s="4">
        <v>3.4771000000000001</v>
      </c>
      <c r="E1144" s="4">
        <v>2186</v>
      </c>
      <c r="F1144" s="4">
        <v>4.1071999999999997</v>
      </c>
      <c r="G1144" s="4">
        <v>8978.3392000000003</v>
      </c>
      <c r="H1144" s="5">
        <f t="shared" si="17"/>
        <v>2.1624798002056671E-2</v>
      </c>
    </row>
    <row r="1145" spans="1:8" ht="13.5" x14ac:dyDescent="0.25">
      <c r="A1145" s="1"/>
      <c r="B1145" s="3">
        <v>43973</v>
      </c>
      <c r="C1145" s="4">
        <v>4.37</v>
      </c>
      <c r="D1145" s="4">
        <v>3.5752999999999999</v>
      </c>
      <c r="E1145" s="4">
        <v>1730</v>
      </c>
      <c r="F1145" s="4">
        <v>4.2645999999999997</v>
      </c>
      <c r="G1145" s="4">
        <v>7377.7579999999998</v>
      </c>
      <c r="H1145" s="5">
        <f t="shared" si="17"/>
        <v>2.8241925742716587E-2</v>
      </c>
    </row>
    <row r="1146" spans="1:8" ht="13.5" x14ac:dyDescent="0.25">
      <c r="A1146" s="1"/>
      <c r="B1146" s="3">
        <v>43977</v>
      </c>
      <c r="C1146" s="4">
        <v>4.24</v>
      </c>
      <c r="D1146" s="4">
        <v>3.4689000000000001</v>
      </c>
      <c r="E1146" s="4">
        <v>1097</v>
      </c>
      <c r="F1146" s="4">
        <v>4.2519999999999998</v>
      </c>
      <c r="G1146" s="4">
        <v>4664.4440000000004</v>
      </c>
      <c r="H1146" s="5">
        <f t="shared" si="17"/>
        <v>-2.9759740441361517E-2</v>
      </c>
    </row>
    <row r="1147" spans="1:8" ht="13.5" x14ac:dyDescent="0.25">
      <c r="A1147" s="1"/>
      <c r="B1147" s="3">
        <v>43978</v>
      </c>
      <c r="C1147" s="4">
        <v>4.12</v>
      </c>
      <c r="D1147" s="4">
        <v>3.3708</v>
      </c>
      <c r="E1147" s="4">
        <v>4712</v>
      </c>
      <c r="F1147" s="4">
        <v>4.1200999999999999</v>
      </c>
      <c r="G1147" s="4">
        <v>19413.911199999999</v>
      </c>
      <c r="H1147" s="5">
        <f t="shared" si="17"/>
        <v>-2.8279858168295445E-2</v>
      </c>
    </row>
    <row r="1148" spans="1:8" ht="13.5" x14ac:dyDescent="0.25">
      <c r="A1148" s="1"/>
      <c r="B1148" s="3">
        <v>43979</v>
      </c>
      <c r="C1148" s="4">
        <v>4.0999999999999996</v>
      </c>
      <c r="D1148" s="4">
        <v>3.3544</v>
      </c>
      <c r="E1148" s="4">
        <v>6390</v>
      </c>
      <c r="F1148" s="4">
        <v>4.0327999999999999</v>
      </c>
      <c r="G1148" s="4">
        <v>25769.592000000001</v>
      </c>
      <c r="H1148" s="5">
        <f t="shared" si="17"/>
        <v>-4.8653138720778357E-3</v>
      </c>
    </row>
    <row r="1149" spans="1:8" ht="13.5" x14ac:dyDescent="0.25">
      <c r="A1149" s="1"/>
      <c r="B1149" s="3">
        <v>43980</v>
      </c>
      <c r="C1149" s="4">
        <v>4.1500000000000004</v>
      </c>
      <c r="D1149" s="4">
        <v>3.3953000000000002</v>
      </c>
      <c r="E1149" s="4">
        <v>25869</v>
      </c>
      <c r="F1149" s="4">
        <v>4.0747</v>
      </c>
      <c r="G1149" s="4">
        <v>105408.4143</v>
      </c>
      <c r="H1149" s="5">
        <f t="shared" si="17"/>
        <v>1.219294061531128E-2</v>
      </c>
    </row>
    <row r="1150" spans="1:8" ht="13.5" x14ac:dyDescent="0.25">
      <c r="A1150" s="1"/>
      <c r="B1150" s="3">
        <v>43983</v>
      </c>
      <c r="C1150" s="4">
        <v>4.17</v>
      </c>
      <c r="D1150" s="4">
        <v>3.4117000000000002</v>
      </c>
      <c r="E1150" s="4">
        <v>7376</v>
      </c>
      <c r="F1150" s="4">
        <v>4.0994000000000002</v>
      </c>
      <c r="G1150" s="4">
        <v>30237.1744</v>
      </c>
      <c r="H1150" s="5">
        <f t="shared" si="17"/>
        <v>4.8302064618737572E-3</v>
      </c>
    </row>
    <row r="1151" spans="1:8" ht="13.5" x14ac:dyDescent="0.25">
      <c r="A1151" s="1"/>
      <c r="B1151" s="3">
        <v>43984</v>
      </c>
      <c r="C1151" s="4">
        <v>4.12</v>
      </c>
      <c r="D1151" s="4">
        <v>3.3708</v>
      </c>
      <c r="E1151" s="4">
        <v>12997</v>
      </c>
      <c r="F1151" s="4">
        <v>4.0789999999999997</v>
      </c>
      <c r="G1151" s="4">
        <v>53014.762999999999</v>
      </c>
      <c r="H1151" s="5">
        <f t="shared" si="17"/>
        <v>-1.1988158396107559E-2</v>
      </c>
    </row>
    <row r="1152" spans="1:8" ht="13.5" x14ac:dyDescent="0.25">
      <c r="A1152" s="1"/>
      <c r="B1152" s="3">
        <v>43985</v>
      </c>
      <c r="C1152" s="4">
        <v>4.1399999999999997</v>
      </c>
      <c r="D1152" s="4">
        <v>3.3871000000000002</v>
      </c>
      <c r="E1152" s="4">
        <v>5092</v>
      </c>
      <c r="F1152" s="4">
        <v>4.1608999999999998</v>
      </c>
      <c r="G1152" s="4">
        <v>21187.302800000001</v>
      </c>
      <c r="H1152" s="5">
        <f t="shared" si="17"/>
        <v>4.8356473240774309E-3</v>
      </c>
    </row>
    <row r="1153" spans="1:8" ht="13.5" x14ac:dyDescent="0.25">
      <c r="A1153" s="1"/>
      <c r="B1153" s="3">
        <v>43986</v>
      </c>
      <c r="C1153" s="4">
        <v>4.26</v>
      </c>
      <c r="D1153" s="4">
        <v>3.4853000000000001</v>
      </c>
      <c r="E1153" s="4">
        <v>2032</v>
      </c>
      <c r="F1153" s="4">
        <v>4.2572999999999999</v>
      </c>
      <c r="G1153" s="4">
        <v>8650.8335999999999</v>
      </c>
      <c r="H1153" s="5">
        <f t="shared" si="17"/>
        <v>2.8992353340615819E-2</v>
      </c>
    </row>
    <row r="1154" spans="1:8" ht="13.5" x14ac:dyDescent="0.25">
      <c r="A1154" s="1"/>
      <c r="B1154" s="3">
        <v>43987</v>
      </c>
      <c r="C1154" s="4">
        <v>4.38</v>
      </c>
      <c r="D1154" s="4">
        <v>3.5834999999999999</v>
      </c>
      <c r="E1154" s="4">
        <v>9259</v>
      </c>
      <c r="F1154" s="4">
        <v>4.38</v>
      </c>
      <c r="G1154" s="4">
        <v>40554.42</v>
      </c>
      <c r="H1154" s="5">
        <f t="shared" si="17"/>
        <v>2.8175479872607764E-2</v>
      </c>
    </row>
    <row r="1155" spans="1:8" ht="13.5" x14ac:dyDescent="0.25">
      <c r="A1155" s="1"/>
      <c r="B1155" s="3">
        <v>43990</v>
      </c>
      <c r="C1155" s="4">
        <v>4.43</v>
      </c>
      <c r="D1155" s="4">
        <v>3.6244000000000001</v>
      </c>
      <c r="E1155" s="4">
        <v>2959</v>
      </c>
      <c r="F1155" s="4">
        <v>4.3038999999999996</v>
      </c>
      <c r="G1155" s="4">
        <v>12735.240100000001</v>
      </c>
      <c r="H1155" s="5">
        <f t="shared" si="17"/>
        <v>1.1413422631505556E-2</v>
      </c>
    </row>
    <row r="1156" spans="1:8" ht="13.5" x14ac:dyDescent="0.25">
      <c r="A1156" s="1"/>
      <c r="B1156" s="3">
        <v>43991</v>
      </c>
      <c r="C1156" s="4">
        <v>4.49</v>
      </c>
      <c r="D1156" s="4">
        <v>3.6735000000000002</v>
      </c>
      <c r="E1156" s="4">
        <v>1085</v>
      </c>
      <c r="F1156" s="4">
        <v>4.3384</v>
      </c>
      <c r="G1156" s="4">
        <v>4707.1639999999998</v>
      </c>
      <c r="H1156" s="5">
        <f t="shared" si="17"/>
        <v>1.3547069859838909E-2</v>
      </c>
    </row>
    <row r="1157" spans="1:8" ht="13.5" x14ac:dyDescent="0.25">
      <c r="A1157" s="1"/>
      <c r="B1157" s="3">
        <v>43992</v>
      </c>
      <c r="C1157" s="4">
        <v>4.46</v>
      </c>
      <c r="D1157" s="4">
        <v>3.6488999999999998</v>
      </c>
      <c r="E1157" s="4">
        <v>1575</v>
      </c>
      <c r="F1157" s="4">
        <v>4.3776999999999999</v>
      </c>
      <c r="G1157" s="4">
        <v>6894.8774999999996</v>
      </c>
      <c r="H1157" s="5">
        <f t="shared" si="17"/>
        <v>-6.6966108615762621E-3</v>
      </c>
    </row>
    <row r="1158" spans="1:8" ht="13.5" x14ac:dyDescent="0.25">
      <c r="A1158" s="1"/>
      <c r="B1158" s="3">
        <v>43993</v>
      </c>
      <c r="C1158" s="4">
        <v>4.4000000000000004</v>
      </c>
      <c r="D1158" s="4">
        <v>3.5998000000000001</v>
      </c>
      <c r="E1158" s="4">
        <v>4910</v>
      </c>
      <c r="F1158" s="4">
        <v>4.4001999999999999</v>
      </c>
      <c r="G1158" s="4">
        <v>21604.982</v>
      </c>
      <c r="H1158" s="5">
        <f t="shared" si="17"/>
        <v>-1.3456110060566117E-2</v>
      </c>
    </row>
    <row r="1159" spans="1:8" ht="13.5" x14ac:dyDescent="0.25">
      <c r="A1159" s="1"/>
      <c r="B1159" s="3">
        <v>43994</v>
      </c>
      <c r="C1159" s="4">
        <v>4.37</v>
      </c>
      <c r="D1159" s="4">
        <v>3.5752999999999999</v>
      </c>
      <c r="E1159" s="4">
        <v>1164</v>
      </c>
      <c r="F1159" s="4">
        <v>4.3478000000000003</v>
      </c>
      <c r="G1159" s="4">
        <v>5060.8392000000003</v>
      </c>
      <c r="H1159" s="5">
        <f t="shared" ref="H1159:H1222" si="18">(D1159-D1158)/D1158</f>
        <v>-6.8059336629813288E-3</v>
      </c>
    </row>
    <row r="1160" spans="1:8" ht="13.5" x14ac:dyDescent="0.25">
      <c r="A1160" s="1"/>
      <c r="B1160" s="3">
        <v>43997</v>
      </c>
      <c r="C1160" s="4">
        <v>4.37</v>
      </c>
      <c r="D1160" s="4">
        <v>3.5752999999999999</v>
      </c>
      <c r="E1160" s="4">
        <v>274</v>
      </c>
      <c r="F1160" s="4">
        <v>4.3743999999999996</v>
      </c>
      <c r="G1160" s="4">
        <v>1198.5856000000001</v>
      </c>
      <c r="H1160" s="5">
        <f t="shared" si="18"/>
        <v>0</v>
      </c>
    </row>
    <row r="1161" spans="1:8" ht="13.5" x14ac:dyDescent="0.25">
      <c r="A1161" s="1"/>
      <c r="B1161" s="3">
        <v>43998</v>
      </c>
      <c r="C1161" s="4">
        <v>4.25</v>
      </c>
      <c r="D1161" s="4">
        <v>3.4771000000000001</v>
      </c>
      <c r="E1161" s="4">
        <v>3905</v>
      </c>
      <c r="F1161" s="4">
        <v>4.2496999999999998</v>
      </c>
      <c r="G1161" s="4">
        <v>16595.0785</v>
      </c>
      <c r="H1161" s="5">
        <f t="shared" si="18"/>
        <v>-2.7466226610354333E-2</v>
      </c>
    </row>
    <row r="1162" spans="1:8" ht="13.5" x14ac:dyDescent="0.25">
      <c r="A1162" s="1"/>
      <c r="B1162" s="3">
        <v>43999</v>
      </c>
      <c r="C1162" s="4">
        <v>4.2</v>
      </c>
      <c r="D1162" s="4">
        <v>3.4361999999999999</v>
      </c>
      <c r="E1162" s="4">
        <v>18240</v>
      </c>
      <c r="F1162" s="4">
        <v>4.2225999999999999</v>
      </c>
      <c r="G1162" s="4">
        <v>77020.224000000002</v>
      </c>
      <c r="H1162" s="5">
        <f t="shared" si="18"/>
        <v>-1.1762675793045975E-2</v>
      </c>
    </row>
    <row r="1163" spans="1:8" ht="13.5" x14ac:dyDescent="0.25">
      <c r="A1163" s="1"/>
      <c r="B1163" s="3">
        <v>44000</v>
      </c>
      <c r="C1163" s="4">
        <v>4.1500000000000004</v>
      </c>
      <c r="D1163" s="4">
        <v>3.3953000000000002</v>
      </c>
      <c r="E1163" s="4">
        <v>4725</v>
      </c>
      <c r="F1163" s="4">
        <v>4.1421000000000001</v>
      </c>
      <c r="G1163" s="4">
        <v>19571.422500000001</v>
      </c>
      <c r="H1163" s="5">
        <f t="shared" si="18"/>
        <v>-1.1902683196554251E-2</v>
      </c>
    </row>
    <row r="1164" spans="1:8" ht="13.5" x14ac:dyDescent="0.25">
      <c r="A1164" s="1"/>
      <c r="B1164" s="3">
        <v>44001</v>
      </c>
      <c r="C1164" s="4">
        <v>4.1500000000000004</v>
      </c>
      <c r="D1164" s="4">
        <v>3.3953000000000002</v>
      </c>
      <c r="E1164" s="4">
        <v>2655</v>
      </c>
      <c r="F1164" s="4">
        <v>4.1501000000000001</v>
      </c>
      <c r="G1164" s="4">
        <v>11018.5155</v>
      </c>
      <c r="H1164" s="5">
        <f t="shared" si="18"/>
        <v>0</v>
      </c>
    </row>
    <row r="1165" spans="1:8" ht="13.5" x14ac:dyDescent="0.25">
      <c r="A1165" s="1"/>
      <c r="B1165" s="3">
        <v>44004</v>
      </c>
      <c r="C1165" s="4">
        <v>4.4000000000000004</v>
      </c>
      <c r="D1165" s="4">
        <v>3.5998000000000001</v>
      </c>
      <c r="E1165" s="4">
        <v>17643</v>
      </c>
      <c r="F1165" s="4">
        <v>4.3014999999999999</v>
      </c>
      <c r="G1165" s="4">
        <v>75891.364499999996</v>
      </c>
      <c r="H1165" s="5">
        <f t="shared" si="18"/>
        <v>6.0230318381291753E-2</v>
      </c>
    </row>
    <row r="1166" spans="1:8" ht="13.5" x14ac:dyDescent="0.25">
      <c r="A1166" s="1"/>
      <c r="B1166" s="3">
        <v>44005</v>
      </c>
      <c r="C1166" s="4">
        <v>4.66</v>
      </c>
      <c r="D1166" s="4">
        <v>3.8126000000000002</v>
      </c>
      <c r="E1166" s="4">
        <v>8594</v>
      </c>
      <c r="F1166" s="4">
        <v>4.5955000000000004</v>
      </c>
      <c r="G1166" s="4">
        <v>39493.726999999999</v>
      </c>
      <c r="H1166" s="5">
        <f t="shared" si="18"/>
        <v>5.9114395244180259E-2</v>
      </c>
    </row>
    <row r="1167" spans="1:8" ht="13.5" x14ac:dyDescent="0.25">
      <c r="A1167" s="1"/>
      <c r="B1167" s="3">
        <v>44006</v>
      </c>
      <c r="C1167" s="4">
        <v>4.5999999999999996</v>
      </c>
      <c r="D1167" s="4">
        <v>3.7635000000000001</v>
      </c>
      <c r="E1167" s="4">
        <v>8943</v>
      </c>
      <c r="F1167" s="4">
        <v>4.5998999999999999</v>
      </c>
      <c r="G1167" s="4">
        <v>41136.905700000003</v>
      </c>
      <c r="H1167" s="5">
        <f t="shared" si="18"/>
        <v>-1.2878350731784121E-2</v>
      </c>
    </row>
    <row r="1168" spans="1:8" ht="13.5" x14ac:dyDescent="0.25">
      <c r="A1168" s="1"/>
      <c r="B1168" s="3">
        <v>44007</v>
      </c>
      <c r="C1168" s="4">
        <v>4.58</v>
      </c>
      <c r="D1168" s="4">
        <v>3.7471000000000001</v>
      </c>
      <c r="E1168" s="4">
        <v>488</v>
      </c>
      <c r="F1168" s="4">
        <v>4.5805999999999996</v>
      </c>
      <c r="G1168" s="4">
        <v>2235.3328000000001</v>
      </c>
      <c r="H1168" s="5">
        <f t="shared" si="18"/>
        <v>-4.3576458084230024E-3</v>
      </c>
    </row>
    <row r="1169" spans="1:8" ht="13.5" x14ac:dyDescent="0.25">
      <c r="A1169" s="1"/>
      <c r="B1169" s="3">
        <v>44008</v>
      </c>
      <c r="C1169" s="4">
        <v>4.42</v>
      </c>
      <c r="D1169" s="4">
        <v>3.6162000000000001</v>
      </c>
      <c r="E1169" s="4">
        <v>5373</v>
      </c>
      <c r="F1169" s="4">
        <v>4.383</v>
      </c>
      <c r="G1169" s="4">
        <v>23549.859</v>
      </c>
      <c r="H1169" s="5">
        <f t="shared" si="18"/>
        <v>-3.4933682047450031E-2</v>
      </c>
    </row>
    <row r="1170" spans="1:8" ht="13.5" x14ac:dyDescent="0.25">
      <c r="A1170" s="1"/>
      <c r="B1170" s="3">
        <v>44011</v>
      </c>
      <c r="C1170" s="4">
        <v>4.46</v>
      </c>
      <c r="D1170" s="4">
        <v>3.6488999999999998</v>
      </c>
      <c r="E1170" s="4">
        <v>994</v>
      </c>
      <c r="F1170" s="4">
        <v>4.4722999999999997</v>
      </c>
      <c r="G1170" s="4">
        <v>4445.4661999999998</v>
      </c>
      <c r="H1170" s="5">
        <f t="shared" si="18"/>
        <v>9.042641446822557E-3</v>
      </c>
    </row>
    <row r="1171" spans="1:8" ht="13.5" x14ac:dyDescent="0.25">
      <c r="A1171" s="1"/>
      <c r="B1171" s="3">
        <v>44012</v>
      </c>
      <c r="C1171" s="4">
        <v>4.45</v>
      </c>
      <c r="D1171" s="4">
        <v>3.6406999999999998</v>
      </c>
      <c r="E1171" s="4">
        <v>7222</v>
      </c>
      <c r="F1171" s="4">
        <v>4.3573000000000004</v>
      </c>
      <c r="G1171" s="4">
        <v>31468.420600000001</v>
      </c>
      <c r="H1171" s="5">
        <f t="shared" si="18"/>
        <v>-2.2472525966729662E-3</v>
      </c>
    </row>
    <row r="1172" spans="1:8" ht="13.5" x14ac:dyDescent="0.25">
      <c r="A1172" s="1"/>
      <c r="B1172" s="3">
        <v>44013</v>
      </c>
      <c r="C1172" s="4">
        <v>4.38</v>
      </c>
      <c r="D1172" s="4">
        <v>3.5834999999999999</v>
      </c>
      <c r="E1172" s="4">
        <v>6757</v>
      </c>
      <c r="F1172" s="4">
        <v>4.3811999999999998</v>
      </c>
      <c r="G1172" s="4">
        <v>29603.768400000001</v>
      </c>
      <c r="H1172" s="5">
        <f t="shared" si="18"/>
        <v>-1.5711264317301597E-2</v>
      </c>
    </row>
    <row r="1173" spans="1:8" ht="13.5" x14ac:dyDescent="0.25">
      <c r="A1173" s="1"/>
      <c r="B1173" s="3">
        <v>44014</v>
      </c>
      <c r="C1173" s="4">
        <v>4.3600000000000003</v>
      </c>
      <c r="D1173" s="4">
        <v>3.5670999999999999</v>
      </c>
      <c r="E1173" s="4">
        <v>3580</v>
      </c>
      <c r="F1173" s="4">
        <v>4.3292999999999999</v>
      </c>
      <c r="G1173" s="4">
        <v>15498.894</v>
      </c>
      <c r="H1173" s="5">
        <f t="shared" si="18"/>
        <v>-4.5765313241244512E-3</v>
      </c>
    </row>
    <row r="1174" spans="1:8" ht="13.5" x14ac:dyDescent="0.25">
      <c r="A1174" s="1"/>
      <c r="B1174" s="3">
        <v>44015</v>
      </c>
      <c r="C1174" s="4">
        <v>4.34</v>
      </c>
      <c r="D1174" s="4">
        <v>3.5507</v>
      </c>
      <c r="E1174" s="4">
        <v>3070</v>
      </c>
      <c r="F1174" s="4">
        <v>4.3407999999999998</v>
      </c>
      <c r="G1174" s="4">
        <v>13326.255999999999</v>
      </c>
      <c r="H1174" s="5">
        <f t="shared" si="18"/>
        <v>-4.5975722575761742E-3</v>
      </c>
    </row>
    <row r="1175" spans="1:8" ht="13.5" x14ac:dyDescent="0.25">
      <c r="A1175" s="1"/>
      <c r="B1175" s="3">
        <v>44018</v>
      </c>
      <c r="C1175" s="4">
        <v>4.32</v>
      </c>
      <c r="D1175" s="4">
        <v>3.5344000000000002</v>
      </c>
      <c r="E1175" s="4">
        <v>1313</v>
      </c>
      <c r="F1175" s="4">
        <v>4.3335999999999997</v>
      </c>
      <c r="G1175" s="4">
        <v>5690.0168000000003</v>
      </c>
      <c r="H1175" s="5">
        <f t="shared" si="18"/>
        <v>-4.5906440983467366E-3</v>
      </c>
    </row>
    <row r="1176" spans="1:8" ht="13.5" x14ac:dyDescent="0.25">
      <c r="A1176" s="1"/>
      <c r="B1176" s="3">
        <v>44019</v>
      </c>
      <c r="C1176" s="4">
        <v>4.5199999999999996</v>
      </c>
      <c r="D1176" s="4">
        <v>3.698</v>
      </c>
      <c r="E1176" s="4">
        <v>8356</v>
      </c>
      <c r="F1176" s="4">
        <v>4.4192</v>
      </c>
      <c r="G1176" s="4">
        <v>36926.835200000001</v>
      </c>
      <c r="H1176" s="5">
        <f t="shared" si="18"/>
        <v>4.6287913082842844E-2</v>
      </c>
    </row>
    <row r="1177" spans="1:8" ht="13.5" x14ac:dyDescent="0.25">
      <c r="A1177" s="1"/>
      <c r="B1177" s="3">
        <v>44020</v>
      </c>
      <c r="C1177" s="4">
        <v>4.72</v>
      </c>
      <c r="D1177" s="4">
        <v>3.8616000000000001</v>
      </c>
      <c r="E1177" s="4">
        <v>0</v>
      </c>
      <c r="F1177" s="4">
        <v>0</v>
      </c>
      <c r="G1177" s="4">
        <v>0</v>
      </c>
      <c r="H1177" s="5">
        <f t="shared" si="18"/>
        <v>4.4240129799891885E-2</v>
      </c>
    </row>
    <row r="1178" spans="1:8" ht="13.5" x14ac:dyDescent="0.25">
      <c r="A1178" s="1"/>
      <c r="B1178" s="3">
        <v>44021</v>
      </c>
      <c r="C1178" s="4">
        <v>4.93</v>
      </c>
      <c r="D1178" s="4">
        <v>4.0335000000000001</v>
      </c>
      <c r="E1178" s="4">
        <v>0</v>
      </c>
      <c r="F1178" s="4">
        <v>0</v>
      </c>
      <c r="G1178" s="4">
        <v>0</v>
      </c>
      <c r="H1178" s="5">
        <f t="shared" si="18"/>
        <v>4.45152268489745E-2</v>
      </c>
    </row>
    <row r="1179" spans="1:8" ht="13.5" x14ac:dyDescent="0.25">
      <c r="A1179" s="1"/>
      <c r="B1179" s="3">
        <v>44022</v>
      </c>
      <c r="C1179" s="4">
        <v>5.23</v>
      </c>
      <c r="D1179" s="4">
        <v>4.2789000000000001</v>
      </c>
      <c r="E1179" s="4">
        <v>95628</v>
      </c>
      <c r="F1179" s="4">
        <v>5.1534000000000004</v>
      </c>
      <c r="G1179" s="4">
        <v>492809.33519999997</v>
      </c>
      <c r="H1179" s="5">
        <f t="shared" si="18"/>
        <v>6.0840461137969516E-2</v>
      </c>
    </row>
    <row r="1180" spans="1:8" ht="13.5" x14ac:dyDescent="0.25">
      <c r="A1180" s="1"/>
      <c r="B1180" s="3">
        <v>44025</v>
      </c>
      <c r="C1180" s="4">
        <v>5.25</v>
      </c>
      <c r="D1180" s="4">
        <v>4.2953000000000001</v>
      </c>
      <c r="E1180" s="4">
        <v>30339</v>
      </c>
      <c r="F1180" s="4">
        <v>5.3467000000000002</v>
      </c>
      <c r="G1180" s="4">
        <v>162213.5313</v>
      </c>
      <c r="H1180" s="5">
        <f t="shared" si="18"/>
        <v>3.8327607562691273E-3</v>
      </c>
    </row>
    <row r="1181" spans="1:8" ht="13.5" x14ac:dyDescent="0.25">
      <c r="A1181" s="1"/>
      <c r="B1181" s="3">
        <v>44026</v>
      </c>
      <c r="C1181" s="4">
        <v>5.09</v>
      </c>
      <c r="D1181" s="4">
        <v>4.1643999999999997</v>
      </c>
      <c r="E1181" s="4">
        <v>22461</v>
      </c>
      <c r="F1181" s="4">
        <v>5.1254</v>
      </c>
      <c r="G1181" s="4">
        <v>115121.6094</v>
      </c>
      <c r="H1181" s="5">
        <f t="shared" si="18"/>
        <v>-3.0475170535236296E-2</v>
      </c>
    </row>
    <row r="1182" spans="1:8" ht="13.5" x14ac:dyDescent="0.25">
      <c r="A1182" s="1"/>
      <c r="B1182" s="3">
        <v>44027</v>
      </c>
      <c r="C1182" s="4">
        <v>4.8499999999999996</v>
      </c>
      <c r="D1182" s="4">
        <v>3.968</v>
      </c>
      <c r="E1182" s="4">
        <v>6175</v>
      </c>
      <c r="F1182" s="4">
        <v>4.9683000000000002</v>
      </c>
      <c r="G1182" s="4">
        <v>30679.252499999999</v>
      </c>
      <c r="H1182" s="5">
        <f t="shared" si="18"/>
        <v>-4.7161655940831743E-2</v>
      </c>
    </row>
    <row r="1183" spans="1:8" ht="13.5" x14ac:dyDescent="0.25">
      <c r="A1183" s="1"/>
      <c r="B1183" s="3">
        <v>44028</v>
      </c>
      <c r="C1183" s="4">
        <v>4.9000000000000004</v>
      </c>
      <c r="D1183" s="4">
        <v>4.0088999999999997</v>
      </c>
      <c r="E1183" s="4">
        <v>10030</v>
      </c>
      <c r="F1183" s="4">
        <v>4.7233000000000001</v>
      </c>
      <c r="G1183" s="4">
        <v>47374.699000000001</v>
      </c>
      <c r="H1183" s="5">
        <f t="shared" si="18"/>
        <v>1.0307459677419284E-2</v>
      </c>
    </row>
    <row r="1184" spans="1:8" ht="13.5" x14ac:dyDescent="0.25">
      <c r="A1184" s="1"/>
      <c r="B1184" s="3">
        <v>44029</v>
      </c>
      <c r="C1184" s="4">
        <v>4.9800000000000004</v>
      </c>
      <c r="D1184" s="4">
        <v>4.0743999999999998</v>
      </c>
      <c r="E1184" s="4">
        <v>4051</v>
      </c>
      <c r="F1184" s="4">
        <v>4.9682000000000004</v>
      </c>
      <c r="G1184" s="4">
        <v>20126.178199999998</v>
      </c>
      <c r="H1184" s="5">
        <f t="shared" si="18"/>
        <v>1.6338646511511914E-2</v>
      </c>
    </row>
    <row r="1185" spans="1:8" ht="13.5" x14ac:dyDescent="0.25">
      <c r="A1185" s="1"/>
      <c r="B1185" s="3">
        <v>44032</v>
      </c>
      <c r="C1185" s="4">
        <v>4.91</v>
      </c>
      <c r="D1185" s="4">
        <v>4.0171000000000001</v>
      </c>
      <c r="E1185" s="4">
        <v>476</v>
      </c>
      <c r="F1185" s="4">
        <v>4.9523000000000001</v>
      </c>
      <c r="G1185" s="4">
        <v>2357.2948000000001</v>
      </c>
      <c r="H1185" s="5">
        <f t="shared" si="18"/>
        <v>-1.4063420380914904E-2</v>
      </c>
    </row>
    <row r="1186" spans="1:8" ht="13.5" x14ac:dyDescent="0.25">
      <c r="A1186" s="1"/>
      <c r="B1186" s="3">
        <v>44033</v>
      </c>
      <c r="C1186" s="4">
        <v>4.62</v>
      </c>
      <c r="D1186" s="4">
        <v>3.7797999999999998</v>
      </c>
      <c r="E1186" s="4">
        <v>25323</v>
      </c>
      <c r="F1186" s="4">
        <v>4.8213999999999997</v>
      </c>
      <c r="G1186" s="4">
        <v>122092.3122</v>
      </c>
      <c r="H1186" s="5">
        <f t="shared" si="18"/>
        <v>-5.9072465211222093E-2</v>
      </c>
    </row>
    <row r="1187" spans="1:8" ht="13.5" x14ac:dyDescent="0.25">
      <c r="A1187" s="1"/>
      <c r="B1187" s="3">
        <v>44034</v>
      </c>
      <c r="C1187" s="4">
        <v>4.55</v>
      </c>
      <c r="D1187" s="4">
        <v>3.7225999999999999</v>
      </c>
      <c r="E1187" s="4">
        <v>2644</v>
      </c>
      <c r="F1187" s="4">
        <v>4.5659000000000001</v>
      </c>
      <c r="G1187" s="4">
        <v>12072.239600000001</v>
      </c>
      <c r="H1187" s="5">
        <f t="shared" si="18"/>
        <v>-1.5133075824117657E-2</v>
      </c>
    </row>
    <row r="1188" spans="1:8" ht="13.5" x14ac:dyDescent="0.25">
      <c r="A1188" s="1"/>
      <c r="B1188" s="3">
        <v>44035</v>
      </c>
      <c r="C1188" s="4">
        <v>4.5199999999999996</v>
      </c>
      <c r="D1188" s="4">
        <v>3.698</v>
      </c>
      <c r="E1188" s="4">
        <v>1503</v>
      </c>
      <c r="F1188" s="4">
        <v>4.5971000000000002</v>
      </c>
      <c r="G1188" s="4">
        <v>6909.4413000000004</v>
      </c>
      <c r="H1188" s="5">
        <f t="shared" si="18"/>
        <v>-6.6082845323161112E-3</v>
      </c>
    </row>
    <row r="1189" spans="1:8" ht="13.5" x14ac:dyDescent="0.25">
      <c r="A1189" s="1"/>
      <c r="B1189" s="3">
        <v>44036</v>
      </c>
      <c r="C1189" s="4">
        <v>4.4800000000000004</v>
      </c>
      <c r="D1189" s="4">
        <v>3.6652999999999998</v>
      </c>
      <c r="E1189" s="4">
        <v>5923</v>
      </c>
      <c r="F1189" s="4">
        <v>4.5599999999999996</v>
      </c>
      <c r="G1189" s="4">
        <v>27008.880000000001</v>
      </c>
      <c r="H1189" s="5">
        <f t="shared" si="18"/>
        <v>-8.8426176311520218E-3</v>
      </c>
    </row>
    <row r="1190" spans="1:8" ht="13.5" x14ac:dyDescent="0.25">
      <c r="A1190" s="1"/>
      <c r="B1190" s="3">
        <v>44039</v>
      </c>
      <c r="C1190" s="4">
        <v>4.4400000000000004</v>
      </c>
      <c r="D1190" s="4">
        <v>3.6326000000000001</v>
      </c>
      <c r="E1190" s="4">
        <v>5625</v>
      </c>
      <c r="F1190" s="4">
        <v>4.4352999999999998</v>
      </c>
      <c r="G1190" s="4">
        <v>24948.5625</v>
      </c>
      <c r="H1190" s="5">
        <f t="shared" si="18"/>
        <v>-8.9215071071944256E-3</v>
      </c>
    </row>
    <row r="1191" spans="1:8" ht="13.5" x14ac:dyDescent="0.25">
      <c r="A1191" s="1"/>
      <c r="B1191" s="3">
        <v>44040</v>
      </c>
      <c r="C1191" s="4">
        <v>4.62</v>
      </c>
      <c r="D1191" s="4">
        <v>3.7797999999999998</v>
      </c>
      <c r="E1191" s="4">
        <v>3507</v>
      </c>
      <c r="F1191" s="4">
        <v>4.5608000000000004</v>
      </c>
      <c r="G1191" s="4">
        <v>15994.7256</v>
      </c>
      <c r="H1191" s="5">
        <f t="shared" si="18"/>
        <v>4.0521940208115337E-2</v>
      </c>
    </row>
    <row r="1192" spans="1:8" ht="13.5" x14ac:dyDescent="0.25">
      <c r="A1192" s="1"/>
      <c r="B1192" s="3">
        <v>44041</v>
      </c>
      <c r="C1192" s="4">
        <v>4.7699999999999996</v>
      </c>
      <c r="D1192" s="4">
        <v>3.9024999999999999</v>
      </c>
      <c r="E1192" s="4">
        <v>3825</v>
      </c>
      <c r="F1192" s="4">
        <v>4.6790000000000003</v>
      </c>
      <c r="G1192" s="4">
        <v>17897.174999999999</v>
      </c>
      <c r="H1192" s="5">
        <f t="shared" si="18"/>
        <v>3.2462035028308384E-2</v>
      </c>
    </row>
    <row r="1193" spans="1:8" ht="13.5" x14ac:dyDescent="0.25">
      <c r="A1193" s="1"/>
      <c r="B1193" s="3">
        <v>44042</v>
      </c>
      <c r="C1193" s="4">
        <v>4.84</v>
      </c>
      <c r="D1193" s="4">
        <v>3.9598</v>
      </c>
      <c r="E1193" s="4">
        <v>282</v>
      </c>
      <c r="F1193" s="4">
        <v>4.7881999999999998</v>
      </c>
      <c r="G1193" s="4">
        <v>1350.2724000000001</v>
      </c>
      <c r="H1193" s="5">
        <f t="shared" si="18"/>
        <v>1.46828955797566E-2</v>
      </c>
    </row>
    <row r="1194" spans="1:8" ht="13.5" x14ac:dyDescent="0.25">
      <c r="A1194" s="1"/>
      <c r="B1194" s="3">
        <v>44046</v>
      </c>
      <c r="C1194" s="4">
        <v>4.88</v>
      </c>
      <c r="D1194" s="4">
        <v>3.9925000000000002</v>
      </c>
      <c r="E1194" s="4">
        <v>12</v>
      </c>
      <c r="F1194" s="4">
        <v>4.8475000000000001</v>
      </c>
      <c r="G1194" s="4">
        <v>58.17</v>
      </c>
      <c r="H1194" s="5">
        <f t="shared" si="18"/>
        <v>8.2579928279206457E-3</v>
      </c>
    </row>
    <row r="1195" spans="1:8" ht="13.5" x14ac:dyDescent="0.25">
      <c r="A1195" s="1"/>
      <c r="B1195" s="3">
        <v>44047</v>
      </c>
      <c r="C1195" s="4">
        <v>4.8</v>
      </c>
      <c r="D1195" s="4">
        <v>3.9270999999999998</v>
      </c>
      <c r="E1195" s="4">
        <v>4924</v>
      </c>
      <c r="F1195" s="4">
        <v>4.7458</v>
      </c>
      <c r="G1195" s="4">
        <v>23368.319200000002</v>
      </c>
      <c r="H1195" s="5">
        <f t="shared" si="18"/>
        <v>-1.6380713838447174E-2</v>
      </c>
    </row>
    <row r="1196" spans="1:8" ht="13.5" x14ac:dyDescent="0.25">
      <c r="A1196" s="1"/>
      <c r="B1196" s="3">
        <v>44048</v>
      </c>
      <c r="C1196" s="4">
        <v>4.75</v>
      </c>
      <c r="D1196" s="4">
        <v>3.8862000000000001</v>
      </c>
      <c r="E1196" s="4">
        <v>826</v>
      </c>
      <c r="F1196" s="4">
        <v>4.5975000000000001</v>
      </c>
      <c r="G1196" s="4">
        <v>3797.5349999999999</v>
      </c>
      <c r="H1196" s="5">
        <f t="shared" si="18"/>
        <v>-1.0414809910620998E-2</v>
      </c>
    </row>
    <row r="1197" spans="1:8" ht="13.5" x14ac:dyDescent="0.25">
      <c r="A1197" s="1"/>
      <c r="B1197" s="3">
        <v>44049</v>
      </c>
      <c r="C1197" s="4">
        <v>4.7</v>
      </c>
      <c r="D1197" s="4">
        <v>3.8452999999999999</v>
      </c>
      <c r="E1197" s="4">
        <v>1966</v>
      </c>
      <c r="F1197" s="4">
        <v>4.5430999999999999</v>
      </c>
      <c r="G1197" s="4">
        <v>8931.7345999999998</v>
      </c>
      <c r="H1197" s="5">
        <f t="shared" si="18"/>
        <v>-1.0524419741649981E-2</v>
      </c>
    </row>
    <row r="1198" spans="1:8" ht="13.5" x14ac:dyDescent="0.25">
      <c r="A1198" s="1"/>
      <c r="B1198" s="3">
        <v>44050</v>
      </c>
      <c r="C1198" s="4">
        <v>4.6900000000000004</v>
      </c>
      <c r="D1198" s="4">
        <v>3.8371</v>
      </c>
      <c r="E1198" s="4">
        <v>356</v>
      </c>
      <c r="F1198" s="4">
        <v>4.5612000000000004</v>
      </c>
      <c r="G1198" s="4">
        <v>1623.7872</v>
      </c>
      <c r="H1198" s="5">
        <f t="shared" si="18"/>
        <v>-2.1324734090968156E-3</v>
      </c>
    </row>
    <row r="1199" spans="1:8" ht="13.5" x14ac:dyDescent="0.25">
      <c r="A1199" s="1"/>
      <c r="B1199" s="3">
        <v>44053</v>
      </c>
      <c r="C1199" s="4">
        <v>4.5999999999999996</v>
      </c>
      <c r="D1199" s="4">
        <v>3.7635000000000001</v>
      </c>
      <c r="E1199" s="4">
        <v>664</v>
      </c>
      <c r="F1199" s="4">
        <v>4.6048</v>
      </c>
      <c r="G1199" s="4">
        <v>3057.5871999999999</v>
      </c>
      <c r="H1199" s="5">
        <f t="shared" si="18"/>
        <v>-1.9181152432826844E-2</v>
      </c>
    </row>
    <row r="1200" spans="1:8" ht="13.5" x14ac:dyDescent="0.25">
      <c r="A1200" s="1"/>
      <c r="B1200" s="3">
        <v>44054</v>
      </c>
      <c r="C1200" s="4">
        <v>4.58</v>
      </c>
      <c r="D1200" s="4">
        <v>3.7471000000000001</v>
      </c>
      <c r="E1200" s="4">
        <v>1644</v>
      </c>
      <c r="F1200" s="4">
        <v>4.5156999999999998</v>
      </c>
      <c r="G1200" s="4">
        <v>7423.8108000000002</v>
      </c>
      <c r="H1200" s="5">
        <f t="shared" si="18"/>
        <v>-4.3576458084230024E-3</v>
      </c>
    </row>
    <row r="1201" spans="1:8" ht="13.5" x14ac:dyDescent="0.25">
      <c r="A1201" s="1"/>
      <c r="B1201" s="3">
        <v>44055</v>
      </c>
      <c r="C1201" s="4">
        <v>4.59</v>
      </c>
      <c r="D1201" s="4">
        <v>3.7553000000000001</v>
      </c>
      <c r="E1201" s="4">
        <v>21377</v>
      </c>
      <c r="F1201" s="4">
        <v>4.5911</v>
      </c>
      <c r="G1201" s="4">
        <v>98143.944699999993</v>
      </c>
      <c r="H1201" s="5">
        <f t="shared" si="18"/>
        <v>2.1883589976248257E-3</v>
      </c>
    </row>
    <row r="1202" spans="1:8" ht="13.5" x14ac:dyDescent="0.25">
      <c r="A1202" s="1"/>
      <c r="B1202" s="3">
        <v>44057</v>
      </c>
      <c r="C1202" s="4">
        <v>4.58</v>
      </c>
      <c r="D1202" s="4">
        <v>3.7471000000000001</v>
      </c>
      <c r="E1202" s="4">
        <v>4263</v>
      </c>
      <c r="F1202" s="4">
        <v>4.4781000000000004</v>
      </c>
      <c r="G1202" s="4">
        <v>19090.140299999999</v>
      </c>
      <c r="H1202" s="5">
        <f t="shared" si="18"/>
        <v>-2.1835805395041636E-3</v>
      </c>
    </row>
    <row r="1203" spans="1:8" ht="13.5" x14ac:dyDescent="0.25">
      <c r="A1203" s="1"/>
      <c r="B1203" s="3">
        <v>44060</v>
      </c>
      <c r="C1203" s="4">
        <v>4.45</v>
      </c>
      <c r="D1203" s="4">
        <v>3.6406999999999998</v>
      </c>
      <c r="E1203" s="4">
        <v>1766</v>
      </c>
      <c r="F1203" s="4">
        <v>4.4843000000000002</v>
      </c>
      <c r="G1203" s="4">
        <v>7919.2737999999999</v>
      </c>
      <c r="H1203" s="5">
        <f t="shared" si="18"/>
        <v>-2.8395292359424694E-2</v>
      </c>
    </row>
    <row r="1204" spans="1:8" ht="13.5" x14ac:dyDescent="0.25">
      <c r="A1204" s="1"/>
      <c r="B1204" s="3">
        <v>44061</v>
      </c>
      <c r="C1204" s="4">
        <v>4.4000000000000004</v>
      </c>
      <c r="D1204" s="4">
        <v>3.5998000000000001</v>
      </c>
      <c r="E1204" s="4">
        <v>1188</v>
      </c>
      <c r="F1204" s="4">
        <v>4.4000000000000004</v>
      </c>
      <c r="G1204" s="4">
        <v>5227.2</v>
      </c>
      <c r="H1204" s="5">
        <f t="shared" si="18"/>
        <v>-1.1234103331776778E-2</v>
      </c>
    </row>
    <row r="1205" spans="1:8" ht="13.5" x14ac:dyDescent="0.25">
      <c r="A1205" s="1"/>
      <c r="B1205" s="3">
        <v>44062</v>
      </c>
      <c r="C1205" s="4">
        <v>4.45</v>
      </c>
      <c r="D1205" s="4">
        <v>3.6406999999999998</v>
      </c>
      <c r="E1205" s="4">
        <v>384</v>
      </c>
      <c r="F1205" s="4">
        <v>4.3746</v>
      </c>
      <c r="G1205" s="4">
        <v>1679.8463999999999</v>
      </c>
      <c r="H1205" s="5">
        <f t="shared" si="18"/>
        <v>1.1361742319017643E-2</v>
      </c>
    </row>
    <row r="1206" spans="1:8" ht="13.5" x14ac:dyDescent="0.25">
      <c r="A1206" s="1"/>
      <c r="B1206" s="3">
        <v>44064</v>
      </c>
      <c r="C1206" s="4">
        <v>4.45</v>
      </c>
      <c r="D1206" s="4">
        <v>3.6406999999999998</v>
      </c>
      <c r="E1206" s="4">
        <v>1317</v>
      </c>
      <c r="F1206" s="4">
        <v>4.3601000000000001</v>
      </c>
      <c r="G1206" s="4">
        <v>5742.2516999999998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4.4400000000000004</v>
      </c>
      <c r="D1207" s="4">
        <v>3.6326000000000001</v>
      </c>
      <c r="E1207" s="4">
        <v>421</v>
      </c>
      <c r="F1207" s="4">
        <v>4.4001999999999999</v>
      </c>
      <c r="G1207" s="4">
        <v>1852.4842000000001</v>
      </c>
      <c r="H1207" s="5">
        <f t="shared" si="18"/>
        <v>-2.2248468701073351E-3</v>
      </c>
    </row>
    <row r="1208" spans="1:8" ht="13.5" x14ac:dyDescent="0.25">
      <c r="A1208" s="1"/>
      <c r="B1208" s="3">
        <v>44068</v>
      </c>
      <c r="C1208" s="4">
        <v>4.42</v>
      </c>
      <c r="D1208" s="4">
        <v>3.6162000000000001</v>
      </c>
      <c r="E1208" s="4">
        <v>968</v>
      </c>
      <c r="F1208" s="4">
        <v>4.3455000000000004</v>
      </c>
      <c r="G1208" s="4">
        <v>4206.4440000000004</v>
      </c>
      <c r="H1208" s="5">
        <f t="shared" si="18"/>
        <v>-4.5146726862302401E-3</v>
      </c>
    </row>
    <row r="1209" spans="1:8" ht="13.5" x14ac:dyDescent="0.25">
      <c r="A1209" s="1"/>
      <c r="B1209" s="3">
        <v>44069</v>
      </c>
      <c r="C1209" s="4">
        <v>4.3</v>
      </c>
      <c r="D1209" s="4">
        <v>3.5179999999999998</v>
      </c>
      <c r="E1209" s="4">
        <v>2078</v>
      </c>
      <c r="F1209" s="4">
        <v>4.3114999999999997</v>
      </c>
      <c r="G1209" s="4">
        <v>8959.2970000000005</v>
      </c>
      <c r="H1209" s="5">
        <f t="shared" si="18"/>
        <v>-2.715557767822584E-2</v>
      </c>
    </row>
    <row r="1210" spans="1:8" ht="13.5" x14ac:dyDescent="0.25">
      <c r="A1210" s="1"/>
      <c r="B1210" s="3">
        <v>44070</v>
      </c>
      <c r="C1210" s="4">
        <v>4.38</v>
      </c>
      <c r="D1210" s="4">
        <v>3.5834999999999999</v>
      </c>
      <c r="E1210" s="4">
        <v>2431</v>
      </c>
      <c r="F1210" s="4">
        <v>4.2786999999999997</v>
      </c>
      <c r="G1210" s="4">
        <v>10401.519700000001</v>
      </c>
      <c r="H1210" s="5">
        <f t="shared" si="18"/>
        <v>1.8618533257532724E-2</v>
      </c>
    </row>
    <row r="1211" spans="1:8" ht="13.5" x14ac:dyDescent="0.25">
      <c r="A1211" s="1"/>
      <c r="B1211" s="3">
        <v>44071</v>
      </c>
      <c r="C1211" s="4">
        <v>4.4000000000000004</v>
      </c>
      <c r="D1211" s="4">
        <v>3.5998000000000001</v>
      </c>
      <c r="E1211" s="4">
        <v>16620</v>
      </c>
      <c r="F1211" s="4">
        <v>4.2659000000000002</v>
      </c>
      <c r="G1211" s="4">
        <v>70899.258000000002</v>
      </c>
      <c r="H1211" s="5">
        <f t="shared" si="18"/>
        <v>4.5486256453188788E-3</v>
      </c>
    </row>
    <row r="1212" spans="1:8" ht="13.5" x14ac:dyDescent="0.25">
      <c r="A1212" s="1"/>
      <c r="B1212" s="3">
        <v>44074</v>
      </c>
      <c r="C1212" s="4">
        <v>4.3</v>
      </c>
      <c r="D1212" s="4">
        <v>3.5179999999999998</v>
      </c>
      <c r="E1212" s="4">
        <v>6700</v>
      </c>
      <c r="F1212" s="4">
        <v>4.3661000000000003</v>
      </c>
      <c r="G1212" s="4">
        <v>29252.87</v>
      </c>
      <c r="H1212" s="5">
        <f t="shared" si="18"/>
        <v>-2.2723484638035533E-2</v>
      </c>
    </row>
    <row r="1213" spans="1:8" ht="13.5" x14ac:dyDescent="0.25">
      <c r="A1213" s="1"/>
      <c r="B1213" s="3">
        <v>44075</v>
      </c>
      <c r="C1213" s="4">
        <v>4.21</v>
      </c>
      <c r="D1213" s="4">
        <v>3.4443999999999999</v>
      </c>
      <c r="E1213" s="4">
        <v>7720</v>
      </c>
      <c r="F1213" s="4">
        <v>4.2111000000000001</v>
      </c>
      <c r="G1213" s="4">
        <v>32509.691999999999</v>
      </c>
      <c r="H1213" s="5">
        <f t="shared" si="18"/>
        <v>-2.092097782831151E-2</v>
      </c>
    </row>
    <row r="1214" spans="1:8" ht="13.5" x14ac:dyDescent="0.25">
      <c r="A1214" s="1"/>
      <c r="B1214" s="3">
        <v>44076</v>
      </c>
      <c r="C1214" s="4">
        <v>4.24</v>
      </c>
      <c r="D1214" s="4">
        <v>3.4689000000000001</v>
      </c>
      <c r="E1214" s="4">
        <v>1743</v>
      </c>
      <c r="F1214" s="4">
        <v>4.26</v>
      </c>
      <c r="G1214" s="4">
        <v>7425.18</v>
      </c>
      <c r="H1214" s="5">
        <f t="shared" si="18"/>
        <v>7.1129950063872341E-3</v>
      </c>
    </row>
    <row r="1215" spans="1:8" ht="13.5" x14ac:dyDescent="0.25">
      <c r="A1215" s="1"/>
      <c r="B1215" s="3">
        <v>44077</v>
      </c>
      <c r="C1215" s="4">
        <v>4.18</v>
      </c>
      <c r="D1215" s="4">
        <v>3.4198</v>
      </c>
      <c r="E1215" s="4">
        <v>11323</v>
      </c>
      <c r="F1215" s="4">
        <v>4.1954000000000002</v>
      </c>
      <c r="G1215" s="4">
        <v>47504.514199999998</v>
      </c>
      <c r="H1215" s="5">
        <f t="shared" si="18"/>
        <v>-1.4154342875263093E-2</v>
      </c>
    </row>
    <row r="1216" spans="1:8" ht="13.5" x14ac:dyDescent="0.25">
      <c r="A1216" s="1"/>
      <c r="B1216" s="3">
        <v>44078</v>
      </c>
      <c r="C1216" s="4">
        <v>4.43</v>
      </c>
      <c r="D1216" s="4">
        <v>3.6244000000000001</v>
      </c>
      <c r="E1216" s="4">
        <v>23012</v>
      </c>
      <c r="F1216" s="4">
        <v>4.3505000000000003</v>
      </c>
      <c r="G1216" s="4">
        <v>100113.70600000001</v>
      </c>
      <c r="H1216" s="5">
        <f t="shared" si="18"/>
        <v>5.9828060120474917E-2</v>
      </c>
    </row>
    <row r="1217" spans="1:8" ht="13.5" x14ac:dyDescent="0.25">
      <c r="A1217" s="1"/>
      <c r="B1217" s="3">
        <v>44081</v>
      </c>
      <c r="C1217" s="4">
        <v>4.62</v>
      </c>
      <c r="D1217" s="4">
        <v>3.7797999999999998</v>
      </c>
      <c r="E1217" s="4">
        <v>0</v>
      </c>
      <c r="F1217" s="4">
        <v>0</v>
      </c>
      <c r="G1217" s="4">
        <v>0</v>
      </c>
      <c r="H1217" s="5">
        <f t="shared" si="18"/>
        <v>4.2876062244785275E-2</v>
      </c>
    </row>
    <row r="1218" spans="1:8" ht="13.5" x14ac:dyDescent="0.25">
      <c r="A1218" s="1"/>
      <c r="B1218" s="3">
        <v>44082</v>
      </c>
      <c r="C1218" s="4">
        <v>4.9000000000000004</v>
      </c>
      <c r="D1218" s="4">
        <v>4.0088999999999997</v>
      </c>
      <c r="E1218" s="4">
        <v>26450</v>
      </c>
      <c r="F1218" s="4">
        <v>4.6951000000000001</v>
      </c>
      <c r="G1218" s="4">
        <v>124185.395</v>
      </c>
      <c r="H1218" s="5">
        <f t="shared" si="18"/>
        <v>6.0611672575268498E-2</v>
      </c>
    </row>
    <row r="1219" spans="1:8" ht="13.5" x14ac:dyDescent="0.25">
      <c r="A1219" s="1"/>
      <c r="B1219" s="3">
        <v>44083</v>
      </c>
      <c r="C1219" s="4">
        <v>5.12</v>
      </c>
      <c r="D1219" s="4">
        <v>4.1889000000000003</v>
      </c>
      <c r="E1219" s="4">
        <v>0</v>
      </c>
      <c r="F1219" s="4">
        <v>0</v>
      </c>
      <c r="G1219" s="4">
        <v>0</v>
      </c>
      <c r="H1219" s="5">
        <f t="shared" si="18"/>
        <v>4.4900097283544271E-2</v>
      </c>
    </row>
    <row r="1220" spans="1:8" ht="13.5" x14ac:dyDescent="0.25">
      <c r="A1220" s="1"/>
      <c r="B1220" s="3">
        <v>44084</v>
      </c>
      <c r="C1220" s="4">
        <v>5.01</v>
      </c>
      <c r="D1220" s="4">
        <v>4.0989000000000004</v>
      </c>
      <c r="E1220" s="4">
        <v>97174</v>
      </c>
      <c r="F1220" s="4">
        <v>5.2628000000000004</v>
      </c>
      <c r="G1220" s="4">
        <v>511407.3272</v>
      </c>
      <c r="H1220" s="5">
        <f t="shared" si="18"/>
        <v>-2.1485354150254207E-2</v>
      </c>
    </row>
    <row r="1221" spans="1:8" ht="13.5" x14ac:dyDescent="0.25">
      <c r="A1221" s="1"/>
      <c r="B1221" s="3">
        <v>44085</v>
      </c>
      <c r="C1221" s="4">
        <v>5.08</v>
      </c>
      <c r="D1221" s="4">
        <v>4.1562000000000001</v>
      </c>
      <c r="E1221" s="4">
        <v>33006</v>
      </c>
      <c r="F1221" s="4">
        <v>5.1855000000000002</v>
      </c>
      <c r="G1221" s="4">
        <v>171152.61300000001</v>
      </c>
      <c r="H1221" s="5">
        <f t="shared" si="18"/>
        <v>1.3979360316182313E-2</v>
      </c>
    </row>
    <row r="1222" spans="1:8" ht="13.5" x14ac:dyDescent="0.25">
      <c r="A1222" s="1"/>
      <c r="B1222" s="3">
        <v>44088</v>
      </c>
      <c r="C1222" s="4">
        <v>5</v>
      </c>
      <c r="D1222" s="4">
        <v>4.0907</v>
      </c>
      <c r="E1222" s="4">
        <v>2466</v>
      </c>
      <c r="F1222" s="4">
        <v>5.0410000000000004</v>
      </c>
      <c r="G1222" s="4">
        <v>12431.106</v>
      </c>
      <c r="H1222" s="5">
        <f t="shared" si="18"/>
        <v>-1.5759588085270226E-2</v>
      </c>
    </row>
    <row r="1223" spans="1:8" ht="13.5" x14ac:dyDescent="0.25">
      <c r="A1223" s="1"/>
      <c r="B1223" s="3">
        <v>44089</v>
      </c>
      <c r="C1223" s="4">
        <v>4.8499999999999996</v>
      </c>
      <c r="D1223" s="4">
        <v>3.968</v>
      </c>
      <c r="E1223" s="4">
        <v>3466</v>
      </c>
      <c r="F1223" s="4">
        <v>4.8507999999999996</v>
      </c>
      <c r="G1223" s="4">
        <v>16812.872800000001</v>
      </c>
      <c r="H1223" s="5">
        <f t="shared" ref="H1223:H1286" si="19">(D1223-D1222)/D1222</f>
        <v>-2.9994866404282894E-2</v>
      </c>
    </row>
    <row r="1224" spans="1:8" ht="13.5" x14ac:dyDescent="0.25">
      <c r="A1224" s="1"/>
      <c r="B1224" s="3">
        <v>44090</v>
      </c>
      <c r="C1224" s="4">
        <v>4.79</v>
      </c>
      <c r="D1224" s="4">
        <v>3.9188999999999998</v>
      </c>
      <c r="E1224" s="4">
        <v>1057</v>
      </c>
      <c r="F1224" s="4">
        <v>4.7640000000000002</v>
      </c>
      <c r="G1224" s="4">
        <v>5035.5479999999998</v>
      </c>
      <c r="H1224" s="5">
        <f t="shared" si="19"/>
        <v>-1.2373991935483906E-2</v>
      </c>
    </row>
    <row r="1225" spans="1:8" ht="13.5" x14ac:dyDescent="0.25">
      <c r="A1225" s="1"/>
      <c r="B1225" s="3">
        <v>44091</v>
      </c>
      <c r="C1225" s="4">
        <v>4.93</v>
      </c>
      <c r="D1225" s="4">
        <v>4.0335000000000001</v>
      </c>
      <c r="E1225" s="4">
        <v>7134</v>
      </c>
      <c r="F1225" s="4">
        <v>4.8518999999999997</v>
      </c>
      <c r="G1225" s="4">
        <v>34613.454599999997</v>
      </c>
      <c r="H1225" s="5">
        <f t="shared" si="19"/>
        <v>2.9242899793309414E-2</v>
      </c>
    </row>
    <row r="1226" spans="1:8" ht="13.5" x14ac:dyDescent="0.25">
      <c r="A1226" s="1"/>
      <c r="B1226" s="3">
        <v>44092</v>
      </c>
      <c r="C1226" s="4">
        <v>4.93</v>
      </c>
      <c r="D1226" s="4">
        <v>4.0335000000000001</v>
      </c>
      <c r="E1226" s="4">
        <v>3403</v>
      </c>
      <c r="F1226" s="4">
        <v>4.9461000000000004</v>
      </c>
      <c r="G1226" s="4">
        <v>16831.578300000001</v>
      </c>
      <c r="H1226" s="5">
        <f t="shared" si="19"/>
        <v>0</v>
      </c>
    </row>
    <row r="1227" spans="1:8" ht="13.5" x14ac:dyDescent="0.25">
      <c r="A1227" s="1"/>
      <c r="B1227" s="3">
        <v>44095</v>
      </c>
      <c r="C1227" s="4">
        <v>4.8899999999999997</v>
      </c>
      <c r="D1227" s="4">
        <v>4.0007000000000001</v>
      </c>
      <c r="E1227" s="4">
        <v>26</v>
      </c>
      <c r="F1227" s="4">
        <v>4.9745999999999997</v>
      </c>
      <c r="G1227" s="4">
        <v>129.33959999999999</v>
      </c>
      <c r="H1227" s="5">
        <f t="shared" si="19"/>
        <v>-8.1318953762241075E-3</v>
      </c>
    </row>
    <row r="1228" spans="1:8" ht="13.5" x14ac:dyDescent="0.25">
      <c r="A1228" s="1"/>
      <c r="B1228" s="3">
        <v>44096</v>
      </c>
      <c r="C1228" s="4">
        <v>4.75</v>
      </c>
      <c r="D1228" s="4">
        <v>3.8862000000000001</v>
      </c>
      <c r="E1228" s="4">
        <v>613</v>
      </c>
      <c r="F1228" s="4">
        <v>4.75</v>
      </c>
      <c r="G1228" s="4">
        <v>2911.75</v>
      </c>
      <c r="H1228" s="5">
        <f t="shared" si="19"/>
        <v>-2.8619991501487252E-2</v>
      </c>
    </row>
    <row r="1229" spans="1:8" ht="13.5" x14ac:dyDescent="0.25">
      <c r="A1229" s="1"/>
      <c r="B1229" s="3">
        <v>44097</v>
      </c>
      <c r="C1229" s="4">
        <v>4.8</v>
      </c>
      <c r="D1229" s="4">
        <v>3.9270999999999998</v>
      </c>
      <c r="E1229" s="4">
        <v>4440</v>
      </c>
      <c r="F1229" s="4">
        <v>4.6585999999999999</v>
      </c>
      <c r="G1229" s="4">
        <v>20684.184000000001</v>
      </c>
      <c r="H1229" s="5">
        <f t="shared" si="19"/>
        <v>1.0524419741649867E-2</v>
      </c>
    </row>
    <row r="1230" spans="1:8" ht="13.5" x14ac:dyDescent="0.25">
      <c r="A1230" s="1"/>
      <c r="B1230" s="3">
        <v>44098</v>
      </c>
      <c r="C1230" s="4">
        <v>4.78</v>
      </c>
      <c r="D1230" s="4">
        <v>3.9106999999999998</v>
      </c>
      <c r="E1230" s="4">
        <v>6375</v>
      </c>
      <c r="F1230" s="4">
        <v>4.7237</v>
      </c>
      <c r="G1230" s="4">
        <v>30113.587500000001</v>
      </c>
      <c r="H1230" s="5">
        <f t="shared" si="19"/>
        <v>-4.1761095974128422E-3</v>
      </c>
    </row>
    <row r="1231" spans="1:8" ht="13.5" x14ac:dyDescent="0.25">
      <c r="A1231" s="1"/>
      <c r="B1231" s="3">
        <v>44099</v>
      </c>
      <c r="C1231" s="4">
        <v>4.92</v>
      </c>
      <c r="D1231" s="4">
        <v>4.0252999999999997</v>
      </c>
      <c r="E1231" s="4">
        <v>13818</v>
      </c>
      <c r="F1231" s="4">
        <v>4.8979999999999997</v>
      </c>
      <c r="G1231" s="4">
        <v>67680.563999999998</v>
      </c>
      <c r="H1231" s="5">
        <f t="shared" si="19"/>
        <v>2.9304216636407757E-2</v>
      </c>
    </row>
    <row r="1232" spans="1:8" ht="13.5" x14ac:dyDescent="0.25">
      <c r="A1232" s="1"/>
      <c r="B1232" s="3">
        <v>44102</v>
      </c>
      <c r="C1232" s="4">
        <v>4.93</v>
      </c>
      <c r="D1232" s="4">
        <v>4.0335000000000001</v>
      </c>
      <c r="E1232" s="4">
        <v>1</v>
      </c>
      <c r="F1232" s="4">
        <v>4.93</v>
      </c>
      <c r="G1232" s="4">
        <v>4.93</v>
      </c>
      <c r="H1232" s="5">
        <f t="shared" si="19"/>
        <v>2.0371152460687226E-3</v>
      </c>
    </row>
    <row r="1233" spans="1:8" ht="13.5" x14ac:dyDescent="0.25">
      <c r="A1233" s="1"/>
      <c r="B1233" s="3">
        <v>44103</v>
      </c>
      <c r="C1233" s="4">
        <v>4.9000000000000004</v>
      </c>
      <c r="D1233" s="4">
        <v>4.0088999999999997</v>
      </c>
      <c r="E1233" s="4">
        <v>893</v>
      </c>
      <c r="F1233" s="4">
        <v>4.7922000000000002</v>
      </c>
      <c r="G1233" s="4">
        <v>4279.4345999999996</v>
      </c>
      <c r="H1233" s="5">
        <f t="shared" si="19"/>
        <v>-6.0989215321681908E-3</v>
      </c>
    </row>
    <row r="1234" spans="1:8" ht="13.5" x14ac:dyDescent="0.25">
      <c r="A1234" s="1"/>
      <c r="B1234" s="3">
        <v>44104</v>
      </c>
      <c r="C1234" s="4">
        <v>4.8899999999999997</v>
      </c>
      <c r="D1234" s="4">
        <v>4.0007000000000001</v>
      </c>
      <c r="E1234" s="4">
        <v>525</v>
      </c>
      <c r="F1234" s="4">
        <v>4.7618999999999998</v>
      </c>
      <c r="G1234" s="4">
        <v>2499.9974999999999</v>
      </c>
      <c r="H1234" s="5">
        <f t="shared" si="19"/>
        <v>-2.0454488762502287E-3</v>
      </c>
    </row>
    <row r="1235" spans="1:8" ht="13.5" x14ac:dyDescent="0.25">
      <c r="A1235" s="1"/>
      <c r="B1235" s="3">
        <v>44105</v>
      </c>
      <c r="C1235" s="4">
        <v>4.75</v>
      </c>
      <c r="D1235" s="4">
        <v>3.8862000000000001</v>
      </c>
      <c r="E1235" s="4">
        <v>1162</v>
      </c>
      <c r="F1235" s="4">
        <v>4.7557999999999998</v>
      </c>
      <c r="G1235" s="4">
        <v>5526.2395999999999</v>
      </c>
      <c r="H1235" s="5">
        <f t="shared" si="19"/>
        <v>-2.8619991501487252E-2</v>
      </c>
    </row>
    <row r="1236" spans="1:8" ht="13.5" x14ac:dyDescent="0.25">
      <c r="A1236" s="1"/>
      <c r="B1236" s="3">
        <v>44106</v>
      </c>
      <c r="C1236" s="4">
        <v>4.7</v>
      </c>
      <c r="D1236" s="4">
        <v>3.8452999999999999</v>
      </c>
      <c r="E1236" s="4">
        <v>4018</v>
      </c>
      <c r="F1236" s="4">
        <v>4.5457000000000001</v>
      </c>
      <c r="G1236" s="4">
        <v>18264.622599999999</v>
      </c>
      <c r="H1236" s="5">
        <f t="shared" si="19"/>
        <v>-1.0524419741649981E-2</v>
      </c>
    </row>
    <row r="1237" spans="1:8" ht="13.5" x14ac:dyDescent="0.25">
      <c r="A1237" s="1"/>
      <c r="B1237" s="3">
        <v>44109</v>
      </c>
      <c r="C1237" s="4">
        <v>4.82</v>
      </c>
      <c r="D1237" s="4">
        <v>3.9434999999999998</v>
      </c>
      <c r="E1237" s="4">
        <v>7730</v>
      </c>
      <c r="F1237" s="4">
        <v>4.7263999999999999</v>
      </c>
      <c r="G1237" s="4">
        <v>36535.072</v>
      </c>
      <c r="H1237" s="5">
        <f t="shared" si="19"/>
        <v>2.5537669362598457E-2</v>
      </c>
    </row>
    <row r="1238" spans="1:8" ht="13.5" x14ac:dyDescent="0.25">
      <c r="A1238" s="1"/>
      <c r="B1238" s="3">
        <v>44110</v>
      </c>
      <c r="C1238" s="4">
        <v>4.7699999999999996</v>
      </c>
      <c r="D1238" s="4">
        <v>3.9024999999999999</v>
      </c>
      <c r="E1238" s="4">
        <v>363</v>
      </c>
      <c r="F1238" s="4">
        <v>4.7004000000000001</v>
      </c>
      <c r="G1238" s="4">
        <v>1706.2452000000001</v>
      </c>
      <c r="H1238" s="5">
        <f t="shared" si="19"/>
        <v>-1.0396855585140086E-2</v>
      </c>
    </row>
    <row r="1239" spans="1:8" ht="13.5" x14ac:dyDescent="0.25">
      <c r="A1239" s="1"/>
      <c r="B1239" s="3">
        <v>44111</v>
      </c>
      <c r="C1239" s="4">
        <v>4.75</v>
      </c>
      <c r="D1239" s="4">
        <v>3.8862000000000001</v>
      </c>
      <c r="E1239" s="4">
        <v>5226</v>
      </c>
      <c r="F1239" s="4">
        <v>4.6988000000000003</v>
      </c>
      <c r="G1239" s="4">
        <v>24555.928800000002</v>
      </c>
      <c r="H1239" s="5">
        <f t="shared" si="19"/>
        <v>-4.1768097373477923E-3</v>
      </c>
    </row>
    <row r="1240" spans="1:8" ht="13.5" x14ac:dyDescent="0.25">
      <c r="A1240" s="1"/>
      <c r="B1240" s="3">
        <v>44112</v>
      </c>
      <c r="C1240" s="4">
        <v>4.7</v>
      </c>
      <c r="D1240" s="4">
        <v>3.8452999999999999</v>
      </c>
      <c r="E1240" s="4">
        <v>4</v>
      </c>
      <c r="F1240" s="4">
        <v>4.7350000000000003</v>
      </c>
      <c r="G1240" s="4">
        <v>18.940000000000001</v>
      </c>
      <c r="H1240" s="5">
        <f t="shared" si="19"/>
        <v>-1.0524419741649981E-2</v>
      </c>
    </row>
    <row r="1241" spans="1:8" ht="13.5" x14ac:dyDescent="0.25">
      <c r="A1241" s="1"/>
      <c r="B1241" s="3">
        <v>44113</v>
      </c>
      <c r="C1241" s="4">
        <v>4.6900000000000004</v>
      </c>
      <c r="D1241" s="4">
        <v>3.8371</v>
      </c>
      <c r="E1241" s="4">
        <v>801</v>
      </c>
      <c r="F1241" s="4">
        <v>4.6128</v>
      </c>
      <c r="G1241" s="4">
        <v>3694.8528000000001</v>
      </c>
      <c r="H1241" s="5">
        <f t="shared" si="19"/>
        <v>-2.1324734090968156E-3</v>
      </c>
    </row>
    <row r="1242" spans="1:8" ht="13.5" x14ac:dyDescent="0.25">
      <c r="A1242" s="1"/>
      <c r="B1242" s="3">
        <v>44116</v>
      </c>
      <c r="C1242" s="4">
        <v>4.7</v>
      </c>
      <c r="D1242" s="4">
        <v>3.8452999999999999</v>
      </c>
      <c r="E1242" s="4">
        <v>823</v>
      </c>
      <c r="F1242" s="4">
        <v>4.7458</v>
      </c>
      <c r="G1242" s="4">
        <v>3905.7934</v>
      </c>
      <c r="H1242" s="5">
        <f t="shared" si="19"/>
        <v>2.1370305699616858E-3</v>
      </c>
    </row>
    <row r="1243" spans="1:8" ht="13.5" x14ac:dyDescent="0.25">
      <c r="A1243" s="1"/>
      <c r="B1243" s="3">
        <v>44117</v>
      </c>
      <c r="C1243" s="4">
        <v>4.9000000000000004</v>
      </c>
      <c r="D1243" s="4">
        <v>4.0088999999999997</v>
      </c>
      <c r="E1243" s="4">
        <v>3355</v>
      </c>
      <c r="F1243" s="4">
        <v>4.7969999999999997</v>
      </c>
      <c r="G1243" s="4">
        <v>16093.934999999999</v>
      </c>
      <c r="H1243" s="5">
        <f t="shared" si="19"/>
        <v>4.2545445088809648E-2</v>
      </c>
    </row>
    <row r="1244" spans="1:8" ht="13.5" x14ac:dyDescent="0.25">
      <c r="A1244" s="1"/>
      <c r="B1244" s="3">
        <v>44118</v>
      </c>
      <c r="C1244" s="4">
        <v>5.05</v>
      </c>
      <c r="D1244" s="4">
        <v>4.1315999999999997</v>
      </c>
      <c r="E1244" s="4">
        <v>5030</v>
      </c>
      <c r="F1244" s="4">
        <v>4.9964000000000004</v>
      </c>
      <c r="G1244" s="4">
        <v>25131.892</v>
      </c>
      <c r="H1244" s="5">
        <f t="shared" si="19"/>
        <v>3.060689964828258E-2</v>
      </c>
    </row>
    <row r="1245" spans="1:8" ht="13.5" x14ac:dyDescent="0.25">
      <c r="A1245" s="1"/>
      <c r="B1245" s="3">
        <v>44120</v>
      </c>
      <c r="C1245" s="4">
        <v>5.05</v>
      </c>
      <c r="D1245" s="4">
        <v>4.1315999999999997</v>
      </c>
      <c r="E1245" s="4">
        <v>11347</v>
      </c>
      <c r="F1245" s="4">
        <v>5.1007999999999996</v>
      </c>
      <c r="G1245" s="4">
        <v>57878.777600000001</v>
      </c>
      <c r="H1245" s="5">
        <f t="shared" si="19"/>
        <v>0</v>
      </c>
    </row>
    <row r="1246" spans="1:8" ht="13.5" x14ac:dyDescent="0.25">
      <c r="A1246" s="1"/>
      <c r="B1246" s="3">
        <v>44123</v>
      </c>
      <c r="C1246" s="4">
        <v>5.09</v>
      </c>
      <c r="D1246" s="4">
        <v>4.1643999999999997</v>
      </c>
      <c r="E1246" s="4">
        <v>2370</v>
      </c>
      <c r="F1246" s="4">
        <v>5.1106999999999996</v>
      </c>
      <c r="G1246" s="4">
        <v>12112.359</v>
      </c>
      <c r="H1246" s="5">
        <f t="shared" si="19"/>
        <v>7.9388130506341231E-3</v>
      </c>
    </row>
    <row r="1247" spans="1:8" ht="13.5" x14ac:dyDescent="0.25">
      <c r="A1247" s="1"/>
      <c r="B1247" s="3">
        <v>44124</v>
      </c>
      <c r="C1247" s="4">
        <v>5.12</v>
      </c>
      <c r="D1247" s="4">
        <v>4.1889000000000003</v>
      </c>
      <c r="E1247" s="4">
        <v>4949</v>
      </c>
      <c r="F1247" s="4">
        <v>5.1154999999999999</v>
      </c>
      <c r="G1247" s="4">
        <v>25316.609499999999</v>
      </c>
      <c r="H1247" s="5">
        <f t="shared" si="19"/>
        <v>5.8832004610509638E-3</v>
      </c>
    </row>
    <row r="1248" spans="1:8" ht="13.5" x14ac:dyDescent="0.25">
      <c r="A1248" s="1"/>
      <c r="B1248" s="3">
        <v>44125</v>
      </c>
      <c r="C1248" s="4">
        <v>5.2</v>
      </c>
      <c r="D1248" s="4">
        <v>4.2542999999999997</v>
      </c>
      <c r="E1248" s="4">
        <v>3428</v>
      </c>
      <c r="F1248" s="4">
        <v>5.1748000000000003</v>
      </c>
      <c r="G1248" s="4">
        <v>17739.214400000001</v>
      </c>
      <c r="H1248" s="5">
        <f t="shared" si="19"/>
        <v>1.5612690682517954E-2</v>
      </c>
    </row>
    <row r="1249" spans="1:8" ht="13.5" x14ac:dyDescent="0.25">
      <c r="A1249" s="1"/>
      <c r="B1249" s="3">
        <v>44126</v>
      </c>
      <c r="C1249" s="4">
        <v>5.15</v>
      </c>
      <c r="D1249" s="4">
        <v>4.2134</v>
      </c>
      <c r="E1249" s="4">
        <v>972</v>
      </c>
      <c r="F1249" s="4">
        <v>5.2000999999999999</v>
      </c>
      <c r="G1249" s="4">
        <v>5054.4971999999998</v>
      </c>
      <c r="H1249" s="5">
        <f t="shared" si="19"/>
        <v>-9.613802505700049E-3</v>
      </c>
    </row>
    <row r="1250" spans="1:8" ht="13.5" x14ac:dyDescent="0.25">
      <c r="A1250" s="1"/>
      <c r="B1250" s="3">
        <v>44127</v>
      </c>
      <c r="C1250" s="4">
        <v>5.14</v>
      </c>
      <c r="D1250" s="4">
        <v>4.2053000000000003</v>
      </c>
      <c r="E1250" s="4">
        <v>3604</v>
      </c>
      <c r="F1250" s="4">
        <v>5.1498999999999997</v>
      </c>
      <c r="G1250" s="4">
        <v>18560.239600000001</v>
      </c>
      <c r="H1250" s="5">
        <f t="shared" si="19"/>
        <v>-1.9224379361085521E-3</v>
      </c>
    </row>
    <row r="1251" spans="1:8" ht="13.5" x14ac:dyDescent="0.25">
      <c r="A1251" s="1"/>
      <c r="B1251" s="3">
        <v>44130</v>
      </c>
      <c r="C1251" s="4">
        <v>5.19</v>
      </c>
      <c r="D1251" s="4">
        <v>4.2462</v>
      </c>
      <c r="E1251" s="4">
        <v>1195</v>
      </c>
      <c r="F1251" s="4">
        <v>5.0838000000000001</v>
      </c>
      <c r="G1251" s="4">
        <v>6075.1409999999996</v>
      </c>
      <c r="H1251" s="5">
        <f t="shared" si="19"/>
        <v>9.7258221767768556E-3</v>
      </c>
    </row>
    <row r="1252" spans="1:8" ht="13.5" x14ac:dyDescent="0.25">
      <c r="A1252" s="1"/>
      <c r="B1252" s="3">
        <v>44131</v>
      </c>
      <c r="C1252" s="4">
        <v>5.15</v>
      </c>
      <c r="D1252" s="4">
        <v>4.2134</v>
      </c>
      <c r="E1252" s="4">
        <v>596</v>
      </c>
      <c r="F1252" s="4">
        <v>5.1416000000000004</v>
      </c>
      <c r="G1252" s="4">
        <v>3064.3935999999999</v>
      </c>
      <c r="H1252" s="5">
        <f t="shared" si="19"/>
        <v>-7.7245537186189867E-3</v>
      </c>
    </row>
    <row r="1253" spans="1:8" ht="13.5" x14ac:dyDescent="0.25">
      <c r="A1253" s="1"/>
      <c r="B1253" s="3">
        <v>44132</v>
      </c>
      <c r="C1253" s="4">
        <v>5</v>
      </c>
      <c r="D1253" s="4">
        <v>4.0907</v>
      </c>
      <c r="E1253" s="4">
        <v>5331</v>
      </c>
      <c r="F1253" s="4">
        <v>5.0034999999999998</v>
      </c>
      <c r="G1253" s="4">
        <v>26673.658500000001</v>
      </c>
      <c r="H1253" s="5">
        <f t="shared" si="19"/>
        <v>-2.9121374661793334E-2</v>
      </c>
    </row>
    <row r="1254" spans="1:8" ht="13.5" x14ac:dyDescent="0.25">
      <c r="A1254" s="1"/>
      <c r="B1254" s="3">
        <v>44134</v>
      </c>
      <c r="C1254" s="4">
        <v>5.15</v>
      </c>
      <c r="D1254" s="4">
        <v>4.2134</v>
      </c>
      <c r="E1254" s="4">
        <v>19425</v>
      </c>
      <c r="F1254" s="4">
        <v>5.1372999999999998</v>
      </c>
      <c r="G1254" s="4">
        <v>99792.052500000005</v>
      </c>
      <c r="H1254" s="5">
        <f t="shared" si="19"/>
        <v>2.9994866404282894E-2</v>
      </c>
    </row>
    <row r="1255" spans="1:8" ht="13.5" x14ac:dyDescent="0.25">
      <c r="A1255" s="1"/>
      <c r="B1255" s="3">
        <v>44137</v>
      </c>
      <c r="C1255" s="4">
        <v>5.2</v>
      </c>
      <c r="D1255" s="4">
        <v>4.2542999999999997</v>
      </c>
      <c r="E1255" s="4">
        <v>4359</v>
      </c>
      <c r="F1255" s="4">
        <v>5.2004000000000001</v>
      </c>
      <c r="G1255" s="4">
        <v>22668.543600000001</v>
      </c>
      <c r="H1255" s="5">
        <f t="shared" si="19"/>
        <v>9.7071248872643741E-3</v>
      </c>
    </row>
    <row r="1256" spans="1:8" ht="13.5" x14ac:dyDescent="0.25">
      <c r="A1256" s="1"/>
      <c r="B1256" s="3">
        <v>44138</v>
      </c>
      <c r="C1256" s="4">
        <v>5.2</v>
      </c>
      <c r="D1256" s="4">
        <v>4.2542999999999997</v>
      </c>
      <c r="E1256" s="4">
        <v>5784</v>
      </c>
      <c r="F1256" s="4">
        <v>5.1988000000000003</v>
      </c>
      <c r="G1256" s="4">
        <v>30069.859199999999</v>
      </c>
      <c r="H1256" s="5">
        <f t="shared" si="19"/>
        <v>0</v>
      </c>
    </row>
    <row r="1257" spans="1:8" ht="13.5" x14ac:dyDescent="0.25">
      <c r="A1257" s="1"/>
      <c r="B1257" s="3">
        <v>44139</v>
      </c>
      <c r="C1257" s="4">
        <v>5.25</v>
      </c>
      <c r="D1257" s="4">
        <v>4.2953000000000001</v>
      </c>
      <c r="E1257" s="4">
        <v>525</v>
      </c>
      <c r="F1257" s="4">
        <v>5.2119</v>
      </c>
      <c r="G1257" s="4">
        <v>2736.2474999999999</v>
      </c>
      <c r="H1257" s="5">
        <f t="shared" si="19"/>
        <v>9.6373081352984918E-3</v>
      </c>
    </row>
    <row r="1258" spans="1:8" ht="13.5" x14ac:dyDescent="0.25">
      <c r="A1258" s="1"/>
      <c r="B1258" s="3">
        <v>44140</v>
      </c>
      <c r="C1258" s="4">
        <v>5.25</v>
      </c>
      <c r="D1258" s="4">
        <v>4.2953000000000001</v>
      </c>
      <c r="E1258" s="4">
        <v>5</v>
      </c>
      <c r="F1258" s="4">
        <v>5.25</v>
      </c>
      <c r="G1258" s="4">
        <v>26.25</v>
      </c>
      <c r="H1258" s="5">
        <f t="shared" si="19"/>
        <v>0</v>
      </c>
    </row>
    <row r="1259" spans="1:8" ht="13.5" x14ac:dyDescent="0.25">
      <c r="A1259" s="1"/>
      <c r="B1259" s="3">
        <v>44141</v>
      </c>
      <c r="C1259" s="4">
        <v>5.18</v>
      </c>
      <c r="D1259" s="4">
        <v>4.2380000000000004</v>
      </c>
      <c r="E1259" s="4">
        <v>185</v>
      </c>
      <c r="F1259" s="4">
        <v>5.1119000000000003</v>
      </c>
      <c r="G1259" s="4">
        <v>945.70150000000001</v>
      </c>
      <c r="H1259" s="5">
        <f t="shared" si="19"/>
        <v>-1.33401625032011E-2</v>
      </c>
    </row>
    <row r="1260" spans="1:8" ht="13.5" x14ac:dyDescent="0.25">
      <c r="A1260" s="1"/>
      <c r="B1260" s="3">
        <v>44144</v>
      </c>
      <c r="C1260" s="4">
        <v>5.18</v>
      </c>
      <c r="D1260" s="4">
        <v>4.2380000000000004</v>
      </c>
      <c r="E1260" s="4">
        <v>0</v>
      </c>
      <c r="F1260" s="4">
        <v>0</v>
      </c>
      <c r="G1260" s="4">
        <v>0</v>
      </c>
      <c r="H1260" s="5">
        <f t="shared" si="19"/>
        <v>0</v>
      </c>
    </row>
    <row r="1261" spans="1:8" ht="13.5" x14ac:dyDescent="0.25">
      <c r="A1261" s="1"/>
      <c r="B1261" s="3">
        <v>44145</v>
      </c>
      <c r="C1261" s="4">
        <v>5.0999999999999996</v>
      </c>
      <c r="D1261" s="4">
        <v>4.1725000000000003</v>
      </c>
      <c r="E1261" s="4">
        <v>8614</v>
      </c>
      <c r="F1261" s="4">
        <v>5.0694999999999997</v>
      </c>
      <c r="G1261" s="4">
        <v>43668.673000000003</v>
      </c>
      <c r="H1261" s="5">
        <f t="shared" si="19"/>
        <v>-1.5455403492213334E-2</v>
      </c>
    </row>
    <row r="1262" spans="1:8" ht="13.5" x14ac:dyDescent="0.25">
      <c r="A1262" s="1"/>
      <c r="B1262" s="3">
        <v>44146</v>
      </c>
      <c r="C1262" s="4">
        <v>5.14</v>
      </c>
      <c r="D1262" s="4">
        <v>4.2053000000000003</v>
      </c>
      <c r="E1262" s="4">
        <v>2252</v>
      </c>
      <c r="F1262" s="4">
        <v>5.1026999999999996</v>
      </c>
      <c r="G1262" s="4">
        <v>11491.2804</v>
      </c>
      <c r="H1262" s="5">
        <f t="shared" si="19"/>
        <v>7.8609946075494166E-3</v>
      </c>
    </row>
    <row r="1263" spans="1:8" ht="13.5" x14ac:dyDescent="0.25">
      <c r="A1263" s="1"/>
      <c r="B1263" s="3">
        <v>44147</v>
      </c>
      <c r="C1263" s="4">
        <v>5.25</v>
      </c>
      <c r="D1263" s="4">
        <v>4.2953000000000001</v>
      </c>
      <c r="E1263" s="4">
        <v>6691</v>
      </c>
      <c r="F1263" s="4">
        <v>5.2118000000000002</v>
      </c>
      <c r="G1263" s="4">
        <v>34872.1538</v>
      </c>
      <c r="H1263" s="5">
        <f t="shared" si="19"/>
        <v>2.1401564692174125E-2</v>
      </c>
    </row>
    <row r="1264" spans="1:8" ht="13.5" x14ac:dyDescent="0.25">
      <c r="A1264" s="1"/>
      <c r="B1264" s="3">
        <v>44148</v>
      </c>
      <c r="C1264" s="4">
        <v>5.44</v>
      </c>
      <c r="D1264" s="4">
        <v>4.4507000000000003</v>
      </c>
      <c r="E1264" s="4">
        <v>21975</v>
      </c>
      <c r="F1264" s="4">
        <v>5.4253999999999998</v>
      </c>
      <c r="G1264" s="4">
        <v>119223.16499999999</v>
      </c>
      <c r="H1264" s="5">
        <f t="shared" si="19"/>
        <v>3.6179079458943546E-2</v>
      </c>
    </row>
    <row r="1265" spans="1:8" ht="13.5" x14ac:dyDescent="0.25">
      <c r="A1265" s="1"/>
      <c r="B1265" s="3">
        <v>44151</v>
      </c>
      <c r="C1265" s="4">
        <v>5.58</v>
      </c>
      <c r="D1265" s="4">
        <v>4.5651999999999999</v>
      </c>
      <c r="E1265" s="4">
        <v>20246</v>
      </c>
      <c r="F1265" s="4">
        <v>5.5450999999999997</v>
      </c>
      <c r="G1265" s="4">
        <v>112266.0946</v>
      </c>
      <c r="H1265" s="5">
        <f t="shared" si="19"/>
        <v>2.572629024647799E-2</v>
      </c>
    </row>
    <row r="1266" spans="1:8" ht="13.5" x14ac:dyDescent="0.25">
      <c r="A1266" s="1"/>
      <c r="B1266" s="3">
        <v>44152</v>
      </c>
      <c r="C1266" s="4">
        <v>5.42</v>
      </c>
      <c r="D1266" s="4">
        <v>4.4343000000000004</v>
      </c>
      <c r="E1266" s="4">
        <v>25124</v>
      </c>
      <c r="F1266" s="4">
        <v>5.4714999999999998</v>
      </c>
      <c r="G1266" s="4">
        <v>137465.96599999999</v>
      </c>
      <c r="H1266" s="5">
        <f t="shared" si="19"/>
        <v>-2.8673442565495394E-2</v>
      </c>
    </row>
    <row r="1267" spans="1:8" ht="13.5" x14ac:dyDescent="0.25">
      <c r="A1267" s="1"/>
      <c r="B1267" s="3">
        <v>44153</v>
      </c>
      <c r="C1267" s="4">
        <v>5.39</v>
      </c>
      <c r="D1267" s="4">
        <v>4.4097999999999997</v>
      </c>
      <c r="E1267" s="4">
        <v>1216</v>
      </c>
      <c r="F1267" s="4">
        <v>5.4561999999999999</v>
      </c>
      <c r="G1267" s="4">
        <v>6634.7392</v>
      </c>
      <c r="H1267" s="5">
        <f t="shared" si="19"/>
        <v>-5.5251110660083057E-3</v>
      </c>
    </row>
    <row r="1268" spans="1:8" ht="13.5" x14ac:dyDescent="0.25">
      <c r="A1268" s="1"/>
      <c r="B1268" s="3">
        <v>44154</v>
      </c>
      <c r="C1268" s="4">
        <v>5.25</v>
      </c>
      <c r="D1268" s="4">
        <v>4.2953000000000001</v>
      </c>
      <c r="E1268" s="4">
        <v>6259</v>
      </c>
      <c r="F1268" s="4">
        <v>5.2816999999999998</v>
      </c>
      <c r="G1268" s="4">
        <v>33058.160300000003</v>
      </c>
      <c r="H1268" s="5">
        <f t="shared" si="19"/>
        <v>-2.5964896367182095E-2</v>
      </c>
    </row>
    <row r="1269" spans="1:8" ht="13.5" x14ac:dyDescent="0.25">
      <c r="A1269" s="1"/>
      <c r="B1269" s="3">
        <v>44155</v>
      </c>
      <c r="C1269" s="4">
        <v>5.22</v>
      </c>
      <c r="D1269" s="4">
        <v>4.2706999999999997</v>
      </c>
      <c r="E1269" s="4">
        <v>11189</v>
      </c>
      <c r="F1269" s="4">
        <v>5.3036000000000003</v>
      </c>
      <c r="G1269" s="4">
        <v>59341.9804</v>
      </c>
      <c r="H1269" s="5">
        <f t="shared" si="19"/>
        <v>-5.7271901846204917E-3</v>
      </c>
    </row>
    <row r="1270" spans="1:8" ht="13.5" x14ac:dyDescent="0.25">
      <c r="A1270" s="1"/>
      <c r="B1270" s="3">
        <v>44158</v>
      </c>
      <c r="C1270" s="4">
        <v>5.28</v>
      </c>
      <c r="D1270" s="4">
        <v>4.3197999999999999</v>
      </c>
      <c r="E1270" s="4">
        <v>4025</v>
      </c>
      <c r="F1270" s="4">
        <v>5.1833999999999998</v>
      </c>
      <c r="G1270" s="4">
        <v>20863.185000000001</v>
      </c>
      <c r="H1270" s="5">
        <f t="shared" si="19"/>
        <v>1.1496944294846313E-2</v>
      </c>
    </row>
    <row r="1271" spans="1:8" ht="13.5" x14ac:dyDescent="0.25">
      <c r="A1271" s="1"/>
      <c r="B1271" s="3">
        <v>44159</v>
      </c>
      <c r="C1271" s="4">
        <v>5.35</v>
      </c>
      <c r="D1271" s="4">
        <v>4.3771000000000004</v>
      </c>
      <c r="E1271" s="4">
        <v>7586</v>
      </c>
      <c r="F1271" s="4">
        <v>5.2869000000000002</v>
      </c>
      <c r="G1271" s="4">
        <v>40106.4234</v>
      </c>
      <c r="H1271" s="5">
        <f t="shared" si="19"/>
        <v>1.3264502986249496E-2</v>
      </c>
    </row>
    <row r="1272" spans="1:8" ht="13.5" x14ac:dyDescent="0.25">
      <c r="A1272" s="1"/>
      <c r="B1272" s="3">
        <v>44160</v>
      </c>
      <c r="C1272" s="4">
        <v>5.51</v>
      </c>
      <c r="D1272" s="4">
        <v>4.508</v>
      </c>
      <c r="E1272" s="4">
        <v>22073</v>
      </c>
      <c r="F1272" s="4">
        <v>5.4139999999999997</v>
      </c>
      <c r="G1272" s="4">
        <v>119503.22199999999</v>
      </c>
      <c r="H1272" s="5">
        <f t="shared" si="19"/>
        <v>2.9905645290260574E-2</v>
      </c>
    </row>
    <row r="1273" spans="1:8" ht="13.5" x14ac:dyDescent="0.25">
      <c r="A1273" s="1"/>
      <c r="B1273" s="3">
        <v>44161</v>
      </c>
      <c r="C1273" s="4">
        <v>5.5</v>
      </c>
      <c r="D1273" s="4">
        <v>4.4997999999999996</v>
      </c>
      <c r="E1273" s="4">
        <v>4277</v>
      </c>
      <c r="F1273" s="4">
        <v>5.5431999999999997</v>
      </c>
      <c r="G1273" s="4">
        <v>23708.2664</v>
      </c>
      <c r="H1273" s="5">
        <f t="shared" si="19"/>
        <v>-1.8189884649512931E-3</v>
      </c>
    </row>
    <row r="1274" spans="1:8" ht="13.5" x14ac:dyDescent="0.25">
      <c r="A1274" s="1"/>
      <c r="B1274" s="3">
        <v>44162</v>
      </c>
      <c r="C1274" s="4">
        <v>5.75</v>
      </c>
      <c r="D1274" s="4">
        <v>4.7042999999999999</v>
      </c>
      <c r="E1274" s="4">
        <v>30245</v>
      </c>
      <c r="F1274" s="4">
        <v>5.508</v>
      </c>
      <c r="G1274" s="4">
        <v>166589.46</v>
      </c>
      <c r="H1274" s="5">
        <f t="shared" si="19"/>
        <v>4.5446464287301737E-2</v>
      </c>
    </row>
    <row r="1275" spans="1:8" ht="13.5" x14ac:dyDescent="0.25">
      <c r="A1275" s="1"/>
      <c r="B1275" s="3">
        <v>44165</v>
      </c>
      <c r="C1275" s="4">
        <v>5.92</v>
      </c>
      <c r="D1275" s="4">
        <v>4.8433999999999999</v>
      </c>
      <c r="E1275" s="4">
        <v>47918</v>
      </c>
      <c r="F1275" s="4">
        <v>5.8982000000000001</v>
      </c>
      <c r="G1275" s="4">
        <v>282629.94760000001</v>
      </c>
      <c r="H1275" s="5">
        <f t="shared" si="19"/>
        <v>2.9568692472843994E-2</v>
      </c>
    </row>
    <row r="1276" spans="1:8" ht="13.5" x14ac:dyDescent="0.25">
      <c r="A1276" s="1"/>
      <c r="B1276" s="3">
        <v>44166</v>
      </c>
      <c r="C1276" s="4">
        <v>5.84</v>
      </c>
      <c r="D1276" s="4">
        <v>4.7779999999999996</v>
      </c>
      <c r="E1276" s="4">
        <v>54020</v>
      </c>
      <c r="F1276" s="4">
        <v>5.9341999999999997</v>
      </c>
      <c r="G1276" s="4">
        <v>320565.484</v>
      </c>
      <c r="H1276" s="5">
        <f t="shared" si="19"/>
        <v>-1.3502911178098102E-2</v>
      </c>
    </row>
    <row r="1277" spans="1:8" ht="13.5" x14ac:dyDescent="0.25">
      <c r="A1277" s="1"/>
      <c r="B1277" s="3">
        <v>44167</v>
      </c>
      <c r="C1277" s="4">
        <v>5.49</v>
      </c>
      <c r="D1277" s="4">
        <v>4.4916</v>
      </c>
      <c r="E1277" s="4">
        <v>22842</v>
      </c>
      <c r="F1277" s="4">
        <v>5.5228000000000002</v>
      </c>
      <c r="G1277" s="4">
        <v>126151.79760000001</v>
      </c>
      <c r="H1277" s="5">
        <f t="shared" si="19"/>
        <v>-5.9941398074508073E-2</v>
      </c>
    </row>
    <row r="1278" spans="1:8" ht="13.5" x14ac:dyDescent="0.25">
      <c r="A1278" s="1"/>
      <c r="B1278" s="3">
        <v>44168</v>
      </c>
      <c r="C1278" s="4">
        <v>5.32</v>
      </c>
      <c r="D1278" s="4">
        <v>4.3525</v>
      </c>
      <c r="E1278" s="4">
        <v>18992</v>
      </c>
      <c r="F1278" s="4">
        <v>5.2670000000000003</v>
      </c>
      <c r="G1278" s="4">
        <v>100030.864</v>
      </c>
      <c r="H1278" s="5">
        <f t="shared" si="19"/>
        <v>-3.0968919761332266E-2</v>
      </c>
    </row>
    <row r="1279" spans="1:8" ht="13.5" x14ac:dyDescent="0.25">
      <c r="A1279" s="1"/>
      <c r="B1279" s="3">
        <v>44169</v>
      </c>
      <c r="C1279" s="4">
        <v>5.29</v>
      </c>
      <c r="D1279" s="4">
        <v>4.3280000000000003</v>
      </c>
      <c r="E1279" s="4">
        <v>3155</v>
      </c>
      <c r="F1279" s="4">
        <v>5.3113999999999999</v>
      </c>
      <c r="G1279" s="4">
        <v>16757.467000000001</v>
      </c>
      <c r="H1279" s="5">
        <f t="shared" si="19"/>
        <v>-5.6289488799539907E-3</v>
      </c>
    </row>
    <row r="1280" spans="1:8" ht="13.5" x14ac:dyDescent="0.25">
      <c r="A1280" s="1"/>
      <c r="B1280" s="3">
        <v>44172</v>
      </c>
      <c r="C1280" s="4">
        <v>5.14</v>
      </c>
      <c r="D1280" s="4">
        <v>4.2053000000000003</v>
      </c>
      <c r="E1280" s="4">
        <v>6748</v>
      </c>
      <c r="F1280" s="4">
        <v>5.1440000000000001</v>
      </c>
      <c r="G1280" s="4">
        <v>34711.712</v>
      </c>
      <c r="H1280" s="5">
        <f t="shared" si="19"/>
        <v>-2.8350277264325329E-2</v>
      </c>
    </row>
    <row r="1281" spans="1:8" ht="13.5" x14ac:dyDescent="0.25">
      <c r="A1281" s="1"/>
      <c r="B1281" s="3">
        <v>44173</v>
      </c>
      <c r="C1281" s="4">
        <v>4.92</v>
      </c>
      <c r="D1281" s="4">
        <v>4.0252999999999997</v>
      </c>
      <c r="E1281" s="4">
        <v>9659</v>
      </c>
      <c r="F1281" s="4">
        <v>4.8823999999999996</v>
      </c>
      <c r="G1281" s="4">
        <v>47159.101600000002</v>
      </c>
      <c r="H1281" s="5">
        <f t="shared" si="19"/>
        <v>-4.2803129384348465E-2</v>
      </c>
    </row>
    <row r="1282" spans="1:8" ht="13.5" x14ac:dyDescent="0.25">
      <c r="A1282" s="1"/>
      <c r="B1282" s="3">
        <v>44174</v>
      </c>
      <c r="C1282" s="4">
        <v>4.91</v>
      </c>
      <c r="D1282" s="4">
        <v>4.0171000000000001</v>
      </c>
      <c r="E1282" s="4">
        <v>1104</v>
      </c>
      <c r="F1282" s="4">
        <v>4.9146999999999998</v>
      </c>
      <c r="G1282" s="4">
        <v>5425.8288000000002</v>
      </c>
      <c r="H1282" s="5">
        <f t="shared" si="19"/>
        <v>-2.0371152460685023E-3</v>
      </c>
    </row>
    <row r="1283" spans="1:8" ht="13.5" x14ac:dyDescent="0.25">
      <c r="A1283" s="1"/>
      <c r="B1283" s="3">
        <v>44175</v>
      </c>
      <c r="C1283" s="4">
        <v>4.88</v>
      </c>
      <c r="D1283" s="4">
        <v>3.9925000000000002</v>
      </c>
      <c r="E1283" s="4">
        <v>11519</v>
      </c>
      <c r="F1283" s="4">
        <v>4.7915000000000001</v>
      </c>
      <c r="G1283" s="4">
        <v>55193.288500000002</v>
      </c>
      <c r="H1283" s="5">
        <f t="shared" si="19"/>
        <v>-6.1238206666500592E-3</v>
      </c>
    </row>
    <row r="1284" spans="1:8" ht="13.5" x14ac:dyDescent="0.25">
      <c r="A1284" s="1"/>
      <c r="B1284" s="3">
        <v>44176</v>
      </c>
      <c r="C1284" s="4">
        <v>5.0199999999999996</v>
      </c>
      <c r="D1284" s="4">
        <v>4.1071</v>
      </c>
      <c r="E1284" s="4">
        <v>11171</v>
      </c>
      <c r="F1284" s="4">
        <v>5.0435999999999996</v>
      </c>
      <c r="G1284" s="4">
        <v>56342.0556</v>
      </c>
      <c r="H1284" s="5">
        <f t="shared" si="19"/>
        <v>2.8703819661865949E-2</v>
      </c>
    </row>
    <row r="1285" spans="1:8" ht="13.5" x14ac:dyDescent="0.25">
      <c r="A1285" s="1"/>
      <c r="B1285" s="3">
        <v>44179</v>
      </c>
      <c r="C1285" s="4">
        <v>4.99</v>
      </c>
      <c r="D1285" s="4">
        <v>4.0824999999999996</v>
      </c>
      <c r="E1285" s="4">
        <v>3239</v>
      </c>
      <c r="F1285" s="4">
        <v>5.0125000000000002</v>
      </c>
      <c r="G1285" s="4">
        <v>16235.487499999999</v>
      </c>
      <c r="H1285" s="5">
        <f t="shared" si="19"/>
        <v>-5.9896277178545449E-3</v>
      </c>
    </row>
    <row r="1286" spans="1:8" ht="13.5" x14ac:dyDescent="0.25">
      <c r="A1286" s="1"/>
      <c r="B1286" s="3">
        <v>44180</v>
      </c>
      <c r="C1286" s="4">
        <v>4.8600000000000003</v>
      </c>
      <c r="D1286" s="4">
        <v>3.9762</v>
      </c>
      <c r="E1286" s="4">
        <v>5862</v>
      </c>
      <c r="F1286" s="4">
        <v>4.9039999999999999</v>
      </c>
      <c r="G1286" s="4">
        <v>28747.248</v>
      </c>
      <c r="H1286" s="5">
        <f t="shared" si="19"/>
        <v>-2.6037966932026854E-2</v>
      </c>
    </row>
    <row r="1287" spans="1:8" ht="13.5" x14ac:dyDescent="0.25">
      <c r="A1287" s="1"/>
      <c r="B1287" s="3">
        <v>44181</v>
      </c>
      <c r="C1287" s="4">
        <v>4.92</v>
      </c>
      <c r="D1287" s="4">
        <v>4.0252999999999997</v>
      </c>
      <c r="E1287" s="4">
        <v>2429</v>
      </c>
      <c r="F1287" s="4">
        <v>4.8573000000000004</v>
      </c>
      <c r="G1287" s="4">
        <v>11798.3817</v>
      </c>
      <c r="H1287" s="5">
        <f t="shared" ref="H1287:H1350" si="20">(D1287-D1286)/D1286</f>
        <v>1.2348473416830064E-2</v>
      </c>
    </row>
    <row r="1288" spans="1:8" ht="13.5" x14ac:dyDescent="0.25">
      <c r="A1288" s="1"/>
      <c r="B1288" s="3">
        <v>44182</v>
      </c>
      <c r="C1288" s="4">
        <v>4.9000000000000004</v>
      </c>
      <c r="D1288" s="4">
        <v>4.0088999999999997</v>
      </c>
      <c r="E1288" s="4">
        <v>2943</v>
      </c>
      <c r="F1288" s="4">
        <v>4.8169000000000004</v>
      </c>
      <c r="G1288" s="4">
        <v>14176.136699999999</v>
      </c>
      <c r="H1288" s="5">
        <f t="shared" si="20"/>
        <v>-4.0742304921372249E-3</v>
      </c>
    </row>
    <row r="1289" spans="1:8" ht="13.5" x14ac:dyDescent="0.25">
      <c r="A1289" s="1"/>
      <c r="B1289" s="3">
        <v>44183</v>
      </c>
      <c r="C1289" s="4">
        <v>4.9000000000000004</v>
      </c>
      <c r="D1289" s="4">
        <v>4.0088999999999997</v>
      </c>
      <c r="E1289" s="4">
        <v>1962</v>
      </c>
      <c r="F1289" s="4">
        <v>4.8505000000000003</v>
      </c>
      <c r="G1289" s="4">
        <v>9516.6810000000005</v>
      </c>
      <c r="H1289" s="5">
        <f t="shared" si="20"/>
        <v>0</v>
      </c>
    </row>
    <row r="1290" spans="1:8" ht="13.5" x14ac:dyDescent="0.25">
      <c r="A1290" s="1"/>
      <c r="B1290" s="3">
        <v>44186</v>
      </c>
      <c r="C1290" s="4">
        <v>4.99</v>
      </c>
      <c r="D1290" s="4">
        <v>4.0824999999999996</v>
      </c>
      <c r="E1290" s="4">
        <v>13967</v>
      </c>
      <c r="F1290" s="4">
        <v>4.8334000000000001</v>
      </c>
      <c r="G1290" s="4">
        <v>67508.097800000003</v>
      </c>
      <c r="H1290" s="5">
        <f t="shared" si="20"/>
        <v>1.8359150889271345E-2</v>
      </c>
    </row>
    <row r="1291" spans="1:8" ht="13.5" x14ac:dyDescent="0.25">
      <c r="A1291" s="1"/>
      <c r="B1291" s="3">
        <v>44187</v>
      </c>
      <c r="C1291" s="4">
        <v>5.09</v>
      </c>
      <c r="D1291" s="4">
        <v>4.1643999999999997</v>
      </c>
      <c r="E1291" s="4">
        <v>12449</v>
      </c>
      <c r="F1291" s="4">
        <v>5.1318000000000001</v>
      </c>
      <c r="G1291" s="4">
        <v>63885.778200000001</v>
      </c>
      <c r="H1291" s="5">
        <f t="shared" si="20"/>
        <v>2.0061236987140255E-2</v>
      </c>
    </row>
    <row r="1292" spans="1:8" ht="13.5" x14ac:dyDescent="0.25">
      <c r="A1292" s="1"/>
      <c r="B1292" s="3">
        <v>44188</v>
      </c>
      <c r="C1292" s="4">
        <v>4.97</v>
      </c>
      <c r="D1292" s="4">
        <v>4.0662000000000003</v>
      </c>
      <c r="E1292" s="4">
        <v>7015</v>
      </c>
      <c r="F1292" s="4">
        <v>4.9778000000000002</v>
      </c>
      <c r="G1292" s="4">
        <v>34919.267</v>
      </c>
      <c r="H1292" s="5">
        <f t="shared" si="20"/>
        <v>-2.3580827970415764E-2</v>
      </c>
    </row>
    <row r="1293" spans="1:8" ht="13.5" x14ac:dyDescent="0.25">
      <c r="A1293" s="1"/>
      <c r="B1293" s="3">
        <v>44189</v>
      </c>
      <c r="C1293" s="4">
        <v>4.99</v>
      </c>
      <c r="D1293" s="4">
        <v>4.0824999999999996</v>
      </c>
      <c r="E1293" s="4">
        <v>4892</v>
      </c>
      <c r="F1293" s="4">
        <v>4.9842000000000004</v>
      </c>
      <c r="G1293" s="4">
        <v>24382.706399999999</v>
      </c>
      <c r="H1293" s="5">
        <f t="shared" si="20"/>
        <v>4.0086567311001216E-3</v>
      </c>
    </row>
    <row r="1294" spans="1:8" ht="13.5" x14ac:dyDescent="0.25">
      <c r="A1294" s="1"/>
      <c r="B1294" s="3">
        <v>44190</v>
      </c>
      <c r="C1294" s="4">
        <v>4.9000000000000004</v>
      </c>
      <c r="D1294" s="4">
        <v>4.0088999999999997</v>
      </c>
      <c r="E1294" s="4">
        <v>5079</v>
      </c>
      <c r="F1294" s="4">
        <v>4.9785000000000004</v>
      </c>
      <c r="G1294" s="4">
        <v>25285.801500000001</v>
      </c>
      <c r="H1294" s="5">
        <f t="shared" si="20"/>
        <v>-1.802816901408448E-2</v>
      </c>
    </row>
    <row r="1295" spans="1:8" ht="13.5" x14ac:dyDescent="0.25">
      <c r="A1295" s="1"/>
      <c r="B1295" s="3">
        <v>44193</v>
      </c>
      <c r="C1295" s="4">
        <v>4.8499999999999996</v>
      </c>
      <c r="D1295" s="4">
        <v>3.968</v>
      </c>
      <c r="E1295" s="4">
        <v>2091</v>
      </c>
      <c r="F1295" s="4">
        <v>4.8986999999999998</v>
      </c>
      <c r="G1295" s="4">
        <v>10243.181699999999</v>
      </c>
      <c r="H1295" s="5">
        <f t="shared" si="20"/>
        <v>-1.0202299882760786E-2</v>
      </c>
    </row>
    <row r="1296" spans="1:8" ht="13.5" x14ac:dyDescent="0.25">
      <c r="A1296" s="1"/>
      <c r="B1296" s="3">
        <v>44194</v>
      </c>
      <c r="C1296" s="4">
        <v>4.9000000000000004</v>
      </c>
      <c r="D1296" s="4">
        <v>4.0088999999999997</v>
      </c>
      <c r="E1296" s="4">
        <v>2336</v>
      </c>
      <c r="F1296" s="4">
        <v>4.8518999999999997</v>
      </c>
      <c r="G1296" s="4">
        <v>11334.038399999999</v>
      </c>
      <c r="H1296" s="5">
        <f t="shared" si="20"/>
        <v>1.0307459677419284E-2</v>
      </c>
    </row>
    <row r="1297" spans="1:8" ht="13.5" x14ac:dyDescent="0.25">
      <c r="A1297" s="1"/>
      <c r="B1297" s="3">
        <v>44195</v>
      </c>
      <c r="C1297" s="4">
        <v>4.88</v>
      </c>
      <c r="D1297" s="4">
        <v>3.9925000000000002</v>
      </c>
      <c r="E1297" s="4">
        <v>2111</v>
      </c>
      <c r="F1297" s="4">
        <v>4.8189000000000002</v>
      </c>
      <c r="G1297" s="4">
        <v>10172.697899999999</v>
      </c>
      <c r="H1297" s="5">
        <f t="shared" si="20"/>
        <v>-4.0908977525005684E-3</v>
      </c>
    </row>
    <row r="1298" spans="1:8" ht="13.5" x14ac:dyDescent="0.25">
      <c r="A1298" s="1"/>
      <c r="B1298" s="3">
        <v>44196</v>
      </c>
      <c r="C1298" s="4">
        <v>4.88</v>
      </c>
      <c r="D1298" s="4">
        <v>3.9925000000000002</v>
      </c>
      <c r="E1298" s="4">
        <v>3196</v>
      </c>
      <c r="F1298" s="4">
        <v>4.8398000000000003</v>
      </c>
      <c r="G1298" s="4">
        <v>15468.0008</v>
      </c>
      <c r="H1298" s="5">
        <f t="shared" si="20"/>
        <v>0</v>
      </c>
    </row>
    <row r="1299" spans="1:8" ht="13.5" x14ac:dyDescent="0.25">
      <c r="A1299" s="1"/>
      <c r="B1299" s="3">
        <v>44200</v>
      </c>
      <c r="C1299" s="4">
        <v>4.84</v>
      </c>
      <c r="D1299" s="4">
        <v>3.9598</v>
      </c>
      <c r="E1299" s="4">
        <v>2429</v>
      </c>
      <c r="F1299" s="4">
        <v>4.8055000000000003</v>
      </c>
      <c r="G1299" s="4">
        <v>11672.559499999999</v>
      </c>
      <c r="H1299" s="5">
        <f t="shared" si="20"/>
        <v>-8.1903569192235872E-3</v>
      </c>
    </row>
    <row r="1300" spans="1:8" ht="13.5" x14ac:dyDescent="0.25">
      <c r="A1300" s="1"/>
      <c r="B1300" s="3">
        <v>44201</v>
      </c>
      <c r="C1300" s="4">
        <v>4.79</v>
      </c>
      <c r="D1300" s="4">
        <v>3.9188999999999998</v>
      </c>
      <c r="E1300" s="4">
        <v>1076</v>
      </c>
      <c r="F1300" s="4">
        <v>4.7516999999999996</v>
      </c>
      <c r="G1300" s="4">
        <v>5112.8292000000001</v>
      </c>
      <c r="H1300" s="5">
        <f t="shared" si="20"/>
        <v>-1.0328804485075043E-2</v>
      </c>
    </row>
    <row r="1301" spans="1:8" ht="13.5" x14ac:dyDescent="0.25">
      <c r="A1301" s="1"/>
      <c r="B1301" s="3">
        <v>44202</v>
      </c>
      <c r="C1301" s="4">
        <v>4.62</v>
      </c>
      <c r="D1301" s="4">
        <v>3.7797999999999998</v>
      </c>
      <c r="E1301" s="4">
        <v>4655</v>
      </c>
      <c r="F1301" s="4">
        <v>4.6601999999999997</v>
      </c>
      <c r="G1301" s="4">
        <v>21693.231</v>
      </c>
      <c r="H1301" s="5">
        <f t="shared" si="20"/>
        <v>-3.5494654112123304E-2</v>
      </c>
    </row>
    <row r="1302" spans="1:8" ht="13.5" x14ac:dyDescent="0.25">
      <c r="A1302" s="1"/>
      <c r="B1302" s="3">
        <v>44203</v>
      </c>
      <c r="C1302" s="4">
        <v>4.62</v>
      </c>
      <c r="D1302" s="4">
        <v>3.7797999999999998</v>
      </c>
      <c r="E1302" s="4">
        <v>5568</v>
      </c>
      <c r="F1302" s="4">
        <v>4.6181999999999999</v>
      </c>
      <c r="G1302" s="4">
        <v>25714.137599999998</v>
      </c>
      <c r="H1302" s="5">
        <f t="shared" si="20"/>
        <v>0</v>
      </c>
    </row>
    <row r="1303" spans="1:8" ht="13.5" x14ac:dyDescent="0.25">
      <c r="A1303" s="1"/>
      <c r="B1303" s="3">
        <v>44204</v>
      </c>
      <c r="C1303" s="4">
        <v>4.7</v>
      </c>
      <c r="D1303" s="4">
        <v>3.8452999999999999</v>
      </c>
      <c r="E1303" s="4">
        <v>4601</v>
      </c>
      <c r="F1303" s="4">
        <v>4.5955000000000004</v>
      </c>
      <c r="G1303" s="4">
        <v>21143.895499999999</v>
      </c>
      <c r="H1303" s="5">
        <f t="shared" si="20"/>
        <v>1.7328959204190728E-2</v>
      </c>
    </row>
    <row r="1304" spans="1:8" ht="13.5" x14ac:dyDescent="0.25">
      <c r="A1304" s="1"/>
      <c r="B1304" s="3">
        <v>44207</v>
      </c>
      <c r="C1304" s="4">
        <v>4.79</v>
      </c>
      <c r="D1304" s="4">
        <v>3.9188999999999998</v>
      </c>
      <c r="E1304" s="4">
        <v>13866</v>
      </c>
      <c r="F1304" s="4">
        <v>4.7001999999999997</v>
      </c>
      <c r="G1304" s="4">
        <v>65172.9732</v>
      </c>
      <c r="H1304" s="5">
        <f t="shared" si="20"/>
        <v>1.9140249135308009E-2</v>
      </c>
    </row>
    <row r="1305" spans="1:8" ht="13.5" x14ac:dyDescent="0.25">
      <c r="A1305" s="1"/>
      <c r="B1305" s="3">
        <v>44208</v>
      </c>
      <c r="C1305" s="4">
        <v>4.78</v>
      </c>
      <c r="D1305" s="4">
        <v>3.9106999999999998</v>
      </c>
      <c r="E1305" s="4">
        <v>2064</v>
      </c>
      <c r="F1305" s="4">
        <v>4.7167000000000003</v>
      </c>
      <c r="G1305" s="4">
        <v>9735.2687999999998</v>
      </c>
      <c r="H1305" s="5">
        <f t="shared" si="20"/>
        <v>-2.0924238944601764E-3</v>
      </c>
    </row>
    <row r="1306" spans="1:8" ht="13.5" x14ac:dyDescent="0.25">
      <c r="A1306" s="1"/>
      <c r="B1306" s="3">
        <v>44209</v>
      </c>
      <c r="C1306" s="4">
        <v>4.7</v>
      </c>
      <c r="D1306" s="4">
        <v>3.8452999999999999</v>
      </c>
      <c r="E1306" s="4">
        <v>2201</v>
      </c>
      <c r="F1306" s="4">
        <v>4.6543999999999999</v>
      </c>
      <c r="G1306" s="4">
        <v>10244.3344</v>
      </c>
      <c r="H1306" s="5">
        <f t="shared" si="20"/>
        <v>-1.6723348761091342E-2</v>
      </c>
    </row>
    <row r="1307" spans="1:8" ht="13.5" x14ac:dyDescent="0.25">
      <c r="A1307" s="1"/>
      <c r="B1307" s="3">
        <v>44211</v>
      </c>
      <c r="C1307" s="4">
        <v>4.5999999999999996</v>
      </c>
      <c r="D1307" s="4">
        <v>3.7635000000000001</v>
      </c>
      <c r="E1307" s="4">
        <v>2165</v>
      </c>
      <c r="F1307" s="4">
        <v>4.6372999999999998</v>
      </c>
      <c r="G1307" s="4">
        <v>10039.754499999999</v>
      </c>
      <c r="H1307" s="5">
        <f t="shared" si="20"/>
        <v>-2.1272722544404824E-2</v>
      </c>
    </row>
    <row r="1308" spans="1:8" ht="13.5" x14ac:dyDescent="0.25">
      <c r="A1308" s="1"/>
      <c r="B1308" s="3">
        <v>44214</v>
      </c>
      <c r="C1308" s="4">
        <v>4.5999999999999996</v>
      </c>
      <c r="D1308" s="4">
        <v>3.7635000000000001</v>
      </c>
      <c r="E1308" s="4">
        <v>1106</v>
      </c>
      <c r="F1308" s="4">
        <v>4.5617999999999999</v>
      </c>
      <c r="G1308" s="4">
        <v>5045.3508000000002</v>
      </c>
      <c r="H1308" s="5">
        <f t="shared" si="20"/>
        <v>0</v>
      </c>
    </row>
    <row r="1309" spans="1:8" ht="13.5" x14ac:dyDescent="0.25">
      <c r="A1309" s="1"/>
      <c r="B1309" s="3">
        <v>44215</v>
      </c>
      <c r="C1309" s="4">
        <v>4.6500000000000004</v>
      </c>
      <c r="D1309" s="4">
        <v>3.8043999999999998</v>
      </c>
      <c r="E1309" s="4">
        <v>1955</v>
      </c>
      <c r="F1309" s="4">
        <v>4.6359000000000004</v>
      </c>
      <c r="G1309" s="4">
        <v>9063.1844999999994</v>
      </c>
      <c r="H1309" s="5">
        <f t="shared" si="20"/>
        <v>1.086754351003048E-2</v>
      </c>
    </row>
    <row r="1310" spans="1:8" ht="13.5" x14ac:dyDescent="0.25">
      <c r="A1310" s="1"/>
      <c r="B1310" s="3">
        <v>44216</v>
      </c>
      <c r="C1310" s="4">
        <v>4.6900000000000004</v>
      </c>
      <c r="D1310" s="4">
        <v>3.8371</v>
      </c>
      <c r="E1310" s="4">
        <v>1442</v>
      </c>
      <c r="F1310" s="4">
        <v>4.6590999999999996</v>
      </c>
      <c r="G1310" s="4">
        <v>6718.4222</v>
      </c>
      <c r="H1310" s="5">
        <f t="shared" si="20"/>
        <v>8.5953106928819724E-3</v>
      </c>
    </row>
    <row r="1311" spans="1:8" ht="13.5" x14ac:dyDescent="0.25">
      <c r="A1311" s="1"/>
      <c r="B1311" s="3">
        <v>44217</v>
      </c>
      <c r="C1311" s="4">
        <v>4.6500000000000004</v>
      </c>
      <c r="D1311" s="4">
        <v>3.8043999999999998</v>
      </c>
      <c r="E1311" s="4">
        <v>1694</v>
      </c>
      <c r="F1311" s="4">
        <v>4.5716999999999999</v>
      </c>
      <c r="G1311" s="4">
        <v>7744.4597999999996</v>
      </c>
      <c r="H1311" s="5">
        <f t="shared" si="20"/>
        <v>-8.5220609314326373E-3</v>
      </c>
    </row>
    <row r="1312" spans="1:8" ht="13.5" x14ac:dyDescent="0.25">
      <c r="A1312" s="1"/>
      <c r="B1312" s="3">
        <v>44218</v>
      </c>
      <c r="C1312" s="4">
        <v>4.5999999999999996</v>
      </c>
      <c r="D1312" s="4">
        <v>3.7635000000000001</v>
      </c>
      <c r="E1312" s="4">
        <v>3395</v>
      </c>
      <c r="F1312" s="4">
        <v>4.5429000000000004</v>
      </c>
      <c r="G1312" s="4">
        <v>15423.145500000001</v>
      </c>
      <c r="H1312" s="5">
        <f t="shared" si="20"/>
        <v>-1.0750709704552549E-2</v>
      </c>
    </row>
    <row r="1313" spans="1:8" ht="13.5" x14ac:dyDescent="0.25">
      <c r="A1313" s="1"/>
      <c r="B1313" s="3">
        <v>44221</v>
      </c>
      <c r="C1313" s="4">
        <v>4.54</v>
      </c>
      <c r="D1313" s="4">
        <v>3.7143999999999999</v>
      </c>
      <c r="E1313" s="4">
        <v>810</v>
      </c>
      <c r="F1313" s="4">
        <v>4.5503</v>
      </c>
      <c r="G1313" s="4">
        <v>3685.7429999999999</v>
      </c>
      <c r="H1313" s="5">
        <f t="shared" si="20"/>
        <v>-1.3046366414242099E-2</v>
      </c>
    </row>
    <row r="1314" spans="1:8" ht="13.5" x14ac:dyDescent="0.25">
      <c r="A1314" s="1"/>
      <c r="B1314" s="3">
        <v>44222</v>
      </c>
      <c r="C1314" s="4">
        <v>4.5</v>
      </c>
      <c r="D1314" s="4">
        <v>3.6816</v>
      </c>
      <c r="E1314" s="4">
        <v>4592</v>
      </c>
      <c r="F1314" s="4">
        <v>4.4558999999999997</v>
      </c>
      <c r="G1314" s="4">
        <v>20461.4928</v>
      </c>
      <c r="H1314" s="5">
        <f t="shared" si="20"/>
        <v>-8.8304975231531177E-3</v>
      </c>
    </row>
    <row r="1315" spans="1:8" ht="13.5" x14ac:dyDescent="0.25">
      <c r="A1315" s="1"/>
      <c r="B1315" s="3">
        <v>44223</v>
      </c>
      <c r="C1315" s="4">
        <v>4.54</v>
      </c>
      <c r="D1315" s="4">
        <v>3.7143999999999999</v>
      </c>
      <c r="E1315" s="4">
        <v>1244</v>
      </c>
      <c r="F1315" s="4">
        <v>4.4633000000000003</v>
      </c>
      <c r="G1315" s="4">
        <v>5552.3451999999997</v>
      </c>
      <c r="H1315" s="5">
        <f t="shared" si="20"/>
        <v>8.9091699261190632E-3</v>
      </c>
    </row>
    <row r="1316" spans="1:8" ht="13.5" x14ac:dyDescent="0.25">
      <c r="A1316" s="1"/>
      <c r="B1316" s="3">
        <v>44224</v>
      </c>
      <c r="C1316" s="4">
        <v>4.41</v>
      </c>
      <c r="D1316" s="4">
        <v>3.6080000000000001</v>
      </c>
      <c r="E1316" s="4">
        <v>1888</v>
      </c>
      <c r="F1316" s="4">
        <v>4.4104000000000001</v>
      </c>
      <c r="G1316" s="4">
        <v>8326.8351999999995</v>
      </c>
      <c r="H1316" s="5">
        <f t="shared" si="20"/>
        <v>-2.8645272453155242E-2</v>
      </c>
    </row>
    <row r="1317" spans="1:8" ht="13.5" x14ac:dyDescent="0.25">
      <c r="A1317" s="1"/>
      <c r="B1317" s="3">
        <v>44225</v>
      </c>
      <c r="C1317" s="4">
        <v>4.4000000000000004</v>
      </c>
      <c r="D1317" s="4">
        <v>3.5998000000000001</v>
      </c>
      <c r="E1317" s="4">
        <v>2874</v>
      </c>
      <c r="F1317" s="4">
        <v>4.4010999999999996</v>
      </c>
      <c r="G1317" s="4">
        <v>12648.761399999999</v>
      </c>
      <c r="H1317" s="5">
        <f t="shared" si="20"/>
        <v>-2.2727272727272687E-3</v>
      </c>
    </row>
    <row r="1318" spans="1:8" ht="13.5" x14ac:dyDescent="0.25">
      <c r="A1318" s="1"/>
      <c r="B1318" s="3">
        <v>44228</v>
      </c>
      <c r="C1318" s="4">
        <v>4.4000000000000004</v>
      </c>
      <c r="D1318" s="4">
        <v>3.5998000000000001</v>
      </c>
      <c r="E1318" s="4">
        <v>2398</v>
      </c>
      <c r="F1318" s="4">
        <v>4.4024000000000001</v>
      </c>
      <c r="G1318" s="4">
        <v>10556.9552</v>
      </c>
      <c r="H1318" s="5">
        <f t="shared" si="20"/>
        <v>0</v>
      </c>
    </row>
    <row r="1319" spans="1:8" ht="13.5" x14ac:dyDescent="0.25">
      <c r="A1319" s="1"/>
      <c r="B1319" s="3">
        <v>44229</v>
      </c>
      <c r="C1319" s="4">
        <v>4.4000000000000004</v>
      </c>
      <c r="D1319" s="4">
        <v>3.5998000000000001</v>
      </c>
      <c r="E1319" s="4">
        <v>1586</v>
      </c>
      <c r="F1319" s="4">
        <v>4.3441000000000001</v>
      </c>
      <c r="G1319" s="4">
        <v>6889.7425999999996</v>
      </c>
      <c r="H1319" s="5">
        <f t="shared" si="20"/>
        <v>0</v>
      </c>
    </row>
    <row r="1320" spans="1:8" ht="13.5" x14ac:dyDescent="0.25">
      <c r="A1320" s="1"/>
      <c r="B1320" s="3">
        <v>44230</v>
      </c>
      <c r="C1320" s="4">
        <v>4.38</v>
      </c>
      <c r="D1320" s="4">
        <v>3.5834999999999999</v>
      </c>
      <c r="E1320" s="4">
        <v>34</v>
      </c>
      <c r="F1320" s="4">
        <v>4.4020999999999999</v>
      </c>
      <c r="G1320" s="4">
        <v>149.67140000000001</v>
      </c>
      <c r="H1320" s="5">
        <f t="shared" si="20"/>
        <v>-4.5280293349631096E-3</v>
      </c>
    </row>
    <row r="1321" spans="1:8" ht="13.5" x14ac:dyDescent="0.25">
      <c r="A1321" s="1"/>
      <c r="B1321" s="3">
        <v>44231</v>
      </c>
      <c r="C1321" s="4">
        <v>4.3499999999999996</v>
      </c>
      <c r="D1321" s="4">
        <v>3.5589</v>
      </c>
      <c r="E1321" s="4">
        <v>1010</v>
      </c>
      <c r="F1321" s="4">
        <v>4.2797000000000001</v>
      </c>
      <c r="G1321" s="4">
        <v>4322.4970000000003</v>
      </c>
      <c r="H1321" s="5">
        <f t="shared" si="20"/>
        <v>-6.8647969861866769E-3</v>
      </c>
    </row>
    <row r="1322" spans="1:8" ht="13.5" x14ac:dyDescent="0.25">
      <c r="A1322" s="1"/>
      <c r="B1322" s="3">
        <v>44232</v>
      </c>
      <c r="C1322" s="4">
        <v>4.32</v>
      </c>
      <c r="D1322" s="4">
        <v>3.5344000000000002</v>
      </c>
      <c r="E1322" s="4">
        <v>1106</v>
      </c>
      <c r="F1322" s="4">
        <v>4.2466999999999997</v>
      </c>
      <c r="G1322" s="4">
        <v>4696.8501999999999</v>
      </c>
      <c r="H1322" s="5">
        <f t="shared" si="20"/>
        <v>-6.8841495967854518E-3</v>
      </c>
    </row>
    <row r="1323" spans="1:8" ht="13.5" x14ac:dyDescent="0.25">
      <c r="A1323" s="1"/>
      <c r="B1323" s="3">
        <v>44235</v>
      </c>
      <c r="C1323" s="4">
        <v>4.3099999999999996</v>
      </c>
      <c r="D1323" s="4">
        <v>3.5261999999999998</v>
      </c>
      <c r="E1323" s="4">
        <v>201</v>
      </c>
      <c r="F1323" s="4">
        <v>4.3106</v>
      </c>
      <c r="G1323" s="4">
        <v>866.43060000000003</v>
      </c>
      <c r="H1323" s="5">
        <f t="shared" si="20"/>
        <v>-2.320054323223299E-3</v>
      </c>
    </row>
    <row r="1324" spans="1:8" ht="13.5" x14ac:dyDescent="0.25">
      <c r="A1324" s="1"/>
      <c r="B1324" s="3">
        <v>44236</v>
      </c>
      <c r="C1324" s="4">
        <v>4.22</v>
      </c>
      <c r="D1324" s="4">
        <v>3.4525999999999999</v>
      </c>
      <c r="E1324" s="4">
        <v>5410</v>
      </c>
      <c r="F1324" s="4">
        <v>4.2435</v>
      </c>
      <c r="G1324" s="4">
        <v>22957.334999999999</v>
      </c>
      <c r="H1324" s="5">
        <f t="shared" si="20"/>
        <v>-2.0872327151040749E-2</v>
      </c>
    </row>
    <row r="1325" spans="1:8" ht="13.5" x14ac:dyDescent="0.25">
      <c r="A1325" s="1"/>
      <c r="B1325" s="3">
        <v>44237</v>
      </c>
      <c r="C1325" s="4">
        <v>4.4000000000000004</v>
      </c>
      <c r="D1325" s="4">
        <v>3.5998000000000001</v>
      </c>
      <c r="E1325" s="4">
        <v>30527</v>
      </c>
      <c r="F1325" s="4">
        <v>4.2830000000000004</v>
      </c>
      <c r="G1325" s="4">
        <v>130747.141</v>
      </c>
      <c r="H1325" s="5">
        <f t="shared" si="20"/>
        <v>4.2634536291490534E-2</v>
      </c>
    </row>
    <row r="1326" spans="1:8" ht="13.5" x14ac:dyDescent="0.25">
      <c r="A1326" s="1"/>
      <c r="B1326" s="3">
        <v>44238</v>
      </c>
      <c r="C1326" s="4">
        <v>4.5</v>
      </c>
      <c r="D1326" s="4">
        <v>3.6816</v>
      </c>
      <c r="E1326" s="4">
        <v>2897</v>
      </c>
      <c r="F1326" s="4">
        <v>4.4531999999999998</v>
      </c>
      <c r="G1326" s="4">
        <v>12900.920400000001</v>
      </c>
      <c r="H1326" s="5">
        <f t="shared" si="20"/>
        <v>2.2723484638035411E-2</v>
      </c>
    </row>
    <row r="1327" spans="1:8" ht="13.5" x14ac:dyDescent="0.25">
      <c r="A1327" s="1"/>
      <c r="B1327" s="3">
        <v>44239</v>
      </c>
      <c r="C1327" s="4">
        <v>4.45</v>
      </c>
      <c r="D1327" s="4">
        <v>3.6406999999999998</v>
      </c>
      <c r="E1327" s="4">
        <v>4044</v>
      </c>
      <c r="F1327" s="4">
        <v>4.4606000000000003</v>
      </c>
      <c r="G1327" s="4">
        <v>18038.666399999998</v>
      </c>
      <c r="H1327" s="5">
        <f t="shared" si="20"/>
        <v>-1.1109300304215601E-2</v>
      </c>
    </row>
    <row r="1328" spans="1:8" ht="13.5" x14ac:dyDescent="0.25">
      <c r="A1328" s="1"/>
      <c r="B1328" s="3">
        <v>44242</v>
      </c>
      <c r="C1328" s="4">
        <v>4.32</v>
      </c>
      <c r="D1328" s="4">
        <v>3.5344000000000002</v>
      </c>
      <c r="E1328" s="4">
        <v>2683</v>
      </c>
      <c r="F1328" s="4">
        <v>4.3880999999999997</v>
      </c>
      <c r="G1328" s="4">
        <v>11773.272300000001</v>
      </c>
      <c r="H1328" s="5">
        <f t="shared" si="20"/>
        <v>-2.9197681764495734E-2</v>
      </c>
    </row>
    <row r="1329" spans="1:8" ht="13.5" x14ac:dyDescent="0.25">
      <c r="A1329" s="1"/>
      <c r="B1329" s="3">
        <v>44243</v>
      </c>
      <c r="C1329" s="4">
        <v>4.24</v>
      </c>
      <c r="D1329" s="4">
        <v>3.4689000000000001</v>
      </c>
      <c r="E1329" s="4">
        <v>493</v>
      </c>
      <c r="F1329" s="4">
        <v>4.2891000000000004</v>
      </c>
      <c r="G1329" s="4">
        <v>2114.5263</v>
      </c>
      <c r="H1329" s="5">
        <f t="shared" si="20"/>
        <v>-1.8532141240380294E-2</v>
      </c>
    </row>
    <row r="1330" spans="1:8" ht="13.5" x14ac:dyDescent="0.25">
      <c r="A1330" s="1"/>
      <c r="B1330" s="3">
        <v>44244</v>
      </c>
      <c r="C1330" s="4">
        <v>4.4000000000000004</v>
      </c>
      <c r="D1330" s="4">
        <v>3.5998000000000001</v>
      </c>
      <c r="E1330" s="4">
        <v>195</v>
      </c>
      <c r="F1330" s="4">
        <v>4.3840000000000003</v>
      </c>
      <c r="G1330" s="4">
        <v>854.88</v>
      </c>
      <c r="H1330" s="5">
        <f t="shared" si="20"/>
        <v>3.7735305139957917E-2</v>
      </c>
    </row>
    <row r="1331" spans="1:8" ht="13.5" x14ac:dyDescent="0.25">
      <c r="A1331" s="1"/>
      <c r="B1331" s="3">
        <v>44245</v>
      </c>
      <c r="C1331" s="4">
        <v>4.4400000000000004</v>
      </c>
      <c r="D1331" s="4">
        <v>3.6326000000000001</v>
      </c>
      <c r="E1331" s="4">
        <v>3755</v>
      </c>
      <c r="F1331" s="4">
        <v>4.3644999999999996</v>
      </c>
      <c r="G1331" s="4">
        <v>16388.697499999998</v>
      </c>
      <c r="H1331" s="5">
        <f t="shared" si="20"/>
        <v>9.1116173120728769E-3</v>
      </c>
    </row>
    <row r="1332" spans="1:8" ht="13.5" x14ac:dyDescent="0.25">
      <c r="A1332" s="1"/>
      <c r="B1332" s="3">
        <v>44246</v>
      </c>
      <c r="C1332" s="4">
        <v>4.3</v>
      </c>
      <c r="D1332" s="4">
        <v>3.5179999999999998</v>
      </c>
      <c r="E1332" s="4">
        <v>13134</v>
      </c>
      <c r="F1332" s="4">
        <v>4.3034999999999997</v>
      </c>
      <c r="G1332" s="4">
        <v>56522.169000000002</v>
      </c>
      <c r="H1332" s="5">
        <f t="shared" si="20"/>
        <v>-3.1547651819633392E-2</v>
      </c>
    </row>
    <row r="1333" spans="1:8" ht="13.5" x14ac:dyDescent="0.25">
      <c r="A1333" s="1"/>
      <c r="B1333" s="3">
        <v>44249</v>
      </c>
      <c r="C1333" s="4">
        <v>4.24</v>
      </c>
      <c r="D1333" s="4">
        <v>3.4689000000000001</v>
      </c>
      <c r="E1333" s="4">
        <v>5111</v>
      </c>
      <c r="F1333" s="4">
        <v>4.1544999999999996</v>
      </c>
      <c r="G1333" s="4">
        <v>21233.6495</v>
      </c>
      <c r="H1333" s="5">
        <f t="shared" si="20"/>
        <v>-1.3956793632745794E-2</v>
      </c>
    </row>
    <row r="1334" spans="1:8" ht="13.5" x14ac:dyDescent="0.25">
      <c r="A1334" s="1"/>
      <c r="B1334" s="3">
        <v>44250</v>
      </c>
      <c r="C1334" s="4">
        <v>4.1399999999999997</v>
      </c>
      <c r="D1334" s="4">
        <v>3.3871000000000002</v>
      </c>
      <c r="E1334" s="4">
        <v>7629</v>
      </c>
      <c r="F1334" s="4">
        <v>4.1256000000000004</v>
      </c>
      <c r="G1334" s="4">
        <v>31474.202399999998</v>
      </c>
      <c r="H1334" s="5">
        <f t="shared" si="20"/>
        <v>-2.3580962264694822E-2</v>
      </c>
    </row>
    <row r="1335" spans="1:8" ht="13.5" x14ac:dyDescent="0.25">
      <c r="A1335" s="1"/>
      <c r="B1335" s="3">
        <v>44251</v>
      </c>
      <c r="C1335" s="4">
        <v>4.1399999999999997</v>
      </c>
      <c r="D1335" s="4">
        <v>3.3871000000000002</v>
      </c>
      <c r="E1335" s="4">
        <v>3725</v>
      </c>
      <c r="F1335" s="4">
        <v>4.1402999999999999</v>
      </c>
      <c r="G1335" s="4">
        <v>15422.6175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3.98</v>
      </c>
      <c r="D1336" s="4">
        <v>3.2562000000000002</v>
      </c>
      <c r="E1336" s="4">
        <v>19605</v>
      </c>
      <c r="F1336" s="4">
        <v>4.0072000000000001</v>
      </c>
      <c r="G1336" s="4">
        <v>78561.156000000003</v>
      </c>
      <c r="H1336" s="5">
        <f t="shared" si="20"/>
        <v>-3.8646629860352513E-2</v>
      </c>
    </row>
    <row r="1337" spans="1:8" ht="13.5" x14ac:dyDescent="0.25">
      <c r="A1337" s="1"/>
      <c r="B1337" s="3">
        <v>44253</v>
      </c>
      <c r="C1337" s="4">
        <v>3.95</v>
      </c>
      <c r="D1337" s="4">
        <v>3.2317</v>
      </c>
      <c r="E1337" s="4">
        <v>843</v>
      </c>
      <c r="F1337" s="4">
        <v>3.9420999999999999</v>
      </c>
      <c r="G1337" s="4">
        <v>3323.1903000000002</v>
      </c>
      <c r="H1337" s="5">
        <f t="shared" si="20"/>
        <v>-7.524107855782872E-3</v>
      </c>
    </row>
    <row r="1338" spans="1:8" ht="13.5" x14ac:dyDescent="0.25">
      <c r="A1338" s="1"/>
      <c r="B1338" s="3">
        <v>44256</v>
      </c>
      <c r="C1338" s="4">
        <v>3.87</v>
      </c>
      <c r="D1338" s="4">
        <v>3.1661999999999999</v>
      </c>
      <c r="E1338" s="4">
        <v>2480</v>
      </c>
      <c r="F1338" s="4">
        <v>3.8813</v>
      </c>
      <c r="G1338" s="4">
        <v>9625.6239999999998</v>
      </c>
      <c r="H1338" s="5">
        <f t="shared" si="20"/>
        <v>-2.0267970418046264E-2</v>
      </c>
    </row>
    <row r="1339" spans="1:8" ht="13.5" x14ac:dyDescent="0.25">
      <c r="A1339" s="1"/>
      <c r="B1339" s="3">
        <v>44257</v>
      </c>
      <c r="C1339" s="4">
        <v>3.96</v>
      </c>
      <c r="D1339" s="4">
        <v>3.2399</v>
      </c>
      <c r="E1339" s="4">
        <v>11977</v>
      </c>
      <c r="F1339" s="4">
        <v>3.8565</v>
      </c>
      <c r="G1339" s="4">
        <v>46189.300499999998</v>
      </c>
      <c r="H1339" s="5">
        <f t="shared" si="20"/>
        <v>2.3277114522140138E-2</v>
      </c>
    </row>
    <row r="1340" spans="1:8" ht="13.5" x14ac:dyDescent="0.25">
      <c r="A1340" s="1"/>
      <c r="B1340" s="3">
        <v>44258</v>
      </c>
      <c r="C1340" s="4">
        <v>3.98</v>
      </c>
      <c r="D1340" s="4">
        <v>3.2562000000000002</v>
      </c>
      <c r="E1340" s="4">
        <v>1817</v>
      </c>
      <c r="F1340" s="4">
        <v>3.9641999999999999</v>
      </c>
      <c r="G1340" s="4">
        <v>7202.9513999999999</v>
      </c>
      <c r="H1340" s="5">
        <f t="shared" si="20"/>
        <v>5.0310194759098127E-3</v>
      </c>
    </row>
    <row r="1341" spans="1:8" ht="13.5" x14ac:dyDescent="0.25">
      <c r="A1341" s="1"/>
      <c r="B1341" s="3">
        <v>44259</v>
      </c>
      <c r="C1341" s="4">
        <v>3.92</v>
      </c>
      <c r="D1341" s="4">
        <v>3.2071000000000001</v>
      </c>
      <c r="E1341" s="4">
        <v>3609</v>
      </c>
      <c r="F1341" s="4">
        <v>3.9403999999999999</v>
      </c>
      <c r="G1341" s="4">
        <v>14220.9036</v>
      </c>
      <c r="H1341" s="5">
        <f t="shared" si="20"/>
        <v>-1.5078926355874989E-2</v>
      </c>
    </row>
    <row r="1342" spans="1:8" ht="13.5" x14ac:dyDescent="0.25">
      <c r="A1342" s="1"/>
      <c r="B1342" s="3">
        <v>44260</v>
      </c>
      <c r="C1342" s="4">
        <v>3.9</v>
      </c>
      <c r="D1342" s="4">
        <v>3.1907999999999999</v>
      </c>
      <c r="E1342" s="4">
        <v>12523</v>
      </c>
      <c r="F1342" s="4">
        <v>3.8437000000000001</v>
      </c>
      <c r="G1342" s="4">
        <v>48134.655100000004</v>
      </c>
      <c r="H1342" s="5">
        <f t="shared" si="20"/>
        <v>-5.0824732624490049E-3</v>
      </c>
    </row>
    <row r="1343" spans="1:8" ht="13.5" x14ac:dyDescent="0.25">
      <c r="A1343" s="1"/>
      <c r="B1343" s="3">
        <v>44263</v>
      </c>
      <c r="C1343" s="4">
        <v>3.9</v>
      </c>
      <c r="D1343" s="4">
        <v>3.1907999999999999</v>
      </c>
      <c r="E1343" s="4">
        <v>4476</v>
      </c>
      <c r="F1343" s="4">
        <v>3.7866</v>
      </c>
      <c r="G1343" s="4">
        <v>16948.821599999999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3.89</v>
      </c>
      <c r="D1344" s="4">
        <v>3.1825999999999999</v>
      </c>
      <c r="E1344" s="4">
        <v>852</v>
      </c>
      <c r="F1344" s="4">
        <v>3.7900999999999998</v>
      </c>
      <c r="G1344" s="4">
        <v>3229.1651999999999</v>
      </c>
      <c r="H1344" s="5">
        <f t="shared" si="20"/>
        <v>-2.5698884292340435E-3</v>
      </c>
    </row>
    <row r="1345" spans="1:8" ht="13.5" x14ac:dyDescent="0.25">
      <c r="A1345" s="1"/>
      <c r="B1345" s="3">
        <v>44265</v>
      </c>
      <c r="C1345" s="4">
        <v>4.12</v>
      </c>
      <c r="D1345" s="4">
        <v>3.3708</v>
      </c>
      <c r="E1345" s="4">
        <v>7096</v>
      </c>
      <c r="F1345" s="4">
        <v>4.0057</v>
      </c>
      <c r="G1345" s="4">
        <v>28424.447199999999</v>
      </c>
      <c r="H1345" s="5">
        <f t="shared" si="20"/>
        <v>5.9134041349839801E-2</v>
      </c>
    </row>
    <row r="1346" spans="1:8" ht="13.5" x14ac:dyDescent="0.25">
      <c r="A1346" s="1"/>
      <c r="B1346" s="3">
        <v>44266</v>
      </c>
      <c r="C1346" s="4">
        <v>4.3</v>
      </c>
      <c r="D1346" s="4">
        <v>3.5179999999999998</v>
      </c>
      <c r="E1346" s="4">
        <v>49610</v>
      </c>
      <c r="F1346" s="4">
        <v>4.2350000000000003</v>
      </c>
      <c r="G1346" s="4">
        <v>210098.35</v>
      </c>
      <c r="H1346" s="5">
        <f t="shared" si="20"/>
        <v>4.3669158656698639E-2</v>
      </c>
    </row>
    <row r="1347" spans="1:8" ht="13.5" x14ac:dyDescent="0.25">
      <c r="A1347" s="1"/>
      <c r="B1347" s="3">
        <v>44267</v>
      </c>
      <c r="C1347" s="4">
        <v>4.28</v>
      </c>
      <c r="D1347" s="4">
        <v>3.5017</v>
      </c>
      <c r="E1347" s="4">
        <v>997</v>
      </c>
      <c r="F1347" s="4">
        <v>4.2281000000000004</v>
      </c>
      <c r="G1347" s="4">
        <v>4215.4156999999996</v>
      </c>
      <c r="H1347" s="5">
        <f t="shared" si="20"/>
        <v>-4.6333143831721888E-3</v>
      </c>
    </row>
    <row r="1348" spans="1:8" ht="13.5" x14ac:dyDescent="0.25">
      <c r="A1348" s="1"/>
      <c r="B1348" s="3">
        <v>44270</v>
      </c>
      <c r="C1348" s="4">
        <v>4.2699999999999996</v>
      </c>
      <c r="D1348" s="4">
        <v>3.4935</v>
      </c>
      <c r="E1348" s="4">
        <v>962</v>
      </c>
      <c r="F1348" s="4">
        <v>4.2039999999999997</v>
      </c>
      <c r="G1348" s="4">
        <v>4044.248</v>
      </c>
      <c r="H1348" s="5">
        <f t="shared" si="20"/>
        <v>-2.3417197361281623E-3</v>
      </c>
    </row>
    <row r="1349" spans="1:8" ht="13.5" x14ac:dyDescent="0.25">
      <c r="A1349" s="1"/>
      <c r="B1349" s="3">
        <v>44271</v>
      </c>
      <c r="C1349" s="4">
        <v>4.26</v>
      </c>
      <c r="D1349" s="4">
        <v>3.4853000000000001</v>
      </c>
      <c r="E1349" s="4">
        <v>1087</v>
      </c>
      <c r="F1349" s="4">
        <v>4.1703000000000001</v>
      </c>
      <c r="G1349" s="4">
        <v>4533.1161000000002</v>
      </c>
      <c r="H1349" s="5">
        <f t="shared" si="20"/>
        <v>-2.3472162587662758E-3</v>
      </c>
    </row>
    <row r="1350" spans="1:8" ht="13.5" x14ac:dyDescent="0.25">
      <c r="A1350" s="1"/>
      <c r="B1350" s="3">
        <v>44272</v>
      </c>
      <c r="C1350" s="4">
        <v>4.2</v>
      </c>
      <c r="D1350" s="4">
        <v>3.4361999999999999</v>
      </c>
      <c r="E1350" s="4">
        <v>3227</v>
      </c>
      <c r="F1350" s="4">
        <v>4.1891999999999996</v>
      </c>
      <c r="G1350" s="4">
        <v>13518.5484</v>
      </c>
      <c r="H1350" s="5">
        <f t="shared" si="20"/>
        <v>-1.4087739936303946E-2</v>
      </c>
    </row>
    <row r="1351" spans="1:8" ht="13.5" x14ac:dyDescent="0.25">
      <c r="A1351" s="1"/>
      <c r="B1351" s="3">
        <v>44273</v>
      </c>
      <c r="C1351" s="4">
        <v>4.13</v>
      </c>
      <c r="D1351" s="4">
        <v>3.3788999999999998</v>
      </c>
      <c r="E1351" s="4">
        <v>1081</v>
      </c>
      <c r="F1351" s="4">
        <v>4.1090999999999998</v>
      </c>
      <c r="G1351" s="4">
        <v>4441.9371000000001</v>
      </c>
      <c r="H1351" s="5">
        <f t="shared" ref="H1351:H1414" si="21">(D1351-D1350)/D1350</f>
        <v>-1.6675397241138503E-2</v>
      </c>
    </row>
    <row r="1352" spans="1:8" ht="13.5" x14ac:dyDescent="0.25">
      <c r="A1352" s="1"/>
      <c r="B1352" s="3">
        <v>44274</v>
      </c>
      <c r="C1352" s="4">
        <v>4.12</v>
      </c>
      <c r="D1352" s="4">
        <v>3.3708</v>
      </c>
      <c r="E1352" s="4">
        <v>2401</v>
      </c>
      <c r="F1352" s="4">
        <v>4.0357000000000003</v>
      </c>
      <c r="G1352" s="4">
        <v>9689.7157000000007</v>
      </c>
      <c r="H1352" s="5">
        <f t="shared" si="21"/>
        <v>-2.397229867708359E-3</v>
      </c>
    </row>
    <row r="1353" spans="1:8" ht="13.5" x14ac:dyDescent="0.25">
      <c r="A1353" s="1"/>
      <c r="B1353" s="3">
        <v>44277</v>
      </c>
      <c r="C1353" s="4">
        <v>4</v>
      </c>
      <c r="D1353" s="4">
        <v>3.2726000000000002</v>
      </c>
      <c r="E1353" s="4">
        <v>4315</v>
      </c>
      <c r="F1353" s="4">
        <v>3.944</v>
      </c>
      <c r="G1353" s="4">
        <v>17018.36</v>
      </c>
      <c r="H1353" s="5">
        <f t="shared" si="21"/>
        <v>-2.9132550136466075E-2</v>
      </c>
    </row>
    <row r="1354" spans="1:8" ht="13.5" x14ac:dyDescent="0.25">
      <c r="A1354" s="1"/>
      <c r="B1354" s="3">
        <v>44278</v>
      </c>
      <c r="C1354" s="4">
        <v>3.92</v>
      </c>
      <c r="D1354" s="4">
        <v>3.2071000000000001</v>
      </c>
      <c r="E1354" s="4">
        <v>3029</v>
      </c>
      <c r="F1354" s="4">
        <v>3.8993000000000002</v>
      </c>
      <c r="G1354" s="4">
        <v>11810.9797</v>
      </c>
      <c r="H1354" s="5">
        <f t="shared" si="21"/>
        <v>-2.0014667237059254E-2</v>
      </c>
    </row>
    <row r="1355" spans="1:8" ht="13.5" x14ac:dyDescent="0.25">
      <c r="A1355" s="1"/>
      <c r="B1355" s="3">
        <v>44279</v>
      </c>
      <c r="C1355" s="4">
        <v>3.75</v>
      </c>
      <c r="D1355" s="4">
        <v>3.0680000000000001</v>
      </c>
      <c r="E1355" s="4">
        <v>8434</v>
      </c>
      <c r="F1355" s="4">
        <v>3.7646000000000002</v>
      </c>
      <c r="G1355" s="4">
        <v>31750.636399999999</v>
      </c>
      <c r="H1355" s="5">
        <f t="shared" si="21"/>
        <v>-4.3372517227401701E-2</v>
      </c>
    </row>
    <row r="1356" spans="1:8" ht="13.5" x14ac:dyDescent="0.25">
      <c r="A1356" s="1"/>
      <c r="B1356" s="3">
        <v>44280</v>
      </c>
      <c r="C1356" s="4">
        <v>3.78</v>
      </c>
      <c r="D1356" s="4">
        <v>3.0926</v>
      </c>
      <c r="E1356" s="4">
        <v>7280</v>
      </c>
      <c r="F1356" s="4">
        <v>3.6850999999999998</v>
      </c>
      <c r="G1356" s="4">
        <v>26827.527999999998</v>
      </c>
      <c r="H1356" s="5">
        <f t="shared" si="21"/>
        <v>8.0182529335071553E-3</v>
      </c>
    </row>
    <row r="1357" spans="1:8" ht="13.5" x14ac:dyDescent="0.25">
      <c r="A1357" s="1"/>
      <c r="B1357" s="3">
        <v>44281</v>
      </c>
      <c r="C1357" s="4">
        <v>3.7</v>
      </c>
      <c r="D1357" s="4">
        <v>3.0270999999999999</v>
      </c>
      <c r="E1357" s="4">
        <v>4481</v>
      </c>
      <c r="F1357" s="4">
        <v>3.6778</v>
      </c>
      <c r="G1357" s="4">
        <v>16480.221799999999</v>
      </c>
      <c r="H1357" s="5">
        <f t="shared" si="21"/>
        <v>-2.1179589989006049E-2</v>
      </c>
    </row>
    <row r="1358" spans="1:8" ht="13.5" x14ac:dyDescent="0.25">
      <c r="A1358" s="1"/>
      <c r="B1358" s="3">
        <v>44284</v>
      </c>
      <c r="C1358" s="4">
        <v>3.7</v>
      </c>
      <c r="D1358" s="4">
        <v>3.0270999999999999</v>
      </c>
      <c r="E1358" s="4">
        <v>2913</v>
      </c>
      <c r="F1358" s="4">
        <v>3.7038000000000002</v>
      </c>
      <c r="G1358" s="4">
        <v>10789.169400000001</v>
      </c>
      <c r="H1358" s="5">
        <f t="shared" si="21"/>
        <v>0</v>
      </c>
    </row>
    <row r="1359" spans="1:8" ht="13.5" x14ac:dyDescent="0.25">
      <c r="A1359" s="1"/>
      <c r="B1359" s="3">
        <v>44285</v>
      </c>
      <c r="C1359" s="4">
        <v>3.75</v>
      </c>
      <c r="D1359" s="4">
        <v>3.0680000000000001</v>
      </c>
      <c r="E1359" s="4">
        <v>2926</v>
      </c>
      <c r="F1359" s="4">
        <v>3.6711</v>
      </c>
      <c r="G1359" s="4">
        <v>10741.6386</v>
      </c>
      <c r="H1359" s="5">
        <f t="shared" si="21"/>
        <v>1.3511281424465713E-2</v>
      </c>
    </row>
    <row r="1360" spans="1:8" ht="13.5" x14ac:dyDescent="0.25">
      <c r="A1360" s="1"/>
      <c r="B1360" s="3">
        <v>44286</v>
      </c>
      <c r="C1360" s="4">
        <v>3.7</v>
      </c>
      <c r="D1360" s="4">
        <v>3.0270999999999999</v>
      </c>
      <c r="E1360" s="4">
        <v>14553</v>
      </c>
      <c r="F1360" s="4">
        <v>3.6513</v>
      </c>
      <c r="G1360" s="4">
        <v>53137.368900000001</v>
      </c>
      <c r="H1360" s="5">
        <f t="shared" si="21"/>
        <v>-1.3331160365058721E-2</v>
      </c>
    </row>
    <row r="1361" spans="1:8" ht="13.5" x14ac:dyDescent="0.25">
      <c r="A1361" s="1"/>
      <c r="B1361" s="3">
        <v>44287</v>
      </c>
      <c r="C1361" s="4">
        <v>3.69</v>
      </c>
      <c r="D1361" s="4">
        <v>3.0190000000000001</v>
      </c>
      <c r="E1361" s="4">
        <v>5685</v>
      </c>
      <c r="F1361" s="4">
        <v>3.6537000000000002</v>
      </c>
      <c r="G1361" s="4">
        <v>20771.284500000002</v>
      </c>
      <c r="H1361" s="5">
        <f t="shared" si="21"/>
        <v>-2.6758283505664742E-3</v>
      </c>
    </row>
    <row r="1362" spans="1:8" ht="13.5" x14ac:dyDescent="0.25">
      <c r="A1362" s="1"/>
      <c r="B1362" s="3">
        <v>44288</v>
      </c>
      <c r="C1362" s="4">
        <v>3.7</v>
      </c>
      <c r="D1362" s="4">
        <v>3.0270999999999999</v>
      </c>
      <c r="E1362" s="4">
        <v>5095</v>
      </c>
      <c r="F1362" s="4">
        <v>3.6745000000000001</v>
      </c>
      <c r="G1362" s="4">
        <v>18721.577499999999</v>
      </c>
      <c r="H1362" s="5">
        <f t="shared" si="21"/>
        <v>2.6830076184166194E-3</v>
      </c>
    </row>
    <row r="1363" spans="1:8" ht="13.5" x14ac:dyDescent="0.25">
      <c r="A1363" s="1"/>
      <c r="B1363" s="3">
        <v>44291</v>
      </c>
      <c r="C1363" s="4">
        <v>3.69</v>
      </c>
      <c r="D1363" s="4">
        <v>3.0190000000000001</v>
      </c>
      <c r="E1363" s="4">
        <v>1784</v>
      </c>
      <c r="F1363" s="4">
        <v>3.6515</v>
      </c>
      <c r="G1363" s="4">
        <v>6514.2759999999998</v>
      </c>
      <c r="H1363" s="5">
        <f t="shared" si="21"/>
        <v>-2.6758283505664742E-3</v>
      </c>
    </row>
    <row r="1364" spans="1:8" ht="13.5" x14ac:dyDescent="0.25">
      <c r="A1364" s="1"/>
      <c r="B1364" s="3">
        <v>44292</v>
      </c>
      <c r="C1364" s="4">
        <v>3.69</v>
      </c>
      <c r="D1364" s="4">
        <v>3.0190000000000001</v>
      </c>
      <c r="E1364" s="4">
        <v>4607</v>
      </c>
      <c r="F1364" s="4">
        <v>3.6473</v>
      </c>
      <c r="G1364" s="4">
        <v>16803.111099999998</v>
      </c>
      <c r="H1364" s="5">
        <f t="shared" si="21"/>
        <v>0</v>
      </c>
    </row>
    <row r="1365" spans="1:8" ht="13.5" x14ac:dyDescent="0.25">
      <c r="A1365" s="1"/>
      <c r="B1365" s="3">
        <v>44293</v>
      </c>
      <c r="C1365" s="4">
        <v>3.68</v>
      </c>
      <c r="D1365" s="4">
        <v>3.0108000000000001</v>
      </c>
      <c r="E1365" s="4">
        <v>4623</v>
      </c>
      <c r="F1365" s="4">
        <v>3.5998000000000001</v>
      </c>
      <c r="G1365" s="4">
        <v>16641.875400000001</v>
      </c>
      <c r="H1365" s="5">
        <f t="shared" si="21"/>
        <v>-2.7161311692613399E-3</v>
      </c>
    </row>
    <row r="1366" spans="1:8" ht="13.5" x14ac:dyDescent="0.25">
      <c r="A1366" s="1"/>
      <c r="B1366" s="3">
        <v>44294</v>
      </c>
      <c r="C1366" s="4">
        <v>3.68</v>
      </c>
      <c r="D1366" s="4">
        <v>3.0108000000000001</v>
      </c>
      <c r="E1366" s="4">
        <v>1751</v>
      </c>
      <c r="F1366" s="4">
        <v>3.6</v>
      </c>
      <c r="G1366" s="4">
        <v>6303.6</v>
      </c>
      <c r="H1366" s="5">
        <f t="shared" si="21"/>
        <v>0</v>
      </c>
    </row>
    <row r="1367" spans="1:8" ht="13.5" x14ac:dyDescent="0.25">
      <c r="A1367" s="1"/>
      <c r="B1367" s="3">
        <v>44298</v>
      </c>
      <c r="C1367" s="4">
        <v>3.66</v>
      </c>
      <c r="D1367" s="4">
        <v>2.9944000000000002</v>
      </c>
      <c r="E1367" s="4">
        <v>1435</v>
      </c>
      <c r="F1367" s="4">
        <v>3.6057999999999999</v>
      </c>
      <c r="G1367" s="4">
        <v>5174.3230000000003</v>
      </c>
      <c r="H1367" s="5">
        <f t="shared" si="21"/>
        <v>-5.447057260528753E-3</v>
      </c>
    </row>
    <row r="1368" spans="1:8" ht="13.5" x14ac:dyDescent="0.25">
      <c r="A1368" s="1"/>
      <c r="B1368" s="3">
        <v>44299</v>
      </c>
      <c r="C1368" s="4">
        <v>3.66</v>
      </c>
      <c r="D1368" s="4">
        <v>2.9944000000000002</v>
      </c>
      <c r="E1368" s="4">
        <v>1976</v>
      </c>
      <c r="F1368" s="4">
        <v>3.6335999999999999</v>
      </c>
      <c r="G1368" s="4">
        <v>7179.9935999999998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3.62</v>
      </c>
      <c r="D1369" s="4">
        <v>2.9617</v>
      </c>
      <c r="E1369" s="4">
        <v>2820</v>
      </c>
      <c r="F1369" s="4">
        <v>3.6269</v>
      </c>
      <c r="G1369" s="4">
        <v>10227.858</v>
      </c>
      <c r="H1369" s="5">
        <f t="shared" si="21"/>
        <v>-1.0920384718140587E-2</v>
      </c>
    </row>
    <row r="1370" spans="1:8" ht="13.5" x14ac:dyDescent="0.25">
      <c r="A1370" s="1"/>
      <c r="B1370" s="3">
        <v>44301</v>
      </c>
      <c r="C1370" s="4">
        <v>3.6</v>
      </c>
      <c r="D1370" s="4">
        <v>2.9453</v>
      </c>
      <c r="E1370" s="4">
        <v>2440</v>
      </c>
      <c r="F1370" s="4">
        <v>3.6204999999999998</v>
      </c>
      <c r="G1370" s="4">
        <v>8834.02</v>
      </c>
      <c r="H1370" s="5">
        <f t="shared" si="21"/>
        <v>-5.5373602998277918E-3</v>
      </c>
    </row>
    <row r="1371" spans="1:8" ht="13.5" x14ac:dyDescent="0.25">
      <c r="A1371" s="1"/>
      <c r="B1371" s="3">
        <v>44302</v>
      </c>
      <c r="C1371" s="4">
        <v>3.7</v>
      </c>
      <c r="D1371" s="4">
        <v>3.0270999999999999</v>
      </c>
      <c r="E1371" s="4">
        <v>10553</v>
      </c>
      <c r="F1371" s="4">
        <v>3.6105999999999998</v>
      </c>
      <c r="G1371" s="4">
        <v>38102.661800000002</v>
      </c>
      <c r="H1371" s="5">
        <f t="shared" si="21"/>
        <v>2.7773062166842045E-2</v>
      </c>
    </row>
    <row r="1372" spans="1:8" ht="13.5" x14ac:dyDescent="0.25">
      <c r="A1372" s="1"/>
      <c r="B1372" s="3">
        <v>44305</v>
      </c>
      <c r="C1372" s="4">
        <v>3.6</v>
      </c>
      <c r="D1372" s="4">
        <v>2.9453</v>
      </c>
      <c r="E1372" s="4">
        <v>5995</v>
      </c>
      <c r="F1372" s="4">
        <v>3.5994999999999999</v>
      </c>
      <c r="G1372" s="4">
        <v>21579.002499999999</v>
      </c>
      <c r="H1372" s="5">
        <f t="shared" si="21"/>
        <v>-2.7022562848931279E-2</v>
      </c>
    </row>
    <row r="1373" spans="1:8" ht="13.5" x14ac:dyDescent="0.25">
      <c r="A1373" s="1"/>
      <c r="B1373" s="3">
        <v>44306</v>
      </c>
      <c r="C1373" s="4">
        <v>3.7</v>
      </c>
      <c r="D1373" s="4">
        <v>3.0270999999999999</v>
      </c>
      <c r="E1373" s="4">
        <v>2527</v>
      </c>
      <c r="F1373" s="4">
        <v>3.6038999999999999</v>
      </c>
      <c r="G1373" s="4">
        <v>9107.0553</v>
      </c>
      <c r="H1373" s="5">
        <f t="shared" si="21"/>
        <v>2.7773062166842045E-2</v>
      </c>
    </row>
    <row r="1374" spans="1:8" ht="13.5" x14ac:dyDescent="0.25">
      <c r="A1374" s="1"/>
      <c r="B1374" s="3">
        <v>44307</v>
      </c>
      <c r="C1374" s="4">
        <v>3.6</v>
      </c>
      <c r="D1374" s="4">
        <v>2.9453</v>
      </c>
      <c r="E1374" s="4">
        <v>4430</v>
      </c>
      <c r="F1374" s="4">
        <v>3.5981999999999998</v>
      </c>
      <c r="G1374" s="4">
        <v>15940.026</v>
      </c>
      <c r="H1374" s="5">
        <f t="shared" si="21"/>
        <v>-2.7022562848931279E-2</v>
      </c>
    </row>
    <row r="1375" spans="1:8" ht="13.5" x14ac:dyDescent="0.25">
      <c r="A1375" s="1"/>
      <c r="B1375" s="3">
        <v>44308</v>
      </c>
      <c r="C1375" s="4">
        <v>3.58</v>
      </c>
      <c r="D1375" s="4">
        <v>2.9289999999999998</v>
      </c>
      <c r="E1375" s="4">
        <v>10575</v>
      </c>
      <c r="F1375" s="4">
        <v>3.5798999999999999</v>
      </c>
      <c r="G1375" s="4">
        <v>37857.442499999997</v>
      </c>
      <c r="H1375" s="5">
        <f t="shared" si="21"/>
        <v>-5.534240994126304E-3</v>
      </c>
    </row>
    <row r="1376" spans="1:8" ht="13.5" x14ac:dyDescent="0.25">
      <c r="A1376" s="1"/>
      <c r="B1376" s="3">
        <v>44309</v>
      </c>
      <c r="C1376" s="4">
        <v>3.58</v>
      </c>
      <c r="D1376" s="4">
        <v>2.9289999999999998</v>
      </c>
      <c r="E1376" s="4">
        <v>888</v>
      </c>
      <c r="F1376" s="4">
        <v>3.6230000000000002</v>
      </c>
      <c r="G1376" s="4">
        <v>3217.2240000000002</v>
      </c>
      <c r="H1376" s="5">
        <f t="shared" si="21"/>
        <v>0</v>
      </c>
    </row>
    <row r="1377" spans="1:8" ht="13.5" x14ac:dyDescent="0.25">
      <c r="A1377" s="1"/>
      <c r="B1377" s="3">
        <v>44312</v>
      </c>
      <c r="C1377" s="4">
        <v>3.48</v>
      </c>
      <c r="D1377" s="4">
        <v>2.8471000000000002</v>
      </c>
      <c r="E1377" s="4">
        <v>6558</v>
      </c>
      <c r="F1377" s="4">
        <v>3.4853999999999998</v>
      </c>
      <c r="G1377" s="4">
        <v>22857.253199999999</v>
      </c>
      <c r="H1377" s="5">
        <f t="shared" si="21"/>
        <v>-2.7961761693410598E-2</v>
      </c>
    </row>
    <row r="1378" spans="1:8" ht="13.5" x14ac:dyDescent="0.25">
      <c r="A1378" s="1"/>
      <c r="B1378" s="3">
        <v>44313</v>
      </c>
      <c r="C1378" s="4">
        <v>3.48</v>
      </c>
      <c r="D1378" s="4">
        <v>2.8471000000000002</v>
      </c>
      <c r="E1378" s="4">
        <v>7166</v>
      </c>
      <c r="F1378" s="4">
        <v>3.4064000000000001</v>
      </c>
      <c r="G1378" s="4">
        <v>24410.2624</v>
      </c>
      <c r="H1378" s="5">
        <f t="shared" si="21"/>
        <v>0</v>
      </c>
    </row>
    <row r="1379" spans="1:8" ht="13.5" x14ac:dyDescent="0.25">
      <c r="A1379" s="1"/>
      <c r="B1379" s="3">
        <v>44314</v>
      </c>
      <c r="C1379" s="4">
        <v>3.5</v>
      </c>
      <c r="D1379" s="4">
        <v>2.8635000000000002</v>
      </c>
      <c r="E1379" s="4">
        <v>2055</v>
      </c>
      <c r="F1379" s="4">
        <v>3.4462999999999999</v>
      </c>
      <c r="G1379" s="4">
        <v>7082.1464999999998</v>
      </c>
      <c r="H1379" s="5">
        <f t="shared" si="21"/>
        <v>5.7602472691510552E-3</v>
      </c>
    </row>
    <row r="1380" spans="1:8" ht="13.5" x14ac:dyDescent="0.25">
      <c r="A1380" s="1"/>
      <c r="B1380" s="3">
        <v>44315</v>
      </c>
      <c r="C1380" s="4">
        <v>3.7</v>
      </c>
      <c r="D1380" s="4">
        <v>3.0270999999999999</v>
      </c>
      <c r="E1380" s="4">
        <v>14885</v>
      </c>
      <c r="F1380" s="4">
        <v>3.6608999999999998</v>
      </c>
      <c r="G1380" s="4">
        <v>54492.496500000001</v>
      </c>
      <c r="H1380" s="5">
        <f t="shared" si="21"/>
        <v>5.7132879343460709E-2</v>
      </c>
    </row>
    <row r="1381" spans="1:8" ht="13.5" x14ac:dyDescent="0.25">
      <c r="A1381" s="1"/>
      <c r="B1381" s="3">
        <v>44316</v>
      </c>
      <c r="C1381" s="4">
        <v>3.63</v>
      </c>
      <c r="D1381" s="4">
        <v>2.9699</v>
      </c>
      <c r="E1381" s="4">
        <v>5460</v>
      </c>
      <c r="F1381" s="4">
        <v>3.6433</v>
      </c>
      <c r="G1381" s="4">
        <v>19892.418000000001</v>
      </c>
      <c r="H1381" s="5">
        <f t="shared" si="21"/>
        <v>-1.8895973043506962E-2</v>
      </c>
    </row>
    <row r="1382" spans="1:8" ht="13.5" x14ac:dyDescent="0.25">
      <c r="A1382" s="1"/>
      <c r="B1382" s="3">
        <v>44319</v>
      </c>
      <c r="C1382" s="4">
        <v>3.6</v>
      </c>
      <c r="D1382" s="4">
        <v>2.9453</v>
      </c>
      <c r="E1382" s="4">
        <v>3709</v>
      </c>
      <c r="F1382" s="4">
        <v>3.6615000000000002</v>
      </c>
      <c r="G1382" s="4">
        <v>13580.503500000001</v>
      </c>
      <c r="H1382" s="5">
        <f t="shared" si="21"/>
        <v>-8.2831071753257535E-3</v>
      </c>
    </row>
    <row r="1383" spans="1:8" ht="13.5" x14ac:dyDescent="0.25">
      <c r="A1383" s="1"/>
      <c r="B1383" s="3">
        <v>44320</v>
      </c>
      <c r="C1383" s="4">
        <v>3.59</v>
      </c>
      <c r="D1383" s="4">
        <v>2.9371</v>
      </c>
      <c r="E1383" s="4">
        <v>2319</v>
      </c>
      <c r="F1383" s="4">
        <v>3.5232999999999999</v>
      </c>
      <c r="G1383" s="4">
        <v>8170.5326999999997</v>
      </c>
      <c r="H1383" s="5">
        <f t="shared" si="21"/>
        <v>-2.7840966964315979E-3</v>
      </c>
    </row>
    <row r="1384" spans="1:8" ht="13.5" x14ac:dyDescent="0.25">
      <c r="A1384" s="1"/>
      <c r="B1384" s="3">
        <v>44321</v>
      </c>
      <c r="C1384" s="4">
        <v>3.49</v>
      </c>
      <c r="D1384" s="4">
        <v>2.8553000000000002</v>
      </c>
      <c r="E1384" s="4">
        <v>1022</v>
      </c>
      <c r="F1384" s="4">
        <v>3.49</v>
      </c>
      <c r="G1384" s="4">
        <v>3566.78</v>
      </c>
      <c r="H1384" s="5">
        <f t="shared" si="21"/>
        <v>-2.7850600932892947E-2</v>
      </c>
    </row>
    <row r="1385" spans="1:8" ht="13.5" x14ac:dyDescent="0.25">
      <c r="A1385" s="1"/>
      <c r="B1385" s="3">
        <v>44322</v>
      </c>
      <c r="C1385" s="4">
        <v>3.37</v>
      </c>
      <c r="D1385" s="4">
        <v>2.7570999999999999</v>
      </c>
      <c r="E1385" s="4">
        <v>12512</v>
      </c>
      <c r="F1385" s="4">
        <v>3.3765999999999998</v>
      </c>
      <c r="G1385" s="4">
        <v>42248.019200000002</v>
      </c>
      <c r="H1385" s="5">
        <f t="shared" si="21"/>
        <v>-3.4392182958008014E-2</v>
      </c>
    </row>
    <row r="1386" spans="1:8" ht="13.5" x14ac:dyDescent="0.25">
      <c r="A1386" s="1"/>
      <c r="B1386" s="3">
        <v>44323</v>
      </c>
      <c r="C1386" s="4">
        <v>3.54</v>
      </c>
      <c r="D1386" s="4">
        <v>2.8961999999999999</v>
      </c>
      <c r="E1386" s="4">
        <v>8351</v>
      </c>
      <c r="F1386" s="4">
        <v>3.4413</v>
      </c>
      <c r="G1386" s="4">
        <v>28738.296300000002</v>
      </c>
      <c r="H1386" s="5">
        <f t="shared" si="21"/>
        <v>5.0451561423234557E-2</v>
      </c>
    </row>
    <row r="1387" spans="1:8" ht="13.5" x14ac:dyDescent="0.25">
      <c r="A1387" s="1"/>
      <c r="B1387" s="3">
        <v>44326</v>
      </c>
      <c r="C1387" s="4">
        <v>3.69</v>
      </c>
      <c r="D1387" s="4">
        <v>3.0190000000000001</v>
      </c>
      <c r="E1387" s="4">
        <v>7054</v>
      </c>
      <c r="F1387" s="4">
        <v>3.6208</v>
      </c>
      <c r="G1387" s="4">
        <v>25541.123200000002</v>
      </c>
      <c r="H1387" s="5">
        <f t="shared" si="21"/>
        <v>4.2400386713624838E-2</v>
      </c>
    </row>
    <row r="1388" spans="1:8" ht="13.5" x14ac:dyDescent="0.25">
      <c r="A1388" s="1"/>
      <c r="B1388" s="3">
        <v>44327</v>
      </c>
      <c r="C1388" s="4">
        <v>3.7</v>
      </c>
      <c r="D1388" s="4">
        <v>3.0270999999999999</v>
      </c>
      <c r="E1388" s="4">
        <v>11845</v>
      </c>
      <c r="F1388" s="4">
        <v>3.6947999999999999</v>
      </c>
      <c r="G1388" s="4">
        <v>43764.906000000003</v>
      </c>
      <c r="H1388" s="5">
        <f t="shared" si="21"/>
        <v>2.6830076184166194E-3</v>
      </c>
    </row>
    <row r="1389" spans="1:8" ht="13.5" x14ac:dyDescent="0.25">
      <c r="A1389" s="1"/>
      <c r="B1389" s="3">
        <v>44333</v>
      </c>
      <c r="C1389" s="4">
        <v>3.65</v>
      </c>
      <c r="D1389" s="4">
        <v>2.9862000000000002</v>
      </c>
      <c r="E1389" s="4">
        <v>3487</v>
      </c>
      <c r="F1389" s="4">
        <v>3.6448999999999998</v>
      </c>
      <c r="G1389" s="4">
        <v>12709.766299999999</v>
      </c>
      <c r="H1389" s="5">
        <f t="shared" si="21"/>
        <v>-1.3511281424465567E-2</v>
      </c>
    </row>
    <row r="1390" spans="1:8" ht="13.5" x14ac:dyDescent="0.25">
      <c r="A1390" s="1"/>
      <c r="B1390" s="3">
        <v>44334</v>
      </c>
      <c r="C1390" s="4">
        <v>3.65</v>
      </c>
      <c r="D1390" s="4">
        <v>2.9862000000000002</v>
      </c>
      <c r="E1390" s="4">
        <v>1699</v>
      </c>
      <c r="F1390" s="4">
        <v>3.5876999999999999</v>
      </c>
      <c r="G1390" s="4">
        <v>6095.5023000000001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3.63</v>
      </c>
      <c r="D1391" s="4">
        <v>2.9699</v>
      </c>
      <c r="E1391" s="4">
        <v>6461</v>
      </c>
      <c r="F1391" s="4">
        <v>3.5912999999999999</v>
      </c>
      <c r="G1391" s="4">
        <v>23203.389299999999</v>
      </c>
      <c r="H1391" s="5">
        <f t="shared" si="21"/>
        <v>-5.4584421673029944E-3</v>
      </c>
    </row>
    <row r="1392" spans="1:8" ht="13.5" x14ac:dyDescent="0.25">
      <c r="A1392" s="1"/>
      <c r="B1392" s="3">
        <v>44336</v>
      </c>
      <c r="C1392" s="4">
        <v>3.6</v>
      </c>
      <c r="D1392" s="4">
        <v>2.9453</v>
      </c>
      <c r="E1392" s="4">
        <v>1770</v>
      </c>
      <c r="F1392" s="4">
        <v>3.5973999999999999</v>
      </c>
      <c r="G1392" s="4">
        <v>6367.3980000000001</v>
      </c>
      <c r="H1392" s="5">
        <f t="shared" si="21"/>
        <v>-8.2831071753257535E-3</v>
      </c>
    </row>
    <row r="1393" spans="1:8" ht="13.5" x14ac:dyDescent="0.25">
      <c r="A1393" s="1"/>
      <c r="B1393" s="3">
        <v>44337</v>
      </c>
      <c r="C1393" s="4">
        <v>3.62</v>
      </c>
      <c r="D1393" s="4">
        <v>2.9617</v>
      </c>
      <c r="E1393" s="4">
        <v>4125</v>
      </c>
      <c r="F1393" s="4">
        <v>3.5943000000000001</v>
      </c>
      <c r="G1393" s="4">
        <v>14826.487499999999</v>
      </c>
      <c r="H1393" s="5">
        <f t="shared" si="21"/>
        <v>5.5681933928631959E-3</v>
      </c>
    </row>
    <row r="1394" spans="1:8" ht="13.5" x14ac:dyDescent="0.25">
      <c r="A1394" s="1"/>
      <c r="B1394" s="3">
        <v>44340</v>
      </c>
      <c r="C1394" s="4">
        <v>3.65</v>
      </c>
      <c r="D1394" s="4">
        <v>2.9862000000000002</v>
      </c>
      <c r="E1394" s="4">
        <v>3073</v>
      </c>
      <c r="F1394" s="4">
        <v>3.5914999999999999</v>
      </c>
      <c r="G1394" s="4">
        <v>11036.6795</v>
      </c>
      <c r="H1394" s="5">
        <f t="shared" si="21"/>
        <v>8.2722760576696454E-3</v>
      </c>
    </row>
    <row r="1395" spans="1:8" ht="13.5" x14ac:dyDescent="0.25">
      <c r="A1395" s="1"/>
      <c r="B1395" s="3">
        <v>44341</v>
      </c>
      <c r="C1395" s="4">
        <v>3.58</v>
      </c>
      <c r="D1395" s="4">
        <v>2.9289999999999998</v>
      </c>
      <c r="E1395" s="4">
        <v>1931</v>
      </c>
      <c r="F1395" s="4">
        <v>3.5857999999999999</v>
      </c>
      <c r="G1395" s="4">
        <v>6924.1797999999999</v>
      </c>
      <c r="H1395" s="5">
        <f t="shared" si="21"/>
        <v>-1.9154778648449656E-2</v>
      </c>
    </row>
    <row r="1396" spans="1:8" ht="13.5" x14ac:dyDescent="0.25">
      <c r="A1396" s="1"/>
      <c r="B1396" s="3">
        <v>44342</v>
      </c>
      <c r="C1396" s="4">
        <v>3.63</v>
      </c>
      <c r="D1396" s="4">
        <v>2.9699</v>
      </c>
      <c r="E1396" s="4">
        <v>1045</v>
      </c>
      <c r="F1396" s="4">
        <v>3.5823</v>
      </c>
      <c r="G1396" s="4">
        <v>3743.5034999999998</v>
      </c>
      <c r="H1396" s="5">
        <f t="shared" si="21"/>
        <v>1.3963810174120916E-2</v>
      </c>
    </row>
    <row r="1397" spans="1:8" ht="13.5" x14ac:dyDescent="0.25">
      <c r="A1397" s="1"/>
      <c r="B1397" s="3">
        <v>44343</v>
      </c>
      <c r="C1397" s="4">
        <v>3.6</v>
      </c>
      <c r="D1397" s="4">
        <v>2.9453</v>
      </c>
      <c r="E1397" s="4">
        <v>1356</v>
      </c>
      <c r="F1397" s="4">
        <v>3.5596999999999999</v>
      </c>
      <c r="G1397" s="4">
        <v>4826.9531999999999</v>
      </c>
      <c r="H1397" s="5">
        <f t="shared" si="21"/>
        <v>-8.2831071753257535E-3</v>
      </c>
    </row>
    <row r="1398" spans="1:8" ht="13.5" x14ac:dyDescent="0.25">
      <c r="A1398" s="1"/>
      <c r="B1398" s="3">
        <v>44344</v>
      </c>
      <c r="C1398" s="4">
        <v>3.6</v>
      </c>
      <c r="D1398" s="4">
        <v>2.9453</v>
      </c>
      <c r="E1398" s="4">
        <v>640</v>
      </c>
      <c r="F1398" s="4">
        <v>3.5672000000000001</v>
      </c>
      <c r="G1398" s="4">
        <v>2283.0079999999998</v>
      </c>
      <c r="H1398" s="5">
        <f t="shared" si="21"/>
        <v>0</v>
      </c>
    </row>
    <row r="1399" spans="1:8" ht="13.5" x14ac:dyDescent="0.25">
      <c r="A1399" s="1"/>
      <c r="B1399" s="3">
        <v>44347</v>
      </c>
      <c r="C1399" s="4">
        <v>3.59</v>
      </c>
      <c r="D1399" s="4">
        <v>2.9371</v>
      </c>
      <c r="E1399" s="4">
        <v>1467</v>
      </c>
      <c r="F1399" s="4">
        <v>3.5190999999999999</v>
      </c>
      <c r="G1399" s="4">
        <v>5162.5196999999998</v>
      </c>
      <c r="H1399" s="5">
        <f t="shared" si="21"/>
        <v>-2.7840966964315979E-3</v>
      </c>
    </row>
    <row r="1400" spans="1:8" ht="13.5" x14ac:dyDescent="0.25">
      <c r="A1400" s="1"/>
      <c r="B1400" s="3">
        <v>44348</v>
      </c>
      <c r="C1400" s="4">
        <v>3.59</v>
      </c>
      <c r="D1400" s="4">
        <v>2.9371</v>
      </c>
      <c r="E1400" s="4">
        <v>145</v>
      </c>
      <c r="F1400" s="4">
        <v>3.59</v>
      </c>
      <c r="G1400" s="4">
        <v>520.54999999999995</v>
      </c>
      <c r="H1400" s="5">
        <f t="shared" si="21"/>
        <v>0</v>
      </c>
    </row>
    <row r="1401" spans="1:8" ht="13.5" x14ac:dyDescent="0.25">
      <c r="A1401" s="1"/>
      <c r="B1401" s="3">
        <v>44349</v>
      </c>
      <c r="C1401" s="4">
        <v>3.59</v>
      </c>
      <c r="D1401" s="4">
        <v>2.9371</v>
      </c>
      <c r="E1401" s="4">
        <v>4700</v>
      </c>
      <c r="F1401" s="4">
        <v>3.5358999999999998</v>
      </c>
      <c r="G1401" s="4">
        <v>16618.73</v>
      </c>
      <c r="H1401" s="5">
        <f t="shared" si="21"/>
        <v>0</v>
      </c>
    </row>
    <row r="1402" spans="1:8" ht="13.5" x14ac:dyDescent="0.25">
      <c r="A1402" s="1"/>
      <c r="B1402" s="3">
        <v>44350</v>
      </c>
      <c r="C1402" s="4">
        <v>3.54</v>
      </c>
      <c r="D1402" s="4">
        <v>2.8961999999999999</v>
      </c>
      <c r="E1402" s="4">
        <v>2480</v>
      </c>
      <c r="F1402" s="4">
        <v>3.5402999999999998</v>
      </c>
      <c r="G1402" s="4">
        <v>8779.9439999999995</v>
      </c>
      <c r="H1402" s="5">
        <f t="shared" si="21"/>
        <v>-1.3925300466446548E-2</v>
      </c>
    </row>
    <row r="1403" spans="1:8" ht="13.5" x14ac:dyDescent="0.25">
      <c r="A1403" s="1"/>
      <c r="B1403" s="3">
        <v>44351</v>
      </c>
      <c r="C1403" s="4">
        <v>3.54</v>
      </c>
      <c r="D1403" s="4">
        <v>2.8961999999999999</v>
      </c>
      <c r="E1403" s="4">
        <v>914</v>
      </c>
      <c r="F1403" s="4">
        <v>3.5344000000000002</v>
      </c>
      <c r="G1403" s="4">
        <v>3230.4416000000001</v>
      </c>
      <c r="H1403" s="5">
        <f t="shared" si="21"/>
        <v>0</v>
      </c>
    </row>
    <row r="1404" spans="1:8" ht="13.5" x14ac:dyDescent="0.25">
      <c r="A1404" s="1"/>
      <c r="B1404" s="3">
        <v>44354</v>
      </c>
      <c r="C1404" s="4">
        <v>3.59</v>
      </c>
      <c r="D1404" s="4">
        <v>2.9371</v>
      </c>
      <c r="E1404" s="4">
        <v>595</v>
      </c>
      <c r="F1404" s="4">
        <v>3.5068999999999999</v>
      </c>
      <c r="G1404" s="4">
        <v>2086.6055000000001</v>
      </c>
      <c r="H1404" s="5">
        <f t="shared" si="21"/>
        <v>1.4121952903805041E-2</v>
      </c>
    </row>
    <row r="1405" spans="1:8" ht="13.5" x14ac:dyDescent="0.25">
      <c r="A1405" s="1"/>
      <c r="B1405" s="3">
        <v>44355</v>
      </c>
      <c r="C1405" s="4">
        <v>3.57</v>
      </c>
      <c r="D1405" s="4">
        <v>2.9207999999999998</v>
      </c>
      <c r="E1405" s="4">
        <v>1432</v>
      </c>
      <c r="F1405" s="4">
        <v>3.5015999999999998</v>
      </c>
      <c r="G1405" s="4">
        <v>5014.2911999999997</v>
      </c>
      <c r="H1405" s="5">
        <f t="shared" si="21"/>
        <v>-5.5496918729359586E-3</v>
      </c>
    </row>
    <row r="1406" spans="1:8" ht="13.5" x14ac:dyDescent="0.25">
      <c r="A1406" s="1"/>
      <c r="B1406" s="3">
        <v>44356</v>
      </c>
      <c r="C1406" s="4">
        <v>3.59</v>
      </c>
      <c r="D1406" s="4">
        <v>2.9371</v>
      </c>
      <c r="E1406" s="4">
        <v>810</v>
      </c>
      <c r="F1406" s="4">
        <v>3.5421</v>
      </c>
      <c r="G1406" s="4">
        <v>2869.1010000000001</v>
      </c>
      <c r="H1406" s="5">
        <f t="shared" si="21"/>
        <v>5.580662832100864E-3</v>
      </c>
    </row>
    <row r="1407" spans="1:8" ht="13.5" x14ac:dyDescent="0.25">
      <c r="A1407" s="1"/>
      <c r="B1407" s="3">
        <v>44357</v>
      </c>
      <c r="C1407" s="4">
        <v>3.59</v>
      </c>
      <c r="D1407" s="4">
        <v>2.9371</v>
      </c>
      <c r="E1407" s="4">
        <v>2440</v>
      </c>
      <c r="F1407" s="4">
        <v>3.5228000000000002</v>
      </c>
      <c r="G1407" s="4">
        <v>8595.6319999999996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3.65</v>
      </c>
      <c r="D1408" s="4">
        <v>2.9862000000000002</v>
      </c>
      <c r="E1408" s="4">
        <v>3342</v>
      </c>
      <c r="F1408" s="4">
        <v>3.6248</v>
      </c>
      <c r="G1408" s="4">
        <v>12114.0816</v>
      </c>
      <c r="H1408" s="5">
        <f t="shared" si="21"/>
        <v>1.6717169997616747E-2</v>
      </c>
    </row>
    <row r="1409" spans="1:8" ht="13.5" x14ac:dyDescent="0.25">
      <c r="A1409" s="1"/>
      <c r="B1409" s="3">
        <v>44361</v>
      </c>
      <c r="C1409" s="4">
        <v>3.69</v>
      </c>
      <c r="D1409" s="4">
        <v>3.0190000000000001</v>
      </c>
      <c r="E1409" s="4">
        <v>3200</v>
      </c>
      <c r="F1409" s="4">
        <v>3.6446999999999998</v>
      </c>
      <c r="G1409" s="4">
        <v>11663.04</v>
      </c>
      <c r="H1409" s="5">
        <f t="shared" si="21"/>
        <v>1.0983859085124887E-2</v>
      </c>
    </row>
    <row r="1410" spans="1:8" ht="13.5" x14ac:dyDescent="0.25">
      <c r="A1410" s="1"/>
      <c r="B1410" s="3">
        <v>44362</v>
      </c>
      <c r="C1410" s="4">
        <v>3.85</v>
      </c>
      <c r="D1410" s="4">
        <v>3.1499000000000001</v>
      </c>
      <c r="E1410" s="4">
        <v>23035</v>
      </c>
      <c r="F1410" s="4">
        <v>3.7986</v>
      </c>
      <c r="G1410" s="4">
        <v>87500.751000000004</v>
      </c>
      <c r="H1410" s="5">
        <f t="shared" si="21"/>
        <v>4.3358728055647569E-2</v>
      </c>
    </row>
    <row r="1411" spans="1:8" ht="13.5" x14ac:dyDescent="0.25">
      <c r="A1411" s="1"/>
      <c r="B1411" s="3">
        <v>44363</v>
      </c>
      <c r="C1411" s="4">
        <v>3.8</v>
      </c>
      <c r="D1411" s="4">
        <v>3.1089000000000002</v>
      </c>
      <c r="E1411" s="4">
        <v>10265</v>
      </c>
      <c r="F1411" s="4">
        <v>3.8412999999999999</v>
      </c>
      <c r="G1411" s="4">
        <v>39430.944499999998</v>
      </c>
      <c r="H1411" s="5">
        <f t="shared" si="21"/>
        <v>-1.3016286231308906E-2</v>
      </c>
    </row>
    <row r="1412" spans="1:8" ht="13.5" x14ac:dyDescent="0.25">
      <c r="A1412" s="1"/>
      <c r="B1412" s="3">
        <v>44364</v>
      </c>
      <c r="C1412" s="4">
        <v>4.01</v>
      </c>
      <c r="D1412" s="4">
        <v>3.2808000000000002</v>
      </c>
      <c r="E1412" s="4">
        <v>24691</v>
      </c>
      <c r="F1412" s="4">
        <v>3.9805000000000001</v>
      </c>
      <c r="G1412" s="4">
        <v>98282.525500000003</v>
      </c>
      <c r="H1412" s="5">
        <f t="shared" si="21"/>
        <v>5.5292868860368598E-2</v>
      </c>
    </row>
    <row r="1413" spans="1:8" ht="13.5" x14ac:dyDescent="0.25">
      <c r="A1413" s="1"/>
      <c r="B1413" s="3">
        <v>44365</v>
      </c>
      <c r="C1413" s="4">
        <v>4.25</v>
      </c>
      <c r="D1413" s="4">
        <v>3.4771000000000001</v>
      </c>
      <c r="E1413" s="4">
        <v>28026</v>
      </c>
      <c r="F1413" s="4">
        <v>4.1832000000000003</v>
      </c>
      <c r="G1413" s="4">
        <v>117238.36320000001</v>
      </c>
      <c r="H1413" s="5">
        <f t="shared" si="21"/>
        <v>5.9832967568885613E-2</v>
      </c>
    </row>
    <row r="1414" spans="1:8" ht="13.5" x14ac:dyDescent="0.25">
      <c r="A1414" s="1"/>
      <c r="B1414" s="3">
        <v>44368</v>
      </c>
      <c r="C1414" s="4">
        <v>4.4000000000000004</v>
      </c>
      <c r="D1414" s="4">
        <v>3.5998000000000001</v>
      </c>
      <c r="E1414" s="4">
        <v>24099</v>
      </c>
      <c r="F1414" s="4">
        <v>4.3918999999999997</v>
      </c>
      <c r="G1414" s="4">
        <v>105840.39810000001</v>
      </c>
      <c r="H1414" s="5">
        <f t="shared" si="21"/>
        <v>3.5288027379137797E-2</v>
      </c>
    </row>
    <row r="1415" spans="1:8" ht="13.5" x14ac:dyDescent="0.25">
      <c r="A1415" s="1"/>
      <c r="B1415" s="3">
        <v>44369</v>
      </c>
      <c r="C1415" s="4">
        <v>4.3</v>
      </c>
      <c r="D1415" s="4">
        <v>3.5179999999999998</v>
      </c>
      <c r="E1415" s="4">
        <v>3609</v>
      </c>
      <c r="F1415" s="4">
        <v>4.3009000000000004</v>
      </c>
      <c r="G1415" s="4">
        <v>15521.9481</v>
      </c>
      <c r="H1415" s="5">
        <f t="shared" ref="H1415:H1478" si="22">(D1415-D1414)/D1414</f>
        <v>-2.2723484638035533E-2</v>
      </c>
    </row>
    <row r="1416" spans="1:8" ht="13.5" x14ac:dyDescent="0.25">
      <c r="A1416" s="1"/>
      <c r="B1416" s="3">
        <v>44370</v>
      </c>
      <c r="C1416" s="4">
        <v>4.08</v>
      </c>
      <c r="D1416" s="4">
        <v>3.3380000000000001</v>
      </c>
      <c r="E1416" s="4">
        <v>23262</v>
      </c>
      <c r="F1416" s="4">
        <v>4.0952999999999999</v>
      </c>
      <c r="G1416" s="4">
        <v>95264.868600000002</v>
      </c>
      <c r="H1416" s="5">
        <f t="shared" si="22"/>
        <v>-5.1165434906196627E-2</v>
      </c>
    </row>
    <row r="1417" spans="1:8" ht="13.5" x14ac:dyDescent="0.25">
      <c r="A1417" s="1"/>
      <c r="B1417" s="3">
        <v>44371</v>
      </c>
      <c r="C1417" s="4">
        <v>4.0999999999999996</v>
      </c>
      <c r="D1417" s="4">
        <v>3.3544</v>
      </c>
      <c r="E1417" s="4">
        <v>2845</v>
      </c>
      <c r="F1417" s="4">
        <v>4.0654000000000003</v>
      </c>
      <c r="G1417" s="4">
        <v>11566.063</v>
      </c>
      <c r="H1417" s="5">
        <f t="shared" si="22"/>
        <v>4.9131216297183854E-3</v>
      </c>
    </row>
    <row r="1418" spans="1:8" ht="13.5" x14ac:dyDescent="0.25">
      <c r="A1418" s="1"/>
      <c r="B1418" s="3">
        <v>44372</v>
      </c>
      <c r="C1418" s="4">
        <v>4.08</v>
      </c>
      <c r="D1418" s="4">
        <v>3.3380000000000001</v>
      </c>
      <c r="E1418" s="4">
        <v>11634</v>
      </c>
      <c r="F1418" s="4">
        <v>4.0275999999999996</v>
      </c>
      <c r="G1418" s="4">
        <v>46857.098400000003</v>
      </c>
      <c r="H1418" s="5">
        <f t="shared" si="22"/>
        <v>-4.8891008824230768E-3</v>
      </c>
    </row>
    <row r="1419" spans="1:8" ht="13.5" x14ac:dyDescent="0.25">
      <c r="A1419" s="1"/>
      <c r="B1419" s="3">
        <v>44375</v>
      </c>
      <c r="C1419" s="4">
        <v>4.08</v>
      </c>
      <c r="D1419" s="4">
        <v>3.3380000000000001</v>
      </c>
      <c r="E1419" s="4">
        <v>1427</v>
      </c>
      <c r="F1419" s="4">
        <v>4.0307000000000004</v>
      </c>
      <c r="G1419" s="4">
        <v>5751.8089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4.07</v>
      </c>
      <c r="D1420" s="4">
        <v>3.3298000000000001</v>
      </c>
      <c r="E1420" s="4">
        <v>2257</v>
      </c>
      <c r="F1420" s="4">
        <v>4.0347999999999997</v>
      </c>
      <c r="G1420" s="4">
        <v>9106.5436000000009</v>
      </c>
      <c r="H1420" s="5">
        <f t="shared" si="22"/>
        <v>-2.4565608148591927E-3</v>
      </c>
    </row>
    <row r="1421" spans="1:8" ht="13.5" x14ac:dyDescent="0.25">
      <c r="A1421" s="1"/>
      <c r="B1421" s="3">
        <v>44377</v>
      </c>
      <c r="C1421" s="4">
        <v>3.94</v>
      </c>
      <c r="D1421" s="4">
        <v>3.2235</v>
      </c>
      <c r="E1421" s="4">
        <v>8336</v>
      </c>
      <c r="F1421" s="4">
        <v>3.9262000000000001</v>
      </c>
      <c r="G1421" s="4">
        <v>32728.803199999998</v>
      </c>
      <c r="H1421" s="5">
        <f t="shared" si="22"/>
        <v>-3.1923839269625824E-2</v>
      </c>
    </row>
    <row r="1422" spans="1:8" ht="13.5" x14ac:dyDescent="0.25">
      <c r="A1422" s="1"/>
      <c r="B1422" s="3">
        <v>44378</v>
      </c>
      <c r="C1422" s="4">
        <v>3.94</v>
      </c>
      <c r="D1422" s="4">
        <v>3.2235</v>
      </c>
      <c r="E1422" s="4">
        <v>3603</v>
      </c>
      <c r="F1422" s="4">
        <v>3.891</v>
      </c>
      <c r="G1422" s="4">
        <v>14019.272999999999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3.89</v>
      </c>
      <c r="D1423" s="4">
        <v>3.1825999999999999</v>
      </c>
      <c r="E1423" s="4">
        <v>1605</v>
      </c>
      <c r="F1423" s="4">
        <v>3.8292999999999999</v>
      </c>
      <c r="G1423" s="4">
        <v>6146.0264999999999</v>
      </c>
      <c r="H1423" s="5">
        <f t="shared" si="22"/>
        <v>-1.2688071971459642E-2</v>
      </c>
    </row>
    <row r="1424" spans="1:8" ht="13.5" x14ac:dyDescent="0.25">
      <c r="A1424" s="1"/>
      <c r="B1424" s="3">
        <v>44382</v>
      </c>
      <c r="C1424" s="4">
        <v>3.87</v>
      </c>
      <c r="D1424" s="4">
        <v>3.1661999999999999</v>
      </c>
      <c r="E1424" s="4">
        <v>2597</v>
      </c>
      <c r="F1424" s="4">
        <v>3.8136999999999999</v>
      </c>
      <c r="G1424" s="4">
        <v>9904.1789000000008</v>
      </c>
      <c r="H1424" s="5">
        <f t="shared" si="22"/>
        <v>-5.1530195437692362E-3</v>
      </c>
    </row>
    <row r="1425" spans="1:8" ht="13.5" x14ac:dyDescent="0.25">
      <c r="A1425" s="1"/>
      <c r="B1425" s="3">
        <v>44383</v>
      </c>
      <c r="C1425" s="4">
        <v>3.8</v>
      </c>
      <c r="D1425" s="4">
        <v>3.1089000000000002</v>
      </c>
      <c r="E1425" s="4">
        <v>673</v>
      </c>
      <c r="F1425" s="4">
        <v>3.8001999999999998</v>
      </c>
      <c r="G1425" s="4">
        <v>2557.5346</v>
      </c>
      <c r="H1425" s="5">
        <f t="shared" si="22"/>
        <v>-1.8097403827932439E-2</v>
      </c>
    </row>
    <row r="1426" spans="1:8" ht="13.5" x14ac:dyDescent="0.25">
      <c r="A1426" s="1"/>
      <c r="B1426" s="3">
        <v>44384</v>
      </c>
      <c r="C1426" s="4">
        <v>3.8</v>
      </c>
      <c r="D1426" s="4">
        <v>3.1089000000000002</v>
      </c>
      <c r="E1426" s="4">
        <v>1607</v>
      </c>
      <c r="F1426" s="4">
        <v>3.7435</v>
      </c>
      <c r="G1426" s="4">
        <v>6015.8045000000002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3.69</v>
      </c>
      <c r="D1427" s="4">
        <v>3.0190000000000001</v>
      </c>
      <c r="E1427" s="4">
        <v>4519</v>
      </c>
      <c r="F1427" s="4">
        <v>3.7</v>
      </c>
      <c r="G1427" s="4">
        <v>16720.3</v>
      </c>
      <c r="H1427" s="5">
        <f t="shared" si="22"/>
        <v>-2.8916980282415031E-2</v>
      </c>
    </row>
    <row r="1428" spans="1:8" ht="13.5" x14ac:dyDescent="0.25">
      <c r="A1428" s="1"/>
      <c r="B1428" s="3">
        <v>44386</v>
      </c>
      <c r="C1428" s="4">
        <v>3.69</v>
      </c>
      <c r="D1428" s="4">
        <v>3.0190000000000001</v>
      </c>
      <c r="E1428" s="4">
        <v>2071</v>
      </c>
      <c r="F1428" s="4">
        <v>3.69</v>
      </c>
      <c r="G1428" s="4">
        <v>7641.99</v>
      </c>
      <c r="H1428" s="5">
        <f t="shared" si="22"/>
        <v>0</v>
      </c>
    </row>
    <row r="1429" spans="1:8" ht="13.5" x14ac:dyDescent="0.25">
      <c r="A1429" s="1"/>
      <c r="B1429" s="3">
        <v>44389</v>
      </c>
      <c r="C1429" s="4">
        <v>3.61</v>
      </c>
      <c r="D1429" s="4">
        <v>2.9535</v>
      </c>
      <c r="E1429" s="4">
        <v>965</v>
      </c>
      <c r="F1429" s="4">
        <v>3.6128</v>
      </c>
      <c r="G1429" s="4">
        <v>3486.3519999999999</v>
      </c>
      <c r="H1429" s="5">
        <f t="shared" si="22"/>
        <v>-2.1695925803246145E-2</v>
      </c>
    </row>
    <row r="1430" spans="1:8" ht="13.5" x14ac:dyDescent="0.25">
      <c r="A1430" s="1"/>
      <c r="B1430" s="3">
        <v>44390</v>
      </c>
      <c r="C1430" s="4">
        <v>3.69</v>
      </c>
      <c r="D1430" s="4">
        <v>3.0190000000000001</v>
      </c>
      <c r="E1430" s="4">
        <v>46</v>
      </c>
      <c r="F1430" s="4">
        <v>3.69</v>
      </c>
      <c r="G1430" s="4">
        <v>169.74</v>
      </c>
      <c r="H1430" s="5">
        <f t="shared" si="22"/>
        <v>2.217707804299987E-2</v>
      </c>
    </row>
    <row r="1431" spans="1:8" ht="13.5" x14ac:dyDescent="0.25">
      <c r="A1431" s="1"/>
      <c r="B1431" s="3">
        <v>44391</v>
      </c>
      <c r="C1431" s="4">
        <v>3.75</v>
      </c>
      <c r="D1431" s="4">
        <v>3.0680000000000001</v>
      </c>
      <c r="E1431" s="4">
        <v>7577</v>
      </c>
      <c r="F1431" s="4">
        <v>3.7454000000000001</v>
      </c>
      <c r="G1431" s="4">
        <v>28378.895799999998</v>
      </c>
      <c r="H1431" s="5">
        <f t="shared" si="22"/>
        <v>1.6230539913878746E-2</v>
      </c>
    </row>
    <row r="1432" spans="1:8" ht="13.5" x14ac:dyDescent="0.25">
      <c r="A1432" s="1"/>
      <c r="B1432" s="3">
        <v>44392</v>
      </c>
      <c r="C1432" s="4">
        <v>3.86</v>
      </c>
      <c r="D1432" s="4">
        <v>3.1579999999999999</v>
      </c>
      <c r="E1432" s="4">
        <v>6255</v>
      </c>
      <c r="F1432" s="4">
        <v>3.7612999999999999</v>
      </c>
      <c r="G1432" s="4">
        <v>23526.931499999999</v>
      </c>
      <c r="H1432" s="5">
        <f t="shared" si="22"/>
        <v>2.9335071707953016E-2</v>
      </c>
    </row>
    <row r="1433" spans="1:8" ht="13.5" x14ac:dyDescent="0.25">
      <c r="A1433" s="1"/>
      <c r="B1433" s="3">
        <v>44393</v>
      </c>
      <c r="C1433" s="4">
        <v>3.8</v>
      </c>
      <c r="D1433" s="4">
        <v>3.1089000000000002</v>
      </c>
      <c r="E1433" s="4">
        <v>24055</v>
      </c>
      <c r="F1433" s="4">
        <v>3.8988999999999998</v>
      </c>
      <c r="G1433" s="4">
        <v>93788.039499999999</v>
      </c>
      <c r="H1433" s="5">
        <f t="shared" si="22"/>
        <v>-1.554781507283081E-2</v>
      </c>
    </row>
    <row r="1434" spans="1:8" ht="13.5" x14ac:dyDescent="0.25">
      <c r="A1434" s="1"/>
      <c r="B1434" s="3">
        <v>44396</v>
      </c>
      <c r="C1434" s="4">
        <v>3.87</v>
      </c>
      <c r="D1434" s="4">
        <v>3.1661999999999999</v>
      </c>
      <c r="E1434" s="4">
        <v>423</v>
      </c>
      <c r="F1434" s="4">
        <v>3.8574000000000002</v>
      </c>
      <c r="G1434" s="4">
        <v>1631.6802</v>
      </c>
      <c r="H1434" s="5">
        <f t="shared" si="22"/>
        <v>1.8430956286789438E-2</v>
      </c>
    </row>
    <row r="1435" spans="1:8" ht="13.5" x14ac:dyDescent="0.25">
      <c r="A1435" s="1"/>
      <c r="B1435" s="3">
        <v>44399</v>
      </c>
      <c r="C1435" s="4">
        <v>3.87</v>
      </c>
      <c r="D1435" s="4">
        <v>3.1661999999999999</v>
      </c>
      <c r="E1435" s="4">
        <v>3562</v>
      </c>
      <c r="F1435" s="4">
        <v>3.9554</v>
      </c>
      <c r="G1435" s="4">
        <v>14089.1348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3.93</v>
      </c>
      <c r="D1436" s="4">
        <v>3.2153</v>
      </c>
      <c r="E1436" s="4">
        <v>144</v>
      </c>
      <c r="F1436" s="4">
        <v>3.9073000000000002</v>
      </c>
      <c r="G1436" s="4">
        <v>562.65120000000002</v>
      </c>
      <c r="H1436" s="5">
        <f t="shared" si="22"/>
        <v>1.55075484808288E-2</v>
      </c>
    </row>
    <row r="1437" spans="1:8" ht="13.5" x14ac:dyDescent="0.25">
      <c r="A1437" s="1"/>
      <c r="B1437" s="3">
        <v>44403</v>
      </c>
      <c r="C1437" s="4">
        <v>3.88</v>
      </c>
      <c r="D1437" s="4">
        <v>3.1743999999999999</v>
      </c>
      <c r="E1437" s="4">
        <v>6</v>
      </c>
      <c r="F1437" s="4">
        <v>3.855</v>
      </c>
      <c r="G1437" s="4">
        <v>23.13</v>
      </c>
      <c r="H1437" s="5">
        <f t="shared" si="22"/>
        <v>-1.2720430441949478E-2</v>
      </c>
    </row>
    <row r="1438" spans="1:8" ht="13.5" x14ac:dyDescent="0.25">
      <c r="A1438" s="1"/>
      <c r="B1438" s="3">
        <v>44404</v>
      </c>
      <c r="C1438" s="4">
        <v>3.9</v>
      </c>
      <c r="D1438" s="4">
        <v>3.1907999999999999</v>
      </c>
      <c r="E1438" s="4">
        <v>205</v>
      </c>
      <c r="F1438" s="4">
        <v>3.8338000000000001</v>
      </c>
      <c r="G1438" s="4">
        <v>785.92899999999997</v>
      </c>
      <c r="H1438" s="5">
        <f t="shared" si="22"/>
        <v>5.1663306451612814E-3</v>
      </c>
    </row>
    <row r="1439" spans="1:8" ht="13.5" x14ac:dyDescent="0.25">
      <c r="A1439" s="1"/>
      <c r="B1439" s="3">
        <v>44405</v>
      </c>
      <c r="C1439" s="4">
        <v>3.85</v>
      </c>
      <c r="D1439" s="4">
        <v>3.1499000000000001</v>
      </c>
      <c r="E1439" s="4">
        <v>1363</v>
      </c>
      <c r="F1439" s="4">
        <v>3.8441000000000001</v>
      </c>
      <c r="G1439" s="4">
        <v>5239.5083000000004</v>
      </c>
      <c r="H1439" s="5">
        <f t="shared" si="22"/>
        <v>-1.2818102043374613E-2</v>
      </c>
    </row>
    <row r="1440" spans="1:8" ht="13.5" x14ac:dyDescent="0.25">
      <c r="A1440" s="1"/>
      <c r="B1440" s="3">
        <v>44406</v>
      </c>
      <c r="C1440" s="4">
        <v>3.89</v>
      </c>
      <c r="D1440" s="4">
        <v>3.1825999999999999</v>
      </c>
      <c r="E1440" s="4">
        <v>210</v>
      </c>
      <c r="F1440" s="4">
        <v>3.8043</v>
      </c>
      <c r="G1440" s="4">
        <v>798.90300000000002</v>
      </c>
      <c r="H1440" s="5">
        <f t="shared" si="22"/>
        <v>1.0381281945458499E-2</v>
      </c>
    </row>
    <row r="1441" spans="1:8" ht="13.5" x14ac:dyDescent="0.25">
      <c r="A1441" s="1"/>
      <c r="B1441" s="3">
        <v>44407</v>
      </c>
      <c r="C1441" s="4">
        <v>3.88</v>
      </c>
      <c r="D1441" s="4">
        <v>3.1743999999999999</v>
      </c>
      <c r="E1441" s="4">
        <v>1280</v>
      </c>
      <c r="F1441" s="4">
        <v>3.7965</v>
      </c>
      <c r="G1441" s="4">
        <v>4859.5200000000004</v>
      </c>
      <c r="H1441" s="5">
        <f t="shared" si="22"/>
        <v>-2.5765097718846181E-3</v>
      </c>
    </row>
    <row r="1442" spans="1:8" ht="13.5" x14ac:dyDescent="0.25">
      <c r="A1442" s="1"/>
      <c r="B1442" s="3">
        <v>44410</v>
      </c>
      <c r="C1442" s="4">
        <v>3.88</v>
      </c>
      <c r="D1442" s="4">
        <v>3.1743999999999999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3.8</v>
      </c>
      <c r="D1443" s="4">
        <v>3.1089000000000002</v>
      </c>
      <c r="E1443" s="4">
        <v>5571</v>
      </c>
      <c r="F1443" s="4">
        <v>3.8123</v>
      </c>
      <c r="G1443" s="4">
        <v>21238.3233</v>
      </c>
      <c r="H1443" s="5">
        <f t="shared" si="22"/>
        <v>-2.0633820564516025E-2</v>
      </c>
    </row>
    <row r="1444" spans="1:8" ht="13.5" x14ac:dyDescent="0.25">
      <c r="A1444" s="1"/>
      <c r="B1444" s="3">
        <v>44412</v>
      </c>
      <c r="C1444" s="4">
        <v>3.8</v>
      </c>
      <c r="D1444" s="4">
        <v>3.1089000000000002</v>
      </c>
      <c r="E1444" s="4">
        <v>1076</v>
      </c>
      <c r="F1444" s="4">
        <v>3.7355999999999998</v>
      </c>
      <c r="G1444" s="4">
        <v>4019.5056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3.82</v>
      </c>
      <c r="D1445" s="4">
        <v>3.1253000000000002</v>
      </c>
      <c r="E1445" s="4">
        <v>2063</v>
      </c>
      <c r="F1445" s="4">
        <v>3.7765</v>
      </c>
      <c r="G1445" s="4">
        <v>7790.9195</v>
      </c>
      <c r="H1445" s="5">
        <f t="shared" si="22"/>
        <v>5.2751777155907132E-3</v>
      </c>
    </row>
    <row r="1446" spans="1:8" ht="13.5" x14ac:dyDescent="0.25">
      <c r="A1446" s="1"/>
      <c r="B1446" s="3">
        <v>44414</v>
      </c>
      <c r="C1446" s="4">
        <v>3.83</v>
      </c>
      <c r="D1446" s="4">
        <v>3.1335000000000002</v>
      </c>
      <c r="E1446" s="4">
        <v>2977</v>
      </c>
      <c r="F1446" s="4">
        <v>3.8252999999999999</v>
      </c>
      <c r="G1446" s="4">
        <v>11387.918100000001</v>
      </c>
      <c r="H1446" s="5">
        <f t="shared" si="22"/>
        <v>2.6237481201804576E-3</v>
      </c>
    </row>
    <row r="1447" spans="1:8" ht="13.5" x14ac:dyDescent="0.25">
      <c r="A1447" s="1"/>
      <c r="B1447" s="3">
        <v>44417</v>
      </c>
      <c r="C1447" s="4">
        <v>3.85</v>
      </c>
      <c r="D1447" s="4">
        <v>3.1499000000000001</v>
      </c>
      <c r="E1447" s="4">
        <v>525</v>
      </c>
      <c r="F1447" s="4">
        <v>3.8519999999999999</v>
      </c>
      <c r="G1447" s="4">
        <v>2022.3</v>
      </c>
      <c r="H1447" s="5">
        <f t="shared" si="22"/>
        <v>5.2337641614807629E-3</v>
      </c>
    </row>
    <row r="1448" spans="1:8" ht="13.5" x14ac:dyDescent="0.25">
      <c r="A1448" s="1"/>
      <c r="B1448" s="3">
        <v>44419</v>
      </c>
      <c r="C1448" s="4">
        <v>3.85</v>
      </c>
      <c r="D1448" s="4">
        <v>3.1499000000000001</v>
      </c>
      <c r="E1448" s="4">
        <v>555</v>
      </c>
      <c r="F1448" s="4">
        <v>3.8742999999999999</v>
      </c>
      <c r="G1448" s="4">
        <v>2150.2365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3.88</v>
      </c>
      <c r="D1449" s="4">
        <v>3.1743999999999999</v>
      </c>
      <c r="E1449" s="4">
        <v>132</v>
      </c>
      <c r="F1449" s="4">
        <v>3.8736000000000002</v>
      </c>
      <c r="G1449" s="4">
        <v>511.3152</v>
      </c>
      <c r="H1449" s="5">
        <f t="shared" si="22"/>
        <v>7.7780246991967185E-3</v>
      </c>
    </row>
    <row r="1450" spans="1:8" ht="13.5" x14ac:dyDescent="0.25">
      <c r="A1450" s="1"/>
      <c r="B1450" s="3">
        <v>44424</v>
      </c>
      <c r="C1450" s="4">
        <v>3.91</v>
      </c>
      <c r="D1450" s="4">
        <v>3.1989000000000001</v>
      </c>
      <c r="E1450" s="4">
        <v>4</v>
      </c>
      <c r="F1450" s="4">
        <v>3.91</v>
      </c>
      <c r="G1450" s="4">
        <v>15.64</v>
      </c>
      <c r="H1450" s="5">
        <f t="shared" si="22"/>
        <v>7.7179939516129632E-3</v>
      </c>
    </row>
    <row r="1451" spans="1:8" ht="13.5" x14ac:dyDescent="0.25">
      <c r="A1451" s="1"/>
      <c r="B1451" s="3">
        <v>44425</v>
      </c>
      <c r="C1451" s="4">
        <v>3.9</v>
      </c>
      <c r="D1451" s="4">
        <v>3.1907999999999999</v>
      </c>
      <c r="E1451" s="4">
        <v>778</v>
      </c>
      <c r="F1451" s="4">
        <v>3.8325</v>
      </c>
      <c r="G1451" s="4">
        <v>2981.6849999999999</v>
      </c>
      <c r="H1451" s="5">
        <f t="shared" si="22"/>
        <v>-2.5321204163932035E-3</v>
      </c>
    </row>
    <row r="1452" spans="1:8" ht="13.5" x14ac:dyDescent="0.25">
      <c r="A1452" s="1"/>
      <c r="B1452" s="3">
        <v>44426</v>
      </c>
      <c r="C1452" s="4">
        <v>3.88</v>
      </c>
      <c r="D1452" s="4">
        <v>3.1743999999999999</v>
      </c>
      <c r="E1452" s="4">
        <v>2504</v>
      </c>
      <c r="F1452" s="4">
        <v>3.8100999999999998</v>
      </c>
      <c r="G1452" s="4">
        <v>9540.4904000000006</v>
      </c>
      <c r="H1452" s="5">
        <f t="shared" si="22"/>
        <v>-5.139776858468087E-3</v>
      </c>
    </row>
    <row r="1453" spans="1:8" ht="13.5" x14ac:dyDescent="0.25">
      <c r="A1453" s="1"/>
      <c r="B1453" s="3">
        <v>44427</v>
      </c>
      <c r="C1453" s="4">
        <v>3.99</v>
      </c>
      <c r="D1453" s="4">
        <v>3.2644000000000002</v>
      </c>
      <c r="E1453" s="4">
        <v>21908</v>
      </c>
      <c r="F1453" s="4">
        <v>3.9807999999999999</v>
      </c>
      <c r="G1453" s="4">
        <v>87211.366399999999</v>
      </c>
      <c r="H1453" s="5">
        <f t="shared" si="22"/>
        <v>2.8351814516129129E-2</v>
      </c>
    </row>
    <row r="1454" spans="1:8" ht="13.5" x14ac:dyDescent="0.25">
      <c r="A1454" s="1"/>
      <c r="B1454" s="3">
        <v>44428</v>
      </c>
      <c r="C1454" s="4">
        <v>4.09</v>
      </c>
      <c r="D1454" s="4">
        <v>3.3462000000000001</v>
      </c>
      <c r="E1454" s="4">
        <v>19910</v>
      </c>
      <c r="F1454" s="4">
        <v>4.0160999999999998</v>
      </c>
      <c r="G1454" s="4">
        <v>79960.551000000007</v>
      </c>
      <c r="H1454" s="5">
        <f t="shared" si="22"/>
        <v>2.5058203651513254E-2</v>
      </c>
    </row>
    <row r="1455" spans="1:8" ht="13.5" x14ac:dyDescent="0.25">
      <c r="A1455" s="1"/>
      <c r="B1455" s="3">
        <v>44431</v>
      </c>
      <c r="C1455" s="4">
        <v>4.13</v>
      </c>
      <c r="D1455" s="4">
        <v>3.3788999999999998</v>
      </c>
      <c r="E1455" s="4">
        <v>1078</v>
      </c>
      <c r="F1455" s="4">
        <v>4.1024000000000003</v>
      </c>
      <c r="G1455" s="4">
        <v>4422.3872000000001</v>
      </c>
      <c r="H1455" s="5">
        <f t="shared" si="22"/>
        <v>9.772279003048152E-3</v>
      </c>
    </row>
    <row r="1456" spans="1:8" ht="13.5" x14ac:dyDescent="0.25">
      <c r="A1456" s="1"/>
      <c r="B1456" s="3">
        <v>44432</v>
      </c>
      <c r="C1456" s="4">
        <v>4.09</v>
      </c>
      <c r="D1456" s="4">
        <v>3.3462000000000001</v>
      </c>
      <c r="E1456" s="4">
        <v>758</v>
      </c>
      <c r="F1456" s="4">
        <v>4.0389999999999997</v>
      </c>
      <c r="G1456" s="4">
        <v>3061.5619999999999</v>
      </c>
      <c r="H1456" s="5">
        <f t="shared" si="22"/>
        <v>-9.677705762230232E-3</v>
      </c>
    </row>
    <row r="1457" spans="1:8" ht="13.5" x14ac:dyDescent="0.25">
      <c r="A1457" s="1"/>
      <c r="B1457" s="3">
        <v>44433</v>
      </c>
      <c r="C1457" s="4">
        <v>4.0999999999999996</v>
      </c>
      <c r="D1457" s="4">
        <v>3.3544</v>
      </c>
      <c r="E1457" s="4">
        <v>1880</v>
      </c>
      <c r="F1457" s="4">
        <v>4.0869999999999997</v>
      </c>
      <c r="G1457" s="4">
        <v>7683.56</v>
      </c>
      <c r="H1457" s="5">
        <f t="shared" si="22"/>
        <v>2.4505409120793692E-3</v>
      </c>
    </row>
    <row r="1458" spans="1:8" ht="13.5" x14ac:dyDescent="0.25">
      <c r="A1458" s="1"/>
      <c r="B1458" s="3">
        <v>44434</v>
      </c>
      <c r="C1458" s="4">
        <v>4.0999999999999996</v>
      </c>
      <c r="D1458" s="4">
        <v>3.3544</v>
      </c>
      <c r="E1458" s="4">
        <v>2130</v>
      </c>
      <c r="F1458" s="4">
        <v>3.9925999999999999</v>
      </c>
      <c r="G1458" s="4">
        <v>8504.2379999999994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3.98</v>
      </c>
      <c r="D1459" s="4">
        <v>3.2562000000000002</v>
      </c>
      <c r="E1459" s="4">
        <v>1123</v>
      </c>
      <c r="F1459" s="4">
        <v>3.98</v>
      </c>
      <c r="G1459" s="4">
        <v>4469.54</v>
      </c>
      <c r="H1459" s="5">
        <f t="shared" si="22"/>
        <v>-2.9274982113045505E-2</v>
      </c>
    </row>
    <row r="1460" spans="1:8" ht="13.5" x14ac:dyDescent="0.25">
      <c r="A1460" s="1"/>
      <c r="B1460" s="3">
        <v>44438</v>
      </c>
      <c r="C1460" s="4">
        <v>3.98</v>
      </c>
      <c r="D1460" s="4">
        <v>3.2562000000000002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4.05</v>
      </c>
      <c r="D1461" s="4">
        <v>3.3134999999999999</v>
      </c>
      <c r="E1461" s="4">
        <v>1</v>
      </c>
      <c r="F1461" s="4">
        <v>4.05</v>
      </c>
      <c r="G1461" s="4">
        <v>4.05</v>
      </c>
      <c r="H1461" s="5">
        <f t="shared" si="22"/>
        <v>1.7597199189238893E-2</v>
      </c>
    </row>
    <row r="1462" spans="1:8" ht="13.5" x14ac:dyDescent="0.25">
      <c r="A1462" s="1"/>
      <c r="B1462" s="3">
        <v>44440</v>
      </c>
      <c r="C1462" s="4">
        <v>3.9</v>
      </c>
      <c r="D1462" s="4">
        <v>3.1907999999999999</v>
      </c>
      <c r="E1462" s="4">
        <v>854</v>
      </c>
      <c r="F1462" s="4">
        <v>3.887</v>
      </c>
      <c r="G1462" s="4">
        <v>3319.498</v>
      </c>
      <c r="H1462" s="5">
        <f t="shared" si="22"/>
        <v>-3.7030330466274346E-2</v>
      </c>
    </row>
    <row r="1463" spans="1:8" ht="13.5" x14ac:dyDescent="0.25">
      <c r="A1463" s="1"/>
      <c r="B1463" s="3">
        <v>44441</v>
      </c>
      <c r="C1463" s="4">
        <v>3.97</v>
      </c>
      <c r="D1463" s="4">
        <v>3.2480000000000002</v>
      </c>
      <c r="E1463" s="4">
        <v>5</v>
      </c>
      <c r="F1463" s="4">
        <v>3.97</v>
      </c>
      <c r="G1463" s="4">
        <v>19.850000000000001</v>
      </c>
      <c r="H1463" s="5">
        <f t="shared" si="22"/>
        <v>1.7926538799047376E-2</v>
      </c>
    </row>
    <row r="1464" spans="1:8" ht="13.5" x14ac:dyDescent="0.25">
      <c r="A1464" s="1"/>
      <c r="B1464" s="3">
        <v>44442</v>
      </c>
      <c r="C1464" s="4">
        <v>3.9</v>
      </c>
      <c r="D1464" s="4">
        <v>3.1907999999999999</v>
      </c>
      <c r="E1464" s="4">
        <v>1738</v>
      </c>
      <c r="F1464" s="4">
        <v>3.8660000000000001</v>
      </c>
      <c r="G1464" s="4">
        <v>6719.1080000000002</v>
      </c>
      <c r="H1464" s="5">
        <f t="shared" si="22"/>
        <v>-1.7610837438423756E-2</v>
      </c>
    </row>
    <row r="1465" spans="1:8" ht="13.5" x14ac:dyDescent="0.25">
      <c r="A1465" s="1"/>
      <c r="B1465" s="3">
        <v>44445</v>
      </c>
      <c r="C1465" s="4">
        <v>3.9</v>
      </c>
      <c r="D1465" s="4">
        <v>3.1907999999999999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3.9</v>
      </c>
      <c r="D1466" s="4">
        <v>3.1907999999999999</v>
      </c>
      <c r="E1466" s="4">
        <v>200</v>
      </c>
      <c r="F1466" s="4">
        <v>3.8860000000000001</v>
      </c>
      <c r="G1466" s="4">
        <v>777.2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3.86</v>
      </c>
      <c r="D1467" s="4">
        <v>3.1579999999999999</v>
      </c>
      <c r="E1467" s="4">
        <v>575</v>
      </c>
      <c r="F1467" s="4">
        <v>3.802</v>
      </c>
      <c r="G1467" s="4">
        <v>2186.15</v>
      </c>
      <c r="H1467" s="5">
        <f t="shared" si="22"/>
        <v>-1.0279553716936174E-2</v>
      </c>
    </row>
    <row r="1468" spans="1:8" ht="13.5" x14ac:dyDescent="0.25">
      <c r="A1468" s="1"/>
      <c r="B1468" s="3">
        <v>44448</v>
      </c>
      <c r="C1468" s="4">
        <v>3.88</v>
      </c>
      <c r="D1468" s="4">
        <v>3.1743999999999999</v>
      </c>
      <c r="E1468" s="4">
        <v>797</v>
      </c>
      <c r="F1468" s="4">
        <v>3.802</v>
      </c>
      <c r="G1468" s="4">
        <v>3030.194</v>
      </c>
      <c r="H1468" s="5">
        <f t="shared" si="22"/>
        <v>5.1931602279923911E-3</v>
      </c>
    </row>
    <row r="1469" spans="1:8" ht="13.5" x14ac:dyDescent="0.25">
      <c r="A1469" s="1"/>
      <c r="B1469" s="3">
        <v>44449</v>
      </c>
      <c r="C1469" s="4">
        <v>3.79</v>
      </c>
      <c r="D1469" s="4">
        <v>3.1008</v>
      </c>
      <c r="E1469" s="4">
        <v>747</v>
      </c>
      <c r="F1469" s="4">
        <v>3.798</v>
      </c>
      <c r="G1469" s="4">
        <v>2837.1060000000002</v>
      </c>
      <c r="H1469" s="5">
        <f t="shared" si="22"/>
        <v>-2.3185483870967707E-2</v>
      </c>
    </row>
    <row r="1470" spans="1:8" ht="13.5" x14ac:dyDescent="0.25">
      <c r="A1470" s="1"/>
      <c r="B1470" s="3">
        <v>44452</v>
      </c>
      <c r="C1470" s="4">
        <v>3.81</v>
      </c>
      <c r="D1470" s="4">
        <v>3.1171000000000002</v>
      </c>
      <c r="E1470" s="4">
        <v>2</v>
      </c>
      <c r="F1470" s="4">
        <v>3.81</v>
      </c>
      <c r="G1470" s="4">
        <v>7.62</v>
      </c>
      <c r="H1470" s="5">
        <f t="shared" si="22"/>
        <v>5.2567079463364946E-3</v>
      </c>
    </row>
    <row r="1471" spans="1:8" ht="13.5" x14ac:dyDescent="0.25">
      <c r="A1471" s="1"/>
      <c r="B1471" s="3">
        <v>44453</v>
      </c>
      <c r="C1471" s="4">
        <v>3.72</v>
      </c>
      <c r="D1471" s="4">
        <v>3.0434999999999999</v>
      </c>
      <c r="E1471" s="4">
        <v>450</v>
      </c>
      <c r="F1471" s="4">
        <v>3.7450000000000001</v>
      </c>
      <c r="G1471" s="4">
        <v>1685.25</v>
      </c>
      <c r="H1471" s="5">
        <f t="shared" si="22"/>
        <v>-2.3611690353213026E-2</v>
      </c>
    </row>
    <row r="1472" spans="1:8" ht="13.5" x14ac:dyDescent="0.25">
      <c r="A1472" s="1"/>
      <c r="B1472" s="3">
        <v>44454</v>
      </c>
      <c r="C1472" s="4">
        <v>3.79</v>
      </c>
      <c r="D1472" s="4">
        <v>3.1008</v>
      </c>
      <c r="E1472" s="4">
        <v>2143</v>
      </c>
      <c r="F1472" s="4">
        <v>3.718</v>
      </c>
      <c r="G1472" s="4">
        <v>7967.674</v>
      </c>
      <c r="H1472" s="5">
        <f t="shared" si="22"/>
        <v>1.8827008378511624E-2</v>
      </c>
    </row>
    <row r="1473" spans="1:8" ht="13.5" x14ac:dyDescent="0.25">
      <c r="A1473" s="1"/>
      <c r="B1473" s="3">
        <v>44455</v>
      </c>
      <c r="C1473" s="4">
        <v>3.75</v>
      </c>
      <c r="D1473" s="4">
        <v>3.0680000000000001</v>
      </c>
      <c r="E1473" s="4">
        <v>3162</v>
      </c>
      <c r="F1473" s="4">
        <v>3.673</v>
      </c>
      <c r="G1473" s="4">
        <v>11614.026</v>
      </c>
      <c r="H1473" s="5">
        <f t="shared" si="22"/>
        <v>-1.0577915376676968E-2</v>
      </c>
    </row>
    <row r="1474" spans="1:8" ht="13.5" x14ac:dyDescent="0.25">
      <c r="A1474" s="1"/>
      <c r="B1474" s="3">
        <v>44456</v>
      </c>
      <c r="C1474" s="4">
        <v>3.74</v>
      </c>
      <c r="D1474" s="4">
        <v>3.0598999999999998</v>
      </c>
      <c r="E1474" s="4">
        <v>468</v>
      </c>
      <c r="F1474" s="4">
        <v>3.6829999999999998</v>
      </c>
      <c r="G1474" s="4">
        <v>1723.644</v>
      </c>
      <c r="H1474" s="5">
        <f t="shared" si="22"/>
        <v>-2.6401564537158469E-3</v>
      </c>
    </row>
    <row r="1475" spans="1:8" ht="13.5" x14ac:dyDescent="0.25">
      <c r="A1475" s="1"/>
      <c r="B1475" s="3">
        <v>44459</v>
      </c>
      <c r="C1475" s="4">
        <v>3.66</v>
      </c>
      <c r="D1475" s="4">
        <v>2.9944000000000002</v>
      </c>
      <c r="E1475" s="4">
        <v>6433</v>
      </c>
      <c r="F1475" s="4">
        <v>3.621</v>
      </c>
      <c r="G1475" s="4">
        <v>23293.893</v>
      </c>
      <c r="H1475" s="5">
        <f t="shared" si="22"/>
        <v>-2.1405928298310294E-2</v>
      </c>
    </row>
    <row r="1476" spans="1:8" ht="13.5" x14ac:dyDescent="0.25">
      <c r="A1476" s="1"/>
      <c r="B1476" s="3">
        <v>44460</v>
      </c>
      <c r="C1476" s="4">
        <v>3.66</v>
      </c>
      <c r="D1476" s="4">
        <v>2.9944000000000002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3.64</v>
      </c>
      <c r="D1477" s="4">
        <v>2.9780000000000002</v>
      </c>
      <c r="E1477" s="4">
        <v>1073</v>
      </c>
      <c r="F1477" s="4">
        <v>3.6579999999999999</v>
      </c>
      <c r="G1477" s="4">
        <v>3925.0340000000001</v>
      </c>
      <c r="H1477" s="5">
        <f t="shared" si="22"/>
        <v>-5.4768901950307137E-3</v>
      </c>
    </row>
    <row r="1478" spans="1:8" ht="13.5" x14ac:dyDescent="0.25">
      <c r="A1478" s="1"/>
      <c r="B1478" s="3">
        <v>44462</v>
      </c>
      <c r="C1478" s="4">
        <v>3.63</v>
      </c>
      <c r="D1478" s="4">
        <v>2.9699</v>
      </c>
      <c r="E1478" s="4">
        <v>1203</v>
      </c>
      <c r="F1478" s="4">
        <v>3.6269999999999998</v>
      </c>
      <c r="G1478" s="4">
        <v>4363.2809999999999</v>
      </c>
      <c r="H1478" s="5">
        <f t="shared" si="22"/>
        <v>-2.7199462726662919E-3</v>
      </c>
    </row>
    <row r="1479" spans="1:8" ht="13.5" x14ac:dyDescent="0.25">
      <c r="A1479" s="1"/>
      <c r="B1479" s="3">
        <v>44463</v>
      </c>
      <c r="C1479" s="4">
        <v>3.55</v>
      </c>
      <c r="D1479" s="4">
        <v>2.9043999999999999</v>
      </c>
      <c r="E1479" s="4">
        <v>2593</v>
      </c>
      <c r="F1479" s="4">
        <v>3.55</v>
      </c>
      <c r="G1479" s="4">
        <v>9205.15</v>
      </c>
      <c r="H1479" s="5">
        <f t="shared" ref="H1479:H1542" si="23">(D1479-D1478)/D1478</f>
        <v>-2.2054614633489383E-2</v>
      </c>
    </row>
    <row r="1480" spans="1:8" ht="13.5" x14ac:dyDescent="0.25">
      <c r="A1480" s="1"/>
      <c r="B1480" s="3">
        <v>44466</v>
      </c>
      <c r="C1480" s="4">
        <v>3.54</v>
      </c>
      <c r="D1480" s="4">
        <v>2.8961999999999999</v>
      </c>
      <c r="E1480" s="4">
        <v>6082</v>
      </c>
      <c r="F1480" s="4">
        <v>3.4870000000000001</v>
      </c>
      <c r="G1480" s="4">
        <v>21207.934000000001</v>
      </c>
      <c r="H1480" s="5">
        <f t="shared" si="23"/>
        <v>-2.8233025754028319E-3</v>
      </c>
    </row>
    <row r="1481" spans="1:8" ht="13.5" x14ac:dyDescent="0.25">
      <c r="A1481" s="1"/>
      <c r="B1481" s="3">
        <v>44467</v>
      </c>
      <c r="C1481" s="4">
        <v>3.54</v>
      </c>
      <c r="D1481" s="4">
        <v>2.8961999999999999</v>
      </c>
      <c r="E1481" s="4">
        <v>11926</v>
      </c>
      <c r="F1481" s="4">
        <v>3.53</v>
      </c>
      <c r="G1481" s="4">
        <v>42098.78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3.54</v>
      </c>
      <c r="D1482" s="4">
        <v>2.8961999999999999</v>
      </c>
      <c r="E1482" s="4">
        <v>4776</v>
      </c>
      <c r="F1482" s="4">
        <v>3.532</v>
      </c>
      <c r="G1482" s="4">
        <v>16868.831999999999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3.55</v>
      </c>
      <c r="D1483" s="4">
        <v>2.9043999999999999</v>
      </c>
      <c r="E1483" s="4">
        <v>17025</v>
      </c>
      <c r="F1483" s="4">
        <v>3.556</v>
      </c>
      <c r="G1483" s="4">
        <v>60540.9</v>
      </c>
      <c r="H1483" s="5">
        <f t="shared" si="23"/>
        <v>2.8312961812029507E-3</v>
      </c>
    </row>
    <row r="1484" spans="1:8" ht="13.5" x14ac:dyDescent="0.25">
      <c r="A1484" s="1"/>
      <c r="B1484" s="3">
        <v>44470</v>
      </c>
      <c r="C1484" s="4">
        <v>3.54</v>
      </c>
      <c r="D1484" s="4">
        <v>2.8961999999999999</v>
      </c>
      <c r="E1484" s="4">
        <v>5238</v>
      </c>
      <c r="F1484" s="4">
        <v>3.5</v>
      </c>
      <c r="G1484" s="4">
        <v>18333</v>
      </c>
      <c r="H1484" s="5">
        <f t="shared" si="23"/>
        <v>-2.8233025754028319E-3</v>
      </c>
    </row>
    <row r="1485" spans="1:8" ht="13.5" x14ac:dyDescent="0.25">
      <c r="A1485" s="1"/>
      <c r="B1485" s="3">
        <v>44473</v>
      </c>
      <c r="C1485" s="4">
        <v>3.54</v>
      </c>
      <c r="D1485" s="4">
        <v>2.8961999999999999</v>
      </c>
      <c r="E1485" s="4">
        <v>1214</v>
      </c>
      <c r="F1485" s="4">
        <v>3.4849999999999999</v>
      </c>
      <c r="G1485" s="4">
        <v>4230.79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3.5</v>
      </c>
      <c r="D1486" s="4">
        <v>2.8635000000000002</v>
      </c>
      <c r="E1486" s="4">
        <v>3531</v>
      </c>
      <c r="F1486" s="4">
        <v>3.4689999999999999</v>
      </c>
      <c r="G1486" s="4">
        <v>12249.039000000001</v>
      </c>
      <c r="H1486" s="5">
        <f t="shared" si="23"/>
        <v>-1.1290656722601938E-2</v>
      </c>
    </row>
    <row r="1487" spans="1:8" ht="13.5" x14ac:dyDescent="0.25">
      <c r="A1487" s="1"/>
      <c r="B1487" s="3">
        <v>44475</v>
      </c>
      <c r="C1487" s="4">
        <v>3.5</v>
      </c>
      <c r="D1487" s="4">
        <v>2.8635000000000002</v>
      </c>
      <c r="E1487" s="4">
        <v>3560</v>
      </c>
      <c r="F1487" s="4">
        <v>3.45</v>
      </c>
      <c r="G1487" s="4">
        <v>12282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3.67</v>
      </c>
      <c r="D1488" s="4">
        <v>3.0026000000000002</v>
      </c>
      <c r="E1488" s="4">
        <v>10198</v>
      </c>
      <c r="F1488" s="4">
        <v>3.45</v>
      </c>
      <c r="G1488" s="4">
        <v>35183.1</v>
      </c>
      <c r="H1488" s="5">
        <f t="shared" si="23"/>
        <v>4.857691636109656E-2</v>
      </c>
    </row>
    <row r="1489" spans="1:8" ht="13.5" x14ac:dyDescent="0.25">
      <c r="A1489" s="1"/>
      <c r="B1489" s="3">
        <v>44477</v>
      </c>
      <c r="C1489" s="4">
        <v>3.6</v>
      </c>
      <c r="D1489" s="4">
        <v>2.9453</v>
      </c>
      <c r="E1489" s="4">
        <v>3295</v>
      </c>
      <c r="F1489" s="4">
        <v>3.6179999999999999</v>
      </c>
      <c r="G1489" s="4">
        <v>11921.31</v>
      </c>
      <c r="H1489" s="5">
        <f t="shared" si="23"/>
        <v>-1.9083461000466304E-2</v>
      </c>
    </row>
    <row r="1490" spans="1:8" ht="13.5" x14ac:dyDescent="0.25">
      <c r="A1490" s="1"/>
      <c r="B1490" s="3">
        <v>44480</v>
      </c>
      <c r="C1490" s="4">
        <v>3.61</v>
      </c>
      <c r="D1490" s="4">
        <v>2.9535</v>
      </c>
      <c r="E1490" s="4">
        <v>1236</v>
      </c>
      <c r="F1490" s="4">
        <v>3.5790000000000002</v>
      </c>
      <c r="G1490" s="4">
        <v>4423.6440000000002</v>
      </c>
      <c r="H1490" s="5">
        <f t="shared" si="23"/>
        <v>2.7840966964315979E-3</v>
      </c>
    </row>
    <row r="1491" spans="1:8" ht="13.5" x14ac:dyDescent="0.25">
      <c r="A1491" s="1"/>
      <c r="B1491" s="3">
        <v>44481</v>
      </c>
      <c r="C1491" s="4">
        <v>3.51</v>
      </c>
      <c r="D1491" s="4">
        <v>2.8717000000000001</v>
      </c>
      <c r="E1491" s="4">
        <v>3485</v>
      </c>
      <c r="F1491" s="4">
        <v>3.5339999999999998</v>
      </c>
      <c r="G1491" s="4">
        <v>12315.99</v>
      </c>
      <c r="H1491" s="5">
        <f t="shared" si="23"/>
        <v>-2.7695953952937152E-2</v>
      </c>
    </row>
    <row r="1492" spans="1:8" ht="13.5" x14ac:dyDescent="0.25">
      <c r="A1492" s="1"/>
      <c r="B1492" s="3">
        <v>44482</v>
      </c>
      <c r="C1492" s="4">
        <v>3.61</v>
      </c>
      <c r="D1492" s="4">
        <v>2.9535</v>
      </c>
      <c r="E1492" s="4">
        <v>8429</v>
      </c>
      <c r="F1492" s="4">
        <v>3.6019999999999999</v>
      </c>
      <c r="G1492" s="4">
        <v>30361.258000000002</v>
      </c>
      <c r="H1492" s="5">
        <f t="shared" si="23"/>
        <v>2.8484869589441748E-2</v>
      </c>
    </row>
    <row r="1493" spans="1:8" ht="13.5" x14ac:dyDescent="0.25">
      <c r="A1493" s="1"/>
      <c r="B1493" s="3">
        <v>44483</v>
      </c>
      <c r="C1493" s="4">
        <v>3.61</v>
      </c>
      <c r="D1493" s="4">
        <v>3.0400999999999998</v>
      </c>
      <c r="E1493" s="4">
        <v>1308</v>
      </c>
      <c r="F1493" s="4">
        <v>3.6419999999999999</v>
      </c>
      <c r="G1493" s="4">
        <v>4763.7359999999999</v>
      </c>
      <c r="H1493" s="5">
        <f t="shared" si="23"/>
        <v>2.9321144404943215E-2</v>
      </c>
    </row>
    <row r="1494" spans="1:8" ht="13.5" x14ac:dyDescent="0.25">
      <c r="A1494" s="1"/>
      <c r="B1494" s="3">
        <v>44488</v>
      </c>
      <c r="C1494" s="4">
        <v>3.55</v>
      </c>
      <c r="D1494" s="4">
        <v>2.9895999999999998</v>
      </c>
      <c r="E1494" s="4">
        <v>735</v>
      </c>
      <c r="F1494" s="4">
        <v>3.51</v>
      </c>
      <c r="G1494" s="4">
        <v>2579.85</v>
      </c>
      <c r="H1494" s="5">
        <f t="shared" si="23"/>
        <v>-1.6611295681063121E-2</v>
      </c>
    </row>
    <row r="1495" spans="1:8" ht="13.5" x14ac:dyDescent="0.25">
      <c r="A1495" s="1"/>
      <c r="B1495" s="3">
        <v>44489</v>
      </c>
      <c r="C1495" s="4">
        <v>3.55</v>
      </c>
      <c r="D1495" s="4">
        <v>2.9895999999999998</v>
      </c>
      <c r="E1495" s="4">
        <v>696</v>
      </c>
      <c r="F1495" s="4">
        <v>3.4889999999999999</v>
      </c>
      <c r="G1495" s="4">
        <v>2428.3440000000001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3.55</v>
      </c>
      <c r="D1496" s="4">
        <v>2.9895999999999998</v>
      </c>
      <c r="E1496" s="4">
        <v>4918</v>
      </c>
      <c r="F1496" s="4">
        <v>3.4510000000000001</v>
      </c>
      <c r="G1496" s="4">
        <v>16972.018</v>
      </c>
      <c r="H1496" s="5">
        <f t="shared" si="23"/>
        <v>0</v>
      </c>
    </row>
    <row r="1497" spans="1:8" ht="13.5" x14ac:dyDescent="0.25">
      <c r="A1497" s="1"/>
      <c r="B1497" s="3">
        <v>44491</v>
      </c>
      <c r="C1497" s="4">
        <v>3.51</v>
      </c>
      <c r="D1497" s="4">
        <v>2.9559000000000002</v>
      </c>
      <c r="E1497" s="4">
        <v>488</v>
      </c>
      <c r="F1497" s="4">
        <v>3.4390000000000001</v>
      </c>
      <c r="G1497" s="4">
        <v>1678.232</v>
      </c>
      <c r="H1497" s="5">
        <f t="shared" si="23"/>
        <v>-1.1272411024886147E-2</v>
      </c>
    </row>
    <row r="1498" spans="1:8" ht="13.5" x14ac:dyDescent="0.25">
      <c r="A1498" s="1"/>
      <c r="B1498" s="3">
        <v>44494</v>
      </c>
      <c r="C1498" s="4">
        <v>3.5</v>
      </c>
      <c r="D1498" s="4">
        <v>2.9474999999999998</v>
      </c>
      <c r="E1498" s="4">
        <v>774</v>
      </c>
      <c r="F1498" s="4">
        <v>3.4860000000000002</v>
      </c>
      <c r="G1498" s="4">
        <v>2698.1640000000002</v>
      </c>
      <c r="H1498" s="5">
        <f t="shared" si="23"/>
        <v>-2.84177407896086E-3</v>
      </c>
    </row>
    <row r="1499" spans="1:8" ht="13.5" x14ac:dyDescent="0.25">
      <c r="A1499" s="1"/>
      <c r="B1499" s="3">
        <v>44495</v>
      </c>
      <c r="C1499" s="4">
        <v>3.34</v>
      </c>
      <c r="D1499" s="4">
        <v>2.8128000000000002</v>
      </c>
      <c r="E1499" s="4">
        <v>37221</v>
      </c>
      <c r="F1499" s="4">
        <v>3.3460000000000001</v>
      </c>
      <c r="G1499" s="4">
        <v>124541.466</v>
      </c>
      <c r="H1499" s="5">
        <f t="shared" si="23"/>
        <v>-4.5699745547073657E-2</v>
      </c>
    </row>
    <row r="1500" spans="1:8" ht="13.5" x14ac:dyDescent="0.25">
      <c r="A1500" s="1"/>
      <c r="B1500" s="3">
        <v>44496</v>
      </c>
      <c r="C1500" s="4">
        <v>3.22</v>
      </c>
      <c r="D1500" s="4">
        <v>2.7117</v>
      </c>
      <c r="E1500" s="4">
        <v>23763</v>
      </c>
      <c r="F1500" s="4">
        <v>3.2240000000000002</v>
      </c>
      <c r="G1500" s="4">
        <v>76611.911999999997</v>
      </c>
      <c r="H1500" s="5">
        <f t="shared" si="23"/>
        <v>-3.5942832764505182E-2</v>
      </c>
    </row>
    <row r="1501" spans="1:8" ht="13.5" x14ac:dyDescent="0.25">
      <c r="A1501" s="1"/>
      <c r="B1501" s="3">
        <v>44497</v>
      </c>
      <c r="C1501" s="4">
        <v>3.04</v>
      </c>
      <c r="D1501" s="4">
        <v>2.5600999999999998</v>
      </c>
      <c r="E1501" s="4">
        <v>85038</v>
      </c>
      <c r="F1501" s="4">
        <v>3.0430000000000001</v>
      </c>
      <c r="G1501" s="4">
        <v>258770.63399999999</v>
      </c>
      <c r="H1501" s="5">
        <f t="shared" si="23"/>
        <v>-5.5905889294538547E-2</v>
      </c>
    </row>
    <row r="1502" spans="1:8" ht="13.5" x14ac:dyDescent="0.25">
      <c r="A1502" s="1"/>
      <c r="B1502" s="3">
        <v>44498</v>
      </c>
      <c r="C1502" s="4">
        <v>2.94</v>
      </c>
      <c r="D1502" s="4">
        <v>2.4759000000000002</v>
      </c>
      <c r="E1502" s="4">
        <v>65768</v>
      </c>
      <c r="F1502" s="4">
        <v>2.9670000000000001</v>
      </c>
      <c r="G1502" s="4">
        <v>195133.65599999999</v>
      </c>
      <c r="H1502" s="5">
        <f t="shared" si="23"/>
        <v>-3.2889340260145936E-2</v>
      </c>
    </row>
    <row r="1503" spans="1:8" ht="13.5" x14ac:dyDescent="0.25">
      <c r="A1503" s="1"/>
      <c r="B1503" s="3">
        <v>44501</v>
      </c>
      <c r="C1503" s="4">
        <v>3.1</v>
      </c>
      <c r="D1503" s="4">
        <v>2.6107</v>
      </c>
      <c r="E1503" s="4">
        <v>21674</v>
      </c>
      <c r="F1503" s="4">
        <v>3.01</v>
      </c>
      <c r="G1503" s="4">
        <v>65238.74</v>
      </c>
      <c r="H1503" s="5">
        <f t="shared" si="23"/>
        <v>5.4444848337978025E-2</v>
      </c>
    </row>
    <row r="1504" spans="1:8" ht="13.5" x14ac:dyDescent="0.25">
      <c r="A1504" s="1"/>
      <c r="B1504" s="3">
        <v>44502</v>
      </c>
      <c r="C1504" s="4">
        <v>3.15</v>
      </c>
      <c r="D1504" s="4">
        <v>2.6528</v>
      </c>
      <c r="E1504" s="4">
        <v>106960</v>
      </c>
      <c r="F1504" s="4">
        <v>2.9620000000000002</v>
      </c>
      <c r="G1504" s="4">
        <v>316815.52</v>
      </c>
      <c r="H1504" s="5">
        <f t="shared" si="23"/>
        <v>1.6125943233615516E-2</v>
      </c>
    </row>
    <row r="1505" spans="1:8" ht="13.5" x14ac:dyDescent="0.25">
      <c r="A1505" s="1"/>
      <c r="B1505" s="3">
        <v>44503</v>
      </c>
      <c r="C1505" s="4">
        <v>3.12</v>
      </c>
      <c r="D1505" s="4">
        <v>2.6274999999999999</v>
      </c>
      <c r="E1505" s="4">
        <v>4437</v>
      </c>
      <c r="F1505" s="4">
        <v>3.117</v>
      </c>
      <c r="G1505" s="4">
        <v>13830.129000000001</v>
      </c>
      <c r="H1505" s="5">
        <f t="shared" si="23"/>
        <v>-9.5370928829915935E-3</v>
      </c>
    </row>
    <row r="1506" spans="1:8" ht="13.5" x14ac:dyDescent="0.25">
      <c r="A1506" s="1"/>
      <c r="B1506" s="3">
        <v>44504</v>
      </c>
      <c r="C1506" s="4">
        <v>3.12</v>
      </c>
      <c r="D1506" s="4">
        <v>2.6274999999999999</v>
      </c>
      <c r="E1506" s="4">
        <v>659</v>
      </c>
      <c r="F1506" s="4">
        <v>3.0710000000000002</v>
      </c>
      <c r="G1506" s="4">
        <v>2023.789</v>
      </c>
      <c r="H1506" s="5">
        <f t="shared" si="23"/>
        <v>0</v>
      </c>
    </row>
    <row r="1507" spans="1:8" ht="13.5" x14ac:dyDescent="0.25">
      <c r="A1507" s="1"/>
      <c r="B1507" s="3">
        <v>44505</v>
      </c>
      <c r="C1507" s="4">
        <v>3.08</v>
      </c>
      <c r="D1507" s="4">
        <v>2.5937999999999999</v>
      </c>
      <c r="E1507" s="4">
        <v>11092</v>
      </c>
      <c r="F1507" s="4">
        <v>3.05</v>
      </c>
      <c r="G1507" s="4">
        <v>33830.6</v>
      </c>
      <c r="H1507" s="5">
        <f t="shared" si="23"/>
        <v>-1.2825880114176999E-2</v>
      </c>
    </row>
    <row r="1508" spans="1:8" ht="13.5" x14ac:dyDescent="0.25">
      <c r="A1508" s="1"/>
      <c r="B1508" s="3">
        <v>44508</v>
      </c>
      <c r="C1508" s="4">
        <v>3.26</v>
      </c>
      <c r="D1508" s="4">
        <v>2.7454000000000001</v>
      </c>
      <c r="E1508" s="4">
        <v>69711</v>
      </c>
      <c r="F1508" s="4">
        <v>3.0640000000000001</v>
      </c>
      <c r="G1508" s="4">
        <v>213594.50399999999</v>
      </c>
      <c r="H1508" s="5">
        <f t="shared" si="23"/>
        <v>5.8447066080653941E-2</v>
      </c>
    </row>
    <row r="1509" spans="1:8" ht="13.5" x14ac:dyDescent="0.25">
      <c r="A1509" s="1"/>
      <c r="B1509" s="3">
        <v>44509</v>
      </c>
      <c r="C1509" s="4">
        <v>3.24</v>
      </c>
      <c r="D1509" s="4">
        <v>2.7286000000000001</v>
      </c>
      <c r="E1509" s="4">
        <v>4804</v>
      </c>
      <c r="F1509" s="4">
        <v>3.2749999999999999</v>
      </c>
      <c r="G1509" s="4">
        <v>15733.1</v>
      </c>
      <c r="H1509" s="5">
        <f t="shared" si="23"/>
        <v>-6.1193268740438282E-3</v>
      </c>
    </row>
    <row r="1510" spans="1:8" ht="13.5" x14ac:dyDescent="0.25">
      <c r="A1510" s="1"/>
      <c r="B1510" s="3">
        <v>44510</v>
      </c>
      <c r="C1510" s="4">
        <v>3.16</v>
      </c>
      <c r="D1510" s="4">
        <v>2.6612</v>
      </c>
      <c r="E1510" s="4">
        <v>10520</v>
      </c>
      <c r="F1510" s="4">
        <v>3.1840000000000002</v>
      </c>
      <c r="G1510" s="4">
        <v>33495.68</v>
      </c>
      <c r="H1510" s="5">
        <f t="shared" si="23"/>
        <v>-2.4701312028146346E-2</v>
      </c>
    </row>
    <row r="1511" spans="1:8" ht="13.5" x14ac:dyDescent="0.25">
      <c r="A1511" s="1"/>
      <c r="B1511" s="3">
        <v>44511</v>
      </c>
      <c r="C1511" s="4">
        <v>3.12</v>
      </c>
      <c r="D1511" s="4">
        <v>2.6274999999999999</v>
      </c>
      <c r="E1511" s="4">
        <v>13093</v>
      </c>
      <c r="F1511" s="4">
        <v>3.16</v>
      </c>
      <c r="G1511" s="4">
        <v>41373.879999999997</v>
      </c>
      <c r="H1511" s="5">
        <f t="shared" si="23"/>
        <v>-1.2663460093191066E-2</v>
      </c>
    </row>
    <row r="1512" spans="1:8" ht="13.5" x14ac:dyDescent="0.25">
      <c r="A1512" s="1"/>
      <c r="B1512" s="3">
        <v>44512</v>
      </c>
      <c r="C1512" s="4">
        <v>3.23</v>
      </c>
      <c r="D1512" s="4">
        <v>2.7201</v>
      </c>
      <c r="E1512" s="4">
        <v>7</v>
      </c>
      <c r="F1512" s="4">
        <v>3.1440000000000001</v>
      </c>
      <c r="G1512" s="4">
        <v>22.007999999999999</v>
      </c>
      <c r="H1512" s="5">
        <f t="shared" si="23"/>
        <v>3.5242626070409143E-2</v>
      </c>
    </row>
    <row r="1513" spans="1:8" ht="13.5" x14ac:dyDescent="0.25">
      <c r="A1513" s="1"/>
      <c r="B1513" s="3">
        <v>44515</v>
      </c>
      <c r="C1513" s="4">
        <v>3.16</v>
      </c>
      <c r="D1513" s="4">
        <v>2.6612</v>
      </c>
      <c r="E1513" s="4">
        <v>4512</v>
      </c>
      <c r="F1513" s="4">
        <v>3.222</v>
      </c>
      <c r="G1513" s="4">
        <v>14537.664000000001</v>
      </c>
      <c r="H1513" s="5">
        <f t="shared" si="23"/>
        <v>-2.1653615675894251E-2</v>
      </c>
    </row>
    <row r="1514" spans="1:8" ht="13.5" x14ac:dyDescent="0.25">
      <c r="A1514" s="1"/>
      <c r="B1514" s="3">
        <v>44516</v>
      </c>
      <c r="C1514" s="4">
        <v>3.14</v>
      </c>
      <c r="D1514" s="4">
        <v>2.6442999999999999</v>
      </c>
      <c r="E1514" s="4">
        <v>14830</v>
      </c>
      <c r="F1514" s="4">
        <v>3.089</v>
      </c>
      <c r="G1514" s="4">
        <v>45809.87</v>
      </c>
      <c r="H1514" s="5">
        <f t="shared" si="23"/>
        <v>-6.3505185630543127E-3</v>
      </c>
    </row>
    <row r="1515" spans="1:8" ht="13.5" x14ac:dyDescent="0.25">
      <c r="A1515" s="1"/>
      <c r="B1515" s="3">
        <v>44517</v>
      </c>
      <c r="C1515" s="4">
        <v>3.14</v>
      </c>
      <c r="D1515" s="4">
        <v>2.6442999999999999</v>
      </c>
      <c r="E1515" s="4">
        <v>4905</v>
      </c>
      <c r="F1515" s="4">
        <v>3.1429999999999998</v>
      </c>
      <c r="G1515" s="4">
        <v>15416.415000000001</v>
      </c>
      <c r="H1515" s="5">
        <f t="shared" si="23"/>
        <v>0</v>
      </c>
    </row>
    <row r="1516" spans="1:8" ht="13.5" x14ac:dyDescent="0.25">
      <c r="A1516" s="1"/>
      <c r="B1516" s="3">
        <v>44518</v>
      </c>
      <c r="C1516" s="4">
        <v>3.14</v>
      </c>
      <c r="D1516" s="4">
        <v>2.6442999999999999</v>
      </c>
      <c r="E1516" s="4">
        <v>1989</v>
      </c>
      <c r="F1516" s="4">
        <v>3.14</v>
      </c>
      <c r="G1516" s="4">
        <v>6245.46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3.1</v>
      </c>
      <c r="D1517" s="4">
        <v>2.6107</v>
      </c>
      <c r="E1517" s="4">
        <v>2787</v>
      </c>
      <c r="F1517" s="4">
        <v>3.1269999999999998</v>
      </c>
      <c r="G1517" s="4">
        <v>8714.9490000000005</v>
      </c>
      <c r="H1517" s="5">
        <f t="shared" si="23"/>
        <v>-1.2706576409635765E-2</v>
      </c>
    </row>
    <row r="1518" spans="1:8" ht="13.5" x14ac:dyDescent="0.25">
      <c r="A1518" s="1"/>
      <c r="B1518" s="3">
        <v>44522</v>
      </c>
      <c r="C1518" s="4">
        <v>3.1</v>
      </c>
      <c r="D1518" s="4">
        <v>2.6107</v>
      </c>
      <c r="E1518" s="4">
        <v>430</v>
      </c>
      <c r="F1518" s="4">
        <v>3.101</v>
      </c>
      <c r="G1518" s="4">
        <v>1333.43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3.18</v>
      </c>
      <c r="D1519" s="4">
        <v>2.6779999999999999</v>
      </c>
      <c r="E1519" s="4">
        <v>12392</v>
      </c>
      <c r="F1519" s="4">
        <v>3.101</v>
      </c>
      <c r="G1519" s="4">
        <v>38427.591999999997</v>
      </c>
      <c r="H1519" s="5">
        <f t="shared" si="23"/>
        <v>2.5778526831884137E-2</v>
      </c>
    </row>
    <row r="1520" spans="1:8" ht="13.5" x14ac:dyDescent="0.25">
      <c r="A1520" s="1"/>
      <c r="B1520" s="3">
        <v>44524</v>
      </c>
      <c r="C1520" s="4">
        <v>3.1</v>
      </c>
      <c r="D1520" s="4">
        <v>2.6107</v>
      </c>
      <c r="E1520" s="4">
        <v>3138</v>
      </c>
      <c r="F1520" s="4">
        <v>3.1070000000000002</v>
      </c>
      <c r="G1520" s="4">
        <v>9749.7659999999996</v>
      </c>
      <c r="H1520" s="5">
        <f t="shared" si="23"/>
        <v>-2.5130694548170244E-2</v>
      </c>
    </row>
    <row r="1521" spans="1:8" ht="13.5" x14ac:dyDescent="0.25">
      <c r="A1521" s="1"/>
      <c r="B1521" s="3">
        <v>44525</v>
      </c>
      <c r="C1521" s="4">
        <v>3.13</v>
      </c>
      <c r="D1521" s="4">
        <v>2.6358999999999999</v>
      </c>
      <c r="E1521" s="4">
        <v>10541</v>
      </c>
      <c r="F1521" s="4">
        <v>3.1269999999999998</v>
      </c>
      <c r="G1521" s="4">
        <v>32961.707000000002</v>
      </c>
      <c r="H1521" s="5">
        <f t="shared" si="23"/>
        <v>9.6525835982686214E-3</v>
      </c>
    </row>
    <row r="1522" spans="1:8" ht="13.5" x14ac:dyDescent="0.25">
      <c r="A1522" s="1"/>
      <c r="B1522" s="3">
        <v>44526</v>
      </c>
      <c r="C1522" s="4">
        <v>3.14</v>
      </c>
      <c r="D1522" s="4">
        <v>2.6442999999999999</v>
      </c>
      <c r="E1522" s="4">
        <v>2062</v>
      </c>
      <c r="F1522" s="4">
        <v>3.109</v>
      </c>
      <c r="G1522" s="4">
        <v>6410.7579999999998</v>
      </c>
      <c r="H1522" s="5">
        <f t="shared" si="23"/>
        <v>3.1867673280473324E-3</v>
      </c>
    </row>
    <row r="1523" spans="1:8" ht="13.5" x14ac:dyDescent="0.25">
      <c r="A1523" s="1"/>
      <c r="B1523" s="3">
        <v>44529</v>
      </c>
      <c r="C1523" s="4">
        <v>3.13</v>
      </c>
      <c r="D1523" s="4">
        <v>2.6358999999999999</v>
      </c>
      <c r="E1523" s="4">
        <v>633</v>
      </c>
      <c r="F1523" s="4">
        <v>3.121</v>
      </c>
      <c r="G1523" s="4">
        <v>1975.5930000000001</v>
      </c>
      <c r="H1523" s="5">
        <f t="shared" si="23"/>
        <v>-3.1766441024089413E-3</v>
      </c>
    </row>
    <row r="1524" spans="1:8" ht="13.5" x14ac:dyDescent="0.25">
      <c r="A1524" s="1"/>
      <c r="B1524" s="3">
        <v>44530</v>
      </c>
      <c r="C1524" s="4">
        <v>3.09</v>
      </c>
      <c r="D1524" s="4">
        <v>2.6021999999999998</v>
      </c>
      <c r="E1524" s="4">
        <v>30463</v>
      </c>
      <c r="F1524" s="4">
        <v>3.0009999999999999</v>
      </c>
      <c r="G1524" s="4">
        <v>91419.463000000003</v>
      </c>
      <c r="H1524" s="5">
        <f t="shared" si="23"/>
        <v>-1.2785007018475687E-2</v>
      </c>
    </row>
    <row r="1525" spans="1:8" ht="13.5" x14ac:dyDescent="0.25">
      <c r="A1525" s="1"/>
      <c r="B1525" s="3">
        <v>44531</v>
      </c>
      <c r="C1525" s="4">
        <v>3.05</v>
      </c>
      <c r="D1525" s="4">
        <v>2.5684999999999998</v>
      </c>
      <c r="E1525" s="4">
        <v>3312</v>
      </c>
      <c r="F1525" s="4">
        <v>3.0329999999999999</v>
      </c>
      <c r="G1525" s="4">
        <v>10045.296</v>
      </c>
      <c r="H1525" s="5">
        <f t="shared" si="23"/>
        <v>-1.2950580278226142E-2</v>
      </c>
    </row>
    <row r="1526" spans="1:8" ht="13.5" x14ac:dyDescent="0.25">
      <c r="A1526" s="1"/>
      <c r="B1526" s="3">
        <v>44532</v>
      </c>
      <c r="C1526" s="4">
        <v>3.05</v>
      </c>
      <c r="D1526" s="4">
        <v>2.5684999999999998</v>
      </c>
      <c r="E1526" s="4">
        <v>2456</v>
      </c>
      <c r="F1526" s="4">
        <v>3.01</v>
      </c>
      <c r="G1526" s="4">
        <v>7392.56</v>
      </c>
      <c r="H1526" s="5">
        <f t="shared" si="23"/>
        <v>0</v>
      </c>
    </row>
    <row r="1527" spans="1:8" ht="13.5" x14ac:dyDescent="0.25">
      <c r="A1527" s="1"/>
      <c r="B1527" s="3">
        <v>44533</v>
      </c>
      <c r="C1527" s="4">
        <v>3.04</v>
      </c>
      <c r="D1527" s="4">
        <v>2.5600999999999998</v>
      </c>
      <c r="E1527" s="4">
        <v>329</v>
      </c>
      <c r="F1527" s="4">
        <v>3.0009999999999999</v>
      </c>
      <c r="G1527" s="4">
        <v>987.32899999999995</v>
      </c>
      <c r="H1527" s="5">
        <f t="shared" si="23"/>
        <v>-3.2703912789565754E-3</v>
      </c>
    </row>
    <row r="1528" spans="1:8" ht="13.5" x14ac:dyDescent="0.25">
      <c r="A1528" s="1"/>
      <c r="B1528" s="3">
        <v>44536</v>
      </c>
      <c r="C1528" s="4">
        <v>3.03</v>
      </c>
      <c r="D1528" s="4">
        <v>2.5516999999999999</v>
      </c>
      <c r="E1528" s="4">
        <v>374</v>
      </c>
      <c r="F1528" s="4">
        <v>3.0419999999999998</v>
      </c>
      <c r="G1528" s="4">
        <v>1137.7080000000001</v>
      </c>
      <c r="H1528" s="5">
        <f t="shared" si="23"/>
        <v>-3.2811218311784552E-3</v>
      </c>
    </row>
    <row r="1529" spans="1:8" ht="13.5" x14ac:dyDescent="0.25">
      <c r="A1529" s="1"/>
      <c r="B1529" s="3">
        <v>44537</v>
      </c>
      <c r="C1529" s="4">
        <v>2.99</v>
      </c>
      <c r="D1529" s="4">
        <v>2.5179999999999998</v>
      </c>
      <c r="E1529" s="4">
        <v>9006</v>
      </c>
      <c r="F1529" s="4">
        <v>3.0019999999999998</v>
      </c>
      <c r="G1529" s="4">
        <v>27036.011999999999</v>
      </c>
      <c r="H1529" s="5">
        <f t="shared" si="23"/>
        <v>-1.3206881686718684E-2</v>
      </c>
    </row>
    <row r="1530" spans="1:8" ht="13.5" x14ac:dyDescent="0.25">
      <c r="A1530" s="1"/>
      <c r="B1530" s="3">
        <v>44538</v>
      </c>
      <c r="C1530" s="4">
        <v>3</v>
      </c>
      <c r="D1530" s="4">
        <v>2.5264000000000002</v>
      </c>
      <c r="E1530" s="4">
        <v>3914</v>
      </c>
      <c r="F1530" s="4">
        <v>2.96</v>
      </c>
      <c r="G1530" s="4">
        <v>11585.44</v>
      </c>
      <c r="H1530" s="5">
        <f t="shared" si="23"/>
        <v>3.3359809372519489E-3</v>
      </c>
    </row>
    <row r="1531" spans="1:8" ht="13.5" x14ac:dyDescent="0.25">
      <c r="A1531" s="1"/>
      <c r="B1531" s="3">
        <v>44539</v>
      </c>
      <c r="C1531" s="4">
        <v>2.99</v>
      </c>
      <c r="D1531" s="4">
        <v>2.5179999999999998</v>
      </c>
      <c r="E1531" s="4">
        <v>2317</v>
      </c>
      <c r="F1531" s="4">
        <v>3.004</v>
      </c>
      <c r="G1531" s="4">
        <v>6960.268</v>
      </c>
      <c r="H1531" s="5">
        <f t="shared" si="23"/>
        <v>-3.3248891703611489E-3</v>
      </c>
    </row>
    <row r="1532" spans="1:8" ht="13.5" x14ac:dyDescent="0.25">
      <c r="A1532" s="1"/>
      <c r="B1532" s="3">
        <v>44540</v>
      </c>
      <c r="C1532" s="4">
        <v>2.97</v>
      </c>
      <c r="D1532" s="4">
        <v>2.5011999999999999</v>
      </c>
      <c r="E1532" s="4">
        <v>9403</v>
      </c>
      <c r="F1532" s="4">
        <v>2.9079999999999999</v>
      </c>
      <c r="G1532" s="4">
        <v>27343.923999999999</v>
      </c>
      <c r="H1532" s="5">
        <f t="shared" si="23"/>
        <v>-6.6719618745035457E-3</v>
      </c>
    </row>
    <row r="1533" spans="1:8" ht="13.5" x14ac:dyDescent="0.25">
      <c r="A1533" s="1"/>
      <c r="B1533" s="3">
        <v>44543</v>
      </c>
      <c r="C1533" s="4">
        <v>2.95</v>
      </c>
      <c r="D1533" s="4">
        <v>2.4843000000000002</v>
      </c>
      <c r="E1533" s="4">
        <v>1707</v>
      </c>
      <c r="F1533" s="4">
        <v>2.9239999999999999</v>
      </c>
      <c r="G1533" s="4">
        <v>4991.268</v>
      </c>
      <c r="H1533" s="5">
        <f t="shared" si="23"/>
        <v>-6.756756756756634E-3</v>
      </c>
    </row>
    <row r="1534" spans="1:8" ht="13.5" x14ac:dyDescent="0.25">
      <c r="A1534" s="1"/>
      <c r="B1534" s="3">
        <v>44544</v>
      </c>
      <c r="C1534" s="4">
        <v>2.91</v>
      </c>
      <c r="D1534" s="4">
        <v>2.4506000000000001</v>
      </c>
      <c r="E1534" s="4">
        <v>1703</v>
      </c>
      <c r="F1534" s="4">
        <v>2.9460000000000002</v>
      </c>
      <c r="G1534" s="4">
        <v>5017.0379999999996</v>
      </c>
      <c r="H1534" s="5">
        <f t="shared" si="23"/>
        <v>-1.3565189389365238E-2</v>
      </c>
    </row>
    <row r="1535" spans="1:8" ht="13.5" x14ac:dyDescent="0.25">
      <c r="A1535" s="1"/>
      <c r="B1535" s="3">
        <v>44545</v>
      </c>
      <c r="C1535" s="4">
        <v>2.89</v>
      </c>
      <c r="D1535" s="4">
        <v>2.4338000000000002</v>
      </c>
      <c r="E1535" s="4">
        <v>5222</v>
      </c>
      <c r="F1535" s="4">
        <v>2.931</v>
      </c>
      <c r="G1535" s="4">
        <v>15305.682000000001</v>
      </c>
      <c r="H1535" s="5">
        <f t="shared" si="23"/>
        <v>-6.8554639680078041E-3</v>
      </c>
    </row>
    <row r="1536" spans="1:8" ht="13.5" x14ac:dyDescent="0.25">
      <c r="A1536" s="1"/>
      <c r="B1536" s="3">
        <v>44546</v>
      </c>
      <c r="C1536" s="4">
        <v>2.86</v>
      </c>
      <c r="D1536" s="4">
        <v>2.4085000000000001</v>
      </c>
      <c r="E1536" s="4">
        <v>5382</v>
      </c>
      <c r="F1536" s="4">
        <v>2.8639999999999999</v>
      </c>
      <c r="G1536" s="4">
        <v>15414.048000000001</v>
      </c>
      <c r="H1536" s="5">
        <f t="shared" si="23"/>
        <v>-1.0395266661188306E-2</v>
      </c>
    </row>
    <row r="1537" spans="1:8" ht="13.5" x14ac:dyDescent="0.25">
      <c r="A1537" s="1"/>
      <c r="B1537" s="3">
        <v>44550</v>
      </c>
      <c r="C1537" s="4">
        <v>2.85</v>
      </c>
      <c r="D1537" s="4">
        <v>2.4001000000000001</v>
      </c>
      <c r="E1537" s="4">
        <v>4713</v>
      </c>
      <c r="F1537" s="4">
        <v>2.8519999999999999</v>
      </c>
      <c r="G1537" s="4">
        <v>13441.476000000001</v>
      </c>
      <c r="H1537" s="5">
        <f t="shared" si="23"/>
        <v>-3.487647913639179E-3</v>
      </c>
    </row>
    <row r="1538" spans="1:8" ht="13.5" x14ac:dyDescent="0.25">
      <c r="A1538" s="1"/>
      <c r="B1538" s="3">
        <v>44551</v>
      </c>
      <c r="C1538" s="4">
        <v>2.77</v>
      </c>
      <c r="D1538" s="4">
        <v>2.3327</v>
      </c>
      <c r="E1538" s="4">
        <v>8036</v>
      </c>
      <c r="F1538" s="4">
        <v>2.7730000000000001</v>
      </c>
      <c r="G1538" s="4">
        <v>22283.828000000001</v>
      </c>
      <c r="H1538" s="5">
        <f t="shared" si="23"/>
        <v>-2.808216324319825E-2</v>
      </c>
    </row>
    <row r="1539" spans="1:8" ht="13.5" x14ac:dyDescent="0.25">
      <c r="A1539" s="1"/>
      <c r="B1539" s="3">
        <v>44552</v>
      </c>
      <c r="C1539" s="4">
        <v>2.78</v>
      </c>
      <c r="D1539" s="4">
        <v>2.3412000000000002</v>
      </c>
      <c r="E1539" s="4">
        <v>1512</v>
      </c>
      <c r="F1539" s="4">
        <v>2.8159999999999998</v>
      </c>
      <c r="G1539" s="4">
        <v>4257.7920000000004</v>
      </c>
      <c r="H1539" s="5">
        <f t="shared" si="23"/>
        <v>3.6438461868222123E-3</v>
      </c>
    </row>
    <row r="1540" spans="1:8" ht="13.5" x14ac:dyDescent="0.25">
      <c r="A1540" s="1"/>
      <c r="B1540" s="3">
        <v>44553</v>
      </c>
      <c r="C1540" s="4">
        <v>2.82</v>
      </c>
      <c r="D1540" s="4">
        <v>2.3748</v>
      </c>
      <c r="E1540" s="4">
        <v>9051</v>
      </c>
      <c r="F1540" s="4">
        <v>2.7970000000000002</v>
      </c>
      <c r="G1540" s="4">
        <v>25315.647000000001</v>
      </c>
      <c r="H1540" s="5">
        <f t="shared" si="23"/>
        <v>1.4351614556637558E-2</v>
      </c>
    </row>
    <row r="1541" spans="1:8" ht="13.5" x14ac:dyDescent="0.25">
      <c r="A1541" s="1"/>
      <c r="B1541" s="3">
        <v>44554</v>
      </c>
      <c r="C1541" s="4">
        <v>2.86</v>
      </c>
      <c r="D1541" s="4">
        <v>2.4085000000000001</v>
      </c>
      <c r="E1541" s="4">
        <v>1715</v>
      </c>
      <c r="F1541" s="4">
        <v>2.8610000000000002</v>
      </c>
      <c r="G1541" s="4">
        <v>4906.6149999999998</v>
      </c>
      <c r="H1541" s="5">
        <f t="shared" si="23"/>
        <v>1.4190668687889534E-2</v>
      </c>
    </row>
    <row r="1542" spans="1:8" ht="13.5" x14ac:dyDescent="0.25">
      <c r="A1542" s="1"/>
      <c r="B1542" s="3">
        <v>44557</v>
      </c>
      <c r="C1542" s="4">
        <v>2.8</v>
      </c>
      <c r="D1542" s="4">
        <v>2.3580000000000001</v>
      </c>
      <c r="E1542" s="4">
        <v>4243</v>
      </c>
      <c r="F1542" s="4">
        <v>2.8069999999999999</v>
      </c>
      <c r="G1542" s="4">
        <v>11910.101000000001</v>
      </c>
      <c r="H1542" s="5">
        <f t="shared" si="23"/>
        <v>-2.0967407099854677E-2</v>
      </c>
    </row>
    <row r="1543" spans="1:8" ht="13.5" x14ac:dyDescent="0.25">
      <c r="A1543" s="1"/>
      <c r="B1543" s="3">
        <v>44558</v>
      </c>
      <c r="C1543" s="4">
        <v>2.8</v>
      </c>
      <c r="D1543" s="4">
        <v>2.3580000000000001</v>
      </c>
      <c r="E1543" s="4">
        <v>6893</v>
      </c>
      <c r="F1543" s="4">
        <v>2.78</v>
      </c>
      <c r="G1543" s="4">
        <v>19162.54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2.8</v>
      </c>
      <c r="D1544" s="4">
        <v>2.3580000000000001</v>
      </c>
      <c r="E1544" s="4">
        <v>12892</v>
      </c>
      <c r="F1544" s="4">
        <v>2.7949999999999999</v>
      </c>
      <c r="G1544" s="4">
        <v>36033.14</v>
      </c>
      <c r="H1544" s="5">
        <f t="shared" si="24"/>
        <v>0</v>
      </c>
    </row>
    <row r="1545" spans="1:8" ht="13.5" x14ac:dyDescent="0.25">
      <c r="A1545" s="1"/>
      <c r="B1545" s="3">
        <v>44560</v>
      </c>
      <c r="C1545" s="4">
        <v>2.75</v>
      </c>
      <c r="D1545" s="4">
        <v>2.3159000000000001</v>
      </c>
      <c r="E1545" s="4">
        <v>23961</v>
      </c>
      <c r="F1545" s="4">
        <v>2.7530000000000001</v>
      </c>
      <c r="G1545" s="4">
        <v>65964.633000000002</v>
      </c>
      <c r="H1545" s="5">
        <f t="shared" si="24"/>
        <v>-1.7854113655640384E-2</v>
      </c>
    </row>
    <row r="1546" spans="1:8" ht="13.5" x14ac:dyDescent="0.25">
      <c r="A1546" s="1"/>
      <c r="B1546" s="3">
        <v>44561</v>
      </c>
      <c r="C1546" s="4">
        <v>2.82</v>
      </c>
      <c r="D1546" s="4">
        <v>2.3748</v>
      </c>
      <c r="E1546" s="4">
        <v>10799</v>
      </c>
      <c r="F1546" s="4">
        <v>2.76</v>
      </c>
      <c r="G1546" s="4">
        <v>29805.24</v>
      </c>
      <c r="H1546" s="5">
        <f t="shared" si="24"/>
        <v>2.5432877067230859E-2</v>
      </c>
    </row>
    <row r="1547" spans="1:8" ht="13.5" x14ac:dyDescent="0.25">
      <c r="A1547" s="1"/>
      <c r="B1547" s="3">
        <v>44564</v>
      </c>
      <c r="C1547" s="4">
        <v>2.79</v>
      </c>
      <c r="D1547" s="4">
        <v>2.3496000000000001</v>
      </c>
      <c r="E1547" s="4">
        <v>7364</v>
      </c>
      <c r="F1547" s="4">
        <v>2.714</v>
      </c>
      <c r="G1547" s="4">
        <v>19985.896000000001</v>
      </c>
      <c r="H1547" s="5">
        <f t="shared" si="24"/>
        <v>-1.0611419909044925E-2</v>
      </c>
    </row>
    <row r="1548" spans="1:8" ht="13.5" x14ac:dyDescent="0.25">
      <c r="A1548" s="1"/>
      <c r="B1548" s="3">
        <v>44565</v>
      </c>
      <c r="C1548" s="4">
        <v>2.76</v>
      </c>
      <c r="D1548" s="4">
        <v>2.3243</v>
      </c>
      <c r="E1548" s="4">
        <v>8123</v>
      </c>
      <c r="F1548" s="4">
        <v>2.6970000000000001</v>
      </c>
      <c r="G1548" s="4">
        <v>21907.731</v>
      </c>
      <c r="H1548" s="5">
        <f t="shared" si="24"/>
        <v>-1.0767790262172327E-2</v>
      </c>
    </row>
    <row r="1549" spans="1:8" ht="13.5" x14ac:dyDescent="0.25">
      <c r="A1549" s="1"/>
      <c r="B1549" s="3">
        <v>44566</v>
      </c>
      <c r="C1549" s="4">
        <v>2.77</v>
      </c>
      <c r="D1549" s="4">
        <v>2.3327</v>
      </c>
      <c r="E1549" s="4">
        <v>3970</v>
      </c>
      <c r="F1549" s="4">
        <v>2.758</v>
      </c>
      <c r="G1549" s="4">
        <v>10949.26</v>
      </c>
      <c r="H1549" s="5">
        <f t="shared" si="24"/>
        <v>3.6139913092113596E-3</v>
      </c>
    </row>
    <row r="1550" spans="1:8" ht="13.5" x14ac:dyDescent="0.25">
      <c r="A1550" s="1"/>
      <c r="B1550" s="3">
        <v>44567</v>
      </c>
      <c r="C1550" s="4">
        <v>2.79</v>
      </c>
      <c r="D1550" s="4">
        <v>2.3496000000000001</v>
      </c>
      <c r="E1550" s="4">
        <v>7702</v>
      </c>
      <c r="F1550" s="4">
        <v>2.7879999999999998</v>
      </c>
      <c r="G1550" s="4">
        <v>21473.175999999999</v>
      </c>
      <c r="H1550" s="5">
        <f t="shared" si="24"/>
        <v>7.2448235949758378E-3</v>
      </c>
    </row>
    <row r="1551" spans="1:8" ht="13.5" x14ac:dyDescent="0.25">
      <c r="A1551" s="1"/>
      <c r="B1551" s="3">
        <v>44568</v>
      </c>
      <c r="C1551" s="4">
        <v>2.79</v>
      </c>
      <c r="D1551" s="4">
        <v>2.3496000000000001</v>
      </c>
      <c r="E1551" s="4">
        <v>5527</v>
      </c>
      <c r="F1551" s="4">
        <v>2.7709999999999999</v>
      </c>
      <c r="G1551" s="4">
        <v>15315.316999999999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2.77</v>
      </c>
      <c r="D1552" s="4">
        <v>2.3327</v>
      </c>
      <c r="E1552" s="4">
        <v>1510</v>
      </c>
      <c r="F1552" s="4">
        <v>2.7530000000000001</v>
      </c>
      <c r="G1552" s="4">
        <v>4157.03</v>
      </c>
      <c r="H1552" s="5">
        <f t="shared" si="24"/>
        <v>-7.1927136533878689E-3</v>
      </c>
    </row>
    <row r="1553" spans="1:8" ht="13.5" x14ac:dyDescent="0.25">
      <c r="A1553" s="1"/>
      <c r="B1553" s="3">
        <v>44572</v>
      </c>
      <c r="C1553" s="4">
        <v>2.72</v>
      </c>
      <c r="D1553" s="4">
        <v>2.2906</v>
      </c>
      <c r="E1553" s="4">
        <v>8416</v>
      </c>
      <c r="F1553" s="4">
        <v>2.7080000000000002</v>
      </c>
      <c r="G1553" s="4">
        <v>22790.527999999998</v>
      </c>
      <c r="H1553" s="5">
        <f t="shared" si="24"/>
        <v>-1.8047755819436715E-2</v>
      </c>
    </row>
    <row r="1554" spans="1:8" ht="13.5" x14ac:dyDescent="0.25">
      <c r="A1554" s="1"/>
      <c r="B1554" s="3">
        <v>44573</v>
      </c>
      <c r="C1554" s="4">
        <v>2.7</v>
      </c>
      <c r="D1554" s="4">
        <v>2.2738</v>
      </c>
      <c r="E1554" s="4">
        <v>1026</v>
      </c>
      <c r="F1554" s="4">
        <v>2.6880000000000002</v>
      </c>
      <c r="G1554" s="4">
        <v>2757.8879999999999</v>
      </c>
      <c r="H1554" s="5">
        <f t="shared" si="24"/>
        <v>-7.3343228848336359E-3</v>
      </c>
    </row>
    <row r="1555" spans="1:8" ht="13.5" x14ac:dyDescent="0.25">
      <c r="A1555" s="1"/>
      <c r="B1555" s="3">
        <v>44574</v>
      </c>
      <c r="C1555" s="4">
        <v>2.7</v>
      </c>
      <c r="D1555" s="4">
        <v>2.2738</v>
      </c>
      <c r="E1555" s="4">
        <v>4340</v>
      </c>
      <c r="F1555" s="4">
        <v>2.6859999999999999</v>
      </c>
      <c r="G1555" s="4">
        <v>11657.24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2.72</v>
      </c>
      <c r="D1556" s="4">
        <v>2.2906</v>
      </c>
      <c r="E1556" s="4">
        <v>2509</v>
      </c>
      <c r="F1556" s="4">
        <v>2.68</v>
      </c>
      <c r="G1556" s="4">
        <v>6724.12</v>
      </c>
      <c r="H1556" s="5">
        <f t="shared" si="24"/>
        <v>7.3885126220423637E-3</v>
      </c>
    </row>
    <row r="1557" spans="1:8" ht="13.5" x14ac:dyDescent="0.25">
      <c r="A1557" s="1"/>
      <c r="B1557" s="3">
        <v>44578</v>
      </c>
      <c r="C1557" s="4">
        <v>2.7</v>
      </c>
      <c r="D1557" s="4">
        <v>2.2738</v>
      </c>
      <c r="E1557" s="4">
        <v>2351</v>
      </c>
      <c r="F1557" s="4">
        <v>2.6760000000000002</v>
      </c>
      <c r="G1557" s="4">
        <v>6291.2759999999998</v>
      </c>
      <c r="H1557" s="5">
        <f t="shared" si="24"/>
        <v>-7.3343228848336359E-3</v>
      </c>
    </row>
    <row r="1558" spans="1:8" ht="13.5" x14ac:dyDescent="0.25">
      <c r="A1558" s="1"/>
      <c r="B1558" s="3">
        <v>44579</v>
      </c>
      <c r="C1558" s="4">
        <v>2.69</v>
      </c>
      <c r="D1558" s="4">
        <v>2.2654000000000001</v>
      </c>
      <c r="E1558" s="4">
        <v>7078</v>
      </c>
      <c r="F1558" s="4">
        <v>2.669</v>
      </c>
      <c r="G1558" s="4">
        <v>18891.182000000001</v>
      </c>
      <c r="H1558" s="5">
        <f t="shared" si="24"/>
        <v>-3.6942563110211818E-3</v>
      </c>
    </row>
    <row r="1559" spans="1:8" ht="13.5" x14ac:dyDescent="0.25">
      <c r="A1559" s="1"/>
      <c r="B1559" s="3">
        <v>44580</v>
      </c>
      <c r="C1559" s="4">
        <v>2.85</v>
      </c>
      <c r="D1559" s="4">
        <v>2.4001000000000001</v>
      </c>
      <c r="E1559" s="4">
        <v>13078</v>
      </c>
      <c r="F1559" s="4">
        <v>2.7509999999999999</v>
      </c>
      <c r="G1559" s="4">
        <v>35977.578000000001</v>
      </c>
      <c r="H1559" s="5">
        <f t="shared" si="24"/>
        <v>5.9459698066566626E-2</v>
      </c>
    </row>
    <row r="1560" spans="1:8" ht="13.5" x14ac:dyDescent="0.25">
      <c r="A1560" s="1"/>
      <c r="B1560" s="3">
        <v>44581</v>
      </c>
      <c r="C1560" s="4">
        <v>2.84</v>
      </c>
      <c r="D1560" s="4">
        <v>2.3917000000000002</v>
      </c>
      <c r="E1560" s="4">
        <v>2870</v>
      </c>
      <c r="F1560" s="4">
        <v>2.83</v>
      </c>
      <c r="G1560" s="4">
        <v>8122.1</v>
      </c>
      <c r="H1560" s="5">
        <f t="shared" si="24"/>
        <v>-3.4998541727427868E-3</v>
      </c>
    </row>
    <row r="1561" spans="1:8" ht="13.5" x14ac:dyDescent="0.25">
      <c r="A1561" s="1"/>
      <c r="B1561" s="3">
        <v>44582</v>
      </c>
      <c r="C1561" s="4">
        <v>2.84</v>
      </c>
      <c r="D1561" s="4">
        <v>2.3917000000000002</v>
      </c>
      <c r="E1561" s="4">
        <v>2</v>
      </c>
      <c r="F1561" s="4">
        <v>2.84</v>
      </c>
      <c r="G1561" s="4">
        <v>5.68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2.8</v>
      </c>
      <c r="D1562" s="4">
        <v>2.3580000000000001</v>
      </c>
      <c r="E1562" s="4">
        <v>1235</v>
      </c>
      <c r="F1562" s="4">
        <v>2.73</v>
      </c>
      <c r="G1562" s="4">
        <v>3371.55</v>
      </c>
      <c r="H1562" s="5">
        <f t="shared" si="24"/>
        <v>-1.4090395952669674E-2</v>
      </c>
    </row>
    <row r="1563" spans="1:8" ht="13.5" x14ac:dyDescent="0.25">
      <c r="A1563" s="1"/>
      <c r="B1563" s="3">
        <v>44586</v>
      </c>
      <c r="C1563" s="4">
        <v>2.75</v>
      </c>
      <c r="D1563" s="4">
        <v>2.3159000000000001</v>
      </c>
      <c r="E1563" s="4">
        <v>5496</v>
      </c>
      <c r="F1563" s="4">
        <v>2.7080000000000002</v>
      </c>
      <c r="G1563" s="4">
        <v>14883.168</v>
      </c>
      <c r="H1563" s="5">
        <f t="shared" si="24"/>
        <v>-1.7854113655640384E-2</v>
      </c>
    </row>
    <row r="1564" spans="1:8" ht="13.5" x14ac:dyDescent="0.25">
      <c r="A1564" s="1"/>
      <c r="B1564" s="3">
        <v>44587</v>
      </c>
      <c r="C1564" s="4">
        <v>2.75</v>
      </c>
      <c r="D1564" s="4">
        <v>2.3159000000000001</v>
      </c>
      <c r="E1564" s="4">
        <v>3690</v>
      </c>
      <c r="F1564" s="4">
        <v>2.702</v>
      </c>
      <c r="G1564" s="4">
        <v>9970.3799999999992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2.91</v>
      </c>
      <c r="D1565" s="4">
        <v>2.4506000000000001</v>
      </c>
      <c r="E1565" s="4">
        <v>0</v>
      </c>
      <c r="F1565" s="4">
        <v>0</v>
      </c>
      <c r="G1565" s="4">
        <v>0</v>
      </c>
      <c r="H1565" s="5">
        <f t="shared" si="24"/>
        <v>5.8163133123191865E-2</v>
      </c>
    </row>
    <row r="1566" spans="1:8" ht="13.5" x14ac:dyDescent="0.25">
      <c r="A1566" s="1"/>
      <c r="B1566" s="3">
        <v>44589</v>
      </c>
      <c r="C1566" s="4">
        <v>2.99</v>
      </c>
      <c r="D1566" s="4">
        <v>2.5179999999999998</v>
      </c>
      <c r="E1566" s="4">
        <v>32360</v>
      </c>
      <c r="F1566" s="4">
        <v>3.012</v>
      </c>
      <c r="G1566" s="4">
        <v>97468.32</v>
      </c>
      <c r="H1566" s="5">
        <f t="shared" si="24"/>
        <v>2.7503468538317016E-2</v>
      </c>
    </row>
    <row r="1567" spans="1:8" ht="13.5" x14ac:dyDescent="0.25">
      <c r="A1567" s="1"/>
      <c r="B1567" s="3">
        <v>44592</v>
      </c>
      <c r="C1567" s="4">
        <v>3.06</v>
      </c>
      <c r="D1567" s="4">
        <v>2.577</v>
      </c>
      <c r="E1567" s="4">
        <v>47047</v>
      </c>
      <c r="F1567" s="4">
        <v>3.0510000000000002</v>
      </c>
      <c r="G1567" s="4">
        <v>143540.397</v>
      </c>
      <c r="H1567" s="5">
        <f t="shared" si="24"/>
        <v>2.343129467831619E-2</v>
      </c>
    </row>
    <row r="1568" spans="1:8" ht="13.5" x14ac:dyDescent="0.25">
      <c r="A1568" s="1"/>
      <c r="B1568" s="3">
        <v>44593</v>
      </c>
      <c r="C1568" s="4">
        <v>3.04</v>
      </c>
      <c r="D1568" s="4">
        <v>2.5600999999999998</v>
      </c>
      <c r="E1568" s="4">
        <v>14343</v>
      </c>
      <c r="F1568" s="4">
        <v>3.0409999999999999</v>
      </c>
      <c r="G1568" s="4">
        <v>43617.063000000002</v>
      </c>
      <c r="H1568" s="5">
        <f t="shared" si="24"/>
        <v>-6.5580131936360643E-3</v>
      </c>
    </row>
    <row r="1569" spans="1:8" ht="13.5" x14ac:dyDescent="0.25">
      <c r="A1569" s="1"/>
      <c r="B1569" s="3">
        <v>44594</v>
      </c>
      <c r="C1569" s="4">
        <v>3.03</v>
      </c>
      <c r="D1569" s="4">
        <v>2.5516999999999999</v>
      </c>
      <c r="E1569" s="4">
        <v>4869</v>
      </c>
      <c r="F1569" s="4">
        <v>3.016</v>
      </c>
      <c r="G1569" s="4">
        <v>14684.904</v>
      </c>
      <c r="H1569" s="5">
        <f t="shared" si="24"/>
        <v>-3.2811218311784552E-3</v>
      </c>
    </row>
    <row r="1570" spans="1:8" ht="13.5" x14ac:dyDescent="0.25">
      <c r="A1570" s="1"/>
      <c r="B1570" s="3">
        <v>44595</v>
      </c>
      <c r="C1570" s="4">
        <v>2.96</v>
      </c>
      <c r="D1570" s="4">
        <v>2.4927000000000001</v>
      </c>
      <c r="E1570" s="4">
        <v>6911</v>
      </c>
      <c r="F1570" s="4">
        <v>2.9860000000000002</v>
      </c>
      <c r="G1570" s="4">
        <v>20636.245999999999</v>
      </c>
      <c r="H1570" s="5">
        <f t="shared" si="24"/>
        <v>-2.3121840341732855E-2</v>
      </c>
    </row>
    <row r="1571" spans="1:8" ht="13.5" x14ac:dyDescent="0.25">
      <c r="A1571" s="1"/>
      <c r="B1571" s="3">
        <v>44596</v>
      </c>
      <c r="C1571" s="4">
        <v>2.98</v>
      </c>
      <c r="D1571" s="4">
        <v>2.5095999999999998</v>
      </c>
      <c r="E1571" s="4">
        <v>8713</v>
      </c>
      <c r="F1571" s="4">
        <v>2.9380000000000002</v>
      </c>
      <c r="G1571" s="4">
        <v>25598.794000000002</v>
      </c>
      <c r="H1571" s="5">
        <f t="shared" si="24"/>
        <v>6.7797970072610795E-3</v>
      </c>
    </row>
    <row r="1572" spans="1:8" ht="13.5" x14ac:dyDescent="0.25">
      <c r="A1572" s="1"/>
      <c r="B1572" s="3">
        <v>44599</v>
      </c>
      <c r="C1572" s="4">
        <v>2.95</v>
      </c>
      <c r="D1572" s="4">
        <v>2.4843000000000002</v>
      </c>
      <c r="E1572" s="4">
        <v>8703</v>
      </c>
      <c r="F1572" s="4">
        <v>2.93</v>
      </c>
      <c r="G1572" s="4">
        <v>25499.79</v>
      </c>
      <c r="H1572" s="5">
        <f t="shared" si="24"/>
        <v>-1.0081287854638053E-2</v>
      </c>
    </row>
    <row r="1573" spans="1:8" ht="13.5" x14ac:dyDescent="0.25">
      <c r="A1573" s="1"/>
      <c r="B1573" s="3">
        <v>44600</v>
      </c>
      <c r="C1573" s="4">
        <v>2.93</v>
      </c>
      <c r="D1573" s="4">
        <v>2.4674999999999998</v>
      </c>
      <c r="E1573" s="4">
        <v>7019</v>
      </c>
      <c r="F1573" s="4">
        <v>2.952</v>
      </c>
      <c r="G1573" s="4">
        <v>20720.088</v>
      </c>
      <c r="H1573" s="5">
        <f t="shared" si="24"/>
        <v>-6.7624683009299882E-3</v>
      </c>
    </row>
    <row r="1574" spans="1:8" ht="13.5" x14ac:dyDescent="0.25">
      <c r="A1574" s="1"/>
      <c r="B1574" s="3">
        <v>44601</v>
      </c>
      <c r="C1574" s="4">
        <v>2.93</v>
      </c>
      <c r="D1574" s="4">
        <v>2.4674999999999998</v>
      </c>
      <c r="E1574" s="4">
        <v>8104</v>
      </c>
      <c r="F1574" s="4">
        <v>2.9369999999999998</v>
      </c>
      <c r="G1574" s="4">
        <v>23801.448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2.98</v>
      </c>
      <c r="D1575" s="4">
        <v>2.5095999999999998</v>
      </c>
      <c r="E1575" s="4">
        <v>6625</v>
      </c>
      <c r="F1575" s="4">
        <v>2.9369999999999998</v>
      </c>
      <c r="G1575" s="4">
        <v>19457.625</v>
      </c>
      <c r="H1575" s="5">
        <f t="shared" si="24"/>
        <v>1.706180344478218E-2</v>
      </c>
    </row>
    <row r="1576" spans="1:8" ht="13.5" x14ac:dyDescent="0.25">
      <c r="A1576" s="1"/>
      <c r="B1576" s="3">
        <v>44603</v>
      </c>
      <c r="C1576" s="4">
        <v>3.03</v>
      </c>
      <c r="D1576" s="4">
        <v>2.5516999999999999</v>
      </c>
      <c r="E1576" s="4">
        <v>25619</v>
      </c>
      <c r="F1576" s="4">
        <v>2.9710000000000001</v>
      </c>
      <c r="G1576" s="4">
        <v>76114.048999999999</v>
      </c>
      <c r="H1576" s="5">
        <f t="shared" si="24"/>
        <v>1.67755817660185E-2</v>
      </c>
    </row>
    <row r="1577" spans="1:8" ht="13.5" x14ac:dyDescent="0.25">
      <c r="A1577" s="1"/>
      <c r="B1577" s="3">
        <v>44606</v>
      </c>
      <c r="C1577" s="4">
        <v>2.98</v>
      </c>
      <c r="D1577" s="4">
        <v>2.5095999999999998</v>
      </c>
      <c r="E1577" s="4">
        <v>4123</v>
      </c>
      <c r="F1577" s="4">
        <v>2.9239999999999999</v>
      </c>
      <c r="G1577" s="4">
        <v>12055.652</v>
      </c>
      <c r="H1577" s="5">
        <f t="shared" si="24"/>
        <v>-1.6498804718423025E-2</v>
      </c>
    </row>
    <row r="1578" spans="1:8" ht="13.5" x14ac:dyDescent="0.25">
      <c r="A1578" s="1"/>
      <c r="B1578" s="3">
        <v>44607</v>
      </c>
      <c r="C1578" s="4">
        <v>2.98</v>
      </c>
      <c r="D1578" s="4">
        <v>2.5095999999999998</v>
      </c>
      <c r="E1578" s="4">
        <v>13454</v>
      </c>
      <c r="F1578" s="4">
        <v>2.96</v>
      </c>
      <c r="G1578" s="4">
        <v>39823.839999999997</v>
      </c>
      <c r="H1578" s="5">
        <f t="shared" si="24"/>
        <v>0</v>
      </c>
    </row>
    <row r="1579" spans="1:8" ht="13.5" x14ac:dyDescent="0.25">
      <c r="A1579" s="1"/>
      <c r="B1579" s="3">
        <v>44608</v>
      </c>
      <c r="C1579" s="4">
        <v>2.95</v>
      </c>
      <c r="D1579" s="4">
        <v>2.4843000000000002</v>
      </c>
      <c r="E1579" s="4">
        <v>630</v>
      </c>
      <c r="F1579" s="4">
        <v>2.9359999999999999</v>
      </c>
      <c r="G1579" s="4">
        <v>1849.68</v>
      </c>
      <c r="H1579" s="5">
        <f t="shared" si="24"/>
        <v>-1.0081287854638053E-2</v>
      </c>
    </row>
    <row r="1580" spans="1:8" ht="13.5" x14ac:dyDescent="0.25">
      <c r="A1580" s="1"/>
      <c r="B1580" s="3">
        <v>44609</v>
      </c>
      <c r="C1580" s="4">
        <v>2.98</v>
      </c>
      <c r="D1580" s="4">
        <v>2.5095999999999998</v>
      </c>
      <c r="E1580" s="4">
        <v>3877</v>
      </c>
      <c r="F1580" s="4">
        <v>2.9449999999999998</v>
      </c>
      <c r="G1580" s="4">
        <v>11417.764999999999</v>
      </c>
      <c r="H1580" s="5">
        <f t="shared" si="24"/>
        <v>1.0183955238900155E-2</v>
      </c>
    </row>
    <row r="1581" spans="1:8" ht="13.5" x14ac:dyDescent="0.25">
      <c r="A1581" s="1"/>
      <c r="B1581" s="3">
        <v>44610</v>
      </c>
      <c r="C1581" s="4">
        <v>2.98</v>
      </c>
      <c r="D1581" s="4">
        <v>2.5095999999999998</v>
      </c>
      <c r="E1581" s="4">
        <v>1432</v>
      </c>
      <c r="F1581" s="4">
        <v>2.9540000000000002</v>
      </c>
      <c r="G1581" s="4">
        <v>4230.1279999999997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2.98</v>
      </c>
      <c r="D1582" s="4">
        <v>2.5095999999999998</v>
      </c>
      <c r="E1582" s="4">
        <v>6085</v>
      </c>
      <c r="F1582" s="4">
        <v>2.9780000000000002</v>
      </c>
      <c r="G1582" s="4">
        <v>18121.13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2.94</v>
      </c>
      <c r="D1583" s="4">
        <v>2.4759000000000002</v>
      </c>
      <c r="E1583" s="4">
        <v>7705</v>
      </c>
      <c r="F1583" s="4">
        <v>2.9089999999999998</v>
      </c>
      <c r="G1583" s="4">
        <v>22413.845000000001</v>
      </c>
      <c r="H1583" s="5">
        <f t="shared" si="24"/>
        <v>-1.3428434810328188E-2</v>
      </c>
    </row>
    <row r="1584" spans="1:8" ht="13.5" x14ac:dyDescent="0.25">
      <c r="A1584" s="1"/>
      <c r="B1584" s="3">
        <v>44615</v>
      </c>
      <c r="C1584" s="4">
        <v>2.94</v>
      </c>
      <c r="D1584" s="4">
        <v>2.4759000000000002</v>
      </c>
      <c r="E1584" s="4">
        <v>2664</v>
      </c>
      <c r="F1584" s="4">
        <v>2.9319999999999999</v>
      </c>
      <c r="G1584" s="4">
        <v>7810.848</v>
      </c>
      <c r="H1584" s="5">
        <f t="shared" si="24"/>
        <v>0</v>
      </c>
    </row>
    <row r="1585" spans="1:8" ht="13.5" x14ac:dyDescent="0.25">
      <c r="A1585" s="1"/>
      <c r="B1585" s="3">
        <v>44616</v>
      </c>
      <c r="C1585" s="4">
        <v>2.9</v>
      </c>
      <c r="D1585" s="4">
        <v>2.4422000000000001</v>
      </c>
      <c r="E1585" s="4">
        <v>11261</v>
      </c>
      <c r="F1585" s="4">
        <v>2.859</v>
      </c>
      <c r="G1585" s="4">
        <v>32195.199000000001</v>
      </c>
      <c r="H1585" s="5">
        <f t="shared" si="24"/>
        <v>-1.3611212084494551E-2</v>
      </c>
    </row>
    <row r="1586" spans="1:8" ht="13.5" x14ac:dyDescent="0.25">
      <c r="A1586" s="1"/>
      <c r="B1586" s="3">
        <v>44617</v>
      </c>
      <c r="C1586" s="4">
        <v>2.9</v>
      </c>
      <c r="D1586" s="4">
        <v>2.4422000000000001</v>
      </c>
      <c r="E1586" s="4">
        <v>2412</v>
      </c>
      <c r="F1586" s="4">
        <v>2.8980000000000001</v>
      </c>
      <c r="G1586" s="4">
        <v>6989.9759999999997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2.9</v>
      </c>
      <c r="D1587" s="4">
        <v>2.4422000000000001</v>
      </c>
      <c r="E1587" s="4">
        <v>280</v>
      </c>
      <c r="F1587" s="4">
        <v>2.8580000000000001</v>
      </c>
      <c r="G1587" s="4">
        <v>800.24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2.9</v>
      </c>
      <c r="D1588" s="4">
        <v>2.4422000000000001</v>
      </c>
      <c r="E1588" s="4">
        <v>14</v>
      </c>
      <c r="F1588" s="4">
        <v>2.855</v>
      </c>
      <c r="G1588" s="4">
        <v>39.97</v>
      </c>
      <c r="H1588" s="5">
        <f t="shared" si="24"/>
        <v>0</v>
      </c>
    </row>
    <row r="1589" spans="1:8" ht="13.5" x14ac:dyDescent="0.25">
      <c r="A1589" s="1"/>
      <c r="B1589" s="3">
        <v>44622</v>
      </c>
      <c r="C1589" s="4">
        <v>2.88</v>
      </c>
      <c r="D1589" s="4">
        <v>2.4253999999999998</v>
      </c>
      <c r="E1589" s="4">
        <v>1260</v>
      </c>
      <c r="F1589" s="4">
        <v>2.8479999999999999</v>
      </c>
      <c r="G1589" s="4">
        <v>3588.48</v>
      </c>
      <c r="H1589" s="5">
        <f t="shared" si="24"/>
        <v>-6.8790434853821837E-3</v>
      </c>
    </row>
    <row r="1590" spans="1:8" ht="13.5" x14ac:dyDescent="0.25">
      <c r="A1590" s="1"/>
      <c r="B1590" s="3">
        <v>44623</v>
      </c>
      <c r="C1590" s="4">
        <v>2.81</v>
      </c>
      <c r="D1590" s="4">
        <v>2.3664000000000001</v>
      </c>
      <c r="E1590" s="4">
        <v>1742</v>
      </c>
      <c r="F1590" s="4">
        <v>2.8130000000000002</v>
      </c>
      <c r="G1590" s="4">
        <v>4900.2460000000001</v>
      </c>
      <c r="H1590" s="5">
        <f t="shared" si="24"/>
        <v>-2.4325884390203563E-2</v>
      </c>
    </row>
    <row r="1591" spans="1:8" ht="13.5" x14ac:dyDescent="0.25">
      <c r="A1591" s="1"/>
      <c r="B1591" s="3">
        <v>44624</v>
      </c>
      <c r="C1591" s="4">
        <v>2.84</v>
      </c>
      <c r="D1591" s="4">
        <v>2.3917000000000002</v>
      </c>
      <c r="E1591" s="4">
        <v>2072</v>
      </c>
      <c r="F1591" s="4">
        <v>2.8370000000000002</v>
      </c>
      <c r="G1591" s="4">
        <v>5878.2640000000001</v>
      </c>
      <c r="H1591" s="5">
        <f t="shared" si="24"/>
        <v>1.0691345503718771E-2</v>
      </c>
    </row>
    <row r="1592" spans="1:8" ht="13.5" x14ac:dyDescent="0.25">
      <c r="A1592" s="1"/>
      <c r="B1592" s="3">
        <v>44627</v>
      </c>
      <c r="C1592" s="4">
        <v>2.86</v>
      </c>
      <c r="D1592" s="4">
        <v>2.4085000000000001</v>
      </c>
      <c r="E1592" s="4">
        <v>260</v>
      </c>
      <c r="F1592" s="4">
        <v>2.802</v>
      </c>
      <c r="G1592" s="4">
        <v>728.52</v>
      </c>
      <c r="H1592" s="5">
        <f t="shared" si="24"/>
        <v>7.0242923443575387E-3</v>
      </c>
    </row>
    <row r="1593" spans="1:8" ht="13.5" x14ac:dyDescent="0.25">
      <c r="A1593" s="1"/>
      <c r="B1593" s="3">
        <v>44628</v>
      </c>
      <c r="C1593" s="4">
        <v>2.84</v>
      </c>
      <c r="D1593" s="4">
        <v>2.3917000000000002</v>
      </c>
      <c r="E1593" s="4">
        <v>2292</v>
      </c>
      <c r="F1593" s="4">
        <v>2.819</v>
      </c>
      <c r="G1593" s="4">
        <v>6461.1480000000001</v>
      </c>
      <c r="H1593" s="5">
        <f t="shared" si="24"/>
        <v>-6.9752958272783581E-3</v>
      </c>
    </row>
    <row r="1594" spans="1:8" ht="13.5" x14ac:dyDescent="0.25">
      <c r="A1594" s="1"/>
      <c r="B1594" s="3">
        <v>44629</v>
      </c>
      <c r="C1594" s="4">
        <v>2.78</v>
      </c>
      <c r="D1594" s="4">
        <v>2.3412000000000002</v>
      </c>
      <c r="E1594" s="4">
        <v>5209</v>
      </c>
      <c r="F1594" s="4">
        <v>2.7890000000000001</v>
      </c>
      <c r="G1594" s="4">
        <v>14527.901</v>
      </c>
      <c r="H1594" s="5">
        <f t="shared" si="24"/>
        <v>-2.1114688297027215E-2</v>
      </c>
    </row>
    <row r="1595" spans="1:8" ht="13.5" x14ac:dyDescent="0.25">
      <c r="A1595" s="1"/>
      <c r="B1595" s="3">
        <v>44630</v>
      </c>
      <c r="C1595" s="4">
        <v>2.8</v>
      </c>
      <c r="D1595" s="4">
        <v>2.3580000000000001</v>
      </c>
      <c r="E1595" s="4">
        <v>3893</v>
      </c>
      <c r="F1595" s="4">
        <v>2.7549999999999999</v>
      </c>
      <c r="G1595" s="4">
        <v>10725.215</v>
      </c>
      <c r="H1595" s="5">
        <f t="shared" si="24"/>
        <v>7.1758072783187788E-3</v>
      </c>
    </row>
    <row r="1596" spans="1:8" ht="13.5" x14ac:dyDescent="0.25">
      <c r="A1596" s="1"/>
      <c r="B1596" s="3">
        <v>44631</v>
      </c>
      <c r="C1596" s="4">
        <v>2.76</v>
      </c>
      <c r="D1596" s="4">
        <v>2.3243</v>
      </c>
      <c r="E1596" s="4">
        <v>4842</v>
      </c>
      <c r="F1596" s="4">
        <v>2.762</v>
      </c>
      <c r="G1596" s="4">
        <v>13373.603999999999</v>
      </c>
      <c r="H1596" s="5">
        <f t="shared" si="24"/>
        <v>-1.4291772688719279E-2</v>
      </c>
    </row>
    <row r="1597" spans="1:8" ht="13.5" x14ac:dyDescent="0.25">
      <c r="A1597" s="1"/>
      <c r="B1597" s="3">
        <v>44634</v>
      </c>
      <c r="C1597" s="4">
        <v>2.76</v>
      </c>
      <c r="D1597" s="4">
        <v>2.3243</v>
      </c>
      <c r="E1597" s="4">
        <v>5111</v>
      </c>
      <c r="F1597" s="4">
        <v>2.7349999999999999</v>
      </c>
      <c r="G1597" s="4">
        <v>13978.584999999999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2.74</v>
      </c>
      <c r="D1598" s="4">
        <v>2.3075000000000001</v>
      </c>
      <c r="E1598" s="4">
        <v>5740</v>
      </c>
      <c r="F1598" s="4">
        <v>2.774</v>
      </c>
      <c r="G1598" s="4">
        <v>15922.76</v>
      </c>
      <c r="H1598" s="5">
        <f t="shared" si="24"/>
        <v>-7.2279826184227193E-3</v>
      </c>
    </row>
    <row r="1599" spans="1:8" ht="13.5" x14ac:dyDescent="0.25">
      <c r="A1599" s="1"/>
      <c r="B1599" s="3">
        <v>44636</v>
      </c>
      <c r="C1599" s="4">
        <v>2.8</v>
      </c>
      <c r="D1599" s="4">
        <v>2.3580000000000001</v>
      </c>
      <c r="E1599" s="4">
        <v>3004</v>
      </c>
      <c r="F1599" s="4">
        <v>2.8</v>
      </c>
      <c r="G1599" s="4">
        <v>8411.2000000000007</v>
      </c>
      <c r="H1599" s="5">
        <f t="shared" si="24"/>
        <v>2.1885157096424697E-2</v>
      </c>
    </row>
    <row r="1600" spans="1:8" ht="13.5" x14ac:dyDescent="0.25">
      <c r="A1600" s="1"/>
      <c r="B1600" s="3">
        <v>44637</v>
      </c>
      <c r="C1600" s="4">
        <v>2.8</v>
      </c>
      <c r="D1600" s="4">
        <v>2.3580000000000001</v>
      </c>
      <c r="E1600" s="4">
        <v>1317</v>
      </c>
      <c r="F1600" s="4">
        <v>2.798</v>
      </c>
      <c r="G1600" s="4">
        <v>3684.9659999999999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2.8</v>
      </c>
      <c r="D1601" s="4">
        <v>2.3580000000000001</v>
      </c>
      <c r="E1601" s="4">
        <v>1362</v>
      </c>
      <c r="F1601" s="4">
        <v>2.7690000000000001</v>
      </c>
      <c r="G1601" s="4">
        <v>3771.3780000000002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2.8</v>
      </c>
      <c r="D1602" s="4">
        <v>2.3580000000000001</v>
      </c>
      <c r="E1602" s="4">
        <v>1780</v>
      </c>
      <c r="F1602" s="4">
        <v>2.7989999999999999</v>
      </c>
      <c r="G1602" s="4">
        <v>4982.22</v>
      </c>
      <c r="H1602" s="5">
        <f t="shared" si="24"/>
        <v>0</v>
      </c>
    </row>
    <row r="1603" spans="1:8" ht="13.5" x14ac:dyDescent="0.25">
      <c r="A1603" s="1"/>
      <c r="B1603" s="3">
        <v>44642</v>
      </c>
      <c r="C1603" s="4">
        <v>2.77</v>
      </c>
      <c r="D1603" s="4">
        <v>2.3327</v>
      </c>
      <c r="E1603" s="4">
        <v>1856</v>
      </c>
      <c r="F1603" s="4">
        <v>2.7650000000000001</v>
      </c>
      <c r="G1603" s="4">
        <v>5131.84</v>
      </c>
      <c r="H1603" s="5">
        <f t="shared" si="24"/>
        <v>-1.0729431721798176E-2</v>
      </c>
    </row>
    <row r="1604" spans="1:8" ht="13.5" x14ac:dyDescent="0.25">
      <c r="A1604" s="1"/>
      <c r="B1604" s="3">
        <v>44643</v>
      </c>
      <c r="C1604" s="4">
        <v>2.8</v>
      </c>
      <c r="D1604" s="4">
        <v>2.3580000000000001</v>
      </c>
      <c r="E1604" s="4">
        <v>114</v>
      </c>
      <c r="F1604" s="4">
        <v>2.7690000000000001</v>
      </c>
      <c r="G1604" s="4">
        <v>315.666</v>
      </c>
      <c r="H1604" s="5">
        <f t="shared" si="24"/>
        <v>1.0845801003129464E-2</v>
      </c>
    </row>
    <row r="1605" spans="1:8" ht="13.5" x14ac:dyDescent="0.25">
      <c r="A1605" s="1"/>
      <c r="B1605" s="3">
        <v>44644</v>
      </c>
      <c r="C1605" s="4">
        <v>2.78</v>
      </c>
      <c r="D1605" s="4">
        <v>2.3412000000000002</v>
      </c>
      <c r="E1605" s="4">
        <v>2942</v>
      </c>
      <c r="F1605" s="4">
        <v>2.7509999999999999</v>
      </c>
      <c r="G1605" s="4">
        <v>8093.442</v>
      </c>
      <c r="H1605" s="5">
        <f t="shared" si="24"/>
        <v>-7.1246819338422075E-3</v>
      </c>
    </row>
    <row r="1606" spans="1:8" ht="13.5" x14ac:dyDescent="0.25">
      <c r="A1606" s="1"/>
      <c r="B1606" s="3">
        <v>44645</v>
      </c>
      <c r="C1606" s="4">
        <v>2.78</v>
      </c>
      <c r="D1606" s="4">
        <v>2.3412000000000002</v>
      </c>
      <c r="E1606" s="4">
        <v>7550</v>
      </c>
      <c r="F1606" s="4">
        <v>2.7669999999999999</v>
      </c>
      <c r="G1606" s="4">
        <v>20890.849999999999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2.8</v>
      </c>
      <c r="D1607" s="4">
        <v>2.3580000000000001</v>
      </c>
      <c r="E1607" s="4">
        <v>60</v>
      </c>
      <c r="F1607" s="4">
        <v>2.7879999999999998</v>
      </c>
      <c r="G1607" s="4">
        <v>167.28</v>
      </c>
      <c r="H1607" s="5">
        <f t="shared" ref="H1607:H1670" si="25">(D1607-D1606)/D1606</f>
        <v>7.1758072783187788E-3</v>
      </c>
    </row>
    <row r="1608" spans="1:8" ht="13.5" x14ac:dyDescent="0.25">
      <c r="A1608" s="1"/>
      <c r="B1608" s="3">
        <v>44649</v>
      </c>
      <c r="C1608" s="4">
        <v>2.79</v>
      </c>
      <c r="D1608" s="4">
        <v>2.3496000000000001</v>
      </c>
      <c r="E1608" s="4">
        <v>1481</v>
      </c>
      <c r="F1608" s="4">
        <v>2.73</v>
      </c>
      <c r="G1608" s="4">
        <v>4043.13</v>
      </c>
      <c r="H1608" s="5">
        <f t="shared" si="25"/>
        <v>-3.5623409669211037E-3</v>
      </c>
    </row>
    <row r="1609" spans="1:8" ht="13.5" x14ac:dyDescent="0.25">
      <c r="A1609" s="1"/>
      <c r="B1609" s="3">
        <v>44650</v>
      </c>
      <c r="C1609" s="4">
        <v>2.79</v>
      </c>
      <c r="D1609" s="4">
        <v>2.3496000000000001</v>
      </c>
      <c r="E1609" s="4">
        <v>77</v>
      </c>
      <c r="F1609" s="4">
        <v>2.7429999999999999</v>
      </c>
      <c r="G1609" s="4">
        <v>211.21100000000001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2.79</v>
      </c>
      <c r="D1610" s="4">
        <v>2.3496000000000001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2.79</v>
      </c>
      <c r="D1611" s="4">
        <v>2.3496000000000001</v>
      </c>
      <c r="E1611" s="4">
        <v>2007</v>
      </c>
      <c r="F1611" s="4">
        <v>2.7989999999999999</v>
      </c>
      <c r="G1611" s="4">
        <v>5617.5929999999998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2.74</v>
      </c>
      <c r="D1612" s="4">
        <v>2.3075000000000001</v>
      </c>
      <c r="E1612" s="4">
        <v>8778</v>
      </c>
      <c r="F1612" s="4">
        <v>2.742</v>
      </c>
      <c r="G1612" s="4">
        <v>24069.276000000002</v>
      </c>
      <c r="H1612" s="5">
        <f t="shared" si="25"/>
        <v>-1.7917943479741242E-2</v>
      </c>
    </row>
    <row r="1613" spans="1:8" ht="13.5" x14ac:dyDescent="0.25">
      <c r="A1613" s="1"/>
      <c r="B1613" s="3">
        <v>44656</v>
      </c>
      <c r="C1613" s="4">
        <v>2.8</v>
      </c>
      <c r="D1613" s="4">
        <v>2.3580000000000001</v>
      </c>
      <c r="E1613" s="4">
        <v>16677</v>
      </c>
      <c r="F1613" s="4">
        <v>2.7440000000000002</v>
      </c>
      <c r="G1613" s="4">
        <v>45761.688000000002</v>
      </c>
      <c r="H1613" s="5">
        <f t="shared" si="25"/>
        <v>2.1885157096424697E-2</v>
      </c>
    </row>
    <row r="1614" spans="1:8" ht="13.5" x14ac:dyDescent="0.25">
      <c r="A1614" s="1"/>
      <c r="B1614" s="3">
        <v>44657</v>
      </c>
      <c r="C1614" s="4">
        <v>2.8</v>
      </c>
      <c r="D1614" s="4">
        <v>2.3580000000000001</v>
      </c>
      <c r="E1614" s="4">
        <v>7878</v>
      </c>
      <c r="F1614" s="4">
        <v>2.734</v>
      </c>
      <c r="G1614" s="4">
        <v>21538.452000000001</v>
      </c>
      <c r="H1614" s="5">
        <f t="shared" si="25"/>
        <v>0</v>
      </c>
    </row>
    <row r="1615" spans="1:8" ht="13.5" x14ac:dyDescent="0.25">
      <c r="A1615" s="1"/>
      <c r="B1615" s="3">
        <v>44658</v>
      </c>
      <c r="C1615" s="4">
        <v>2.78</v>
      </c>
      <c r="D1615" s="4">
        <v>2.3412000000000002</v>
      </c>
      <c r="E1615" s="4">
        <v>1497</v>
      </c>
      <c r="F1615" s="4">
        <v>2.742</v>
      </c>
      <c r="G1615" s="4">
        <v>4104.7740000000003</v>
      </c>
      <c r="H1615" s="5">
        <f t="shared" si="25"/>
        <v>-7.1246819338422075E-3</v>
      </c>
    </row>
    <row r="1616" spans="1:8" ht="13.5" x14ac:dyDescent="0.25">
      <c r="A1616" s="1"/>
      <c r="B1616" s="3">
        <v>44659</v>
      </c>
      <c r="C1616" s="4">
        <v>2.78</v>
      </c>
      <c r="D1616" s="4">
        <v>2.3412000000000002</v>
      </c>
      <c r="E1616" s="4">
        <v>195</v>
      </c>
      <c r="F1616" s="4">
        <v>2.7330000000000001</v>
      </c>
      <c r="G1616" s="4">
        <v>532.93499999999995</v>
      </c>
      <c r="H1616" s="5">
        <f t="shared" si="25"/>
        <v>0</v>
      </c>
    </row>
    <row r="1617" spans="1:8" ht="13.5" x14ac:dyDescent="0.25">
      <c r="A1617" s="1"/>
      <c r="B1617" s="3">
        <v>44662</v>
      </c>
      <c r="C1617" s="4">
        <v>2.78</v>
      </c>
      <c r="D1617" s="4">
        <v>2.3412000000000002</v>
      </c>
      <c r="E1617" s="4">
        <v>500</v>
      </c>
      <c r="F1617" s="4">
        <v>2.78</v>
      </c>
      <c r="G1617" s="4">
        <v>1390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2.77</v>
      </c>
      <c r="D1618" s="4">
        <v>2.3327</v>
      </c>
      <c r="E1618" s="4">
        <v>2128</v>
      </c>
      <c r="F1618" s="4">
        <v>2.758</v>
      </c>
      <c r="G1618" s="4">
        <v>5869.0240000000003</v>
      </c>
      <c r="H1618" s="5">
        <f t="shared" si="25"/>
        <v>-3.6306167777209008E-3</v>
      </c>
    </row>
    <row r="1619" spans="1:8" ht="13.5" x14ac:dyDescent="0.25">
      <c r="A1619" s="1"/>
      <c r="B1619" s="3">
        <v>44664</v>
      </c>
      <c r="C1619" s="4">
        <v>2.76</v>
      </c>
      <c r="D1619" s="4">
        <v>2.3243</v>
      </c>
      <c r="E1619" s="4">
        <v>600</v>
      </c>
      <c r="F1619" s="4">
        <v>2.76</v>
      </c>
      <c r="G1619" s="4">
        <v>1656</v>
      </c>
      <c r="H1619" s="5">
        <f t="shared" si="25"/>
        <v>-3.6009774081536259E-3</v>
      </c>
    </row>
    <row r="1620" spans="1:8" ht="13.5" x14ac:dyDescent="0.25">
      <c r="A1620" s="1"/>
      <c r="B1620" s="3">
        <v>44665</v>
      </c>
      <c r="C1620" s="4">
        <v>2.76</v>
      </c>
      <c r="D1620" s="4">
        <v>2.3243</v>
      </c>
      <c r="E1620" s="4">
        <v>1090</v>
      </c>
      <c r="F1620" s="4">
        <v>2.734</v>
      </c>
      <c r="G1620" s="4">
        <v>2980.06</v>
      </c>
      <c r="H1620" s="5">
        <f t="shared" si="25"/>
        <v>0</v>
      </c>
    </row>
    <row r="1621" spans="1:8" ht="13.5" x14ac:dyDescent="0.25">
      <c r="A1621" s="1"/>
      <c r="B1621" s="3">
        <v>44666</v>
      </c>
      <c r="C1621" s="4">
        <v>2.76</v>
      </c>
      <c r="D1621" s="4">
        <v>2.3243</v>
      </c>
      <c r="E1621" s="4">
        <v>15965</v>
      </c>
      <c r="F1621" s="4">
        <v>2.7050000000000001</v>
      </c>
      <c r="G1621" s="4">
        <v>43185.324999999997</v>
      </c>
      <c r="H1621" s="5">
        <f t="shared" si="25"/>
        <v>0</v>
      </c>
    </row>
    <row r="1622" spans="1:8" ht="13.5" x14ac:dyDescent="0.25">
      <c r="A1622" s="1"/>
      <c r="B1622" s="3">
        <v>44669</v>
      </c>
      <c r="C1622" s="4">
        <v>2.76</v>
      </c>
      <c r="D1622" s="4">
        <v>2.3243</v>
      </c>
      <c r="E1622" s="4">
        <v>0</v>
      </c>
      <c r="F1622" s="4">
        <v>0</v>
      </c>
      <c r="G1622" s="4">
        <v>0</v>
      </c>
      <c r="H1622" s="5">
        <f t="shared" si="25"/>
        <v>0</v>
      </c>
    </row>
    <row r="1623" spans="1:8" ht="13.5" x14ac:dyDescent="0.25">
      <c r="A1623" s="1"/>
      <c r="B1623" s="3">
        <v>44670</v>
      </c>
      <c r="C1623" s="4">
        <v>2.75</v>
      </c>
      <c r="D1623" s="4">
        <v>2.3159000000000001</v>
      </c>
      <c r="E1623" s="4">
        <v>3671</v>
      </c>
      <c r="F1623" s="4">
        <v>2.7109999999999999</v>
      </c>
      <c r="G1623" s="4">
        <v>9952.0810000000001</v>
      </c>
      <c r="H1623" s="5">
        <f t="shared" si="25"/>
        <v>-3.6139913092113596E-3</v>
      </c>
    </row>
    <row r="1624" spans="1:8" ht="13.5" x14ac:dyDescent="0.25">
      <c r="A1624" s="1"/>
      <c r="B1624" s="3">
        <v>44671</v>
      </c>
      <c r="C1624" s="4">
        <v>2.77</v>
      </c>
      <c r="D1624" s="4">
        <v>2.3327</v>
      </c>
      <c r="E1624" s="4">
        <v>1280</v>
      </c>
      <c r="F1624" s="4">
        <v>2.77</v>
      </c>
      <c r="G1624" s="4">
        <v>3545.6</v>
      </c>
      <c r="H1624" s="5">
        <f t="shared" si="25"/>
        <v>7.2541992314002872E-3</v>
      </c>
    </row>
    <row r="1625" spans="1:8" ht="13.5" x14ac:dyDescent="0.25">
      <c r="A1625" s="1"/>
      <c r="B1625" s="3">
        <v>44672</v>
      </c>
      <c r="C1625" s="4">
        <v>2.78</v>
      </c>
      <c r="D1625" s="4">
        <v>2.3412000000000002</v>
      </c>
      <c r="E1625" s="4">
        <v>450</v>
      </c>
      <c r="F1625" s="4">
        <v>2.78</v>
      </c>
      <c r="G1625" s="4">
        <v>1251</v>
      </c>
      <c r="H1625" s="5">
        <f t="shared" si="25"/>
        <v>3.6438461868222123E-3</v>
      </c>
    </row>
    <row r="1626" spans="1:8" ht="13.5" x14ac:dyDescent="0.25">
      <c r="A1626" s="1"/>
      <c r="B1626" s="3">
        <v>44673</v>
      </c>
      <c r="C1626" s="4">
        <v>2.78</v>
      </c>
      <c r="D1626" s="4">
        <v>2.3412000000000002</v>
      </c>
      <c r="E1626" s="4">
        <v>0</v>
      </c>
      <c r="F1626" s="4">
        <v>0</v>
      </c>
      <c r="G1626" s="4">
        <v>0</v>
      </c>
      <c r="H1626" s="5">
        <f t="shared" si="25"/>
        <v>0</v>
      </c>
    </row>
    <row r="1627" spans="1:8" ht="13.5" x14ac:dyDescent="0.25">
      <c r="A1627" s="1"/>
      <c r="B1627" s="3">
        <v>44676</v>
      </c>
      <c r="C1627" s="4">
        <v>2.7</v>
      </c>
      <c r="D1627" s="4">
        <v>2.2738</v>
      </c>
      <c r="E1627" s="4">
        <v>5328</v>
      </c>
      <c r="F1627" s="4">
        <v>2.669</v>
      </c>
      <c r="G1627" s="4">
        <v>14220.432000000001</v>
      </c>
      <c r="H1627" s="5">
        <f t="shared" si="25"/>
        <v>-2.8788655390398137E-2</v>
      </c>
    </row>
    <row r="1628" spans="1:8" ht="13.5" x14ac:dyDescent="0.25">
      <c r="A1628" s="1"/>
      <c r="B1628" s="3">
        <v>44677</v>
      </c>
      <c r="C1628" s="4">
        <v>2.75</v>
      </c>
      <c r="D1628" s="4">
        <v>2.3159000000000001</v>
      </c>
      <c r="E1628" s="4">
        <v>69</v>
      </c>
      <c r="F1628" s="4">
        <v>2.7210000000000001</v>
      </c>
      <c r="G1628" s="4">
        <v>187.749</v>
      </c>
      <c r="H1628" s="5">
        <f t="shared" si="25"/>
        <v>1.8515260796903871E-2</v>
      </c>
    </row>
    <row r="1629" spans="1:8" ht="13.5" x14ac:dyDescent="0.25">
      <c r="A1629" s="1"/>
      <c r="B1629" s="3">
        <v>44678</v>
      </c>
      <c r="C1629" s="4">
        <v>2.74</v>
      </c>
      <c r="D1629" s="4">
        <v>2.3075000000000001</v>
      </c>
      <c r="E1629" s="4">
        <v>2206</v>
      </c>
      <c r="F1629" s="4">
        <v>2.7</v>
      </c>
      <c r="G1629" s="4">
        <v>5956.2</v>
      </c>
      <c r="H1629" s="5">
        <f t="shared" si="25"/>
        <v>-3.6270996157001436E-3</v>
      </c>
    </row>
    <row r="1630" spans="1:8" ht="13.5" x14ac:dyDescent="0.25">
      <c r="A1630" s="1"/>
      <c r="B1630" s="3">
        <v>44679</v>
      </c>
      <c r="C1630" s="4">
        <v>2.74</v>
      </c>
      <c r="D1630" s="4">
        <v>2.3075000000000001</v>
      </c>
      <c r="E1630" s="4">
        <v>927</v>
      </c>
      <c r="F1630" s="4">
        <v>2.718</v>
      </c>
      <c r="G1630" s="4">
        <v>2519.5859999999998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2.74</v>
      </c>
      <c r="D1631" s="4">
        <v>2.3075000000000001</v>
      </c>
      <c r="E1631" s="4">
        <v>1382</v>
      </c>
      <c r="F1631" s="4">
        <v>2.7010000000000001</v>
      </c>
      <c r="G1631" s="4">
        <v>3732.7820000000002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2.74</v>
      </c>
      <c r="D1632" s="4">
        <v>2.3075000000000001</v>
      </c>
      <c r="E1632" s="4">
        <v>15878</v>
      </c>
      <c r="F1632" s="4">
        <v>2.7</v>
      </c>
      <c r="G1632" s="4">
        <v>42870.6</v>
      </c>
      <c r="H1632" s="5">
        <f t="shared" si="25"/>
        <v>0</v>
      </c>
    </row>
    <row r="1633" spans="1:8" ht="13.5" x14ac:dyDescent="0.25">
      <c r="A1633" s="1"/>
      <c r="B1633" s="3">
        <v>44686</v>
      </c>
      <c r="C1633" s="4">
        <v>2.73</v>
      </c>
      <c r="D1633" s="4">
        <v>2.2991000000000001</v>
      </c>
      <c r="E1633" s="4">
        <v>5392</v>
      </c>
      <c r="F1633" s="4">
        <v>2.7</v>
      </c>
      <c r="G1633" s="4">
        <v>14558.4</v>
      </c>
      <c r="H1633" s="5">
        <f t="shared" si="25"/>
        <v>-3.6403033586132017E-3</v>
      </c>
    </row>
    <row r="1634" spans="1:8" ht="13.5" x14ac:dyDescent="0.25">
      <c r="A1634" s="1"/>
      <c r="B1634" s="3">
        <v>44687</v>
      </c>
      <c r="C1634" s="4">
        <v>2.64</v>
      </c>
      <c r="D1634" s="4">
        <v>2.2233000000000001</v>
      </c>
      <c r="E1634" s="4">
        <v>7686</v>
      </c>
      <c r="F1634" s="4">
        <v>2.641</v>
      </c>
      <c r="G1634" s="4">
        <v>20298.725999999999</v>
      </c>
      <c r="H1634" s="5">
        <f t="shared" si="25"/>
        <v>-3.2969422817624328E-2</v>
      </c>
    </row>
    <row r="1635" spans="1:8" ht="13.5" x14ac:dyDescent="0.25">
      <c r="A1635" s="1"/>
      <c r="B1635" s="3">
        <v>44690</v>
      </c>
      <c r="C1635" s="4">
        <v>2.7</v>
      </c>
      <c r="D1635" s="4">
        <v>2.2738</v>
      </c>
      <c r="E1635" s="4">
        <v>10</v>
      </c>
      <c r="F1635" s="4">
        <v>2.7</v>
      </c>
      <c r="G1635" s="4">
        <v>27</v>
      </c>
      <c r="H1635" s="5">
        <f t="shared" si="25"/>
        <v>2.2713983717896815E-2</v>
      </c>
    </row>
    <row r="1636" spans="1:8" ht="13.5" x14ac:dyDescent="0.25">
      <c r="A1636" s="1"/>
      <c r="B1636" s="3">
        <v>44691</v>
      </c>
      <c r="C1636" s="4">
        <v>2.7</v>
      </c>
      <c r="D1636" s="4">
        <v>2.2738</v>
      </c>
      <c r="E1636" s="4">
        <v>0</v>
      </c>
      <c r="F1636" s="4">
        <v>0</v>
      </c>
      <c r="G1636" s="4">
        <v>0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2.69</v>
      </c>
      <c r="D1637" s="4">
        <v>2.2654000000000001</v>
      </c>
      <c r="E1637" s="4">
        <v>4104</v>
      </c>
      <c r="F1637" s="4">
        <v>2.681</v>
      </c>
      <c r="G1637" s="4">
        <v>11002.824000000001</v>
      </c>
      <c r="H1637" s="5">
        <f t="shared" si="25"/>
        <v>-3.6942563110211818E-3</v>
      </c>
    </row>
    <row r="1638" spans="1:8" ht="13.5" x14ac:dyDescent="0.25">
      <c r="A1638" s="1"/>
      <c r="B1638" s="3">
        <v>44693</v>
      </c>
      <c r="C1638" s="4">
        <v>2.67</v>
      </c>
      <c r="D1638" s="4">
        <v>2.2484999999999999</v>
      </c>
      <c r="E1638" s="4">
        <v>4609</v>
      </c>
      <c r="F1638" s="4">
        <v>2.64</v>
      </c>
      <c r="G1638" s="4">
        <v>12167.76</v>
      </c>
      <c r="H1638" s="5">
        <f t="shared" si="25"/>
        <v>-7.4600512050852549E-3</v>
      </c>
    </row>
    <row r="1639" spans="1:8" ht="13.5" x14ac:dyDescent="0.25">
      <c r="A1639" s="1"/>
      <c r="B1639" s="3">
        <v>44694</v>
      </c>
      <c r="C1639" s="4">
        <v>2.67</v>
      </c>
      <c r="D1639" s="4">
        <v>2.2484999999999999</v>
      </c>
      <c r="E1639" s="4">
        <v>7611</v>
      </c>
      <c r="F1639" s="4">
        <v>2.6829999999999998</v>
      </c>
      <c r="G1639" s="4">
        <v>20420.312999999998</v>
      </c>
      <c r="H1639" s="5">
        <f t="shared" si="25"/>
        <v>0</v>
      </c>
    </row>
    <row r="1640" spans="1:8" ht="13.5" x14ac:dyDescent="0.25">
      <c r="A1640" s="1"/>
      <c r="B1640" s="3">
        <v>44697</v>
      </c>
      <c r="C1640" s="4">
        <v>2.7</v>
      </c>
      <c r="D1640" s="4">
        <v>2.2738</v>
      </c>
      <c r="E1640" s="4">
        <v>15723</v>
      </c>
      <c r="F1640" s="4">
        <v>2.7010000000000001</v>
      </c>
      <c r="G1640" s="4">
        <v>42467.822999999997</v>
      </c>
      <c r="H1640" s="5">
        <f t="shared" si="25"/>
        <v>1.1251945741605559E-2</v>
      </c>
    </row>
    <row r="1641" spans="1:8" ht="13.5" x14ac:dyDescent="0.25">
      <c r="A1641" s="1"/>
      <c r="B1641" s="3">
        <v>44698</v>
      </c>
      <c r="C1641" s="4">
        <v>2.75</v>
      </c>
      <c r="D1641" s="4">
        <v>2.3159000000000001</v>
      </c>
      <c r="E1641" s="4">
        <v>9244</v>
      </c>
      <c r="F1641" s="4">
        <v>2.7040000000000002</v>
      </c>
      <c r="G1641" s="4">
        <v>24995.776000000002</v>
      </c>
      <c r="H1641" s="5">
        <f t="shared" si="25"/>
        <v>1.8515260796903871E-2</v>
      </c>
    </row>
    <row r="1642" spans="1:8" ht="13.5" x14ac:dyDescent="0.25">
      <c r="A1642" s="1"/>
      <c r="B1642" s="3">
        <v>44699</v>
      </c>
      <c r="C1642" s="4">
        <v>2.7</v>
      </c>
      <c r="D1642" s="4">
        <v>2.2738</v>
      </c>
      <c r="E1642" s="4">
        <v>13182</v>
      </c>
      <c r="F1642" s="4">
        <v>2.7570000000000001</v>
      </c>
      <c r="G1642" s="4">
        <v>36342.773999999998</v>
      </c>
      <c r="H1642" s="5">
        <f t="shared" si="25"/>
        <v>-1.8178677835830572E-2</v>
      </c>
    </row>
    <row r="1643" spans="1:8" ht="13.5" x14ac:dyDescent="0.25">
      <c r="A1643" s="1"/>
      <c r="B1643" s="3">
        <v>44700</v>
      </c>
      <c r="C1643" s="4">
        <v>2.73</v>
      </c>
      <c r="D1643" s="4">
        <v>2.2991000000000001</v>
      </c>
      <c r="E1643" s="4">
        <v>6690</v>
      </c>
      <c r="F1643" s="4">
        <v>2.7080000000000002</v>
      </c>
      <c r="G1643" s="4">
        <v>18116.52</v>
      </c>
      <c r="H1643" s="5">
        <f t="shared" si="25"/>
        <v>1.1126748174861509E-2</v>
      </c>
    </row>
    <row r="1644" spans="1:8" ht="13.5" x14ac:dyDescent="0.25">
      <c r="A1644" s="1"/>
      <c r="B1644" s="3">
        <v>44701</v>
      </c>
      <c r="C1644" s="4">
        <v>2.79</v>
      </c>
      <c r="D1644" s="4">
        <v>2.3496000000000001</v>
      </c>
      <c r="E1644" s="4">
        <v>6249</v>
      </c>
      <c r="F1644" s="4">
        <v>2.7410000000000001</v>
      </c>
      <c r="G1644" s="4">
        <v>17128.508999999998</v>
      </c>
      <c r="H1644" s="5">
        <f t="shared" si="25"/>
        <v>2.1965116784828841E-2</v>
      </c>
    </row>
    <row r="1645" spans="1:8" ht="13.5" x14ac:dyDescent="0.25">
      <c r="A1645" s="1"/>
      <c r="B1645" s="3">
        <v>44704</v>
      </c>
      <c r="C1645" s="4">
        <v>2.84</v>
      </c>
      <c r="D1645" s="4">
        <v>2.3917000000000002</v>
      </c>
      <c r="E1645" s="4">
        <v>1199</v>
      </c>
      <c r="F1645" s="4">
        <v>2.8159999999999998</v>
      </c>
      <c r="G1645" s="4">
        <v>3376.384</v>
      </c>
      <c r="H1645" s="5">
        <f t="shared" si="25"/>
        <v>1.7917943479741242E-2</v>
      </c>
    </row>
    <row r="1646" spans="1:8" ht="13.5" x14ac:dyDescent="0.25">
      <c r="A1646" s="1"/>
      <c r="B1646" s="3">
        <v>44705</v>
      </c>
      <c r="C1646" s="4">
        <v>2.79</v>
      </c>
      <c r="D1646" s="4">
        <v>2.3496000000000001</v>
      </c>
      <c r="E1646" s="4">
        <v>6310</v>
      </c>
      <c r="F1646" s="4">
        <v>2.819</v>
      </c>
      <c r="G1646" s="4">
        <v>17787.89</v>
      </c>
      <c r="H1646" s="5">
        <f t="shared" si="25"/>
        <v>-1.7602542124848443E-2</v>
      </c>
    </row>
    <row r="1647" spans="1:8" ht="13.5" x14ac:dyDescent="0.25">
      <c r="A1647" s="1"/>
      <c r="B1647" s="3">
        <v>44706</v>
      </c>
      <c r="C1647" s="4">
        <v>2.83</v>
      </c>
      <c r="D1647" s="4">
        <v>2.3833000000000002</v>
      </c>
      <c r="E1647" s="4">
        <v>5057</v>
      </c>
      <c r="F1647" s="4">
        <v>2.8140000000000001</v>
      </c>
      <c r="G1647" s="4">
        <v>14230.397999999999</v>
      </c>
      <c r="H1647" s="5">
        <f t="shared" si="25"/>
        <v>1.4342866870956785E-2</v>
      </c>
    </row>
    <row r="1648" spans="1:8" ht="13.5" x14ac:dyDescent="0.25">
      <c r="A1648" s="1"/>
      <c r="B1648" s="3">
        <v>44707</v>
      </c>
      <c r="C1648" s="4">
        <v>2.85</v>
      </c>
      <c r="D1648" s="4">
        <v>2.4001000000000001</v>
      </c>
      <c r="E1648" s="4">
        <v>460</v>
      </c>
      <c r="F1648" s="4">
        <v>2.82</v>
      </c>
      <c r="G1648" s="4">
        <v>1297.2</v>
      </c>
      <c r="H1648" s="5">
        <f t="shared" si="25"/>
        <v>7.0490496370578292E-3</v>
      </c>
    </row>
    <row r="1649" spans="1:8" ht="13.5" x14ac:dyDescent="0.25">
      <c r="A1649" s="1"/>
      <c r="B1649" s="3">
        <v>44708</v>
      </c>
      <c r="C1649" s="4">
        <v>2.79</v>
      </c>
      <c r="D1649" s="4">
        <v>2.3496000000000001</v>
      </c>
      <c r="E1649" s="4">
        <v>7626</v>
      </c>
      <c r="F1649" s="4">
        <v>2.8359999999999999</v>
      </c>
      <c r="G1649" s="4">
        <v>21627.335999999999</v>
      </c>
      <c r="H1649" s="5">
        <f t="shared" si="25"/>
        <v>-2.1040789967084698E-2</v>
      </c>
    </row>
    <row r="1650" spans="1:8" ht="13.5" x14ac:dyDescent="0.25">
      <c r="A1650" s="1"/>
      <c r="B1650" s="3">
        <v>44711</v>
      </c>
      <c r="C1650" s="4">
        <v>2.8</v>
      </c>
      <c r="D1650" s="4">
        <v>2.3580000000000001</v>
      </c>
      <c r="E1650" s="4">
        <v>3033</v>
      </c>
      <c r="F1650" s="4">
        <v>2.8370000000000002</v>
      </c>
      <c r="G1650" s="4">
        <v>8604.6209999999992</v>
      </c>
      <c r="H1650" s="5">
        <f t="shared" si="25"/>
        <v>3.5750766087844581E-3</v>
      </c>
    </row>
    <row r="1651" spans="1:8" ht="13.5" x14ac:dyDescent="0.25">
      <c r="A1651" s="1"/>
      <c r="B1651" s="3">
        <v>44712</v>
      </c>
      <c r="C1651" s="4">
        <v>2.81</v>
      </c>
      <c r="D1651" s="4">
        <v>2.3664000000000001</v>
      </c>
      <c r="E1651" s="4">
        <v>2722</v>
      </c>
      <c r="F1651" s="4">
        <v>2.8130000000000002</v>
      </c>
      <c r="G1651" s="4">
        <v>7656.9859999999999</v>
      </c>
      <c r="H1651" s="5">
        <f t="shared" si="25"/>
        <v>3.5623409669211037E-3</v>
      </c>
    </row>
    <row r="1652" spans="1:8" ht="13.5" x14ac:dyDescent="0.25">
      <c r="A1652" s="1"/>
      <c r="B1652" s="3">
        <v>44713</v>
      </c>
      <c r="C1652" s="4">
        <v>2.81</v>
      </c>
      <c r="D1652" s="4">
        <v>2.3664000000000001</v>
      </c>
      <c r="E1652" s="4">
        <v>1863</v>
      </c>
      <c r="F1652" s="4">
        <v>2.8029999999999999</v>
      </c>
      <c r="G1652" s="4">
        <v>5221.9889999999996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2.81</v>
      </c>
      <c r="D1653" s="4">
        <v>2.3664000000000001</v>
      </c>
      <c r="E1653" s="4">
        <v>809</v>
      </c>
      <c r="F1653" s="4">
        <v>2.81</v>
      </c>
      <c r="G1653" s="4">
        <v>2273.29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2.81</v>
      </c>
      <c r="D1654" s="4">
        <v>2.3664000000000001</v>
      </c>
      <c r="E1654" s="4">
        <v>60</v>
      </c>
      <c r="F1654" s="4">
        <v>2.8130000000000002</v>
      </c>
      <c r="G1654" s="4">
        <v>168.78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2.77</v>
      </c>
      <c r="D1655" s="4">
        <v>2.3327</v>
      </c>
      <c r="E1655" s="4">
        <v>1183</v>
      </c>
      <c r="F1655" s="4">
        <v>2.7989999999999999</v>
      </c>
      <c r="G1655" s="4">
        <v>3311.2170000000001</v>
      </c>
      <c r="H1655" s="5">
        <f t="shared" si="25"/>
        <v>-1.4241041244083867E-2</v>
      </c>
    </row>
    <row r="1656" spans="1:8" ht="13.5" x14ac:dyDescent="0.25">
      <c r="A1656" s="1"/>
      <c r="B1656" s="3">
        <v>44719</v>
      </c>
      <c r="C1656" s="4">
        <v>2.75</v>
      </c>
      <c r="D1656" s="4">
        <v>2.3159000000000001</v>
      </c>
      <c r="E1656" s="4">
        <v>15394</v>
      </c>
      <c r="F1656" s="4">
        <v>2.702</v>
      </c>
      <c r="G1656" s="4">
        <v>41594.588000000003</v>
      </c>
      <c r="H1656" s="5">
        <f t="shared" si="25"/>
        <v>-7.2019548163072518E-3</v>
      </c>
    </row>
    <row r="1657" spans="1:8" ht="13.5" x14ac:dyDescent="0.25">
      <c r="A1657" s="1"/>
      <c r="B1657" s="3">
        <v>44720</v>
      </c>
      <c r="C1657" s="4">
        <v>2.72</v>
      </c>
      <c r="D1657" s="4">
        <v>2.2906</v>
      </c>
      <c r="E1657" s="4">
        <v>2626</v>
      </c>
      <c r="F1657" s="4">
        <v>2.7250000000000001</v>
      </c>
      <c r="G1657" s="4">
        <v>7155.85</v>
      </c>
      <c r="H1657" s="5">
        <f t="shared" si="25"/>
        <v>-1.0924478604430287E-2</v>
      </c>
    </row>
    <row r="1658" spans="1:8" ht="13.5" x14ac:dyDescent="0.25">
      <c r="A1658" s="1"/>
      <c r="B1658" s="3">
        <v>44721</v>
      </c>
      <c r="C1658" s="4">
        <v>2.75</v>
      </c>
      <c r="D1658" s="4">
        <v>2.3159000000000001</v>
      </c>
      <c r="E1658" s="4">
        <v>1553</v>
      </c>
      <c r="F1658" s="4">
        <v>2.7349999999999999</v>
      </c>
      <c r="G1658" s="4">
        <v>4247.4549999999999</v>
      </c>
      <c r="H1658" s="5">
        <f t="shared" si="25"/>
        <v>1.1045141011088841E-2</v>
      </c>
    </row>
    <row r="1659" spans="1:8" ht="13.5" x14ac:dyDescent="0.25">
      <c r="A1659" s="1"/>
      <c r="B1659" s="3">
        <v>44722</v>
      </c>
      <c r="C1659" s="4">
        <v>2.75</v>
      </c>
      <c r="D1659" s="4">
        <v>2.3159000000000001</v>
      </c>
      <c r="E1659" s="4">
        <v>743</v>
      </c>
      <c r="F1659" s="4">
        <v>2.75</v>
      </c>
      <c r="G1659" s="4">
        <v>2043.25</v>
      </c>
      <c r="H1659" s="5">
        <f t="shared" si="25"/>
        <v>0</v>
      </c>
    </row>
    <row r="1660" spans="1:8" ht="13.5" x14ac:dyDescent="0.25">
      <c r="A1660" s="1"/>
      <c r="B1660" s="3">
        <v>44725</v>
      </c>
      <c r="C1660" s="4">
        <v>2.7</v>
      </c>
      <c r="D1660" s="4">
        <v>2.2738</v>
      </c>
      <c r="E1660" s="4">
        <v>1572</v>
      </c>
      <c r="F1660" s="4">
        <v>2.669</v>
      </c>
      <c r="G1660" s="4">
        <v>4195.6679999999997</v>
      </c>
      <c r="H1660" s="5">
        <f t="shared" si="25"/>
        <v>-1.8178677835830572E-2</v>
      </c>
    </row>
    <row r="1661" spans="1:8" ht="13.5" x14ac:dyDescent="0.25">
      <c r="A1661" s="1"/>
      <c r="B1661" s="3">
        <v>44726</v>
      </c>
      <c r="C1661" s="4">
        <v>2.69</v>
      </c>
      <c r="D1661" s="4">
        <v>2.2654000000000001</v>
      </c>
      <c r="E1661" s="4">
        <v>430</v>
      </c>
      <c r="F1661" s="4">
        <v>2.6829999999999998</v>
      </c>
      <c r="G1661" s="4">
        <v>1153.69</v>
      </c>
      <c r="H1661" s="5">
        <f t="shared" si="25"/>
        <v>-3.6942563110211818E-3</v>
      </c>
    </row>
    <row r="1662" spans="1:8" ht="13.5" x14ac:dyDescent="0.25">
      <c r="A1662" s="1"/>
      <c r="B1662" s="3">
        <v>44727</v>
      </c>
      <c r="C1662" s="4">
        <v>2.67</v>
      </c>
      <c r="D1662" s="4">
        <v>2.2484999999999999</v>
      </c>
      <c r="E1662" s="4">
        <v>5925</v>
      </c>
      <c r="F1662" s="4">
        <v>2.6549999999999998</v>
      </c>
      <c r="G1662" s="4">
        <v>15730.875</v>
      </c>
      <c r="H1662" s="5">
        <f t="shared" si="25"/>
        <v>-7.4600512050852549E-3</v>
      </c>
    </row>
    <row r="1663" spans="1:8" ht="13.5" x14ac:dyDescent="0.25">
      <c r="A1663" s="1"/>
      <c r="B1663" s="3">
        <v>44728</v>
      </c>
      <c r="C1663" s="4">
        <v>2.67</v>
      </c>
      <c r="D1663" s="4">
        <v>2.2484999999999999</v>
      </c>
      <c r="E1663" s="4">
        <v>739</v>
      </c>
      <c r="F1663" s="4">
        <v>2.633</v>
      </c>
      <c r="G1663" s="4">
        <v>1945.787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2.69</v>
      </c>
      <c r="D1664" s="4">
        <v>2.2654000000000001</v>
      </c>
      <c r="E1664" s="4">
        <v>4000</v>
      </c>
      <c r="F1664" s="4">
        <v>2.67</v>
      </c>
      <c r="G1664" s="4">
        <v>10680</v>
      </c>
      <c r="H1664" s="5">
        <f t="shared" si="25"/>
        <v>7.5161218590171835E-3</v>
      </c>
    </row>
    <row r="1665" spans="1:8" ht="13.5" x14ac:dyDescent="0.25">
      <c r="A1665" s="1"/>
      <c r="B1665" s="3">
        <v>44732</v>
      </c>
      <c r="C1665" s="4">
        <v>2.84</v>
      </c>
      <c r="D1665" s="4">
        <v>2.3917000000000002</v>
      </c>
      <c r="E1665" s="4">
        <v>13096</v>
      </c>
      <c r="F1665" s="4">
        <v>2.7519999999999998</v>
      </c>
      <c r="G1665" s="4">
        <v>36040.192000000003</v>
      </c>
      <c r="H1665" s="5">
        <f t="shared" si="25"/>
        <v>5.5751743621435541E-2</v>
      </c>
    </row>
    <row r="1666" spans="1:8" ht="13.5" x14ac:dyDescent="0.25">
      <c r="A1666" s="1"/>
      <c r="B1666" s="3">
        <v>44733</v>
      </c>
      <c r="C1666" s="4">
        <v>2.75</v>
      </c>
      <c r="D1666" s="4">
        <v>2.3159000000000001</v>
      </c>
      <c r="E1666" s="4">
        <v>16234</v>
      </c>
      <c r="F1666" s="4">
        <v>2.7669999999999999</v>
      </c>
      <c r="G1666" s="4">
        <v>44919.478000000003</v>
      </c>
      <c r="H1666" s="5">
        <f t="shared" si="25"/>
        <v>-3.1692938077518121E-2</v>
      </c>
    </row>
    <row r="1667" spans="1:8" ht="13.5" x14ac:dyDescent="0.25">
      <c r="A1667" s="1"/>
      <c r="B1667" s="3">
        <v>44734</v>
      </c>
      <c r="C1667" s="4">
        <v>2.79</v>
      </c>
      <c r="D1667" s="4">
        <v>2.3496000000000001</v>
      </c>
      <c r="E1667" s="4">
        <v>1469</v>
      </c>
      <c r="F1667" s="4">
        <v>2.774</v>
      </c>
      <c r="G1667" s="4">
        <v>4075.0059999999999</v>
      </c>
      <c r="H1667" s="5">
        <f t="shared" si="25"/>
        <v>1.455157822013043E-2</v>
      </c>
    </row>
    <row r="1668" spans="1:8" ht="13.5" x14ac:dyDescent="0.25">
      <c r="A1668" s="1"/>
      <c r="B1668" s="3">
        <v>44735</v>
      </c>
      <c r="C1668" s="4">
        <v>2.78</v>
      </c>
      <c r="D1668" s="4">
        <v>2.3412000000000002</v>
      </c>
      <c r="E1668" s="4">
        <v>8103</v>
      </c>
      <c r="F1668" s="4">
        <v>2.754</v>
      </c>
      <c r="G1668" s="4">
        <v>22315.662</v>
      </c>
      <c r="H1668" s="5">
        <f t="shared" si="25"/>
        <v>-3.5750766087844581E-3</v>
      </c>
    </row>
    <row r="1669" spans="1:8" ht="13.5" x14ac:dyDescent="0.25">
      <c r="A1669" s="1"/>
      <c r="B1669" s="3">
        <v>44736</v>
      </c>
      <c r="C1669" s="4">
        <v>2.76</v>
      </c>
      <c r="D1669" s="4">
        <v>2.3243</v>
      </c>
      <c r="E1669" s="4">
        <v>174</v>
      </c>
      <c r="F1669" s="4">
        <v>2.7120000000000002</v>
      </c>
      <c r="G1669" s="4">
        <v>471.88799999999998</v>
      </c>
      <c r="H1669" s="5">
        <f t="shared" si="25"/>
        <v>-7.2185204168802907E-3</v>
      </c>
    </row>
    <row r="1670" spans="1:8" ht="13.5" x14ac:dyDescent="0.25">
      <c r="A1670" s="1"/>
      <c r="B1670" s="3">
        <v>44739</v>
      </c>
      <c r="C1670" s="4">
        <v>2.75</v>
      </c>
      <c r="D1670" s="4">
        <v>2.3159000000000001</v>
      </c>
      <c r="E1670" s="4">
        <v>312</v>
      </c>
      <c r="F1670" s="4">
        <v>2.7210000000000001</v>
      </c>
      <c r="G1670" s="4">
        <v>848.952</v>
      </c>
      <c r="H1670" s="5">
        <f t="shared" si="25"/>
        <v>-3.6139913092113596E-3</v>
      </c>
    </row>
    <row r="1671" spans="1:8" ht="13.5" x14ac:dyDescent="0.25">
      <c r="A1671" s="1"/>
      <c r="B1671" s="3">
        <v>44740</v>
      </c>
      <c r="C1671" s="4">
        <v>2.74</v>
      </c>
      <c r="D1671" s="4">
        <v>2.3075000000000001</v>
      </c>
      <c r="E1671" s="4">
        <v>4070</v>
      </c>
      <c r="F1671" s="4">
        <v>2.6760000000000002</v>
      </c>
      <c r="G1671" s="4">
        <v>10891.32</v>
      </c>
      <c r="H1671" s="5">
        <f t="shared" ref="H1671:H1734" si="26">(D1671-D1670)/D1670</f>
        <v>-3.6270996157001436E-3</v>
      </c>
    </row>
    <row r="1672" spans="1:8" ht="13.5" x14ac:dyDescent="0.25">
      <c r="A1672" s="1"/>
      <c r="B1672" s="3">
        <v>44741</v>
      </c>
      <c r="C1672" s="4">
        <v>2.7</v>
      </c>
      <c r="D1672" s="4">
        <v>2.2738</v>
      </c>
      <c r="E1672" s="4">
        <v>7109</v>
      </c>
      <c r="F1672" s="4">
        <v>2.6989999999999998</v>
      </c>
      <c r="G1672" s="4">
        <v>19187.190999999999</v>
      </c>
      <c r="H1672" s="5">
        <f t="shared" si="26"/>
        <v>-1.4604550379198293E-2</v>
      </c>
    </row>
    <row r="1673" spans="1:8" ht="13.5" x14ac:dyDescent="0.25">
      <c r="A1673" s="1"/>
      <c r="B1673" s="3">
        <v>44742</v>
      </c>
      <c r="C1673" s="4">
        <v>2.69</v>
      </c>
      <c r="D1673" s="4">
        <v>2.2654000000000001</v>
      </c>
      <c r="E1673" s="4">
        <v>8962</v>
      </c>
      <c r="F1673" s="4">
        <v>2.6720000000000002</v>
      </c>
      <c r="G1673" s="4">
        <v>23946.464</v>
      </c>
      <c r="H1673" s="5">
        <f t="shared" si="26"/>
        <v>-3.6942563110211818E-3</v>
      </c>
    </row>
    <row r="1674" spans="1:8" ht="13.5" x14ac:dyDescent="0.25">
      <c r="A1674" s="1"/>
      <c r="B1674" s="3">
        <v>44743</v>
      </c>
      <c r="C1674" s="4">
        <v>2.7</v>
      </c>
      <c r="D1674" s="4">
        <v>2.2738</v>
      </c>
      <c r="E1674" s="4">
        <v>851</v>
      </c>
      <c r="F1674" s="4">
        <v>2.6720000000000002</v>
      </c>
      <c r="G1674" s="4">
        <v>2273.8719999999998</v>
      </c>
      <c r="H1674" s="5">
        <f t="shared" si="26"/>
        <v>3.7079544451310864E-3</v>
      </c>
    </row>
    <row r="1675" spans="1:8" ht="13.5" x14ac:dyDescent="0.25">
      <c r="A1675" s="1"/>
      <c r="B1675" s="3">
        <v>44746</v>
      </c>
      <c r="C1675" s="4">
        <v>2.68</v>
      </c>
      <c r="D1675" s="4">
        <v>2.2568999999999999</v>
      </c>
      <c r="E1675" s="4">
        <v>316</v>
      </c>
      <c r="F1675" s="4">
        <v>2.68</v>
      </c>
      <c r="G1675" s="4">
        <v>846.88</v>
      </c>
      <c r="H1675" s="5">
        <f t="shared" si="26"/>
        <v>-7.4324918638403277E-3</v>
      </c>
    </row>
    <row r="1676" spans="1:8" ht="13.5" x14ac:dyDescent="0.25">
      <c r="A1676" s="1"/>
      <c r="B1676" s="3">
        <v>44747</v>
      </c>
      <c r="C1676" s="4">
        <v>2.68</v>
      </c>
      <c r="D1676" s="4">
        <v>2.2568999999999999</v>
      </c>
      <c r="E1676" s="4">
        <v>152</v>
      </c>
      <c r="F1676" s="4">
        <v>2.653</v>
      </c>
      <c r="G1676" s="4">
        <v>403.25599999999997</v>
      </c>
      <c r="H1676" s="5">
        <f t="shared" si="26"/>
        <v>0</v>
      </c>
    </row>
    <row r="1677" spans="1:8" ht="13.5" x14ac:dyDescent="0.25">
      <c r="A1677" s="1"/>
      <c r="B1677" s="3">
        <v>44748</v>
      </c>
      <c r="C1677" s="4">
        <v>2.72</v>
      </c>
      <c r="D1677" s="4">
        <v>2.2906</v>
      </c>
      <c r="E1677" s="4">
        <v>14781</v>
      </c>
      <c r="F1677" s="4">
        <v>2.7050000000000001</v>
      </c>
      <c r="G1677" s="4">
        <v>39982.605000000003</v>
      </c>
      <c r="H1677" s="5">
        <f t="shared" si="26"/>
        <v>1.4931986352962057E-2</v>
      </c>
    </row>
    <row r="1678" spans="1:8" ht="13.5" x14ac:dyDescent="0.25">
      <c r="A1678" s="1"/>
      <c r="B1678" s="3">
        <v>44749</v>
      </c>
      <c r="C1678" s="4">
        <v>2.79</v>
      </c>
      <c r="D1678" s="4">
        <v>2.3496000000000001</v>
      </c>
      <c r="E1678" s="4">
        <v>2547</v>
      </c>
      <c r="F1678" s="4">
        <v>2.746</v>
      </c>
      <c r="G1678" s="4">
        <v>6994.0619999999999</v>
      </c>
      <c r="H1678" s="5">
        <f t="shared" si="26"/>
        <v>2.57574434645945E-2</v>
      </c>
    </row>
    <row r="1679" spans="1:8" ht="13.5" x14ac:dyDescent="0.25">
      <c r="A1679" s="1"/>
      <c r="B1679" s="3">
        <v>44750</v>
      </c>
      <c r="C1679" s="4">
        <v>2.9</v>
      </c>
      <c r="D1679" s="4">
        <v>2.4422000000000001</v>
      </c>
      <c r="E1679" s="4">
        <v>18034</v>
      </c>
      <c r="F1679" s="4">
        <v>2.8639999999999999</v>
      </c>
      <c r="G1679" s="4">
        <v>51649.375999999997</v>
      </c>
      <c r="H1679" s="5">
        <f t="shared" si="26"/>
        <v>3.9410963568266941E-2</v>
      </c>
    </row>
    <row r="1680" spans="1:8" ht="13.5" x14ac:dyDescent="0.25">
      <c r="A1680" s="1"/>
      <c r="B1680" s="3">
        <v>44753</v>
      </c>
      <c r="C1680" s="4">
        <v>2.88</v>
      </c>
      <c r="D1680" s="4">
        <v>2.4253999999999998</v>
      </c>
      <c r="E1680" s="4">
        <v>6451</v>
      </c>
      <c r="F1680" s="4">
        <v>2.8780000000000001</v>
      </c>
      <c r="G1680" s="4">
        <v>18565.977999999999</v>
      </c>
      <c r="H1680" s="5">
        <f t="shared" si="26"/>
        <v>-6.8790434853821837E-3</v>
      </c>
    </row>
    <row r="1681" spans="1:8" ht="13.5" x14ac:dyDescent="0.25">
      <c r="A1681" s="1"/>
      <c r="B1681" s="3">
        <v>44754</v>
      </c>
      <c r="C1681" s="4">
        <v>2.88</v>
      </c>
      <c r="D1681" s="4">
        <v>2.4253999999999998</v>
      </c>
      <c r="E1681" s="4">
        <v>3034</v>
      </c>
      <c r="F1681" s="4">
        <v>2.8159999999999998</v>
      </c>
      <c r="G1681" s="4">
        <v>8543.7440000000006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2.88</v>
      </c>
      <c r="D1682" s="4">
        <v>2.4253999999999998</v>
      </c>
      <c r="E1682" s="4">
        <v>501</v>
      </c>
      <c r="F1682" s="4">
        <v>2.8740000000000001</v>
      </c>
      <c r="G1682" s="4">
        <v>1439.874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2.85</v>
      </c>
      <c r="D1683" s="4">
        <v>2.4001000000000001</v>
      </c>
      <c r="E1683" s="4">
        <v>2669</v>
      </c>
      <c r="F1683" s="4">
        <v>2.8479999999999999</v>
      </c>
      <c r="G1683" s="4">
        <v>7601.3119999999999</v>
      </c>
      <c r="H1683" s="5">
        <f t="shared" si="26"/>
        <v>-1.0431269069019403E-2</v>
      </c>
    </row>
    <row r="1684" spans="1:8" ht="13.5" x14ac:dyDescent="0.25">
      <c r="A1684" s="1"/>
      <c r="B1684" s="3">
        <v>44757</v>
      </c>
      <c r="C1684" s="4">
        <v>2.89</v>
      </c>
      <c r="D1684" s="4">
        <v>2.4338000000000002</v>
      </c>
      <c r="E1684" s="4">
        <v>4158</v>
      </c>
      <c r="F1684" s="4">
        <v>2.867</v>
      </c>
      <c r="G1684" s="4">
        <v>11920.986000000001</v>
      </c>
      <c r="H1684" s="5">
        <f t="shared" si="26"/>
        <v>1.4041081621599125E-2</v>
      </c>
    </row>
    <row r="1685" spans="1:8" ht="13.5" x14ac:dyDescent="0.25">
      <c r="A1685" s="1"/>
      <c r="B1685" s="3">
        <v>44760</v>
      </c>
      <c r="C1685" s="4">
        <v>2.89</v>
      </c>
      <c r="D1685" s="4">
        <v>2.4338000000000002</v>
      </c>
      <c r="E1685" s="4">
        <v>1017</v>
      </c>
      <c r="F1685" s="4">
        <v>2.8420000000000001</v>
      </c>
      <c r="G1685" s="4">
        <v>2890.3139999999999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2.89</v>
      </c>
      <c r="D1686" s="4">
        <v>2.4338000000000002</v>
      </c>
      <c r="E1686" s="4">
        <v>3122</v>
      </c>
      <c r="F1686" s="4">
        <v>2.8889999999999998</v>
      </c>
      <c r="G1686" s="4">
        <v>9019.4580000000005</v>
      </c>
      <c r="H1686" s="5">
        <f t="shared" si="26"/>
        <v>0</v>
      </c>
    </row>
    <row r="1687" spans="1:8" ht="13.5" x14ac:dyDescent="0.25">
      <c r="A1687" s="1"/>
      <c r="B1687" s="3">
        <v>44762</v>
      </c>
      <c r="C1687" s="4">
        <v>2.89</v>
      </c>
      <c r="D1687" s="4">
        <v>2.4338000000000002</v>
      </c>
      <c r="E1687" s="4">
        <v>3819</v>
      </c>
      <c r="F1687" s="4">
        <v>2.9209999999999998</v>
      </c>
      <c r="G1687" s="4">
        <v>11155.299000000001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2.91</v>
      </c>
      <c r="D1688" s="4">
        <v>2.4506000000000001</v>
      </c>
      <c r="E1688" s="4">
        <v>9566</v>
      </c>
      <c r="F1688" s="4">
        <v>2.9079999999999999</v>
      </c>
      <c r="G1688" s="4">
        <v>27817.928</v>
      </c>
      <c r="H1688" s="5">
        <f t="shared" si="26"/>
        <v>6.9027857671131254E-3</v>
      </c>
    </row>
    <row r="1689" spans="1:8" ht="13.5" x14ac:dyDescent="0.25">
      <c r="A1689" s="1"/>
      <c r="B1689" s="3">
        <v>44764</v>
      </c>
      <c r="C1689" s="4">
        <v>2.82</v>
      </c>
      <c r="D1689" s="4">
        <v>2.3748</v>
      </c>
      <c r="E1689" s="4">
        <v>2016</v>
      </c>
      <c r="F1689" s="4">
        <v>2.8380000000000001</v>
      </c>
      <c r="G1689" s="4">
        <v>5721.4080000000004</v>
      </c>
      <c r="H1689" s="5">
        <f t="shared" si="26"/>
        <v>-3.0931200522321099E-2</v>
      </c>
    </row>
    <row r="1690" spans="1:8" ht="13.5" x14ac:dyDescent="0.25">
      <c r="A1690" s="1"/>
      <c r="B1690" s="3">
        <v>44768</v>
      </c>
      <c r="C1690" s="4">
        <v>2.83</v>
      </c>
      <c r="D1690" s="4">
        <v>2.3833000000000002</v>
      </c>
      <c r="E1690" s="4">
        <v>4055</v>
      </c>
      <c r="F1690" s="4">
        <v>2.802</v>
      </c>
      <c r="G1690" s="4">
        <v>11362.11</v>
      </c>
      <c r="H1690" s="5">
        <f t="shared" si="26"/>
        <v>3.5792487788446074E-3</v>
      </c>
    </row>
    <row r="1691" spans="1:8" ht="13.5" x14ac:dyDescent="0.25">
      <c r="A1691" s="1"/>
      <c r="B1691" s="3">
        <v>44769</v>
      </c>
      <c r="C1691" s="4">
        <v>2.99</v>
      </c>
      <c r="D1691" s="4">
        <v>2.5179999999999998</v>
      </c>
      <c r="E1691" s="4">
        <v>27930</v>
      </c>
      <c r="F1691" s="4">
        <v>2.9710000000000001</v>
      </c>
      <c r="G1691" s="4">
        <v>82980.03</v>
      </c>
      <c r="H1691" s="5">
        <f t="shared" si="26"/>
        <v>5.6518272982838749E-2</v>
      </c>
    </row>
    <row r="1692" spans="1:8" ht="13.5" x14ac:dyDescent="0.25">
      <c r="A1692" s="1"/>
      <c r="B1692" s="3">
        <v>44770</v>
      </c>
      <c r="C1692" s="4">
        <v>3.16</v>
      </c>
      <c r="D1692" s="4">
        <v>2.6612</v>
      </c>
      <c r="E1692" s="4">
        <v>52108</v>
      </c>
      <c r="F1692" s="4">
        <v>3.1150000000000002</v>
      </c>
      <c r="G1692" s="4">
        <v>162316.42000000001</v>
      </c>
      <c r="H1692" s="5">
        <f t="shared" si="26"/>
        <v>5.6870532168387701E-2</v>
      </c>
    </row>
    <row r="1693" spans="1:8" ht="13.5" x14ac:dyDescent="0.25">
      <c r="A1693" s="1"/>
      <c r="B1693" s="3">
        <v>44771</v>
      </c>
      <c r="C1693" s="4">
        <v>3.2</v>
      </c>
      <c r="D1693" s="4">
        <v>2.6949000000000001</v>
      </c>
      <c r="E1693" s="4">
        <v>47886</v>
      </c>
      <c r="F1693" s="4">
        <v>3.2269999999999999</v>
      </c>
      <c r="G1693" s="4">
        <v>154528.122</v>
      </c>
      <c r="H1693" s="5">
        <f t="shared" si="26"/>
        <v>1.2663460093191066E-2</v>
      </c>
    </row>
    <row r="1694" spans="1:8" ht="13.5" x14ac:dyDescent="0.25">
      <c r="A1694" s="1"/>
      <c r="B1694" s="3">
        <v>44774</v>
      </c>
      <c r="C1694" s="4">
        <v>3.15</v>
      </c>
      <c r="D1694" s="4">
        <v>2.6528</v>
      </c>
      <c r="E1694" s="4">
        <v>5988</v>
      </c>
      <c r="F1694" s="4">
        <v>3.153</v>
      </c>
      <c r="G1694" s="4">
        <v>18880.164000000001</v>
      </c>
      <c r="H1694" s="5">
        <f t="shared" si="26"/>
        <v>-1.5622101005603186E-2</v>
      </c>
    </row>
    <row r="1695" spans="1:8" ht="13.5" x14ac:dyDescent="0.25">
      <c r="A1695" s="1"/>
      <c r="B1695" s="3">
        <v>44775</v>
      </c>
      <c r="C1695" s="4">
        <v>3.11</v>
      </c>
      <c r="D1695" s="4">
        <v>2.6191</v>
      </c>
      <c r="E1695" s="4">
        <v>2096</v>
      </c>
      <c r="F1695" s="4">
        <v>3.0960000000000001</v>
      </c>
      <c r="G1695" s="4">
        <v>6489.2160000000003</v>
      </c>
      <c r="H1695" s="5">
        <f t="shared" si="26"/>
        <v>-1.2703558504221979E-2</v>
      </c>
    </row>
    <row r="1696" spans="1:8" ht="13.5" x14ac:dyDescent="0.25">
      <c r="A1696" s="1"/>
      <c r="B1696" s="3">
        <v>44776</v>
      </c>
      <c r="C1696" s="4">
        <v>3.1</v>
      </c>
      <c r="D1696" s="4">
        <v>2.6107</v>
      </c>
      <c r="E1696" s="4">
        <v>1217</v>
      </c>
      <c r="F1696" s="4">
        <v>3.081</v>
      </c>
      <c r="G1696" s="4">
        <v>3749.5770000000002</v>
      </c>
      <c r="H1696" s="5">
        <f t="shared" si="26"/>
        <v>-3.207208583101051E-3</v>
      </c>
    </row>
    <row r="1697" spans="1:8" ht="13.5" x14ac:dyDescent="0.25">
      <c r="A1697" s="1"/>
      <c r="B1697" s="3">
        <v>44777</v>
      </c>
      <c r="C1697" s="4">
        <v>3.2</v>
      </c>
      <c r="D1697" s="4">
        <v>2.6949000000000001</v>
      </c>
      <c r="E1697" s="4">
        <v>20056</v>
      </c>
      <c r="F1697" s="4">
        <v>3.133</v>
      </c>
      <c r="G1697" s="4">
        <v>62835.447999999997</v>
      </c>
      <c r="H1697" s="5">
        <f t="shared" si="26"/>
        <v>3.2251886467231032E-2</v>
      </c>
    </row>
    <row r="1698" spans="1:8" ht="13.5" x14ac:dyDescent="0.25">
      <c r="A1698" s="1"/>
      <c r="B1698" s="3">
        <v>44778</v>
      </c>
      <c r="C1698" s="4">
        <v>3.2</v>
      </c>
      <c r="D1698" s="4">
        <v>2.6949000000000001</v>
      </c>
      <c r="E1698" s="4">
        <v>6222</v>
      </c>
      <c r="F1698" s="4">
        <v>3.177</v>
      </c>
      <c r="G1698" s="4">
        <v>19767.294000000002</v>
      </c>
      <c r="H1698" s="5">
        <f t="shared" si="26"/>
        <v>0</v>
      </c>
    </row>
    <row r="1699" spans="1:8" ht="13.5" x14ac:dyDescent="0.25">
      <c r="A1699" s="1"/>
      <c r="B1699" s="3">
        <v>44781</v>
      </c>
      <c r="C1699" s="4">
        <v>3.25</v>
      </c>
      <c r="D1699" s="4">
        <v>2.7370000000000001</v>
      </c>
      <c r="E1699" s="4">
        <v>6948</v>
      </c>
      <c r="F1699" s="4">
        <v>3.2170000000000001</v>
      </c>
      <c r="G1699" s="4">
        <v>22351.716</v>
      </c>
      <c r="H1699" s="5">
        <f t="shared" si="26"/>
        <v>1.5622101005603186E-2</v>
      </c>
    </row>
    <row r="1700" spans="1:8" ht="13.5" x14ac:dyDescent="0.25">
      <c r="A1700" s="1"/>
      <c r="B1700" s="3">
        <v>44782</v>
      </c>
      <c r="C1700" s="4">
        <v>3.24</v>
      </c>
      <c r="D1700" s="4">
        <v>2.7286000000000001</v>
      </c>
      <c r="E1700" s="4">
        <v>2021</v>
      </c>
      <c r="F1700" s="4">
        <v>3.2389999999999999</v>
      </c>
      <c r="G1700" s="4">
        <v>6546.0190000000002</v>
      </c>
      <c r="H1700" s="5">
        <f t="shared" si="26"/>
        <v>-3.069053708439884E-3</v>
      </c>
    </row>
    <row r="1701" spans="1:8" ht="13.5" x14ac:dyDescent="0.25">
      <c r="A1701" s="1"/>
      <c r="B1701" s="3">
        <v>44783</v>
      </c>
      <c r="C1701" s="4">
        <v>3.25</v>
      </c>
      <c r="D1701" s="4">
        <v>2.7370000000000001</v>
      </c>
      <c r="E1701" s="4">
        <v>1538</v>
      </c>
      <c r="F1701" s="4">
        <v>3.2</v>
      </c>
      <c r="G1701" s="4">
        <v>4921.6000000000004</v>
      </c>
      <c r="H1701" s="5">
        <f t="shared" si="26"/>
        <v>3.0785017957927004E-3</v>
      </c>
    </row>
    <row r="1702" spans="1:8" ht="13.5" x14ac:dyDescent="0.25">
      <c r="A1702" s="1"/>
      <c r="B1702" s="3">
        <v>44784</v>
      </c>
      <c r="C1702" s="4">
        <v>3.27</v>
      </c>
      <c r="D1702" s="4">
        <v>2.7538</v>
      </c>
      <c r="E1702" s="4">
        <v>9665</v>
      </c>
      <c r="F1702" s="4">
        <v>3.258</v>
      </c>
      <c r="G1702" s="4">
        <v>31488.57</v>
      </c>
      <c r="H1702" s="5">
        <f t="shared" si="26"/>
        <v>6.138107416879768E-3</v>
      </c>
    </row>
    <row r="1703" spans="1:8" ht="13.5" x14ac:dyDescent="0.25">
      <c r="A1703" s="1"/>
      <c r="B1703" s="3">
        <v>44785</v>
      </c>
      <c r="C1703" s="4">
        <v>3.22</v>
      </c>
      <c r="D1703" s="4">
        <v>2.7117</v>
      </c>
      <c r="E1703" s="4">
        <v>14202</v>
      </c>
      <c r="F1703" s="4">
        <v>3.2669999999999999</v>
      </c>
      <c r="G1703" s="4">
        <v>46397.934000000001</v>
      </c>
      <c r="H1703" s="5">
        <f t="shared" si="26"/>
        <v>-1.5287965720095878E-2</v>
      </c>
    </row>
    <row r="1704" spans="1:8" ht="13.5" x14ac:dyDescent="0.25">
      <c r="A1704" s="1"/>
      <c r="B1704" s="3">
        <v>44788</v>
      </c>
      <c r="C1704" s="4">
        <v>3.41</v>
      </c>
      <c r="D1704" s="4">
        <v>2.8717000000000001</v>
      </c>
      <c r="E1704" s="4">
        <v>23962</v>
      </c>
      <c r="F1704" s="4">
        <v>3.3639999999999999</v>
      </c>
      <c r="G1704" s="4">
        <v>80608.168000000005</v>
      </c>
      <c r="H1704" s="5">
        <f t="shared" si="26"/>
        <v>5.9003577091861249E-2</v>
      </c>
    </row>
    <row r="1705" spans="1:8" ht="13.5" x14ac:dyDescent="0.25">
      <c r="A1705" s="1"/>
      <c r="B1705" s="3">
        <v>44789</v>
      </c>
      <c r="C1705" s="4">
        <v>3.49</v>
      </c>
      <c r="D1705" s="4">
        <v>2.9390999999999998</v>
      </c>
      <c r="E1705" s="4">
        <v>21725</v>
      </c>
      <c r="F1705" s="4">
        <v>3.4590000000000001</v>
      </c>
      <c r="G1705" s="4">
        <v>75146.774999999994</v>
      </c>
      <c r="H1705" s="5">
        <f t="shared" si="26"/>
        <v>2.34704182191732E-2</v>
      </c>
    </row>
    <row r="1706" spans="1:8" ht="13.5" x14ac:dyDescent="0.25">
      <c r="A1706" s="1"/>
      <c r="B1706" s="3">
        <v>44790</v>
      </c>
      <c r="C1706" s="4">
        <v>3.42</v>
      </c>
      <c r="D1706" s="4">
        <v>2.8801000000000001</v>
      </c>
      <c r="E1706" s="4">
        <v>9542</v>
      </c>
      <c r="F1706" s="4">
        <v>3.4409999999999998</v>
      </c>
      <c r="G1706" s="4">
        <v>32834.021999999997</v>
      </c>
      <c r="H1706" s="5">
        <f t="shared" si="26"/>
        <v>-2.0074172365690084E-2</v>
      </c>
    </row>
    <row r="1707" spans="1:8" ht="13.5" x14ac:dyDescent="0.25">
      <c r="A1707" s="1"/>
      <c r="B1707" s="3">
        <v>44791</v>
      </c>
      <c r="C1707" s="4">
        <v>3.4</v>
      </c>
      <c r="D1707" s="4">
        <v>2.8633000000000002</v>
      </c>
      <c r="E1707" s="4">
        <v>6415</v>
      </c>
      <c r="F1707" s="4">
        <v>3.383</v>
      </c>
      <c r="G1707" s="4">
        <v>21701.945</v>
      </c>
      <c r="H1707" s="5">
        <f t="shared" si="26"/>
        <v>-5.8331307940696249E-3</v>
      </c>
    </row>
    <row r="1708" spans="1:8" ht="13.5" x14ac:dyDescent="0.25">
      <c r="A1708" s="1"/>
      <c r="B1708" s="3">
        <v>44792</v>
      </c>
      <c r="C1708" s="4">
        <v>3.5</v>
      </c>
      <c r="D1708" s="4">
        <v>2.9474999999999998</v>
      </c>
      <c r="E1708" s="4">
        <v>16108</v>
      </c>
      <c r="F1708" s="4">
        <v>3.4689999999999999</v>
      </c>
      <c r="G1708" s="4">
        <v>55878.652000000002</v>
      </c>
      <c r="H1708" s="5">
        <f t="shared" si="26"/>
        <v>2.9406628715118781E-2</v>
      </c>
    </row>
    <row r="1709" spans="1:8" ht="13.5" x14ac:dyDescent="0.25">
      <c r="A1709" s="1"/>
      <c r="B1709" s="3">
        <v>44795</v>
      </c>
      <c r="C1709" s="4">
        <v>3.63</v>
      </c>
      <c r="D1709" s="4">
        <v>3.0569999999999999</v>
      </c>
      <c r="E1709" s="4">
        <v>28249</v>
      </c>
      <c r="F1709" s="4">
        <v>3.5630000000000002</v>
      </c>
      <c r="G1709" s="4">
        <v>100651.18700000001</v>
      </c>
      <c r="H1709" s="5">
        <f t="shared" si="26"/>
        <v>3.7150127226463159E-2</v>
      </c>
    </row>
    <row r="1710" spans="1:8" ht="13.5" x14ac:dyDescent="0.25">
      <c r="A1710" s="1"/>
      <c r="B1710" s="3">
        <v>44796</v>
      </c>
      <c r="C1710" s="4">
        <v>3.7</v>
      </c>
      <c r="D1710" s="4">
        <v>3.1158999999999999</v>
      </c>
      <c r="E1710" s="4">
        <v>23766</v>
      </c>
      <c r="F1710" s="4">
        <v>3.6970000000000001</v>
      </c>
      <c r="G1710" s="4">
        <v>87862.902000000002</v>
      </c>
      <c r="H1710" s="5">
        <f t="shared" si="26"/>
        <v>1.9267255479227988E-2</v>
      </c>
    </row>
    <row r="1711" spans="1:8" ht="13.5" x14ac:dyDescent="0.25">
      <c r="A1711" s="1"/>
      <c r="B1711" s="3">
        <v>44797</v>
      </c>
      <c r="C1711" s="4">
        <v>3.7</v>
      </c>
      <c r="D1711" s="4">
        <v>3.1158999999999999</v>
      </c>
      <c r="E1711" s="4">
        <v>11790</v>
      </c>
      <c r="F1711" s="4">
        <v>3.7010000000000001</v>
      </c>
      <c r="G1711" s="4">
        <v>43634.79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3.7</v>
      </c>
      <c r="D1712" s="4">
        <v>3.1158999999999999</v>
      </c>
      <c r="E1712" s="4">
        <v>7099</v>
      </c>
      <c r="F1712" s="4">
        <v>3.698</v>
      </c>
      <c r="G1712" s="4">
        <v>26252.101999999999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3.62</v>
      </c>
      <c r="D1713" s="4">
        <v>3.0486</v>
      </c>
      <c r="E1713" s="4">
        <v>7656</v>
      </c>
      <c r="F1713" s="4">
        <v>3.6080000000000001</v>
      </c>
      <c r="G1713" s="4">
        <v>27622.848000000002</v>
      </c>
      <c r="H1713" s="5">
        <f t="shared" si="26"/>
        <v>-2.1598895985108609E-2</v>
      </c>
    </row>
    <row r="1714" spans="1:8" ht="13.5" x14ac:dyDescent="0.25">
      <c r="A1714" s="1"/>
      <c r="B1714" s="3">
        <v>44802</v>
      </c>
      <c r="C1714" s="4">
        <v>3.6</v>
      </c>
      <c r="D1714" s="4">
        <v>3.0316999999999998</v>
      </c>
      <c r="E1714" s="4">
        <v>10479</v>
      </c>
      <c r="F1714" s="4">
        <v>3.5390000000000001</v>
      </c>
      <c r="G1714" s="4">
        <v>37085.180999999997</v>
      </c>
      <c r="H1714" s="5">
        <f t="shared" si="26"/>
        <v>-5.5435281768681155E-3</v>
      </c>
    </row>
    <row r="1715" spans="1:8" ht="13.5" x14ac:dyDescent="0.25">
      <c r="A1715" s="1"/>
      <c r="B1715" s="3">
        <v>44803</v>
      </c>
      <c r="C1715" s="4">
        <v>3.5</v>
      </c>
      <c r="D1715" s="4">
        <v>2.9474999999999998</v>
      </c>
      <c r="E1715" s="4">
        <v>7600</v>
      </c>
      <c r="F1715" s="4">
        <v>3.5009999999999999</v>
      </c>
      <c r="G1715" s="4">
        <v>26607.599999999999</v>
      </c>
      <c r="H1715" s="5">
        <f t="shared" si="26"/>
        <v>-2.7773196556387523E-2</v>
      </c>
    </row>
    <row r="1716" spans="1:8" ht="13.5" x14ac:dyDescent="0.25">
      <c r="A1716" s="1"/>
      <c r="B1716" s="3">
        <v>44804</v>
      </c>
      <c r="C1716" s="4">
        <v>3.57</v>
      </c>
      <c r="D1716" s="4">
        <v>3.0065</v>
      </c>
      <c r="E1716" s="4">
        <v>17006</v>
      </c>
      <c r="F1716" s="4">
        <v>3.4980000000000002</v>
      </c>
      <c r="G1716" s="4">
        <v>59486.987999999998</v>
      </c>
      <c r="H1716" s="5">
        <f t="shared" si="26"/>
        <v>2.0016963528413968E-2</v>
      </c>
    </row>
    <row r="1717" spans="1:8" ht="13.5" x14ac:dyDescent="0.25">
      <c r="A1717" s="1"/>
      <c r="B1717" s="3">
        <v>44805</v>
      </c>
      <c r="C1717" s="4">
        <v>3.56</v>
      </c>
      <c r="D1717" s="4">
        <v>2.9980000000000002</v>
      </c>
      <c r="E1717" s="4">
        <v>5410</v>
      </c>
      <c r="F1717" s="4">
        <v>3.5379999999999998</v>
      </c>
      <c r="G1717" s="4">
        <v>19140.580000000002</v>
      </c>
      <c r="H1717" s="5">
        <f t="shared" si="26"/>
        <v>-2.8272077166139132E-3</v>
      </c>
    </row>
    <row r="1718" spans="1:8" ht="13.5" x14ac:dyDescent="0.25">
      <c r="A1718" s="1"/>
      <c r="B1718" s="3">
        <v>44806</v>
      </c>
      <c r="C1718" s="4">
        <v>3.64</v>
      </c>
      <c r="D1718" s="4">
        <v>3.0653999999999999</v>
      </c>
      <c r="E1718" s="4">
        <v>9856</v>
      </c>
      <c r="F1718" s="4">
        <v>3.6160000000000001</v>
      </c>
      <c r="G1718" s="4">
        <v>35639.296000000002</v>
      </c>
      <c r="H1718" s="5">
        <f t="shared" si="26"/>
        <v>2.2481654436290754E-2</v>
      </c>
    </row>
    <row r="1719" spans="1:8" ht="13.5" x14ac:dyDescent="0.25">
      <c r="A1719" s="1"/>
      <c r="B1719" s="3">
        <v>44809</v>
      </c>
      <c r="C1719" s="4">
        <v>3.6</v>
      </c>
      <c r="D1719" s="4">
        <v>3.0316999999999998</v>
      </c>
      <c r="E1719" s="4">
        <v>22698</v>
      </c>
      <c r="F1719" s="4">
        <v>3.5619999999999998</v>
      </c>
      <c r="G1719" s="4">
        <v>80850.275999999998</v>
      </c>
      <c r="H1719" s="5">
        <f t="shared" si="26"/>
        <v>-1.0993671299014832E-2</v>
      </c>
    </row>
    <row r="1720" spans="1:8" ht="13.5" x14ac:dyDescent="0.25">
      <c r="A1720" s="1"/>
      <c r="B1720" s="3">
        <v>44810</v>
      </c>
      <c r="C1720" s="4">
        <v>3.48</v>
      </c>
      <c r="D1720" s="4">
        <v>2.9306999999999999</v>
      </c>
      <c r="E1720" s="4">
        <v>11291</v>
      </c>
      <c r="F1720" s="4">
        <v>3.516</v>
      </c>
      <c r="G1720" s="4">
        <v>39699.156000000003</v>
      </c>
      <c r="H1720" s="5">
        <f t="shared" si="26"/>
        <v>-3.3314641950061015E-2</v>
      </c>
    </row>
    <row r="1721" spans="1:8" ht="13.5" x14ac:dyDescent="0.25">
      <c r="A1721" s="1"/>
      <c r="B1721" s="3">
        <v>44811</v>
      </c>
      <c r="C1721" s="4">
        <v>3.54</v>
      </c>
      <c r="D1721" s="4">
        <v>2.9811999999999999</v>
      </c>
      <c r="E1721" s="4">
        <v>6911</v>
      </c>
      <c r="F1721" s="4">
        <v>3.4849999999999999</v>
      </c>
      <c r="G1721" s="4">
        <v>24084.834999999999</v>
      </c>
      <c r="H1721" s="5">
        <f t="shared" si="26"/>
        <v>1.7231378169038112E-2</v>
      </c>
    </row>
    <row r="1722" spans="1:8" ht="13.5" x14ac:dyDescent="0.25">
      <c r="A1722" s="1"/>
      <c r="B1722" s="3">
        <v>44812</v>
      </c>
      <c r="C1722" s="4">
        <v>3.52</v>
      </c>
      <c r="D1722" s="4">
        <v>2.9643999999999999</v>
      </c>
      <c r="E1722" s="4">
        <v>8690</v>
      </c>
      <c r="F1722" s="4">
        <v>3.4609999999999999</v>
      </c>
      <c r="G1722" s="4">
        <v>30076.09</v>
      </c>
      <c r="H1722" s="5">
        <f t="shared" si="26"/>
        <v>-5.6353146384006195E-3</v>
      </c>
    </row>
    <row r="1723" spans="1:8" ht="13.5" x14ac:dyDescent="0.25">
      <c r="A1723" s="1"/>
      <c r="B1723" s="3">
        <v>44813</v>
      </c>
      <c r="C1723" s="4">
        <v>3.5</v>
      </c>
      <c r="D1723" s="4">
        <v>2.9474999999999998</v>
      </c>
      <c r="E1723" s="4">
        <v>49606</v>
      </c>
      <c r="F1723" s="4">
        <v>3.4830000000000001</v>
      </c>
      <c r="G1723" s="4">
        <v>172777.698</v>
      </c>
      <c r="H1723" s="5">
        <f t="shared" si="26"/>
        <v>-5.7009850222642482E-3</v>
      </c>
    </row>
    <row r="1724" spans="1:8" ht="13.5" x14ac:dyDescent="0.25">
      <c r="A1724" s="1"/>
      <c r="B1724" s="3">
        <v>44816</v>
      </c>
      <c r="C1724" s="4">
        <v>3.53</v>
      </c>
      <c r="D1724" s="4">
        <v>2.9727999999999999</v>
      </c>
      <c r="E1724" s="4">
        <v>18213</v>
      </c>
      <c r="F1724" s="4">
        <v>3.4980000000000002</v>
      </c>
      <c r="G1724" s="4">
        <v>63709.074000000001</v>
      </c>
      <c r="H1724" s="5">
        <f t="shared" si="26"/>
        <v>8.5835453774385419E-3</v>
      </c>
    </row>
    <row r="1725" spans="1:8" ht="13.5" x14ac:dyDescent="0.25">
      <c r="A1725" s="1"/>
      <c r="B1725" s="3">
        <v>44817</v>
      </c>
      <c r="C1725" s="4">
        <v>3.53</v>
      </c>
      <c r="D1725" s="4">
        <v>2.9727999999999999</v>
      </c>
      <c r="E1725" s="4">
        <v>5062</v>
      </c>
      <c r="F1725" s="4">
        <v>3.5350000000000001</v>
      </c>
      <c r="G1725" s="4">
        <v>17894.169999999998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3.48</v>
      </c>
      <c r="D1726" s="4">
        <v>2.9306999999999999</v>
      </c>
      <c r="E1726" s="4">
        <v>16840</v>
      </c>
      <c r="F1726" s="4">
        <v>3.4729999999999999</v>
      </c>
      <c r="G1726" s="4">
        <v>58485.32</v>
      </c>
      <c r="H1726" s="5">
        <f t="shared" si="26"/>
        <v>-1.4161733046286339E-2</v>
      </c>
    </row>
    <row r="1727" spans="1:8" ht="13.5" x14ac:dyDescent="0.25">
      <c r="A1727" s="1"/>
      <c r="B1727" s="3">
        <v>44819</v>
      </c>
      <c r="C1727" s="4">
        <v>3.36</v>
      </c>
      <c r="D1727" s="4">
        <v>2.8296000000000001</v>
      </c>
      <c r="E1727" s="4">
        <v>9905</v>
      </c>
      <c r="F1727" s="4">
        <v>3.383</v>
      </c>
      <c r="G1727" s="4">
        <v>33508.614999999998</v>
      </c>
      <c r="H1727" s="5">
        <f t="shared" si="26"/>
        <v>-3.4496877879004934E-2</v>
      </c>
    </row>
    <row r="1728" spans="1:8" ht="13.5" x14ac:dyDescent="0.25">
      <c r="A1728" s="1"/>
      <c r="B1728" s="3">
        <v>44820</v>
      </c>
      <c r="C1728" s="4">
        <v>3.16</v>
      </c>
      <c r="D1728" s="4">
        <v>2.6612</v>
      </c>
      <c r="E1728" s="4">
        <v>29097</v>
      </c>
      <c r="F1728" s="4">
        <v>3.2370000000000001</v>
      </c>
      <c r="G1728" s="4">
        <v>94186.989000000001</v>
      </c>
      <c r="H1728" s="5">
        <f t="shared" si="26"/>
        <v>-5.9513712185467943E-2</v>
      </c>
    </row>
    <row r="1729" spans="1:8" ht="13.5" x14ac:dyDescent="0.25">
      <c r="A1729" s="1"/>
      <c r="B1729" s="3">
        <v>44823</v>
      </c>
      <c r="C1729" s="4">
        <v>3.23</v>
      </c>
      <c r="D1729" s="4">
        <v>2.7201</v>
      </c>
      <c r="E1729" s="4">
        <v>1003</v>
      </c>
      <c r="F1729" s="4">
        <v>3.2120000000000002</v>
      </c>
      <c r="G1729" s="4">
        <v>3221.636</v>
      </c>
      <c r="H1729" s="5">
        <f t="shared" si="26"/>
        <v>2.2132872388396195E-2</v>
      </c>
    </row>
    <row r="1730" spans="1:8" ht="13.5" x14ac:dyDescent="0.25">
      <c r="A1730" s="1"/>
      <c r="B1730" s="3">
        <v>44824</v>
      </c>
      <c r="C1730" s="4">
        <v>3.42</v>
      </c>
      <c r="D1730" s="4">
        <v>2.8801000000000001</v>
      </c>
      <c r="E1730" s="4">
        <v>32913</v>
      </c>
      <c r="F1730" s="4">
        <v>3.3820000000000001</v>
      </c>
      <c r="G1730" s="4">
        <v>111311.766</v>
      </c>
      <c r="H1730" s="5">
        <f t="shared" si="26"/>
        <v>5.88213668615125E-2</v>
      </c>
    </row>
    <row r="1731" spans="1:8" ht="13.5" x14ac:dyDescent="0.25">
      <c r="A1731" s="1"/>
      <c r="B1731" s="3">
        <v>44825</v>
      </c>
      <c r="C1731" s="4">
        <v>3.49</v>
      </c>
      <c r="D1731" s="4">
        <v>2.9390999999999998</v>
      </c>
      <c r="E1731" s="4">
        <v>28142</v>
      </c>
      <c r="F1731" s="4">
        <v>3.49</v>
      </c>
      <c r="G1731" s="4">
        <v>98215.58</v>
      </c>
      <c r="H1731" s="5">
        <f t="shared" si="26"/>
        <v>2.0485399812506411E-2</v>
      </c>
    </row>
    <row r="1732" spans="1:8" ht="13.5" x14ac:dyDescent="0.25">
      <c r="A1732" s="1"/>
      <c r="B1732" s="3">
        <v>44826</v>
      </c>
      <c r="C1732" s="4">
        <v>3.49</v>
      </c>
      <c r="D1732" s="4">
        <v>2.9390999999999998</v>
      </c>
      <c r="E1732" s="4">
        <v>25558</v>
      </c>
      <c r="F1732" s="4">
        <v>3.4820000000000002</v>
      </c>
      <c r="G1732" s="4">
        <v>88992.956000000006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3.5</v>
      </c>
      <c r="D1733" s="4">
        <v>2.9474999999999998</v>
      </c>
      <c r="E1733" s="4">
        <v>10258</v>
      </c>
      <c r="F1733" s="4">
        <v>3.4820000000000002</v>
      </c>
      <c r="G1733" s="4">
        <v>35718.356</v>
      </c>
      <c r="H1733" s="5">
        <f t="shared" si="26"/>
        <v>2.8580177605389283E-3</v>
      </c>
    </row>
    <row r="1734" spans="1:8" ht="13.5" x14ac:dyDescent="0.25">
      <c r="A1734" s="1"/>
      <c r="B1734" s="3">
        <v>44830</v>
      </c>
      <c r="C1734" s="4">
        <v>3.49</v>
      </c>
      <c r="D1734" s="4">
        <v>2.9390999999999998</v>
      </c>
      <c r="E1734" s="4">
        <v>14133</v>
      </c>
      <c r="F1734" s="4">
        <v>3.4209999999999998</v>
      </c>
      <c r="G1734" s="4">
        <v>48348.993000000002</v>
      </c>
      <c r="H1734" s="5">
        <f t="shared" si="26"/>
        <v>-2.8498727735368832E-3</v>
      </c>
    </row>
    <row r="1735" spans="1:8" ht="13.5" x14ac:dyDescent="0.25">
      <c r="A1735" s="1"/>
      <c r="B1735" s="3">
        <v>44831</v>
      </c>
      <c r="C1735" s="4">
        <v>3.49</v>
      </c>
      <c r="D1735" s="4">
        <v>2.9390999999999998</v>
      </c>
      <c r="E1735" s="4">
        <v>3331</v>
      </c>
      <c r="F1735" s="4">
        <v>3.4510000000000001</v>
      </c>
      <c r="G1735" s="4">
        <v>11495.281000000001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3.44</v>
      </c>
      <c r="D1736" s="4">
        <v>2.8969999999999998</v>
      </c>
      <c r="E1736" s="4">
        <v>4604</v>
      </c>
      <c r="F1736" s="4">
        <v>3.3820000000000001</v>
      </c>
      <c r="G1736" s="4">
        <v>15570.727999999999</v>
      </c>
      <c r="H1736" s="5">
        <f t="shared" si="27"/>
        <v>-1.432411282365351E-2</v>
      </c>
    </row>
    <row r="1737" spans="1:8" ht="13.5" x14ac:dyDescent="0.25">
      <c r="A1737" s="1"/>
      <c r="B1737" s="3">
        <v>44833</v>
      </c>
      <c r="C1737" s="4">
        <v>3.36</v>
      </c>
      <c r="D1737" s="4">
        <v>2.8296000000000001</v>
      </c>
      <c r="E1737" s="4">
        <v>14045</v>
      </c>
      <c r="F1737" s="4">
        <v>3.3620000000000001</v>
      </c>
      <c r="G1737" s="4">
        <v>47219.29</v>
      </c>
      <c r="H1737" s="5">
        <f t="shared" si="27"/>
        <v>-2.3265447014152462E-2</v>
      </c>
    </row>
    <row r="1738" spans="1:8" ht="13.5" x14ac:dyDescent="0.25">
      <c r="A1738" s="1"/>
      <c r="B1738" s="3">
        <v>44834</v>
      </c>
      <c r="C1738" s="4">
        <v>3.34</v>
      </c>
      <c r="D1738" s="4">
        <v>2.8128000000000002</v>
      </c>
      <c r="E1738" s="4">
        <v>7532</v>
      </c>
      <c r="F1738" s="4">
        <v>3.3490000000000002</v>
      </c>
      <c r="G1738" s="4">
        <v>25224.668000000001</v>
      </c>
      <c r="H1738" s="5">
        <f t="shared" si="27"/>
        <v>-5.9372349448685059E-3</v>
      </c>
    </row>
    <row r="1739" spans="1:8" ht="13.5" x14ac:dyDescent="0.25">
      <c r="A1739" s="1"/>
      <c r="B1739" s="3">
        <v>44837</v>
      </c>
      <c r="C1739" s="4">
        <v>3.38</v>
      </c>
      <c r="D1739" s="4">
        <v>2.8464999999999998</v>
      </c>
      <c r="E1739" s="4">
        <v>5420</v>
      </c>
      <c r="F1739" s="4">
        <v>3.31</v>
      </c>
      <c r="G1739" s="4">
        <v>17940.2</v>
      </c>
      <c r="H1739" s="5">
        <f t="shared" si="27"/>
        <v>1.1980944254834903E-2</v>
      </c>
    </row>
    <row r="1740" spans="1:8" ht="13.5" x14ac:dyDescent="0.25">
      <c r="A1740" s="1"/>
      <c r="B1740" s="3">
        <v>44838</v>
      </c>
      <c r="C1740" s="4">
        <v>3.33</v>
      </c>
      <c r="D1740" s="4">
        <v>2.8043</v>
      </c>
      <c r="E1740" s="4">
        <v>8177</v>
      </c>
      <c r="F1740" s="4">
        <v>3.29</v>
      </c>
      <c r="G1740" s="4">
        <v>26902.33</v>
      </c>
      <c r="H1740" s="5">
        <f t="shared" si="27"/>
        <v>-1.4825223959248127E-2</v>
      </c>
    </row>
    <row r="1741" spans="1:8" ht="13.5" x14ac:dyDescent="0.25">
      <c r="A1741" s="1"/>
      <c r="B1741" s="3">
        <v>44839</v>
      </c>
      <c r="C1741" s="4">
        <v>3.17</v>
      </c>
      <c r="D1741" s="4">
        <v>2.6696</v>
      </c>
      <c r="E1741" s="4">
        <v>17742</v>
      </c>
      <c r="F1741" s="4">
        <v>3.1909999999999998</v>
      </c>
      <c r="G1741" s="4">
        <v>56614.722000000002</v>
      </c>
      <c r="H1741" s="5">
        <f t="shared" si="27"/>
        <v>-4.8033377313411563E-2</v>
      </c>
    </row>
    <row r="1742" spans="1:8" ht="13.5" x14ac:dyDescent="0.25">
      <c r="A1742" s="1"/>
      <c r="B1742" s="3">
        <v>44840</v>
      </c>
      <c r="C1742" s="4">
        <v>3.34</v>
      </c>
      <c r="D1742" s="4">
        <v>2.8128000000000002</v>
      </c>
      <c r="E1742" s="4">
        <v>8243</v>
      </c>
      <c r="F1742" s="4">
        <v>3.2879999999999998</v>
      </c>
      <c r="G1742" s="4">
        <v>27102.984</v>
      </c>
      <c r="H1742" s="5">
        <f t="shared" si="27"/>
        <v>5.3640994905603916E-2</v>
      </c>
    </row>
    <row r="1743" spans="1:8" ht="13.5" x14ac:dyDescent="0.25">
      <c r="A1743" s="1"/>
      <c r="B1743" s="3">
        <v>44841</v>
      </c>
      <c r="C1743" s="4">
        <v>3.36</v>
      </c>
      <c r="D1743" s="4">
        <v>2.8296000000000001</v>
      </c>
      <c r="E1743" s="4">
        <v>3933</v>
      </c>
      <c r="F1743" s="4">
        <v>3.35</v>
      </c>
      <c r="G1743" s="4">
        <v>13175.55</v>
      </c>
      <c r="H1743" s="5">
        <f t="shared" si="27"/>
        <v>5.9726962457337619E-3</v>
      </c>
    </row>
    <row r="1744" spans="1:8" ht="13.5" x14ac:dyDescent="0.25">
      <c r="A1744" s="1"/>
      <c r="B1744" s="3">
        <v>44844</v>
      </c>
      <c r="C1744" s="4">
        <v>3.36</v>
      </c>
      <c r="D1744" s="4">
        <v>2.8296000000000001</v>
      </c>
      <c r="E1744" s="4">
        <v>535</v>
      </c>
      <c r="F1744" s="4">
        <v>3.36</v>
      </c>
      <c r="G1744" s="4">
        <v>1797.6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3.32</v>
      </c>
      <c r="D1745" s="4">
        <v>2.7959000000000001</v>
      </c>
      <c r="E1745" s="4">
        <v>525</v>
      </c>
      <c r="F1745" s="4">
        <v>3.3279999999999998</v>
      </c>
      <c r="G1745" s="4">
        <v>1747.2</v>
      </c>
      <c r="H1745" s="5">
        <f t="shared" si="27"/>
        <v>-1.1909810573932733E-2</v>
      </c>
    </row>
    <row r="1746" spans="1:8" ht="13.5" x14ac:dyDescent="0.25">
      <c r="A1746" s="1"/>
      <c r="B1746" s="3">
        <v>44846</v>
      </c>
      <c r="C1746" s="4">
        <v>3.28</v>
      </c>
      <c r="D1746" s="4">
        <v>2.7622</v>
      </c>
      <c r="E1746" s="4">
        <v>3746</v>
      </c>
      <c r="F1746" s="4">
        <v>3.22</v>
      </c>
      <c r="G1746" s="4">
        <v>12062.12</v>
      </c>
      <c r="H1746" s="5">
        <f t="shared" si="27"/>
        <v>-1.2053363854215123E-2</v>
      </c>
    </row>
    <row r="1747" spans="1:8" ht="13.5" x14ac:dyDescent="0.25">
      <c r="A1747" s="1"/>
      <c r="B1747" s="3">
        <v>44847</v>
      </c>
      <c r="C1747" s="4">
        <v>3.33</v>
      </c>
      <c r="D1747" s="4">
        <v>2.8043</v>
      </c>
      <c r="E1747" s="4">
        <v>1935</v>
      </c>
      <c r="F1747" s="4">
        <v>3.3370000000000002</v>
      </c>
      <c r="G1747" s="4">
        <v>6457.0950000000003</v>
      </c>
      <c r="H1747" s="5">
        <f t="shared" si="27"/>
        <v>1.5241474187242064E-2</v>
      </c>
    </row>
    <row r="1748" spans="1:8" ht="13.5" x14ac:dyDescent="0.25">
      <c r="A1748" s="1"/>
      <c r="B1748" s="3">
        <v>44848</v>
      </c>
      <c r="C1748" s="4">
        <v>3.3</v>
      </c>
      <c r="D1748" s="4">
        <v>2.7791000000000001</v>
      </c>
      <c r="E1748" s="4">
        <v>7591</v>
      </c>
      <c r="F1748" s="4">
        <v>3.298</v>
      </c>
      <c r="G1748" s="4">
        <v>25035.117999999999</v>
      </c>
      <c r="H1748" s="5">
        <f t="shared" si="27"/>
        <v>-8.9861997646471098E-3</v>
      </c>
    </row>
    <row r="1749" spans="1:8" ht="13.5" x14ac:dyDescent="0.25">
      <c r="A1749" s="1"/>
      <c r="B1749" s="3">
        <v>44851</v>
      </c>
      <c r="C1749" s="4">
        <v>3.34</v>
      </c>
      <c r="D1749" s="4">
        <v>2.8128000000000002</v>
      </c>
      <c r="E1749" s="4">
        <v>4186</v>
      </c>
      <c r="F1749" s="4">
        <v>3.2589999999999999</v>
      </c>
      <c r="G1749" s="4">
        <v>13642.174000000001</v>
      </c>
      <c r="H1749" s="5">
        <f t="shared" si="27"/>
        <v>1.2126227915512239E-2</v>
      </c>
    </row>
    <row r="1750" spans="1:8" ht="13.5" x14ac:dyDescent="0.25">
      <c r="A1750" s="1"/>
      <c r="B1750" s="3">
        <v>44852</v>
      </c>
      <c r="C1750" s="4">
        <v>3.34</v>
      </c>
      <c r="D1750" s="4">
        <v>2.8128000000000002</v>
      </c>
      <c r="E1750" s="4">
        <v>2536</v>
      </c>
      <c r="F1750" s="4">
        <v>3.3010000000000002</v>
      </c>
      <c r="G1750" s="4">
        <v>8371.3359999999993</v>
      </c>
      <c r="H1750" s="5">
        <f t="shared" si="27"/>
        <v>0</v>
      </c>
    </row>
    <row r="1751" spans="1:8" ht="13.5" x14ac:dyDescent="0.25">
      <c r="A1751" s="1"/>
      <c r="B1751" s="3">
        <v>44853</v>
      </c>
      <c r="C1751" s="4">
        <v>3.29</v>
      </c>
      <c r="D1751" s="4">
        <v>2.7707000000000002</v>
      </c>
      <c r="E1751" s="4">
        <v>875</v>
      </c>
      <c r="F1751" s="4">
        <v>3.2559999999999998</v>
      </c>
      <c r="G1751" s="4">
        <v>2849</v>
      </c>
      <c r="H1751" s="5">
        <f t="shared" si="27"/>
        <v>-1.4967292377701943E-2</v>
      </c>
    </row>
    <row r="1752" spans="1:8" ht="13.5" x14ac:dyDescent="0.25">
      <c r="A1752" s="1"/>
      <c r="B1752" s="3">
        <v>44854</v>
      </c>
      <c r="C1752" s="4">
        <v>3.3</v>
      </c>
      <c r="D1752" s="4">
        <v>2.7791000000000001</v>
      </c>
      <c r="E1752" s="4">
        <v>11679</v>
      </c>
      <c r="F1752" s="4">
        <v>3.3420000000000001</v>
      </c>
      <c r="G1752" s="4">
        <v>39031.218000000001</v>
      </c>
      <c r="H1752" s="5">
        <f t="shared" si="27"/>
        <v>3.031724834879259E-3</v>
      </c>
    </row>
    <row r="1753" spans="1:8" ht="13.5" x14ac:dyDescent="0.25">
      <c r="A1753" s="1"/>
      <c r="B1753" s="3">
        <v>44855</v>
      </c>
      <c r="C1753" s="4">
        <v>3.33</v>
      </c>
      <c r="D1753" s="4">
        <v>2.8043</v>
      </c>
      <c r="E1753" s="4">
        <v>1977</v>
      </c>
      <c r="F1753" s="4">
        <v>3.2959999999999998</v>
      </c>
      <c r="G1753" s="4">
        <v>6516.192</v>
      </c>
      <c r="H1753" s="5">
        <f t="shared" si="27"/>
        <v>9.0676837825194798E-3</v>
      </c>
    </row>
    <row r="1754" spans="1:8" ht="13.5" x14ac:dyDescent="0.25">
      <c r="A1754" s="1"/>
      <c r="B1754" s="3">
        <v>44858</v>
      </c>
      <c r="C1754" s="4">
        <v>3.37</v>
      </c>
      <c r="D1754" s="4">
        <v>2.8380000000000001</v>
      </c>
      <c r="E1754" s="4">
        <v>3629</v>
      </c>
      <c r="F1754" s="4">
        <v>3.3380000000000001</v>
      </c>
      <c r="G1754" s="4">
        <v>12113.602000000001</v>
      </c>
      <c r="H1754" s="5">
        <f t="shared" si="27"/>
        <v>1.2017259209071806E-2</v>
      </c>
    </row>
    <row r="1755" spans="1:8" ht="13.5" x14ac:dyDescent="0.25">
      <c r="A1755" s="1"/>
      <c r="B1755" s="3">
        <v>44859</v>
      </c>
      <c r="C1755" s="4">
        <v>3.35</v>
      </c>
      <c r="D1755" s="4">
        <v>2.8212000000000002</v>
      </c>
      <c r="E1755" s="4">
        <v>1380</v>
      </c>
      <c r="F1755" s="4">
        <v>3.3460000000000001</v>
      </c>
      <c r="G1755" s="4">
        <v>4617.4799999999996</v>
      </c>
      <c r="H1755" s="5">
        <f t="shared" si="27"/>
        <v>-5.919661733615196E-3</v>
      </c>
    </row>
    <row r="1756" spans="1:8" ht="13.5" x14ac:dyDescent="0.25">
      <c r="A1756" s="1"/>
      <c r="B1756" s="3">
        <v>44860</v>
      </c>
      <c r="C1756" s="4">
        <v>3.32</v>
      </c>
      <c r="D1756" s="4">
        <v>2.7959000000000001</v>
      </c>
      <c r="E1756" s="4">
        <v>1301</v>
      </c>
      <c r="F1756" s="4">
        <v>3.3050000000000002</v>
      </c>
      <c r="G1756" s="4">
        <v>4299.8050000000003</v>
      </c>
      <c r="H1756" s="5">
        <f t="shared" si="27"/>
        <v>-8.9678151141358645E-3</v>
      </c>
    </row>
    <row r="1757" spans="1:8" ht="13.5" x14ac:dyDescent="0.25">
      <c r="A1757" s="1"/>
      <c r="B1757" s="3">
        <v>44861</v>
      </c>
      <c r="C1757" s="4">
        <v>3.38</v>
      </c>
      <c r="D1757" s="4">
        <v>2.8464999999999998</v>
      </c>
      <c r="E1757" s="4">
        <v>12005</v>
      </c>
      <c r="F1757" s="4">
        <v>3.3730000000000002</v>
      </c>
      <c r="G1757" s="4">
        <v>40492.864999999998</v>
      </c>
      <c r="H1757" s="5">
        <f t="shared" si="27"/>
        <v>1.8097929110483121E-2</v>
      </c>
    </row>
    <row r="1758" spans="1:8" ht="13.5" x14ac:dyDescent="0.25">
      <c r="A1758" s="1"/>
      <c r="B1758" s="3">
        <v>44862</v>
      </c>
      <c r="C1758" s="4">
        <v>3.45</v>
      </c>
      <c r="D1758" s="4">
        <v>2.9054000000000002</v>
      </c>
      <c r="E1758" s="4">
        <v>16208</v>
      </c>
      <c r="F1758" s="4">
        <v>3.4529999999999998</v>
      </c>
      <c r="G1758" s="4">
        <v>55966.224000000002</v>
      </c>
      <c r="H1758" s="5">
        <f t="shared" si="27"/>
        <v>2.0692077990514809E-2</v>
      </c>
    </row>
    <row r="1759" spans="1:8" ht="13.5" x14ac:dyDescent="0.25">
      <c r="A1759" s="1"/>
      <c r="B1759" s="3">
        <v>44865</v>
      </c>
      <c r="C1759" s="4">
        <v>3.41</v>
      </c>
      <c r="D1759" s="4">
        <v>2.8717000000000001</v>
      </c>
      <c r="E1759" s="4">
        <v>12285</v>
      </c>
      <c r="F1759" s="4">
        <v>3.4049999999999998</v>
      </c>
      <c r="G1759" s="4">
        <v>41830.425000000003</v>
      </c>
      <c r="H1759" s="5">
        <f t="shared" si="27"/>
        <v>-1.1599091347146713E-2</v>
      </c>
    </row>
    <row r="1760" spans="1:8" ht="13.5" x14ac:dyDescent="0.25">
      <c r="A1760" s="1"/>
      <c r="B1760" s="3">
        <v>44866</v>
      </c>
      <c r="C1760" s="4">
        <v>3.61</v>
      </c>
      <c r="D1760" s="4">
        <v>3.0400999999999998</v>
      </c>
      <c r="E1760" s="4">
        <v>44124</v>
      </c>
      <c r="F1760" s="4">
        <v>3.524</v>
      </c>
      <c r="G1760" s="4">
        <v>155492.976</v>
      </c>
      <c r="H1760" s="5">
        <f t="shared" si="27"/>
        <v>5.8641222968972964E-2</v>
      </c>
    </row>
    <row r="1761" spans="1:8" ht="13.5" x14ac:dyDescent="0.25">
      <c r="A1761" s="1"/>
      <c r="B1761" s="3">
        <v>44867</v>
      </c>
      <c r="C1761" s="4">
        <v>3.67</v>
      </c>
      <c r="D1761" s="4">
        <v>3.0907</v>
      </c>
      <c r="E1761" s="4">
        <v>23139</v>
      </c>
      <c r="F1761" s="4">
        <v>3.6629999999999998</v>
      </c>
      <c r="G1761" s="4">
        <v>84758.157000000007</v>
      </c>
      <c r="H1761" s="5">
        <f t="shared" si="27"/>
        <v>1.6644189335877177E-2</v>
      </c>
    </row>
    <row r="1762" spans="1:8" ht="13.5" x14ac:dyDescent="0.25">
      <c r="A1762" s="1"/>
      <c r="B1762" s="3">
        <v>44868</v>
      </c>
      <c r="C1762" s="4">
        <v>3.52</v>
      </c>
      <c r="D1762" s="4">
        <v>2.9643999999999999</v>
      </c>
      <c r="E1762" s="4">
        <v>14867</v>
      </c>
      <c r="F1762" s="4">
        <v>3.5830000000000002</v>
      </c>
      <c r="G1762" s="4">
        <v>53268.461000000003</v>
      </c>
      <c r="H1762" s="5">
        <f t="shared" si="27"/>
        <v>-4.0864529071084246E-2</v>
      </c>
    </row>
    <row r="1763" spans="1:8" ht="13.5" x14ac:dyDescent="0.25">
      <c r="A1763" s="1"/>
      <c r="B1763" s="3">
        <v>44869</v>
      </c>
      <c r="C1763" s="4">
        <v>3.56</v>
      </c>
      <c r="D1763" s="4">
        <v>2.9980000000000002</v>
      </c>
      <c r="E1763" s="4">
        <v>3768</v>
      </c>
      <c r="F1763" s="4">
        <v>3.5409999999999999</v>
      </c>
      <c r="G1763" s="4">
        <v>13342.487999999999</v>
      </c>
      <c r="H1763" s="5">
        <f t="shared" si="27"/>
        <v>1.1334502766158513E-2</v>
      </c>
    </row>
    <row r="1764" spans="1:8" ht="13.5" x14ac:dyDescent="0.25">
      <c r="A1764" s="1"/>
      <c r="B1764" s="3">
        <v>44872</v>
      </c>
      <c r="C1764" s="4">
        <v>3.56</v>
      </c>
      <c r="D1764" s="4">
        <v>2.9980000000000002</v>
      </c>
      <c r="E1764" s="4">
        <v>2531</v>
      </c>
      <c r="F1764" s="4">
        <v>3.5590000000000002</v>
      </c>
      <c r="G1764" s="4">
        <v>9007.8289999999997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3.64</v>
      </c>
      <c r="D1765" s="4">
        <v>3.0653999999999999</v>
      </c>
      <c r="E1765" s="4">
        <v>10556</v>
      </c>
      <c r="F1765" s="4">
        <v>3.609</v>
      </c>
      <c r="G1765" s="4">
        <v>38096.603999999999</v>
      </c>
      <c r="H1765" s="5">
        <f t="shared" si="27"/>
        <v>2.2481654436290754E-2</v>
      </c>
    </row>
    <row r="1766" spans="1:8" ht="13.5" x14ac:dyDescent="0.25">
      <c r="A1766" s="1"/>
      <c r="B1766" s="3">
        <v>44874</v>
      </c>
      <c r="C1766" s="4">
        <v>3.63</v>
      </c>
      <c r="D1766" s="4">
        <v>3.0569999999999999</v>
      </c>
      <c r="E1766" s="4">
        <v>1283</v>
      </c>
      <c r="F1766" s="4">
        <v>3.6080000000000001</v>
      </c>
      <c r="G1766" s="4">
        <v>4629.0640000000003</v>
      </c>
      <c r="H1766" s="5">
        <f t="shared" si="27"/>
        <v>-2.7402622822470029E-3</v>
      </c>
    </row>
    <row r="1767" spans="1:8" ht="13.5" x14ac:dyDescent="0.25">
      <c r="A1767" s="1"/>
      <c r="B1767" s="3">
        <v>44875</v>
      </c>
      <c r="C1767" s="4">
        <v>3.6</v>
      </c>
      <c r="D1767" s="4">
        <v>3.0316999999999998</v>
      </c>
      <c r="E1767" s="4">
        <v>5940</v>
      </c>
      <c r="F1767" s="4">
        <v>3.5619999999999998</v>
      </c>
      <c r="G1767" s="4">
        <v>21158.28</v>
      </c>
      <c r="H1767" s="5">
        <f t="shared" si="27"/>
        <v>-8.2760876676480546E-3</v>
      </c>
    </row>
    <row r="1768" spans="1:8" ht="13.5" x14ac:dyDescent="0.25">
      <c r="A1768" s="1"/>
      <c r="B1768" s="3">
        <v>44876</v>
      </c>
      <c r="C1768" s="4">
        <v>3.6</v>
      </c>
      <c r="D1768" s="4">
        <v>3.0316999999999998</v>
      </c>
      <c r="E1768" s="4">
        <v>95</v>
      </c>
      <c r="F1768" s="4">
        <v>3.5209999999999999</v>
      </c>
      <c r="G1768" s="4">
        <v>334.495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3.64</v>
      </c>
      <c r="D1769" s="4">
        <v>3.0653999999999999</v>
      </c>
      <c r="E1769" s="4">
        <v>12220</v>
      </c>
      <c r="F1769" s="4">
        <v>3.6640000000000001</v>
      </c>
      <c r="G1769" s="4">
        <v>44774.080000000002</v>
      </c>
      <c r="H1769" s="5">
        <f t="shared" si="27"/>
        <v>1.1115875581357015E-2</v>
      </c>
    </row>
    <row r="1770" spans="1:8" ht="13.5" x14ac:dyDescent="0.25">
      <c r="A1770" s="1"/>
      <c r="B1770" s="3">
        <v>44880</v>
      </c>
      <c r="C1770" s="4">
        <v>3.62</v>
      </c>
      <c r="D1770" s="4">
        <v>3.0486</v>
      </c>
      <c r="E1770" s="4">
        <v>1202</v>
      </c>
      <c r="F1770" s="4">
        <v>3.6269999999999998</v>
      </c>
      <c r="G1770" s="4">
        <v>4359.6540000000005</v>
      </c>
      <c r="H1770" s="5">
        <f t="shared" si="27"/>
        <v>-5.4805245644940059E-3</v>
      </c>
    </row>
    <row r="1771" spans="1:8" ht="13.5" x14ac:dyDescent="0.25">
      <c r="A1771" s="1"/>
      <c r="B1771" s="3">
        <v>44881</v>
      </c>
      <c r="C1771" s="4">
        <v>3.51</v>
      </c>
      <c r="D1771" s="4">
        <v>2.9559000000000002</v>
      </c>
      <c r="E1771" s="4">
        <v>18698</v>
      </c>
      <c r="F1771" s="4">
        <v>3.512</v>
      </c>
      <c r="G1771" s="4">
        <v>65667.376000000004</v>
      </c>
      <c r="H1771" s="5">
        <f t="shared" si="27"/>
        <v>-3.040740011808692E-2</v>
      </c>
    </row>
    <row r="1772" spans="1:8" ht="13.5" x14ac:dyDescent="0.25">
      <c r="A1772" s="1"/>
      <c r="B1772" s="3">
        <v>44882</v>
      </c>
      <c r="C1772" s="4">
        <v>3.59</v>
      </c>
      <c r="D1772" s="4">
        <v>3.0232999999999999</v>
      </c>
      <c r="E1772" s="4">
        <v>10505</v>
      </c>
      <c r="F1772" s="4">
        <v>3.5659999999999998</v>
      </c>
      <c r="G1772" s="4">
        <v>37460.83</v>
      </c>
      <c r="H1772" s="5">
        <f t="shared" si="27"/>
        <v>2.2801853919279975E-2</v>
      </c>
    </row>
    <row r="1773" spans="1:8" ht="13.5" x14ac:dyDescent="0.25">
      <c r="A1773" s="1"/>
      <c r="B1773" s="3">
        <v>44883</v>
      </c>
      <c r="C1773" s="4">
        <v>3.57</v>
      </c>
      <c r="D1773" s="4">
        <v>3.0065</v>
      </c>
      <c r="E1773" s="4">
        <v>3629</v>
      </c>
      <c r="F1773" s="4">
        <v>3.5270000000000001</v>
      </c>
      <c r="G1773" s="4">
        <v>12799.483</v>
      </c>
      <c r="H1773" s="5">
        <f t="shared" si="27"/>
        <v>-5.5568418615419991E-3</v>
      </c>
    </row>
    <row r="1774" spans="1:8" ht="13.5" x14ac:dyDescent="0.25">
      <c r="A1774" s="1"/>
      <c r="B1774" s="3">
        <v>44886</v>
      </c>
      <c r="C1774" s="4">
        <v>3.49</v>
      </c>
      <c r="D1774" s="4">
        <v>2.9390999999999998</v>
      </c>
      <c r="E1774" s="4">
        <v>36830</v>
      </c>
      <c r="F1774" s="4">
        <v>3.395</v>
      </c>
      <c r="G1774" s="4">
        <v>125037.85</v>
      </c>
      <c r="H1774" s="5">
        <f t="shared" si="27"/>
        <v>-2.2418094129386373E-2</v>
      </c>
    </row>
    <row r="1775" spans="1:8" ht="13.5" x14ac:dyDescent="0.25">
      <c r="A1775" s="1"/>
      <c r="B1775" s="3">
        <v>44887</v>
      </c>
      <c r="C1775" s="4">
        <v>3.45</v>
      </c>
      <c r="D1775" s="4">
        <v>2.9054000000000002</v>
      </c>
      <c r="E1775" s="4">
        <v>33642</v>
      </c>
      <c r="F1775" s="4">
        <v>3.3740000000000001</v>
      </c>
      <c r="G1775" s="4">
        <v>113508.10799999999</v>
      </c>
      <c r="H1775" s="5">
        <f t="shared" si="27"/>
        <v>-1.1466095063114429E-2</v>
      </c>
    </row>
    <row r="1776" spans="1:8" ht="13.5" x14ac:dyDescent="0.25">
      <c r="A1776" s="1"/>
      <c r="B1776" s="3">
        <v>44888</v>
      </c>
      <c r="C1776" s="4">
        <v>3.55</v>
      </c>
      <c r="D1776" s="4">
        <v>2.9895999999999998</v>
      </c>
      <c r="E1776" s="4">
        <v>2545</v>
      </c>
      <c r="F1776" s="4">
        <v>3.4529999999999998</v>
      </c>
      <c r="G1776" s="4">
        <v>8787.8850000000002</v>
      </c>
      <c r="H1776" s="5">
        <f t="shared" si="27"/>
        <v>2.8980519033523645E-2</v>
      </c>
    </row>
    <row r="1777" spans="1:8" ht="13.5" x14ac:dyDescent="0.25">
      <c r="A1777" s="1"/>
      <c r="B1777" s="3">
        <v>44889</v>
      </c>
      <c r="C1777" s="4">
        <v>3.5</v>
      </c>
      <c r="D1777" s="4">
        <v>2.9474999999999998</v>
      </c>
      <c r="E1777" s="4">
        <v>2974</v>
      </c>
      <c r="F1777" s="4">
        <v>3.47</v>
      </c>
      <c r="G1777" s="4">
        <v>10319.780000000001</v>
      </c>
      <c r="H1777" s="5">
        <f t="shared" si="27"/>
        <v>-1.4082151458389092E-2</v>
      </c>
    </row>
    <row r="1778" spans="1:8" ht="13.5" x14ac:dyDescent="0.25">
      <c r="A1778" s="1"/>
      <c r="B1778" s="3">
        <v>44890</v>
      </c>
      <c r="C1778" s="4">
        <v>3.49</v>
      </c>
      <c r="D1778" s="4">
        <v>2.9390999999999998</v>
      </c>
      <c r="E1778" s="4">
        <v>266</v>
      </c>
      <c r="F1778" s="4">
        <v>3.4980000000000002</v>
      </c>
      <c r="G1778" s="4">
        <v>930.46799999999996</v>
      </c>
      <c r="H1778" s="5">
        <f t="shared" si="27"/>
        <v>-2.8498727735368832E-3</v>
      </c>
    </row>
    <row r="1779" spans="1:8" ht="13.5" x14ac:dyDescent="0.25">
      <c r="A1779" s="1"/>
      <c r="B1779" s="3">
        <v>44893</v>
      </c>
      <c r="C1779" s="4">
        <v>3.47</v>
      </c>
      <c r="D1779" s="4">
        <v>2.9222000000000001</v>
      </c>
      <c r="E1779" s="4">
        <v>651</v>
      </c>
      <c r="F1779" s="4">
        <v>3.4569999999999999</v>
      </c>
      <c r="G1779" s="4">
        <v>2250.5070000000001</v>
      </c>
      <c r="H1779" s="5">
        <f t="shared" si="27"/>
        <v>-5.7500595420365737E-3</v>
      </c>
    </row>
    <row r="1780" spans="1:8" ht="13.5" x14ac:dyDescent="0.25">
      <c r="A1780" s="1"/>
      <c r="B1780" s="3">
        <v>44894</v>
      </c>
      <c r="C1780" s="4">
        <v>3.5</v>
      </c>
      <c r="D1780" s="4">
        <v>2.9474999999999998</v>
      </c>
      <c r="E1780" s="4">
        <v>1932</v>
      </c>
      <c r="F1780" s="4">
        <v>3.4580000000000002</v>
      </c>
      <c r="G1780" s="4">
        <v>6680.8559999999998</v>
      </c>
      <c r="H1780" s="5">
        <f t="shared" si="27"/>
        <v>8.6578605160494339E-3</v>
      </c>
    </row>
    <row r="1781" spans="1:8" ht="13.5" x14ac:dyDescent="0.25">
      <c r="A1781" s="1"/>
      <c r="B1781" s="3">
        <v>44895</v>
      </c>
      <c r="C1781" s="4">
        <v>3.47</v>
      </c>
      <c r="D1781" s="4">
        <v>2.9222000000000001</v>
      </c>
      <c r="E1781" s="4">
        <v>12576</v>
      </c>
      <c r="F1781" s="4">
        <v>3.488</v>
      </c>
      <c r="G1781" s="4">
        <v>43865.088000000003</v>
      </c>
      <c r="H1781" s="5">
        <f t="shared" si="27"/>
        <v>-8.583545377438391E-3</v>
      </c>
    </row>
    <row r="1782" spans="1:8" ht="13.5" x14ac:dyDescent="0.25">
      <c r="A1782" s="1"/>
      <c r="B1782" s="3">
        <v>44896</v>
      </c>
      <c r="C1782" s="4">
        <v>3.44</v>
      </c>
      <c r="D1782" s="4">
        <v>2.8969999999999998</v>
      </c>
      <c r="E1782" s="4">
        <v>5630</v>
      </c>
      <c r="F1782" s="4">
        <v>3.5179999999999998</v>
      </c>
      <c r="G1782" s="4">
        <v>19806.34</v>
      </c>
      <c r="H1782" s="5">
        <f t="shared" si="27"/>
        <v>-8.6236397234961092E-3</v>
      </c>
    </row>
    <row r="1783" spans="1:8" ht="13.5" x14ac:dyDescent="0.25">
      <c r="A1783" s="1"/>
      <c r="B1783" s="3">
        <v>44897</v>
      </c>
      <c r="C1783" s="4">
        <v>3.48</v>
      </c>
      <c r="D1783" s="4">
        <v>2.9306999999999999</v>
      </c>
      <c r="E1783" s="4">
        <v>6142</v>
      </c>
      <c r="F1783" s="4">
        <v>3.419</v>
      </c>
      <c r="G1783" s="4">
        <v>20999.498</v>
      </c>
      <c r="H1783" s="5">
        <f t="shared" si="27"/>
        <v>1.1632723507076309E-2</v>
      </c>
    </row>
    <row r="1784" spans="1:8" ht="13.5" x14ac:dyDescent="0.25">
      <c r="A1784" s="1"/>
      <c r="B1784" s="3">
        <v>44900</v>
      </c>
      <c r="C1784" s="4">
        <v>3.31</v>
      </c>
      <c r="D1784" s="4">
        <v>2.7875000000000001</v>
      </c>
      <c r="E1784" s="4">
        <v>199</v>
      </c>
      <c r="F1784" s="4">
        <v>3.3929999999999998</v>
      </c>
      <c r="G1784" s="4">
        <v>675.20699999999999</v>
      </c>
      <c r="H1784" s="5">
        <f t="shared" si="27"/>
        <v>-4.8862046610024835E-2</v>
      </c>
    </row>
    <row r="1785" spans="1:8" ht="13.5" x14ac:dyDescent="0.25">
      <c r="A1785" s="1"/>
      <c r="B1785" s="3">
        <v>44901</v>
      </c>
      <c r="C1785" s="4">
        <v>3.39</v>
      </c>
      <c r="D1785" s="4">
        <v>2.8549000000000002</v>
      </c>
      <c r="E1785" s="4">
        <v>797</v>
      </c>
      <c r="F1785" s="4">
        <v>3.335</v>
      </c>
      <c r="G1785" s="4">
        <v>2657.9949999999999</v>
      </c>
      <c r="H1785" s="5">
        <f t="shared" si="27"/>
        <v>2.4179372197309461E-2</v>
      </c>
    </row>
    <row r="1786" spans="1:8" ht="13.5" x14ac:dyDescent="0.25">
      <c r="A1786" s="1"/>
      <c r="B1786" s="3">
        <v>44902</v>
      </c>
      <c r="C1786" s="4">
        <v>3.37</v>
      </c>
      <c r="D1786" s="4">
        <v>2.8380000000000001</v>
      </c>
      <c r="E1786" s="4">
        <v>245</v>
      </c>
      <c r="F1786" s="4">
        <v>3.35</v>
      </c>
      <c r="G1786" s="4">
        <v>820.75</v>
      </c>
      <c r="H1786" s="5">
        <f t="shared" si="27"/>
        <v>-5.9196469228344727E-3</v>
      </c>
    </row>
    <row r="1787" spans="1:8" ht="13.5" x14ac:dyDescent="0.25">
      <c r="A1787" s="1"/>
      <c r="B1787" s="3">
        <v>44903</v>
      </c>
      <c r="C1787" s="4">
        <v>3.38</v>
      </c>
      <c r="D1787" s="4">
        <v>2.8464999999999998</v>
      </c>
      <c r="E1787" s="4">
        <v>41</v>
      </c>
      <c r="F1787" s="4">
        <v>3.3679999999999999</v>
      </c>
      <c r="G1787" s="4">
        <v>138.08799999999999</v>
      </c>
      <c r="H1787" s="5">
        <f t="shared" si="27"/>
        <v>2.9950669485552255E-3</v>
      </c>
    </row>
    <row r="1788" spans="1:8" ht="13.5" x14ac:dyDescent="0.25">
      <c r="A1788" s="1"/>
      <c r="B1788" s="3">
        <v>44904</v>
      </c>
      <c r="C1788" s="4">
        <v>3.38</v>
      </c>
      <c r="D1788" s="4">
        <v>2.8464999999999998</v>
      </c>
      <c r="E1788" s="4">
        <v>0</v>
      </c>
      <c r="F1788" s="4">
        <v>0</v>
      </c>
      <c r="G1788" s="4">
        <v>0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3.35</v>
      </c>
      <c r="D1789" s="4">
        <v>2.8212000000000002</v>
      </c>
      <c r="E1789" s="4">
        <v>2358</v>
      </c>
      <c r="F1789" s="4">
        <v>3.3079999999999998</v>
      </c>
      <c r="G1789" s="4">
        <v>7800.2640000000001</v>
      </c>
      <c r="H1789" s="5">
        <f t="shared" si="27"/>
        <v>-8.888108203056265E-3</v>
      </c>
    </row>
    <row r="1790" spans="1:8" ht="13.5" x14ac:dyDescent="0.25">
      <c r="A1790" s="1"/>
      <c r="B1790" s="3">
        <v>44908</v>
      </c>
      <c r="C1790" s="4">
        <v>3.34</v>
      </c>
      <c r="D1790" s="4">
        <v>2.8128000000000002</v>
      </c>
      <c r="E1790" s="4">
        <v>1267</v>
      </c>
      <c r="F1790" s="4">
        <v>3.2890000000000001</v>
      </c>
      <c r="G1790" s="4">
        <v>4167.1629999999996</v>
      </c>
      <c r="H1790" s="5">
        <f t="shared" si="27"/>
        <v>-2.9774564015312499E-3</v>
      </c>
    </row>
    <row r="1791" spans="1:8" ht="13.5" x14ac:dyDescent="0.25">
      <c r="A1791" s="1"/>
      <c r="B1791" s="3">
        <v>44909</v>
      </c>
      <c r="C1791" s="4">
        <v>3.27</v>
      </c>
      <c r="D1791" s="4">
        <v>2.7538</v>
      </c>
      <c r="E1791" s="4">
        <v>2591</v>
      </c>
      <c r="F1791" s="4">
        <v>3.278</v>
      </c>
      <c r="G1791" s="4">
        <v>8493.2980000000007</v>
      </c>
      <c r="H1791" s="5">
        <f t="shared" si="27"/>
        <v>-2.0975540386803243E-2</v>
      </c>
    </row>
    <row r="1792" spans="1:8" ht="13.5" x14ac:dyDescent="0.25">
      <c r="A1792" s="1"/>
      <c r="B1792" s="3">
        <v>44910</v>
      </c>
      <c r="C1792" s="4">
        <v>3.3</v>
      </c>
      <c r="D1792" s="4">
        <v>2.7791000000000001</v>
      </c>
      <c r="E1792" s="4">
        <v>3389</v>
      </c>
      <c r="F1792" s="4">
        <v>3.3170000000000002</v>
      </c>
      <c r="G1792" s="4">
        <v>11241.313</v>
      </c>
      <c r="H1792" s="5">
        <f t="shared" si="27"/>
        <v>9.1873048151645369E-3</v>
      </c>
    </row>
    <row r="1793" spans="1:8" ht="13.5" x14ac:dyDescent="0.25">
      <c r="A1793" s="1"/>
      <c r="B1793" s="3">
        <v>44911</v>
      </c>
      <c r="C1793" s="4">
        <v>3.3</v>
      </c>
      <c r="D1793" s="4">
        <v>2.7791000000000001</v>
      </c>
      <c r="E1793" s="4">
        <v>1301</v>
      </c>
      <c r="F1793" s="4">
        <v>3.2970000000000002</v>
      </c>
      <c r="G1793" s="4">
        <v>4289.3969999999999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3.29</v>
      </c>
      <c r="D1794" s="4">
        <v>2.7707000000000002</v>
      </c>
      <c r="E1794" s="4">
        <v>2120</v>
      </c>
      <c r="F1794" s="4">
        <v>3.25</v>
      </c>
      <c r="G1794" s="4">
        <v>6890</v>
      </c>
      <c r="H1794" s="5">
        <f t="shared" si="27"/>
        <v>-3.0225612608398267E-3</v>
      </c>
    </row>
    <row r="1795" spans="1:8" ht="13.5" x14ac:dyDescent="0.25">
      <c r="A1795" s="1"/>
      <c r="B1795" s="3">
        <v>44915</v>
      </c>
      <c r="C1795" s="4">
        <v>3.19</v>
      </c>
      <c r="D1795" s="4">
        <v>2.6863999999999999</v>
      </c>
      <c r="E1795" s="4">
        <v>11410</v>
      </c>
      <c r="F1795" s="4">
        <v>3.1560000000000001</v>
      </c>
      <c r="G1795" s="4">
        <v>36009.96</v>
      </c>
      <c r="H1795" s="5">
        <f t="shared" si="27"/>
        <v>-3.0425524235752791E-2</v>
      </c>
    </row>
    <row r="1796" spans="1:8" ht="13.5" x14ac:dyDescent="0.25">
      <c r="A1796" s="1"/>
      <c r="B1796" s="3">
        <v>44916</v>
      </c>
      <c r="C1796" s="4">
        <v>3.21</v>
      </c>
      <c r="D1796" s="4">
        <v>2.7033</v>
      </c>
      <c r="E1796" s="4">
        <v>642</v>
      </c>
      <c r="F1796" s="4">
        <v>3.181</v>
      </c>
      <c r="G1796" s="4">
        <v>2042.202</v>
      </c>
      <c r="H1796" s="5">
        <f t="shared" si="27"/>
        <v>6.290946992257347E-3</v>
      </c>
    </row>
    <row r="1797" spans="1:8" ht="13.5" x14ac:dyDescent="0.25">
      <c r="A1797" s="1"/>
      <c r="B1797" s="3">
        <v>44917</v>
      </c>
      <c r="C1797" s="4">
        <v>3.19</v>
      </c>
      <c r="D1797" s="4">
        <v>2.6863999999999999</v>
      </c>
      <c r="E1797" s="4">
        <v>785</v>
      </c>
      <c r="F1797" s="4">
        <v>3.1629999999999998</v>
      </c>
      <c r="G1797" s="4">
        <v>2482.9549999999999</v>
      </c>
      <c r="H1797" s="5">
        <f t="shared" si="27"/>
        <v>-6.2516183923353444E-3</v>
      </c>
    </row>
    <row r="1798" spans="1:8" ht="13.5" x14ac:dyDescent="0.25">
      <c r="A1798" s="1"/>
      <c r="B1798" s="3">
        <v>44918</v>
      </c>
      <c r="C1798" s="4">
        <v>3.09</v>
      </c>
      <c r="D1798" s="4">
        <v>2.6021999999999998</v>
      </c>
      <c r="E1798" s="4">
        <v>1689</v>
      </c>
      <c r="F1798" s="4">
        <v>3.09</v>
      </c>
      <c r="G1798" s="4">
        <v>5219.01</v>
      </c>
      <c r="H1798" s="5">
        <f t="shared" si="27"/>
        <v>-3.1343061346039328E-2</v>
      </c>
    </row>
    <row r="1799" spans="1:8" ht="13.5" x14ac:dyDescent="0.25">
      <c r="A1799" s="1"/>
      <c r="B1799" s="3">
        <v>44921</v>
      </c>
      <c r="C1799" s="4">
        <v>3.02</v>
      </c>
      <c r="D1799" s="4">
        <v>2.5432999999999999</v>
      </c>
      <c r="E1799" s="4">
        <v>6562</v>
      </c>
      <c r="F1799" s="4">
        <v>2.9889999999999999</v>
      </c>
      <c r="G1799" s="4">
        <v>19613.817999999999</v>
      </c>
      <c r="H1799" s="5">
        <f t="shared" ref="H1799:H1862" si="28">(D1799-D1798)/D1798</f>
        <v>-2.2634693720697853E-2</v>
      </c>
    </row>
    <row r="1800" spans="1:8" ht="13.5" x14ac:dyDescent="0.25">
      <c r="A1800" s="1"/>
      <c r="B1800" s="3">
        <v>44922</v>
      </c>
      <c r="C1800" s="4">
        <v>3</v>
      </c>
      <c r="D1800" s="4">
        <v>2.5264000000000002</v>
      </c>
      <c r="E1800" s="4">
        <v>1165</v>
      </c>
      <c r="F1800" s="4">
        <v>3.0019999999999998</v>
      </c>
      <c r="G1800" s="4">
        <v>3497.33</v>
      </c>
      <c r="H1800" s="5">
        <f t="shared" si="28"/>
        <v>-6.6449101560962899E-3</v>
      </c>
    </row>
    <row r="1801" spans="1:8" ht="13.5" x14ac:dyDescent="0.25">
      <c r="A1801" s="1"/>
      <c r="B1801" s="3">
        <v>44923</v>
      </c>
      <c r="C1801" s="4">
        <v>2.9</v>
      </c>
      <c r="D1801" s="4">
        <v>2.4422000000000001</v>
      </c>
      <c r="E1801" s="4">
        <v>10021</v>
      </c>
      <c r="F1801" s="4">
        <v>2.8759999999999999</v>
      </c>
      <c r="G1801" s="4">
        <v>28820.396000000001</v>
      </c>
      <c r="H1801" s="5">
        <f t="shared" si="28"/>
        <v>-3.3328055731475632E-2</v>
      </c>
    </row>
    <row r="1802" spans="1:8" ht="13.5" x14ac:dyDescent="0.25">
      <c r="A1802" s="1"/>
      <c r="B1802" s="3">
        <v>44924</v>
      </c>
      <c r="C1802" s="4">
        <v>2.87</v>
      </c>
      <c r="D1802" s="4">
        <v>2.4169999999999998</v>
      </c>
      <c r="E1802" s="4">
        <v>4584</v>
      </c>
      <c r="F1802" s="4">
        <v>2.8929999999999998</v>
      </c>
      <c r="G1802" s="4">
        <v>13261.512000000001</v>
      </c>
      <c r="H1802" s="5">
        <f t="shared" si="28"/>
        <v>-1.0318565228073185E-2</v>
      </c>
    </row>
    <row r="1803" spans="1:8" ht="13.5" x14ac:dyDescent="0.25">
      <c r="A1803" s="1"/>
      <c r="B1803" s="3">
        <v>44925</v>
      </c>
      <c r="C1803" s="4">
        <v>2.94</v>
      </c>
      <c r="D1803" s="4">
        <v>2.4759000000000002</v>
      </c>
      <c r="E1803" s="4">
        <v>4092</v>
      </c>
      <c r="F1803" s="4">
        <v>2.976</v>
      </c>
      <c r="G1803" s="4">
        <v>12177.791999999999</v>
      </c>
      <c r="H1803" s="5">
        <f t="shared" si="28"/>
        <v>2.4369052544476789E-2</v>
      </c>
    </row>
    <row r="1804" spans="1:8" ht="13.5" x14ac:dyDescent="0.25">
      <c r="A1804" s="1"/>
      <c r="B1804" s="3">
        <v>44928</v>
      </c>
      <c r="C1804" s="4">
        <v>2.95</v>
      </c>
      <c r="D1804" s="4">
        <v>2.4843000000000002</v>
      </c>
      <c r="E1804" s="4">
        <v>1287</v>
      </c>
      <c r="F1804" s="4">
        <v>2.9470000000000001</v>
      </c>
      <c r="G1804" s="4">
        <v>3792.7890000000002</v>
      </c>
      <c r="H1804" s="5">
        <f t="shared" si="28"/>
        <v>3.3927056827820034E-3</v>
      </c>
    </row>
    <row r="1805" spans="1:8" ht="13.5" x14ac:dyDescent="0.25">
      <c r="A1805" s="1"/>
      <c r="B1805" s="3">
        <v>44929</v>
      </c>
      <c r="C1805" s="4">
        <v>2.98</v>
      </c>
      <c r="D1805" s="4">
        <v>2.5095999999999998</v>
      </c>
      <c r="E1805" s="4">
        <v>3465</v>
      </c>
      <c r="F1805" s="4">
        <v>2.9409999999999998</v>
      </c>
      <c r="G1805" s="4">
        <v>10190.565000000001</v>
      </c>
      <c r="H1805" s="5">
        <f t="shared" si="28"/>
        <v>1.0183955238900155E-2</v>
      </c>
    </row>
    <row r="1806" spans="1:8" ht="13.5" x14ac:dyDescent="0.25">
      <c r="A1806" s="1"/>
      <c r="B1806" s="3">
        <v>44930</v>
      </c>
      <c r="C1806" s="4">
        <v>2.96</v>
      </c>
      <c r="D1806" s="4">
        <v>2.4927000000000001</v>
      </c>
      <c r="E1806" s="4">
        <v>2345</v>
      </c>
      <c r="F1806" s="4">
        <v>2.9590000000000001</v>
      </c>
      <c r="G1806" s="4">
        <v>6938.8549999999996</v>
      </c>
      <c r="H1806" s="5">
        <f t="shared" si="28"/>
        <v>-6.7341408989479174E-3</v>
      </c>
    </row>
    <row r="1807" spans="1:8" ht="13.5" x14ac:dyDescent="0.25">
      <c r="A1807" s="1"/>
      <c r="B1807" s="3">
        <v>44931</v>
      </c>
      <c r="C1807" s="4">
        <v>2.95</v>
      </c>
      <c r="D1807" s="4">
        <v>2.4843000000000002</v>
      </c>
      <c r="E1807" s="4">
        <v>3080</v>
      </c>
      <c r="F1807" s="4">
        <v>2.93</v>
      </c>
      <c r="G1807" s="4">
        <v>9024.4</v>
      </c>
      <c r="H1807" s="5">
        <f t="shared" si="28"/>
        <v>-3.3698399326031864E-3</v>
      </c>
    </row>
    <row r="1808" spans="1:8" ht="13.5" x14ac:dyDescent="0.25">
      <c r="A1808" s="1"/>
      <c r="B1808" s="3">
        <v>44932</v>
      </c>
      <c r="C1808" s="4">
        <v>2.93</v>
      </c>
      <c r="D1808" s="4">
        <v>2.4674999999999998</v>
      </c>
      <c r="E1808" s="4">
        <v>4654</v>
      </c>
      <c r="F1808" s="4">
        <v>2.9180000000000001</v>
      </c>
      <c r="G1808" s="4">
        <v>13580.371999999999</v>
      </c>
      <c r="H1808" s="5">
        <f t="shared" si="28"/>
        <v>-6.7624683009299882E-3</v>
      </c>
    </row>
    <row r="1809" spans="1:8" ht="13.5" x14ac:dyDescent="0.25">
      <c r="A1809" s="1"/>
      <c r="B1809" s="3">
        <v>44935</v>
      </c>
      <c r="C1809" s="4">
        <v>2.93</v>
      </c>
      <c r="D1809" s="4">
        <v>2.4674999999999998</v>
      </c>
      <c r="E1809" s="4">
        <v>2674</v>
      </c>
      <c r="F1809" s="4">
        <v>2.871</v>
      </c>
      <c r="G1809" s="4">
        <v>7677.0540000000001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2.88</v>
      </c>
      <c r="D1810" s="4">
        <v>2.4253999999999998</v>
      </c>
      <c r="E1810" s="4">
        <v>14488</v>
      </c>
      <c r="F1810" s="4">
        <v>2.8570000000000002</v>
      </c>
      <c r="G1810" s="4">
        <v>41392.216</v>
      </c>
      <c r="H1810" s="5">
        <f t="shared" si="28"/>
        <v>-1.706180344478218E-2</v>
      </c>
    </row>
    <row r="1811" spans="1:8" ht="13.5" x14ac:dyDescent="0.25">
      <c r="A1811" s="1"/>
      <c r="B1811" s="3">
        <v>44937</v>
      </c>
      <c r="C1811" s="4">
        <v>2.89</v>
      </c>
      <c r="D1811" s="4">
        <v>2.4338000000000002</v>
      </c>
      <c r="E1811" s="4">
        <v>7899</v>
      </c>
      <c r="F1811" s="4">
        <v>2.8650000000000002</v>
      </c>
      <c r="G1811" s="4">
        <v>22630.634999999998</v>
      </c>
      <c r="H1811" s="5">
        <f t="shared" si="28"/>
        <v>3.4633462521647595E-3</v>
      </c>
    </row>
    <row r="1812" spans="1:8" ht="13.5" x14ac:dyDescent="0.25">
      <c r="A1812" s="1"/>
      <c r="B1812" s="3">
        <v>44938</v>
      </c>
      <c r="C1812" s="4">
        <v>2.88</v>
      </c>
      <c r="D1812" s="4">
        <v>2.4253999999999998</v>
      </c>
      <c r="E1812" s="4">
        <v>2446</v>
      </c>
      <c r="F1812" s="4">
        <v>2.8879999999999999</v>
      </c>
      <c r="G1812" s="4">
        <v>7064.0479999999998</v>
      </c>
      <c r="H1812" s="5">
        <f t="shared" si="28"/>
        <v>-3.4513928835567453E-3</v>
      </c>
    </row>
    <row r="1813" spans="1:8" ht="13.5" x14ac:dyDescent="0.25">
      <c r="A1813" s="1"/>
      <c r="B1813" s="3">
        <v>44939</v>
      </c>
      <c r="C1813" s="4">
        <v>2.88</v>
      </c>
      <c r="D1813" s="4">
        <v>2.4253999999999998</v>
      </c>
      <c r="E1813" s="4">
        <v>643</v>
      </c>
      <c r="F1813" s="4">
        <v>2.84</v>
      </c>
      <c r="G1813" s="4">
        <v>1826.12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2.83</v>
      </c>
      <c r="D1814" s="4">
        <v>2.3833000000000002</v>
      </c>
      <c r="E1814" s="4">
        <v>7744</v>
      </c>
      <c r="F1814" s="4">
        <v>2.79</v>
      </c>
      <c r="G1814" s="4">
        <v>21605.759999999998</v>
      </c>
      <c r="H1814" s="5">
        <f t="shared" si="28"/>
        <v>-1.7357961573348554E-2</v>
      </c>
    </row>
    <row r="1815" spans="1:8" ht="13.5" x14ac:dyDescent="0.25">
      <c r="A1815" s="1"/>
      <c r="B1815" s="3">
        <v>44943</v>
      </c>
      <c r="C1815" s="4">
        <v>2.92</v>
      </c>
      <c r="D1815" s="4">
        <v>2.4590999999999998</v>
      </c>
      <c r="E1815" s="4">
        <v>2969</v>
      </c>
      <c r="F1815" s="4">
        <v>2.867</v>
      </c>
      <c r="G1815" s="4">
        <v>8512.1229999999996</v>
      </c>
      <c r="H1815" s="5">
        <f t="shared" si="28"/>
        <v>3.1804640624344245E-2</v>
      </c>
    </row>
    <row r="1816" spans="1:8" ht="13.5" x14ac:dyDescent="0.25">
      <c r="A1816" s="1"/>
      <c r="B1816" s="3">
        <v>44944</v>
      </c>
      <c r="C1816" s="4">
        <v>3.04</v>
      </c>
      <c r="D1816" s="4">
        <v>2.5600999999999998</v>
      </c>
      <c r="E1816" s="4">
        <v>17524</v>
      </c>
      <c r="F1816" s="4">
        <v>3.01</v>
      </c>
      <c r="G1816" s="4">
        <v>52747.24</v>
      </c>
      <c r="H1816" s="5">
        <f t="shared" si="28"/>
        <v>4.1071936887479156E-2</v>
      </c>
    </row>
    <row r="1817" spans="1:8" ht="13.5" x14ac:dyDescent="0.25">
      <c r="A1817" s="1"/>
      <c r="B1817" s="3">
        <v>44945</v>
      </c>
      <c r="C1817" s="4">
        <v>3.08</v>
      </c>
      <c r="D1817" s="4">
        <v>2.5937999999999999</v>
      </c>
      <c r="E1817" s="4">
        <v>803</v>
      </c>
      <c r="F1817" s="4">
        <v>3.02</v>
      </c>
      <c r="G1817" s="4">
        <v>2425.06</v>
      </c>
      <c r="H1817" s="5">
        <f t="shared" si="28"/>
        <v>1.3163548298894601E-2</v>
      </c>
    </row>
    <row r="1818" spans="1:8" ht="13.5" x14ac:dyDescent="0.25">
      <c r="A1818" s="1"/>
      <c r="B1818" s="3">
        <v>44946</v>
      </c>
      <c r="C1818" s="4">
        <v>3.02</v>
      </c>
      <c r="D1818" s="4">
        <v>2.5432999999999999</v>
      </c>
      <c r="E1818" s="4">
        <v>724</v>
      </c>
      <c r="F1818" s="4">
        <v>3.0430000000000001</v>
      </c>
      <c r="G1818" s="4">
        <v>2203.1320000000001</v>
      </c>
      <c r="H1818" s="5">
        <f t="shared" si="28"/>
        <v>-1.9469504202328628E-2</v>
      </c>
    </row>
    <row r="1819" spans="1:8" ht="13.5" x14ac:dyDescent="0.25">
      <c r="A1819" s="1"/>
      <c r="B1819" s="3">
        <v>44949</v>
      </c>
      <c r="C1819" s="4">
        <v>3.08</v>
      </c>
      <c r="D1819" s="4">
        <v>2.5937999999999999</v>
      </c>
      <c r="E1819" s="4">
        <v>32</v>
      </c>
      <c r="F1819" s="4">
        <v>3.0470000000000002</v>
      </c>
      <c r="G1819" s="4">
        <v>97.504000000000005</v>
      </c>
      <c r="H1819" s="5">
        <f t="shared" si="28"/>
        <v>1.9856092478276251E-2</v>
      </c>
    </row>
    <row r="1820" spans="1:8" ht="13.5" x14ac:dyDescent="0.25">
      <c r="A1820" s="1"/>
      <c r="B1820" s="3">
        <v>44950</v>
      </c>
      <c r="C1820" s="4">
        <v>3.15</v>
      </c>
      <c r="D1820" s="4">
        <v>2.6528</v>
      </c>
      <c r="E1820" s="4">
        <v>4082</v>
      </c>
      <c r="F1820" s="4">
        <v>3.0680000000000001</v>
      </c>
      <c r="G1820" s="4">
        <v>12523.575999999999</v>
      </c>
      <c r="H1820" s="5">
        <f t="shared" si="28"/>
        <v>2.2746549464106779E-2</v>
      </c>
    </row>
    <row r="1821" spans="1:8" ht="13.5" x14ac:dyDescent="0.25">
      <c r="A1821" s="1"/>
      <c r="B1821" s="3">
        <v>44951</v>
      </c>
      <c r="C1821" s="4">
        <v>3.15</v>
      </c>
      <c r="D1821" s="4">
        <v>2.6528</v>
      </c>
      <c r="E1821" s="4">
        <v>6378</v>
      </c>
      <c r="F1821" s="4">
        <v>3.18</v>
      </c>
      <c r="G1821" s="4">
        <v>20282.04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3.15</v>
      </c>
      <c r="D1822" s="4">
        <v>2.6528</v>
      </c>
      <c r="E1822" s="4">
        <v>309</v>
      </c>
      <c r="F1822" s="4">
        <v>3.1070000000000002</v>
      </c>
      <c r="G1822" s="4">
        <v>960.06299999999999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2.98</v>
      </c>
      <c r="D1823" s="4">
        <v>2.5095999999999998</v>
      </c>
      <c r="E1823" s="4">
        <v>6407</v>
      </c>
      <c r="F1823" s="4">
        <v>3.0289999999999999</v>
      </c>
      <c r="G1823" s="4">
        <v>19406.803</v>
      </c>
      <c r="H1823" s="5">
        <f t="shared" si="28"/>
        <v>-5.3980699638118294E-2</v>
      </c>
    </row>
    <row r="1824" spans="1:8" ht="13.5" x14ac:dyDescent="0.25">
      <c r="A1824" s="1"/>
      <c r="B1824" s="3">
        <v>44956</v>
      </c>
      <c r="C1824" s="4">
        <v>3.06</v>
      </c>
      <c r="D1824" s="4">
        <v>2.577</v>
      </c>
      <c r="E1824" s="4">
        <v>1076</v>
      </c>
      <c r="F1824" s="4">
        <v>3.03</v>
      </c>
      <c r="G1824" s="4">
        <v>3260.28</v>
      </c>
      <c r="H1824" s="5">
        <f t="shared" si="28"/>
        <v>2.6856869620656729E-2</v>
      </c>
    </row>
    <row r="1825" spans="1:8" ht="13.5" x14ac:dyDescent="0.25">
      <c r="A1825" s="1"/>
      <c r="B1825" s="3">
        <v>44957</v>
      </c>
      <c r="C1825" s="4">
        <v>3</v>
      </c>
      <c r="D1825" s="4">
        <v>2.5264000000000002</v>
      </c>
      <c r="E1825" s="4">
        <v>463</v>
      </c>
      <c r="F1825" s="4">
        <v>2.9929999999999999</v>
      </c>
      <c r="G1825" s="4">
        <v>1385.759</v>
      </c>
      <c r="H1825" s="5">
        <f t="shared" si="28"/>
        <v>-1.9635234769111276E-2</v>
      </c>
    </row>
    <row r="1826" spans="1:8" ht="13.5" x14ac:dyDescent="0.25">
      <c r="A1826" s="1"/>
      <c r="B1826" s="3">
        <v>44958</v>
      </c>
      <c r="C1826" s="4">
        <v>3.04</v>
      </c>
      <c r="D1826" s="4">
        <v>2.5600999999999998</v>
      </c>
      <c r="E1826" s="4">
        <v>4192</v>
      </c>
      <c r="F1826" s="4">
        <v>2.9860000000000002</v>
      </c>
      <c r="G1826" s="4">
        <v>12517.312</v>
      </c>
      <c r="H1826" s="5">
        <f t="shared" si="28"/>
        <v>1.333913869537667E-2</v>
      </c>
    </row>
    <row r="1827" spans="1:8" ht="13.5" x14ac:dyDescent="0.25">
      <c r="A1827" s="1"/>
      <c r="B1827" s="3">
        <v>44959</v>
      </c>
      <c r="C1827" s="4">
        <v>3.12</v>
      </c>
      <c r="D1827" s="4">
        <v>2.6274999999999999</v>
      </c>
      <c r="E1827" s="4">
        <v>9958</v>
      </c>
      <c r="F1827" s="4">
        <v>3.105</v>
      </c>
      <c r="G1827" s="4">
        <v>30919.59</v>
      </c>
      <c r="H1827" s="5">
        <f t="shared" si="28"/>
        <v>2.6327096597789201E-2</v>
      </c>
    </row>
    <row r="1828" spans="1:8" ht="13.5" x14ac:dyDescent="0.25">
      <c r="A1828" s="1"/>
      <c r="B1828" s="3">
        <v>44960</v>
      </c>
      <c r="C1828" s="4">
        <v>3.19</v>
      </c>
      <c r="D1828" s="4">
        <v>2.6863999999999999</v>
      </c>
      <c r="E1828" s="4">
        <v>14402</v>
      </c>
      <c r="F1828" s="4">
        <v>3.238</v>
      </c>
      <c r="G1828" s="4">
        <v>46633.675999999999</v>
      </c>
      <c r="H1828" s="5">
        <f t="shared" si="28"/>
        <v>2.2416745956232144E-2</v>
      </c>
    </row>
    <row r="1829" spans="1:8" ht="13.5" x14ac:dyDescent="0.25">
      <c r="A1829" s="1"/>
      <c r="B1829" s="3">
        <v>44963</v>
      </c>
      <c r="C1829" s="4">
        <v>3.16</v>
      </c>
      <c r="D1829" s="4">
        <v>2.6612</v>
      </c>
      <c r="E1829" s="4">
        <v>1557</v>
      </c>
      <c r="F1829" s="4">
        <v>3.1120000000000001</v>
      </c>
      <c r="G1829" s="4">
        <v>4845.384</v>
      </c>
      <c r="H1829" s="5">
        <f t="shared" si="28"/>
        <v>-9.3805836807623177E-3</v>
      </c>
    </row>
    <row r="1830" spans="1:8" ht="13.5" x14ac:dyDescent="0.25">
      <c r="A1830" s="1"/>
      <c r="B1830" s="3">
        <v>44964</v>
      </c>
      <c r="C1830" s="4">
        <v>3.17</v>
      </c>
      <c r="D1830" s="4">
        <v>2.6696</v>
      </c>
      <c r="E1830" s="4">
        <v>5200</v>
      </c>
      <c r="F1830" s="4">
        <v>3.1549999999999998</v>
      </c>
      <c r="G1830" s="4">
        <v>16406</v>
      </c>
      <c r="H1830" s="5">
        <f t="shared" si="28"/>
        <v>3.1564707650683765E-3</v>
      </c>
    </row>
    <row r="1831" spans="1:8" ht="13.5" x14ac:dyDescent="0.25">
      <c r="A1831" s="1"/>
      <c r="B1831" s="3">
        <v>44965</v>
      </c>
      <c r="C1831" s="4">
        <v>3.23</v>
      </c>
      <c r="D1831" s="4">
        <v>2.7201</v>
      </c>
      <c r="E1831" s="4">
        <v>5723</v>
      </c>
      <c r="F1831" s="4">
        <v>3.173</v>
      </c>
      <c r="G1831" s="4">
        <v>18159.079000000002</v>
      </c>
      <c r="H1831" s="5">
        <f t="shared" si="28"/>
        <v>1.8916691639196879E-2</v>
      </c>
    </row>
    <row r="1832" spans="1:8" ht="13.5" x14ac:dyDescent="0.25">
      <c r="A1832" s="1"/>
      <c r="B1832" s="3">
        <v>44966</v>
      </c>
      <c r="C1832" s="4">
        <v>3.16</v>
      </c>
      <c r="D1832" s="4">
        <v>2.6612</v>
      </c>
      <c r="E1832" s="4">
        <v>1840</v>
      </c>
      <c r="F1832" s="4">
        <v>3.121</v>
      </c>
      <c r="G1832" s="4">
        <v>5742.64</v>
      </c>
      <c r="H1832" s="5">
        <f t="shared" si="28"/>
        <v>-2.1653615675894251E-2</v>
      </c>
    </row>
    <row r="1833" spans="1:8" ht="13.5" x14ac:dyDescent="0.25">
      <c r="A1833" s="1"/>
      <c r="B1833" s="3">
        <v>44967</v>
      </c>
      <c r="C1833" s="4">
        <v>3.14</v>
      </c>
      <c r="D1833" s="4">
        <v>2.6442999999999999</v>
      </c>
      <c r="E1833" s="4">
        <v>102</v>
      </c>
      <c r="F1833" s="4">
        <v>3.133</v>
      </c>
      <c r="G1833" s="4">
        <v>319.56599999999997</v>
      </c>
      <c r="H1833" s="5">
        <f t="shared" si="28"/>
        <v>-6.3505185630543127E-3</v>
      </c>
    </row>
    <row r="1834" spans="1:8" ht="13.5" x14ac:dyDescent="0.25">
      <c r="A1834" s="1"/>
      <c r="B1834" s="3">
        <v>44970</v>
      </c>
      <c r="C1834" s="4">
        <v>3.25</v>
      </c>
      <c r="D1834" s="4">
        <v>2.7370000000000001</v>
      </c>
      <c r="E1834" s="4">
        <v>21842</v>
      </c>
      <c r="F1834" s="4">
        <v>3.2450000000000001</v>
      </c>
      <c r="G1834" s="4">
        <v>70877.289999999994</v>
      </c>
      <c r="H1834" s="5">
        <f t="shared" si="28"/>
        <v>3.505653670158463E-2</v>
      </c>
    </row>
    <row r="1835" spans="1:8" ht="13.5" x14ac:dyDescent="0.25">
      <c r="A1835" s="1"/>
      <c r="B1835" s="3">
        <v>44971</v>
      </c>
      <c r="C1835" s="4">
        <v>3.29</v>
      </c>
      <c r="D1835" s="4">
        <v>2.7707000000000002</v>
      </c>
      <c r="E1835" s="4">
        <v>14277</v>
      </c>
      <c r="F1835" s="4">
        <v>3.254</v>
      </c>
      <c r="G1835" s="4">
        <v>46457.358</v>
      </c>
      <c r="H1835" s="5">
        <f t="shared" si="28"/>
        <v>1.2312751187431517E-2</v>
      </c>
    </row>
    <row r="1836" spans="1:8" ht="13.5" x14ac:dyDescent="0.25">
      <c r="A1836" s="1"/>
      <c r="B1836" s="3">
        <v>44972</v>
      </c>
      <c r="C1836" s="4">
        <v>3.3</v>
      </c>
      <c r="D1836" s="4">
        <v>2.7791000000000001</v>
      </c>
      <c r="E1836" s="4">
        <v>9659</v>
      </c>
      <c r="F1836" s="4">
        <v>3.286</v>
      </c>
      <c r="G1836" s="4">
        <v>31739.473999999998</v>
      </c>
      <c r="H1836" s="5">
        <f t="shared" si="28"/>
        <v>3.031724834879259E-3</v>
      </c>
    </row>
    <row r="1837" spans="1:8" ht="13.5" x14ac:dyDescent="0.25">
      <c r="A1837" s="1"/>
      <c r="B1837" s="3">
        <v>44973</v>
      </c>
      <c r="C1837" s="4">
        <v>3.29</v>
      </c>
      <c r="D1837" s="4">
        <v>2.7707000000000002</v>
      </c>
      <c r="E1837" s="4">
        <v>955</v>
      </c>
      <c r="F1837" s="4">
        <v>3.274</v>
      </c>
      <c r="G1837" s="4">
        <v>3126.67</v>
      </c>
      <c r="H1837" s="5">
        <f t="shared" si="28"/>
        <v>-3.0225612608398267E-3</v>
      </c>
    </row>
    <row r="1838" spans="1:8" ht="13.5" x14ac:dyDescent="0.25">
      <c r="A1838" s="1"/>
      <c r="B1838" s="3">
        <v>44974</v>
      </c>
      <c r="C1838" s="4">
        <v>3.28</v>
      </c>
      <c r="D1838" s="4">
        <v>2.7622</v>
      </c>
      <c r="E1838" s="4">
        <v>5076</v>
      </c>
      <c r="F1838" s="4">
        <v>3.2050000000000001</v>
      </c>
      <c r="G1838" s="4">
        <v>16268.58</v>
      </c>
      <c r="H1838" s="5">
        <f t="shared" si="28"/>
        <v>-3.0678167971993262E-3</v>
      </c>
    </row>
    <row r="1839" spans="1:8" ht="13.5" x14ac:dyDescent="0.25">
      <c r="A1839" s="1"/>
      <c r="B1839" s="3">
        <v>44977</v>
      </c>
      <c r="C1839" s="4">
        <v>3.33</v>
      </c>
      <c r="D1839" s="4">
        <v>2.8043</v>
      </c>
      <c r="E1839" s="4">
        <v>8694</v>
      </c>
      <c r="F1839" s="4">
        <v>3.3109999999999999</v>
      </c>
      <c r="G1839" s="4">
        <v>28785.833999999999</v>
      </c>
      <c r="H1839" s="5">
        <f t="shared" si="28"/>
        <v>1.5241474187242064E-2</v>
      </c>
    </row>
    <row r="1840" spans="1:8" ht="13.5" x14ac:dyDescent="0.25">
      <c r="A1840" s="1"/>
      <c r="B1840" s="3">
        <v>44978</v>
      </c>
      <c r="C1840" s="4">
        <v>3.38</v>
      </c>
      <c r="D1840" s="4">
        <v>2.8464999999999998</v>
      </c>
      <c r="E1840" s="4">
        <v>6140</v>
      </c>
      <c r="F1840" s="4">
        <v>3.3839999999999999</v>
      </c>
      <c r="G1840" s="4">
        <v>20777.759999999998</v>
      </c>
      <c r="H1840" s="5">
        <f t="shared" si="28"/>
        <v>1.5048318653496342E-2</v>
      </c>
    </row>
    <row r="1841" spans="1:8" ht="13.5" x14ac:dyDescent="0.25">
      <c r="A1841" s="1"/>
      <c r="B1841" s="3">
        <v>44979</v>
      </c>
      <c r="C1841" s="4">
        <v>3.37</v>
      </c>
      <c r="D1841" s="4">
        <v>2.8380000000000001</v>
      </c>
      <c r="E1841" s="4">
        <v>2355</v>
      </c>
      <c r="F1841" s="4">
        <v>3.3079999999999998</v>
      </c>
      <c r="G1841" s="4">
        <v>7790.34</v>
      </c>
      <c r="H1841" s="5">
        <f t="shared" si="28"/>
        <v>-2.9861233093271492E-3</v>
      </c>
    </row>
    <row r="1842" spans="1:8" ht="13.5" x14ac:dyDescent="0.25">
      <c r="A1842" s="1"/>
      <c r="B1842" s="3">
        <v>44980</v>
      </c>
      <c r="C1842" s="4">
        <v>3.28</v>
      </c>
      <c r="D1842" s="4">
        <v>2.7622</v>
      </c>
      <c r="E1842" s="4">
        <v>4371</v>
      </c>
      <c r="F1842" s="4">
        <v>3.274</v>
      </c>
      <c r="G1842" s="4">
        <v>14310.654</v>
      </c>
      <c r="H1842" s="5">
        <f t="shared" si="28"/>
        <v>-2.6708949964763948E-2</v>
      </c>
    </row>
    <row r="1843" spans="1:8" ht="13.5" x14ac:dyDescent="0.25">
      <c r="A1843" s="1"/>
      <c r="B1843" s="3">
        <v>44981</v>
      </c>
      <c r="C1843" s="4">
        <v>3.33</v>
      </c>
      <c r="D1843" s="4">
        <v>2.8043</v>
      </c>
      <c r="E1843" s="4">
        <v>408</v>
      </c>
      <c r="F1843" s="4">
        <v>3.2949999999999999</v>
      </c>
      <c r="G1843" s="4">
        <v>1344.36</v>
      </c>
      <c r="H1843" s="5">
        <f t="shared" si="28"/>
        <v>1.5241474187242064E-2</v>
      </c>
    </row>
    <row r="1844" spans="1:8" ht="13.5" x14ac:dyDescent="0.25">
      <c r="A1844" s="1"/>
      <c r="B1844" s="3">
        <v>44984</v>
      </c>
      <c r="C1844" s="4">
        <v>3.38</v>
      </c>
      <c r="D1844" s="4">
        <v>2.8464999999999998</v>
      </c>
      <c r="E1844" s="4">
        <v>831</v>
      </c>
      <c r="F1844" s="4">
        <v>3.38</v>
      </c>
      <c r="G1844" s="4">
        <v>2808.78</v>
      </c>
      <c r="H1844" s="5">
        <f t="shared" si="28"/>
        <v>1.5048318653496342E-2</v>
      </c>
    </row>
    <row r="1845" spans="1:8" ht="13.5" x14ac:dyDescent="0.25">
      <c r="A1845" s="1"/>
      <c r="B1845" s="3">
        <v>44985</v>
      </c>
      <c r="C1845" s="4">
        <v>3.34</v>
      </c>
      <c r="D1845" s="4">
        <v>2.8128000000000002</v>
      </c>
      <c r="E1845" s="4">
        <v>611</v>
      </c>
      <c r="F1845" s="4">
        <v>3.2770000000000001</v>
      </c>
      <c r="G1845" s="4">
        <v>2002.2470000000001</v>
      </c>
      <c r="H1845" s="5">
        <f t="shared" si="28"/>
        <v>-1.1839100649920822E-2</v>
      </c>
    </row>
    <row r="1846" spans="1:8" ht="13.5" x14ac:dyDescent="0.25">
      <c r="A1846" s="1"/>
      <c r="B1846" s="3">
        <v>44986</v>
      </c>
      <c r="C1846" s="4">
        <v>3.32</v>
      </c>
      <c r="D1846" s="4">
        <v>2.7959000000000001</v>
      </c>
      <c r="E1846" s="4">
        <v>689</v>
      </c>
      <c r="F1846" s="4">
        <v>3.2719999999999998</v>
      </c>
      <c r="G1846" s="4">
        <v>2254.4079999999999</v>
      </c>
      <c r="H1846" s="5">
        <f t="shared" si="28"/>
        <v>-6.0082480091012995E-3</v>
      </c>
    </row>
    <row r="1847" spans="1:8" ht="13.5" x14ac:dyDescent="0.25">
      <c r="A1847" s="1"/>
      <c r="B1847" s="3">
        <v>44987</v>
      </c>
      <c r="C1847" s="4">
        <v>3.22</v>
      </c>
      <c r="D1847" s="4">
        <v>2.7117</v>
      </c>
      <c r="E1847" s="4">
        <v>468</v>
      </c>
      <c r="F1847" s="4">
        <v>3.2330000000000001</v>
      </c>
      <c r="G1847" s="4">
        <v>1513.0440000000001</v>
      </c>
      <c r="H1847" s="5">
        <f t="shared" si="28"/>
        <v>-3.0115526306377212E-2</v>
      </c>
    </row>
    <row r="1848" spans="1:8" ht="13.5" x14ac:dyDescent="0.25">
      <c r="A1848" s="1"/>
      <c r="B1848" s="3">
        <v>44988</v>
      </c>
      <c r="C1848" s="4">
        <v>3.25</v>
      </c>
      <c r="D1848" s="4">
        <v>2.7370000000000001</v>
      </c>
      <c r="E1848" s="4">
        <v>31</v>
      </c>
      <c r="F1848" s="4">
        <v>3.2549999999999999</v>
      </c>
      <c r="G1848" s="4">
        <v>100.905</v>
      </c>
      <c r="H1848" s="5">
        <f t="shared" si="28"/>
        <v>9.3299406276505879E-3</v>
      </c>
    </row>
    <row r="1849" spans="1:8" ht="13.5" x14ac:dyDescent="0.25">
      <c r="A1849" s="1"/>
      <c r="B1849" s="3">
        <v>44991</v>
      </c>
      <c r="C1849" s="4">
        <v>3.33</v>
      </c>
      <c r="D1849" s="4">
        <v>2.8043</v>
      </c>
      <c r="E1849" s="4">
        <v>3</v>
      </c>
      <c r="F1849" s="4">
        <v>3.33</v>
      </c>
      <c r="G1849" s="4">
        <v>9.99</v>
      </c>
      <c r="H1849" s="5">
        <f t="shared" si="28"/>
        <v>2.4588966021191053E-2</v>
      </c>
    </row>
    <row r="1850" spans="1:8" ht="13.5" x14ac:dyDescent="0.25">
      <c r="A1850" s="1"/>
      <c r="B1850" s="3">
        <v>44992</v>
      </c>
      <c r="C1850" s="4">
        <v>3.24</v>
      </c>
      <c r="D1850" s="4">
        <v>2.7286000000000001</v>
      </c>
      <c r="E1850" s="4">
        <v>4323</v>
      </c>
      <c r="F1850" s="4">
        <v>3.242</v>
      </c>
      <c r="G1850" s="4">
        <v>14015.165999999999</v>
      </c>
      <c r="H1850" s="5">
        <f t="shared" si="28"/>
        <v>-2.6994258816816989E-2</v>
      </c>
    </row>
    <row r="1851" spans="1:8" ht="13.5" x14ac:dyDescent="0.25">
      <c r="A1851" s="1"/>
      <c r="B1851" s="3">
        <v>44993</v>
      </c>
      <c r="C1851" s="4">
        <v>3.24</v>
      </c>
      <c r="D1851" s="4">
        <v>2.7286000000000001</v>
      </c>
      <c r="E1851" s="4">
        <v>208</v>
      </c>
      <c r="F1851" s="4">
        <v>3.2</v>
      </c>
      <c r="G1851" s="4">
        <v>665.6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3.22</v>
      </c>
      <c r="D1852" s="4">
        <v>2.7117</v>
      </c>
      <c r="E1852" s="4">
        <v>2641</v>
      </c>
      <c r="F1852" s="4">
        <v>3.16</v>
      </c>
      <c r="G1852" s="4">
        <v>8345.56</v>
      </c>
      <c r="H1852" s="5">
        <f t="shared" si="28"/>
        <v>-6.1936524224877722E-3</v>
      </c>
    </row>
    <row r="1853" spans="1:8" ht="13.5" x14ac:dyDescent="0.25">
      <c r="A1853" s="1"/>
      <c r="B1853" s="3">
        <v>44995</v>
      </c>
      <c r="C1853" s="4">
        <v>3.2</v>
      </c>
      <c r="D1853" s="4">
        <v>2.6949000000000001</v>
      </c>
      <c r="E1853" s="4">
        <v>518</v>
      </c>
      <c r="F1853" s="4">
        <v>3.1680000000000001</v>
      </c>
      <c r="G1853" s="4">
        <v>1641.0239999999999</v>
      </c>
      <c r="H1853" s="5">
        <f t="shared" si="28"/>
        <v>-6.1953755946453984E-3</v>
      </c>
    </row>
    <row r="1854" spans="1:8" ht="13.5" x14ac:dyDescent="0.25">
      <c r="A1854" s="1"/>
      <c r="B1854" s="3">
        <v>44998</v>
      </c>
      <c r="C1854" s="4">
        <v>3.19</v>
      </c>
      <c r="D1854" s="4">
        <v>2.6863999999999999</v>
      </c>
      <c r="E1854" s="4">
        <v>651</v>
      </c>
      <c r="F1854" s="4">
        <v>3.1509999999999998</v>
      </c>
      <c r="G1854" s="4">
        <v>2051.3009999999999</v>
      </c>
      <c r="H1854" s="5">
        <f t="shared" si="28"/>
        <v>-3.1541059037441736E-3</v>
      </c>
    </row>
    <row r="1855" spans="1:8" ht="13.5" x14ac:dyDescent="0.25">
      <c r="A1855" s="1"/>
      <c r="B1855" s="3">
        <v>44999</v>
      </c>
      <c r="C1855" s="4">
        <v>3.16</v>
      </c>
      <c r="D1855" s="4">
        <v>2.6612</v>
      </c>
      <c r="E1855" s="4">
        <v>1525</v>
      </c>
      <c r="F1855" s="4">
        <v>3.101</v>
      </c>
      <c r="G1855" s="4">
        <v>4729.0249999999996</v>
      </c>
      <c r="H1855" s="5">
        <f t="shared" si="28"/>
        <v>-9.3805836807623177E-3</v>
      </c>
    </row>
    <row r="1856" spans="1:8" ht="13.5" x14ac:dyDescent="0.25">
      <c r="A1856" s="1"/>
      <c r="B1856" s="3">
        <v>45000</v>
      </c>
      <c r="C1856" s="4">
        <v>3.16</v>
      </c>
      <c r="D1856" s="4">
        <v>2.6612</v>
      </c>
      <c r="E1856" s="4">
        <v>3010</v>
      </c>
      <c r="F1856" s="4">
        <v>3.1520000000000001</v>
      </c>
      <c r="G1856" s="4">
        <v>9487.52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3.24</v>
      </c>
      <c r="D1857" s="4">
        <v>2.7286000000000001</v>
      </c>
      <c r="E1857" s="4">
        <v>1</v>
      </c>
      <c r="F1857" s="4">
        <v>3.24</v>
      </c>
      <c r="G1857" s="4">
        <v>3.24</v>
      </c>
      <c r="H1857" s="5">
        <f t="shared" si="28"/>
        <v>2.5326920186382131E-2</v>
      </c>
    </row>
    <row r="1858" spans="1:8" ht="13.5" x14ac:dyDescent="0.25">
      <c r="A1858" s="1"/>
      <c r="B1858" s="3">
        <v>45002</v>
      </c>
      <c r="C1858" s="4">
        <v>3.24</v>
      </c>
      <c r="D1858" s="4">
        <v>2.7286000000000001</v>
      </c>
      <c r="E1858" s="4">
        <v>4035</v>
      </c>
      <c r="F1858" s="4">
        <v>3.2120000000000002</v>
      </c>
      <c r="G1858" s="4">
        <v>12960.42</v>
      </c>
      <c r="H1858" s="5">
        <f t="shared" si="28"/>
        <v>0</v>
      </c>
    </row>
    <row r="1859" spans="1:8" ht="13.5" x14ac:dyDescent="0.25">
      <c r="A1859" s="1"/>
      <c r="B1859" s="3">
        <v>45006</v>
      </c>
      <c r="C1859" s="4">
        <v>3.12</v>
      </c>
      <c r="D1859" s="4">
        <v>2.6274999999999999</v>
      </c>
      <c r="E1859" s="4">
        <v>200</v>
      </c>
      <c r="F1859" s="4">
        <v>3.12</v>
      </c>
      <c r="G1859" s="4">
        <v>624</v>
      </c>
      <c r="H1859" s="5">
        <f t="shared" si="28"/>
        <v>-3.7051968042219524E-2</v>
      </c>
    </row>
    <row r="1860" spans="1:8" ht="13.5" x14ac:dyDescent="0.25">
      <c r="A1860" s="1"/>
      <c r="B1860" s="3">
        <v>45007</v>
      </c>
      <c r="C1860" s="4">
        <v>3.3</v>
      </c>
      <c r="D1860" s="4">
        <v>2.7791000000000001</v>
      </c>
      <c r="E1860" s="4">
        <v>13362</v>
      </c>
      <c r="F1860" s="4">
        <v>3.2770000000000001</v>
      </c>
      <c r="G1860" s="4">
        <v>43787.273999999998</v>
      </c>
      <c r="H1860" s="5">
        <f t="shared" si="28"/>
        <v>5.7697431018078088E-2</v>
      </c>
    </row>
    <row r="1861" spans="1:8" ht="13.5" x14ac:dyDescent="0.25">
      <c r="A1861" s="1"/>
      <c r="B1861" s="3">
        <v>45008</v>
      </c>
      <c r="C1861" s="4">
        <v>3.32</v>
      </c>
      <c r="D1861" s="4">
        <v>2.7959000000000001</v>
      </c>
      <c r="E1861" s="4">
        <v>10131</v>
      </c>
      <c r="F1861" s="4">
        <v>3.3090000000000002</v>
      </c>
      <c r="G1861" s="4">
        <v>33523.478999999999</v>
      </c>
      <c r="H1861" s="5">
        <f t="shared" si="28"/>
        <v>6.0451225216796535E-3</v>
      </c>
    </row>
    <row r="1862" spans="1:8" ht="13.5" x14ac:dyDescent="0.25">
      <c r="A1862" s="1"/>
      <c r="B1862" s="3">
        <v>45009</v>
      </c>
      <c r="C1862" s="4">
        <v>3.41</v>
      </c>
      <c r="D1862" s="4">
        <v>2.8717000000000001</v>
      </c>
      <c r="E1862" s="4">
        <v>7864</v>
      </c>
      <c r="F1862" s="4">
        <v>3.42</v>
      </c>
      <c r="G1862" s="4">
        <v>26894.880000000001</v>
      </c>
      <c r="H1862" s="5">
        <f t="shared" si="28"/>
        <v>2.7111127007403729E-2</v>
      </c>
    </row>
    <row r="1863" spans="1:8" ht="13.5" x14ac:dyDescent="0.25">
      <c r="A1863" s="1"/>
      <c r="B1863" s="3">
        <v>45012</v>
      </c>
      <c r="C1863" s="4">
        <v>3.4</v>
      </c>
      <c r="D1863" s="4">
        <v>2.8633000000000002</v>
      </c>
      <c r="E1863" s="4">
        <v>3773</v>
      </c>
      <c r="F1863" s="4">
        <v>3.4079999999999999</v>
      </c>
      <c r="G1863" s="4">
        <v>12858.384</v>
      </c>
      <c r="H1863" s="5">
        <f t="shared" ref="H1863:H1926" si="29">(D1863-D1862)/D1862</f>
        <v>-2.9250966326566014E-3</v>
      </c>
    </row>
    <row r="1864" spans="1:8" ht="13.5" x14ac:dyDescent="0.25">
      <c r="A1864" s="1"/>
      <c r="B1864" s="3">
        <v>45013</v>
      </c>
      <c r="C1864" s="4">
        <v>3.44</v>
      </c>
      <c r="D1864" s="4">
        <v>2.8969999999999998</v>
      </c>
      <c r="E1864" s="4">
        <v>317</v>
      </c>
      <c r="F1864" s="4">
        <v>3.3210000000000002</v>
      </c>
      <c r="G1864" s="4">
        <v>1052.7570000000001</v>
      </c>
      <c r="H1864" s="5">
        <f t="shared" si="29"/>
        <v>1.1769636433485704E-2</v>
      </c>
    </row>
    <row r="1865" spans="1:8" ht="13.5" x14ac:dyDescent="0.25">
      <c r="A1865" s="1"/>
      <c r="B1865" s="3">
        <v>45014</v>
      </c>
      <c r="C1865" s="4">
        <v>3.35</v>
      </c>
      <c r="D1865" s="4">
        <v>2.8212000000000002</v>
      </c>
      <c r="E1865" s="4">
        <v>260</v>
      </c>
      <c r="F1865" s="4">
        <v>3.35</v>
      </c>
      <c r="G1865" s="4">
        <v>871</v>
      </c>
      <c r="H1865" s="5">
        <f t="shared" si="29"/>
        <v>-2.616499827407651E-2</v>
      </c>
    </row>
    <row r="1866" spans="1:8" ht="13.5" x14ac:dyDescent="0.25">
      <c r="A1866" s="1"/>
      <c r="B1866" s="3">
        <v>45015</v>
      </c>
      <c r="C1866" s="4">
        <v>3.4</v>
      </c>
      <c r="D1866" s="4">
        <v>2.8633000000000002</v>
      </c>
      <c r="E1866" s="4">
        <v>3591</v>
      </c>
      <c r="F1866" s="4">
        <v>3.3410000000000002</v>
      </c>
      <c r="G1866" s="4">
        <v>11997.531000000001</v>
      </c>
      <c r="H1866" s="5">
        <f t="shared" si="29"/>
        <v>1.4922727917198364E-2</v>
      </c>
    </row>
    <row r="1867" spans="1:8" ht="13.5" x14ac:dyDescent="0.25">
      <c r="A1867" s="1"/>
      <c r="B1867" s="3">
        <v>45016</v>
      </c>
      <c r="C1867" s="4">
        <v>3.38</v>
      </c>
      <c r="D1867" s="4">
        <v>2.8464999999999998</v>
      </c>
      <c r="E1867" s="4">
        <v>9720</v>
      </c>
      <c r="F1867" s="4">
        <v>3.3180000000000001</v>
      </c>
      <c r="G1867" s="4">
        <v>32250.959999999999</v>
      </c>
      <c r="H1867" s="5">
        <f t="shared" si="29"/>
        <v>-5.8673558481473712E-3</v>
      </c>
    </row>
    <row r="1868" spans="1:8" ht="13.5" x14ac:dyDescent="0.25">
      <c r="A1868" s="1"/>
      <c r="B1868" s="3">
        <v>45019</v>
      </c>
      <c r="C1868" s="4">
        <v>3.4</v>
      </c>
      <c r="D1868" s="4">
        <v>2.8633000000000002</v>
      </c>
      <c r="E1868" s="4">
        <v>4175</v>
      </c>
      <c r="F1868" s="4">
        <v>3.351</v>
      </c>
      <c r="G1868" s="4">
        <v>13990.424999999999</v>
      </c>
      <c r="H1868" s="5">
        <f t="shared" si="29"/>
        <v>5.9019848937292719E-3</v>
      </c>
    </row>
    <row r="1869" spans="1:8" ht="13.5" x14ac:dyDescent="0.25">
      <c r="A1869" s="1"/>
      <c r="B1869" s="3">
        <v>45020</v>
      </c>
      <c r="C1869" s="4">
        <v>3.41</v>
      </c>
      <c r="D1869" s="4">
        <v>2.8717000000000001</v>
      </c>
      <c r="E1869" s="4">
        <v>15687</v>
      </c>
      <c r="F1869" s="4">
        <v>3.419</v>
      </c>
      <c r="G1869" s="4">
        <v>53633.853000000003</v>
      </c>
      <c r="H1869" s="5">
        <f t="shared" si="29"/>
        <v>2.9336779240736084E-3</v>
      </c>
    </row>
    <row r="1870" spans="1:8" ht="13.5" x14ac:dyDescent="0.25">
      <c r="A1870" s="1"/>
      <c r="B1870" s="3">
        <v>45021</v>
      </c>
      <c r="C1870" s="4">
        <v>3.49</v>
      </c>
      <c r="D1870" s="4">
        <v>2.9390999999999998</v>
      </c>
      <c r="E1870" s="4">
        <v>16717</v>
      </c>
      <c r="F1870" s="4">
        <v>3.4649999999999999</v>
      </c>
      <c r="G1870" s="4">
        <v>57924.404999999999</v>
      </c>
      <c r="H1870" s="5">
        <f t="shared" si="29"/>
        <v>2.34704182191732E-2</v>
      </c>
    </row>
    <row r="1871" spans="1:8" ht="13.5" x14ac:dyDescent="0.25">
      <c r="A1871" s="1"/>
      <c r="B1871" s="3">
        <v>45022</v>
      </c>
      <c r="C1871" s="4">
        <v>3.6</v>
      </c>
      <c r="D1871" s="4">
        <v>3.0316999999999998</v>
      </c>
      <c r="E1871" s="4">
        <v>16922</v>
      </c>
      <c r="F1871" s="4">
        <v>3.5550000000000002</v>
      </c>
      <c r="G1871" s="4">
        <v>60157.71</v>
      </c>
      <c r="H1871" s="5">
        <f t="shared" si="29"/>
        <v>3.1506243407845948E-2</v>
      </c>
    </row>
    <row r="1872" spans="1:8" ht="13.5" x14ac:dyDescent="0.25">
      <c r="A1872" s="1"/>
      <c r="B1872" s="3">
        <v>45023</v>
      </c>
      <c r="C1872" s="4">
        <v>3.71</v>
      </c>
      <c r="D1872" s="4">
        <v>3.1244000000000001</v>
      </c>
      <c r="E1872" s="4">
        <v>30587</v>
      </c>
      <c r="F1872" s="4">
        <v>3.6440000000000001</v>
      </c>
      <c r="G1872" s="4">
        <v>111459.02800000001</v>
      </c>
      <c r="H1872" s="5">
        <f t="shared" si="29"/>
        <v>3.0576904047234302E-2</v>
      </c>
    </row>
    <row r="1873" spans="1:8" ht="13.5" x14ac:dyDescent="0.25">
      <c r="A1873" s="1"/>
      <c r="B1873" s="3">
        <v>45026</v>
      </c>
      <c r="C1873" s="4">
        <v>3.65</v>
      </c>
      <c r="D1873" s="4">
        <v>3.0737999999999999</v>
      </c>
      <c r="E1873" s="4">
        <v>560</v>
      </c>
      <c r="F1873" s="4">
        <v>3.6419999999999999</v>
      </c>
      <c r="G1873" s="4">
        <v>2039.52</v>
      </c>
      <c r="H1873" s="5">
        <f t="shared" si="29"/>
        <v>-1.6195109461016578E-2</v>
      </c>
    </row>
    <row r="1874" spans="1:8" ht="13.5" x14ac:dyDescent="0.25">
      <c r="A1874" s="1"/>
      <c r="B1874" s="3">
        <v>45027</v>
      </c>
      <c r="C1874" s="4">
        <v>3.67</v>
      </c>
      <c r="D1874" s="4">
        <v>3.0907</v>
      </c>
      <c r="E1874" s="4">
        <v>1479</v>
      </c>
      <c r="F1874" s="4">
        <v>3.57</v>
      </c>
      <c r="G1874" s="4">
        <v>5280.03</v>
      </c>
      <c r="H1874" s="5">
        <f t="shared" si="29"/>
        <v>5.498080551760081E-3</v>
      </c>
    </row>
    <row r="1875" spans="1:8" ht="13.5" x14ac:dyDescent="0.25">
      <c r="A1875" s="1"/>
      <c r="B1875" s="3">
        <v>45028</v>
      </c>
      <c r="C1875" s="4">
        <v>3.67</v>
      </c>
      <c r="D1875" s="4">
        <v>3.0907</v>
      </c>
      <c r="E1875" s="4">
        <v>2</v>
      </c>
      <c r="F1875" s="4">
        <v>3.67</v>
      </c>
      <c r="G1875" s="4">
        <v>7.34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3.55</v>
      </c>
      <c r="D1876" s="4">
        <v>2.9895999999999998</v>
      </c>
      <c r="E1876" s="4">
        <v>5488</v>
      </c>
      <c r="F1876" s="4">
        <v>3.5510000000000002</v>
      </c>
      <c r="G1876" s="4">
        <v>19487.887999999999</v>
      </c>
      <c r="H1876" s="5">
        <f t="shared" si="29"/>
        <v>-3.2711036334810949E-2</v>
      </c>
    </row>
    <row r="1877" spans="1:8" ht="13.5" x14ac:dyDescent="0.25">
      <c r="A1877" s="1"/>
      <c r="B1877" s="3">
        <v>45030</v>
      </c>
      <c r="C1877" s="4">
        <v>3.6</v>
      </c>
      <c r="D1877" s="4">
        <v>3.0316999999999998</v>
      </c>
      <c r="E1877" s="4">
        <v>17225</v>
      </c>
      <c r="F1877" s="4">
        <v>3.5640000000000001</v>
      </c>
      <c r="G1877" s="4">
        <v>61389.9</v>
      </c>
      <c r="H1877" s="5">
        <f t="shared" si="29"/>
        <v>1.4082151458389092E-2</v>
      </c>
    </row>
    <row r="1878" spans="1:8" ht="13.5" x14ac:dyDescent="0.25">
      <c r="A1878" s="1"/>
      <c r="B1878" s="3">
        <v>45033</v>
      </c>
      <c r="C1878" s="4">
        <v>3.65</v>
      </c>
      <c r="D1878" s="4">
        <v>3.0737999999999999</v>
      </c>
      <c r="E1878" s="4">
        <v>6513</v>
      </c>
      <c r="F1878" s="4">
        <v>3.625</v>
      </c>
      <c r="G1878" s="4">
        <v>23609.625</v>
      </c>
      <c r="H1878" s="5">
        <f t="shared" si="29"/>
        <v>1.3886598278193761E-2</v>
      </c>
    </row>
    <row r="1879" spans="1:8" ht="13.5" x14ac:dyDescent="0.25">
      <c r="A1879" s="1"/>
      <c r="B1879" s="3">
        <v>45034</v>
      </c>
      <c r="C1879" s="4">
        <v>3.66</v>
      </c>
      <c r="D1879" s="4">
        <v>3.0823</v>
      </c>
      <c r="E1879" s="4">
        <v>2440</v>
      </c>
      <c r="F1879" s="4">
        <v>3.6549999999999998</v>
      </c>
      <c r="G1879" s="4">
        <v>8918.2000000000007</v>
      </c>
      <c r="H1879" s="5">
        <f t="shared" si="29"/>
        <v>2.7653067863882409E-3</v>
      </c>
    </row>
    <row r="1880" spans="1:8" ht="13.5" x14ac:dyDescent="0.25">
      <c r="A1880" s="1"/>
      <c r="B1880" s="3">
        <v>45035</v>
      </c>
      <c r="C1880" s="4">
        <v>3.57</v>
      </c>
      <c r="D1880" s="4">
        <v>3.0065</v>
      </c>
      <c r="E1880" s="4">
        <v>8610</v>
      </c>
      <c r="F1880" s="4">
        <v>3.58</v>
      </c>
      <c r="G1880" s="4">
        <v>30823.8</v>
      </c>
      <c r="H1880" s="5">
        <f t="shared" si="29"/>
        <v>-2.4592025435551404E-2</v>
      </c>
    </row>
    <row r="1881" spans="1:8" ht="13.5" x14ac:dyDescent="0.25">
      <c r="A1881" s="1"/>
      <c r="B1881" s="3">
        <v>45036</v>
      </c>
      <c r="C1881" s="4">
        <v>3.57</v>
      </c>
      <c r="D1881" s="4">
        <v>3.0065</v>
      </c>
      <c r="E1881" s="4">
        <v>3260</v>
      </c>
      <c r="F1881" s="4">
        <v>3.5670000000000002</v>
      </c>
      <c r="G1881" s="4">
        <v>11628.42</v>
      </c>
      <c r="H1881" s="5">
        <f t="shared" si="29"/>
        <v>0</v>
      </c>
    </row>
    <row r="1882" spans="1:8" ht="13.5" x14ac:dyDescent="0.25">
      <c r="A1882" s="1"/>
      <c r="B1882" s="3">
        <v>45040</v>
      </c>
      <c r="C1882" s="4">
        <v>3.65</v>
      </c>
      <c r="D1882" s="4">
        <v>3.0737999999999999</v>
      </c>
      <c r="E1882" s="4">
        <v>4735</v>
      </c>
      <c r="F1882" s="4">
        <v>3.6080000000000001</v>
      </c>
      <c r="G1882" s="4">
        <v>17083.88</v>
      </c>
      <c r="H1882" s="5">
        <f t="shared" si="29"/>
        <v>2.2384832862132019E-2</v>
      </c>
    </row>
    <row r="1883" spans="1:8" ht="13.5" x14ac:dyDescent="0.25">
      <c r="A1883" s="1"/>
      <c r="B1883" s="3">
        <v>45041</v>
      </c>
      <c r="C1883" s="4">
        <v>3.81</v>
      </c>
      <c r="D1883" s="4">
        <v>3.2086000000000001</v>
      </c>
      <c r="E1883" s="4">
        <v>25797</v>
      </c>
      <c r="F1883" s="4">
        <v>3.7429999999999999</v>
      </c>
      <c r="G1883" s="4">
        <v>96558.171000000002</v>
      </c>
      <c r="H1883" s="5">
        <f t="shared" si="29"/>
        <v>4.3854512330015048E-2</v>
      </c>
    </row>
    <row r="1884" spans="1:8" ht="13.5" x14ac:dyDescent="0.25">
      <c r="A1884" s="1"/>
      <c r="B1884" s="3">
        <v>45042</v>
      </c>
      <c r="C1884" s="4">
        <v>3.8</v>
      </c>
      <c r="D1884" s="4">
        <v>3.2002000000000002</v>
      </c>
      <c r="E1884" s="4">
        <v>10537</v>
      </c>
      <c r="F1884" s="4">
        <v>3.8210000000000002</v>
      </c>
      <c r="G1884" s="4">
        <v>40261.877</v>
      </c>
      <c r="H1884" s="5">
        <f t="shared" si="29"/>
        <v>-2.6179642211556324E-3</v>
      </c>
    </row>
    <row r="1885" spans="1:8" ht="13.5" x14ac:dyDescent="0.25">
      <c r="A1885" s="1"/>
      <c r="B1885" s="3">
        <v>45043</v>
      </c>
      <c r="C1885" s="4">
        <v>3.88</v>
      </c>
      <c r="D1885" s="4">
        <v>3.2675000000000001</v>
      </c>
      <c r="E1885" s="4">
        <v>49804</v>
      </c>
      <c r="F1885" s="4">
        <v>3.8839999999999999</v>
      </c>
      <c r="G1885" s="4">
        <v>193438.736</v>
      </c>
      <c r="H1885" s="5">
        <f t="shared" si="29"/>
        <v>2.102993562902316E-2</v>
      </c>
    </row>
    <row r="1886" spans="1:8" ht="13.5" x14ac:dyDescent="0.25">
      <c r="A1886" s="1"/>
      <c r="B1886" s="3">
        <v>45044</v>
      </c>
      <c r="C1886" s="4">
        <v>3.86</v>
      </c>
      <c r="D1886" s="4">
        <v>3.2507000000000001</v>
      </c>
      <c r="E1886" s="4">
        <v>1090</v>
      </c>
      <c r="F1886" s="4">
        <v>3.8220000000000001</v>
      </c>
      <c r="G1886" s="4">
        <v>4165.9799999999996</v>
      </c>
      <c r="H1886" s="5">
        <f t="shared" si="29"/>
        <v>-5.1415455241009718E-3</v>
      </c>
    </row>
    <row r="1887" spans="1:8" ht="13.5" x14ac:dyDescent="0.25">
      <c r="A1887" s="1"/>
      <c r="B1887" s="3">
        <v>45048</v>
      </c>
      <c r="C1887" s="4">
        <v>3.8</v>
      </c>
      <c r="D1887" s="4">
        <v>3.2002000000000002</v>
      </c>
      <c r="E1887" s="4">
        <v>3433</v>
      </c>
      <c r="F1887" s="4">
        <v>3.8050000000000002</v>
      </c>
      <c r="G1887" s="4">
        <v>13062.565000000001</v>
      </c>
      <c r="H1887" s="5">
        <f t="shared" si="29"/>
        <v>-1.5535115513581686E-2</v>
      </c>
    </row>
    <row r="1888" spans="1:8" ht="13.5" x14ac:dyDescent="0.25">
      <c r="A1888" s="1"/>
      <c r="B1888" s="3">
        <v>45049</v>
      </c>
      <c r="C1888" s="4">
        <v>3.74</v>
      </c>
      <c r="D1888" s="4">
        <v>3.1496</v>
      </c>
      <c r="E1888" s="4">
        <v>11008</v>
      </c>
      <c r="F1888" s="4">
        <v>3.7040000000000002</v>
      </c>
      <c r="G1888" s="4">
        <v>40773.631999999998</v>
      </c>
      <c r="H1888" s="5">
        <f t="shared" si="29"/>
        <v>-1.5811511780513779E-2</v>
      </c>
    </row>
    <row r="1889" spans="1:8" ht="13.5" x14ac:dyDescent="0.25">
      <c r="A1889" s="1"/>
      <c r="B1889" s="3">
        <v>45050</v>
      </c>
      <c r="C1889" s="4">
        <v>3.7</v>
      </c>
      <c r="D1889" s="4">
        <v>3.1158999999999999</v>
      </c>
      <c r="E1889" s="4">
        <v>1907</v>
      </c>
      <c r="F1889" s="4">
        <v>3.702</v>
      </c>
      <c r="G1889" s="4">
        <v>7059.7139999999999</v>
      </c>
      <c r="H1889" s="5">
        <f t="shared" si="29"/>
        <v>-1.0699771399542819E-2</v>
      </c>
    </row>
    <row r="1890" spans="1:8" ht="13.5" x14ac:dyDescent="0.25">
      <c r="A1890" s="1"/>
      <c r="B1890" s="3">
        <v>45051</v>
      </c>
      <c r="C1890" s="4">
        <v>3.75</v>
      </c>
      <c r="D1890" s="4">
        <v>3.1579999999999999</v>
      </c>
      <c r="E1890" s="4">
        <v>3905</v>
      </c>
      <c r="F1890" s="4">
        <v>3.6760000000000002</v>
      </c>
      <c r="G1890" s="4">
        <v>14354.78</v>
      </c>
      <c r="H1890" s="5">
        <f t="shared" si="29"/>
        <v>1.3511345036747016E-2</v>
      </c>
    </row>
    <row r="1891" spans="1:8" ht="13.5" x14ac:dyDescent="0.25">
      <c r="A1891" s="1"/>
      <c r="B1891" s="3">
        <v>45054</v>
      </c>
      <c r="C1891" s="4">
        <v>3.74</v>
      </c>
      <c r="D1891" s="4">
        <v>3.1496</v>
      </c>
      <c r="E1891" s="4">
        <v>10092</v>
      </c>
      <c r="F1891" s="4">
        <v>3.702</v>
      </c>
      <c r="G1891" s="4">
        <v>37360.584000000003</v>
      </c>
      <c r="H1891" s="5">
        <f t="shared" si="29"/>
        <v>-2.6599113362887786E-3</v>
      </c>
    </row>
    <row r="1892" spans="1:8" ht="13.5" x14ac:dyDescent="0.25">
      <c r="A1892" s="1"/>
      <c r="B1892" s="3">
        <v>45055</v>
      </c>
      <c r="C1892" s="4">
        <v>3.61</v>
      </c>
      <c r="D1892" s="4">
        <v>3.0400999999999998</v>
      </c>
      <c r="E1892" s="4">
        <v>6874</v>
      </c>
      <c r="F1892" s="4">
        <v>3.6749999999999998</v>
      </c>
      <c r="G1892" s="4">
        <v>25261.95</v>
      </c>
      <c r="H1892" s="5">
        <f t="shared" si="29"/>
        <v>-3.4766319532639117E-2</v>
      </c>
    </row>
    <row r="1893" spans="1:8" ht="13.5" x14ac:dyDescent="0.25">
      <c r="A1893" s="1"/>
      <c r="B1893" s="3">
        <v>45056</v>
      </c>
      <c r="C1893" s="4">
        <v>3.7</v>
      </c>
      <c r="D1893" s="4">
        <v>3.1158999999999999</v>
      </c>
      <c r="E1893" s="4">
        <v>852</v>
      </c>
      <c r="F1893" s="4">
        <v>3.5979999999999999</v>
      </c>
      <c r="G1893" s="4">
        <v>3065.4960000000001</v>
      </c>
      <c r="H1893" s="5">
        <f t="shared" si="29"/>
        <v>2.4933390349001709E-2</v>
      </c>
    </row>
    <row r="1894" spans="1:8" ht="13.5" x14ac:dyDescent="0.25">
      <c r="A1894" s="1"/>
      <c r="B1894" s="3">
        <v>45057</v>
      </c>
      <c r="C1894" s="4">
        <v>3.68</v>
      </c>
      <c r="D1894" s="4">
        <v>3.0991</v>
      </c>
      <c r="E1894" s="4">
        <v>2674</v>
      </c>
      <c r="F1894" s="4">
        <v>3.6539999999999999</v>
      </c>
      <c r="G1894" s="4">
        <v>9770.7960000000003</v>
      </c>
      <c r="H1894" s="5">
        <f t="shared" si="29"/>
        <v>-5.3917006322410626E-3</v>
      </c>
    </row>
    <row r="1895" spans="1:8" ht="13.5" x14ac:dyDescent="0.25">
      <c r="A1895" s="1"/>
      <c r="B1895" s="3">
        <v>45058</v>
      </c>
      <c r="C1895" s="4">
        <v>3.7</v>
      </c>
      <c r="D1895" s="4">
        <v>3.1158999999999999</v>
      </c>
      <c r="E1895" s="4">
        <v>4323</v>
      </c>
      <c r="F1895" s="4">
        <v>3.61</v>
      </c>
      <c r="G1895" s="4">
        <v>15606.03</v>
      </c>
      <c r="H1895" s="5">
        <f t="shared" si="29"/>
        <v>5.4209286567067621E-3</v>
      </c>
    </row>
    <row r="1896" spans="1:8" ht="13.5" x14ac:dyDescent="0.25">
      <c r="A1896" s="1"/>
      <c r="B1896" s="3">
        <v>45061</v>
      </c>
      <c r="C1896" s="4">
        <v>3.69</v>
      </c>
      <c r="D1896" s="4">
        <v>3.1074999999999999</v>
      </c>
      <c r="E1896" s="4">
        <v>706</v>
      </c>
      <c r="F1896" s="4">
        <v>3.65</v>
      </c>
      <c r="G1896" s="4">
        <v>2576.9</v>
      </c>
      <c r="H1896" s="5">
        <f t="shared" si="29"/>
        <v>-2.6958503161205313E-3</v>
      </c>
    </row>
    <row r="1897" spans="1:8" ht="13.5" x14ac:dyDescent="0.25">
      <c r="A1897" s="1"/>
      <c r="B1897" s="3">
        <v>45062</v>
      </c>
      <c r="C1897" s="4">
        <v>3.69</v>
      </c>
      <c r="D1897" s="4">
        <v>3.1074999999999999</v>
      </c>
      <c r="E1897" s="4">
        <v>5262</v>
      </c>
      <c r="F1897" s="4">
        <v>3.7189999999999999</v>
      </c>
      <c r="G1897" s="4">
        <v>19569.378000000001</v>
      </c>
      <c r="H1897" s="5">
        <f t="shared" si="29"/>
        <v>0</v>
      </c>
    </row>
    <row r="1898" spans="1:8" ht="13.5" x14ac:dyDescent="0.25">
      <c r="A1898" s="1"/>
      <c r="B1898" s="3">
        <v>45063</v>
      </c>
      <c r="C1898" s="4">
        <v>3.71</v>
      </c>
      <c r="D1898" s="4">
        <v>3.1244000000000001</v>
      </c>
      <c r="E1898" s="4">
        <v>1397</v>
      </c>
      <c r="F1898" s="4">
        <v>3.645</v>
      </c>
      <c r="G1898" s="4">
        <v>5092.0649999999996</v>
      </c>
      <c r="H1898" s="5">
        <f t="shared" si="29"/>
        <v>5.438455349959819E-3</v>
      </c>
    </row>
    <row r="1899" spans="1:8" ht="13.5" x14ac:dyDescent="0.25">
      <c r="A1899" s="1"/>
      <c r="B1899" s="3">
        <v>45064</v>
      </c>
      <c r="C1899" s="4">
        <v>3.63</v>
      </c>
      <c r="D1899" s="4">
        <v>3.0569999999999999</v>
      </c>
      <c r="E1899" s="4">
        <v>6610</v>
      </c>
      <c r="F1899" s="4">
        <v>3.63</v>
      </c>
      <c r="G1899" s="4">
        <v>23994.3</v>
      </c>
      <c r="H1899" s="5">
        <f t="shared" si="29"/>
        <v>-2.1572141851235477E-2</v>
      </c>
    </row>
    <row r="1900" spans="1:8" ht="13.5" x14ac:dyDescent="0.25">
      <c r="A1900" s="1"/>
      <c r="B1900" s="3">
        <v>45065</v>
      </c>
      <c r="C1900" s="4">
        <v>3.7</v>
      </c>
      <c r="D1900" s="4">
        <v>3.1158999999999999</v>
      </c>
      <c r="E1900" s="4">
        <v>18451</v>
      </c>
      <c r="F1900" s="4">
        <v>3.6509999999999998</v>
      </c>
      <c r="G1900" s="4">
        <v>67364.600999999995</v>
      </c>
      <c r="H1900" s="5">
        <f t="shared" si="29"/>
        <v>1.9267255479227988E-2</v>
      </c>
    </row>
    <row r="1901" spans="1:8" ht="13.5" x14ac:dyDescent="0.25">
      <c r="A1901" s="1"/>
      <c r="B1901" s="3">
        <v>45068</v>
      </c>
      <c r="C1901" s="4">
        <v>3.77</v>
      </c>
      <c r="D1901" s="4">
        <v>3.1749000000000001</v>
      </c>
      <c r="E1901" s="4">
        <v>7073</v>
      </c>
      <c r="F1901" s="4">
        <v>3.722</v>
      </c>
      <c r="G1901" s="4">
        <v>26325.705999999998</v>
      </c>
      <c r="H1901" s="5">
        <f t="shared" si="29"/>
        <v>1.8935139125132439E-2</v>
      </c>
    </row>
    <row r="1902" spans="1:8" ht="13.5" x14ac:dyDescent="0.25">
      <c r="A1902" s="1"/>
      <c r="B1902" s="3">
        <v>45069</v>
      </c>
      <c r="C1902" s="4">
        <v>3.82</v>
      </c>
      <c r="D1902" s="4">
        <v>3.2170000000000001</v>
      </c>
      <c r="E1902" s="4">
        <v>3280</v>
      </c>
      <c r="F1902" s="4">
        <v>3.7869999999999999</v>
      </c>
      <c r="G1902" s="4">
        <v>12421.36</v>
      </c>
      <c r="H1902" s="5">
        <f t="shared" si="29"/>
        <v>1.3260260165674517E-2</v>
      </c>
    </row>
    <row r="1903" spans="1:8" ht="13.5" x14ac:dyDescent="0.25">
      <c r="A1903" s="1"/>
      <c r="B1903" s="3">
        <v>45070</v>
      </c>
      <c r="C1903" s="4">
        <v>3.92</v>
      </c>
      <c r="D1903" s="4">
        <v>3.3012000000000001</v>
      </c>
      <c r="E1903" s="4">
        <v>15813</v>
      </c>
      <c r="F1903" s="4">
        <v>3.8559999999999999</v>
      </c>
      <c r="G1903" s="4">
        <v>60974.928</v>
      </c>
      <c r="H1903" s="5">
        <f t="shared" si="29"/>
        <v>2.6173453528131815E-2</v>
      </c>
    </row>
    <row r="1904" spans="1:8" ht="13.5" x14ac:dyDescent="0.25">
      <c r="A1904" s="1"/>
      <c r="B1904" s="3">
        <v>45071</v>
      </c>
      <c r="C1904" s="4">
        <v>4.1500000000000004</v>
      </c>
      <c r="D1904" s="4">
        <v>3.4948999999999999</v>
      </c>
      <c r="E1904" s="4">
        <v>78891</v>
      </c>
      <c r="F1904" s="4">
        <v>4.0789999999999997</v>
      </c>
      <c r="G1904" s="4">
        <v>321796.38900000002</v>
      </c>
      <c r="H1904" s="5">
        <f t="shared" si="29"/>
        <v>5.8675633103113946E-2</v>
      </c>
    </row>
    <row r="1905" spans="1:8" ht="13.5" x14ac:dyDescent="0.25">
      <c r="A1905" s="1"/>
      <c r="B1905" s="3">
        <v>45072</v>
      </c>
      <c r="C1905" s="4">
        <v>4.3899999999999997</v>
      </c>
      <c r="D1905" s="4">
        <v>3.6970000000000001</v>
      </c>
      <c r="E1905" s="4">
        <v>65124</v>
      </c>
      <c r="F1905" s="4">
        <v>4.3259999999999996</v>
      </c>
      <c r="G1905" s="4">
        <v>281726.424</v>
      </c>
      <c r="H1905" s="5">
        <f t="shared" si="29"/>
        <v>5.7827119517010549E-2</v>
      </c>
    </row>
    <row r="1906" spans="1:8" ht="13.5" x14ac:dyDescent="0.25">
      <c r="A1906" s="1"/>
      <c r="B1906" s="3">
        <v>45075</v>
      </c>
      <c r="C1906" s="4">
        <v>4.32</v>
      </c>
      <c r="D1906" s="4">
        <v>3.6381000000000001</v>
      </c>
      <c r="E1906" s="4">
        <v>37014</v>
      </c>
      <c r="F1906" s="4">
        <v>4.4429999999999996</v>
      </c>
      <c r="G1906" s="4">
        <v>164453.20199999999</v>
      </c>
      <c r="H1906" s="5">
        <f t="shared" si="29"/>
        <v>-1.5931836624289951E-2</v>
      </c>
    </row>
    <row r="1907" spans="1:8" ht="13.5" x14ac:dyDescent="0.25">
      <c r="A1907" s="1"/>
      <c r="B1907" s="3">
        <v>45076</v>
      </c>
      <c r="C1907" s="4">
        <v>4.4000000000000004</v>
      </c>
      <c r="D1907" s="4">
        <v>3.7054</v>
      </c>
      <c r="E1907" s="4">
        <v>20596</v>
      </c>
      <c r="F1907" s="4">
        <v>4.3659999999999997</v>
      </c>
      <c r="G1907" s="4">
        <v>89922.135999999999</v>
      </c>
      <c r="H1907" s="5">
        <f t="shared" si="29"/>
        <v>1.8498666886561644E-2</v>
      </c>
    </row>
    <row r="1908" spans="1:8" ht="13.5" x14ac:dyDescent="0.25">
      <c r="A1908" s="1"/>
      <c r="B1908" s="3">
        <v>45077</v>
      </c>
      <c r="C1908" s="4">
        <v>4.4000000000000004</v>
      </c>
      <c r="D1908" s="4">
        <v>3.7054</v>
      </c>
      <c r="E1908" s="4">
        <v>11745</v>
      </c>
      <c r="F1908" s="4">
        <v>4.4020000000000001</v>
      </c>
      <c r="G1908" s="4">
        <v>51701.49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4.41</v>
      </c>
      <c r="D1909" s="4">
        <v>3.7139000000000002</v>
      </c>
      <c r="E1909" s="4">
        <v>4055</v>
      </c>
      <c r="F1909" s="4">
        <v>4.4000000000000004</v>
      </c>
      <c r="G1909" s="4">
        <v>17842</v>
      </c>
      <c r="H1909" s="5">
        <f t="shared" si="29"/>
        <v>2.293949371188043E-3</v>
      </c>
    </row>
    <row r="1910" spans="1:8" ht="13.5" x14ac:dyDescent="0.25">
      <c r="A1910" s="1"/>
      <c r="B1910" s="3">
        <v>45079</v>
      </c>
      <c r="C1910" s="4">
        <v>4.38</v>
      </c>
      <c r="D1910" s="4">
        <v>3.6886000000000001</v>
      </c>
      <c r="E1910" s="4">
        <v>24668</v>
      </c>
      <c r="F1910" s="4">
        <v>4.38</v>
      </c>
      <c r="G1910" s="4">
        <v>108045.84</v>
      </c>
      <c r="H1910" s="5">
        <f t="shared" si="29"/>
        <v>-6.8122458870729149E-3</v>
      </c>
    </row>
    <row r="1911" spans="1:8" ht="13.5" x14ac:dyDescent="0.25">
      <c r="A1911" s="1"/>
      <c r="B1911" s="3">
        <v>45082</v>
      </c>
      <c r="C1911" s="4">
        <v>4.3899999999999997</v>
      </c>
      <c r="D1911" s="4">
        <v>3.6970000000000001</v>
      </c>
      <c r="E1911" s="4">
        <v>1010</v>
      </c>
      <c r="F1911" s="4">
        <v>4.38</v>
      </c>
      <c r="G1911" s="4">
        <v>4423.8</v>
      </c>
      <c r="H1911" s="5">
        <f t="shared" si="29"/>
        <v>2.277286775470358E-3</v>
      </c>
    </row>
    <row r="1912" spans="1:8" ht="13.5" x14ac:dyDescent="0.25">
      <c r="A1912" s="1"/>
      <c r="B1912" s="3">
        <v>45083</v>
      </c>
      <c r="C1912" s="4">
        <v>4.18</v>
      </c>
      <c r="D1912" s="4">
        <v>3.5202</v>
      </c>
      <c r="E1912" s="4">
        <v>7940</v>
      </c>
      <c r="F1912" s="4">
        <v>4.2930000000000001</v>
      </c>
      <c r="G1912" s="4">
        <v>34086.42</v>
      </c>
      <c r="H1912" s="5">
        <f t="shared" si="29"/>
        <v>-4.7822558831485007E-2</v>
      </c>
    </row>
    <row r="1913" spans="1:8" ht="13.5" x14ac:dyDescent="0.25">
      <c r="A1913" s="1"/>
      <c r="B1913" s="3">
        <v>45084</v>
      </c>
      <c r="C1913" s="4">
        <v>4.1399999999999997</v>
      </c>
      <c r="D1913" s="4">
        <v>3.4864999999999999</v>
      </c>
      <c r="E1913" s="4">
        <v>1656</v>
      </c>
      <c r="F1913" s="4">
        <v>4.1829999999999998</v>
      </c>
      <c r="G1913" s="4">
        <v>6927.0479999999998</v>
      </c>
      <c r="H1913" s="5">
        <f t="shared" si="29"/>
        <v>-9.5733196977444649E-3</v>
      </c>
    </row>
    <row r="1914" spans="1:8" ht="13.5" x14ac:dyDescent="0.25">
      <c r="A1914" s="1"/>
      <c r="B1914" s="3">
        <v>45085</v>
      </c>
      <c r="C1914" s="4">
        <v>4.2</v>
      </c>
      <c r="D1914" s="4">
        <v>3.5369999999999999</v>
      </c>
      <c r="E1914" s="4">
        <v>1627</v>
      </c>
      <c r="F1914" s="4">
        <v>4.1870000000000003</v>
      </c>
      <c r="G1914" s="4">
        <v>6812.2489999999998</v>
      </c>
      <c r="H1914" s="5">
        <f t="shared" si="29"/>
        <v>1.4484439982790762E-2</v>
      </c>
    </row>
    <row r="1915" spans="1:8" ht="13.5" x14ac:dyDescent="0.25">
      <c r="A1915" s="1"/>
      <c r="B1915" s="3">
        <v>45086</v>
      </c>
      <c r="C1915" s="4">
        <v>4.3499999999999996</v>
      </c>
      <c r="D1915" s="4">
        <v>3.6633</v>
      </c>
      <c r="E1915" s="4">
        <v>12107</v>
      </c>
      <c r="F1915" s="4">
        <v>4.2789999999999999</v>
      </c>
      <c r="G1915" s="4">
        <v>51805.853000000003</v>
      </c>
      <c r="H1915" s="5">
        <f t="shared" si="29"/>
        <v>3.5708227311280767E-2</v>
      </c>
    </row>
    <row r="1916" spans="1:8" ht="13.5" x14ac:dyDescent="0.25">
      <c r="A1916" s="1"/>
      <c r="B1916" s="3">
        <v>45089</v>
      </c>
      <c r="C1916" s="4">
        <v>4.3499999999999996</v>
      </c>
      <c r="D1916" s="4">
        <v>3.6633</v>
      </c>
      <c r="E1916" s="4">
        <v>11765</v>
      </c>
      <c r="F1916" s="4">
        <v>4.3789999999999996</v>
      </c>
      <c r="G1916" s="4">
        <v>51518.934999999998</v>
      </c>
      <c r="H1916" s="5">
        <f t="shared" si="29"/>
        <v>0</v>
      </c>
    </row>
    <row r="1917" spans="1:8" ht="13.5" x14ac:dyDescent="0.25">
      <c r="A1917" s="1"/>
      <c r="B1917" s="3">
        <v>45090</v>
      </c>
      <c r="C1917" s="4">
        <v>4.33</v>
      </c>
      <c r="D1917" s="4">
        <v>3.6465000000000001</v>
      </c>
      <c r="E1917" s="4">
        <v>59509</v>
      </c>
      <c r="F1917" s="4">
        <v>4.4000000000000004</v>
      </c>
      <c r="G1917" s="4">
        <v>261839.6</v>
      </c>
      <c r="H1917" s="5">
        <f t="shared" si="29"/>
        <v>-4.586028990254668E-3</v>
      </c>
    </row>
    <row r="1918" spans="1:8" ht="13.5" x14ac:dyDescent="0.25">
      <c r="A1918" s="1"/>
      <c r="B1918" s="3">
        <v>45091</v>
      </c>
      <c r="C1918" s="4">
        <v>4.3499999999999996</v>
      </c>
      <c r="D1918" s="4">
        <v>3.6633</v>
      </c>
      <c r="E1918" s="4">
        <v>2955</v>
      </c>
      <c r="F1918" s="4">
        <v>4.3540000000000001</v>
      </c>
      <c r="G1918" s="4">
        <v>12866.07</v>
      </c>
      <c r="H1918" s="5">
        <f t="shared" si="29"/>
        <v>4.6071575483339986E-3</v>
      </c>
    </row>
    <row r="1919" spans="1:8" ht="13.5" x14ac:dyDescent="0.25">
      <c r="A1919" s="1"/>
      <c r="B1919" s="3">
        <v>45092</v>
      </c>
      <c r="C1919" s="4">
        <v>4.34</v>
      </c>
      <c r="D1919" s="4">
        <v>3.6549</v>
      </c>
      <c r="E1919" s="4">
        <v>674</v>
      </c>
      <c r="F1919" s="4">
        <v>4.343</v>
      </c>
      <c r="G1919" s="4">
        <v>2927.1819999999998</v>
      </c>
      <c r="H1919" s="5">
        <f t="shared" si="29"/>
        <v>-2.293014495127334E-3</v>
      </c>
    </row>
    <row r="1920" spans="1:8" ht="13.5" x14ac:dyDescent="0.25">
      <c r="A1920" s="1"/>
      <c r="B1920" s="3">
        <v>45093</v>
      </c>
      <c r="C1920" s="4">
        <v>4.29</v>
      </c>
      <c r="D1920" s="4">
        <v>3.6128</v>
      </c>
      <c r="E1920" s="4">
        <v>22449</v>
      </c>
      <c r="F1920" s="4">
        <v>4.22</v>
      </c>
      <c r="G1920" s="4">
        <v>94734.78</v>
      </c>
      <c r="H1920" s="5">
        <f t="shared" si="29"/>
        <v>-1.1518783003638958E-2</v>
      </c>
    </row>
    <row r="1921" spans="1:8" ht="13.5" x14ac:dyDescent="0.25">
      <c r="A1921" s="1"/>
      <c r="B1921" s="3">
        <v>45096</v>
      </c>
      <c r="C1921" s="4">
        <v>4.17</v>
      </c>
      <c r="D1921" s="4">
        <v>3.5116999999999998</v>
      </c>
      <c r="E1921" s="4">
        <v>6209</v>
      </c>
      <c r="F1921" s="4">
        <v>4.1040000000000001</v>
      </c>
      <c r="G1921" s="4">
        <v>25481.736000000001</v>
      </c>
      <c r="H1921" s="5">
        <f t="shared" si="29"/>
        <v>-2.7983835252435835E-2</v>
      </c>
    </row>
    <row r="1922" spans="1:8" ht="13.5" x14ac:dyDescent="0.25">
      <c r="A1922" s="1"/>
      <c r="B1922" s="3">
        <v>45097</v>
      </c>
      <c r="C1922" s="4">
        <v>4.2</v>
      </c>
      <c r="D1922" s="4">
        <v>3.5369999999999999</v>
      </c>
      <c r="E1922" s="4">
        <v>6071</v>
      </c>
      <c r="F1922" s="4">
        <v>4.1619999999999999</v>
      </c>
      <c r="G1922" s="4">
        <v>25267.502</v>
      </c>
      <c r="H1922" s="5">
        <f t="shared" si="29"/>
        <v>7.204487854885127E-3</v>
      </c>
    </row>
    <row r="1923" spans="1:8" ht="13.5" x14ac:dyDescent="0.25">
      <c r="A1923" s="1"/>
      <c r="B1923" s="3">
        <v>45098</v>
      </c>
      <c r="C1923" s="4">
        <v>4.1100000000000003</v>
      </c>
      <c r="D1923" s="4">
        <v>3.4611999999999998</v>
      </c>
      <c r="E1923" s="4">
        <v>19592</v>
      </c>
      <c r="F1923" s="4">
        <v>4.1660000000000004</v>
      </c>
      <c r="G1923" s="4">
        <v>81620.271999999997</v>
      </c>
      <c r="H1923" s="5">
        <f t="shared" si="29"/>
        <v>-2.1430590896239776E-2</v>
      </c>
    </row>
    <row r="1924" spans="1:8" ht="13.5" x14ac:dyDescent="0.25">
      <c r="A1924" s="1"/>
      <c r="B1924" s="3">
        <v>45099</v>
      </c>
      <c r="C1924" s="4">
        <v>4.1500000000000004</v>
      </c>
      <c r="D1924" s="4">
        <v>3.4948999999999999</v>
      </c>
      <c r="E1924" s="4">
        <v>22046</v>
      </c>
      <c r="F1924" s="4">
        <v>3.97</v>
      </c>
      <c r="G1924" s="4">
        <v>87522.62</v>
      </c>
      <c r="H1924" s="5">
        <f t="shared" si="29"/>
        <v>9.7365075696290489E-3</v>
      </c>
    </row>
    <row r="1925" spans="1:8" ht="13.5" x14ac:dyDescent="0.25">
      <c r="A1925" s="1"/>
      <c r="B1925" s="3">
        <v>45100</v>
      </c>
      <c r="C1925" s="4">
        <v>4.12</v>
      </c>
      <c r="D1925" s="4">
        <v>3.4695999999999998</v>
      </c>
      <c r="E1925" s="4">
        <v>14079</v>
      </c>
      <c r="F1925" s="4">
        <v>4.1230000000000002</v>
      </c>
      <c r="G1925" s="4">
        <v>58047.716999999997</v>
      </c>
      <c r="H1925" s="5">
        <f t="shared" si="29"/>
        <v>-7.2391198603679935E-3</v>
      </c>
    </row>
    <row r="1926" spans="1:8" ht="13.5" x14ac:dyDescent="0.25">
      <c r="A1926" s="1"/>
      <c r="B1926" s="3">
        <v>45103</v>
      </c>
      <c r="C1926" s="4">
        <v>4.0599999999999996</v>
      </c>
      <c r="D1926" s="4">
        <v>3.4190999999999998</v>
      </c>
      <c r="E1926" s="4">
        <v>8463</v>
      </c>
      <c r="F1926" s="4">
        <v>4.117</v>
      </c>
      <c r="G1926" s="4">
        <v>34842.171000000002</v>
      </c>
      <c r="H1926" s="5">
        <f t="shared" si="29"/>
        <v>-1.4554991929905463E-2</v>
      </c>
    </row>
    <row r="1927" spans="1:8" ht="13.5" x14ac:dyDescent="0.25">
      <c r="A1927" s="1"/>
      <c r="B1927" s="3">
        <v>45104</v>
      </c>
      <c r="C1927" s="4">
        <v>4.17</v>
      </c>
      <c r="D1927" s="4">
        <v>3.5116999999999998</v>
      </c>
      <c r="E1927" s="4">
        <v>6324</v>
      </c>
      <c r="F1927" s="4">
        <v>4.1689999999999996</v>
      </c>
      <c r="G1927" s="4">
        <v>26364.756000000001</v>
      </c>
      <c r="H1927" s="5">
        <f t="shared" ref="H1927:H1990" si="30">(D1927-D1926)/D1926</f>
        <v>2.7083150536690949E-2</v>
      </c>
    </row>
    <row r="1928" spans="1:8" ht="13.5" x14ac:dyDescent="0.25">
      <c r="A1928" s="1"/>
      <c r="B1928" s="3">
        <v>45107</v>
      </c>
      <c r="C1928" s="4">
        <v>4.07</v>
      </c>
      <c r="D1928" s="4">
        <v>3.4275000000000002</v>
      </c>
      <c r="E1928" s="4">
        <v>18134</v>
      </c>
      <c r="F1928" s="4">
        <v>4.085</v>
      </c>
      <c r="G1928" s="4">
        <v>74077.39</v>
      </c>
      <c r="H1928" s="5">
        <f t="shared" si="30"/>
        <v>-2.3976991200842786E-2</v>
      </c>
    </row>
    <row r="1929" spans="1:8" ht="13.5" x14ac:dyDescent="0.25">
      <c r="A1929" s="1"/>
      <c r="B1929" s="3">
        <v>45110</v>
      </c>
      <c r="C1929" s="4">
        <v>4.07</v>
      </c>
      <c r="D1929" s="4">
        <v>3.4275000000000002</v>
      </c>
      <c r="E1929" s="4">
        <v>28876</v>
      </c>
      <c r="F1929" s="4">
        <v>4.0679999999999996</v>
      </c>
      <c r="G1929" s="4">
        <v>117467.568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4.05</v>
      </c>
      <c r="D1930" s="4">
        <v>3.4106999999999998</v>
      </c>
      <c r="E1930" s="4">
        <v>9886</v>
      </c>
      <c r="F1930" s="4">
        <v>4.0529999999999999</v>
      </c>
      <c r="G1930" s="4">
        <v>40067.957999999999</v>
      </c>
      <c r="H1930" s="5">
        <f t="shared" si="30"/>
        <v>-4.9015317286653154E-3</v>
      </c>
    </row>
    <row r="1931" spans="1:8" ht="13.5" x14ac:dyDescent="0.25">
      <c r="A1931" s="1"/>
      <c r="B1931" s="3">
        <v>45112</v>
      </c>
      <c r="C1931" s="4">
        <v>4.1399999999999997</v>
      </c>
      <c r="D1931" s="4">
        <v>3.4864999999999999</v>
      </c>
      <c r="E1931" s="4">
        <v>5289</v>
      </c>
      <c r="F1931" s="4">
        <v>4.0410000000000004</v>
      </c>
      <c r="G1931" s="4">
        <v>21372.848999999998</v>
      </c>
      <c r="H1931" s="5">
        <f t="shared" si="30"/>
        <v>2.2224176855191045E-2</v>
      </c>
    </row>
    <row r="1932" spans="1:8" ht="13.5" x14ac:dyDescent="0.25">
      <c r="A1932" s="1"/>
      <c r="B1932" s="3">
        <v>45113</v>
      </c>
      <c r="C1932" s="4">
        <v>4.1399999999999997</v>
      </c>
      <c r="D1932" s="4">
        <v>3.4864999999999999</v>
      </c>
      <c r="E1932" s="4">
        <v>3844</v>
      </c>
      <c r="F1932" s="4">
        <v>4.0540000000000003</v>
      </c>
      <c r="G1932" s="4">
        <v>15583.575999999999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4.09</v>
      </c>
      <c r="D1933" s="4">
        <v>3.4443999999999999</v>
      </c>
      <c r="E1933" s="4">
        <v>1460</v>
      </c>
      <c r="F1933" s="4">
        <v>4.0830000000000002</v>
      </c>
      <c r="G1933" s="4">
        <v>5961.18</v>
      </c>
      <c r="H1933" s="5">
        <f t="shared" si="30"/>
        <v>-1.2075146995554288E-2</v>
      </c>
    </row>
    <row r="1934" spans="1:8" ht="13.5" x14ac:dyDescent="0.25">
      <c r="A1934" s="1"/>
      <c r="B1934" s="3">
        <v>45117</v>
      </c>
      <c r="C1934" s="4">
        <v>4.1399999999999997</v>
      </c>
      <c r="D1934" s="4">
        <v>3.4864999999999999</v>
      </c>
      <c r="E1934" s="4">
        <v>9100</v>
      </c>
      <c r="F1934" s="4">
        <v>4.0579999999999998</v>
      </c>
      <c r="G1934" s="4">
        <v>36927.800000000003</v>
      </c>
      <c r="H1934" s="5">
        <f t="shared" si="30"/>
        <v>1.2222738357914304E-2</v>
      </c>
    </row>
    <row r="1935" spans="1:8" ht="13.5" x14ac:dyDescent="0.25">
      <c r="A1935" s="1"/>
      <c r="B1935" s="3">
        <v>45118</v>
      </c>
      <c r="C1935" s="4">
        <v>4.05</v>
      </c>
      <c r="D1935" s="4">
        <v>3.4106999999999998</v>
      </c>
      <c r="E1935" s="4">
        <v>1637</v>
      </c>
      <c r="F1935" s="4">
        <v>4.0579999999999998</v>
      </c>
      <c r="G1935" s="4">
        <v>6642.9459999999999</v>
      </c>
      <c r="H1935" s="5">
        <f t="shared" si="30"/>
        <v>-2.1741001003872103E-2</v>
      </c>
    </row>
    <row r="1936" spans="1:8" ht="13.5" x14ac:dyDescent="0.25">
      <c r="A1936" s="1"/>
      <c r="B1936" s="3">
        <v>45119</v>
      </c>
      <c r="C1936" s="4">
        <v>4.1100000000000003</v>
      </c>
      <c r="D1936" s="4">
        <v>3.4611999999999998</v>
      </c>
      <c r="E1936" s="4">
        <v>483</v>
      </c>
      <c r="F1936" s="4">
        <v>4.05</v>
      </c>
      <c r="G1936" s="4">
        <v>1956.15</v>
      </c>
      <c r="H1936" s="5">
        <f t="shared" si="30"/>
        <v>1.4806344738616703E-2</v>
      </c>
    </row>
    <row r="1937" spans="1:8" ht="13.5" x14ac:dyDescent="0.25">
      <c r="A1937" s="1"/>
      <c r="B1937" s="3">
        <v>45120</v>
      </c>
      <c r="C1937" s="4">
        <v>3.99</v>
      </c>
      <c r="D1937" s="4">
        <v>3.3601999999999999</v>
      </c>
      <c r="E1937" s="4">
        <v>4575</v>
      </c>
      <c r="F1937" s="4">
        <v>4.0010000000000003</v>
      </c>
      <c r="G1937" s="4">
        <v>18304.575000000001</v>
      </c>
      <c r="H1937" s="5">
        <f t="shared" si="30"/>
        <v>-2.9180630995030619E-2</v>
      </c>
    </row>
    <row r="1938" spans="1:8" ht="13.5" x14ac:dyDescent="0.25">
      <c r="A1938" s="1"/>
      <c r="B1938" s="3">
        <v>45121</v>
      </c>
      <c r="C1938" s="4">
        <v>4.0599999999999996</v>
      </c>
      <c r="D1938" s="4">
        <v>3.4190999999999998</v>
      </c>
      <c r="E1938" s="4">
        <v>9952</v>
      </c>
      <c r="F1938" s="4">
        <v>3.976</v>
      </c>
      <c r="G1938" s="4">
        <v>39569.152000000002</v>
      </c>
      <c r="H1938" s="5">
        <f t="shared" si="30"/>
        <v>1.7528718528658994E-2</v>
      </c>
    </row>
    <row r="1939" spans="1:8" ht="13.5" x14ac:dyDescent="0.25">
      <c r="A1939" s="1"/>
      <c r="B1939" s="3">
        <v>45124</v>
      </c>
      <c r="C1939" s="4">
        <v>3.95</v>
      </c>
      <c r="D1939" s="4">
        <v>3.3264999999999998</v>
      </c>
      <c r="E1939" s="4">
        <v>286</v>
      </c>
      <c r="F1939" s="4">
        <v>3.952</v>
      </c>
      <c r="G1939" s="4">
        <v>1130.2719999999999</v>
      </c>
      <c r="H1939" s="5">
        <f t="shared" si="30"/>
        <v>-2.7083150536690949E-2</v>
      </c>
    </row>
    <row r="1940" spans="1:8" ht="13.5" x14ac:dyDescent="0.25">
      <c r="A1940" s="1"/>
      <c r="B1940" s="3">
        <v>45125</v>
      </c>
      <c r="C1940" s="4">
        <v>3.98</v>
      </c>
      <c r="D1940" s="4">
        <v>3.3517000000000001</v>
      </c>
      <c r="E1940" s="4">
        <v>94</v>
      </c>
      <c r="F1940" s="4">
        <v>3.9769999999999999</v>
      </c>
      <c r="G1940" s="4">
        <v>373.83800000000002</v>
      </c>
      <c r="H1940" s="5">
        <f t="shared" si="30"/>
        <v>7.5755298361642369E-3</v>
      </c>
    </row>
    <row r="1941" spans="1:8" ht="13.5" x14ac:dyDescent="0.25">
      <c r="A1941" s="1"/>
      <c r="B1941" s="3">
        <v>45127</v>
      </c>
      <c r="C1941" s="4">
        <v>4.0599999999999996</v>
      </c>
      <c r="D1941" s="4">
        <v>3.4190999999999998</v>
      </c>
      <c r="E1941" s="4">
        <v>2839</v>
      </c>
      <c r="F1941" s="4">
        <v>4.0309999999999997</v>
      </c>
      <c r="G1941" s="4">
        <v>11444.009</v>
      </c>
      <c r="H1941" s="5">
        <f t="shared" si="30"/>
        <v>2.0109198317271738E-2</v>
      </c>
    </row>
    <row r="1942" spans="1:8" ht="13.5" x14ac:dyDescent="0.25">
      <c r="A1942" s="1"/>
      <c r="B1942" s="3">
        <v>45128</v>
      </c>
      <c r="C1942" s="4">
        <v>4.08</v>
      </c>
      <c r="D1942" s="4">
        <v>3.4359999999999999</v>
      </c>
      <c r="E1942" s="4">
        <v>1553</v>
      </c>
      <c r="F1942" s="4">
        <v>4.0510000000000002</v>
      </c>
      <c r="G1942" s="4">
        <v>6291.2030000000004</v>
      </c>
      <c r="H1942" s="5">
        <f t="shared" si="30"/>
        <v>4.9428212102600507E-3</v>
      </c>
    </row>
    <row r="1943" spans="1:8" ht="13.5" x14ac:dyDescent="0.25">
      <c r="A1943" s="1"/>
      <c r="B1943" s="3">
        <v>45131</v>
      </c>
      <c r="C1943" s="4">
        <v>4.04</v>
      </c>
      <c r="D1943" s="4">
        <v>3.4022999999999999</v>
      </c>
      <c r="E1943" s="4">
        <v>1069</v>
      </c>
      <c r="F1943" s="4">
        <v>3.9830000000000001</v>
      </c>
      <c r="G1943" s="4">
        <v>4257.8270000000002</v>
      </c>
      <c r="H1943" s="5">
        <f t="shared" si="30"/>
        <v>-9.807916181606537E-3</v>
      </c>
    </row>
    <row r="1944" spans="1:8" ht="13.5" x14ac:dyDescent="0.25">
      <c r="A1944" s="1"/>
      <c r="B1944" s="3">
        <v>45133</v>
      </c>
      <c r="C1944" s="4">
        <v>3.99</v>
      </c>
      <c r="D1944" s="4">
        <v>3.3601999999999999</v>
      </c>
      <c r="E1944" s="4">
        <v>690</v>
      </c>
      <c r="F1944" s="4">
        <v>3.99</v>
      </c>
      <c r="G1944" s="4">
        <v>2753.1</v>
      </c>
      <c r="H1944" s="5">
        <f t="shared" si="30"/>
        <v>-1.2373982306087068E-2</v>
      </c>
    </row>
    <row r="1945" spans="1:8" ht="13.5" x14ac:dyDescent="0.25">
      <c r="A1945" s="1"/>
      <c r="B1945" s="3">
        <v>45134</v>
      </c>
      <c r="C1945" s="4">
        <v>4.01</v>
      </c>
      <c r="D1945" s="4">
        <v>3.3769999999999998</v>
      </c>
      <c r="E1945" s="4">
        <v>6184</v>
      </c>
      <c r="F1945" s="4">
        <v>3.92</v>
      </c>
      <c r="G1945" s="4">
        <v>24241.279999999999</v>
      </c>
      <c r="H1945" s="5">
        <f t="shared" si="30"/>
        <v>4.9997023986667246E-3</v>
      </c>
    </row>
    <row r="1946" spans="1:8" ht="13.5" x14ac:dyDescent="0.25">
      <c r="A1946" s="1"/>
      <c r="B1946" s="3">
        <v>45135</v>
      </c>
      <c r="C1946" s="4">
        <v>3.9</v>
      </c>
      <c r="D1946" s="4">
        <v>3.2844000000000002</v>
      </c>
      <c r="E1946" s="4">
        <v>2102</v>
      </c>
      <c r="F1946" s="4">
        <v>3.8969999999999998</v>
      </c>
      <c r="G1946" s="4">
        <v>8191.4939999999997</v>
      </c>
      <c r="H1946" s="5">
        <f t="shared" si="30"/>
        <v>-2.7420787681373876E-2</v>
      </c>
    </row>
    <row r="1947" spans="1:8" ht="13.5" x14ac:dyDescent="0.25">
      <c r="A1947" s="1"/>
      <c r="B1947" s="3">
        <v>45138</v>
      </c>
      <c r="C1947" s="4">
        <v>3.88</v>
      </c>
      <c r="D1947" s="4">
        <v>3.2675000000000001</v>
      </c>
      <c r="E1947" s="4">
        <v>642</v>
      </c>
      <c r="F1947" s="4">
        <v>3.851</v>
      </c>
      <c r="G1947" s="4">
        <v>2472.3420000000001</v>
      </c>
      <c r="H1947" s="5">
        <f t="shared" si="30"/>
        <v>-5.1455364754597905E-3</v>
      </c>
    </row>
    <row r="1948" spans="1:8" ht="13.5" x14ac:dyDescent="0.25">
      <c r="A1948" s="1"/>
      <c r="B1948" s="3">
        <v>45139</v>
      </c>
      <c r="C1948" s="4">
        <v>3.9</v>
      </c>
      <c r="D1948" s="4">
        <v>3.2844000000000002</v>
      </c>
      <c r="E1948" s="4">
        <v>4022</v>
      </c>
      <c r="F1948" s="4">
        <v>3.8809999999999998</v>
      </c>
      <c r="G1948" s="4">
        <v>15609.382</v>
      </c>
      <c r="H1948" s="5">
        <f t="shared" si="30"/>
        <v>5.1721499617444948E-3</v>
      </c>
    </row>
    <row r="1949" spans="1:8" ht="13.5" x14ac:dyDescent="0.25">
      <c r="A1949" s="1"/>
      <c r="B1949" s="3">
        <v>45140</v>
      </c>
      <c r="C1949" s="4">
        <v>3.85</v>
      </c>
      <c r="D1949" s="4">
        <v>3.2423000000000002</v>
      </c>
      <c r="E1949" s="4">
        <v>11778</v>
      </c>
      <c r="F1949" s="4">
        <v>3.8620000000000001</v>
      </c>
      <c r="G1949" s="4">
        <v>45486.635999999999</v>
      </c>
      <c r="H1949" s="5">
        <f t="shared" si="30"/>
        <v>-1.28181707465595E-2</v>
      </c>
    </row>
    <row r="1950" spans="1:8" ht="13.5" x14ac:dyDescent="0.25">
      <c r="A1950" s="1"/>
      <c r="B1950" s="3">
        <v>45141</v>
      </c>
      <c r="C1950" s="4">
        <v>3.85</v>
      </c>
      <c r="D1950" s="4">
        <v>3.2423000000000002</v>
      </c>
      <c r="E1950" s="4">
        <v>1275</v>
      </c>
      <c r="F1950" s="4">
        <v>3.8010000000000002</v>
      </c>
      <c r="G1950" s="4">
        <v>4846.2749999999996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3.78</v>
      </c>
      <c r="D1951" s="4">
        <v>3.1833</v>
      </c>
      <c r="E1951" s="4">
        <v>2416</v>
      </c>
      <c r="F1951" s="4">
        <v>3.79</v>
      </c>
      <c r="G1951" s="4">
        <v>9156.64</v>
      </c>
      <c r="H1951" s="5">
        <f t="shared" si="30"/>
        <v>-1.8196958948894351E-2</v>
      </c>
    </row>
    <row r="1952" spans="1:8" ht="13.5" x14ac:dyDescent="0.25">
      <c r="A1952" s="1"/>
      <c r="B1952" s="3">
        <v>45145</v>
      </c>
      <c r="C1952" s="4">
        <v>3.76</v>
      </c>
      <c r="D1952" s="4">
        <v>3.1665000000000001</v>
      </c>
      <c r="E1952" s="4">
        <v>30</v>
      </c>
      <c r="F1952" s="4">
        <v>3.8</v>
      </c>
      <c r="G1952" s="4">
        <v>114</v>
      </c>
      <c r="H1952" s="5">
        <f t="shared" si="30"/>
        <v>-5.2775421732164504E-3</v>
      </c>
    </row>
    <row r="1953" spans="1:8" ht="13.5" x14ac:dyDescent="0.25">
      <c r="A1953" s="1"/>
      <c r="B1953" s="3">
        <v>45146</v>
      </c>
      <c r="C1953" s="4">
        <v>3.83</v>
      </c>
      <c r="D1953" s="4">
        <v>3.2254</v>
      </c>
      <c r="E1953" s="4">
        <v>3030</v>
      </c>
      <c r="F1953" s="4">
        <v>3.758</v>
      </c>
      <c r="G1953" s="4">
        <v>11386.74</v>
      </c>
      <c r="H1953" s="5">
        <f t="shared" si="30"/>
        <v>1.8600978998894662E-2</v>
      </c>
    </row>
    <row r="1954" spans="1:8" ht="13.5" x14ac:dyDescent="0.25">
      <c r="A1954" s="1"/>
      <c r="B1954" s="3">
        <v>45147</v>
      </c>
      <c r="C1954" s="4">
        <v>3.93</v>
      </c>
      <c r="D1954" s="4">
        <v>3.3096000000000001</v>
      </c>
      <c r="E1954" s="4">
        <v>5570</v>
      </c>
      <c r="F1954" s="4">
        <v>3.8260000000000001</v>
      </c>
      <c r="G1954" s="4">
        <v>21310.82</v>
      </c>
      <c r="H1954" s="5">
        <f t="shared" si="30"/>
        <v>2.610528926644759E-2</v>
      </c>
    </row>
    <row r="1955" spans="1:8" ht="13.5" x14ac:dyDescent="0.25">
      <c r="A1955" s="1"/>
      <c r="B1955" s="3">
        <v>45148</v>
      </c>
      <c r="C1955" s="4">
        <v>3.9</v>
      </c>
      <c r="D1955" s="4">
        <v>3.2844000000000002</v>
      </c>
      <c r="E1955" s="4">
        <v>555</v>
      </c>
      <c r="F1955" s="4">
        <v>3.8740000000000001</v>
      </c>
      <c r="G1955" s="4">
        <v>2150.0700000000002</v>
      </c>
      <c r="H1955" s="5">
        <f t="shared" si="30"/>
        <v>-7.6142131979695096E-3</v>
      </c>
    </row>
    <row r="1956" spans="1:8" ht="13.5" x14ac:dyDescent="0.25">
      <c r="A1956" s="1"/>
      <c r="B1956" s="3">
        <v>45149</v>
      </c>
      <c r="C1956" s="4">
        <v>3.95</v>
      </c>
      <c r="D1956" s="4">
        <v>3.3264999999999998</v>
      </c>
      <c r="E1956" s="4">
        <v>2415</v>
      </c>
      <c r="F1956" s="4">
        <v>3.907</v>
      </c>
      <c r="G1956" s="4">
        <v>9435.4050000000007</v>
      </c>
      <c r="H1956" s="5">
        <f t="shared" si="30"/>
        <v>1.2818170746559365E-2</v>
      </c>
    </row>
    <row r="1957" spans="1:8" ht="13.5" x14ac:dyDescent="0.25">
      <c r="A1957" s="1"/>
      <c r="B1957" s="3">
        <v>45152</v>
      </c>
      <c r="C1957" s="4">
        <v>3.95</v>
      </c>
      <c r="D1957" s="4">
        <v>3.3264999999999998</v>
      </c>
      <c r="E1957" s="4">
        <v>2107</v>
      </c>
      <c r="F1957" s="4">
        <v>3.9119999999999999</v>
      </c>
      <c r="G1957" s="4">
        <v>8242.5840000000007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3.95</v>
      </c>
      <c r="D1958" s="4">
        <v>3.3264999999999998</v>
      </c>
      <c r="E1958" s="4">
        <v>4933</v>
      </c>
      <c r="F1958" s="4">
        <v>3.944</v>
      </c>
      <c r="G1958" s="4">
        <v>19455.752</v>
      </c>
      <c r="H1958" s="5">
        <f t="shared" si="30"/>
        <v>0</v>
      </c>
    </row>
    <row r="1959" spans="1:8" ht="13.5" x14ac:dyDescent="0.25">
      <c r="A1959" s="1"/>
      <c r="B1959" s="3">
        <v>45154</v>
      </c>
      <c r="C1959" s="4">
        <v>3.92</v>
      </c>
      <c r="D1959" s="4">
        <v>3.3012000000000001</v>
      </c>
      <c r="E1959" s="4">
        <v>265</v>
      </c>
      <c r="F1959" s="4">
        <v>3.907</v>
      </c>
      <c r="G1959" s="4">
        <v>1035.355</v>
      </c>
      <c r="H1959" s="5">
        <f t="shared" si="30"/>
        <v>-7.6055914624980183E-3</v>
      </c>
    </row>
    <row r="1960" spans="1:8" ht="13.5" x14ac:dyDescent="0.25">
      <c r="A1960" s="1"/>
      <c r="B1960" s="3">
        <v>45155</v>
      </c>
      <c r="C1960" s="4">
        <v>3.9</v>
      </c>
      <c r="D1960" s="4">
        <v>3.2844000000000002</v>
      </c>
      <c r="E1960" s="4">
        <v>1809</v>
      </c>
      <c r="F1960" s="4">
        <v>3.9119999999999999</v>
      </c>
      <c r="G1960" s="4">
        <v>7076.808</v>
      </c>
      <c r="H1960" s="5">
        <f t="shared" si="30"/>
        <v>-5.0890585241730058E-3</v>
      </c>
    </row>
    <row r="1961" spans="1:8" ht="13.5" x14ac:dyDescent="0.25">
      <c r="A1961" s="1"/>
      <c r="B1961" s="3">
        <v>45156</v>
      </c>
      <c r="C1961" s="4">
        <v>3.98</v>
      </c>
      <c r="D1961" s="4">
        <v>3.3517000000000001</v>
      </c>
      <c r="E1961" s="4">
        <v>25</v>
      </c>
      <c r="F1961" s="4">
        <v>3.9769999999999999</v>
      </c>
      <c r="G1961" s="4">
        <v>99.424999999999997</v>
      </c>
      <c r="H1961" s="5">
        <f t="shared" si="30"/>
        <v>2.0490805017659212E-2</v>
      </c>
    </row>
    <row r="1962" spans="1:8" ht="13.5" x14ac:dyDescent="0.25">
      <c r="A1962" s="1"/>
      <c r="B1962" s="3">
        <v>45159</v>
      </c>
      <c r="C1962" s="4">
        <v>4</v>
      </c>
      <c r="D1962" s="4">
        <v>3.3685999999999998</v>
      </c>
      <c r="E1962" s="4">
        <v>20961</v>
      </c>
      <c r="F1962" s="4">
        <v>3.9910000000000001</v>
      </c>
      <c r="G1962" s="4">
        <v>83655.350999999995</v>
      </c>
      <c r="H1962" s="5">
        <f t="shared" si="30"/>
        <v>5.042217382223854E-3</v>
      </c>
    </row>
    <row r="1963" spans="1:8" ht="13.5" x14ac:dyDescent="0.25">
      <c r="A1963" s="1"/>
      <c r="B1963" s="3">
        <v>45160</v>
      </c>
      <c r="C1963" s="4">
        <v>4</v>
      </c>
      <c r="D1963" s="4">
        <v>3.3685999999999998</v>
      </c>
      <c r="E1963" s="4">
        <v>6995</v>
      </c>
      <c r="F1963" s="4">
        <v>3.9209999999999998</v>
      </c>
      <c r="G1963" s="4">
        <v>27427.395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4.04</v>
      </c>
      <c r="D1964" s="4">
        <v>3.4022999999999999</v>
      </c>
      <c r="E1964" s="4">
        <v>5339</v>
      </c>
      <c r="F1964" s="4">
        <v>4.0190000000000001</v>
      </c>
      <c r="G1964" s="4">
        <v>21457.440999999999</v>
      </c>
      <c r="H1964" s="5">
        <f t="shared" si="30"/>
        <v>1.0004156029210967E-2</v>
      </c>
    </row>
    <row r="1965" spans="1:8" ht="13.5" x14ac:dyDescent="0.25">
      <c r="A1965" s="1"/>
      <c r="B1965" s="3">
        <v>45162</v>
      </c>
      <c r="C1965" s="4">
        <v>4.0199999999999996</v>
      </c>
      <c r="D1965" s="4">
        <v>3.3854000000000002</v>
      </c>
      <c r="E1965" s="4">
        <v>1991</v>
      </c>
      <c r="F1965" s="4">
        <v>3.9980000000000002</v>
      </c>
      <c r="G1965" s="4">
        <v>7960.018</v>
      </c>
      <c r="H1965" s="5">
        <f t="shared" si="30"/>
        <v>-4.9672280516120547E-3</v>
      </c>
    </row>
    <row r="1966" spans="1:8" ht="13.5" x14ac:dyDescent="0.25">
      <c r="A1966" s="1"/>
      <c r="B1966" s="3">
        <v>45163</v>
      </c>
      <c r="C1966" s="4">
        <v>4</v>
      </c>
      <c r="D1966" s="4">
        <v>3.3685999999999998</v>
      </c>
      <c r="E1966" s="4">
        <v>53</v>
      </c>
      <c r="F1966" s="4">
        <v>4</v>
      </c>
      <c r="G1966" s="4">
        <v>212</v>
      </c>
      <c r="H1966" s="5">
        <f t="shared" si="30"/>
        <v>-4.9624859691618037E-3</v>
      </c>
    </row>
    <row r="1967" spans="1:8" ht="13.5" x14ac:dyDescent="0.25">
      <c r="A1967" s="1"/>
      <c r="B1967" s="3">
        <v>45166</v>
      </c>
      <c r="C1967" s="4">
        <v>4.04</v>
      </c>
      <c r="D1967" s="4">
        <v>3.4022999999999999</v>
      </c>
      <c r="E1967" s="4">
        <v>199</v>
      </c>
      <c r="F1967" s="4">
        <v>4.032</v>
      </c>
      <c r="G1967" s="4">
        <v>802.36800000000005</v>
      </c>
      <c r="H1967" s="5">
        <f t="shared" si="30"/>
        <v>1.0004156029210967E-2</v>
      </c>
    </row>
    <row r="1968" spans="1:8" ht="13.5" x14ac:dyDescent="0.25">
      <c r="A1968" s="1"/>
      <c r="B1968" s="3">
        <v>45167</v>
      </c>
      <c r="C1968" s="4">
        <v>4.04</v>
      </c>
      <c r="D1968" s="4">
        <v>3.4022999999999999</v>
      </c>
      <c r="E1968" s="4">
        <v>3694</v>
      </c>
      <c r="F1968" s="4">
        <v>3.9910000000000001</v>
      </c>
      <c r="G1968" s="4">
        <v>14742.754000000001</v>
      </c>
      <c r="H1968" s="5">
        <f t="shared" si="30"/>
        <v>0</v>
      </c>
    </row>
    <row r="1969" spans="1:8" ht="13.5" x14ac:dyDescent="0.25">
      <c r="A1969" s="1"/>
      <c r="B1969" s="3">
        <v>45168</v>
      </c>
      <c r="C1969" s="4">
        <v>4.07</v>
      </c>
      <c r="D1969" s="4">
        <v>3.4275000000000002</v>
      </c>
      <c r="E1969" s="4">
        <v>1975</v>
      </c>
      <c r="F1969" s="4">
        <v>4.0510000000000002</v>
      </c>
      <c r="G1969" s="4">
        <v>8000.7250000000004</v>
      </c>
      <c r="H1969" s="5">
        <f t="shared" si="30"/>
        <v>7.406754254475012E-3</v>
      </c>
    </row>
    <row r="1970" spans="1:8" ht="13.5" x14ac:dyDescent="0.25">
      <c r="A1970" s="1"/>
      <c r="B1970" s="3">
        <v>45169</v>
      </c>
      <c r="C1970" s="4">
        <v>4.2</v>
      </c>
      <c r="D1970" s="4">
        <v>3.5369999999999999</v>
      </c>
      <c r="E1970" s="4">
        <v>11267</v>
      </c>
      <c r="F1970" s="4">
        <v>4.1310000000000002</v>
      </c>
      <c r="G1970" s="4">
        <v>46543.976999999999</v>
      </c>
      <c r="H1970" s="5">
        <f t="shared" si="30"/>
        <v>3.1947483588621359E-2</v>
      </c>
    </row>
    <row r="1971" spans="1:8" ht="13.5" x14ac:dyDescent="0.25">
      <c r="A1971" s="1"/>
      <c r="B1971" s="3">
        <v>45170</v>
      </c>
      <c r="C1971" s="4">
        <v>4.21</v>
      </c>
      <c r="D1971" s="4">
        <v>3.5453999999999999</v>
      </c>
      <c r="E1971" s="4">
        <v>6718</v>
      </c>
      <c r="F1971" s="4">
        <v>4.2480000000000002</v>
      </c>
      <c r="G1971" s="4">
        <v>28538.063999999998</v>
      </c>
      <c r="H1971" s="5">
        <f t="shared" si="30"/>
        <v>2.3748939779474026E-3</v>
      </c>
    </row>
    <row r="1972" spans="1:8" ht="13.5" x14ac:dyDescent="0.25">
      <c r="A1972" s="1"/>
      <c r="B1972" s="3">
        <v>45173</v>
      </c>
      <c r="C1972" s="4">
        <v>4.24</v>
      </c>
      <c r="D1972" s="4">
        <v>3.5707</v>
      </c>
      <c r="E1972" s="4">
        <v>2991</v>
      </c>
      <c r="F1972" s="4">
        <v>4.1870000000000003</v>
      </c>
      <c r="G1972" s="4">
        <v>12523.316999999999</v>
      </c>
      <c r="H1972" s="5">
        <f t="shared" si="30"/>
        <v>7.1360072206239356E-3</v>
      </c>
    </row>
    <row r="1973" spans="1:8" ht="13.5" x14ac:dyDescent="0.25">
      <c r="A1973" s="1"/>
      <c r="B1973" s="3">
        <v>45174</v>
      </c>
      <c r="C1973" s="4">
        <v>4.0999999999999996</v>
      </c>
      <c r="D1973" s="4">
        <v>3.4527999999999999</v>
      </c>
      <c r="E1973" s="4">
        <v>13044</v>
      </c>
      <c r="F1973" s="4">
        <v>4.077</v>
      </c>
      <c r="G1973" s="4">
        <v>53180.387999999999</v>
      </c>
      <c r="H1973" s="5">
        <f t="shared" si="30"/>
        <v>-3.3018735822107743E-2</v>
      </c>
    </row>
    <row r="1974" spans="1:8" ht="13.5" x14ac:dyDescent="0.25">
      <c r="A1974" s="1"/>
      <c r="B1974" s="3">
        <v>45175</v>
      </c>
      <c r="C1974" s="4">
        <v>3.91</v>
      </c>
      <c r="D1974" s="4">
        <v>3.2928000000000002</v>
      </c>
      <c r="E1974" s="4">
        <v>4839</v>
      </c>
      <c r="F1974" s="4">
        <v>3.9780000000000002</v>
      </c>
      <c r="G1974" s="4">
        <v>19249.542000000001</v>
      </c>
      <c r="H1974" s="5">
        <f t="shared" si="30"/>
        <v>-4.6339202965708905E-2</v>
      </c>
    </row>
    <row r="1975" spans="1:8" ht="13.5" x14ac:dyDescent="0.25">
      <c r="A1975" s="1"/>
      <c r="B1975" s="3">
        <v>45176</v>
      </c>
      <c r="C1975" s="4">
        <v>4.07</v>
      </c>
      <c r="D1975" s="4">
        <v>3.4275000000000002</v>
      </c>
      <c r="E1975" s="4">
        <v>3302</v>
      </c>
      <c r="F1975" s="4">
        <v>3.9929999999999999</v>
      </c>
      <c r="G1975" s="4">
        <v>13184.886</v>
      </c>
      <c r="H1975" s="5">
        <f t="shared" si="30"/>
        <v>4.0907434402332375E-2</v>
      </c>
    </row>
    <row r="1976" spans="1:8" ht="13.5" x14ac:dyDescent="0.25">
      <c r="A1976" s="1"/>
      <c r="B1976" s="3">
        <v>45177</v>
      </c>
      <c r="C1976" s="4">
        <v>4.07</v>
      </c>
      <c r="D1976" s="4">
        <v>3.4275000000000002</v>
      </c>
      <c r="E1976" s="4">
        <v>145</v>
      </c>
      <c r="F1976" s="4">
        <v>3.992</v>
      </c>
      <c r="G1976" s="4">
        <v>578.84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4.0199999999999996</v>
      </c>
      <c r="D1977" s="4">
        <v>3.3854000000000002</v>
      </c>
      <c r="E1977" s="4">
        <v>941</v>
      </c>
      <c r="F1977" s="4">
        <v>4.0090000000000003</v>
      </c>
      <c r="G1977" s="4">
        <v>3772.4690000000001</v>
      </c>
      <c r="H1977" s="5">
        <f t="shared" si="30"/>
        <v>-1.2283005105762225E-2</v>
      </c>
    </row>
    <row r="1978" spans="1:8" ht="13.5" x14ac:dyDescent="0.25">
      <c r="A1978" s="1"/>
      <c r="B1978" s="3">
        <v>45181</v>
      </c>
      <c r="C1978" s="4">
        <v>4.0199999999999996</v>
      </c>
      <c r="D1978" s="4">
        <v>3.3854000000000002</v>
      </c>
      <c r="E1978" s="4">
        <v>2358</v>
      </c>
      <c r="F1978" s="4">
        <v>4.0190000000000001</v>
      </c>
      <c r="G1978" s="4">
        <v>9476.8019999999997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4.0199999999999996</v>
      </c>
      <c r="D1979" s="4">
        <v>3.3854000000000002</v>
      </c>
      <c r="E1979" s="4">
        <v>890</v>
      </c>
      <c r="F1979" s="4">
        <v>4.0199999999999996</v>
      </c>
      <c r="G1979" s="4">
        <v>3577.8</v>
      </c>
      <c r="H1979" s="5">
        <f t="shared" si="30"/>
        <v>0</v>
      </c>
    </row>
    <row r="1980" spans="1:8" ht="13.5" x14ac:dyDescent="0.25">
      <c r="A1980" s="1"/>
      <c r="B1980" s="3">
        <v>45183</v>
      </c>
      <c r="C1980" s="4">
        <v>4.0199999999999996</v>
      </c>
      <c r="D1980" s="4">
        <v>3.3854000000000002</v>
      </c>
      <c r="E1980" s="4">
        <v>2378</v>
      </c>
      <c r="F1980" s="4">
        <v>4.01</v>
      </c>
      <c r="G1980" s="4">
        <v>9535.7800000000007</v>
      </c>
      <c r="H1980" s="5">
        <f t="shared" si="30"/>
        <v>0</v>
      </c>
    </row>
    <row r="1981" spans="1:8" ht="13.5" x14ac:dyDescent="0.25">
      <c r="A1981" s="1"/>
      <c r="B1981" s="3">
        <v>45184</v>
      </c>
      <c r="C1981" s="4">
        <v>4</v>
      </c>
      <c r="D1981" s="4">
        <v>3.3685999999999998</v>
      </c>
      <c r="E1981" s="4">
        <v>2417</v>
      </c>
      <c r="F1981" s="4">
        <v>4.0060000000000002</v>
      </c>
      <c r="G1981" s="4">
        <v>9682.5020000000004</v>
      </c>
      <c r="H1981" s="5">
        <f t="shared" si="30"/>
        <v>-4.9624859691618037E-3</v>
      </c>
    </row>
    <row r="1982" spans="1:8" ht="13.5" x14ac:dyDescent="0.25">
      <c r="A1982" s="1"/>
      <c r="B1982" s="3">
        <v>45187</v>
      </c>
      <c r="C1982" s="4">
        <v>4</v>
      </c>
      <c r="D1982" s="4">
        <v>3.3685999999999998</v>
      </c>
      <c r="E1982" s="4">
        <v>6750</v>
      </c>
      <c r="F1982" s="4">
        <v>4</v>
      </c>
      <c r="G1982" s="4">
        <v>27000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3.98</v>
      </c>
      <c r="D1983" s="4">
        <v>3.3517000000000001</v>
      </c>
      <c r="E1983" s="4">
        <v>959</v>
      </c>
      <c r="F1983" s="4">
        <v>3.9609999999999999</v>
      </c>
      <c r="G1983" s="4">
        <v>3798.5990000000002</v>
      </c>
      <c r="H1983" s="5">
        <f t="shared" si="30"/>
        <v>-5.0169209760730551E-3</v>
      </c>
    </row>
    <row r="1984" spans="1:8" ht="13.5" x14ac:dyDescent="0.25">
      <c r="A1984" s="1"/>
      <c r="B1984" s="3">
        <v>45189</v>
      </c>
      <c r="C1984" s="4">
        <v>3.98</v>
      </c>
      <c r="D1984" s="4">
        <v>3.3517000000000001</v>
      </c>
      <c r="E1984" s="4">
        <v>401</v>
      </c>
      <c r="F1984" s="4">
        <v>3.94</v>
      </c>
      <c r="G1984" s="4">
        <v>1579.94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3.97</v>
      </c>
      <c r="D1985" s="4">
        <v>3.3433000000000002</v>
      </c>
      <c r="E1985" s="4">
        <v>300</v>
      </c>
      <c r="F1985" s="4">
        <v>3.97</v>
      </c>
      <c r="G1985" s="4">
        <v>1191</v>
      </c>
      <c r="H1985" s="5">
        <f t="shared" si="30"/>
        <v>-2.5061908882059738E-3</v>
      </c>
    </row>
    <row r="1986" spans="1:8" ht="13.5" x14ac:dyDescent="0.25">
      <c r="A1986" s="1"/>
      <c r="B1986" s="3">
        <v>45191</v>
      </c>
      <c r="C1986" s="4">
        <v>3.8</v>
      </c>
      <c r="D1986" s="4">
        <v>3.2002000000000002</v>
      </c>
      <c r="E1986" s="4">
        <v>4867</v>
      </c>
      <c r="F1986" s="4">
        <v>3.8460000000000001</v>
      </c>
      <c r="G1986" s="4">
        <v>18718.482</v>
      </c>
      <c r="H1986" s="5">
        <f t="shared" si="30"/>
        <v>-4.2802021954356471E-2</v>
      </c>
    </row>
    <row r="1987" spans="1:8" ht="13.5" x14ac:dyDescent="0.25">
      <c r="A1987" s="1"/>
      <c r="B1987" s="3">
        <v>45194</v>
      </c>
      <c r="C1987" s="4">
        <v>3.66</v>
      </c>
      <c r="D1987" s="4">
        <v>3.0823</v>
      </c>
      <c r="E1987" s="4">
        <v>8468</v>
      </c>
      <c r="F1987" s="4">
        <v>3.7250000000000001</v>
      </c>
      <c r="G1987" s="4">
        <v>31543.3</v>
      </c>
      <c r="H1987" s="5">
        <f t="shared" si="30"/>
        <v>-3.6841447409536938E-2</v>
      </c>
    </row>
    <row r="1988" spans="1:8" ht="13.5" x14ac:dyDescent="0.25">
      <c r="A1988" s="1"/>
      <c r="B1988" s="3">
        <v>45195</v>
      </c>
      <c r="C1988" s="4">
        <v>3.83</v>
      </c>
      <c r="D1988" s="4">
        <v>3.2254</v>
      </c>
      <c r="E1988" s="4">
        <v>7188</v>
      </c>
      <c r="F1988" s="4">
        <v>3.7930000000000001</v>
      </c>
      <c r="G1988" s="4">
        <v>27264.083999999999</v>
      </c>
      <c r="H1988" s="5">
        <f t="shared" si="30"/>
        <v>4.6426369918567308E-2</v>
      </c>
    </row>
    <row r="1989" spans="1:8" ht="13.5" x14ac:dyDescent="0.25">
      <c r="A1989" s="1"/>
      <c r="B1989" s="3">
        <v>45197</v>
      </c>
      <c r="C1989" s="4">
        <v>3.8</v>
      </c>
      <c r="D1989" s="4">
        <v>3.2002000000000002</v>
      </c>
      <c r="E1989" s="4">
        <v>495</v>
      </c>
      <c r="F1989" s="4">
        <v>3.8180000000000001</v>
      </c>
      <c r="G1989" s="4">
        <v>1889.91</v>
      </c>
      <c r="H1989" s="5">
        <f t="shared" si="30"/>
        <v>-7.8129844360389066E-3</v>
      </c>
    </row>
    <row r="1990" spans="1:8" ht="13.5" x14ac:dyDescent="0.25">
      <c r="A1990" s="1"/>
      <c r="B1990" s="3">
        <v>45198</v>
      </c>
      <c r="C1990" s="4">
        <v>3.8</v>
      </c>
      <c r="D1990" s="4">
        <v>3.2002000000000002</v>
      </c>
      <c r="E1990" s="4">
        <v>169</v>
      </c>
      <c r="F1990" s="4">
        <v>3.798</v>
      </c>
      <c r="G1990" s="4">
        <v>641.86199999999997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3.79</v>
      </c>
      <c r="D1991" s="4">
        <v>3.1917</v>
      </c>
      <c r="E1991" s="4">
        <v>1195</v>
      </c>
      <c r="F1991" s="4">
        <v>3.74</v>
      </c>
      <c r="G1991" s="4">
        <v>4469.3</v>
      </c>
      <c r="H1991" s="5">
        <f t="shared" ref="H1991:H2054" si="31">(D1991-D1990)/D1990</f>
        <v>-2.6560839947503824E-3</v>
      </c>
    </row>
    <row r="1992" spans="1:8" ht="13.5" x14ac:dyDescent="0.25">
      <c r="A1992" s="1"/>
      <c r="B1992" s="3">
        <v>45202</v>
      </c>
      <c r="C1992" s="4">
        <v>3.77</v>
      </c>
      <c r="D1992" s="4">
        <v>3.1749000000000001</v>
      </c>
      <c r="E1992" s="4">
        <v>6283</v>
      </c>
      <c r="F1992" s="4">
        <v>3.7</v>
      </c>
      <c r="G1992" s="4">
        <v>23247.1</v>
      </c>
      <c r="H1992" s="5">
        <f t="shared" si="31"/>
        <v>-5.2636525989284474E-3</v>
      </c>
    </row>
    <row r="1993" spans="1:8" ht="13.5" x14ac:dyDescent="0.25">
      <c r="A1993" s="1"/>
      <c r="B1993" s="3">
        <v>45203</v>
      </c>
      <c r="C1993" s="4">
        <v>3.7</v>
      </c>
      <c r="D1993" s="4">
        <v>3.1158999999999999</v>
      </c>
      <c r="E1993" s="4">
        <v>205</v>
      </c>
      <c r="F1993" s="4">
        <v>3.7</v>
      </c>
      <c r="G1993" s="4">
        <v>758.5</v>
      </c>
      <c r="H1993" s="5">
        <f t="shared" si="31"/>
        <v>-1.8583262464959577E-2</v>
      </c>
    </row>
    <row r="1994" spans="1:8" ht="13.5" x14ac:dyDescent="0.25">
      <c r="A1994" s="1"/>
      <c r="B1994" s="3">
        <v>45204</v>
      </c>
      <c r="C1994" s="4">
        <v>3.75</v>
      </c>
      <c r="D1994" s="4">
        <v>3.1579999999999999</v>
      </c>
      <c r="E1994" s="4">
        <v>151</v>
      </c>
      <c r="F1994" s="4">
        <v>3.7</v>
      </c>
      <c r="G1994" s="4">
        <v>558.70000000000005</v>
      </c>
      <c r="H1994" s="5">
        <f t="shared" si="31"/>
        <v>1.3511345036747016E-2</v>
      </c>
    </row>
    <row r="1995" spans="1:8" ht="13.5" x14ac:dyDescent="0.25">
      <c r="A1995" s="1"/>
      <c r="B1995" s="3">
        <v>45205</v>
      </c>
      <c r="C1995" s="4">
        <v>3.85</v>
      </c>
      <c r="D1995" s="4">
        <v>3.2423000000000002</v>
      </c>
      <c r="E1995" s="4">
        <v>2882</v>
      </c>
      <c r="F1995" s="4">
        <v>3.8570000000000002</v>
      </c>
      <c r="G1995" s="4">
        <v>11115.874</v>
      </c>
      <c r="H1995" s="5">
        <f t="shared" si="31"/>
        <v>2.6694110196326875E-2</v>
      </c>
    </row>
    <row r="1996" spans="1:8" ht="13.5" x14ac:dyDescent="0.25">
      <c r="A1996" s="1"/>
      <c r="B1996" s="3">
        <v>45208</v>
      </c>
      <c r="C1996" s="4">
        <v>3.9</v>
      </c>
      <c r="D1996" s="4">
        <v>3.2844000000000002</v>
      </c>
      <c r="E1996" s="4">
        <v>133</v>
      </c>
      <c r="F1996" s="4">
        <v>3.891</v>
      </c>
      <c r="G1996" s="4">
        <v>517.50300000000004</v>
      </c>
      <c r="H1996" s="5">
        <f t="shared" si="31"/>
        <v>1.2984609690651705E-2</v>
      </c>
    </row>
    <row r="1997" spans="1:8" ht="13.5" x14ac:dyDescent="0.25">
      <c r="A1997" s="1"/>
      <c r="B1997" s="3">
        <v>45209</v>
      </c>
      <c r="C1997" s="4">
        <v>3.9</v>
      </c>
      <c r="D1997" s="4">
        <v>3.2844000000000002</v>
      </c>
      <c r="E1997" s="4">
        <v>36</v>
      </c>
      <c r="F1997" s="4">
        <v>3.9369999999999998</v>
      </c>
      <c r="G1997" s="4">
        <v>141.732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3.88</v>
      </c>
      <c r="D1998" s="4">
        <v>3.2675000000000001</v>
      </c>
      <c r="E1998" s="4">
        <v>2836</v>
      </c>
      <c r="F1998" s="4">
        <v>3.8679999999999999</v>
      </c>
      <c r="G1998" s="4">
        <v>10969.647999999999</v>
      </c>
      <c r="H1998" s="5">
        <f t="shared" si="31"/>
        <v>-5.1455364754597905E-3</v>
      </c>
    </row>
    <row r="1999" spans="1:8" ht="13.5" x14ac:dyDescent="0.25">
      <c r="A1999" s="1"/>
      <c r="B1999" s="3">
        <v>45211</v>
      </c>
      <c r="C1999" s="4">
        <v>3.88</v>
      </c>
      <c r="D1999" s="4">
        <v>3.2675000000000001</v>
      </c>
      <c r="E1999" s="4">
        <v>149</v>
      </c>
      <c r="F1999" s="4">
        <v>3.88</v>
      </c>
      <c r="G1999" s="4">
        <v>578.12</v>
      </c>
      <c r="H1999" s="5">
        <f t="shared" si="31"/>
        <v>0</v>
      </c>
    </row>
    <row r="2000" spans="1:8" ht="13.5" x14ac:dyDescent="0.25">
      <c r="A2000" s="1"/>
      <c r="B2000" s="3">
        <v>45212</v>
      </c>
      <c r="C2000" s="4">
        <v>3.88</v>
      </c>
      <c r="D2000" s="4">
        <v>3.2675000000000001</v>
      </c>
      <c r="E2000" s="4">
        <v>1701</v>
      </c>
      <c r="F2000" s="4">
        <v>3.8690000000000002</v>
      </c>
      <c r="G2000" s="4">
        <v>6581.1689999999999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3.87</v>
      </c>
      <c r="D2001" s="4">
        <v>3.2591000000000001</v>
      </c>
      <c r="E2001" s="4">
        <v>525</v>
      </c>
      <c r="F2001" s="4">
        <v>3.87</v>
      </c>
      <c r="G2001" s="4">
        <v>2031.75</v>
      </c>
      <c r="H2001" s="5">
        <f t="shared" si="31"/>
        <v>-2.5707727620504859E-3</v>
      </c>
    </row>
    <row r="2002" spans="1:8" ht="13.5" x14ac:dyDescent="0.25">
      <c r="A2002" s="1"/>
      <c r="B2002" s="3">
        <v>45216</v>
      </c>
      <c r="C2002" s="4">
        <v>3.87</v>
      </c>
      <c r="D2002" s="4">
        <v>3.2591000000000001</v>
      </c>
      <c r="E2002" s="4">
        <v>20</v>
      </c>
      <c r="F2002" s="4">
        <v>3.87</v>
      </c>
      <c r="G2002" s="4">
        <v>77.400000000000006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3.8</v>
      </c>
      <c r="D2003" s="4">
        <v>3.2002000000000002</v>
      </c>
      <c r="E2003" s="4">
        <v>1255</v>
      </c>
      <c r="F2003" s="4">
        <v>3.8</v>
      </c>
      <c r="G2003" s="4">
        <v>4769</v>
      </c>
      <c r="H2003" s="5">
        <f t="shared" si="31"/>
        <v>-1.8072473995888419E-2</v>
      </c>
    </row>
    <row r="2004" spans="1:8" ht="13.5" x14ac:dyDescent="0.25">
      <c r="A2004" s="1"/>
      <c r="B2004" s="3">
        <v>45218</v>
      </c>
      <c r="C2004" s="4">
        <v>3.8</v>
      </c>
      <c r="D2004" s="4">
        <v>3.2002000000000002</v>
      </c>
      <c r="E2004" s="4">
        <v>2</v>
      </c>
      <c r="F2004" s="4">
        <v>3.84</v>
      </c>
      <c r="G2004" s="4">
        <v>7.68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3.76</v>
      </c>
      <c r="D2005" s="4">
        <v>3.1665000000000001</v>
      </c>
      <c r="E2005" s="4">
        <v>63</v>
      </c>
      <c r="F2005" s="4">
        <v>3.8220000000000001</v>
      </c>
      <c r="G2005" s="4">
        <v>240.786</v>
      </c>
      <c r="H2005" s="5">
        <f t="shared" si="31"/>
        <v>-1.0530591838010143E-2</v>
      </c>
    </row>
    <row r="2006" spans="1:8" ht="13.5" x14ac:dyDescent="0.25">
      <c r="A2006" s="1"/>
      <c r="B2006" s="3">
        <v>45222</v>
      </c>
      <c r="C2006" s="4">
        <v>3.88</v>
      </c>
      <c r="D2006" s="4">
        <v>3.2675000000000001</v>
      </c>
      <c r="E2006" s="4">
        <v>3262</v>
      </c>
      <c r="F2006" s="4">
        <v>3.7839999999999998</v>
      </c>
      <c r="G2006" s="4">
        <v>12343.407999999999</v>
      </c>
      <c r="H2006" s="5">
        <f t="shared" si="31"/>
        <v>3.1896415600821085E-2</v>
      </c>
    </row>
    <row r="2007" spans="1:8" ht="13.5" x14ac:dyDescent="0.25">
      <c r="A2007" s="1"/>
      <c r="B2007" s="3">
        <v>45223</v>
      </c>
      <c r="C2007" s="4">
        <v>3.88</v>
      </c>
      <c r="D2007" s="4">
        <v>3.2675000000000001</v>
      </c>
      <c r="E2007" s="4">
        <v>823</v>
      </c>
      <c r="F2007" s="4">
        <v>3.8220000000000001</v>
      </c>
      <c r="G2007" s="4">
        <v>3145.5059999999999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3.86</v>
      </c>
      <c r="D2008" s="4">
        <v>3.2507000000000001</v>
      </c>
      <c r="E2008" s="4">
        <v>880</v>
      </c>
      <c r="F2008" s="4">
        <v>3.8410000000000002</v>
      </c>
      <c r="G2008" s="4">
        <v>3380.08</v>
      </c>
      <c r="H2008" s="5">
        <f t="shared" si="31"/>
        <v>-5.1415455241009718E-3</v>
      </c>
    </row>
    <row r="2009" spans="1:8" ht="13.5" x14ac:dyDescent="0.25">
      <c r="A2009" s="1"/>
      <c r="B2009" s="3">
        <v>45225</v>
      </c>
      <c r="C2009" s="4">
        <v>3.86</v>
      </c>
      <c r="D2009" s="4">
        <v>3.2507000000000001</v>
      </c>
      <c r="E2009" s="4">
        <v>0</v>
      </c>
      <c r="F2009" s="4">
        <v>0</v>
      </c>
      <c r="G2009" s="4">
        <v>0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3.87</v>
      </c>
      <c r="D2010" s="4">
        <v>3.2591000000000001</v>
      </c>
      <c r="E2010" s="4">
        <v>9186</v>
      </c>
      <c r="F2010" s="4">
        <v>3.8940000000000001</v>
      </c>
      <c r="G2010" s="4">
        <v>35770.284</v>
      </c>
      <c r="H2010" s="5">
        <f t="shared" si="31"/>
        <v>2.5840588181007054E-3</v>
      </c>
    </row>
    <row r="2011" spans="1:8" ht="13.5" x14ac:dyDescent="0.25">
      <c r="A2011" s="1"/>
      <c r="B2011" s="3">
        <v>45229</v>
      </c>
      <c r="C2011" s="4">
        <v>3.75</v>
      </c>
      <c r="D2011" s="4">
        <v>3.1579999999999999</v>
      </c>
      <c r="E2011" s="4">
        <v>1116</v>
      </c>
      <c r="F2011" s="4">
        <v>3.7519999999999998</v>
      </c>
      <c r="G2011" s="4">
        <v>4187.232</v>
      </c>
      <c r="H2011" s="5">
        <f t="shared" si="31"/>
        <v>-3.1020833972569172E-2</v>
      </c>
    </row>
    <row r="2012" spans="1:8" ht="13.5" x14ac:dyDescent="0.25">
      <c r="A2012" s="1"/>
      <c r="B2012" s="3">
        <v>45230</v>
      </c>
      <c r="C2012" s="4">
        <v>3.75</v>
      </c>
      <c r="D2012" s="4">
        <v>3.1579999999999999</v>
      </c>
      <c r="E2012" s="4">
        <v>6974</v>
      </c>
      <c r="F2012" s="4">
        <v>3.694</v>
      </c>
      <c r="G2012" s="4">
        <v>25761.955999999998</v>
      </c>
      <c r="H2012" s="5">
        <f t="shared" si="31"/>
        <v>0</v>
      </c>
    </row>
    <row r="2013" spans="1:8" ht="13.5" x14ac:dyDescent="0.25">
      <c r="A2013" s="1"/>
      <c r="B2013" s="3">
        <v>45231</v>
      </c>
      <c r="C2013" s="4">
        <v>3.67</v>
      </c>
      <c r="D2013" s="4">
        <v>3.0907</v>
      </c>
      <c r="E2013" s="4">
        <v>40</v>
      </c>
      <c r="F2013" s="4">
        <v>3.794</v>
      </c>
      <c r="G2013" s="4">
        <v>151.76</v>
      </c>
      <c r="H2013" s="5">
        <f t="shared" si="31"/>
        <v>-2.1310956301456591E-2</v>
      </c>
    </row>
    <row r="2014" spans="1:8" ht="13.5" x14ac:dyDescent="0.25">
      <c r="A2014" s="1"/>
      <c r="B2014" s="3">
        <v>45232</v>
      </c>
      <c r="C2014" s="4">
        <v>3.67</v>
      </c>
      <c r="D2014" s="4">
        <v>3.0907</v>
      </c>
      <c r="E2014" s="4">
        <v>1020</v>
      </c>
      <c r="F2014" s="4">
        <v>3.6749999999999998</v>
      </c>
      <c r="G2014" s="4">
        <v>3748.5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3.6</v>
      </c>
      <c r="D2015" s="4">
        <v>3.0316999999999998</v>
      </c>
      <c r="E2015" s="4">
        <v>3864</v>
      </c>
      <c r="F2015" s="4">
        <v>3.6</v>
      </c>
      <c r="G2015" s="4">
        <v>13910.4</v>
      </c>
      <c r="H2015" s="5">
        <f t="shared" si="31"/>
        <v>-1.9089526644449531E-2</v>
      </c>
    </row>
    <row r="2016" spans="1:8" ht="13.5" x14ac:dyDescent="0.25">
      <c r="A2016" s="1"/>
      <c r="B2016" s="3">
        <v>45236</v>
      </c>
      <c r="C2016" s="4">
        <v>3.52</v>
      </c>
      <c r="D2016" s="4">
        <v>2.9643999999999999</v>
      </c>
      <c r="E2016" s="4">
        <v>5744</v>
      </c>
      <c r="F2016" s="4">
        <v>3.54</v>
      </c>
      <c r="G2016" s="4">
        <v>20333.759999999998</v>
      </c>
      <c r="H2016" s="5">
        <f t="shared" si="31"/>
        <v>-2.2198766368704E-2</v>
      </c>
    </row>
    <row r="2017" spans="1:8" ht="13.5" x14ac:dyDescent="0.25">
      <c r="A2017" s="1"/>
      <c r="B2017" s="3">
        <v>45237</v>
      </c>
      <c r="C2017" s="4">
        <v>3.6</v>
      </c>
      <c r="D2017" s="4">
        <v>3.0316999999999998</v>
      </c>
      <c r="E2017" s="4">
        <v>4046</v>
      </c>
      <c r="F2017" s="4">
        <v>3.5249999999999999</v>
      </c>
      <c r="G2017" s="4">
        <v>14262.15</v>
      </c>
      <c r="H2017" s="5">
        <f t="shared" si="31"/>
        <v>2.2702739171501795E-2</v>
      </c>
    </row>
    <row r="2018" spans="1:8" ht="13.5" x14ac:dyDescent="0.25">
      <c r="A2018" s="1"/>
      <c r="B2018" s="3">
        <v>45238</v>
      </c>
      <c r="C2018" s="4">
        <v>3.69</v>
      </c>
      <c r="D2018" s="4">
        <v>3.1074999999999999</v>
      </c>
      <c r="E2018" s="4">
        <v>964</v>
      </c>
      <c r="F2018" s="4">
        <v>3.6509999999999998</v>
      </c>
      <c r="G2018" s="4">
        <v>3519.5639999999999</v>
      </c>
      <c r="H2018" s="5">
        <f t="shared" si="31"/>
        <v>2.5002473859550779E-2</v>
      </c>
    </row>
    <row r="2019" spans="1:8" ht="13.5" x14ac:dyDescent="0.25">
      <c r="A2019" s="1"/>
      <c r="B2019" s="3">
        <v>45239</v>
      </c>
      <c r="C2019" s="4">
        <v>3.69</v>
      </c>
      <c r="D2019" s="4">
        <v>3.1074999999999999</v>
      </c>
      <c r="E2019" s="4">
        <v>158</v>
      </c>
      <c r="F2019" s="4">
        <v>3.69</v>
      </c>
      <c r="G2019" s="4">
        <v>583.02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3.69</v>
      </c>
      <c r="D2020" s="4">
        <v>3.1074999999999999</v>
      </c>
      <c r="E2020" s="4">
        <v>0</v>
      </c>
      <c r="F2020" s="4">
        <v>0</v>
      </c>
      <c r="G2020" s="4">
        <v>0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3.65</v>
      </c>
      <c r="D2021" s="4">
        <v>3.0737999999999999</v>
      </c>
      <c r="E2021" s="4">
        <v>488</v>
      </c>
      <c r="F2021" s="4">
        <v>3.65</v>
      </c>
      <c r="G2021" s="4">
        <v>1781.2</v>
      </c>
      <c r="H2021" s="5">
        <f t="shared" si="31"/>
        <v>-1.084473049074821E-2</v>
      </c>
    </row>
    <row r="2022" spans="1:8" ht="13.5" x14ac:dyDescent="0.25">
      <c r="A2022" s="1"/>
      <c r="B2022" s="3">
        <v>45244</v>
      </c>
      <c r="C2022" s="4">
        <v>3.64</v>
      </c>
      <c r="D2022" s="4">
        <v>3.0653999999999999</v>
      </c>
      <c r="E2022" s="4">
        <v>151</v>
      </c>
      <c r="F2022" s="4">
        <v>3.58</v>
      </c>
      <c r="G2022" s="4">
        <v>540.58000000000004</v>
      </c>
      <c r="H2022" s="5">
        <f t="shared" si="31"/>
        <v>-2.7327737653718405E-3</v>
      </c>
    </row>
    <row r="2023" spans="1:8" ht="13.5" x14ac:dyDescent="0.25">
      <c r="A2023" s="1"/>
      <c r="B2023" s="3">
        <v>45245</v>
      </c>
      <c r="C2023" s="4">
        <v>3.75</v>
      </c>
      <c r="D2023" s="4">
        <v>3.1579999999999999</v>
      </c>
      <c r="E2023" s="4">
        <v>7327</v>
      </c>
      <c r="F2023" s="4">
        <v>3.7320000000000002</v>
      </c>
      <c r="G2023" s="4">
        <v>27344.364000000001</v>
      </c>
      <c r="H2023" s="5">
        <f t="shared" si="31"/>
        <v>3.0208129444770672E-2</v>
      </c>
    </row>
    <row r="2024" spans="1:8" ht="13.5" x14ac:dyDescent="0.25">
      <c r="A2024" s="1"/>
      <c r="B2024" s="3">
        <v>45246</v>
      </c>
      <c r="C2024" s="4">
        <v>3.7</v>
      </c>
      <c r="D2024" s="4">
        <v>3.1158999999999999</v>
      </c>
      <c r="E2024" s="4">
        <v>1728</v>
      </c>
      <c r="F2024" s="4">
        <v>3.641</v>
      </c>
      <c r="G2024" s="4">
        <v>6291.6480000000001</v>
      </c>
      <c r="H2024" s="5">
        <f t="shared" si="31"/>
        <v>-1.3331222292590256E-2</v>
      </c>
    </row>
    <row r="2025" spans="1:8" ht="13.5" x14ac:dyDescent="0.25">
      <c r="A2025" s="1"/>
      <c r="B2025" s="3">
        <v>45247</v>
      </c>
      <c r="C2025" s="4">
        <v>3.67</v>
      </c>
      <c r="D2025" s="4">
        <v>3.0907</v>
      </c>
      <c r="E2025" s="4">
        <v>3234</v>
      </c>
      <c r="F2025" s="4">
        <v>3.6019999999999999</v>
      </c>
      <c r="G2025" s="4">
        <v>11648.868</v>
      </c>
      <c r="H2025" s="5">
        <f t="shared" si="31"/>
        <v>-8.087550948361593E-3</v>
      </c>
    </row>
    <row r="2026" spans="1:8" ht="13.5" x14ac:dyDescent="0.25">
      <c r="A2026" s="1"/>
      <c r="B2026" s="3">
        <v>45250</v>
      </c>
      <c r="C2026" s="4">
        <v>3.62</v>
      </c>
      <c r="D2026" s="4">
        <v>3.0486</v>
      </c>
      <c r="E2026" s="4">
        <v>1930</v>
      </c>
      <c r="F2026" s="4">
        <v>3.605</v>
      </c>
      <c r="G2026" s="4">
        <v>6957.65</v>
      </c>
      <c r="H2026" s="5">
        <f t="shared" si="31"/>
        <v>-1.3621509690361416E-2</v>
      </c>
    </row>
    <row r="2027" spans="1:8" ht="13.5" x14ac:dyDescent="0.25">
      <c r="A2027" s="1"/>
      <c r="B2027" s="3">
        <v>45251</v>
      </c>
      <c r="C2027" s="4">
        <v>3.62</v>
      </c>
      <c r="D2027" s="4">
        <v>3.0486</v>
      </c>
      <c r="E2027" s="4">
        <v>1855</v>
      </c>
      <c r="F2027" s="4">
        <v>3.6</v>
      </c>
      <c r="G2027" s="4">
        <v>6678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3.65</v>
      </c>
      <c r="D2028" s="4">
        <v>3.0737999999999999</v>
      </c>
      <c r="E2028" s="4">
        <v>4645</v>
      </c>
      <c r="F2028" s="4">
        <v>3.5819999999999999</v>
      </c>
      <c r="G2028" s="4">
        <v>16638.39</v>
      </c>
      <c r="H2028" s="5">
        <f t="shared" si="31"/>
        <v>8.2660893524896303E-3</v>
      </c>
    </row>
    <row r="2029" spans="1:8" ht="13.5" x14ac:dyDescent="0.25">
      <c r="A2029" s="1"/>
      <c r="B2029" s="3">
        <v>45253</v>
      </c>
      <c r="C2029" s="4">
        <v>3.64</v>
      </c>
      <c r="D2029" s="4">
        <v>3.0653999999999999</v>
      </c>
      <c r="E2029" s="4">
        <v>1429</v>
      </c>
      <c r="F2029" s="4">
        <v>3.609</v>
      </c>
      <c r="G2029" s="4">
        <v>5157.2610000000004</v>
      </c>
      <c r="H2029" s="5">
        <f t="shared" si="31"/>
        <v>-2.7327737653718405E-3</v>
      </c>
    </row>
    <row r="2030" spans="1:8" ht="13.5" x14ac:dyDescent="0.25">
      <c r="A2030" s="1"/>
      <c r="B2030" s="3">
        <v>45254</v>
      </c>
      <c r="C2030" s="4">
        <v>3.6</v>
      </c>
      <c r="D2030" s="4">
        <v>3.0316999999999998</v>
      </c>
      <c r="E2030" s="4">
        <v>3780</v>
      </c>
      <c r="F2030" s="4">
        <v>3.6160000000000001</v>
      </c>
      <c r="G2030" s="4">
        <v>13668.48</v>
      </c>
      <c r="H2030" s="5">
        <f t="shared" si="31"/>
        <v>-1.0993671299014832E-2</v>
      </c>
    </row>
    <row r="2031" spans="1:8" ht="13.5" x14ac:dyDescent="0.25">
      <c r="A2031" s="1"/>
      <c r="B2031" s="3">
        <v>45257</v>
      </c>
      <c r="C2031" s="4">
        <v>3.65</v>
      </c>
      <c r="D2031" s="4">
        <v>3.0737999999999999</v>
      </c>
      <c r="E2031" s="4">
        <v>34</v>
      </c>
      <c r="F2031" s="4">
        <v>3.5859999999999999</v>
      </c>
      <c r="G2031" s="4">
        <v>121.92400000000001</v>
      </c>
      <c r="H2031" s="5">
        <f t="shared" si="31"/>
        <v>1.3886598278193761E-2</v>
      </c>
    </row>
    <row r="2032" spans="1:8" ht="13.5" x14ac:dyDescent="0.25">
      <c r="A2032" s="1"/>
      <c r="B2032" s="3">
        <v>45258</v>
      </c>
      <c r="C2032" s="4">
        <v>3.65</v>
      </c>
      <c r="D2032" s="4">
        <v>3.0737999999999999</v>
      </c>
      <c r="E2032" s="4">
        <v>2905</v>
      </c>
      <c r="F2032" s="4">
        <v>3.605</v>
      </c>
      <c r="G2032" s="4">
        <v>10472.525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3.65</v>
      </c>
      <c r="D2033" s="4">
        <v>3.0737999999999999</v>
      </c>
      <c r="E2033" s="4">
        <v>4631</v>
      </c>
      <c r="F2033" s="4">
        <v>3.6019999999999999</v>
      </c>
      <c r="G2033" s="4">
        <v>16680.862000000001</v>
      </c>
      <c r="H2033" s="5">
        <f t="shared" si="31"/>
        <v>0</v>
      </c>
    </row>
    <row r="2034" spans="1:8" ht="13.5" x14ac:dyDescent="0.25">
      <c r="A2034" s="1"/>
      <c r="B2034" s="3">
        <v>45260</v>
      </c>
      <c r="C2034" s="4">
        <v>3.65</v>
      </c>
      <c r="D2034" s="4">
        <v>3.0737999999999999</v>
      </c>
      <c r="E2034" s="4">
        <v>0</v>
      </c>
      <c r="F2034" s="4">
        <v>0</v>
      </c>
      <c r="G2034" s="4">
        <v>0</v>
      </c>
      <c r="H2034" s="5">
        <f t="shared" si="31"/>
        <v>0</v>
      </c>
    </row>
    <row r="2035" spans="1:8" ht="13.5" x14ac:dyDescent="0.25">
      <c r="A2035" s="1"/>
      <c r="B2035" s="3">
        <v>45261</v>
      </c>
      <c r="C2035" s="4">
        <v>3.62</v>
      </c>
      <c r="D2035" s="4">
        <v>3.0486</v>
      </c>
      <c r="E2035" s="4">
        <v>749</v>
      </c>
      <c r="F2035" s="4">
        <v>3.5750000000000002</v>
      </c>
      <c r="G2035" s="4">
        <v>2677.6750000000002</v>
      </c>
      <c r="H2035" s="5">
        <f t="shared" si="31"/>
        <v>-8.1983212961155207E-3</v>
      </c>
    </row>
    <row r="2036" spans="1:8" ht="13.5" x14ac:dyDescent="0.25">
      <c r="A2036" s="1"/>
      <c r="B2036" s="3">
        <v>45264</v>
      </c>
      <c r="C2036" s="4">
        <v>3.62</v>
      </c>
      <c r="D2036" s="4">
        <v>3.0486</v>
      </c>
      <c r="E2036" s="4">
        <v>752</v>
      </c>
      <c r="F2036" s="4">
        <v>3.601</v>
      </c>
      <c r="G2036" s="4">
        <v>2707.9520000000002</v>
      </c>
      <c r="H2036" s="5">
        <f t="shared" si="31"/>
        <v>0</v>
      </c>
    </row>
    <row r="2037" spans="1:8" ht="13.5" x14ac:dyDescent="0.25">
      <c r="A2037" s="1"/>
      <c r="B2037" s="3">
        <v>45265</v>
      </c>
      <c r="C2037" s="4">
        <v>3.6</v>
      </c>
      <c r="D2037" s="4">
        <v>3.0316999999999998</v>
      </c>
      <c r="E2037" s="4">
        <v>1545</v>
      </c>
      <c r="F2037" s="4">
        <v>3.556</v>
      </c>
      <c r="G2037" s="4">
        <v>5494.02</v>
      </c>
      <c r="H2037" s="5">
        <f t="shared" si="31"/>
        <v>-5.5435281768681155E-3</v>
      </c>
    </row>
    <row r="2038" spans="1:8" ht="13.5" x14ac:dyDescent="0.25">
      <c r="A2038" s="1"/>
      <c r="B2038" s="3">
        <v>45266</v>
      </c>
      <c r="C2038" s="4">
        <v>3.6</v>
      </c>
      <c r="D2038" s="4">
        <v>3.0316999999999998</v>
      </c>
      <c r="E2038" s="4">
        <v>712</v>
      </c>
      <c r="F2038" s="4">
        <v>3.589</v>
      </c>
      <c r="G2038" s="4">
        <v>2555.3679999999999</v>
      </c>
      <c r="H2038" s="5">
        <f t="shared" si="31"/>
        <v>0</v>
      </c>
    </row>
    <row r="2039" spans="1:8" ht="13.5" x14ac:dyDescent="0.25">
      <c r="A2039" s="1"/>
      <c r="B2039" s="3">
        <v>45267</v>
      </c>
      <c r="C2039" s="4">
        <v>3.64</v>
      </c>
      <c r="D2039" s="4">
        <v>3.0653999999999999</v>
      </c>
      <c r="E2039" s="4">
        <v>8100</v>
      </c>
      <c r="F2039" s="4">
        <v>3.609</v>
      </c>
      <c r="G2039" s="4">
        <v>29232.9</v>
      </c>
      <c r="H2039" s="5">
        <f t="shared" si="31"/>
        <v>1.1115875581357015E-2</v>
      </c>
    </row>
    <row r="2040" spans="1:8" ht="13.5" x14ac:dyDescent="0.25">
      <c r="A2040" s="1"/>
      <c r="B2040" s="3">
        <v>45268</v>
      </c>
      <c r="C2040" s="4">
        <v>3.63</v>
      </c>
      <c r="D2040" s="4">
        <v>3.0569999999999999</v>
      </c>
      <c r="E2040" s="4">
        <v>3752</v>
      </c>
      <c r="F2040" s="4">
        <v>3.5459999999999998</v>
      </c>
      <c r="G2040" s="4">
        <v>13304.592000000001</v>
      </c>
      <c r="H2040" s="5">
        <f t="shared" si="31"/>
        <v>-2.7402622822470029E-3</v>
      </c>
    </row>
    <row r="2041" spans="1:8" ht="13.5" x14ac:dyDescent="0.25">
      <c r="A2041" s="1"/>
      <c r="B2041" s="3">
        <v>45271</v>
      </c>
      <c r="C2041" s="4">
        <v>3.62</v>
      </c>
      <c r="D2041" s="4">
        <v>3.0486</v>
      </c>
      <c r="E2041" s="4">
        <v>12843</v>
      </c>
      <c r="F2041" s="4">
        <v>3.6080000000000001</v>
      </c>
      <c r="G2041" s="4">
        <v>46337.544000000002</v>
      </c>
      <c r="H2041" s="5">
        <f t="shared" si="31"/>
        <v>-2.7477919528949833E-3</v>
      </c>
    </row>
    <row r="2042" spans="1:8" ht="13.5" x14ac:dyDescent="0.25">
      <c r="A2042" s="1"/>
      <c r="B2042" s="3">
        <v>45272</v>
      </c>
      <c r="C2042" s="4">
        <v>3.62</v>
      </c>
      <c r="D2042" s="4">
        <v>3.0486</v>
      </c>
      <c r="E2042" s="4">
        <v>155</v>
      </c>
      <c r="F2042" s="4">
        <v>3.597</v>
      </c>
      <c r="G2042" s="4">
        <v>557.53499999999997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3.6</v>
      </c>
      <c r="D2043" s="4">
        <v>3.0316999999999998</v>
      </c>
      <c r="E2043" s="4">
        <v>14954</v>
      </c>
      <c r="F2043" s="4">
        <v>3.6</v>
      </c>
      <c r="G2043" s="4">
        <v>53834.400000000001</v>
      </c>
      <c r="H2043" s="5">
        <f t="shared" si="31"/>
        <v>-5.5435281768681155E-3</v>
      </c>
    </row>
    <row r="2044" spans="1:8" ht="13.5" x14ac:dyDescent="0.25">
      <c r="A2044" s="1"/>
      <c r="B2044" s="3">
        <v>45274</v>
      </c>
      <c r="C2044" s="4">
        <v>3.62</v>
      </c>
      <c r="D2044" s="4">
        <v>3.0486</v>
      </c>
      <c r="E2044" s="4">
        <v>2230</v>
      </c>
      <c r="F2044" s="4">
        <v>3.5779999999999998</v>
      </c>
      <c r="G2044" s="4">
        <v>7978.94</v>
      </c>
      <c r="H2044" s="5">
        <f t="shared" si="31"/>
        <v>5.5744301876835232E-3</v>
      </c>
    </row>
    <row r="2045" spans="1:8" ht="13.5" x14ac:dyDescent="0.25">
      <c r="A2045" s="1"/>
      <c r="B2045" s="3">
        <v>45275</v>
      </c>
      <c r="C2045" s="4">
        <v>3.6</v>
      </c>
      <c r="D2045" s="4">
        <v>3.0316999999999998</v>
      </c>
      <c r="E2045" s="4">
        <v>1023</v>
      </c>
      <c r="F2045" s="4">
        <v>3.5550000000000002</v>
      </c>
      <c r="G2045" s="4">
        <v>3636.7649999999999</v>
      </c>
      <c r="H2045" s="5">
        <f t="shared" si="31"/>
        <v>-5.5435281768681155E-3</v>
      </c>
    </row>
    <row r="2046" spans="1:8" ht="13.5" x14ac:dyDescent="0.25">
      <c r="A2046" s="1"/>
      <c r="B2046" s="3">
        <v>45278</v>
      </c>
      <c r="C2046" s="4">
        <v>3.6</v>
      </c>
      <c r="D2046" s="4">
        <v>3.0316999999999998</v>
      </c>
      <c r="E2046" s="4">
        <v>3095</v>
      </c>
      <c r="F2046" s="4">
        <v>3.5630000000000002</v>
      </c>
      <c r="G2046" s="4">
        <v>11027.485000000001</v>
      </c>
      <c r="H2046" s="5">
        <f t="shared" si="31"/>
        <v>0</v>
      </c>
    </row>
    <row r="2047" spans="1:8" ht="13.5" x14ac:dyDescent="0.25">
      <c r="A2047" s="1"/>
      <c r="B2047" s="3">
        <v>45279</v>
      </c>
      <c r="C2047" s="4">
        <v>3.57</v>
      </c>
      <c r="D2047" s="4">
        <v>3.0065</v>
      </c>
      <c r="E2047" s="4">
        <v>9929</v>
      </c>
      <c r="F2047" s="4">
        <v>3.5139999999999998</v>
      </c>
      <c r="G2047" s="4">
        <v>34890.506000000001</v>
      </c>
      <c r="H2047" s="5">
        <f t="shared" si="31"/>
        <v>-8.3121680905102382E-3</v>
      </c>
    </row>
    <row r="2048" spans="1:8" ht="13.5" x14ac:dyDescent="0.25">
      <c r="A2048" s="1"/>
      <c r="B2048" s="3">
        <v>45280</v>
      </c>
      <c r="C2048" s="4">
        <v>3.57</v>
      </c>
      <c r="D2048" s="4">
        <v>3.0065</v>
      </c>
      <c r="E2048" s="4">
        <v>1085</v>
      </c>
      <c r="F2048" s="4">
        <v>3.5</v>
      </c>
      <c r="G2048" s="4">
        <v>3797.5</v>
      </c>
      <c r="H2048" s="5">
        <f t="shared" si="31"/>
        <v>0</v>
      </c>
    </row>
    <row r="2049" spans="1:8" ht="13.5" x14ac:dyDescent="0.25">
      <c r="A2049" s="1"/>
      <c r="B2049" s="3">
        <v>45281</v>
      </c>
      <c r="C2049" s="4">
        <v>3.55</v>
      </c>
      <c r="D2049" s="4">
        <v>2.9895999999999998</v>
      </c>
      <c r="E2049" s="4">
        <v>2092</v>
      </c>
      <c r="F2049" s="4">
        <v>3.4889999999999999</v>
      </c>
      <c r="G2049" s="4">
        <v>7298.9880000000003</v>
      </c>
      <c r="H2049" s="5">
        <f t="shared" si="31"/>
        <v>-5.6211541659737692E-3</v>
      </c>
    </row>
    <row r="2050" spans="1:8" ht="13.5" x14ac:dyDescent="0.25">
      <c r="A2050" s="1"/>
      <c r="B2050" s="3">
        <v>45282</v>
      </c>
      <c r="C2050" s="4">
        <v>3.63</v>
      </c>
      <c r="D2050" s="4">
        <v>3.0569999999999999</v>
      </c>
      <c r="E2050" s="4">
        <v>27909</v>
      </c>
      <c r="F2050" s="4">
        <v>3.6</v>
      </c>
      <c r="G2050" s="4">
        <v>100472.4</v>
      </c>
      <c r="H2050" s="5">
        <f t="shared" si="31"/>
        <v>2.2544822049772588E-2</v>
      </c>
    </row>
    <row r="2051" spans="1:8" ht="13.5" x14ac:dyDescent="0.25">
      <c r="A2051" s="1"/>
      <c r="B2051" s="3">
        <v>45285</v>
      </c>
      <c r="C2051" s="4">
        <v>3.6</v>
      </c>
      <c r="D2051" s="4">
        <v>3.0316999999999998</v>
      </c>
      <c r="E2051" s="4">
        <v>9141</v>
      </c>
      <c r="F2051" s="4">
        <v>3.59</v>
      </c>
      <c r="G2051" s="4">
        <v>32816.19</v>
      </c>
      <c r="H2051" s="5">
        <f t="shared" si="31"/>
        <v>-8.2760876676480546E-3</v>
      </c>
    </row>
    <row r="2052" spans="1:8" ht="13.5" x14ac:dyDescent="0.25">
      <c r="A2052" s="1"/>
      <c r="B2052" s="3">
        <v>45286</v>
      </c>
      <c r="C2052" s="4">
        <v>3.64</v>
      </c>
      <c r="D2052" s="4">
        <v>3.0653999999999999</v>
      </c>
      <c r="E2052" s="4">
        <v>14271</v>
      </c>
      <c r="F2052" s="4">
        <v>3.6150000000000002</v>
      </c>
      <c r="G2052" s="4">
        <v>51589.665000000001</v>
      </c>
      <c r="H2052" s="5">
        <f t="shared" si="31"/>
        <v>1.1115875581357015E-2</v>
      </c>
    </row>
    <row r="2053" spans="1:8" ht="13.5" x14ac:dyDescent="0.25">
      <c r="A2053" s="1"/>
      <c r="B2053" s="3">
        <v>45287</v>
      </c>
      <c r="C2053" s="4">
        <v>3.67</v>
      </c>
      <c r="D2053" s="4">
        <v>3.0907</v>
      </c>
      <c r="E2053" s="4">
        <v>9037</v>
      </c>
      <c r="F2053" s="4">
        <v>3.6469999999999998</v>
      </c>
      <c r="G2053" s="4">
        <v>32957.938999999998</v>
      </c>
      <c r="H2053" s="5">
        <f t="shared" si="31"/>
        <v>8.2534090167678282E-3</v>
      </c>
    </row>
    <row r="2054" spans="1:8" ht="13.5" x14ac:dyDescent="0.25">
      <c r="A2054" s="1"/>
      <c r="B2054" s="3">
        <v>45288</v>
      </c>
      <c r="C2054" s="4">
        <v>3.67</v>
      </c>
      <c r="D2054" s="4">
        <v>3.0907</v>
      </c>
      <c r="E2054" s="4">
        <v>12897</v>
      </c>
      <c r="F2054" s="4">
        <v>3.673</v>
      </c>
      <c r="G2054" s="4">
        <v>47370.680999999997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3.6</v>
      </c>
      <c r="D2055" s="4">
        <v>3.0316999999999998</v>
      </c>
      <c r="E2055" s="4">
        <v>11991</v>
      </c>
      <c r="F2055" s="4">
        <v>3.6070000000000002</v>
      </c>
      <c r="G2055" s="4">
        <v>43251.536999999997</v>
      </c>
      <c r="H2055" s="5">
        <f t="shared" ref="H2055:H2118" si="32">(D2055-D2054)/D2054</f>
        <v>-1.9089526644449531E-2</v>
      </c>
    </row>
    <row r="2056" spans="1:8" ht="13.5" x14ac:dyDescent="0.25">
      <c r="A2056" s="1"/>
      <c r="B2056" s="3">
        <v>45293</v>
      </c>
      <c r="C2056" s="4">
        <v>3.6</v>
      </c>
      <c r="D2056" s="4">
        <v>3.0316999999999998</v>
      </c>
      <c r="E2056" s="4">
        <v>1695</v>
      </c>
      <c r="F2056" s="4">
        <v>3.6059999999999999</v>
      </c>
      <c r="G2056" s="4">
        <v>6112.17</v>
      </c>
      <c r="H2056" s="5">
        <f t="shared" si="32"/>
        <v>0</v>
      </c>
    </row>
    <row r="2057" spans="1:8" ht="13.5" x14ac:dyDescent="0.25">
      <c r="A2057" s="1"/>
      <c r="B2057" s="3">
        <v>45294</v>
      </c>
      <c r="C2057" s="4">
        <v>3.6</v>
      </c>
      <c r="D2057" s="4">
        <v>3.0316999999999998</v>
      </c>
      <c r="E2057" s="4">
        <v>4963</v>
      </c>
      <c r="F2057" s="4">
        <v>3.5529999999999999</v>
      </c>
      <c r="G2057" s="4">
        <v>17633.539000000001</v>
      </c>
      <c r="H2057" s="5">
        <f t="shared" si="32"/>
        <v>0</v>
      </c>
    </row>
    <row r="2058" spans="1:8" ht="13.5" x14ac:dyDescent="0.25">
      <c r="A2058" s="1"/>
      <c r="B2058" s="3">
        <v>45295</v>
      </c>
      <c r="C2058" s="4">
        <v>3.62</v>
      </c>
      <c r="D2058" s="4">
        <v>3.0486</v>
      </c>
      <c r="E2058" s="4">
        <v>18902</v>
      </c>
      <c r="F2058" s="4">
        <v>3.6019999999999999</v>
      </c>
      <c r="G2058" s="4">
        <v>68085.004000000001</v>
      </c>
      <c r="H2058" s="5">
        <f t="shared" si="32"/>
        <v>5.5744301876835232E-3</v>
      </c>
    </row>
    <row r="2059" spans="1:8" ht="13.5" x14ac:dyDescent="0.25">
      <c r="A2059" s="1"/>
      <c r="B2059" s="3">
        <v>45296</v>
      </c>
      <c r="C2059" s="4">
        <v>3.59</v>
      </c>
      <c r="D2059" s="4">
        <v>3.0232999999999999</v>
      </c>
      <c r="E2059" s="4">
        <v>10693</v>
      </c>
      <c r="F2059" s="4">
        <v>3.5619999999999998</v>
      </c>
      <c r="G2059" s="4">
        <v>38088.466</v>
      </c>
      <c r="H2059" s="5">
        <f t="shared" si="32"/>
        <v>-8.2988912943646586E-3</v>
      </c>
    </row>
    <row r="2060" spans="1:8" ht="13.5" x14ac:dyDescent="0.25">
      <c r="A2060" s="1"/>
      <c r="B2060" s="3">
        <v>45299</v>
      </c>
      <c r="C2060" s="4">
        <v>3.59</v>
      </c>
      <c r="D2060" s="4">
        <v>3.0232999999999999</v>
      </c>
      <c r="E2060" s="4">
        <v>924</v>
      </c>
      <c r="F2060" s="4">
        <v>3.5379999999999998</v>
      </c>
      <c r="G2060" s="4">
        <v>3269.1120000000001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3.51</v>
      </c>
      <c r="D2061" s="4">
        <v>2.9559000000000002</v>
      </c>
      <c r="E2061" s="4">
        <v>7265</v>
      </c>
      <c r="F2061" s="4">
        <v>3.5350000000000001</v>
      </c>
      <c r="G2061" s="4">
        <v>25681.775000000001</v>
      </c>
      <c r="H2061" s="5">
        <f t="shared" si="32"/>
        <v>-2.2293520325472063E-2</v>
      </c>
    </row>
    <row r="2062" spans="1:8" ht="13.5" x14ac:dyDescent="0.25">
      <c r="A2062" s="1"/>
      <c r="B2062" s="3">
        <v>45301</v>
      </c>
      <c r="C2062" s="4">
        <v>3.47</v>
      </c>
      <c r="D2062" s="4">
        <v>2.9222000000000001</v>
      </c>
      <c r="E2062" s="4">
        <v>7694</v>
      </c>
      <c r="F2062" s="4">
        <v>3.504</v>
      </c>
      <c r="G2062" s="4">
        <v>26959.776000000002</v>
      </c>
      <c r="H2062" s="5">
        <f t="shared" si="32"/>
        <v>-1.1400926959640062E-2</v>
      </c>
    </row>
    <row r="2063" spans="1:8" ht="13.5" x14ac:dyDescent="0.25">
      <c r="A2063" s="1"/>
      <c r="B2063" s="3">
        <v>45302</v>
      </c>
      <c r="C2063" s="4">
        <v>3.53</v>
      </c>
      <c r="D2063" s="4">
        <v>2.9727999999999999</v>
      </c>
      <c r="E2063" s="4">
        <v>2786</v>
      </c>
      <c r="F2063" s="4">
        <v>3.4689999999999999</v>
      </c>
      <c r="G2063" s="4">
        <v>9664.634</v>
      </c>
      <c r="H2063" s="5">
        <f t="shared" si="32"/>
        <v>1.7315721032099021E-2</v>
      </c>
    </row>
    <row r="2064" spans="1:8" ht="13.5" x14ac:dyDescent="0.25">
      <c r="A2064" s="1"/>
      <c r="B2064" s="3">
        <v>45303</v>
      </c>
      <c r="C2064" s="4">
        <v>3.49</v>
      </c>
      <c r="D2064" s="4">
        <v>2.9390999999999998</v>
      </c>
      <c r="E2064" s="4">
        <v>2511</v>
      </c>
      <c r="F2064" s="4">
        <v>3.4860000000000002</v>
      </c>
      <c r="G2064" s="4">
        <v>8753.3459999999995</v>
      </c>
      <c r="H2064" s="5">
        <f t="shared" si="32"/>
        <v>-1.133611410118409E-2</v>
      </c>
    </row>
    <row r="2065" spans="1:8" ht="13.5" x14ac:dyDescent="0.25">
      <c r="A2065" s="1"/>
      <c r="B2065" s="3">
        <v>45306</v>
      </c>
      <c r="C2065" s="4">
        <v>3.42</v>
      </c>
      <c r="D2065" s="4">
        <v>2.8801000000000001</v>
      </c>
      <c r="E2065" s="4">
        <v>2198</v>
      </c>
      <c r="F2065" s="4">
        <v>3.464</v>
      </c>
      <c r="G2065" s="4">
        <v>7613.8720000000003</v>
      </c>
      <c r="H2065" s="5">
        <f t="shared" si="32"/>
        <v>-2.0074172365690084E-2</v>
      </c>
    </row>
    <row r="2066" spans="1:8" ht="13.5" x14ac:dyDescent="0.25">
      <c r="A2066" s="1"/>
      <c r="B2066" s="3">
        <v>45307</v>
      </c>
      <c r="C2066" s="4">
        <v>3.46</v>
      </c>
      <c r="D2066" s="4">
        <v>2.9138000000000002</v>
      </c>
      <c r="E2066" s="4">
        <v>911</v>
      </c>
      <c r="F2066" s="4">
        <v>3.42</v>
      </c>
      <c r="G2066" s="4">
        <v>3115.62</v>
      </c>
      <c r="H2066" s="5">
        <f t="shared" si="32"/>
        <v>1.1700982604770689E-2</v>
      </c>
    </row>
    <row r="2067" spans="1:8" ht="13.5" x14ac:dyDescent="0.25">
      <c r="A2067" s="1"/>
      <c r="B2067" s="3">
        <v>45308</v>
      </c>
      <c r="C2067" s="4">
        <v>3.43</v>
      </c>
      <c r="D2067" s="4">
        <v>2.8885999999999998</v>
      </c>
      <c r="E2067" s="4">
        <v>9292</v>
      </c>
      <c r="F2067" s="4">
        <v>3.355</v>
      </c>
      <c r="G2067" s="4">
        <v>31174.66</v>
      </c>
      <c r="H2067" s="5">
        <f t="shared" si="32"/>
        <v>-8.6485002402362319E-3</v>
      </c>
    </row>
    <row r="2068" spans="1:8" ht="13.5" x14ac:dyDescent="0.25">
      <c r="A2068" s="1"/>
      <c r="B2068" s="3">
        <v>45309</v>
      </c>
      <c r="C2068" s="4">
        <v>3.4</v>
      </c>
      <c r="D2068" s="4">
        <v>2.8633000000000002</v>
      </c>
      <c r="E2068" s="4">
        <v>2786</v>
      </c>
      <c r="F2068" s="4">
        <v>3.4249999999999998</v>
      </c>
      <c r="G2068" s="4">
        <v>9542.0499999999993</v>
      </c>
      <c r="H2068" s="5">
        <f t="shared" si="32"/>
        <v>-8.7585681645086406E-3</v>
      </c>
    </row>
    <row r="2069" spans="1:8" ht="13.5" x14ac:dyDescent="0.25">
      <c r="A2069" s="1"/>
      <c r="B2069" s="3">
        <v>45310</v>
      </c>
      <c r="C2069" s="4">
        <v>3.35</v>
      </c>
      <c r="D2069" s="4">
        <v>2.8212000000000002</v>
      </c>
      <c r="E2069" s="4">
        <v>4999</v>
      </c>
      <c r="F2069" s="4">
        <v>3.3610000000000002</v>
      </c>
      <c r="G2069" s="4">
        <v>16801.638999999999</v>
      </c>
      <c r="H2069" s="5">
        <f t="shared" si="32"/>
        <v>-1.4703314357559468E-2</v>
      </c>
    </row>
    <row r="2070" spans="1:8" ht="13.5" x14ac:dyDescent="0.25">
      <c r="A2070" s="1"/>
      <c r="B2070" s="3">
        <v>45313</v>
      </c>
      <c r="C2070" s="4">
        <v>3.4</v>
      </c>
      <c r="D2070" s="4">
        <v>2.8633000000000002</v>
      </c>
      <c r="E2070" s="4">
        <v>248</v>
      </c>
      <c r="F2070" s="4">
        <v>3.3250000000000002</v>
      </c>
      <c r="G2070" s="4">
        <v>824.6</v>
      </c>
      <c r="H2070" s="5">
        <f t="shared" si="32"/>
        <v>1.4922727917198364E-2</v>
      </c>
    </row>
    <row r="2071" spans="1:8" ht="13.5" x14ac:dyDescent="0.25">
      <c r="A2071" s="1"/>
      <c r="B2071" s="3">
        <v>45314</v>
      </c>
      <c r="C2071" s="4">
        <v>3.39</v>
      </c>
      <c r="D2071" s="4">
        <v>2.8549000000000002</v>
      </c>
      <c r="E2071" s="4">
        <v>1693</v>
      </c>
      <c r="F2071" s="4">
        <v>3.3450000000000002</v>
      </c>
      <c r="G2071" s="4">
        <v>5663.085</v>
      </c>
      <c r="H2071" s="5">
        <f t="shared" si="32"/>
        <v>-2.9336779240736084E-3</v>
      </c>
    </row>
    <row r="2072" spans="1:8" ht="13.5" x14ac:dyDescent="0.25">
      <c r="A2072" s="1"/>
      <c r="B2072" s="3">
        <v>45315</v>
      </c>
      <c r="C2072" s="4">
        <v>3.37</v>
      </c>
      <c r="D2072" s="4">
        <v>2.8380000000000001</v>
      </c>
      <c r="E2072" s="4">
        <v>650</v>
      </c>
      <c r="F2072" s="4">
        <v>3.3769999999999998</v>
      </c>
      <c r="G2072" s="4">
        <v>2195.0500000000002</v>
      </c>
      <c r="H2072" s="5">
        <f t="shared" si="32"/>
        <v>-5.9196469228344727E-3</v>
      </c>
    </row>
    <row r="2073" spans="1:8" ht="13.5" x14ac:dyDescent="0.25">
      <c r="A2073" s="1"/>
      <c r="B2073" s="3">
        <v>45316</v>
      </c>
      <c r="C2073" s="4">
        <v>3.57</v>
      </c>
      <c r="D2073" s="4">
        <v>3.0065</v>
      </c>
      <c r="E2073" s="4">
        <v>26654</v>
      </c>
      <c r="F2073" s="4">
        <v>3.5529999999999999</v>
      </c>
      <c r="G2073" s="4">
        <v>94701.661999999997</v>
      </c>
      <c r="H2073" s="5">
        <f t="shared" si="32"/>
        <v>5.9372797744890723E-2</v>
      </c>
    </row>
    <row r="2074" spans="1:8" ht="13.5" x14ac:dyDescent="0.25">
      <c r="A2074" s="1"/>
      <c r="B2074" s="3">
        <v>45317</v>
      </c>
      <c r="C2074" s="4">
        <v>3.57</v>
      </c>
      <c r="D2074" s="4">
        <v>3.0065</v>
      </c>
      <c r="E2074" s="4">
        <v>17624</v>
      </c>
      <c r="F2074" s="4">
        <v>3.6360000000000001</v>
      </c>
      <c r="G2074" s="4">
        <v>64080.864000000001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3.55</v>
      </c>
      <c r="D2075" s="4">
        <v>2.9895999999999998</v>
      </c>
      <c r="E2075" s="4">
        <v>10286</v>
      </c>
      <c r="F2075" s="4">
        <v>3.5550000000000002</v>
      </c>
      <c r="G2075" s="4">
        <v>36566.730000000003</v>
      </c>
      <c r="H2075" s="5">
        <f t="shared" si="32"/>
        <v>-5.6211541659737692E-3</v>
      </c>
    </row>
    <row r="2076" spans="1:8" ht="13.5" x14ac:dyDescent="0.25">
      <c r="A2076" s="1"/>
      <c r="B2076" s="3">
        <v>45321</v>
      </c>
      <c r="C2076" s="4">
        <v>3.58</v>
      </c>
      <c r="D2076" s="4">
        <v>3.0148999999999999</v>
      </c>
      <c r="E2076" s="4">
        <v>9565</v>
      </c>
      <c r="F2076" s="4">
        <v>3.5529999999999999</v>
      </c>
      <c r="G2076" s="4">
        <v>33984.445</v>
      </c>
      <c r="H2076" s="5">
        <f t="shared" si="32"/>
        <v>8.4626705913834963E-3</v>
      </c>
    </row>
    <row r="2077" spans="1:8" ht="13.5" x14ac:dyDescent="0.25">
      <c r="A2077" s="1"/>
      <c r="B2077" s="3">
        <v>45322</v>
      </c>
      <c r="C2077" s="4">
        <v>3.62</v>
      </c>
      <c r="D2077" s="4">
        <v>3.0486</v>
      </c>
      <c r="E2077" s="4">
        <v>17540</v>
      </c>
      <c r="F2077" s="4">
        <v>3.593</v>
      </c>
      <c r="G2077" s="4">
        <v>63021.22</v>
      </c>
      <c r="H2077" s="5">
        <f t="shared" si="32"/>
        <v>1.1177816843013057E-2</v>
      </c>
    </row>
    <row r="2078" spans="1:8" ht="13.5" x14ac:dyDescent="0.25">
      <c r="A2078" s="1"/>
      <c r="B2078" s="3">
        <v>45323</v>
      </c>
      <c r="C2078" s="4">
        <v>3.6</v>
      </c>
      <c r="D2078" s="4">
        <v>3.0316999999999998</v>
      </c>
      <c r="E2078" s="4">
        <v>4565</v>
      </c>
      <c r="F2078" s="4">
        <v>3.56</v>
      </c>
      <c r="G2078" s="4">
        <v>16251.4</v>
      </c>
      <c r="H2078" s="5">
        <f t="shared" si="32"/>
        <v>-5.5435281768681155E-3</v>
      </c>
    </row>
    <row r="2079" spans="1:8" ht="13.5" x14ac:dyDescent="0.25">
      <c r="A2079" s="1"/>
      <c r="B2079" s="3">
        <v>45324</v>
      </c>
      <c r="C2079" s="4">
        <v>3.6</v>
      </c>
      <c r="D2079" s="4">
        <v>3.0316999999999998</v>
      </c>
      <c r="E2079" s="4">
        <v>309</v>
      </c>
      <c r="F2079" s="4">
        <v>3.609</v>
      </c>
      <c r="G2079" s="4">
        <v>1115.181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3.69</v>
      </c>
      <c r="D2080" s="4">
        <v>3.1074999999999999</v>
      </c>
      <c r="E2080" s="4">
        <v>33810</v>
      </c>
      <c r="F2080" s="4">
        <v>3.665</v>
      </c>
      <c r="G2080" s="4">
        <v>123913.65</v>
      </c>
      <c r="H2080" s="5">
        <f t="shared" si="32"/>
        <v>2.5002473859550779E-2</v>
      </c>
    </row>
    <row r="2081" spans="1:8" ht="13.5" x14ac:dyDescent="0.25">
      <c r="A2081" s="1"/>
      <c r="B2081" s="3">
        <v>45328</v>
      </c>
      <c r="C2081" s="4">
        <v>3.73</v>
      </c>
      <c r="D2081" s="4">
        <v>3.1412</v>
      </c>
      <c r="E2081" s="4">
        <v>15181</v>
      </c>
      <c r="F2081" s="4">
        <v>3.6859999999999999</v>
      </c>
      <c r="G2081" s="4">
        <v>55957.165999999997</v>
      </c>
      <c r="H2081" s="5">
        <f t="shared" si="32"/>
        <v>1.084473049074821E-2</v>
      </c>
    </row>
    <row r="2082" spans="1:8" ht="13.5" x14ac:dyDescent="0.25">
      <c r="A2082" s="1"/>
      <c r="B2082" s="3">
        <v>45329</v>
      </c>
      <c r="C2082" s="4">
        <v>3.74</v>
      </c>
      <c r="D2082" s="4">
        <v>3.1496</v>
      </c>
      <c r="E2082" s="4">
        <v>17628</v>
      </c>
      <c r="F2082" s="4">
        <v>3.7309999999999999</v>
      </c>
      <c r="G2082" s="4">
        <v>65770.067999999999</v>
      </c>
      <c r="H2082" s="5">
        <f t="shared" si="32"/>
        <v>2.6741372723799706E-3</v>
      </c>
    </row>
    <row r="2083" spans="1:8" ht="13.5" x14ac:dyDescent="0.25">
      <c r="A2083" s="1"/>
      <c r="B2083" s="3">
        <v>45330</v>
      </c>
      <c r="C2083" s="4">
        <v>3.68</v>
      </c>
      <c r="D2083" s="4">
        <v>3.0991</v>
      </c>
      <c r="E2083" s="4">
        <v>10447</v>
      </c>
      <c r="F2083" s="4">
        <v>3.6440000000000001</v>
      </c>
      <c r="G2083" s="4">
        <v>38068.868000000002</v>
      </c>
      <c r="H2083" s="5">
        <f t="shared" si="32"/>
        <v>-1.6033782067564131E-2</v>
      </c>
    </row>
    <row r="2084" spans="1:8" ht="13.5" x14ac:dyDescent="0.25">
      <c r="A2084" s="1"/>
      <c r="B2084" s="3">
        <v>45331</v>
      </c>
      <c r="C2084" s="4">
        <v>3.64</v>
      </c>
      <c r="D2084" s="4">
        <v>3.0653999999999999</v>
      </c>
      <c r="E2084" s="4">
        <v>10267</v>
      </c>
      <c r="F2084" s="4">
        <v>3.6190000000000002</v>
      </c>
      <c r="G2084" s="4">
        <v>37156.273000000001</v>
      </c>
      <c r="H2084" s="5">
        <f t="shared" si="32"/>
        <v>-1.087412474589399E-2</v>
      </c>
    </row>
    <row r="2085" spans="1:8" ht="13.5" x14ac:dyDescent="0.25">
      <c r="A2085" s="1"/>
      <c r="B2085" s="3">
        <v>45334</v>
      </c>
      <c r="C2085" s="4">
        <v>3.59</v>
      </c>
      <c r="D2085" s="4">
        <v>3.0232999999999999</v>
      </c>
      <c r="E2085" s="4">
        <v>868</v>
      </c>
      <c r="F2085" s="4">
        <v>3.5790000000000002</v>
      </c>
      <c r="G2085" s="4">
        <v>3106.5720000000001</v>
      </c>
      <c r="H2085" s="5">
        <f t="shared" si="32"/>
        <v>-1.3733933581261834E-2</v>
      </c>
    </row>
    <row r="2086" spans="1:8" ht="13.5" x14ac:dyDescent="0.25">
      <c r="A2086" s="1"/>
      <c r="B2086" s="3">
        <v>45335</v>
      </c>
      <c r="C2086" s="4">
        <v>3.55</v>
      </c>
      <c r="D2086" s="4">
        <v>2.9895999999999998</v>
      </c>
      <c r="E2086" s="4">
        <v>17813</v>
      </c>
      <c r="F2086" s="4">
        <v>3.5529999999999999</v>
      </c>
      <c r="G2086" s="4">
        <v>63289.589</v>
      </c>
      <c r="H2086" s="5">
        <f t="shared" si="32"/>
        <v>-1.1146760162736104E-2</v>
      </c>
    </row>
    <row r="2087" spans="1:8" ht="13.5" x14ac:dyDescent="0.25">
      <c r="A2087" s="1"/>
      <c r="B2087" s="3">
        <v>45336</v>
      </c>
      <c r="C2087" s="4">
        <v>3.58</v>
      </c>
      <c r="D2087" s="4">
        <v>3.0148999999999999</v>
      </c>
      <c r="E2087" s="4">
        <v>8596</v>
      </c>
      <c r="F2087" s="4">
        <v>3.5859999999999999</v>
      </c>
      <c r="G2087" s="4">
        <v>30825.256000000001</v>
      </c>
      <c r="H2087" s="5">
        <f t="shared" si="32"/>
        <v>8.4626705913834963E-3</v>
      </c>
    </row>
    <row r="2088" spans="1:8" ht="13.5" x14ac:dyDescent="0.25">
      <c r="A2088" s="1"/>
      <c r="B2088" s="3">
        <v>45337</v>
      </c>
      <c r="C2088" s="4">
        <v>3.58</v>
      </c>
      <c r="D2088" s="4">
        <v>3.0148999999999999</v>
      </c>
      <c r="E2088" s="4">
        <v>3371</v>
      </c>
      <c r="F2088" s="4">
        <v>3.5790000000000002</v>
      </c>
      <c r="G2088" s="4">
        <v>12064.808999999999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3.54</v>
      </c>
      <c r="D2089" s="4">
        <v>2.9811999999999999</v>
      </c>
      <c r="E2089" s="4">
        <v>1338</v>
      </c>
      <c r="F2089" s="4">
        <v>3.552</v>
      </c>
      <c r="G2089" s="4">
        <v>4752.576</v>
      </c>
      <c r="H2089" s="5">
        <f t="shared" si="32"/>
        <v>-1.1177816843013057E-2</v>
      </c>
    </row>
    <row r="2090" spans="1:8" ht="13.5" x14ac:dyDescent="0.25">
      <c r="A2090" s="1"/>
      <c r="B2090" s="3">
        <v>45341</v>
      </c>
      <c r="C2090" s="4">
        <v>3.5</v>
      </c>
      <c r="D2090" s="4">
        <v>2.9474999999999998</v>
      </c>
      <c r="E2090" s="4">
        <v>12943</v>
      </c>
      <c r="F2090" s="4">
        <v>3.512</v>
      </c>
      <c r="G2090" s="4">
        <v>45455.815999999999</v>
      </c>
      <c r="H2090" s="5">
        <f t="shared" si="32"/>
        <v>-1.13041728163156E-2</v>
      </c>
    </row>
    <row r="2091" spans="1:8" ht="13.5" x14ac:dyDescent="0.25">
      <c r="A2091" s="1"/>
      <c r="B2091" s="3">
        <v>45342</v>
      </c>
      <c r="C2091" s="4">
        <v>3.62</v>
      </c>
      <c r="D2091" s="4">
        <v>3.0486</v>
      </c>
      <c r="E2091" s="4">
        <v>10744</v>
      </c>
      <c r="F2091" s="4">
        <v>3.5179999999999998</v>
      </c>
      <c r="G2091" s="4">
        <v>37797.392</v>
      </c>
      <c r="H2091" s="5">
        <f t="shared" si="32"/>
        <v>3.4300254452926275E-2</v>
      </c>
    </row>
    <row r="2092" spans="1:8" ht="13.5" x14ac:dyDescent="0.25">
      <c r="A2092" s="1"/>
      <c r="B2092" s="3">
        <v>45343</v>
      </c>
      <c r="C2092" s="4">
        <v>3.68</v>
      </c>
      <c r="D2092" s="4">
        <v>3.0991</v>
      </c>
      <c r="E2092" s="4">
        <v>13584</v>
      </c>
      <c r="F2092" s="4">
        <v>3.6589999999999998</v>
      </c>
      <c r="G2092" s="4">
        <v>49703.856</v>
      </c>
      <c r="H2092" s="5">
        <f t="shared" si="32"/>
        <v>1.6564980646854289E-2</v>
      </c>
    </row>
    <row r="2093" spans="1:8" ht="13.5" x14ac:dyDescent="0.25">
      <c r="A2093" s="1"/>
      <c r="B2093" s="3">
        <v>45344</v>
      </c>
      <c r="C2093" s="4">
        <v>3.68</v>
      </c>
      <c r="D2093" s="4">
        <v>3.0991</v>
      </c>
      <c r="E2093" s="4">
        <v>5036</v>
      </c>
      <c r="F2093" s="4">
        <v>3.589</v>
      </c>
      <c r="G2093" s="4">
        <v>18074.204000000002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3.67</v>
      </c>
      <c r="D2094" s="4">
        <v>3.0907</v>
      </c>
      <c r="E2094" s="4">
        <v>2254</v>
      </c>
      <c r="F2094" s="4">
        <v>3.59</v>
      </c>
      <c r="G2094" s="4">
        <v>8091.86</v>
      </c>
      <c r="H2094" s="5">
        <f t="shared" si="32"/>
        <v>-2.710464328353381E-3</v>
      </c>
    </row>
    <row r="2095" spans="1:8" ht="13.5" x14ac:dyDescent="0.25">
      <c r="A2095" s="1"/>
      <c r="B2095" s="3">
        <v>45348</v>
      </c>
      <c r="C2095" s="4">
        <v>3.65</v>
      </c>
      <c r="D2095" s="4">
        <v>3.0737999999999999</v>
      </c>
      <c r="E2095" s="4">
        <v>2149</v>
      </c>
      <c r="F2095" s="4">
        <v>3.6070000000000002</v>
      </c>
      <c r="G2095" s="4">
        <v>7751.4430000000002</v>
      </c>
      <c r="H2095" s="5">
        <f t="shared" si="32"/>
        <v>-5.468016954088115E-3</v>
      </c>
    </row>
    <row r="2096" spans="1:8" ht="13.5" x14ac:dyDescent="0.25">
      <c r="A2096" s="1"/>
      <c r="B2096" s="3">
        <v>45349</v>
      </c>
      <c r="C2096" s="4">
        <v>3.6</v>
      </c>
      <c r="D2096" s="4">
        <v>3.0316999999999998</v>
      </c>
      <c r="E2096" s="4">
        <v>2985</v>
      </c>
      <c r="F2096" s="4">
        <v>3.6120000000000001</v>
      </c>
      <c r="G2096" s="4">
        <v>10781.82</v>
      </c>
      <c r="H2096" s="5">
        <f t="shared" si="32"/>
        <v>-1.3696401847875603E-2</v>
      </c>
    </row>
    <row r="2097" spans="1:8" ht="13.5" x14ac:dyDescent="0.25">
      <c r="A2097" s="1"/>
      <c r="B2097" s="3">
        <v>45350</v>
      </c>
      <c r="C2097" s="4">
        <v>3.61</v>
      </c>
      <c r="D2097" s="4">
        <v>3.0400999999999998</v>
      </c>
      <c r="E2097" s="4">
        <v>8924</v>
      </c>
      <c r="F2097" s="4">
        <v>3.6</v>
      </c>
      <c r="G2097" s="4">
        <v>32126.400000000001</v>
      </c>
      <c r="H2097" s="5">
        <f t="shared" si="32"/>
        <v>2.7707226968367461E-3</v>
      </c>
    </row>
    <row r="2098" spans="1:8" ht="13.5" x14ac:dyDescent="0.25">
      <c r="A2098" s="1"/>
      <c r="B2098" s="3">
        <v>45351</v>
      </c>
      <c r="C2098" s="4">
        <v>3.67</v>
      </c>
      <c r="D2098" s="4">
        <v>3.0907</v>
      </c>
      <c r="E2098" s="4">
        <v>1266</v>
      </c>
      <c r="F2098" s="4">
        <v>3.6059999999999999</v>
      </c>
      <c r="G2098" s="4">
        <v>4565.1959999999999</v>
      </c>
      <c r="H2098" s="5">
        <f t="shared" si="32"/>
        <v>1.6644189335877177E-2</v>
      </c>
    </row>
    <row r="2099" spans="1:8" ht="13.5" x14ac:dyDescent="0.25">
      <c r="A2099" s="1"/>
      <c r="B2099" s="3">
        <v>45352</v>
      </c>
      <c r="C2099" s="4">
        <v>3.72</v>
      </c>
      <c r="D2099" s="4">
        <v>3.1328</v>
      </c>
      <c r="E2099" s="4">
        <v>14928</v>
      </c>
      <c r="F2099" s="4">
        <v>3.7519999999999998</v>
      </c>
      <c r="G2099" s="4">
        <v>56009.856</v>
      </c>
      <c r="H2099" s="5">
        <f t="shared" si="32"/>
        <v>1.3621509690361416E-2</v>
      </c>
    </row>
    <row r="2100" spans="1:8" ht="13.5" x14ac:dyDescent="0.25">
      <c r="A2100" s="1"/>
      <c r="B2100" s="3">
        <v>45355</v>
      </c>
      <c r="C2100" s="4">
        <v>3.72</v>
      </c>
      <c r="D2100" s="4">
        <v>3.1328</v>
      </c>
      <c r="E2100" s="4">
        <v>8098</v>
      </c>
      <c r="F2100" s="4">
        <v>3.726</v>
      </c>
      <c r="G2100" s="4">
        <v>30173.148000000001</v>
      </c>
      <c r="H2100" s="5">
        <f t="shared" si="32"/>
        <v>0</v>
      </c>
    </row>
    <row r="2101" spans="1:8" ht="13.5" x14ac:dyDescent="0.25">
      <c r="A2101" s="1"/>
      <c r="B2101" s="3">
        <v>45356</v>
      </c>
      <c r="C2101" s="4">
        <v>3.94</v>
      </c>
      <c r="D2101" s="4">
        <v>3.3180999999999998</v>
      </c>
      <c r="E2101" s="4">
        <v>28963</v>
      </c>
      <c r="F2101" s="4">
        <v>3.8719999999999999</v>
      </c>
      <c r="G2101" s="4">
        <v>112144.736</v>
      </c>
      <c r="H2101" s="5">
        <f t="shared" si="32"/>
        <v>5.9148365679264493E-2</v>
      </c>
    </row>
    <row r="2102" spans="1:8" ht="13.5" x14ac:dyDescent="0.25">
      <c r="A2102" s="1"/>
      <c r="B2102" s="3">
        <v>45357</v>
      </c>
      <c r="C2102" s="4">
        <v>4.0199999999999996</v>
      </c>
      <c r="D2102" s="4">
        <v>3.3854000000000002</v>
      </c>
      <c r="E2102" s="4">
        <v>20224</v>
      </c>
      <c r="F2102" s="4">
        <v>4.0380000000000003</v>
      </c>
      <c r="G2102" s="4">
        <v>81664.512000000002</v>
      </c>
      <c r="H2102" s="5">
        <f t="shared" si="32"/>
        <v>2.0282691901992212E-2</v>
      </c>
    </row>
    <row r="2103" spans="1:8" ht="13.5" x14ac:dyDescent="0.25">
      <c r="A2103" s="1"/>
      <c r="B2103" s="3">
        <v>45358</v>
      </c>
      <c r="C2103" s="4">
        <v>4.12</v>
      </c>
      <c r="D2103" s="4">
        <v>3.4695999999999998</v>
      </c>
      <c r="E2103" s="4">
        <v>18078</v>
      </c>
      <c r="F2103" s="4">
        <v>4.0460000000000003</v>
      </c>
      <c r="G2103" s="4">
        <v>73143.588000000003</v>
      </c>
      <c r="H2103" s="5">
        <f t="shared" si="32"/>
        <v>2.4871507059726947E-2</v>
      </c>
    </row>
    <row r="2104" spans="1:8" ht="13.5" x14ac:dyDescent="0.25">
      <c r="A2104" s="1"/>
      <c r="B2104" s="3">
        <v>45359</v>
      </c>
      <c r="C2104" s="4">
        <v>4.2</v>
      </c>
      <c r="D2104" s="4">
        <v>3.5369999999999999</v>
      </c>
      <c r="E2104" s="4">
        <v>34966</v>
      </c>
      <c r="F2104" s="4">
        <v>4.181</v>
      </c>
      <c r="G2104" s="4">
        <v>146192.84599999999</v>
      </c>
      <c r="H2104" s="5">
        <f t="shared" si="32"/>
        <v>1.9425870417339213E-2</v>
      </c>
    </row>
    <row r="2105" spans="1:8" ht="13.5" x14ac:dyDescent="0.25">
      <c r="A2105" s="1"/>
      <c r="B2105" s="3">
        <v>45362</v>
      </c>
      <c r="C2105" s="4">
        <v>4.1399999999999997</v>
      </c>
      <c r="D2105" s="4">
        <v>3.4864999999999999</v>
      </c>
      <c r="E2105" s="4">
        <v>5582</v>
      </c>
      <c r="F2105" s="4">
        <v>4.1470000000000002</v>
      </c>
      <c r="G2105" s="4">
        <v>23148.554</v>
      </c>
      <c r="H2105" s="5">
        <f t="shared" si="32"/>
        <v>-1.4277636415040993E-2</v>
      </c>
    </row>
    <row r="2106" spans="1:8" ht="13.5" x14ac:dyDescent="0.25">
      <c r="A2106" s="1"/>
      <c r="B2106" s="3">
        <v>45363</v>
      </c>
      <c r="C2106" s="4">
        <v>4</v>
      </c>
      <c r="D2106" s="4">
        <v>3.3685999999999998</v>
      </c>
      <c r="E2106" s="4">
        <v>1752</v>
      </c>
      <c r="F2106" s="4">
        <v>4.0640000000000001</v>
      </c>
      <c r="G2106" s="4">
        <v>7120.1279999999997</v>
      </c>
      <c r="H2106" s="5">
        <f t="shared" si="32"/>
        <v>-3.3816147999426394E-2</v>
      </c>
    </row>
    <row r="2107" spans="1:8" ht="13.5" x14ac:dyDescent="0.25">
      <c r="A2107" s="1"/>
      <c r="B2107" s="3">
        <v>45364</v>
      </c>
      <c r="C2107" s="4">
        <v>3.99</v>
      </c>
      <c r="D2107" s="4">
        <v>3.3601999999999999</v>
      </c>
      <c r="E2107" s="4">
        <v>2546</v>
      </c>
      <c r="F2107" s="4">
        <v>3.984</v>
      </c>
      <c r="G2107" s="4">
        <v>10143.263999999999</v>
      </c>
      <c r="H2107" s="5">
        <f t="shared" si="32"/>
        <v>-2.4936175265688901E-3</v>
      </c>
    </row>
    <row r="2108" spans="1:8" ht="13.5" x14ac:dyDescent="0.25">
      <c r="A2108" s="1"/>
      <c r="B2108" s="3">
        <v>45365</v>
      </c>
      <c r="C2108" s="4">
        <v>4.1900000000000004</v>
      </c>
      <c r="D2108" s="4">
        <v>3.5286</v>
      </c>
      <c r="E2108" s="4">
        <v>7301</v>
      </c>
      <c r="F2108" s="4">
        <v>4.0529999999999999</v>
      </c>
      <c r="G2108" s="4">
        <v>29590.953000000001</v>
      </c>
      <c r="H2108" s="5">
        <f t="shared" si="32"/>
        <v>5.0116064519969084E-2</v>
      </c>
    </row>
    <row r="2109" spans="1:8" ht="13.5" x14ac:dyDescent="0.25">
      <c r="A2109" s="1"/>
      <c r="B2109" s="3">
        <v>45366</v>
      </c>
      <c r="C2109" s="4">
        <v>4.0999999999999996</v>
      </c>
      <c r="D2109" s="4">
        <v>3.4527999999999999</v>
      </c>
      <c r="E2109" s="4">
        <v>2616</v>
      </c>
      <c r="F2109" s="4">
        <v>4.101</v>
      </c>
      <c r="G2109" s="4">
        <v>10728.216</v>
      </c>
      <c r="H2109" s="5">
        <f t="shared" si="32"/>
        <v>-2.1481607436377059E-2</v>
      </c>
    </row>
    <row r="2110" spans="1:8" ht="13.5" x14ac:dyDescent="0.25">
      <c r="A2110" s="1"/>
      <c r="B2110" s="3">
        <v>45369</v>
      </c>
      <c r="C2110" s="4">
        <v>4.0999999999999996</v>
      </c>
      <c r="D2110" s="4">
        <v>3.4527999999999999</v>
      </c>
      <c r="E2110" s="4">
        <v>1968</v>
      </c>
      <c r="F2110" s="4">
        <v>4.093</v>
      </c>
      <c r="G2110" s="4">
        <v>8055.0240000000003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4.09</v>
      </c>
      <c r="D2111" s="4">
        <v>3.4443999999999999</v>
      </c>
      <c r="E2111" s="4">
        <v>4275</v>
      </c>
      <c r="F2111" s="4">
        <v>4.0940000000000003</v>
      </c>
      <c r="G2111" s="4">
        <v>17501.849999999999</v>
      </c>
      <c r="H2111" s="5">
        <f t="shared" si="32"/>
        <v>-2.4328081556997112E-3</v>
      </c>
    </row>
    <row r="2112" spans="1:8" ht="13.5" x14ac:dyDescent="0.25">
      <c r="A2112" s="1"/>
      <c r="B2112" s="3">
        <v>45372</v>
      </c>
      <c r="C2112" s="4">
        <v>4.0599999999999996</v>
      </c>
      <c r="D2112" s="4">
        <v>3.4190999999999998</v>
      </c>
      <c r="E2112" s="4">
        <v>7722</v>
      </c>
      <c r="F2112" s="4">
        <v>4.0140000000000002</v>
      </c>
      <c r="G2112" s="4">
        <v>30996.108</v>
      </c>
      <c r="H2112" s="5">
        <f t="shared" si="32"/>
        <v>-7.3452560678202595E-3</v>
      </c>
    </row>
    <row r="2113" spans="1:8" ht="13.5" x14ac:dyDescent="0.25">
      <c r="A2113" s="1"/>
      <c r="B2113" s="3">
        <v>45373</v>
      </c>
      <c r="C2113" s="4">
        <v>4.17</v>
      </c>
      <c r="D2113" s="4">
        <v>3.5116999999999998</v>
      </c>
      <c r="E2113" s="4">
        <v>10357</v>
      </c>
      <c r="F2113" s="4">
        <v>4.0839999999999996</v>
      </c>
      <c r="G2113" s="4">
        <v>42297.987999999998</v>
      </c>
      <c r="H2113" s="5">
        <f t="shared" si="32"/>
        <v>2.7083150536690949E-2</v>
      </c>
    </row>
    <row r="2114" spans="1:8" ht="13.5" x14ac:dyDescent="0.25">
      <c r="A2114" s="1"/>
      <c r="B2114" s="3">
        <v>45376</v>
      </c>
      <c r="C2114" s="4">
        <v>4.0999999999999996</v>
      </c>
      <c r="D2114" s="4">
        <v>3.4527999999999999</v>
      </c>
      <c r="E2114" s="4">
        <v>1792</v>
      </c>
      <c r="F2114" s="4">
        <v>4.0810000000000004</v>
      </c>
      <c r="G2114" s="4">
        <v>7313.152</v>
      </c>
      <c r="H2114" s="5">
        <f t="shared" si="32"/>
        <v>-1.6772503345957784E-2</v>
      </c>
    </row>
    <row r="2115" spans="1:8" ht="13.5" x14ac:dyDescent="0.25">
      <c r="A2115" s="1"/>
      <c r="B2115" s="3">
        <v>45377</v>
      </c>
      <c r="C2115" s="4">
        <v>4.0599999999999996</v>
      </c>
      <c r="D2115" s="4">
        <v>3.4190999999999998</v>
      </c>
      <c r="E2115" s="4">
        <v>5231</v>
      </c>
      <c r="F2115" s="4">
        <v>4.0570000000000004</v>
      </c>
      <c r="G2115" s="4">
        <v>21222.167000000001</v>
      </c>
      <c r="H2115" s="5">
        <f t="shared" si="32"/>
        <v>-9.7601946246524754E-3</v>
      </c>
    </row>
    <row r="2116" spans="1:8" ht="13.5" x14ac:dyDescent="0.25">
      <c r="A2116" s="1"/>
      <c r="B2116" s="3">
        <v>45378</v>
      </c>
      <c r="C2116" s="4">
        <v>4.0599999999999996</v>
      </c>
      <c r="D2116" s="4">
        <v>3.4190999999999998</v>
      </c>
      <c r="E2116" s="4">
        <v>5565</v>
      </c>
      <c r="F2116" s="4">
        <v>4.0739999999999998</v>
      </c>
      <c r="G2116" s="4">
        <v>22671.81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4</v>
      </c>
      <c r="D2117" s="4">
        <v>3.3685999999999998</v>
      </c>
      <c r="E2117" s="4">
        <v>7240</v>
      </c>
      <c r="F2117" s="4">
        <v>4.0179999999999998</v>
      </c>
      <c r="G2117" s="4">
        <v>29090.32</v>
      </c>
      <c r="H2117" s="5">
        <f t="shared" si="32"/>
        <v>-1.476996870521482E-2</v>
      </c>
    </row>
    <row r="2118" spans="1:8" ht="13.5" x14ac:dyDescent="0.25">
      <c r="A2118" s="1"/>
      <c r="B2118" s="3">
        <v>45380</v>
      </c>
      <c r="C2118" s="4">
        <v>4</v>
      </c>
      <c r="D2118" s="4">
        <v>3.3685999999999998</v>
      </c>
      <c r="E2118" s="4">
        <v>3872</v>
      </c>
      <c r="F2118" s="4">
        <v>4.0570000000000004</v>
      </c>
      <c r="G2118" s="4">
        <v>15708.704</v>
      </c>
      <c r="H2118" s="5">
        <f t="shared" si="32"/>
        <v>0</v>
      </c>
    </row>
    <row r="2119" spans="1:8" ht="13.5" x14ac:dyDescent="0.25">
      <c r="A2119" s="1"/>
      <c r="B2119" s="3">
        <v>45383</v>
      </c>
      <c r="C2119" s="4">
        <v>3.98</v>
      </c>
      <c r="D2119" s="4">
        <v>3.3517000000000001</v>
      </c>
      <c r="E2119" s="4">
        <v>2025</v>
      </c>
      <c r="F2119" s="4">
        <v>3.9910000000000001</v>
      </c>
      <c r="G2119" s="4">
        <v>8081.7749999999996</v>
      </c>
      <c r="H2119" s="5">
        <f t="shared" ref="H2119:H2182" si="33">(D2119-D2118)/D2118</f>
        <v>-5.0169209760730551E-3</v>
      </c>
    </row>
    <row r="2120" spans="1:8" ht="13.5" x14ac:dyDescent="0.25">
      <c r="A2120" s="1"/>
      <c r="B2120" s="3">
        <v>45384</v>
      </c>
      <c r="C2120" s="4">
        <v>3.98</v>
      </c>
      <c r="D2120" s="4">
        <v>3.3517000000000001</v>
      </c>
      <c r="E2120" s="4">
        <v>9505</v>
      </c>
      <c r="F2120" s="4">
        <v>3.9209999999999998</v>
      </c>
      <c r="G2120" s="4">
        <v>37269.105000000003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3.92</v>
      </c>
      <c r="D2121" s="4">
        <v>3.3012000000000001</v>
      </c>
      <c r="E2121" s="4">
        <v>995</v>
      </c>
      <c r="F2121" s="4">
        <v>3.948</v>
      </c>
      <c r="G2121" s="4">
        <v>3928.26</v>
      </c>
      <c r="H2121" s="5">
        <f t="shared" si="33"/>
        <v>-1.5066980935047882E-2</v>
      </c>
    </row>
    <row r="2122" spans="1:8" ht="13.5" x14ac:dyDescent="0.25">
      <c r="A2122" s="1"/>
      <c r="B2122" s="3">
        <v>45386</v>
      </c>
      <c r="C2122" s="4">
        <v>4.04</v>
      </c>
      <c r="D2122" s="4">
        <v>3.4022999999999999</v>
      </c>
      <c r="E2122" s="4">
        <v>1697</v>
      </c>
      <c r="F2122" s="4">
        <v>4.0389999999999997</v>
      </c>
      <c r="G2122" s="4">
        <v>6854.183</v>
      </c>
      <c r="H2122" s="5">
        <f t="shared" si="33"/>
        <v>3.0625227190112608E-2</v>
      </c>
    </row>
    <row r="2123" spans="1:8" ht="13.5" x14ac:dyDescent="0.25">
      <c r="A2123" s="1"/>
      <c r="B2123" s="3">
        <v>45387</v>
      </c>
      <c r="C2123" s="4">
        <v>4.05</v>
      </c>
      <c r="D2123" s="4">
        <v>3.4106999999999998</v>
      </c>
      <c r="E2123" s="4">
        <v>4213</v>
      </c>
      <c r="F2123" s="4">
        <v>4.0229999999999997</v>
      </c>
      <c r="G2123" s="4">
        <v>16948.899000000001</v>
      </c>
      <c r="H2123" s="5">
        <f t="shared" si="33"/>
        <v>2.4689180848249605E-3</v>
      </c>
    </row>
    <row r="2124" spans="1:8" ht="13.5" x14ac:dyDescent="0.25">
      <c r="A2124" s="1"/>
      <c r="B2124" s="3">
        <v>45390</v>
      </c>
      <c r="C2124" s="4">
        <v>4.0999999999999996</v>
      </c>
      <c r="D2124" s="4">
        <v>3.4527999999999999</v>
      </c>
      <c r="E2124" s="4">
        <v>195</v>
      </c>
      <c r="F2124" s="4">
        <v>4.0510000000000002</v>
      </c>
      <c r="G2124" s="4">
        <v>789.94500000000005</v>
      </c>
      <c r="H2124" s="5">
        <f t="shared" si="33"/>
        <v>1.2343507197935916E-2</v>
      </c>
    </row>
    <row r="2125" spans="1:8" ht="13.5" x14ac:dyDescent="0.25">
      <c r="A2125" s="1"/>
      <c r="B2125" s="3">
        <v>45394</v>
      </c>
      <c r="C2125" s="4">
        <v>4.09</v>
      </c>
      <c r="D2125" s="4">
        <v>3.4443999999999999</v>
      </c>
      <c r="E2125" s="4">
        <v>585</v>
      </c>
      <c r="F2125" s="4">
        <v>4.0750000000000002</v>
      </c>
      <c r="G2125" s="4">
        <v>2383.875</v>
      </c>
      <c r="H2125" s="5">
        <f t="shared" si="33"/>
        <v>-2.4328081556997112E-3</v>
      </c>
    </row>
    <row r="2126" spans="1:8" ht="13.5" x14ac:dyDescent="0.25">
      <c r="A2126" s="1"/>
      <c r="B2126" s="3">
        <v>45397</v>
      </c>
      <c r="C2126" s="4">
        <v>4.0199999999999996</v>
      </c>
      <c r="D2126" s="4">
        <v>3.3854000000000002</v>
      </c>
      <c r="E2126" s="4">
        <v>4167</v>
      </c>
      <c r="F2126" s="4">
        <v>4.0039999999999996</v>
      </c>
      <c r="G2126" s="4">
        <v>16684.668000000001</v>
      </c>
      <c r="H2126" s="5">
        <f t="shared" si="33"/>
        <v>-1.7129253280687411E-2</v>
      </c>
    </row>
    <row r="2127" spans="1:8" ht="13.5" x14ac:dyDescent="0.25">
      <c r="A2127" s="1"/>
      <c r="B2127" s="3">
        <v>45398</v>
      </c>
      <c r="C2127" s="4">
        <v>4</v>
      </c>
      <c r="D2127" s="4">
        <v>3.3685999999999998</v>
      </c>
      <c r="E2127" s="4">
        <v>4928</v>
      </c>
      <c r="F2127" s="4">
        <v>3.9660000000000002</v>
      </c>
      <c r="G2127" s="4">
        <v>19544.448</v>
      </c>
      <c r="H2127" s="5">
        <f t="shared" si="33"/>
        <v>-4.9624859691618037E-3</v>
      </c>
    </row>
    <row r="2128" spans="1:8" ht="13.5" x14ac:dyDescent="0.25">
      <c r="A2128" s="1"/>
      <c r="B2128" s="3">
        <v>45399</v>
      </c>
      <c r="C2128" s="4">
        <v>4.08</v>
      </c>
      <c r="D2128" s="4">
        <v>3.4359999999999999</v>
      </c>
      <c r="E2128" s="4">
        <v>8992</v>
      </c>
      <c r="F2128" s="4">
        <v>3.9809999999999999</v>
      </c>
      <c r="G2128" s="4">
        <v>35797.152000000002</v>
      </c>
      <c r="H2128" s="5">
        <f t="shared" si="33"/>
        <v>2.0008312058421934E-2</v>
      </c>
    </row>
    <row r="2129" spans="1:8" ht="13.5" x14ac:dyDescent="0.25">
      <c r="A2129" s="1"/>
      <c r="B2129" s="3">
        <v>45400</v>
      </c>
      <c r="C2129" s="4">
        <v>4</v>
      </c>
      <c r="D2129" s="4">
        <v>3.3685999999999998</v>
      </c>
      <c r="E2129" s="4">
        <v>6597</v>
      </c>
      <c r="F2129" s="4">
        <v>4.0179999999999998</v>
      </c>
      <c r="G2129" s="4">
        <v>26506.745999999999</v>
      </c>
      <c r="H2129" s="5">
        <f t="shared" si="33"/>
        <v>-1.9615832363213074E-2</v>
      </c>
    </row>
    <row r="2130" spans="1:8" ht="13.5" x14ac:dyDescent="0.25">
      <c r="A2130" s="1"/>
      <c r="B2130" s="3">
        <v>45401</v>
      </c>
      <c r="C2130" s="4">
        <v>4.08</v>
      </c>
      <c r="D2130" s="4">
        <v>3.4359999999999999</v>
      </c>
      <c r="E2130" s="4">
        <v>3520</v>
      </c>
      <c r="F2130" s="4">
        <v>4.0449999999999999</v>
      </c>
      <c r="G2130" s="4">
        <v>14238.4</v>
      </c>
      <c r="H2130" s="5">
        <f t="shared" si="33"/>
        <v>2.0008312058421934E-2</v>
      </c>
    </row>
    <row r="2131" spans="1:8" ht="13.5" x14ac:dyDescent="0.25">
      <c r="A2131" s="1"/>
      <c r="B2131" s="3">
        <v>45404</v>
      </c>
      <c r="C2131" s="4">
        <v>4.25</v>
      </c>
      <c r="D2131" s="4">
        <v>3.5790999999999999</v>
      </c>
      <c r="E2131" s="4">
        <v>9365</v>
      </c>
      <c r="F2131" s="4">
        <v>4.1470000000000002</v>
      </c>
      <c r="G2131" s="4">
        <v>38836.654999999999</v>
      </c>
      <c r="H2131" s="5">
        <f t="shared" si="33"/>
        <v>4.1647264260768341E-2</v>
      </c>
    </row>
    <row r="2132" spans="1:8" ht="13.5" x14ac:dyDescent="0.25">
      <c r="A2132" s="1"/>
      <c r="B2132" s="3">
        <v>45405</v>
      </c>
      <c r="C2132" s="4">
        <v>4.3899999999999997</v>
      </c>
      <c r="D2132" s="4">
        <v>3.6970000000000001</v>
      </c>
      <c r="E2132" s="4">
        <v>26379</v>
      </c>
      <c r="F2132" s="4">
        <v>4.2450000000000001</v>
      </c>
      <c r="G2132" s="4">
        <v>111978.855</v>
      </c>
      <c r="H2132" s="5">
        <f t="shared" si="33"/>
        <v>3.2941242211729241E-2</v>
      </c>
    </row>
    <row r="2133" spans="1:8" ht="13.5" x14ac:dyDescent="0.25">
      <c r="A2133" s="1"/>
      <c r="B2133" s="3">
        <v>45406</v>
      </c>
      <c r="C2133" s="4">
        <v>4.45</v>
      </c>
      <c r="D2133" s="4">
        <v>3.7475000000000001</v>
      </c>
      <c r="E2133" s="4">
        <v>23972</v>
      </c>
      <c r="F2133" s="4">
        <v>4.3890000000000002</v>
      </c>
      <c r="G2133" s="4">
        <v>105213.10799999999</v>
      </c>
      <c r="H2133" s="5">
        <f t="shared" si="33"/>
        <v>1.3659724100622123E-2</v>
      </c>
    </row>
    <row r="2134" spans="1:8" ht="13.5" x14ac:dyDescent="0.25">
      <c r="A2134" s="1"/>
      <c r="B2134" s="3">
        <v>45407</v>
      </c>
      <c r="C2134" s="4">
        <v>4.38</v>
      </c>
      <c r="D2134" s="4">
        <v>3.6886000000000001</v>
      </c>
      <c r="E2134" s="4">
        <v>18588</v>
      </c>
      <c r="F2134" s="4">
        <v>4.3970000000000002</v>
      </c>
      <c r="G2134" s="4">
        <v>81731.436000000002</v>
      </c>
      <c r="H2134" s="5">
        <f t="shared" si="33"/>
        <v>-1.5717144763175438E-2</v>
      </c>
    </row>
    <row r="2135" spans="1:8" ht="13.5" x14ac:dyDescent="0.25">
      <c r="A2135" s="1"/>
      <c r="B2135" s="3">
        <v>45408</v>
      </c>
      <c r="C2135" s="4">
        <v>4.45</v>
      </c>
      <c r="D2135" s="4">
        <v>3.7475000000000001</v>
      </c>
      <c r="E2135" s="4">
        <v>65413</v>
      </c>
      <c r="F2135" s="4">
        <v>4.4450000000000003</v>
      </c>
      <c r="G2135" s="4">
        <v>290760.78499999997</v>
      </c>
      <c r="H2135" s="5">
        <f t="shared" si="33"/>
        <v>1.5968117985143401E-2</v>
      </c>
    </row>
    <row r="2136" spans="1:8" ht="13.5" x14ac:dyDescent="0.25">
      <c r="A2136" s="1"/>
      <c r="B2136" s="3">
        <v>45411</v>
      </c>
      <c r="C2136" s="4">
        <v>4.6399999999999997</v>
      </c>
      <c r="D2136" s="4">
        <v>3.9076</v>
      </c>
      <c r="E2136" s="4">
        <v>38380</v>
      </c>
      <c r="F2136" s="4">
        <v>4.5750000000000002</v>
      </c>
      <c r="G2136" s="4">
        <v>175588.5</v>
      </c>
      <c r="H2136" s="5">
        <f t="shared" si="33"/>
        <v>4.2721814543028661E-2</v>
      </c>
    </row>
    <row r="2137" spans="1:8" ht="13.5" x14ac:dyDescent="0.25">
      <c r="A2137" s="1"/>
      <c r="B2137" s="3">
        <v>45412</v>
      </c>
      <c r="C2137" s="4">
        <v>4.7</v>
      </c>
      <c r="D2137" s="4">
        <v>3.9581</v>
      </c>
      <c r="E2137" s="4">
        <v>33617</v>
      </c>
      <c r="F2137" s="4">
        <v>4.7220000000000004</v>
      </c>
      <c r="G2137" s="4">
        <v>158739.47399999999</v>
      </c>
      <c r="H2137" s="5">
        <f t="shared" si="33"/>
        <v>1.2923533626778583E-2</v>
      </c>
    </row>
    <row r="2138" spans="1:8" ht="13.5" x14ac:dyDescent="0.25">
      <c r="A2138" s="1"/>
      <c r="B2138" s="3">
        <v>45414</v>
      </c>
      <c r="C2138" s="4">
        <v>4.78</v>
      </c>
      <c r="D2138" s="4">
        <v>4.0255000000000001</v>
      </c>
      <c r="E2138" s="4">
        <v>47445</v>
      </c>
      <c r="F2138" s="4">
        <v>4.7670000000000003</v>
      </c>
      <c r="G2138" s="4">
        <v>226170.315</v>
      </c>
      <c r="H2138" s="5">
        <f t="shared" si="33"/>
        <v>1.7028372198782275E-2</v>
      </c>
    </row>
    <row r="2139" spans="1:8" ht="13.5" x14ac:dyDescent="0.25">
      <c r="A2139" s="1"/>
      <c r="B2139" s="3">
        <v>45415</v>
      </c>
      <c r="C2139" s="4">
        <v>5.0599999999999996</v>
      </c>
      <c r="D2139" s="4">
        <v>4.2613000000000003</v>
      </c>
      <c r="E2139" s="4">
        <v>0</v>
      </c>
      <c r="F2139" s="4">
        <v>0</v>
      </c>
      <c r="G2139" s="4">
        <v>0</v>
      </c>
      <c r="H2139" s="5">
        <f t="shared" si="33"/>
        <v>5.8576574338591536E-2</v>
      </c>
    </row>
    <row r="2140" spans="1:8" ht="13.5" x14ac:dyDescent="0.25">
      <c r="A2140" s="1"/>
      <c r="B2140" s="3">
        <v>45418</v>
      </c>
      <c r="C2140" s="4">
        <v>5.36</v>
      </c>
      <c r="D2140" s="4">
        <v>4.5138999999999996</v>
      </c>
      <c r="E2140" s="4">
        <v>0</v>
      </c>
      <c r="F2140" s="4">
        <v>0</v>
      </c>
      <c r="G2140" s="4">
        <v>0</v>
      </c>
      <c r="H2140" s="5">
        <f t="shared" si="33"/>
        <v>5.9277685213432345E-2</v>
      </c>
    </row>
    <row r="2141" spans="1:8" ht="13.5" x14ac:dyDescent="0.25">
      <c r="A2141" s="1"/>
      <c r="B2141" s="3">
        <v>45419</v>
      </c>
      <c r="C2141" s="4">
        <v>5.59</v>
      </c>
      <c r="D2141" s="4">
        <v>4.7076000000000002</v>
      </c>
      <c r="E2141" s="4">
        <v>133541</v>
      </c>
      <c r="F2141" s="4">
        <v>5.5960000000000001</v>
      </c>
      <c r="G2141" s="4">
        <v>747295.43599999999</v>
      </c>
      <c r="H2141" s="5">
        <f t="shared" si="33"/>
        <v>4.2911894370721695E-2</v>
      </c>
    </row>
    <row r="2142" spans="1:8" ht="13.5" x14ac:dyDescent="0.25">
      <c r="A2142" s="1"/>
      <c r="B2142" s="3">
        <v>45420</v>
      </c>
      <c r="C2142" s="4">
        <v>5.77</v>
      </c>
      <c r="D2142" s="4">
        <v>4.8592000000000004</v>
      </c>
      <c r="E2142" s="4">
        <v>42770</v>
      </c>
      <c r="F2142" s="4">
        <v>5.7080000000000002</v>
      </c>
      <c r="G2142" s="4">
        <v>244131.16</v>
      </c>
      <c r="H2142" s="5">
        <f t="shared" si="33"/>
        <v>3.2203245815277462E-2</v>
      </c>
    </row>
    <row r="2143" spans="1:8" ht="13.5" x14ac:dyDescent="0.25">
      <c r="A2143" s="1"/>
      <c r="B2143" s="3">
        <v>45421</v>
      </c>
      <c r="C2143" s="4">
        <v>5.56</v>
      </c>
      <c r="D2143" s="4">
        <v>4.6822999999999997</v>
      </c>
      <c r="E2143" s="4">
        <v>22852</v>
      </c>
      <c r="F2143" s="4">
        <v>5.6630000000000003</v>
      </c>
      <c r="G2143" s="4">
        <v>129410.876</v>
      </c>
      <c r="H2143" s="5">
        <f t="shared" si="33"/>
        <v>-3.6405169575238872E-2</v>
      </c>
    </row>
    <row r="2144" spans="1:8" ht="13.5" x14ac:dyDescent="0.25">
      <c r="A2144" s="1"/>
      <c r="B2144" s="3">
        <v>45422</v>
      </c>
      <c r="C2144" s="4">
        <v>5.43</v>
      </c>
      <c r="D2144" s="4">
        <v>4.5728</v>
      </c>
      <c r="E2144" s="4">
        <v>31997</v>
      </c>
      <c r="F2144" s="4">
        <v>5.4340000000000002</v>
      </c>
      <c r="G2144" s="4">
        <v>173871.698</v>
      </c>
      <c r="H2144" s="5">
        <f t="shared" si="33"/>
        <v>-2.3385942805885934E-2</v>
      </c>
    </row>
    <row r="2145" spans="1:8" ht="13.5" x14ac:dyDescent="0.25">
      <c r="A2145" s="1"/>
      <c r="B2145" s="3">
        <v>45425</v>
      </c>
      <c r="C2145" s="4">
        <v>5.25</v>
      </c>
      <c r="D2145" s="4">
        <v>4.4212999999999996</v>
      </c>
      <c r="E2145" s="4">
        <v>103748</v>
      </c>
      <c r="F2145" s="4">
        <v>5.1870000000000003</v>
      </c>
      <c r="G2145" s="4">
        <v>538140.87600000005</v>
      </c>
      <c r="H2145" s="5">
        <f t="shared" si="33"/>
        <v>-3.3130685794261809E-2</v>
      </c>
    </row>
    <row r="2146" spans="1:8" ht="13.5" x14ac:dyDescent="0.25">
      <c r="A2146" s="1"/>
      <c r="B2146" s="3">
        <v>45426</v>
      </c>
      <c r="C2146" s="4">
        <v>5.33</v>
      </c>
      <c r="D2146" s="4">
        <v>4.4885999999999999</v>
      </c>
      <c r="E2146" s="4">
        <v>21908</v>
      </c>
      <c r="F2146" s="4">
        <v>5.1890000000000001</v>
      </c>
      <c r="G2146" s="4">
        <v>113680.61199999999</v>
      </c>
      <c r="H2146" s="5">
        <f t="shared" si="33"/>
        <v>1.52217673534934E-2</v>
      </c>
    </row>
    <row r="2147" spans="1:8" ht="13.5" x14ac:dyDescent="0.25">
      <c r="A2147" s="1"/>
      <c r="B2147" s="3">
        <v>45427</v>
      </c>
      <c r="C2147" s="4">
        <v>5.39</v>
      </c>
      <c r="D2147" s="4">
        <v>4.5392000000000001</v>
      </c>
      <c r="E2147" s="4">
        <v>25141</v>
      </c>
      <c r="F2147" s="4">
        <v>5.3330000000000002</v>
      </c>
      <c r="G2147" s="4">
        <v>134076.95300000001</v>
      </c>
      <c r="H2147" s="5">
        <f t="shared" si="33"/>
        <v>1.1273002717996748E-2</v>
      </c>
    </row>
    <row r="2148" spans="1:8" ht="13.5" x14ac:dyDescent="0.25">
      <c r="A2148" s="1"/>
      <c r="B2148" s="3">
        <v>45428</v>
      </c>
      <c r="C2148" s="4">
        <v>5.29</v>
      </c>
      <c r="D2148" s="4">
        <v>4.4549000000000003</v>
      </c>
      <c r="E2148" s="4">
        <v>30889</v>
      </c>
      <c r="F2148" s="4">
        <v>5.2110000000000003</v>
      </c>
      <c r="G2148" s="4">
        <v>160962.579</v>
      </c>
      <c r="H2148" s="5">
        <f t="shared" si="33"/>
        <v>-1.8571554458935456E-2</v>
      </c>
    </row>
    <row r="2149" spans="1:8" ht="13.5" x14ac:dyDescent="0.25">
      <c r="A2149" s="1"/>
      <c r="B2149" s="3">
        <v>45429</v>
      </c>
      <c r="C2149" s="4">
        <v>5.05</v>
      </c>
      <c r="D2149" s="4">
        <v>4.2527999999999997</v>
      </c>
      <c r="E2149" s="4">
        <v>23259</v>
      </c>
      <c r="F2149" s="4">
        <v>5.1289999999999996</v>
      </c>
      <c r="G2149" s="4">
        <v>119295.41099999999</v>
      </c>
      <c r="H2149" s="5">
        <f t="shared" si="33"/>
        <v>-4.5365777009585086E-2</v>
      </c>
    </row>
    <row r="2150" spans="1:8" ht="13.5" x14ac:dyDescent="0.25">
      <c r="A2150" s="1"/>
      <c r="B2150" s="3">
        <v>45432</v>
      </c>
      <c r="C2150" s="4">
        <v>5.2</v>
      </c>
      <c r="D2150" s="4">
        <v>4.3792</v>
      </c>
      <c r="E2150" s="4">
        <v>10663</v>
      </c>
      <c r="F2150" s="4">
        <v>5.1059999999999999</v>
      </c>
      <c r="G2150" s="4">
        <v>54445.277999999998</v>
      </c>
      <c r="H2150" s="5">
        <f t="shared" si="33"/>
        <v>2.9721595184349206E-2</v>
      </c>
    </row>
    <row r="2151" spans="1:8" ht="13.5" x14ac:dyDescent="0.25">
      <c r="A2151" s="1"/>
      <c r="B2151" s="3">
        <v>45433</v>
      </c>
      <c r="C2151" s="4">
        <v>5.19</v>
      </c>
      <c r="D2151" s="4">
        <v>4.3707000000000003</v>
      </c>
      <c r="E2151" s="4">
        <v>15192</v>
      </c>
      <c r="F2151" s="4">
        <v>5.18</v>
      </c>
      <c r="G2151" s="4">
        <v>78694.559999999998</v>
      </c>
      <c r="H2151" s="5">
        <f t="shared" si="33"/>
        <v>-1.9409937888198142E-3</v>
      </c>
    </row>
    <row r="2152" spans="1:8" ht="13.5" x14ac:dyDescent="0.25">
      <c r="A2152" s="1"/>
      <c r="B2152" s="3">
        <v>45434</v>
      </c>
      <c r="C2152" s="4">
        <v>5.24</v>
      </c>
      <c r="D2152" s="4">
        <v>4.4127999999999998</v>
      </c>
      <c r="E2152" s="4">
        <v>3713</v>
      </c>
      <c r="F2152" s="4">
        <v>5.2069999999999999</v>
      </c>
      <c r="G2152" s="4">
        <v>19333.591</v>
      </c>
      <c r="H2152" s="5">
        <f t="shared" si="33"/>
        <v>9.6323243416385432E-3</v>
      </c>
    </row>
    <row r="2153" spans="1:8" ht="13.5" x14ac:dyDescent="0.25">
      <c r="A2153" s="1"/>
      <c r="B2153" s="3">
        <v>45435</v>
      </c>
      <c r="C2153" s="4">
        <v>5.3</v>
      </c>
      <c r="D2153" s="4">
        <v>4.4634</v>
      </c>
      <c r="E2153" s="4">
        <v>17335</v>
      </c>
      <c r="F2153" s="4">
        <v>5.3250000000000002</v>
      </c>
      <c r="G2153" s="4">
        <v>92308.875</v>
      </c>
      <c r="H2153" s="5">
        <f t="shared" si="33"/>
        <v>1.1466642494561322E-2</v>
      </c>
    </row>
    <row r="2154" spans="1:8" ht="13.5" x14ac:dyDescent="0.25">
      <c r="A2154" s="1"/>
      <c r="B2154" s="3">
        <v>45436</v>
      </c>
      <c r="C2154" s="4">
        <v>5.28</v>
      </c>
      <c r="D2154" s="4">
        <v>4.4465000000000003</v>
      </c>
      <c r="E2154" s="4">
        <v>6208</v>
      </c>
      <c r="F2154" s="4">
        <v>5.2510000000000003</v>
      </c>
      <c r="G2154" s="4">
        <v>32598.207999999999</v>
      </c>
      <c r="H2154" s="5">
        <f t="shared" si="33"/>
        <v>-3.7863512120804078E-3</v>
      </c>
    </row>
    <row r="2155" spans="1:8" ht="13.5" x14ac:dyDescent="0.25">
      <c r="A2155" s="1"/>
      <c r="B2155" s="3">
        <v>45439</v>
      </c>
      <c r="C2155" s="4">
        <v>5.27</v>
      </c>
      <c r="D2155" s="4">
        <v>4.4381000000000004</v>
      </c>
      <c r="E2155" s="4">
        <v>3962</v>
      </c>
      <c r="F2155" s="4">
        <v>5.2779999999999996</v>
      </c>
      <c r="G2155" s="4">
        <v>20911.436000000002</v>
      </c>
      <c r="H2155" s="5">
        <f t="shared" si="33"/>
        <v>-1.8891262790959097E-3</v>
      </c>
    </row>
    <row r="2156" spans="1:8" ht="13.5" x14ac:dyDescent="0.25">
      <c r="A2156" s="1"/>
      <c r="B2156" s="3">
        <v>45440</v>
      </c>
      <c r="C2156" s="4">
        <v>5.44</v>
      </c>
      <c r="D2156" s="4">
        <v>4.5812999999999997</v>
      </c>
      <c r="E2156" s="4">
        <v>18369</v>
      </c>
      <c r="F2156" s="4">
        <v>5.375</v>
      </c>
      <c r="G2156" s="4">
        <v>98733.375</v>
      </c>
      <c r="H2156" s="5">
        <f t="shared" si="33"/>
        <v>3.2266059800364864E-2</v>
      </c>
    </row>
    <row r="2157" spans="1:8" ht="13.5" x14ac:dyDescent="0.25">
      <c r="A2157" s="1"/>
      <c r="B2157" s="3">
        <v>45441</v>
      </c>
      <c r="C2157" s="4">
        <v>5.5</v>
      </c>
      <c r="D2157" s="4">
        <v>4.6318000000000001</v>
      </c>
      <c r="E2157" s="4">
        <v>15881</v>
      </c>
      <c r="F2157" s="4">
        <v>5.476</v>
      </c>
      <c r="G2157" s="4">
        <v>86964.356</v>
      </c>
      <c r="H2157" s="5">
        <f t="shared" si="33"/>
        <v>1.1023072053783957E-2</v>
      </c>
    </row>
    <row r="2158" spans="1:8" ht="13.5" x14ac:dyDescent="0.25">
      <c r="A2158" s="1"/>
      <c r="B2158" s="3">
        <v>45442</v>
      </c>
      <c r="C2158" s="4">
        <v>5.45</v>
      </c>
      <c r="D2158" s="4">
        <v>4.5896999999999997</v>
      </c>
      <c r="E2158" s="4">
        <v>4174</v>
      </c>
      <c r="F2158" s="4">
        <v>5.42</v>
      </c>
      <c r="G2158" s="4">
        <v>22623.08</v>
      </c>
      <c r="H2158" s="5">
        <f t="shared" si="33"/>
        <v>-9.0893389179153832E-3</v>
      </c>
    </row>
    <row r="2159" spans="1:8" ht="13.5" x14ac:dyDescent="0.25">
      <c r="A2159" s="1"/>
      <c r="B2159" s="3">
        <v>45443</v>
      </c>
      <c r="C2159" s="4">
        <v>5.44</v>
      </c>
      <c r="D2159" s="4">
        <v>4.5812999999999997</v>
      </c>
      <c r="E2159" s="4">
        <v>3689</v>
      </c>
      <c r="F2159" s="4">
        <v>5.3540000000000001</v>
      </c>
      <c r="G2159" s="4">
        <v>19750.905999999999</v>
      </c>
      <c r="H2159" s="5">
        <f t="shared" si="33"/>
        <v>-1.8301849794104112E-3</v>
      </c>
    </row>
    <row r="2160" spans="1:8" ht="13.5" x14ac:dyDescent="0.25">
      <c r="A2160" s="1"/>
      <c r="B2160" s="3">
        <v>45446</v>
      </c>
      <c r="C2160" s="4">
        <v>5.4</v>
      </c>
      <c r="D2160" s="4">
        <v>4.5476000000000001</v>
      </c>
      <c r="E2160" s="4">
        <v>4130</v>
      </c>
      <c r="F2160" s="4">
        <v>5.37</v>
      </c>
      <c r="G2160" s="4">
        <v>22178.1</v>
      </c>
      <c r="H2160" s="5">
        <f t="shared" si="33"/>
        <v>-7.3559906576735031E-3</v>
      </c>
    </row>
    <row r="2161" spans="1:8" ht="13.5" x14ac:dyDescent="0.25">
      <c r="A2161" s="1"/>
      <c r="B2161" s="3">
        <v>45447</v>
      </c>
      <c r="C2161" s="4">
        <v>5.3</v>
      </c>
      <c r="D2161" s="4">
        <v>4.4634</v>
      </c>
      <c r="E2161" s="4">
        <v>11462</v>
      </c>
      <c r="F2161" s="4">
        <v>5.298</v>
      </c>
      <c r="G2161" s="4">
        <v>60725.675999999999</v>
      </c>
      <c r="H2161" s="5">
        <f t="shared" si="33"/>
        <v>-1.8515260796903871E-2</v>
      </c>
    </row>
    <row r="2162" spans="1:8" ht="13.5" x14ac:dyDescent="0.25">
      <c r="A2162" s="1"/>
      <c r="B2162" s="3">
        <v>45448</v>
      </c>
      <c r="C2162" s="4">
        <v>5.34</v>
      </c>
      <c r="D2162" s="4">
        <v>4.4970999999999997</v>
      </c>
      <c r="E2162" s="4">
        <v>7743</v>
      </c>
      <c r="F2162" s="4">
        <v>5.2759999999999998</v>
      </c>
      <c r="G2162" s="4">
        <v>40852.067999999999</v>
      </c>
      <c r="H2162" s="5">
        <f t="shared" si="33"/>
        <v>7.5502979791189717E-3</v>
      </c>
    </row>
    <row r="2163" spans="1:8" ht="13.5" x14ac:dyDescent="0.25">
      <c r="A2163" s="1"/>
      <c r="B2163" s="3">
        <v>45449</v>
      </c>
      <c r="C2163" s="4">
        <v>5.28</v>
      </c>
      <c r="D2163" s="4">
        <v>4.4465000000000003</v>
      </c>
      <c r="E2163" s="4">
        <v>3841</v>
      </c>
      <c r="F2163" s="4">
        <v>5.2290000000000001</v>
      </c>
      <c r="G2163" s="4">
        <v>20084.589</v>
      </c>
      <c r="H2163" s="5">
        <f t="shared" si="33"/>
        <v>-1.1251695537123772E-2</v>
      </c>
    </row>
    <row r="2164" spans="1:8" ht="13.5" x14ac:dyDescent="0.25">
      <c r="A2164" s="1"/>
      <c r="B2164" s="3">
        <v>45450</v>
      </c>
      <c r="C2164" s="4">
        <v>5.2</v>
      </c>
      <c r="D2164" s="4">
        <v>4.3792</v>
      </c>
      <c r="E2164" s="4">
        <v>5124</v>
      </c>
      <c r="F2164" s="4">
        <v>5.2080000000000002</v>
      </c>
      <c r="G2164" s="4">
        <v>26685.792000000001</v>
      </c>
      <c r="H2164" s="5">
        <f t="shared" si="33"/>
        <v>-1.513549983132809E-2</v>
      </c>
    </row>
    <row r="2165" spans="1:8" ht="13.5" x14ac:dyDescent="0.25">
      <c r="A2165" s="1"/>
      <c r="B2165" s="3">
        <v>45453</v>
      </c>
      <c r="C2165" s="4">
        <v>5.23</v>
      </c>
      <c r="D2165" s="4">
        <v>4.4043999999999999</v>
      </c>
      <c r="E2165" s="4">
        <v>12844</v>
      </c>
      <c r="F2165" s="4">
        <v>5.1260000000000003</v>
      </c>
      <c r="G2165" s="4">
        <v>65838.343999999997</v>
      </c>
      <c r="H2165" s="5">
        <f t="shared" si="33"/>
        <v>5.7544757033247832E-3</v>
      </c>
    </row>
    <row r="2166" spans="1:8" ht="13.5" x14ac:dyDescent="0.25">
      <c r="A2166" s="1"/>
      <c r="B2166" s="3">
        <v>45454</v>
      </c>
      <c r="C2166" s="4">
        <v>5.22</v>
      </c>
      <c r="D2166" s="4">
        <v>4.3959999999999999</v>
      </c>
      <c r="E2166" s="4">
        <v>6606</v>
      </c>
      <c r="F2166" s="4">
        <v>5.2030000000000003</v>
      </c>
      <c r="G2166" s="4">
        <v>34371.017999999996</v>
      </c>
      <c r="H2166" s="5">
        <f t="shared" si="33"/>
        <v>-1.9071837253655352E-3</v>
      </c>
    </row>
    <row r="2167" spans="1:8" ht="13.5" x14ac:dyDescent="0.25">
      <c r="A2167" s="1"/>
      <c r="B2167" s="3">
        <v>45455</v>
      </c>
      <c r="C2167" s="4">
        <v>5.2</v>
      </c>
      <c r="D2167" s="4">
        <v>4.3792</v>
      </c>
      <c r="E2167" s="4">
        <v>5589</v>
      </c>
      <c r="F2167" s="4">
        <v>5.2</v>
      </c>
      <c r="G2167" s="4">
        <v>29062.799999999999</v>
      </c>
      <c r="H2167" s="5">
        <f t="shared" si="33"/>
        <v>-3.8216560509553971E-3</v>
      </c>
    </row>
    <row r="2168" spans="1:8" ht="13.5" x14ac:dyDescent="0.25">
      <c r="A2168" s="1"/>
      <c r="B2168" s="3">
        <v>45456</v>
      </c>
      <c r="C2168" s="4">
        <v>5.2</v>
      </c>
      <c r="D2168" s="4">
        <v>4.3792</v>
      </c>
      <c r="E2168" s="4">
        <v>553</v>
      </c>
      <c r="F2168" s="4">
        <v>5.1929999999999996</v>
      </c>
      <c r="G2168" s="4">
        <v>2871.7289999999998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5.25</v>
      </c>
      <c r="D2169" s="4">
        <v>4.4212999999999996</v>
      </c>
      <c r="E2169" s="4">
        <v>11372</v>
      </c>
      <c r="F2169" s="4">
        <v>5.2169999999999996</v>
      </c>
      <c r="G2169" s="4">
        <v>59327.724000000002</v>
      </c>
      <c r="H2169" s="5">
        <f t="shared" si="33"/>
        <v>9.613628059919525E-3</v>
      </c>
    </row>
    <row r="2170" spans="1:8" ht="13.5" x14ac:dyDescent="0.25">
      <c r="A2170" s="1"/>
      <c r="B2170" s="3">
        <v>45461</v>
      </c>
      <c r="C2170" s="4">
        <v>5.2</v>
      </c>
      <c r="D2170" s="4">
        <v>4.3792</v>
      </c>
      <c r="E2170" s="4">
        <v>3579</v>
      </c>
      <c r="F2170" s="4">
        <v>5.2110000000000003</v>
      </c>
      <c r="G2170" s="4">
        <v>18650.169000000002</v>
      </c>
      <c r="H2170" s="5">
        <f t="shared" si="33"/>
        <v>-9.522086264220837E-3</v>
      </c>
    </row>
    <row r="2171" spans="1:8" ht="13.5" x14ac:dyDescent="0.25">
      <c r="A2171" s="1"/>
      <c r="B2171" s="3">
        <v>45462</v>
      </c>
      <c r="C2171" s="4">
        <v>5.2</v>
      </c>
      <c r="D2171" s="4">
        <v>4.3792</v>
      </c>
      <c r="E2171" s="4">
        <v>1974</v>
      </c>
      <c r="F2171" s="4">
        <v>5.2</v>
      </c>
      <c r="G2171" s="4">
        <v>10264.799999999999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5.24</v>
      </c>
      <c r="D2172" s="4">
        <v>4.4127999999999998</v>
      </c>
      <c r="E2172" s="4">
        <v>4621</v>
      </c>
      <c r="F2172" s="4">
        <v>5.1950000000000003</v>
      </c>
      <c r="G2172" s="4">
        <v>24006.095000000001</v>
      </c>
      <c r="H2172" s="5">
        <f t="shared" si="33"/>
        <v>7.6726342710997106E-3</v>
      </c>
    </row>
    <row r="2173" spans="1:8" ht="13.5" x14ac:dyDescent="0.25">
      <c r="A2173" s="1"/>
      <c r="B2173" s="3">
        <v>45464</v>
      </c>
      <c r="C2173" s="4">
        <v>5.22</v>
      </c>
      <c r="D2173" s="4">
        <v>4.3959999999999999</v>
      </c>
      <c r="E2173" s="4">
        <v>4638</v>
      </c>
      <c r="F2173" s="4">
        <v>5.2</v>
      </c>
      <c r="G2173" s="4">
        <v>24117.599999999999</v>
      </c>
      <c r="H2173" s="5">
        <f t="shared" si="33"/>
        <v>-3.8071065989847548E-3</v>
      </c>
    </row>
    <row r="2174" spans="1:8" ht="13.5" x14ac:dyDescent="0.25">
      <c r="A2174" s="1"/>
      <c r="B2174" s="3">
        <v>45467</v>
      </c>
      <c r="C2174" s="4">
        <v>5.25</v>
      </c>
      <c r="D2174" s="4">
        <v>4.4212999999999996</v>
      </c>
      <c r="E2174" s="4">
        <v>1825</v>
      </c>
      <c r="F2174" s="4">
        <v>5.2439999999999998</v>
      </c>
      <c r="G2174" s="4">
        <v>9570.2999999999993</v>
      </c>
      <c r="H2174" s="5">
        <f t="shared" si="33"/>
        <v>5.7552320291173013E-3</v>
      </c>
    </row>
    <row r="2175" spans="1:8" ht="13.5" x14ac:dyDescent="0.25">
      <c r="A2175" s="1"/>
      <c r="B2175" s="3">
        <v>45468</v>
      </c>
      <c r="C2175" s="4">
        <v>5.3</v>
      </c>
      <c r="D2175" s="4">
        <v>4.4634</v>
      </c>
      <c r="E2175" s="4">
        <v>3261</v>
      </c>
      <c r="F2175" s="4">
        <v>5.2779999999999996</v>
      </c>
      <c r="G2175" s="4">
        <v>17211.558000000001</v>
      </c>
      <c r="H2175" s="5">
        <f t="shared" si="33"/>
        <v>9.5220862642210382E-3</v>
      </c>
    </row>
    <row r="2176" spans="1:8" ht="13.5" x14ac:dyDescent="0.25">
      <c r="A2176" s="1"/>
      <c r="B2176" s="3">
        <v>45469</v>
      </c>
      <c r="C2176" s="4">
        <v>5.41</v>
      </c>
      <c r="D2176" s="4">
        <v>4.556</v>
      </c>
      <c r="E2176" s="4">
        <v>7006</v>
      </c>
      <c r="F2176" s="4">
        <v>5.3789999999999996</v>
      </c>
      <c r="G2176" s="4">
        <v>37685.273999999998</v>
      </c>
      <c r="H2176" s="5">
        <f t="shared" si="33"/>
        <v>2.0746516108795989E-2</v>
      </c>
    </row>
    <row r="2177" spans="1:8" ht="13.5" x14ac:dyDescent="0.25">
      <c r="A2177" s="1"/>
      <c r="B2177" s="3">
        <v>45470</v>
      </c>
      <c r="C2177" s="4">
        <v>5.54</v>
      </c>
      <c r="D2177" s="4">
        <v>4.6654999999999998</v>
      </c>
      <c r="E2177" s="4">
        <v>6250</v>
      </c>
      <c r="F2177" s="4">
        <v>5.4790000000000001</v>
      </c>
      <c r="G2177" s="4">
        <v>34243.75</v>
      </c>
      <c r="H2177" s="5">
        <f t="shared" si="33"/>
        <v>2.4034240561896337E-2</v>
      </c>
    </row>
    <row r="2178" spans="1:8" ht="13.5" x14ac:dyDescent="0.25">
      <c r="A2178" s="1"/>
      <c r="B2178" s="3">
        <v>45471</v>
      </c>
      <c r="C2178" s="4">
        <v>5.6</v>
      </c>
      <c r="D2178" s="4">
        <v>4.7160000000000002</v>
      </c>
      <c r="E2178" s="4">
        <v>21866</v>
      </c>
      <c r="F2178" s="4">
        <v>5.4960000000000004</v>
      </c>
      <c r="G2178" s="4">
        <v>120175.53599999999</v>
      </c>
      <c r="H2178" s="5">
        <f t="shared" si="33"/>
        <v>1.0824134605079935E-2</v>
      </c>
    </row>
    <row r="2179" spans="1:8" ht="13.5" x14ac:dyDescent="0.25">
      <c r="A2179" s="1"/>
      <c r="B2179" s="3">
        <v>45474</v>
      </c>
      <c r="C2179" s="4">
        <v>5.44</v>
      </c>
      <c r="D2179" s="4">
        <v>4.5812999999999997</v>
      </c>
      <c r="E2179" s="4">
        <v>26501</v>
      </c>
      <c r="F2179" s="4">
        <v>5.4950000000000001</v>
      </c>
      <c r="G2179" s="4">
        <v>145622.995</v>
      </c>
      <c r="H2179" s="5">
        <f t="shared" si="33"/>
        <v>-2.8562340966921222E-2</v>
      </c>
    </row>
    <row r="2180" spans="1:8" ht="13.5" x14ac:dyDescent="0.25">
      <c r="A2180" s="1"/>
      <c r="B2180" s="3">
        <v>45475</v>
      </c>
      <c r="C2180" s="4">
        <v>5.3</v>
      </c>
      <c r="D2180" s="4">
        <v>4.4634</v>
      </c>
      <c r="E2180" s="4">
        <v>5257</v>
      </c>
      <c r="F2180" s="4">
        <v>5.34</v>
      </c>
      <c r="G2180" s="4">
        <v>28072.38</v>
      </c>
      <c r="H2180" s="5">
        <f t="shared" si="33"/>
        <v>-2.5735053369130963E-2</v>
      </c>
    </row>
    <row r="2181" spans="1:8" ht="13.5" x14ac:dyDescent="0.25">
      <c r="A2181" s="1"/>
      <c r="B2181" s="3">
        <v>45476</v>
      </c>
      <c r="C2181" s="4">
        <v>5.3</v>
      </c>
      <c r="D2181" s="4">
        <v>4.4634</v>
      </c>
      <c r="E2181" s="4">
        <v>2251</v>
      </c>
      <c r="F2181" s="4">
        <v>5.2649999999999997</v>
      </c>
      <c r="G2181" s="4">
        <v>11851.514999999999</v>
      </c>
      <c r="H2181" s="5">
        <f t="shared" si="33"/>
        <v>0</v>
      </c>
    </row>
    <row r="2182" spans="1:8" ht="13.5" x14ac:dyDescent="0.25">
      <c r="A2182" s="1"/>
      <c r="B2182" s="3">
        <v>45477</v>
      </c>
      <c r="C2182" s="4">
        <v>5.2</v>
      </c>
      <c r="D2182" s="4">
        <v>4.3792</v>
      </c>
      <c r="E2182" s="4">
        <v>18093</v>
      </c>
      <c r="F2182" s="4">
        <v>5.1980000000000004</v>
      </c>
      <c r="G2182" s="4">
        <v>94047.414000000004</v>
      </c>
      <c r="H2182" s="5">
        <f t="shared" si="33"/>
        <v>-1.8864542725276708E-2</v>
      </c>
    </row>
    <row r="2183" spans="1:8" ht="13.5" x14ac:dyDescent="0.25">
      <c r="A2183" s="1"/>
      <c r="B2183" s="3">
        <v>45478</v>
      </c>
      <c r="C2183" s="4">
        <v>5.18</v>
      </c>
      <c r="D2183" s="4">
        <v>4.3623000000000003</v>
      </c>
      <c r="E2183" s="4">
        <v>1360</v>
      </c>
      <c r="F2183" s="4">
        <v>5.1820000000000004</v>
      </c>
      <c r="G2183" s="4">
        <v>7047.52</v>
      </c>
      <c r="H2183" s="5">
        <f t="shared" ref="H2183:H2246" si="34">(D2183-D2182)/D2182</f>
        <v>-3.8591523565947418E-3</v>
      </c>
    </row>
    <row r="2184" spans="1:8" ht="13.5" x14ac:dyDescent="0.25">
      <c r="A2184" s="1"/>
      <c r="B2184" s="3">
        <v>45481</v>
      </c>
      <c r="C2184" s="4">
        <v>5.18</v>
      </c>
      <c r="D2184" s="4">
        <v>4.3623000000000003</v>
      </c>
      <c r="E2184" s="4">
        <v>3833</v>
      </c>
      <c r="F2184" s="4">
        <v>5.1840000000000002</v>
      </c>
      <c r="G2184" s="4">
        <v>19870.272000000001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5.24</v>
      </c>
      <c r="D2185" s="4">
        <v>4.4127999999999998</v>
      </c>
      <c r="E2185" s="4">
        <v>70</v>
      </c>
      <c r="F2185" s="4">
        <v>5.2460000000000004</v>
      </c>
      <c r="G2185" s="4">
        <v>367.22</v>
      </c>
      <c r="H2185" s="5">
        <f t="shared" si="34"/>
        <v>1.1576461958141243E-2</v>
      </c>
    </row>
    <row r="2186" spans="1:8" ht="13.5" x14ac:dyDescent="0.25">
      <c r="A2186" s="1"/>
      <c r="B2186" s="3">
        <v>45483</v>
      </c>
      <c r="C2186" s="4">
        <v>5.25</v>
      </c>
      <c r="D2186" s="4">
        <v>4.4212999999999996</v>
      </c>
      <c r="E2186" s="4">
        <v>266</v>
      </c>
      <c r="F2186" s="4">
        <v>5.25</v>
      </c>
      <c r="G2186" s="4">
        <v>1396.5</v>
      </c>
      <c r="H2186" s="5">
        <f t="shared" si="34"/>
        <v>1.9262146482958054E-3</v>
      </c>
    </row>
    <row r="2187" spans="1:8" ht="13.5" x14ac:dyDescent="0.25">
      <c r="A2187" s="1"/>
      <c r="B2187" s="3">
        <v>45484</v>
      </c>
      <c r="C2187" s="4">
        <v>5.25</v>
      </c>
      <c r="D2187" s="4">
        <v>4.4212999999999996</v>
      </c>
      <c r="E2187" s="4">
        <v>1044</v>
      </c>
      <c r="F2187" s="4">
        <v>5.2190000000000003</v>
      </c>
      <c r="G2187" s="4">
        <v>5448.6360000000004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5.21</v>
      </c>
      <c r="D2188" s="4">
        <v>4.3875999999999999</v>
      </c>
      <c r="E2188" s="4">
        <v>1882</v>
      </c>
      <c r="F2188" s="4">
        <v>5.21</v>
      </c>
      <c r="G2188" s="4">
        <v>9805.2199999999993</v>
      </c>
      <c r="H2188" s="5">
        <f t="shared" si="34"/>
        <v>-7.6221925677967166E-3</v>
      </c>
    </row>
    <row r="2189" spans="1:8" ht="13.5" x14ac:dyDescent="0.25">
      <c r="A2189" s="1"/>
      <c r="B2189" s="3">
        <v>45488</v>
      </c>
      <c r="C2189" s="4">
        <v>5.25</v>
      </c>
      <c r="D2189" s="4">
        <v>4.4212999999999996</v>
      </c>
      <c r="E2189" s="4">
        <v>954</v>
      </c>
      <c r="F2189" s="4">
        <v>5.2530000000000001</v>
      </c>
      <c r="G2189" s="4">
        <v>5011.3620000000001</v>
      </c>
      <c r="H2189" s="5">
        <f t="shared" si="34"/>
        <v>7.6807366213874602E-3</v>
      </c>
    </row>
    <row r="2190" spans="1:8" ht="13.5" x14ac:dyDescent="0.25">
      <c r="A2190" s="1"/>
      <c r="B2190" s="3">
        <v>45489</v>
      </c>
      <c r="C2190" s="4">
        <v>5.28</v>
      </c>
      <c r="D2190" s="4">
        <v>4.4465000000000003</v>
      </c>
      <c r="E2190" s="4">
        <v>7729</v>
      </c>
      <c r="F2190" s="4">
        <v>5.2539999999999996</v>
      </c>
      <c r="G2190" s="4">
        <v>40608.165999999997</v>
      </c>
      <c r="H2190" s="5">
        <f t="shared" si="34"/>
        <v>5.6996810892725623E-3</v>
      </c>
    </row>
    <row r="2191" spans="1:8" ht="13.5" x14ac:dyDescent="0.25">
      <c r="A2191" s="1"/>
      <c r="B2191" s="3">
        <v>45490</v>
      </c>
      <c r="C2191" s="4">
        <v>5.25</v>
      </c>
      <c r="D2191" s="4">
        <v>4.4212999999999996</v>
      </c>
      <c r="E2191" s="4">
        <v>7124</v>
      </c>
      <c r="F2191" s="4">
        <v>5.2480000000000002</v>
      </c>
      <c r="G2191" s="4">
        <v>37386.752</v>
      </c>
      <c r="H2191" s="5">
        <f t="shared" si="34"/>
        <v>-5.6673788372879289E-3</v>
      </c>
    </row>
    <row r="2192" spans="1:8" ht="13.5" x14ac:dyDescent="0.25">
      <c r="A2192" s="1"/>
      <c r="B2192" s="3">
        <v>45491</v>
      </c>
      <c r="C2192" s="4">
        <v>5.32</v>
      </c>
      <c r="D2192" s="4">
        <v>4.4802</v>
      </c>
      <c r="E2192" s="4">
        <v>3636</v>
      </c>
      <c r="F2192" s="4">
        <v>5.26</v>
      </c>
      <c r="G2192" s="4">
        <v>19125.36</v>
      </c>
      <c r="H2192" s="5">
        <f t="shared" si="34"/>
        <v>1.3321873657069279E-2</v>
      </c>
    </row>
    <row r="2193" spans="1:8" ht="13.5" x14ac:dyDescent="0.25">
      <c r="A2193" s="1"/>
      <c r="B2193" s="3">
        <v>45492</v>
      </c>
      <c r="C2193" s="4">
        <v>5.38</v>
      </c>
      <c r="D2193" s="4">
        <v>4.5307000000000004</v>
      </c>
      <c r="E2193" s="4">
        <v>12645</v>
      </c>
      <c r="F2193" s="4">
        <v>5.3440000000000003</v>
      </c>
      <c r="G2193" s="4">
        <v>67574.880000000005</v>
      </c>
      <c r="H2193" s="5">
        <f t="shared" si="34"/>
        <v>1.1271818222400882E-2</v>
      </c>
    </row>
    <row r="2194" spans="1:8" ht="13.5" x14ac:dyDescent="0.25">
      <c r="A2194" s="1"/>
      <c r="B2194" s="3">
        <v>45495</v>
      </c>
      <c r="C2194" s="4">
        <v>5.45</v>
      </c>
      <c r="D2194" s="4">
        <v>4.5896999999999997</v>
      </c>
      <c r="E2194" s="4">
        <v>13659</v>
      </c>
      <c r="F2194" s="4">
        <v>5.4029999999999996</v>
      </c>
      <c r="G2194" s="4">
        <v>73799.577000000005</v>
      </c>
      <c r="H2194" s="5">
        <f t="shared" si="34"/>
        <v>1.30222702893591E-2</v>
      </c>
    </row>
    <row r="2195" spans="1:8" ht="13.5" x14ac:dyDescent="0.25">
      <c r="A2195" s="1"/>
      <c r="B2195" s="3">
        <v>45496</v>
      </c>
      <c r="C2195" s="4">
        <v>5.65</v>
      </c>
      <c r="D2195" s="4">
        <v>4.7580999999999998</v>
      </c>
      <c r="E2195" s="4">
        <v>18587</v>
      </c>
      <c r="F2195" s="4">
        <v>5.5940000000000003</v>
      </c>
      <c r="G2195" s="4">
        <v>103975.678</v>
      </c>
      <c r="H2195" s="5">
        <f t="shared" si="34"/>
        <v>3.6690851253894617E-2</v>
      </c>
    </row>
    <row r="2196" spans="1:8" ht="13.5" x14ac:dyDescent="0.25">
      <c r="A2196" s="1"/>
      <c r="B2196" s="3">
        <v>45497</v>
      </c>
      <c r="C2196" s="4">
        <v>5.95</v>
      </c>
      <c r="D2196" s="4">
        <v>5.0107999999999997</v>
      </c>
      <c r="E2196" s="4">
        <v>108855</v>
      </c>
      <c r="F2196" s="4">
        <v>5.9619999999999997</v>
      </c>
      <c r="G2196" s="4">
        <v>648993.51</v>
      </c>
      <c r="H2196" s="5">
        <f t="shared" si="34"/>
        <v>5.310943443811604E-2</v>
      </c>
    </row>
    <row r="2197" spans="1:8" ht="13.5" x14ac:dyDescent="0.25">
      <c r="A2197" s="1"/>
      <c r="B2197" s="3">
        <v>45499</v>
      </c>
      <c r="C2197" s="4">
        <v>5.85</v>
      </c>
      <c r="D2197" s="4">
        <v>4.9264999999999999</v>
      </c>
      <c r="E2197" s="4">
        <v>26596</v>
      </c>
      <c r="F2197" s="4">
        <v>5.9290000000000003</v>
      </c>
      <c r="G2197" s="4">
        <v>157687.68400000001</v>
      </c>
      <c r="H2197" s="5">
        <f t="shared" si="34"/>
        <v>-1.6823660892472225E-2</v>
      </c>
    </row>
    <row r="2198" spans="1:8" ht="13.5" x14ac:dyDescent="0.25">
      <c r="A2198" s="1"/>
      <c r="B2198" s="3">
        <v>45502</v>
      </c>
      <c r="C2198" s="4">
        <v>5.98</v>
      </c>
      <c r="D2198" s="4">
        <v>5.0359999999999996</v>
      </c>
      <c r="E2198" s="4">
        <v>14687</v>
      </c>
      <c r="F2198" s="4">
        <v>5.8479999999999999</v>
      </c>
      <c r="G2198" s="4">
        <v>85889.576000000001</v>
      </c>
      <c r="H2198" s="5">
        <f t="shared" si="34"/>
        <v>2.222673297472845E-2</v>
      </c>
    </row>
    <row r="2199" spans="1:8" ht="13.5" x14ac:dyDescent="0.25">
      <c r="A2199" s="1"/>
      <c r="B2199" s="3">
        <v>45503</v>
      </c>
      <c r="C2199" s="4">
        <v>5.87</v>
      </c>
      <c r="D2199" s="4">
        <v>4.9433999999999996</v>
      </c>
      <c r="E2199" s="4">
        <v>26687</v>
      </c>
      <c r="F2199" s="4">
        <v>5.9249999999999998</v>
      </c>
      <c r="G2199" s="4">
        <v>158120.47500000001</v>
      </c>
      <c r="H2199" s="5">
        <f t="shared" si="34"/>
        <v>-1.838760921366164E-2</v>
      </c>
    </row>
    <row r="2200" spans="1:8" ht="13.5" x14ac:dyDescent="0.25">
      <c r="A2200" s="1"/>
      <c r="B2200" s="3">
        <v>45504</v>
      </c>
      <c r="C2200" s="4">
        <v>5.81</v>
      </c>
      <c r="D2200" s="4">
        <v>4.8929</v>
      </c>
      <c r="E2200" s="4">
        <v>4195</v>
      </c>
      <c r="F2200" s="4">
        <v>5.8339999999999996</v>
      </c>
      <c r="G2200" s="4">
        <v>24473.63</v>
      </c>
      <c r="H2200" s="5">
        <f t="shared" si="34"/>
        <v>-1.021564105676246E-2</v>
      </c>
    </row>
    <row r="2201" spans="1:8" ht="13.5" x14ac:dyDescent="0.25">
      <c r="A2201" s="1"/>
      <c r="B2201" s="3">
        <v>45505</v>
      </c>
      <c r="C2201" s="4">
        <v>5.79</v>
      </c>
      <c r="D2201" s="4">
        <v>4.8760000000000003</v>
      </c>
      <c r="E2201" s="4">
        <v>3924</v>
      </c>
      <c r="F2201" s="4">
        <v>5.8259999999999996</v>
      </c>
      <c r="G2201" s="4">
        <v>22861.223999999998</v>
      </c>
      <c r="H2201" s="5">
        <f t="shared" si="34"/>
        <v>-3.4539843446626116E-3</v>
      </c>
    </row>
    <row r="2202" spans="1:8" ht="13.5" x14ac:dyDescent="0.25">
      <c r="A2202" s="1"/>
      <c r="B2202" s="3">
        <v>45506</v>
      </c>
      <c r="C2202" s="4">
        <v>5.86</v>
      </c>
      <c r="D2202" s="4">
        <v>4.9349999999999996</v>
      </c>
      <c r="E2202" s="4">
        <v>8852</v>
      </c>
      <c r="F2202" s="4">
        <v>5.7930000000000001</v>
      </c>
      <c r="G2202" s="4">
        <v>51279.635999999999</v>
      </c>
      <c r="H2202" s="5">
        <f t="shared" si="34"/>
        <v>1.2100082034454321E-2</v>
      </c>
    </row>
    <row r="2203" spans="1:8" ht="13.5" x14ac:dyDescent="0.25">
      <c r="A2203" s="1"/>
      <c r="B2203" s="3">
        <v>45509</v>
      </c>
      <c r="C2203" s="4">
        <v>5.9</v>
      </c>
      <c r="D2203" s="4">
        <v>4.9687000000000001</v>
      </c>
      <c r="E2203" s="4">
        <v>6175</v>
      </c>
      <c r="F2203" s="4">
        <v>5.8970000000000002</v>
      </c>
      <c r="G2203" s="4">
        <v>36413.974999999999</v>
      </c>
      <c r="H2203" s="5">
        <f t="shared" si="34"/>
        <v>6.828774062816719E-3</v>
      </c>
    </row>
    <row r="2204" spans="1:8" ht="13.5" x14ac:dyDescent="0.25">
      <c r="A2204" s="1"/>
      <c r="B2204" s="3">
        <v>45510</v>
      </c>
      <c r="C2204" s="4">
        <v>5.88</v>
      </c>
      <c r="D2204" s="4">
        <v>4.9518000000000004</v>
      </c>
      <c r="E2204" s="4">
        <v>4233</v>
      </c>
      <c r="F2204" s="4">
        <v>5.8579999999999997</v>
      </c>
      <c r="G2204" s="4">
        <v>24796.914000000001</v>
      </c>
      <c r="H2204" s="5">
        <f t="shared" si="34"/>
        <v>-3.4012920884737845E-3</v>
      </c>
    </row>
    <row r="2205" spans="1:8" ht="13.5" x14ac:dyDescent="0.25">
      <c r="A2205" s="1"/>
      <c r="B2205" s="3">
        <v>45511</v>
      </c>
      <c r="C2205" s="4">
        <v>6.05</v>
      </c>
      <c r="D2205" s="4">
        <v>5.0949999999999998</v>
      </c>
      <c r="E2205" s="4">
        <v>19932</v>
      </c>
      <c r="F2205" s="4">
        <v>5.9509999999999996</v>
      </c>
      <c r="G2205" s="4">
        <v>118615.33199999999</v>
      </c>
      <c r="H2205" s="5">
        <f t="shared" si="34"/>
        <v>2.8918777010379926E-2</v>
      </c>
    </row>
    <row r="2206" spans="1:8" ht="13.5" x14ac:dyDescent="0.25">
      <c r="A2206" s="1"/>
      <c r="B2206" s="3">
        <v>45512</v>
      </c>
      <c r="C2206" s="4">
        <v>6.22</v>
      </c>
      <c r="D2206" s="4">
        <v>5.2381000000000002</v>
      </c>
      <c r="E2206" s="4">
        <v>35963</v>
      </c>
      <c r="F2206" s="4">
        <v>6.1639999999999997</v>
      </c>
      <c r="G2206" s="4">
        <v>221675.932</v>
      </c>
      <c r="H2206" s="5">
        <f t="shared" si="34"/>
        <v>2.8086359175662504E-2</v>
      </c>
    </row>
    <row r="2207" spans="1:8" ht="13.5" x14ac:dyDescent="0.25">
      <c r="A2207" s="1"/>
      <c r="B2207" s="3">
        <v>45513</v>
      </c>
      <c r="C2207" s="4">
        <v>6.22</v>
      </c>
      <c r="D2207" s="4">
        <v>5.2381000000000002</v>
      </c>
      <c r="E2207" s="4">
        <v>13241</v>
      </c>
      <c r="F2207" s="4">
        <v>6.2069999999999999</v>
      </c>
      <c r="G2207" s="4">
        <v>82186.887000000002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6.25</v>
      </c>
      <c r="D2208" s="4">
        <v>5.2633999999999999</v>
      </c>
      <c r="E2208" s="4">
        <v>3986</v>
      </c>
      <c r="F2208" s="4">
        <v>6.2169999999999996</v>
      </c>
      <c r="G2208" s="4">
        <v>24780.962</v>
      </c>
      <c r="H2208" s="5">
        <f t="shared" si="34"/>
        <v>4.8299956090948346E-3</v>
      </c>
    </row>
    <row r="2209" spans="1:8" ht="13.5" x14ac:dyDescent="0.25">
      <c r="A2209" s="1"/>
      <c r="B2209" s="3">
        <v>45518</v>
      </c>
      <c r="C2209" s="4">
        <v>6.39</v>
      </c>
      <c r="D2209" s="4">
        <v>5.3813000000000004</v>
      </c>
      <c r="E2209" s="4">
        <v>24465</v>
      </c>
      <c r="F2209" s="4">
        <v>6.3280000000000003</v>
      </c>
      <c r="G2209" s="4">
        <v>154814.51999999999</v>
      </c>
      <c r="H2209" s="5">
        <f t="shared" si="34"/>
        <v>2.2399969601398444E-2</v>
      </c>
    </row>
    <row r="2210" spans="1:8" ht="13.5" x14ac:dyDescent="0.25">
      <c r="A2210" s="1"/>
      <c r="B2210" s="3">
        <v>45519</v>
      </c>
      <c r="C2210" s="4">
        <v>6.4</v>
      </c>
      <c r="D2210" s="4">
        <v>5.3897000000000004</v>
      </c>
      <c r="E2210" s="4">
        <v>27249</v>
      </c>
      <c r="F2210" s="4">
        <v>6.4009999999999998</v>
      </c>
      <c r="G2210" s="4">
        <v>174420.84899999999</v>
      </c>
      <c r="H2210" s="5">
        <f t="shared" si="34"/>
        <v>1.5609611060524338E-3</v>
      </c>
    </row>
    <row r="2211" spans="1:8" ht="13.5" x14ac:dyDescent="0.25">
      <c r="A2211" s="1"/>
      <c r="B2211" s="3">
        <v>45520</v>
      </c>
      <c r="C2211" s="4">
        <v>6.45</v>
      </c>
      <c r="D2211" s="4">
        <v>5.4318</v>
      </c>
      <c r="E2211" s="4">
        <v>11841</v>
      </c>
      <c r="F2211" s="4">
        <v>6.4109999999999996</v>
      </c>
      <c r="G2211" s="4">
        <v>75912.650999999998</v>
      </c>
      <c r="H2211" s="5">
        <f t="shared" si="34"/>
        <v>7.8111954283168967E-3</v>
      </c>
    </row>
    <row r="2212" spans="1:8" ht="13.5" x14ac:dyDescent="0.25">
      <c r="A2212" s="1"/>
      <c r="B2212" s="3">
        <v>45523</v>
      </c>
      <c r="C2212" s="4">
        <v>6.6</v>
      </c>
      <c r="D2212" s="4">
        <v>5.5582000000000003</v>
      </c>
      <c r="E2212" s="4">
        <v>16358</v>
      </c>
      <c r="F2212" s="4">
        <v>6.4930000000000003</v>
      </c>
      <c r="G2212" s="4">
        <v>106212.49400000001</v>
      </c>
      <c r="H2212" s="5">
        <f t="shared" si="34"/>
        <v>2.3270370779483834E-2</v>
      </c>
    </row>
    <row r="2213" spans="1:8" ht="13.5" x14ac:dyDescent="0.25">
      <c r="A2213" s="1"/>
      <c r="B2213" s="3">
        <v>45524</v>
      </c>
      <c r="C2213" s="4">
        <v>6.6</v>
      </c>
      <c r="D2213" s="4">
        <v>5.5582000000000003</v>
      </c>
      <c r="E2213" s="4">
        <v>5963</v>
      </c>
      <c r="F2213" s="4">
        <v>6.5810000000000004</v>
      </c>
      <c r="G2213" s="4">
        <v>39242.502999999997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6.44</v>
      </c>
      <c r="D2214" s="4">
        <v>5.4234</v>
      </c>
      <c r="E2214" s="4">
        <v>7241</v>
      </c>
      <c r="F2214" s="4">
        <v>6.4829999999999997</v>
      </c>
      <c r="G2214" s="4">
        <v>46943.402999999998</v>
      </c>
      <c r="H2214" s="5">
        <f t="shared" si="34"/>
        <v>-2.4252455831024478E-2</v>
      </c>
    </row>
    <row r="2215" spans="1:8" ht="13.5" x14ac:dyDescent="0.25">
      <c r="A2215" s="1"/>
      <c r="B2215" s="3">
        <v>45526</v>
      </c>
      <c r="C2215" s="4">
        <v>6.42</v>
      </c>
      <c r="D2215" s="4">
        <v>5.4066000000000001</v>
      </c>
      <c r="E2215" s="4">
        <v>13448</v>
      </c>
      <c r="F2215" s="4">
        <v>6.3330000000000002</v>
      </c>
      <c r="G2215" s="4">
        <v>85166.183999999994</v>
      </c>
      <c r="H2215" s="5">
        <f t="shared" si="34"/>
        <v>-3.0976877973226992E-3</v>
      </c>
    </row>
    <row r="2216" spans="1:8" ht="13.5" x14ac:dyDescent="0.25">
      <c r="A2216" s="1"/>
      <c r="B2216" s="3">
        <v>45527</v>
      </c>
      <c r="C2216" s="4">
        <v>6.25</v>
      </c>
      <c r="D2216" s="4">
        <v>5.2633999999999999</v>
      </c>
      <c r="E2216" s="4">
        <v>7370</v>
      </c>
      <c r="F2216" s="4">
        <v>6.2629999999999999</v>
      </c>
      <c r="G2216" s="4">
        <v>46158.31</v>
      </c>
      <c r="H2216" s="5">
        <f t="shared" si="34"/>
        <v>-2.6486146561609924E-2</v>
      </c>
    </row>
    <row r="2217" spans="1:8" ht="13.5" x14ac:dyDescent="0.25">
      <c r="A2217" s="1"/>
      <c r="B2217" s="3">
        <v>45530</v>
      </c>
      <c r="C2217" s="4">
        <v>6.43</v>
      </c>
      <c r="D2217" s="4">
        <v>5.415</v>
      </c>
      <c r="E2217" s="4">
        <v>7324</v>
      </c>
      <c r="F2217" s="4">
        <v>6.3250000000000002</v>
      </c>
      <c r="G2217" s="4">
        <v>46324.3</v>
      </c>
      <c r="H2217" s="5">
        <f t="shared" si="34"/>
        <v>2.8802675076946494E-2</v>
      </c>
    </row>
    <row r="2218" spans="1:8" ht="13.5" x14ac:dyDescent="0.25">
      <c r="A2218" s="1"/>
      <c r="B2218" s="3">
        <v>45531</v>
      </c>
      <c r="C2218" s="4">
        <v>6.35</v>
      </c>
      <c r="D2218" s="4">
        <v>5.3475999999999999</v>
      </c>
      <c r="E2218" s="4">
        <v>7001</v>
      </c>
      <c r="F2218" s="4">
        <v>6.3230000000000004</v>
      </c>
      <c r="G2218" s="4">
        <v>44267.322999999997</v>
      </c>
      <c r="H2218" s="5">
        <f t="shared" si="34"/>
        <v>-1.2446906740535573E-2</v>
      </c>
    </row>
    <row r="2219" spans="1:8" ht="13.5" x14ac:dyDescent="0.25">
      <c r="A2219" s="1"/>
      <c r="B2219" s="3">
        <v>45532</v>
      </c>
      <c r="C2219" s="4">
        <v>6.38</v>
      </c>
      <c r="D2219" s="4">
        <v>5.3728999999999996</v>
      </c>
      <c r="E2219" s="4">
        <v>1171</v>
      </c>
      <c r="F2219" s="4">
        <v>6.37</v>
      </c>
      <c r="G2219" s="4">
        <v>7459.27</v>
      </c>
      <c r="H2219" s="5">
        <f t="shared" si="34"/>
        <v>4.7310943226867488E-3</v>
      </c>
    </row>
    <row r="2220" spans="1:8" ht="13.5" x14ac:dyDescent="0.25">
      <c r="A2220" s="1"/>
      <c r="B2220" s="3">
        <v>45533</v>
      </c>
      <c r="C2220" s="4">
        <v>6.42</v>
      </c>
      <c r="D2220" s="4">
        <v>5.4066000000000001</v>
      </c>
      <c r="E2220" s="4">
        <v>6059</v>
      </c>
      <c r="F2220" s="4">
        <v>6.4180000000000001</v>
      </c>
      <c r="G2220" s="4">
        <v>38886.661999999997</v>
      </c>
      <c r="H2220" s="5">
        <f t="shared" si="34"/>
        <v>6.2722179828399024E-3</v>
      </c>
    </row>
    <row r="2221" spans="1:8" ht="13.5" x14ac:dyDescent="0.25">
      <c r="A2221" s="1"/>
      <c r="B2221" s="3">
        <v>45534</v>
      </c>
      <c r="C2221" s="4">
        <v>6.4</v>
      </c>
      <c r="D2221" s="4">
        <v>5.3897000000000004</v>
      </c>
      <c r="E2221" s="4">
        <v>1509</v>
      </c>
      <c r="F2221" s="4">
        <v>6.3920000000000003</v>
      </c>
      <c r="G2221" s="4">
        <v>9645.5280000000002</v>
      </c>
      <c r="H2221" s="5">
        <f t="shared" si="34"/>
        <v>-3.1258091961675902E-3</v>
      </c>
    </row>
    <row r="2222" spans="1:8" ht="13.5" x14ac:dyDescent="0.25">
      <c r="A2222" s="1"/>
      <c r="B2222" s="3">
        <v>45537</v>
      </c>
      <c r="C2222" s="4">
        <v>6.35</v>
      </c>
      <c r="D2222" s="4">
        <v>5.3475999999999999</v>
      </c>
      <c r="E2222" s="4">
        <v>3356</v>
      </c>
      <c r="F2222" s="4">
        <v>6.3570000000000002</v>
      </c>
      <c r="G2222" s="4">
        <v>21334.092000000001</v>
      </c>
      <c r="H2222" s="5">
        <f t="shared" si="34"/>
        <v>-7.8111954283170614E-3</v>
      </c>
    </row>
    <row r="2223" spans="1:8" ht="13.5" x14ac:dyDescent="0.25">
      <c r="A2223" s="1"/>
      <c r="B2223" s="3">
        <v>45538</v>
      </c>
      <c r="C2223" s="4">
        <v>6.39</v>
      </c>
      <c r="D2223" s="4">
        <v>5.3813000000000004</v>
      </c>
      <c r="E2223" s="4">
        <v>11050</v>
      </c>
      <c r="F2223" s="4">
        <v>6.3239999999999998</v>
      </c>
      <c r="G2223" s="4">
        <v>69880.2</v>
      </c>
      <c r="H2223" s="5">
        <f t="shared" si="34"/>
        <v>6.3018924377291697E-3</v>
      </c>
    </row>
    <row r="2224" spans="1:8" ht="13.5" x14ac:dyDescent="0.25">
      <c r="A2224" s="1"/>
      <c r="B2224" s="3">
        <v>45539</v>
      </c>
      <c r="C2224" s="4">
        <v>6.55</v>
      </c>
      <c r="D2224" s="4">
        <v>5.5160999999999998</v>
      </c>
      <c r="E2224" s="4">
        <v>23743</v>
      </c>
      <c r="F2224" s="4">
        <v>6.4969999999999999</v>
      </c>
      <c r="G2224" s="4">
        <v>154258.27100000001</v>
      </c>
      <c r="H2224" s="5">
        <f t="shared" si="34"/>
        <v>2.5049709178079527E-2</v>
      </c>
    </row>
    <row r="2225" spans="1:8" ht="13.5" x14ac:dyDescent="0.25">
      <c r="A2225" s="1"/>
      <c r="B2225" s="3">
        <v>45540</v>
      </c>
      <c r="C2225" s="4">
        <v>6.54</v>
      </c>
      <c r="D2225" s="4">
        <v>5.5076000000000001</v>
      </c>
      <c r="E2225" s="4">
        <v>26387</v>
      </c>
      <c r="F2225" s="4">
        <v>6.6040000000000001</v>
      </c>
      <c r="G2225" s="4">
        <v>174259.74799999999</v>
      </c>
      <c r="H2225" s="5">
        <f t="shared" si="34"/>
        <v>-1.5409437827450065E-3</v>
      </c>
    </row>
    <row r="2226" spans="1:8" ht="13.5" x14ac:dyDescent="0.25">
      <c r="A2226" s="1"/>
      <c r="B2226" s="3">
        <v>45541</v>
      </c>
      <c r="C2226" s="4">
        <v>6.46</v>
      </c>
      <c r="D2226" s="4">
        <v>5.4402999999999997</v>
      </c>
      <c r="E2226" s="4">
        <v>11649</v>
      </c>
      <c r="F2226" s="4">
        <v>6.5110000000000001</v>
      </c>
      <c r="G2226" s="4">
        <v>75846.638999999996</v>
      </c>
      <c r="H2226" s="5">
        <f t="shared" si="34"/>
        <v>-1.2219478538746525E-2</v>
      </c>
    </row>
    <row r="2227" spans="1:8" ht="13.5" x14ac:dyDescent="0.25">
      <c r="A2227" s="1"/>
      <c r="B2227" s="3">
        <v>45544</v>
      </c>
      <c r="C2227" s="4">
        <v>6.5</v>
      </c>
      <c r="D2227" s="4">
        <v>5.4739000000000004</v>
      </c>
      <c r="E2227" s="4">
        <v>2154</v>
      </c>
      <c r="F2227" s="4">
        <v>6.4790000000000001</v>
      </c>
      <c r="G2227" s="4">
        <v>13955.766</v>
      </c>
      <c r="H2227" s="5">
        <f t="shared" si="34"/>
        <v>6.1761299928314141E-3</v>
      </c>
    </row>
    <row r="2228" spans="1:8" ht="13.5" x14ac:dyDescent="0.25">
      <c r="A2228" s="1"/>
      <c r="B2228" s="3">
        <v>45545</v>
      </c>
      <c r="C2228" s="4">
        <v>6.48</v>
      </c>
      <c r="D2228" s="4">
        <v>5.4570999999999996</v>
      </c>
      <c r="E2228" s="4">
        <v>3490</v>
      </c>
      <c r="F2228" s="4">
        <v>6.5010000000000003</v>
      </c>
      <c r="G2228" s="4">
        <v>22688.49</v>
      </c>
      <c r="H2228" s="5">
        <f t="shared" si="34"/>
        <v>-3.0691097754801536E-3</v>
      </c>
    </row>
    <row r="2229" spans="1:8" ht="13.5" x14ac:dyDescent="0.25">
      <c r="A2229" s="1"/>
      <c r="B2229" s="3">
        <v>45546</v>
      </c>
      <c r="C2229" s="4">
        <v>6.45</v>
      </c>
      <c r="D2229" s="4">
        <v>5.4318</v>
      </c>
      <c r="E2229" s="4">
        <v>8001</v>
      </c>
      <c r="F2229" s="4">
        <v>6.4320000000000004</v>
      </c>
      <c r="G2229" s="4">
        <v>51462.432000000001</v>
      </c>
      <c r="H2229" s="5">
        <f t="shared" si="34"/>
        <v>-4.6361620640999173E-3</v>
      </c>
    </row>
    <row r="2230" spans="1:8" ht="13.5" x14ac:dyDescent="0.25">
      <c r="A2230" s="1"/>
      <c r="B2230" s="3">
        <v>45547</v>
      </c>
      <c r="C2230" s="4">
        <v>6.42</v>
      </c>
      <c r="D2230" s="4">
        <v>5.4066000000000001</v>
      </c>
      <c r="E2230" s="4">
        <v>13936</v>
      </c>
      <c r="F2230" s="4">
        <v>6.399</v>
      </c>
      <c r="G2230" s="4">
        <v>89176.464000000007</v>
      </c>
      <c r="H2230" s="5">
        <f t="shared" si="34"/>
        <v>-4.6393460731249106E-3</v>
      </c>
    </row>
    <row r="2231" spans="1:8" ht="13.5" x14ac:dyDescent="0.25">
      <c r="A2231" s="1"/>
      <c r="B2231" s="3">
        <v>45548</v>
      </c>
      <c r="C2231" s="4">
        <v>6.4</v>
      </c>
      <c r="D2231" s="4">
        <v>5.3897000000000004</v>
      </c>
      <c r="E2231" s="4">
        <v>1951</v>
      </c>
      <c r="F2231" s="4">
        <v>6.4050000000000002</v>
      </c>
      <c r="G2231" s="4">
        <v>12496.155000000001</v>
      </c>
      <c r="H2231" s="5">
        <f t="shared" si="34"/>
        <v>-3.1258091961675902E-3</v>
      </c>
    </row>
    <row r="2232" spans="1:8" ht="13.5" x14ac:dyDescent="0.25">
      <c r="A2232" s="1"/>
      <c r="B2232" s="3">
        <v>45551</v>
      </c>
      <c r="C2232" s="4">
        <v>6.43</v>
      </c>
      <c r="D2232" s="4">
        <v>5.415</v>
      </c>
      <c r="E2232" s="4">
        <v>4210</v>
      </c>
      <c r="F2232" s="4">
        <v>6.4059999999999997</v>
      </c>
      <c r="G2232" s="4">
        <v>26969.26</v>
      </c>
      <c r="H2232" s="5">
        <f t="shared" si="34"/>
        <v>4.6941388203424412E-3</v>
      </c>
    </row>
    <row r="2233" spans="1:8" ht="13.5" x14ac:dyDescent="0.25">
      <c r="A2233" s="1"/>
      <c r="B2233" s="3">
        <v>45552</v>
      </c>
      <c r="C2233" s="4">
        <v>6.55</v>
      </c>
      <c r="D2233" s="4">
        <v>5.5160999999999998</v>
      </c>
      <c r="E2233" s="4">
        <v>14733</v>
      </c>
      <c r="F2233" s="4">
        <v>6.5190000000000001</v>
      </c>
      <c r="G2233" s="4">
        <v>96044.426999999996</v>
      </c>
      <c r="H2233" s="5">
        <f t="shared" si="34"/>
        <v>1.8670360110803277E-2</v>
      </c>
    </row>
    <row r="2234" spans="1:8" ht="13.5" x14ac:dyDescent="0.25">
      <c r="A2234" s="1"/>
      <c r="B2234" s="3">
        <v>45553</v>
      </c>
      <c r="C2234" s="4">
        <v>6.5</v>
      </c>
      <c r="D2234" s="4">
        <v>5.4739000000000004</v>
      </c>
      <c r="E2234" s="4">
        <v>27696</v>
      </c>
      <c r="F2234" s="4">
        <v>6.5650000000000004</v>
      </c>
      <c r="G2234" s="4">
        <v>181824.24</v>
      </c>
      <c r="H2234" s="5">
        <f t="shared" si="34"/>
        <v>-7.6503326625694517E-3</v>
      </c>
    </row>
    <row r="2235" spans="1:8" ht="13.5" x14ac:dyDescent="0.25">
      <c r="A2235" s="1"/>
      <c r="B2235" s="3">
        <v>45554</v>
      </c>
      <c r="C2235" s="4">
        <v>6.5</v>
      </c>
      <c r="D2235" s="4">
        <v>5.4739000000000004</v>
      </c>
      <c r="E2235" s="4">
        <v>63136</v>
      </c>
      <c r="F2235" s="4">
        <v>6.4969999999999999</v>
      </c>
      <c r="G2235" s="4">
        <v>410194.592</v>
      </c>
      <c r="H2235" s="5">
        <f t="shared" si="34"/>
        <v>0</v>
      </c>
    </row>
    <row r="2236" spans="1:8" ht="13.5" x14ac:dyDescent="0.25">
      <c r="A2236" s="1"/>
      <c r="B2236" s="3">
        <v>45555</v>
      </c>
      <c r="C2236" s="4">
        <v>6</v>
      </c>
      <c r="D2236" s="4">
        <v>5.4744000000000002</v>
      </c>
      <c r="E2236" s="4">
        <v>24239</v>
      </c>
      <c r="F2236" s="4">
        <v>6.06</v>
      </c>
      <c r="G2236" s="4">
        <v>146888.34</v>
      </c>
      <c r="H2236" s="5">
        <f t="shared" si="34"/>
        <v>9.1342552841616189E-5</v>
      </c>
    </row>
    <row r="2237" spans="1:8" ht="13.5" x14ac:dyDescent="0.25">
      <c r="A2237" s="1"/>
      <c r="B2237" s="3">
        <v>45558</v>
      </c>
      <c r="C2237" s="4">
        <v>6.21</v>
      </c>
      <c r="D2237" s="4">
        <v>5.6660000000000004</v>
      </c>
      <c r="E2237" s="4">
        <v>32477</v>
      </c>
      <c r="F2237" s="4">
        <v>6.1580000000000004</v>
      </c>
      <c r="G2237" s="4">
        <v>199993.36600000001</v>
      </c>
      <c r="H2237" s="5">
        <f t="shared" si="34"/>
        <v>3.4999269326318902E-2</v>
      </c>
    </row>
    <row r="2238" spans="1:8" ht="13.5" x14ac:dyDescent="0.25">
      <c r="A2238" s="1"/>
      <c r="B2238" s="3">
        <v>45559</v>
      </c>
      <c r="C2238" s="4">
        <v>6.34</v>
      </c>
      <c r="D2238" s="4">
        <v>5.7846000000000002</v>
      </c>
      <c r="E2238" s="4">
        <v>8912</v>
      </c>
      <c r="F2238" s="4">
        <v>6.266</v>
      </c>
      <c r="G2238" s="4">
        <v>55842.591999999997</v>
      </c>
      <c r="H2238" s="5">
        <f t="shared" si="34"/>
        <v>2.0931874338157398E-2</v>
      </c>
    </row>
    <row r="2239" spans="1:8" ht="13.5" x14ac:dyDescent="0.25">
      <c r="A2239" s="1"/>
      <c r="B2239" s="3">
        <v>45560</v>
      </c>
      <c r="C2239" s="4">
        <v>6.2</v>
      </c>
      <c r="D2239" s="4">
        <v>5.6569000000000003</v>
      </c>
      <c r="E2239" s="4">
        <v>14740</v>
      </c>
      <c r="F2239" s="4">
        <v>6.2510000000000003</v>
      </c>
      <c r="G2239" s="4">
        <v>92139.74</v>
      </c>
      <c r="H2239" s="5">
        <f t="shared" si="34"/>
        <v>-2.2075856584724947E-2</v>
      </c>
    </row>
    <row r="2240" spans="1:8" ht="13.5" x14ac:dyDescent="0.25">
      <c r="A2240" s="1"/>
      <c r="B2240" s="3">
        <v>45561</v>
      </c>
      <c r="C2240" s="4">
        <v>6.2</v>
      </c>
      <c r="D2240" s="4">
        <v>5.6569000000000003</v>
      </c>
      <c r="E2240" s="4">
        <v>12308</v>
      </c>
      <c r="F2240" s="4">
        <v>6.1630000000000003</v>
      </c>
      <c r="G2240" s="4">
        <v>75854.203999999998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6.18</v>
      </c>
      <c r="D2241" s="4">
        <v>5.6386000000000003</v>
      </c>
      <c r="E2241" s="4">
        <v>6733</v>
      </c>
      <c r="F2241" s="4">
        <v>6.1210000000000004</v>
      </c>
      <c r="G2241" s="4">
        <v>41212.692999999999</v>
      </c>
      <c r="H2241" s="5">
        <f t="shared" si="34"/>
        <v>-3.234987360568506E-3</v>
      </c>
    </row>
    <row r="2242" spans="1:8" ht="13.5" x14ac:dyDescent="0.25">
      <c r="A2242" s="1"/>
      <c r="B2242" s="3">
        <v>45565</v>
      </c>
      <c r="C2242" s="4">
        <v>6.12</v>
      </c>
      <c r="D2242" s="4">
        <v>5.5838999999999999</v>
      </c>
      <c r="E2242" s="4">
        <v>3519</v>
      </c>
      <c r="F2242" s="4">
        <v>6.1040000000000001</v>
      </c>
      <c r="G2242" s="4">
        <v>21479.975999999999</v>
      </c>
      <c r="H2242" s="5">
        <f t="shared" si="34"/>
        <v>-9.7009896073494157E-3</v>
      </c>
    </row>
    <row r="2243" spans="1:8" ht="13.5" x14ac:dyDescent="0.25">
      <c r="A2243" s="1"/>
      <c r="B2243" s="3">
        <v>45566</v>
      </c>
      <c r="C2243" s="4">
        <v>6.07</v>
      </c>
      <c r="D2243" s="4">
        <v>5.5382999999999996</v>
      </c>
      <c r="E2243" s="4">
        <v>4382</v>
      </c>
      <c r="F2243" s="4">
        <v>6.0839999999999996</v>
      </c>
      <c r="G2243" s="4">
        <v>26660.088</v>
      </c>
      <c r="H2243" s="5">
        <f t="shared" si="34"/>
        <v>-8.1663353570085983E-3</v>
      </c>
    </row>
    <row r="2244" spans="1:8" ht="13.5" x14ac:dyDescent="0.25">
      <c r="A2244" s="1"/>
      <c r="B2244" s="3">
        <v>45567</v>
      </c>
      <c r="C2244" s="4">
        <v>6.09</v>
      </c>
      <c r="D2244" s="4">
        <v>5.5564999999999998</v>
      </c>
      <c r="E2244" s="4">
        <v>3097</v>
      </c>
      <c r="F2244" s="4">
        <v>6.0590000000000002</v>
      </c>
      <c r="G2244" s="4">
        <v>18764.723000000002</v>
      </c>
      <c r="H2244" s="5">
        <f t="shared" si="34"/>
        <v>3.2862069588141156E-3</v>
      </c>
    </row>
    <row r="2245" spans="1:8" ht="13.5" x14ac:dyDescent="0.25">
      <c r="A2245" s="1"/>
      <c r="B2245" s="3">
        <v>45568</v>
      </c>
      <c r="C2245" s="4">
        <v>6.01</v>
      </c>
      <c r="D2245" s="4">
        <v>5.4835000000000003</v>
      </c>
      <c r="E2245" s="4">
        <v>8619</v>
      </c>
      <c r="F2245" s="4">
        <v>6.0140000000000002</v>
      </c>
      <c r="G2245" s="4">
        <v>51834.665999999997</v>
      </c>
      <c r="H2245" s="5">
        <f t="shared" si="34"/>
        <v>-1.3137766579681366E-2</v>
      </c>
    </row>
    <row r="2246" spans="1:8" ht="13.5" x14ac:dyDescent="0.25">
      <c r="A2246" s="1"/>
      <c r="B2246" s="3">
        <v>45569</v>
      </c>
      <c r="C2246" s="4">
        <v>6.08</v>
      </c>
      <c r="D2246" s="4">
        <v>5.5473999999999997</v>
      </c>
      <c r="E2246" s="4">
        <v>2952</v>
      </c>
      <c r="F2246" s="4">
        <v>6.0289999999999999</v>
      </c>
      <c r="G2246" s="4">
        <v>17797.608</v>
      </c>
      <c r="H2246" s="5">
        <f t="shared" si="34"/>
        <v>1.165314124190743E-2</v>
      </c>
    </row>
    <row r="2247" spans="1:8" ht="13.5" x14ac:dyDescent="0.25">
      <c r="A2247" s="1"/>
      <c r="B2247" s="3">
        <v>45572</v>
      </c>
      <c r="C2247" s="4">
        <v>6.04</v>
      </c>
      <c r="D2247" s="4">
        <v>5.5109000000000004</v>
      </c>
      <c r="E2247" s="4">
        <v>554</v>
      </c>
      <c r="F2247" s="4">
        <v>6.0469999999999997</v>
      </c>
      <c r="G2247" s="4">
        <v>3350.038</v>
      </c>
      <c r="H2247" s="5">
        <f t="shared" ref="H2247:H2310" si="35">(D2247-D2246)/D2246</f>
        <v>-6.5796589393228022E-3</v>
      </c>
    </row>
    <row r="2248" spans="1:8" ht="13.5" x14ac:dyDescent="0.25">
      <c r="A2248" s="1"/>
      <c r="B2248" s="3">
        <v>45573</v>
      </c>
      <c r="C2248" s="4">
        <v>6.03</v>
      </c>
      <c r="D2248" s="4">
        <v>5.5018000000000002</v>
      </c>
      <c r="E2248" s="4">
        <v>5649</v>
      </c>
      <c r="F2248" s="4">
        <v>5.9720000000000004</v>
      </c>
      <c r="G2248" s="4">
        <v>33735.828000000001</v>
      </c>
      <c r="H2248" s="5">
        <f t="shared" si="35"/>
        <v>-1.651272931826037E-3</v>
      </c>
    </row>
    <row r="2249" spans="1:8" ht="13.5" x14ac:dyDescent="0.25">
      <c r="A2249" s="1"/>
      <c r="B2249" s="3">
        <v>45574</v>
      </c>
      <c r="C2249" s="4">
        <v>6.02</v>
      </c>
      <c r="D2249" s="4">
        <v>5.4926000000000004</v>
      </c>
      <c r="E2249" s="4">
        <v>754</v>
      </c>
      <c r="F2249" s="4">
        <v>6.02</v>
      </c>
      <c r="G2249" s="4">
        <v>4539.08</v>
      </c>
      <c r="H2249" s="5">
        <f t="shared" si="35"/>
        <v>-1.6721800138136383E-3</v>
      </c>
    </row>
    <row r="2250" spans="1:8" ht="13.5" x14ac:dyDescent="0.25">
      <c r="A2250" s="1"/>
      <c r="B2250" s="3">
        <v>45575</v>
      </c>
      <c r="C2250" s="4">
        <v>6.08</v>
      </c>
      <c r="D2250" s="4">
        <v>5.5473999999999997</v>
      </c>
      <c r="E2250" s="4">
        <v>9297</v>
      </c>
      <c r="F2250" s="4">
        <v>6.0410000000000004</v>
      </c>
      <c r="G2250" s="4">
        <v>56163.177000000003</v>
      </c>
      <c r="H2250" s="5">
        <f t="shared" si="35"/>
        <v>9.977060044423277E-3</v>
      </c>
    </row>
    <row r="2251" spans="1:8" ht="13.5" x14ac:dyDescent="0.25">
      <c r="A2251" s="1"/>
      <c r="B2251" s="3">
        <v>45576</v>
      </c>
      <c r="C2251" s="4">
        <v>6.2</v>
      </c>
      <c r="D2251" s="4">
        <v>5.6569000000000003</v>
      </c>
      <c r="E2251" s="4">
        <v>5031</v>
      </c>
      <c r="F2251" s="4">
        <v>6.1710000000000003</v>
      </c>
      <c r="G2251" s="4">
        <v>31046.300999999999</v>
      </c>
      <c r="H2251" s="5">
        <f t="shared" si="35"/>
        <v>1.9738976817968885E-2</v>
      </c>
    </row>
    <row r="2252" spans="1:8" ht="13.5" x14ac:dyDescent="0.25">
      <c r="A2252" s="1"/>
      <c r="B2252" s="3">
        <v>45579</v>
      </c>
      <c r="C2252" s="4">
        <v>6.2</v>
      </c>
      <c r="D2252" s="4">
        <v>5.6569000000000003</v>
      </c>
      <c r="E2252" s="4">
        <v>4821</v>
      </c>
      <c r="F2252" s="4">
        <v>6.1660000000000004</v>
      </c>
      <c r="G2252" s="4">
        <v>29726.286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6.04</v>
      </c>
      <c r="D2253" s="4">
        <v>5.5109000000000004</v>
      </c>
      <c r="E2253" s="4">
        <v>10906</v>
      </c>
      <c r="F2253" s="4">
        <v>6.0119999999999996</v>
      </c>
      <c r="G2253" s="4">
        <v>65566.872000000003</v>
      </c>
      <c r="H2253" s="5">
        <f t="shared" si="35"/>
        <v>-2.5809188778306121E-2</v>
      </c>
    </row>
    <row r="2254" spans="1:8" ht="13.5" x14ac:dyDescent="0.25">
      <c r="A2254" s="1"/>
      <c r="B2254" s="3">
        <v>45582</v>
      </c>
      <c r="C2254" s="4">
        <v>6.13</v>
      </c>
      <c r="D2254" s="4">
        <v>5.593</v>
      </c>
      <c r="E2254" s="4">
        <v>2613</v>
      </c>
      <c r="F2254" s="4">
        <v>6.1109999999999998</v>
      </c>
      <c r="G2254" s="4">
        <v>15968.043</v>
      </c>
      <c r="H2254" s="5">
        <f t="shared" si="35"/>
        <v>1.4897748099221472E-2</v>
      </c>
    </row>
    <row r="2255" spans="1:8" ht="13.5" x14ac:dyDescent="0.25">
      <c r="A2255" s="1"/>
      <c r="B2255" s="3">
        <v>45583</v>
      </c>
      <c r="C2255" s="4">
        <v>6.1</v>
      </c>
      <c r="D2255" s="4">
        <v>5.5655999999999999</v>
      </c>
      <c r="E2255" s="4">
        <v>3064</v>
      </c>
      <c r="F2255" s="4">
        <v>6.0759999999999996</v>
      </c>
      <c r="G2255" s="4">
        <v>18616.864000000001</v>
      </c>
      <c r="H2255" s="5">
        <f t="shared" si="35"/>
        <v>-4.8989808689433381E-3</v>
      </c>
    </row>
    <row r="2256" spans="1:8" ht="13.5" x14ac:dyDescent="0.25">
      <c r="A2256" s="1"/>
      <c r="B2256" s="3">
        <v>45586</v>
      </c>
      <c r="C2256" s="4">
        <v>6.23</v>
      </c>
      <c r="D2256" s="4">
        <v>5.6843000000000004</v>
      </c>
      <c r="E2256" s="4">
        <v>2639</v>
      </c>
      <c r="F2256" s="4">
        <v>6.1230000000000002</v>
      </c>
      <c r="G2256" s="4">
        <v>16158.597</v>
      </c>
      <c r="H2256" s="5">
        <f t="shared" si="35"/>
        <v>2.1327439988500875E-2</v>
      </c>
    </row>
    <row r="2257" spans="1:8" ht="13.5" x14ac:dyDescent="0.25">
      <c r="A2257" s="1"/>
      <c r="B2257" s="3">
        <v>45587</v>
      </c>
      <c r="C2257" s="4">
        <v>6.39</v>
      </c>
      <c r="D2257" s="4">
        <v>5.8301999999999996</v>
      </c>
      <c r="E2257" s="4">
        <v>11319</v>
      </c>
      <c r="F2257" s="4">
        <v>6.3380000000000001</v>
      </c>
      <c r="G2257" s="4">
        <v>71739.822</v>
      </c>
      <c r="H2257" s="5">
        <f t="shared" si="35"/>
        <v>2.5667188572031603E-2</v>
      </c>
    </row>
    <row r="2258" spans="1:8" ht="13.5" x14ac:dyDescent="0.25">
      <c r="A2258" s="1"/>
      <c r="B2258" s="3">
        <v>45588</v>
      </c>
      <c r="C2258" s="4">
        <v>6.68</v>
      </c>
      <c r="D2258" s="4">
        <v>6.0948000000000002</v>
      </c>
      <c r="E2258" s="4">
        <v>33454</v>
      </c>
      <c r="F2258" s="4">
        <v>6.5730000000000004</v>
      </c>
      <c r="G2258" s="4">
        <v>219893.14199999999</v>
      </c>
      <c r="H2258" s="5">
        <f t="shared" si="35"/>
        <v>4.5384377894411965E-2</v>
      </c>
    </row>
    <row r="2259" spans="1:8" ht="13.5" x14ac:dyDescent="0.25">
      <c r="A2259" s="1"/>
      <c r="B2259" s="3">
        <v>45589</v>
      </c>
      <c r="C2259" s="4">
        <v>6.8</v>
      </c>
      <c r="D2259" s="4">
        <v>6.2042999999999999</v>
      </c>
      <c r="E2259" s="4">
        <v>22297</v>
      </c>
      <c r="F2259" s="4">
        <v>6.7919999999999998</v>
      </c>
      <c r="G2259" s="4">
        <v>151441.22399999999</v>
      </c>
      <c r="H2259" s="5">
        <f t="shared" si="35"/>
        <v>1.7966135065957817E-2</v>
      </c>
    </row>
    <row r="2260" spans="1:8" ht="13.5" x14ac:dyDescent="0.25">
      <c r="A2260" s="1"/>
      <c r="B2260" s="3">
        <v>45590</v>
      </c>
      <c r="C2260" s="4">
        <v>6.48</v>
      </c>
      <c r="D2260" s="4">
        <v>5.9123999999999999</v>
      </c>
      <c r="E2260" s="4">
        <v>64966</v>
      </c>
      <c r="F2260" s="4">
        <v>6.4390000000000001</v>
      </c>
      <c r="G2260" s="4">
        <v>418316.07400000002</v>
      </c>
      <c r="H2260" s="5">
        <f t="shared" si="35"/>
        <v>-4.7048015086311117E-2</v>
      </c>
    </row>
    <row r="2261" spans="1:8" ht="13.5" x14ac:dyDescent="0.25">
      <c r="A2261" s="1"/>
      <c r="B2261" s="3">
        <v>45593</v>
      </c>
      <c r="C2261" s="4">
        <v>6.3</v>
      </c>
      <c r="D2261" s="4">
        <v>5.7481</v>
      </c>
      <c r="E2261" s="4">
        <v>11889</v>
      </c>
      <c r="F2261" s="4">
        <v>6.306</v>
      </c>
      <c r="G2261" s="4">
        <v>74972.034</v>
      </c>
      <c r="H2261" s="5">
        <f t="shared" si="35"/>
        <v>-2.7789053514647163E-2</v>
      </c>
    </row>
    <row r="2262" spans="1:8" ht="13.5" x14ac:dyDescent="0.25">
      <c r="A2262" s="1"/>
      <c r="B2262" s="3">
        <v>45594</v>
      </c>
      <c r="C2262" s="4">
        <v>6.43</v>
      </c>
      <c r="D2262" s="4">
        <v>5.8666999999999998</v>
      </c>
      <c r="E2262" s="4">
        <v>10243</v>
      </c>
      <c r="F2262" s="4">
        <v>6.3540000000000001</v>
      </c>
      <c r="G2262" s="4">
        <v>65084.021999999997</v>
      </c>
      <c r="H2262" s="5">
        <f t="shared" si="35"/>
        <v>2.0632904785929232E-2</v>
      </c>
    </row>
    <row r="2263" spans="1:8" ht="13.5" x14ac:dyDescent="0.25">
      <c r="A2263" s="1"/>
      <c r="B2263" s="3">
        <v>45595</v>
      </c>
      <c r="C2263" s="4">
        <v>6.49</v>
      </c>
      <c r="D2263" s="4">
        <v>5.9215</v>
      </c>
      <c r="E2263" s="4">
        <v>1651</v>
      </c>
      <c r="F2263" s="4">
        <v>6.4649999999999999</v>
      </c>
      <c r="G2263" s="4">
        <v>10673.715</v>
      </c>
      <c r="H2263" s="5">
        <f t="shared" si="35"/>
        <v>9.3408560178635663E-3</v>
      </c>
    </row>
    <row r="2264" spans="1:8" ht="13.5" x14ac:dyDescent="0.25">
      <c r="A2264" s="1"/>
      <c r="B2264" s="3">
        <v>45596</v>
      </c>
      <c r="C2264" s="4">
        <v>6.48</v>
      </c>
      <c r="D2264" s="4">
        <v>5.9123999999999999</v>
      </c>
      <c r="E2264" s="4">
        <v>6478</v>
      </c>
      <c r="F2264" s="4">
        <v>6.5229999999999997</v>
      </c>
      <c r="G2264" s="4">
        <v>42255.993999999999</v>
      </c>
      <c r="H2264" s="5">
        <f t="shared" si="35"/>
        <v>-1.5367727771679655E-3</v>
      </c>
    </row>
    <row r="2265" spans="1:8" ht="13.5" x14ac:dyDescent="0.25">
      <c r="A2265" s="1"/>
      <c r="B2265" s="3">
        <v>45597</v>
      </c>
      <c r="C2265" s="4">
        <v>6.45</v>
      </c>
      <c r="D2265" s="4">
        <v>5.8849999999999998</v>
      </c>
      <c r="E2265" s="4">
        <v>3967</v>
      </c>
      <c r="F2265" s="4">
        <v>6.4240000000000004</v>
      </c>
      <c r="G2265" s="4">
        <v>25484.008000000002</v>
      </c>
      <c r="H2265" s="5">
        <f t="shared" si="35"/>
        <v>-4.6343278533252305E-3</v>
      </c>
    </row>
    <row r="2266" spans="1:8" ht="13.5" x14ac:dyDescent="0.25">
      <c r="A2266" s="1"/>
      <c r="B2266" s="3">
        <v>45600</v>
      </c>
      <c r="C2266" s="4">
        <v>6.43</v>
      </c>
      <c r="D2266" s="4">
        <v>5.8666999999999998</v>
      </c>
      <c r="E2266" s="4">
        <v>1989</v>
      </c>
      <c r="F2266" s="4">
        <v>6.4089999999999998</v>
      </c>
      <c r="G2266" s="4">
        <v>12747.501</v>
      </c>
      <c r="H2266" s="5">
        <f t="shared" si="35"/>
        <v>-3.1096006796941349E-3</v>
      </c>
    </row>
    <row r="2267" spans="1:8" ht="13.5" x14ac:dyDescent="0.25">
      <c r="A2267" s="1"/>
      <c r="B2267" s="3">
        <v>45601</v>
      </c>
      <c r="C2267" s="4">
        <v>6.37</v>
      </c>
      <c r="D2267" s="4">
        <v>5.8120000000000003</v>
      </c>
      <c r="E2267" s="4">
        <v>2984</v>
      </c>
      <c r="F2267" s="4">
        <v>6.383</v>
      </c>
      <c r="G2267" s="4">
        <v>19046.871999999999</v>
      </c>
      <c r="H2267" s="5">
        <f t="shared" si="35"/>
        <v>-9.3238106601666228E-3</v>
      </c>
    </row>
    <row r="2268" spans="1:8" ht="13.5" x14ac:dyDescent="0.25">
      <c r="A2268" s="1"/>
      <c r="B2268" s="3">
        <v>45602</v>
      </c>
      <c r="C2268" s="4">
        <v>6.34</v>
      </c>
      <c r="D2268" s="4">
        <v>5.7846000000000002</v>
      </c>
      <c r="E2268" s="4">
        <v>2290</v>
      </c>
      <c r="F2268" s="4">
        <v>6.3070000000000004</v>
      </c>
      <c r="G2268" s="4">
        <v>14443.03</v>
      </c>
      <c r="H2268" s="5">
        <f t="shared" si="35"/>
        <v>-4.7143840330351149E-3</v>
      </c>
    </row>
    <row r="2269" spans="1:8" ht="13.5" x14ac:dyDescent="0.25">
      <c r="A2269" s="1"/>
      <c r="B2269" s="3">
        <v>45603</v>
      </c>
      <c r="C2269" s="4">
        <v>6.34</v>
      </c>
      <c r="D2269" s="4">
        <v>5.7846000000000002</v>
      </c>
      <c r="E2269" s="4">
        <v>2536</v>
      </c>
      <c r="F2269" s="4">
        <v>6.3170000000000002</v>
      </c>
      <c r="G2269" s="4">
        <v>16019.912</v>
      </c>
      <c r="H2269" s="5">
        <f t="shared" si="35"/>
        <v>0</v>
      </c>
    </row>
    <row r="2270" spans="1:8" ht="13.5" x14ac:dyDescent="0.25">
      <c r="A2270" s="1"/>
      <c r="B2270" s="3">
        <v>45604</v>
      </c>
      <c r="C2270" s="4">
        <v>6.52</v>
      </c>
      <c r="D2270" s="4">
        <v>5.9488000000000003</v>
      </c>
      <c r="E2270" s="4">
        <v>13193</v>
      </c>
      <c r="F2270" s="4">
        <v>6.4359999999999999</v>
      </c>
      <c r="G2270" s="4">
        <v>84910.148000000001</v>
      </c>
      <c r="H2270" s="5">
        <f t="shared" si="35"/>
        <v>2.8385713791792021E-2</v>
      </c>
    </row>
    <row r="2271" spans="1:8" ht="13.5" x14ac:dyDescent="0.25">
      <c r="A2271" s="1"/>
      <c r="B2271" s="3">
        <v>45607</v>
      </c>
      <c r="C2271" s="4">
        <v>6.58</v>
      </c>
      <c r="D2271" s="4">
        <v>6.0035999999999996</v>
      </c>
      <c r="E2271" s="4">
        <v>23755</v>
      </c>
      <c r="F2271" s="4">
        <v>6.6479999999999997</v>
      </c>
      <c r="G2271" s="4">
        <v>157923.24</v>
      </c>
      <c r="H2271" s="5">
        <f t="shared" si="35"/>
        <v>9.2119419042494769E-3</v>
      </c>
    </row>
    <row r="2272" spans="1:8" ht="13.5" x14ac:dyDescent="0.25">
      <c r="A2272" s="1"/>
      <c r="B2272" s="3">
        <v>45608</v>
      </c>
      <c r="C2272" s="4">
        <v>6.64</v>
      </c>
      <c r="D2272" s="4">
        <v>6.0583</v>
      </c>
      <c r="E2272" s="4">
        <v>5483</v>
      </c>
      <c r="F2272" s="4">
        <v>6.5979999999999999</v>
      </c>
      <c r="G2272" s="4">
        <v>36176.834000000003</v>
      </c>
      <c r="H2272" s="5">
        <f t="shared" si="35"/>
        <v>9.1111999466987181E-3</v>
      </c>
    </row>
    <row r="2273" spans="1:8" ht="13.5" x14ac:dyDescent="0.25">
      <c r="A2273" s="1"/>
      <c r="B2273" s="3">
        <v>45609</v>
      </c>
      <c r="C2273" s="4">
        <v>6.62</v>
      </c>
      <c r="D2273" s="4">
        <v>6.0400999999999998</v>
      </c>
      <c r="E2273" s="4">
        <v>3531</v>
      </c>
      <c r="F2273" s="4">
        <v>6.5670000000000002</v>
      </c>
      <c r="G2273" s="4">
        <v>23188.077000000001</v>
      </c>
      <c r="H2273" s="5">
        <f t="shared" si="35"/>
        <v>-3.0041430764406211E-3</v>
      </c>
    </row>
    <row r="2274" spans="1:8" ht="13.5" x14ac:dyDescent="0.25">
      <c r="A2274" s="1"/>
      <c r="B2274" s="3">
        <v>45610</v>
      </c>
      <c r="C2274" s="4">
        <v>6.62</v>
      </c>
      <c r="D2274" s="4">
        <v>6.0400999999999998</v>
      </c>
      <c r="E2274" s="4">
        <v>2673</v>
      </c>
      <c r="F2274" s="4">
        <v>6.6150000000000002</v>
      </c>
      <c r="G2274" s="4">
        <v>17681.895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6.55</v>
      </c>
      <c r="D2275" s="4">
        <v>5.9762000000000004</v>
      </c>
      <c r="E2275" s="4">
        <v>2436</v>
      </c>
      <c r="F2275" s="4">
        <v>6.53</v>
      </c>
      <c r="G2275" s="4">
        <v>15907.08</v>
      </c>
      <c r="H2275" s="5">
        <f t="shared" si="35"/>
        <v>-1.0579295044783927E-2</v>
      </c>
    </row>
    <row r="2276" spans="1:8" ht="13.5" x14ac:dyDescent="0.25">
      <c r="A2276" s="1"/>
      <c r="B2276" s="3">
        <v>45614</v>
      </c>
      <c r="C2276" s="4">
        <v>6.55</v>
      </c>
      <c r="D2276" s="4">
        <v>5.9762000000000004</v>
      </c>
      <c r="E2276" s="4">
        <v>968</v>
      </c>
      <c r="F2276" s="4">
        <v>6.5540000000000003</v>
      </c>
      <c r="G2276" s="4">
        <v>6344.2719999999999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6.55</v>
      </c>
      <c r="D2277" s="4">
        <v>5.9762000000000004</v>
      </c>
      <c r="E2277" s="4">
        <v>2996</v>
      </c>
      <c r="F2277" s="4">
        <v>6.5110000000000001</v>
      </c>
      <c r="G2277" s="4">
        <v>19506.955999999998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6.5</v>
      </c>
      <c r="D2278" s="4">
        <v>5.9306000000000001</v>
      </c>
      <c r="E2278" s="4">
        <v>1672</v>
      </c>
      <c r="F2278" s="4">
        <v>6.4370000000000003</v>
      </c>
      <c r="G2278" s="4">
        <v>10762.664000000001</v>
      </c>
      <c r="H2278" s="5">
        <f t="shared" si="35"/>
        <v>-7.630266724674593E-3</v>
      </c>
    </row>
    <row r="2279" spans="1:8" ht="13.5" x14ac:dyDescent="0.25">
      <c r="A2279" s="1"/>
      <c r="B2279" s="3">
        <v>45617</v>
      </c>
      <c r="C2279" s="4">
        <v>6.45</v>
      </c>
      <c r="D2279" s="4">
        <v>5.8849999999999998</v>
      </c>
      <c r="E2279" s="4">
        <v>4741</v>
      </c>
      <c r="F2279" s="4">
        <v>6.5209999999999999</v>
      </c>
      <c r="G2279" s="4">
        <v>30916.061000000002</v>
      </c>
      <c r="H2279" s="5">
        <f t="shared" si="35"/>
        <v>-7.6889353522409717E-3</v>
      </c>
    </row>
    <row r="2280" spans="1:8" ht="13.5" x14ac:dyDescent="0.25">
      <c r="A2280" s="1"/>
      <c r="B2280" s="3">
        <v>45618</v>
      </c>
      <c r="C2280" s="4">
        <v>6.5</v>
      </c>
      <c r="D2280" s="4">
        <v>5.9306000000000001</v>
      </c>
      <c r="E2280" s="4">
        <v>4005</v>
      </c>
      <c r="F2280" s="4">
        <v>6.4580000000000002</v>
      </c>
      <c r="G2280" s="4">
        <v>25864.29</v>
      </c>
      <c r="H2280" s="5">
        <f t="shared" si="35"/>
        <v>7.7485131690739695E-3</v>
      </c>
    </row>
    <row r="2281" spans="1:8" ht="13.5" x14ac:dyDescent="0.25">
      <c r="A2281" s="1"/>
      <c r="B2281" s="3">
        <v>45621</v>
      </c>
      <c r="C2281" s="4">
        <v>6.5</v>
      </c>
      <c r="D2281" s="4">
        <v>5.9306000000000001</v>
      </c>
      <c r="E2281" s="4">
        <v>5834</v>
      </c>
      <c r="F2281" s="4">
        <v>6.4459999999999997</v>
      </c>
      <c r="G2281" s="4">
        <v>37605.964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6.44</v>
      </c>
      <c r="D2282" s="4">
        <v>5.8758999999999997</v>
      </c>
      <c r="E2282" s="4">
        <v>3491</v>
      </c>
      <c r="F2282" s="4">
        <v>6.4320000000000004</v>
      </c>
      <c r="G2282" s="4">
        <v>22454.112000000001</v>
      </c>
      <c r="H2282" s="5">
        <f t="shared" si="35"/>
        <v>-9.2233500826224019E-3</v>
      </c>
    </row>
    <row r="2283" spans="1:8" ht="13.5" x14ac:dyDescent="0.25">
      <c r="A2283" s="1"/>
      <c r="B2283" s="3">
        <v>45623</v>
      </c>
      <c r="C2283" s="4">
        <v>6.5</v>
      </c>
      <c r="D2283" s="4">
        <v>5.9306000000000001</v>
      </c>
      <c r="E2283" s="4">
        <v>3963</v>
      </c>
      <c r="F2283" s="4">
        <v>6.4610000000000003</v>
      </c>
      <c r="G2283" s="4">
        <v>25604.942999999999</v>
      </c>
      <c r="H2283" s="5">
        <f t="shared" si="35"/>
        <v>9.3092122057898217E-3</v>
      </c>
    </row>
    <row r="2284" spans="1:8" ht="13.5" x14ac:dyDescent="0.25">
      <c r="A2284" s="1"/>
      <c r="B2284" s="3">
        <v>45624</v>
      </c>
      <c r="C2284" s="4">
        <v>6.5</v>
      </c>
      <c r="D2284" s="4">
        <v>5.9306000000000001</v>
      </c>
      <c r="E2284" s="4">
        <v>1349</v>
      </c>
      <c r="F2284" s="4">
        <v>6.4829999999999997</v>
      </c>
      <c r="G2284" s="4">
        <v>8745.5669999999991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6.5</v>
      </c>
      <c r="D2285" s="4">
        <v>5.9306000000000001</v>
      </c>
      <c r="E2285" s="4">
        <v>229</v>
      </c>
      <c r="F2285" s="4">
        <v>6.5049999999999999</v>
      </c>
      <c r="G2285" s="4">
        <v>1489.645</v>
      </c>
      <c r="H2285" s="5">
        <f t="shared" si="35"/>
        <v>0</v>
      </c>
    </row>
    <row r="2286" spans="1:8" ht="13.5" x14ac:dyDescent="0.25">
      <c r="A2286" s="1"/>
      <c r="B2286" s="3">
        <v>45628</v>
      </c>
      <c r="C2286" s="4">
        <v>6.63</v>
      </c>
      <c r="D2286" s="4">
        <v>6.0491999999999999</v>
      </c>
      <c r="E2286" s="4">
        <v>2017</v>
      </c>
      <c r="F2286" s="4">
        <v>6.5949999999999998</v>
      </c>
      <c r="G2286" s="4">
        <v>13302.115</v>
      </c>
      <c r="H2286" s="5">
        <f t="shared" si="35"/>
        <v>1.9997976595959907E-2</v>
      </c>
    </row>
    <row r="2287" spans="1:8" ht="13.5" x14ac:dyDescent="0.25">
      <c r="A2287" s="1"/>
      <c r="B2287" s="3">
        <v>45629</v>
      </c>
      <c r="C2287" s="4">
        <v>6.59</v>
      </c>
      <c r="D2287" s="4">
        <v>6.0126999999999997</v>
      </c>
      <c r="E2287" s="4">
        <v>3204</v>
      </c>
      <c r="F2287" s="4">
        <v>6.5789999999999997</v>
      </c>
      <c r="G2287" s="4">
        <v>21079.116000000002</v>
      </c>
      <c r="H2287" s="5">
        <f t="shared" si="35"/>
        <v>-6.0338557164584077E-3</v>
      </c>
    </row>
    <row r="2288" spans="1:8" ht="13.5" x14ac:dyDescent="0.25">
      <c r="A2288" s="1"/>
      <c r="B2288" s="3">
        <v>45630</v>
      </c>
      <c r="C2288" s="4">
        <v>6.58</v>
      </c>
      <c r="D2288" s="4">
        <v>6.0035999999999996</v>
      </c>
      <c r="E2288" s="4">
        <v>730</v>
      </c>
      <c r="F2288" s="4">
        <v>6.5819999999999999</v>
      </c>
      <c r="G2288" s="4">
        <v>4804.8599999999997</v>
      </c>
      <c r="H2288" s="5">
        <f t="shared" si="35"/>
        <v>-1.5134631696243133E-3</v>
      </c>
    </row>
    <row r="2289" spans="1:8" ht="13.5" x14ac:dyDescent="0.25">
      <c r="A2289" s="1"/>
      <c r="B2289" s="3">
        <v>45631</v>
      </c>
      <c r="C2289" s="4">
        <v>6.57</v>
      </c>
      <c r="D2289" s="4">
        <v>5.9945000000000004</v>
      </c>
      <c r="E2289" s="4">
        <v>5288</v>
      </c>
      <c r="F2289" s="4">
        <v>6.5190000000000001</v>
      </c>
      <c r="G2289" s="4">
        <v>34472.472000000002</v>
      </c>
      <c r="H2289" s="5">
        <f t="shared" si="35"/>
        <v>-1.5157572123391332E-3</v>
      </c>
    </row>
    <row r="2290" spans="1:8" ht="13.5" x14ac:dyDescent="0.25">
      <c r="A2290" s="1"/>
      <c r="B2290" s="3">
        <v>45632</v>
      </c>
      <c r="C2290" s="4">
        <v>6.57</v>
      </c>
      <c r="D2290" s="4">
        <v>5.9945000000000004</v>
      </c>
      <c r="E2290" s="4">
        <v>7702</v>
      </c>
      <c r="F2290" s="4">
        <v>6.5549999999999997</v>
      </c>
      <c r="G2290" s="4">
        <v>50486.61</v>
      </c>
      <c r="H2290" s="5">
        <f t="shared" si="35"/>
        <v>0</v>
      </c>
    </row>
    <row r="2291" spans="1:8" ht="13.5" x14ac:dyDescent="0.25">
      <c r="A2291" s="1"/>
      <c r="B2291" s="3">
        <v>45635</v>
      </c>
      <c r="C2291" s="4">
        <v>6.63</v>
      </c>
      <c r="D2291" s="4">
        <v>6.0491999999999999</v>
      </c>
      <c r="E2291" s="4">
        <v>3781</v>
      </c>
      <c r="F2291" s="4">
        <v>6.6020000000000003</v>
      </c>
      <c r="G2291" s="4">
        <v>24962.162</v>
      </c>
      <c r="H2291" s="5">
        <f t="shared" si="35"/>
        <v>9.1250312786720373E-3</v>
      </c>
    </row>
    <row r="2292" spans="1:8" ht="13.5" x14ac:dyDescent="0.25">
      <c r="A2292" s="1"/>
      <c r="B2292" s="3">
        <v>45636</v>
      </c>
      <c r="C2292" s="4">
        <v>6.79</v>
      </c>
      <c r="D2292" s="4">
        <v>6.1951999999999998</v>
      </c>
      <c r="E2292" s="4">
        <v>19884</v>
      </c>
      <c r="F2292" s="4">
        <v>6.774</v>
      </c>
      <c r="G2292" s="4">
        <v>134694.21599999999</v>
      </c>
      <c r="H2292" s="5">
        <f t="shared" si="35"/>
        <v>2.4135422865833485E-2</v>
      </c>
    </row>
    <row r="2293" spans="1:8" ht="13.5" x14ac:dyDescent="0.25">
      <c r="A2293" s="1"/>
      <c r="B2293" s="3">
        <v>45637</v>
      </c>
      <c r="C2293" s="4">
        <v>6.9</v>
      </c>
      <c r="D2293" s="4">
        <v>6.2956000000000003</v>
      </c>
      <c r="E2293" s="4">
        <v>16137</v>
      </c>
      <c r="F2293" s="4">
        <v>6.87</v>
      </c>
      <c r="G2293" s="4">
        <v>110861.19</v>
      </c>
      <c r="H2293" s="5">
        <f t="shared" si="35"/>
        <v>1.6206095041322394E-2</v>
      </c>
    </row>
    <row r="2294" spans="1:8" ht="13.5" x14ac:dyDescent="0.25">
      <c r="A2294" s="1"/>
      <c r="B2294" s="3">
        <v>45638</v>
      </c>
      <c r="C2294" s="4">
        <v>6.9</v>
      </c>
      <c r="D2294" s="4">
        <v>6.2956000000000003</v>
      </c>
      <c r="E2294" s="4">
        <v>6654</v>
      </c>
      <c r="F2294" s="4">
        <v>6.9210000000000003</v>
      </c>
      <c r="G2294" s="4">
        <v>46052.334000000003</v>
      </c>
      <c r="H2294" s="5">
        <f t="shared" si="35"/>
        <v>0</v>
      </c>
    </row>
    <row r="2295" spans="1:8" ht="13.5" x14ac:dyDescent="0.25">
      <c r="A2295" s="1"/>
      <c r="B2295" s="3">
        <v>45639</v>
      </c>
      <c r="C2295" s="4">
        <v>6.91</v>
      </c>
      <c r="D2295" s="4">
        <v>6.3047000000000004</v>
      </c>
      <c r="E2295" s="4">
        <v>2157</v>
      </c>
      <c r="F2295" s="4">
        <v>6.931</v>
      </c>
      <c r="G2295" s="4">
        <v>14950.166999999999</v>
      </c>
      <c r="H2295" s="5">
        <f t="shared" si="35"/>
        <v>1.4454539678505794E-3</v>
      </c>
    </row>
    <row r="2296" spans="1:8" ht="13.5" x14ac:dyDescent="0.25">
      <c r="A2296" s="1"/>
      <c r="B2296" s="3">
        <v>45642</v>
      </c>
      <c r="C2296" s="4">
        <v>6.92</v>
      </c>
      <c r="D2296" s="4">
        <v>6.3137999999999996</v>
      </c>
      <c r="E2296" s="4">
        <v>3449</v>
      </c>
      <c r="F2296" s="4">
        <v>6.9029999999999996</v>
      </c>
      <c r="G2296" s="4">
        <v>23808.447</v>
      </c>
      <c r="H2296" s="5">
        <f t="shared" si="35"/>
        <v>1.4433676463589417E-3</v>
      </c>
    </row>
    <row r="2297" spans="1:8" ht="13.5" x14ac:dyDescent="0.25">
      <c r="A2297" s="1"/>
      <c r="B2297" s="3">
        <v>45644</v>
      </c>
      <c r="C2297" s="4">
        <v>6.91</v>
      </c>
      <c r="D2297" s="4">
        <v>6.3047000000000004</v>
      </c>
      <c r="E2297" s="4">
        <v>2073</v>
      </c>
      <c r="F2297" s="4">
        <v>6.9359999999999999</v>
      </c>
      <c r="G2297" s="4">
        <v>14378.328</v>
      </c>
      <c r="H2297" s="5">
        <f t="shared" si="35"/>
        <v>-1.4412873388449461E-3</v>
      </c>
    </row>
    <row r="2298" spans="1:8" ht="13.5" x14ac:dyDescent="0.25">
      <c r="A2298" s="1"/>
      <c r="B2298" s="3">
        <v>45645</v>
      </c>
      <c r="C2298" s="4">
        <v>6.9</v>
      </c>
      <c r="D2298" s="4">
        <v>6.2956000000000003</v>
      </c>
      <c r="E2298" s="4">
        <v>3467</v>
      </c>
      <c r="F2298" s="4">
        <v>6.9029999999999996</v>
      </c>
      <c r="G2298" s="4">
        <v>23932.701000000001</v>
      </c>
      <c r="H2298" s="5">
        <f t="shared" si="35"/>
        <v>-1.4433676463590824E-3</v>
      </c>
    </row>
    <row r="2299" spans="1:8" ht="13.5" x14ac:dyDescent="0.25">
      <c r="A2299" s="1"/>
      <c r="B2299" s="3">
        <v>45646</v>
      </c>
      <c r="C2299" s="4">
        <v>6.85</v>
      </c>
      <c r="D2299" s="4">
        <v>6.2499000000000002</v>
      </c>
      <c r="E2299" s="4">
        <v>10863</v>
      </c>
      <c r="F2299" s="4">
        <v>6.8559999999999999</v>
      </c>
      <c r="G2299" s="4">
        <v>74476.728000000003</v>
      </c>
      <c r="H2299" s="5">
        <f t="shared" si="35"/>
        <v>-7.2590380583264615E-3</v>
      </c>
    </row>
    <row r="2300" spans="1:8" ht="13.5" x14ac:dyDescent="0.25">
      <c r="A2300" s="1"/>
      <c r="B2300" s="3">
        <v>45649</v>
      </c>
      <c r="C2300" s="4">
        <v>6.8</v>
      </c>
      <c r="D2300" s="4">
        <v>6.2042999999999999</v>
      </c>
      <c r="E2300" s="4">
        <v>3566</v>
      </c>
      <c r="F2300" s="4">
        <v>6.819</v>
      </c>
      <c r="G2300" s="4">
        <v>24316.554</v>
      </c>
      <c r="H2300" s="5">
        <f t="shared" si="35"/>
        <v>-7.2961167378678546E-3</v>
      </c>
    </row>
    <row r="2301" spans="1:8" ht="13.5" x14ac:dyDescent="0.25">
      <c r="A2301" s="1"/>
      <c r="B2301" s="3">
        <v>45650</v>
      </c>
      <c r="C2301" s="4">
        <v>6.94</v>
      </c>
      <c r="D2301" s="4">
        <v>6.3320999999999996</v>
      </c>
      <c r="E2301" s="4">
        <v>4490</v>
      </c>
      <c r="F2301" s="4">
        <v>6.8979999999999997</v>
      </c>
      <c r="G2301" s="4">
        <v>30972.02</v>
      </c>
      <c r="H2301" s="5">
        <f t="shared" si="35"/>
        <v>2.0598617088148492E-2</v>
      </c>
    </row>
    <row r="2302" spans="1:8" ht="13.5" x14ac:dyDescent="0.25">
      <c r="A2302" s="1"/>
      <c r="B2302" s="3">
        <v>45651</v>
      </c>
      <c r="C2302" s="4">
        <v>6.89</v>
      </c>
      <c r="D2302" s="4">
        <v>6.2864000000000004</v>
      </c>
      <c r="E2302" s="4">
        <v>4622</v>
      </c>
      <c r="F2302" s="4">
        <v>6.8639999999999999</v>
      </c>
      <c r="G2302" s="4">
        <v>31725.407999999999</v>
      </c>
      <c r="H2302" s="5">
        <f t="shared" si="35"/>
        <v>-7.2171949274331092E-3</v>
      </c>
    </row>
    <row r="2303" spans="1:8" ht="13.5" x14ac:dyDescent="0.25">
      <c r="A2303" s="1"/>
      <c r="B2303" s="3">
        <v>45652</v>
      </c>
      <c r="C2303" s="4">
        <v>6.89</v>
      </c>
      <c r="D2303" s="4">
        <v>6.2864000000000004</v>
      </c>
      <c r="E2303" s="4">
        <v>1447</v>
      </c>
      <c r="F2303" s="4">
        <v>6.8659999999999997</v>
      </c>
      <c r="G2303" s="4">
        <v>9935.1020000000008</v>
      </c>
      <c r="H2303" s="5">
        <f t="shared" si="35"/>
        <v>0</v>
      </c>
    </row>
    <row r="2304" spans="1:8" ht="13.5" x14ac:dyDescent="0.25">
      <c r="A2304" s="1"/>
      <c r="B2304" s="3">
        <v>45653</v>
      </c>
      <c r="C2304" s="4">
        <v>6.8</v>
      </c>
      <c r="D2304" s="4">
        <v>6.2042999999999999</v>
      </c>
      <c r="E2304" s="4">
        <v>5741</v>
      </c>
      <c r="F2304" s="4">
        <v>6.8079999999999998</v>
      </c>
      <c r="G2304" s="4">
        <v>39084.728000000003</v>
      </c>
      <c r="H2304" s="5">
        <f t="shared" si="35"/>
        <v>-1.3059938915754724E-2</v>
      </c>
    </row>
    <row r="2305" spans="1:8" ht="13.5" x14ac:dyDescent="0.25">
      <c r="A2305" s="1"/>
      <c r="B2305" s="3">
        <v>45656</v>
      </c>
      <c r="C2305" s="4">
        <v>6.83</v>
      </c>
      <c r="D2305" s="4">
        <v>6.2317</v>
      </c>
      <c r="E2305" s="4">
        <v>941</v>
      </c>
      <c r="F2305" s="4">
        <v>6.7290000000000001</v>
      </c>
      <c r="G2305" s="4">
        <v>6331.9889999999996</v>
      </c>
      <c r="H2305" s="5">
        <f t="shared" si="35"/>
        <v>4.4162919265670732E-3</v>
      </c>
    </row>
    <row r="2306" spans="1:8" ht="13.5" x14ac:dyDescent="0.25">
      <c r="A2306" s="1"/>
      <c r="B2306" s="3">
        <v>45657</v>
      </c>
      <c r="C2306" s="4">
        <v>6.99</v>
      </c>
      <c r="D2306" s="4">
        <v>6.3776999999999999</v>
      </c>
      <c r="E2306" s="4">
        <v>10253</v>
      </c>
      <c r="F2306" s="4">
        <v>6.8860000000000001</v>
      </c>
      <c r="G2306" s="4">
        <v>70602.157999999996</v>
      </c>
      <c r="H2306" s="5">
        <f t="shared" si="35"/>
        <v>2.3428598937689539E-2</v>
      </c>
    </row>
    <row r="2307" spans="1:8" ht="13.5" x14ac:dyDescent="0.25">
      <c r="A2307" s="1"/>
      <c r="B2307" s="3">
        <v>45659</v>
      </c>
      <c r="C2307" s="4">
        <v>7.18</v>
      </c>
      <c r="D2307" s="4">
        <v>6.5510000000000002</v>
      </c>
      <c r="E2307" s="4">
        <v>12426</v>
      </c>
      <c r="F2307" s="4">
        <v>7.1130000000000004</v>
      </c>
      <c r="G2307" s="4">
        <v>88386.138000000006</v>
      </c>
      <c r="H2307" s="5">
        <f t="shared" si="35"/>
        <v>2.7172805243269555E-2</v>
      </c>
    </row>
    <row r="2308" spans="1:8" ht="13.5" x14ac:dyDescent="0.25">
      <c r="A2308" s="1"/>
      <c r="B2308" s="3">
        <v>45660</v>
      </c>
      <c r="C2308" s="4">
        <v>7.28</v>
      </c>
      <c r="D2308" s="4">
        <v>6.6422999999999996</v>
      </c>
      <c r="E2308" s="4">
        <v>16301</v>
      </c>
      <c r="F2308" s="4">
        <v>7.2690000000000001</v>
      </c>
      <c r="G2308" s="4">
        <v>118491.969</v>
      </c>
      <c r="H2308" s="5">
        <f t="shared" si="35"/>
        <v>1.3936803541443976E-2</v>
      </c>
    </row>
    <row r="2309" spans="1:8" ht="13.5" x14ac:dyDescent="0.25">
      <c r="A2309" s="1"/>
      <c r="B2309" s="3">
        <v>45663</v>
      </c>
      <c r="C2309" s="4">
        <v>7.35</v>
      </c>
      <c r="D2309" s="4">
        <v>6.7061000000000002</v>
      </c>
      <c r="E2309" s="4">
        <v>7586</v>
      </c>
      <c r="F2309" s="4">
        <v>7.3250000000000002</v>
      </c>
      <c r="G2309" s="4">
        <v>55567.45</v>
      </c>
      <c r="H2309" s="5">
        <f t="shared" si="35"/>
        <v>9.605106664860143E-3</v>
      </c>
    </row>
    <row r="2310" spans="1:8" ht="13.5" x14ac:dyDescent="0.25">
      <c r="A2310" s="1"/>
      <c r="B2310" s="3">
        <v>45664</v>
      </c>
      <c r="C2310" s="4">
        <v>7.28</v>
      </c>
      <c r="D2310" s="4">
        <v>6.6422999999999996</v>
      </c>
      <c r="E2310" s="4">
        <v>14182</v>
      </c>
      <c r="F2310" s="4">
        <v>7.3410000000000002</v>
      </c>
      <c r="G2310" s="4">
        <v>104110.06200000001</v>
      </c>
      <c r="H2310" s="5">
        <f t="shared" si="35"/>
        <v>-9.5137263088830356E-3</v>
      </c>
    </row>
    <row r="2311" spans="1:8" ht="13.5" x14ac:dyDescent="0.25">
      <c r="A2311" s="1"/>
      <c r="B2311" s="3">
        <v>45665</v>
      </c>
      <c r="C2311" s="4">
        <v>7.3</v>
      </c>
      <c r="D2311" s="4">
        <v>6.6604999999999999</v>
      </c>
      <c r="E2311" s="4">
        <v>6892</v>
      </c>
      <c r="F2311" s="4">
        <v>7.2809999999999997</v>
      </c>
      <c r="G2311" s="4">
        <v>50180.652000000002</v>
      </c>
      <c r="H2311" s="5">
        <f t="shared" ref="H2311:H2374" si="36">(D2311-D2310)/D2310</f>
        <v>2.7400147539256305E-3</v>
      </c>
    </row>
    <row r="2312" spans="1:8" ht="13.5" x14ac:dyDescent="0.25">
      <c r="A2312" s="1"/>
      <c r="B2312" s="3">
        <v>45666</v>
      </c>
      <c r="C2312" s="4">
        <v>7.34</v>
      </c>
      <c r="D2312" s="4">
        <v>6.6970000000000001</v>
      </c>
      <c r="E2312" s="4">
        <v>2199</v>
      </c>
      <c r="F2312" s="4">
        <v>7.33</v>
      </c>
      <c r="G2312" s="4">
        <v>16118.67</v>
      </c>
      <c r="H2312" s="5">
        <f t="shared" si="36"/>
        <v>5.4800690638841226E-3</v>
      </c>
    </row>
    <row r="2313" spans="1:8" ht="13.5" x14ac:dyDescent="0.25">
      <c r="A2313" s="1"/>
      <c r="B2313" s="3">
        <v>45667</v>
      </c>
      <c r="C2313" s="4">
        <v>7.25</v>
      </c>
      <c r="D2313" s="4">
        <v>6.6148999999999996</v>
      </c>
      <c r="E2313" s="4">
        <v>6508</v>
      </c>
      <c r="F2313" s="4">
        <v>7.2279999999999998</v>
      </c>
      <c r="G2313" s="4">
        <v>47039.824000000001</v>
      </c>
      <c r="H2313" s="5">
        <f t="shared" si="36"/>
        <v>-1.225922054651344E-2</v>
      </c>
    </row>
    <row r="2314" spans="1:8" ht="13.5" x14ac:dyDescent="0.25">
      <c r="A2314" s="1"/>
      <c r="B2314" s="3">
        <v>45670</v>
      </c>
      <c r="C2314" s="4">
        <v>7.32</v>
      </c>
      <c r="D2314" s="4">
        <v>6.6787999999999998</v>
      </c>
      <c r="E2314" s="4">
        <v>17764</v>
      </c>
      <c r="F2314" s="4">
        <v>7.3220000000000001</v>
      </c>
      <c r="G2314" s="4">
        <v>130068.008</v>
      </c>
      <c r="H2314" s="5">
        <f t="shared" si="36"/>
        <v>9.6600099774751379E-3</v>
      </c>
    </row>
    <row r="2315" spans="1:8" ht="13.5" x14ac:dyDescent="0.25">
      <c r="A2315" s="1"/>
      <c r="B2315" s="3">
        <v>45671</v>
      </c>
      <c r="C2315" s="4">
        <v>7.34</v>
      </c>
      <c r="D2315" s="4">
        <v>6.6970000000000001</v>
      </c>
      <c r="E2315" s="4">
        <v>4192</v>
      </c>
      <c r="F2315" s="4">
        <v>7.32</v>
      </c>
      <c r="G2315" s="4">
        <v>30685.439999999999</v>
      </c>
      <c r="H2315" s="5">
        <f t="shared" si="36"/>
        <v>2.7250404264239411E-3</v>
      </c>
    </row>
    <row r="2316" spans="1:8" ht="13.5" x14ac:dyDescent="0.25">
      <c r="A2316" s="1"/>
      <c r="B2316" s="3">
        <v>45672</v>
      </c>
      <c r="C2316" s="4">
        <v>7.59</v>
      </c>
      <c r="D2316" s="4">
        <v>6.9250999999999996</v>
      </c>
      <c r="E2316" s="4">
        <v>32447</v>
      </c>
      <c r="F2316" s="4">
        <v>7.4740000000000002</v>
      </c>
      <c r="G2316" s="4">
        <v>242508.878</v>
      </c>
      <c r="H2316" s="5">
        <f t="shared" si="36"/>
        <v>3.4060026877706366E-2</v>
      </c>
    </row>
    <row r="2317" spans="1:8" ht="13.5" x14ac:dyDescent="0.25">
      <c r="A2317" s="1"/>
      <c r="B2317" s="3">
        <v>45673</v>
      </c>
      <c r="C2317" s="4">
        <v>7.6</v>
      </c>
      <c r="D2317" s="4">
        <v>6.9341999999999997</v>
      </c>
      <c r="E2317" s="4">
        <v>9564</v>
      </c>
      <c r="F2317" s="4">
        <v>7.6070000000000002</v>
      </c>
      <c r="G2317" s="4">
        <v>72753.347999999998</v>
      </c>
      <c r="H2317" s="5">
        <f t="shared" si="36"/>
        <v>1.3140604467805675E-3</v>
      </c>
    </row>
    <row r="2318" spans="1:8" ht="13.5" x14ac:dyDescent="0.25">
      <c r="A2318" s="1"/>
      <c r="B2318" s="3">
        <v>45674</v>
      </c>
      <c r="C2318" s="4">
        <v>7.55</v>
      </c>
      <c r="D2318" s="4">
        <v>6.8886000000000003</v>
      </c>
      <c r="E2318" s="4">
        <v>5233</v>
      </c>
      <c r="F2318" s="4">
        <v>7.5529999999999999</v>
      </c>
      <c r="G2318" s="4">
        <v>39524.849000000002</v>
      </c>
      <c r="H2318" s="5">
        <f t="shared" si="36"/>
        <v>-6.576101064289957E-3</v>
      </c>
    </row>
    <row r="2319" spans="1:8" ht="13.5" x14ac:dyDescent="0.25">
      <c r="A2319" s="1"/>
      <c r="B2319" s="3">
        <v>45677</v>
      </c>
      <c r="C2319" s="4">
        <v>7.47</v>
      </c>
      <c r="D2319" s="4">
        <v>6.8155999999999999</v>
      </c>
      <c r="E2319" s="4">
        <v>11209</v>
      </c>
      <c r="F2319" s="4">
        <v>7.4630000000000001</v>
      </c>
      <c r="G2319" s="4">
        <v>83652.767000000007</v>
      </c>
      <c r="H2319" s="5">
        <f t="shared" si="36"/>
        <v>-1.0597218593037829E-2</v>
      </c>
    </row>
    <row r="2320" spans="1:8" ht="13.5" x14ac:dyDescent="0.25">
      <c r="A2320" s="1"/>
      <c r="B2320" s="3">
        <v>45678</v>
      </c>
      <c r="C2320" s="4">
        <v>7.4</v>
      </c>
      <c r="D2320" s="4">
        <v>6.7518000000000002</v>
      </c>
      <c r="E2320" s="4">
        <v>4044</v>
      </c>
      <c r="F2320" s="4">
        <v>7.3879999999999999</v>
      </c>
      <c r="G2320" s="4">
        <v>29877.072</v>
      </c>
      <c r="H2320" s="5">
        <f t="shared" si="36"/>
        <v>-9.3608779857972356E-3</v>
      </c>
    </row>
    <row r="2321" spans="1:8" ht="13.5" x14ac:dyDescent="0.25">
      <c r="A2321" s="1"/>
      <c r="B2321" s="3">
        <v>45679</v>
      </c>
      <c r="C2321" s="4">
        <v>7.4</v>
      </c>
      <c r="D2321" s="4">
        <v>6.7518000000000002</v>
      </c>
      <c r="E2321" s="4">
        <v>7046</v>
      </c>
      <c r="F2321" s="4">
        <v>7.327</v>
      </c>
      <c r="G2321" s="4">
        <v>51626.042000000001</v>
      </c>
      <c r="H2321" s="5">
        <f t="shared" si="36"/>
        <v>0</v>
      </c>
    </row>
    <row r="2322" spans="1:8" ht="13.5" x14ac:dyDescent="0.25">
      <c r="A2322" s="1"/>
      <c r="B2322" s="3">
        <v>45680</v>
      </c>
      <c r="C2322" s="4">
        <v>7.39</v>
      </c>
      <c r="D2322" s="4">
        <v>6.7426000000000004</v>
      </c>
      <c r="E2322" s="4">
        <v>5473</v>
      </c>
      <c r="F2322" s="4">
        <v>7.3390000000000004</v>
      </c>
      <c r="G2322" s="4">
        <v>40166.347000000002</v>
      </c>
      <c r="H2322" s="5">
        <f t="shared" si="36"/>
        <v>-1.3625996030687927E-3</v>
      </c>
    </row>
    <row r="2323" spans="1:8" ht="13.5" x14ac:dyDescent="0.25">
      <c r="A2323" s="1"/>
      <c r="B2323" s="3">
        <v>45681</v>
      </c>
      <c r="C2323" s="4">
        <v>7.36</v>
      </c>
      <c r="D2323" s="4">
        <v>6.7153</v>
      </c>
      <c r="E2323" s="4">
        <v>9829</v>
      </c>
      <c r="F2323" s="4">
        <v>7.3390000000000004</v>
      </c>
      <c r="G2323" s="4">
        <v>72135.031000000003</v>
      </c>
      <c r="H2323" s="5">
        <f t="shared" si="36"/>
        <v>-4.0488832201228493E-3</v>
      </c>
    </row>
    <row r="2324" spans="1:8" ht="13.5" x14ac:dyDescent="0.25">
      <c r="A2324" s="1"/>
      <c r="B2324" s="3">
        <v>45684</v>
      </c>
      <c r="C2324" s="4">
        <v>7.41</v>
      </c>
      <c r="D2324" s="4">
        <v>6.7609000000000004</v>
      </c>
      <c r="E2324" s="4">
        <v>868</v>
      </c>
      <c r="F2324" s="4">
        <v>7.4109999999999996</v>
      </c>
      <c r="G2324" s="4">
        <v>6432.7479999999996</v>
      </c>
      <c r="H2324" s="5">
        <f t="shared" si="36"/>
        <v>6.79046356826952E-3</v>
      </c>
    </row>
    <row r="2325" spans="1:8" ht="13.5" x14ac:dyDescent="0.25">
      <c r="A2325" s="1"/>
      <c r="B2325" s="3">
        <v>45685</v>
      </c>
      <c r="C2325" s="4">
        <v>7.25</v>
      </c>
      <c r="D2325" s="4">
        <v>6.6148999999999996</v>
      </c>
      <c r="E2325" s="4">
        <v>45026</v>
      </c>
      <c r="F2325" s="4">
        <v>7.0419999999999998</v>
      </c>
      <c r="G2325" s="4">
        <v>317073.092</v>
      </c>
      <c r="H2325" s="5">
        <f t="shared" si="36"/>
        <v>-2.1594758094336669E-2</v>
      </c>
    </row>
    <row r="2326" spans="1:8" ht="13.5" x14ac:dyDescent="0.25">
      <c r="A2326" s="1"/>
      <c r="B2326" s="3">
        <v>45686</v>
      </c>
      <c r="C2326" s="4">
        <v>7.15</v>
      </c>
      <c r="D2326" s="4">
        <v>6.5236999999999998</v>
      </c>
      <c r="E2326" s="4">
        <v>27370</v>
      </c>
      <c r="F2326" s="4">
        <v>7.03</v>
      </c>
      <c r="G2326" s="4">
        <v>192411.1</v>
      </c>
      <c r="H2326" s="5">
        <f t="shared" si="36"/>
        <v>-1.3787056493673334E-2</v>
      </c>
    </row>
    <row r="2327" spans="1:8" ht="13.5" x14ac:dyDescent="0.25">
      <c r="A2327" s="1"/>
      <c r="B2327" s="3">
        <v>45687</v>
      </c>
      <c r="C2327" s="4">
        <v>7.1</v>
      </c>
      <c r="D2327" s="4">
        <v>6.4779999999999998</v>
      </c>
      <c r="E2327" s="4">
        <v>3354</v>
      </c>
      <c r="F2327" s="4">
        <v>7.0330000000000004</v>
      </c>
      <c r="G2327" s="4">
        <v>23588.682000000001</v>
      </c>
      <c r="H2327" s="5">
        <f t="shared" si="36"/>
        <v>-7.0052270950534323E-3</v>
      </c>
    </row>
    <row r="2328" spans="1:8" ht="13.5" x14ac:dyDescent="0.25">
      <c r="A2328" s="1"/>
      <c r="B2328" s="3">
        <v>45688</v>
      </c>
      <c r="C2328" s="4">
        <v>7.05</v>
      </c>
      <c r="D2328" s="4">
        <v>6.4324000000000003</v>
      </c>
      <c r="E2328" s="4">
        <v>13323</v>
      </c>
      <c r="F2328" s="4">
        <v>7.0140000000000002</v>
      </c>
      <c r="G2328" s="4">
        <v>93447.521999999997</v>
      </c>
      <c r="H2328" s="5">
        <f t="shared" si="36"/>
        <v>-7.0392096326025661E-3</v>
      </c>
    </row>
    <row r="2329" spans="1:8" ht="13.5" x14ac:dyDescent="0.25">
      <c r="A2329" s="1"/>
      <c r="B2329" s="3">
        <v>45691</v>
      </c>
      <c r="C2329" s="4">
        <v>7.1</v>
      </c>
      <c r="D2329" s="4">
        <v>6.4779999999999998</v>
      </c>
      <c r="E2329" s="4">
        <v>10442</v>
      </c>
      <c r="F2329" s="4">
        <v>7.0049999999999999</v>
      </c>
      <c r="G2329" s="4">
        <v>73146.210000000006</v>
      </c>
      <c r="H2329" s="5">
        <f t="shared" si="36"/>
        <v>7.0891113736707007E-3</v>
      </c>
    </row>
    <row r="2330" spans="1:8" ht="13.5" x14ac:dyDescent="0.25">
      <c r="A2330" s="1"/>
      <c r="B2330" s="3">
        <v>45692</v>
      </c>
      <c r="C2330" s="4">
        <v>7.17</v>
      </c>
      <c r="D2330" s="4">
        <v>6.5419</v>
      </c>
      <c r="E2330" s="4">
        <v>4163</v>
      </c>
      <c r="F2330" s="4">
        <v>7.0449999999999999</v>
      </c>
      <c r="G2330" s="4">
        <v>29328.334999999999</v>
      </c>
      <c r="H2330" s="5">
        <f t="shared" si="36"/>
        <v>9.8641556035813979E-3</v>
      </c>
    </row>
    <row r="2331" spans="1:8" ht="13.5" x14ac:dyDescent="0.25">
      <c r="A2331" s="1"/>
      <c r="B2331" s="3">
        <v>45693</v>
      </c>
      <c r="C2331" s="4">
        <v>7.1</v>
      </c>
      <c r="D2331" s="4">
        <v>6.4779999999999998</v>
      </c>
      <c r="E2331" s="4">
        <v>14513</v>
      </c>
      <c r="F2331" s="4">
        <v>7.0039999999999996</v>
      </c>
      <c r="G2331" s="4">
        <v>101649.052</v>
      </c>
      <c r="H2331" s="5">
        <f t="shared" si="36"/>
        <v>-9.7678044604778864E-3</v>
      </c>
    </row>
    <row r="2332" spans="1:8" ht="13.5" x14ac:dyDescent="0.25">
      <c r="A2332" s="1"/>
      <c r="B2332" s="3">
        <v>45694</v>
      </c>
      <c r="C2332" s="4">
        <v>6.95</v>
      </c>
      <c r="D2332" s="4">
        <v>6.3411999999999997</v>
      </c>
      <c r="E2332" s="4">
        <v>15416</v>
      </c>
      <c r="F2332" s="4">
        <v>6.9859999999999998</v>
      </c>
      <c r="G2332" s="4">
        <v>107696.17600000001</v>
      </c>
      <c r="H2332" s="5">
        <f t="shared" si="36"/>
        <v>-2.111762889780797E-2</v>
      </c>
    </row>
    <row r="2333" spans="1:8" ht="13.5" x14ac:dyDescent="0.25">
      <c r="A2333" s="1"/>
      <c r="B2333" s="3">
        <v>45695</v>
      </c>
      <c r="C2333" s="4">
        <v>6.87</v>
      </c>
      <c r="D2333" s="4">
        <v>6.2682000000000002</v>
      </c>
      <c r="E2333" s="4">
        <v>19702</v>
      </c>
      <c r="F2333" s="4">
        <v>6.81</v>
      </c>
      <c r="G2333" s="4">
        <v>134170.62</v>
      </c>
      <c r="H2333" s="5">
        <f t="shared" si="36"/>
        <v>-1.1512016652999356E-2</v>
      </c>
    </row>
    <row r="2334" spans="1:8" ht="13.5" x14ac:dyDescent="0.25">
      <c r="A2334" s="1"/>
      <c r="B2334" s="3">
        <v>45698</v>
      </c>
      <c r="C2334" s="4">
        <v>6.84</v>
      </c>
      <c r="D2334" s="4">
        <v>6.2408000000000001</v>
      </c>
      <c r="E2334" s="4">
        <v>25598</v>
      </c>
      <c r="F2334" s="4">
        <v>6.7919999999999998</v>
      </c>
      <c r="G2334" s="4">
        <v>173861.61600000001</v>
      </c>
      <c r="H2334" s="5">
        <f t="shared" si="36"/>
        <v>-4.3712708592578559E-3</v>
      </c>
    </row>
    <row r="2335" spans="1:8" ht="13.5" x14ac:dyDescent="0.25">
      <c r="A2335" s="1"/>
      <c r="B2335" s="3">
        <v>45699</v>
      </c>
      <c r="C2335" s="4">
        <v>7.05</v>
      </c>
      <c r="D2335" s="4">
        <v>6.4324000000000003</v>
      </c>
      <c r="E2335" s="4">
        <v>8117</v>
      </c>
      <c r="F2335" s="4">
        <v>7.0039999999999996</v>
      </c>
      <c r="G2335" s="4">
        <v>56851.468000000001</v>
      </c>
      <c r="H2335" s="5">
        <f t="shared" si="36"/>
        <v>3.0701192154851977E-2</v>
      </c>
    </row>
    <row r="2336" spans="1:8" ht="13.5" x14ac:dyDescent="0.25">
      <c r="A2336" s="1"/>
      <c r="B2336" s="3">
        <v>45700</v>
      </c>
      <c r="C2336" s="4">
        <v>7.14</v>
      </c>
      <c r="D2336" s="4">
        <v>6.5145</v>
      </c>
      <c r="E2336" s="4">
        <v>7197</v>
      </c>
      <c r="F2336" s="4">
        <v>7.0579999999999998</v>
      </c>
      <c r="G2336" s="4">
        <v>50796.425999999999</v>
      </c>
      <c r="H2336" s="5">
        <f t="shared" si="36"/>
        <v>1.2763509731981782E-2</v>
      </c>
    </row>
    <row r="2337" spans="1:8" ht="13.5" x14ac:dyDescent="0.25">
      <c r="A2337" s="1"/>
      <c r="B2337" s="3">
        <v>45701</v>
      </c>
      <c r="C2337" s="4">
        <v>7.15</v>
      </c>
      <c r="D2337" s="4">
        <v>6.5236999999999998</v>
      </c>
      <c r="E2337" s="4">
        <v>2642</v>
      </c>
      <c r="F2337" s="4">
        <v>7.1790000000000003</v>
      </c>
      <c r="G2337" s="4">
        <v>18966.918000000001</v>
      </c>
      <c r="H2337" s="5">
        <f t="shared" si="36"/>
        <v>1.4122342466804628E-3</v>
      </c>
    </row>
    <row r="2338" spans="1:8" ht="13.5" x14ac:dyDescent="0.25">
      <c r="A2338" s="1"/>
      <c r="B2338" s="3">
        <v>45702</v>
      </c>
      <c r="C2338" s="4">
        <v>7</v>
      </c>
      <c r="D2338" s="4">
        <v>6.3868</v>
      </c>
      <c r="E2338" s="4">
        <v>5294</v>
      </c>
      <c r="F2338" s="4">
        <v>7.0510000000000002</v>
      </c>
      <c r="G2338" s="4">
        <v>37327.993999999999</v>
      </c>
      <c r="H2338" s="5">
        <f t="shared" si="36"/>
        <v>-2.0985023836166562E-2</v>
      </c>
    </row>
    <row r="2339" spans="1:8" ht="13.5" x14ac:dyDescent="0.25">
      <c r="A2339" s="1"/>
      <c r="B2339" s="3">
        <v>45705</v>
      </c>
      <c r="C2339" s="4">
        <v>7</v>
      </c>
      <c r="D2339" s="4">
        <v>6.3868</v>
      </c>
      <c r="E2339" s="4">
        <v>3676</v>
      </c>
      <c r="F2339" s="4">
        <v>7.0129999999999999</v>
      </c>
      <c r="G2339" s="4">
        <v>25779.788</v>
      </c>
      <c r="H2339" s="5">
        <f t="shared" si="36"/>
        <v>0</v>
      </c>
    </row>
    <row r="2340" spans="1:8" ht="13.5" x14ac:dyDescent="0.25">
      <c r="A2340" s="1"/>
      <c r="B2340" s="3">
        <v>45706</v>
      </c>
      <c r="C2340" s="4">
        <v>7</v>
      </c>
      <c r="D2340" s="4">
        <v>6.3868</v>
      </c>
      <c r="E2340" s="4">
        <v>9048</v>
      </c>
      <c r="F2340" s="4">
        <v>6.9420000000000002</v>
      </c>
      <c r="G2340" s="4">
        <v>62811.216</v>
      </c>
      <c r="H2340" s="5">
        <f t="shared" si="36"/>
        <v>0</v>
      </c>
    </row>
    <row r="2341" spans="1:8" ht="13.5" x14ac:dyDescent="0.25">
      <c r="A2341" s="1"/>
      <c r="B2341" s="3">
        <v>45707</v>
      </c>
      <c r="C2341" s="4">
        <v>7.22</v>
      </c>
      <c r="D2341" s="4">
        <v>6.5875000000000004</v>
      </c>
      <c r="E2341" s="4">
        <v>8779</v>
      </c>
      <c r="F2341" s="4">
        <v>7.0369999999999999</v>
      </c>
      <c r="G2341" s="4">
        <v>61777.822999999997</v>
      </c>
      <c r="H2341" s="5">
        <f t="shared" si="36"/>
        <v>3.1424187386484677E-2</v>
      </c>
    </row>
    <row r="2342" spans="1:8" ht="13.5" x14ac:dyDescent="0.25">
      <c r="A2342" s="1"/>
      <c r="B2342" s="3">
        <v>45708</v>
      </c>
      <c r="C2342" s="4">
        <v>7.2</v>
      </c>
      <c r="D2342" s="4">
        <v>6.5693000000000001</v>
      </c>
      <c r="E2342" s="4">
        <v>1415</v>
      </c>
      <c r="F2342" s="4">
        <v>7.03</v>
      </c>
      <c r="G2342" s="4">
        <v>9947.4500000000007</v>
      </c>
      <c r="H2342" s="5">
        <f t="shared" si="36"/>
        <v>-2.7628083491461428E-3</v>
      </c>
    </row>
    <row r="2343" spans="1:8" ht="13.5" x14ac:dyDescent="0.25">
      <c r="A2343" s="1"/>
      <c r="B2343" s="3">
        <v>45709</v>
      </c>
      <c r="C2343" s="4">
        <v>7.01</v>
      </c>
      <c r="D2343" s="4">
        <v>6.3959000000000001</v>
      </c>
      <c r="E2343" s="4">
        <v>3912</v>
      </c>
      <c r="F2343" s="4">
        <v>7.0540000000000003</v>
      </c>
      <c r="G2343" s="4">
        <v>27595.248</v>
      </c>
      <c r="H2343" s="5">
        <f t="shared" si="36"/>
        <v>-2.6395506370541763E-2</v>
      </c>
    </row>
    <row r="2344" spans="1:8" ht="13.5" x14ac:dyDescent="0.25">
      <c r="A2344" s="1"/>
      <c r="B2344" s="3">
        <v>45712</v>
      </c>
      <c r="C2344" s="4">
        <v>7</v>
      </c>
      <c r="D2344" s="4">
        <v>6.3868</v>
      </c>
      <c r="E2344" s="4">
        <v>1011</v>
      </c>
      <c r="F2344" s="4">
        <v>7.0090000000000003</v>
      </c>
      <c r="G2344" s="4">
        <v>7086.0990000000002</v>
      </c>
      <c r="H2344" s="5">
        <f t="shared" si="36"/>
        <v>-1.4227864725840161E-3</v>
      </c>
    </row>
    <row r="2345" spans="1:8" ht="13.5" x14ac:dyDescent="0.25">
      <c r="A2345" s="1"/>
      <c r="B2345" s="3">
        <v>45713</v>
      </c>
      <c r="C2345" s="4">
        <v>7.08</v>
      </c>
      <c r="D2345" s="4">
        <v>6.4598000000000004</v>
      </c>
      <c r="E2345" s="4">
        <v>3643</v>
      </c>
      <c r="F2345" s="4">
        <v>7.0049999999999999</v>
      </c>
      <c r="G2345" s="4">
        <v>25519.215</v>
      </c>
      <c r="H2345" s="5">
        <f t="shared" si="36"/>
        <v>1.1429824012024864E-2</v>
      </c>
    </row>
    <row r="2346" spans="1:8" ht="13.5" x14ac:dyDescent="0.25">
      <c r="A2346" s="1"/>
      <c r="B2346" s="3">
        <v>45714</v>
      </c>
      <c r="C2346" s="4">
        <v>6.86</v>
      </c>
      <c r="D2346" s="4">
        <v>6.2591000000000001</v>
      </c>
      <c r="E2346" s="4">
        <v>5019</v>
      </c>
      <c r="F2346" s="4">
        <v>6.9450000000000003</v>
      </c>
      <c r="G2346" s="4">
        <v>34856.955000000002</v>
      </c>
      <c r="H2346" s="5">
        <f t="shared" si="36"/>
        <v>-3.106907334592407E-2</v>
      </c>
    </row>
    <row r="2347" spans="1:8" ht="13.5" x14ac:dyDescent="0.25">
      <c r="A2347" s="1"/>
      <c r="B2347" s="3">
        <v>45715</v>
      </c>
      <c r="C2347" s="4">
        <v>7.06</v>
      </c>
      <c r="D2347" s="4">
        <v>6.4414999999999996</v>
      </c>
      <c r="E2347" s="4">
        <v>7336</v>
      </c>
      <c r="F2347" s="4">
        <v>6.98</v>
      </c>
      <c r="G2347" s="4">
        <v>51205.279999999999</v>
      </c>
      <c r="H2347" s="5">
        <f t="shared" si="36"/>
        <v>2.9141569874262984E-2</v>
      </c>
    </row>
    <row r="2348" spans="1:8" ht="13.5" x14ac:dyDescent="0.25">
      <c r="A2348" s="1"/>
      <c r="B2348" s="3">
        <v>45716</v>
      </c>
      <c r="C2348" s="4">
        <v>7.07</v>
      </c>
      <c r="D2348" s="4">
        <v>6.4507000000000003</v>
      </c>
      <c r="E2348" s="4">
        <v>8840</v>
      </c>
      <c r="F2348" s="4">
        <v>7.0010000000000003</v>
      </c>
      <c r="G2348" s="4">
        <v>61888.84</v>
      </c>
      <c r="H2348" s="5">
        <f t="shared" si="36"/>
        <v>1.4282387642631008E-3</v>
      </c>
    </row>
    <row r="2349" spans="1:8" ht="13.5" x14ac:dyDescent="0.25">
      <c r="A2349" s="1"/>
      <c r="B2349" s="3">
        <v>45719</v>
      </c>
      <c r="C2349" s="4">
        <v>7.1</v>
      </c>
      <c r="D2349" s="4">
        <v>6.4779999999999998</v>
      </c>
      <c r="E2349" s="4">
        <v>60</v>
      </c>
      <c r="F2349" s="4">
        <v>7.1</v>
      </c>
      <c r="G2349" s="4">
        <v>426</v>
      </c>
      <c r="H2349" s="5">
        <f t="shared" si="36"/>
        <v>4.232098841986053E-3</v>
      </c>
    </row>
    <row r="2350" spans="1:8" ht="13.5" x14ac:dyDescent="0.25">
      <c r="A2350" s="1"/>
      <c r="B2350" s="3">
        <v>45720</v>
      </c>
      <c r="C2350" s="4">
        <v>7.1</v>
      </c>
      <c r="D2350" s="4">
        <v>6.4779999999999998</v>
      </c>
      <c r="E2350" s="4">
        <v>7131</v>
      </c>
      <c r="F2350" s="4">
        <v>7.0069999999999997</v>
      </c>
      <c r="G2350" s="4">
        <v>49966.917000000001</v>
      </c>
      <c r="H2350" s="5">
        <f t="shared" si="36"/>
        <v>0</v>
      </c>
    </row>
    <row r="2351" spans="1:8" ht="13.5" x14ac:dyDescent="0.25">
      <c r="A2351" s="1"/>
      <c r="B2351" s="3">
        <v>45721</v>
      </c>
      <c r="C2351" s="4">
        <v>7.1</v>
      </c>
      <c r="D2351" s="4">
        <v>6.4779999999999998</v>
      </c>
      <c r="E2351" s="4">
        <v>4664</v>
      </c>
      <c r="F2351" s="4">
        <v>7.0279999999999996</v>
      </c>
      <c r="G2351" s="4">
        <v>32778.591999999997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7.13</v>
      </c>
      <c r="D2352" s="4">
        <v>6.5053999999999998</v>
      </c>
      <c r="E2352" s="4">
        <v>3334</v>
      </c>
      <c r="F2352" s="4">
        <v>7.0890000000000004</v>
      </c>
      <c r="G2352" s="4">
        <v>23634.725999999999</v>
      </c>
      <c r="H2352" s="5">
        <f t="shared" si="36"/>
        <v>4.2297005248533642E-3</v>
      </c>
    </row>
    <row r="2353" spans="1:8" ht="13.5" x14ac:dyDescent="0.25">
      <c r="A2353" s="1"/>
      <c r="B2353" s="3">
        <v>45723</v>
      </c>
      <c r="C2353" s="4">
        <v>7.08</v>
      </c>
      <c r="D2353" s="4">
        <v>6.4598000000000004</v>
      </c>
      <c r="E2353" s="4">
        <v>373</v>
      </c>
      <c r="F2353" s="4">
        <v>7.0670000000000002</v>
      </c>
      <c r="G2353" s="4">
        <v>2635.991</v>
      </c>
      <c r="H2353" s="5">
        <f t="shared" si="36"/>
        <v>-7.0095612875456419E-3</v>
      </c>
    </row>
    <row r="2354" spans="1:8" ht="13.5" x14ac:dyDescent="0.25">
      <c r="A2354" s="1"/>
      <c r="B2354" s="3">
        <v>45726</v>
      </c>
      <c r="C2354" s="4">
        <v>7.14</v>
      </c>
      <c r="D2354" s="4">
        <v>6.5145</v>
      </c>
      <c r="E2354" s="4">
        <v>5969</v>
      </c>
      <c r="F2354" s="4">
        <v>7.0519999999999996</v>
      </c>
      <c r="G2354" s="4">
        <v>42093.387999999999</v>
      </c>
      <c r="H2354" s="5">
        <f t="shared" si="36"/>
        <v>8.4677544196414007E-3</v>
      </c>
    </row>
    <row r="2355" spans="1:8" ht="13.5" x14ac:dyDescent="0.25">
      <c r="A2355" s="1"/>
      <c r="B2355" s="3">
        <v>45727</v>
      </c>
      <c r="C2355" s="4">
        <v>7.07</v>
      </c>
      <c r="D2355" s="4">
        <v>6.4507000000000003</v>
      </c>
      <c r="E2355" s="4">
        <v>1679</v>
      </c>
      <c r="F2355" s="4">
        <v>7.0949999999999998</v>
      </c>
      <c r="G2355" s="4">
        <v>11912.504999999999</v>
      </c>
      <c r="H2355" s="5">
        <f t="shared" si="36"/>
        <v>-9.7935374932841563E-3</v>
      </c>
    </row>
    <row r="2356" spans="1:8" ht="13.5" x14ac:dyDescent="0.25">
      <c r="A2356" s="1"/>
      <c r="B2356" s="3">
        <v>45728</v>
      </c>
      <c r="C2356" s="4">
        <v>7.14</v>
      </c>
      <c r="D2356" s="4">
        <v>6.5145</v>
      </c>
      <c r="E2356" s="4">
        <v>1886</v>
      </c>
      <c r="F2356" s="4">
        <v>7.0880000000000001</v>
      </c>
      <c r="G2356" s="4">
        <v>13367.968000000001</v>
      </c>
      <c r="H2356" s="5">
        <f t="shared" si="36"/>
        <v>9.8903994915279948E-3</v>
      </c>
    </row>
    <row r="2357" spans="1:8" ht="13.5" x14ac:dyDescent="0.25">
      <c r="A2357" s="1"/>
      <c r="B2357" s="3">
        <v>45729</v>
      </c>
      <c r="C2357" s="4">
        <v>7.12</v>
      </c>
      <c r="D2357" s="4">
        <v>6.4962999999999997</v>
      </c>
      <c r="E2357" s="4">
        <v>4309</v>
      </c>
      <c r="F2357" s="4">
        <v>7.0449999999999999</v>
      </c>
      <c r="G2357" s="4">
        <v>30356.904999999999</v>
      </c>
      <c r="H2357" s="5">
        <f t="shared" si="36"/>
        <v>-2.7937677488679433E-3</v>
      </c>
    </row>
    <row r="2358" spans="1:8" ht="13.5" x14ac:dyDescent="0.25">
      <c r="A2358" s="1"/>
      <c r="B2358" s="3">
        <v>45730</v>
      </c>
      <c r="C2358" s="4">
        <v>7.12</v>
      </c>
      <c r="D2358" s="4">
        <v>6.4962999999999997</v>
      </c>
      <c r="E2358" s="4">
        <v>10546</v>
      </c>
      <c r="F2358" s="4">
        <v>7.0709999999999997</v>
      </c>
      <c r="G2358" s="4">
        <v>74570.766000000003</v>
      </c>
      <c r="H2358" s="5">
        <f t="shared" si="36"/>
        <v>0</v>
      </c>
    </row>
    <row r="2359" spans="1:8" ht="13.5" x14ac:dyDescent="0.25">
      <c r="A2359" s="1"/>
      <c r="B2359" s="3">
        <v>45733</v>
      </c>
      <c r="C2359" s="4">
        <v>7.08</v>
      </c>
      <c r="D2359" s="4">
        <v>6.4598000000000004</v>
      </c>
      <c r="E2359" s="4">
        <v>55551</v>
      </c>
      <c r="F2359" s="4">
        <v>7.08</v>
      </c>
      <c r="G2359" s="4">
        <v>393301.08</v>
      </c>
      <c r="H2359" s="5">
        <f t="shared" si="36"/>
        <v>-5.6185828856424903E-3</v>
      </c>
    </row>
    <row r="2360" spans="1:8" ht="13.5" x14ac:dyDescent="0.25">
      <c r="A2360" s="1"/>
      <c r="B2360" s="3">
        <v>45734</v>
      </c>
      <c r="C2360" s="4">
        <v>7.06</v>
      </c>
      <c r="D2360" s="4">
        <v>6.4414999999999996</v>
      </c>
      <c r="E2360" s="4">
        <v>4666</v>
      </c>
      <c r="F2360" s="4">
        <v>7.0629999999999997</v>
      </c>
      <c r="G2360" s="4">
        <v>32955.957999999999</v>
      </c>
      <c r="H2360" s="5">
        <f t="shared" si="36"/>
        <v>-2.8329050434999334E-3</v>
      </c>
    </row>
    <row r="2361" spans="1:8" ht="13.5" x14ac:dyDescent="0.25">
      <c r="A2361" s="1"/>
      <c r="B2361" s="3">
        <v>45735</v>
      </c>
      <c r="C2361" s="4">
        <v>7.01</v>
      </c>
      <c r="D2361" s="4">
        <v>6.3959000000000001</v>
      </c>
      <c r="E2361" s="4">
        <v>9722</v>
      </c>
      <c r="F2361" s="4">
        <v>7.0220000000000002</v>
      </c>
      <c r="G2361" s="4">
        <v>68267.884000000005</v>
      </c>
      <c r="H2361" s="5">
        <f t="shared" si="36"/>
        <v>-7.0790964837381702E-3</v>
      </c>
    </row>
    <row r="2362" spans="1:8" ht="13.5" x14ac:dyDescent="0.25">
      <c r="A2362" s="1"/>
      <c r="B2362" s="3">
        <v>45737</v>
      </c>
      <c r="C2362" s="4">
        <v>6.98</v>
      </c>
      <c r="D2362" s="4">
        <v>6.3685999999999998</v>
      </c>
      <c r="E2362" s="4">
        <v>8461</v>
      </c>
      <c r="F2362" s="4">
        <v>6.9649999999999999</v>
      </c>
      <c r="G2362" s="4">
        <v>58930.864999999998</v>
      </c>
      <c r="H2362" s="5">
        <f t="shared" si="36"/>
        <v>-4.2683594177520476E-3</v>
      </c>
    </row>
    <row r="2363" spans="1:8" ht="13.5" x14ac:dyDescent="0.25">
      <c r="A2363" s="1"/>
      <c r="B2363" s="3">
        <v>45740</v>
      </c>
      <c r="C2363" s="4">
        <v>7.04</v>
      </c>
      <c r="D2363" s="4">
        <v>6.4233000000000002</v>
      </c>
      <c r="E2363" s="4">
        <v>7036</v>
      </c>
      <c r="F2363" s="4">
        <v>6.9710000000000001</v>
      </c>
      <c r="G2363" s="4">
        <v>49047.955999999998</v>
      </c>
      <c r="H2363" s="5">
        <f t="shared" si="36"/>
        <v>8.5890148541281318E-3</v>
      </c>
    </row>
    <row r="2364" spans="1:8" ht="13.5" x14ac:dyDescent="0.25">
      <c r="A2364" s="1"/>
      <c r="B2364" s="3">
        <v>45741</v>
      </c>
      <c r="C2364" s="4">
        <v>7</v>
      </c>
      <c r="D2364" s="4">
        <v>6.3868</v>
      </c>
      <c r="E2364" s="4">
        <v>3143</v>
      </c>
      <c r="F2364" s="4">
        <v>7</v>
      </c>
      <c r="G2364" s="4">
        <v>22001</v>
      </c>
      <c r="H2364" s="5">
        <f t="shared" si="36"/>
        <v>-5.6824373764264779E-3</v>
      </c>
    </row>
    <row r="2365" spans="1:8" ht="13.5" x14ac:dyDescent="0.25">
      <c r="A2365" s="1"/>
      <c r="B2365" s="3">
        <v>45742</v>
      </c>
      <c r="C2365" s="4">
        <v>6.9</v>
      </c>
      <c r="D2365" s="4">
        <v>6.2956000000000003</v>
      </c>
      <c r="E2365" s="4">
        <v>6319</v>
      </c>
      <c r="F2365" s="4">
        <v>6.9660000000000002</v>
      </c>
      <c r="G2365" s="4">
        <v>44018.154000000002</v>
      </c>
      <c r="H2365" s="5">
        <f t="shared" si="36"/>
        <v>-1.4279451368447381E-2</v>
      </c>
    </row>
    <row r="2366" spans="1:8" ht="13.5" x14ac:dyDescent="0.25">
      <c r="A2366" s="1"/>
      <c r="B2366" s="3">
        <v>45743</v>
      </c>
      <c r="C2366" s="4">
        <v>6.97</v>
      </c>
      <c r="D2366" s="4">
        <v>6.3593999999999999</v>
      </c>
      <c r="E2366" s="4">
        <v>1583</v>
      </c>
      <c r="F2366" s="4">
        <v>6.9089999999999998</v>
      </c>
      <c r="G2366" s="4">
        <v>10936.947</v>
      </c>
      <c r="H2366" s="5">
        <f t="shared" si="36"/>
        <v>1.0134061884490697E-2</v>
      </c>
    </row>
    <row r="2367" spans="1:8" ht="13.5" x14ac:dyDescent="0.25">
      <c r="A2367" s="1"/>
      <c r="B2367" s="3">
        <v>45744</v>
      </c>
      <c r="C2367" s="4">
        <v>7</v>
      </c>
      <c r="D2367" s="4">
        <v>6.3868</v>
      </c>
      <c r="E2367" s="4">
        <v>8406</v>
      </c>
      <c r="F2367" s="4">
        <v>6.976</v>
      </c>
      <c r="G2367" s="4">
        <v>58640.256000000001</v>
      </c>
      <c r="H2367" s="5">
        <f t="shared" si="36"/>
        <v>4.3085825706827832E-3</v>
      </c>
    </row>
    <row r="2368" spans="1:8" ht="13.5" x14ac:dyDescent="0.25">
      <c r="A2368" s="1"/>
      <c r="B2368" s="3">
        <v>45749</v>
      </c>
      <c r="C2368" s="4">
        <v>6.99</v>
      </c>
      <c r="D2368" s="4">
        <v>6.3776999999999999</v>
      </c>
      <c r="E2368" s="4">
        <v>1203</v>
      </c>
      <c r="F2368" s="4">
        <v>6.9749999999999996</v>
      </c>
      <c r="G2368" s="4">
        <v>8390.9249999999993</v>
      </c>
      <c r="H2368" s="5">
        <f t="shared" si="36"/>
        <v>-1.4248136782113276E-3</v>
      </c>
    </row>
    <row r="2369" spans="1:8" ht="13.5" x14ac:dyDescent="0.25">
      <c r="A2369" s="1"/>
      <c r="B2369" s="3">
        <v>45750</v>
      </c>
      <c r="C2369" s="4">
        <v>6.95</v>
      </c>
      <c r="D2369" s="4">
        <v>6.3411999999999997</v>
      </c>
      <c r="E2369" s="4">
        <v>1057</v>
      </c>
      <c r="F2369" s="4">
        <v>6.883</v>
      </c>
      <c r="G2369" s="4">
        <v>7275.3310000000001</v>
      </c>
      <c r="H2369" s="5">
        <f t="shared" si="36"/>
        <v>-5.7230663091710487E-3</v>
      </c>
    </row>
    <row r="2370" spans="1:8" ht="13.5" x14ac:dyDescent="0.25">
      <c r="A2370" s="1"/>
      <c r="B2370" s="3">
        <v>45751</v>
      </c>
      <c r="C2370" s="4">
        <v>6.9</v>
      </c>
      <c r="D2370" s="4">
        <v>6.2956000000000003</v>
      </c>
      <c r="E2370" s="4">
        <v>1782</v>
      </c>
      <c r="F2370" s="4">
        <v>6.9249999999999998</v>
      </c>
      <c r="G2370" s="4">
        <v>12340.35</v>
      </c>
      <c r="H2370" s="5">
        <f t="shared" si="36"/>
        <v>-7.1910679366680476E-3</v>
      </c>
    </row>
    <row r="2371" spans="1:8" ht="13.5" x14ac:dyDescent="0.25">
      <c r="A2371" s="1"/>
      <c r="B2371" s="3">
        <v>45754</v>
      </c>
      <c r="C2371" s="4">
        <v>6.77</v>
      </c>
      <c r="D2371" s="4">
        <v>6.1768999999999998</v>
      </c>
      <c r="E2371" s="4">
        <v>2949</v>
      </c>
      <c r="F2371" s="4">
        <v>6.8079999999999998</v>
      </c>
      <c r="G2371" s="4">
        <v>20076.792000000001</v>
      </c>
      <c r="H2371" s="5">
        <f t="shared" si="36"/>
        <v>-1.8854438020204662E-2</v>
      </c>
    </row>
    <row r="2372" spans="1:8" ht="13.5" x14ac:dyDescent="0.25">
      <c r="A2372" s="1"/>
      <c r="B2372" s="3">
        <v>45755</v>
      </c>
      <c r="C2372" s="4">
        <v>6.68</v>
      </c>
      <c r="D2372" s="4">
        <v>6.0948000000000002</v>
      </c>
      <c r="E2372" s="4">
        <v>9143</v>
      </c>
      <c r="F2372" s="4">
        <v>6.7089999999999996</v>
      </c>
      <c r="G2372" s="4">
        <v>61340.387000000002</v>
      </c>
      <c r="H2372" s="5">
        <f t="shared" si="36"/>
        <v>-1.3291456879664496E-2</v>
      </c>
    </row>
    <row r="2373" spans="1:8" ht="13.5" x14ac:dyDescent="0.25">
      <c r="A2373" s="1"/>
      <c r="B2373" s="3">
        <v>45757</v>
      </c>
      <c r="C2373" s="4">
        <v>6.35</v>
      </c>
      <c r="D2373" s="4">
        <v>5.7937000000000003</v>
      </c>
      <c r="E2373" s="4">
        <v>29283</v>
      </c>
      <c r="F2373" s="4">
        <v>6.5650000000000004</v>
      </c>
      <c r="G2373" s="4">
        <v>192242.89499999999</v>
      </c>
      <c r="H2373" s="5">
        <f t="shared" si="36"/>
        <v>-4.9402769574063123E-2</v>
      </c>
    </row>
    <row r="2374" spans="1:8" ht="13.5" x14ac:dyDescent="0.25">
      <c r="A2374" s="1"/>
      <c r="B2374" s="3">
        <v>45758</v>
      </c>
      <c r="C2374" s="4">
        <v>5.97</v>
      </c>
      <c r="D2374" s="4">
        <v>5.4470000000000001</v>
      </c>
      <c r="E2374" s="4">
        <v>43367</v>
      </c>
      <c r="F2374" s="4">
        <v>6.0990000000000002</v>
      </c>
      <c r="G2374" s="4">
        <v>264495.33299999998</v>
      </c>
      <c r="H2374" s="5">
        <f t="shared" si="36"/>
        <v>-5.9840861625558836E-2</v>
      </c>
    </row>
    <row r="2375" spans="1:8" ht="13.5" x14ac:dyDescent="0.25">
      <c r="A2375" s="1"/>
      <c r="B2375" s="3">
        <v>45761</v>
      </c>
      <c r="C2375" s="4">
        <v>6.32</v>
      </c>
      <c r="D2375" s="4">
        <v>5.7664</v>
      </c>
      <c r="E2375" s="4">
        <v>19224</v>
      </c>
      <c r="F2375" s="4">
        <v>6.02</v>
      </c>
      <c r="G2375" s="4">
        <v>115728.48</v>
      </c>
      <c r="H2375" s="5">
        <f t="shared" ref="H2375:H2438" si="37">(D2375-D2374)/D2374</f>
        <v>5.863778226546721E-2</v>
      </c>
    </row>
    <row r="2376" spans="1:8" ht="13.5" x14ac:dyDescent="0.25">
      <c r="A2376" s="1"/>
      <c r="B2376" s="3">
        <v>45762</v>
      </c>
      <c r="C2376" s="4">
        <v>6.48</v>
      </c>
      <c r="D2376" s="4">
        <v>5.9123999999999999</v>
      </c>
      <c r="E2376" s="4">
        <v>12337</v>
      </c>
      <c r="F2376" s="4">
        <v>6.4589999999999996</v>
      </c>
      <c r="G2376" s="4">
        <v>79684.683000000005</v>
      </c>
      <c r="H2376" s="5">
        <f t="shared" si="37"/>
        <v>2.5319089900110971E-2</v>
      </c>
    </row>
    <row r="2377" spans="1:8" ht="13.5" x14ac:dyDescent="0.25">
      <c r="A2377" s="1"/>
      <c r="B2377" s="3">
        <v>45763</v>
      </c>
      <c r="C2377" s="4">
        <v>6.45</v>
      </c>
      <c r="D2377" s="4">
        <v>5.8849999999999998</v>
      </c>
      <c r="E2377" s="4">
        <v>3870</v>
      </c>
      <c r="F2377" s="4">
        <v>6.41</v>
      </c>
      <c r="G2377" s="4">
        <v>24806.7</v>
      </c>
      <c r="H2377" s="5">
        <f t="shared" si="37"/>
        <v>-4.6343278533252305E-3</v>
      </c>
    </row>
    <row r="2378" spans="1:8" ht="13.5" x14ac:dyDescent="0.25">
      <c r="A2378" s="1"/>
      <c r="B2378" s="3">
        <v>45764</v>
      </c>
      <c r="C2378" s="4">
        <v>6.5</v>
      </c>
      <c r="D2378" s="4">
        <v>5.9306000000000001</v>
      </c>
      <c r="E2378" s="4">
        <v>7541</v>
      </c>
      <c r="F2378" s="4">
        <v>6.5540000000000003</v>
      </c>
      <c r="G2378" s="4">
        <v>49423.714</v>
      </c>
      <c r="H2378" s="5">
        <f t="shared" si="37"/>
        <v>7.7485131690739695E-3</v>
      </c>
    </row>
    <row r="2379" spans="1:8" ht="13.5" x14ac:dyDescent="0.25">
      <c r="A2379" s="1"/>
      <c r="B2379" s="3">
        <v>45765</v>
      </c>
      <c r="C2379" s="4">
        <v>6.34</v>
      </c>
      <c r="D2379" s="4">
        <v>5.7846000000000002</v>
      </c>
      <c r="E2379" s="4">
        <v>2660</v>
      </c>
      <c r="F2379" s="4">
        <v>6.4</v>
      </c>
      <c r="G2379" s="4">
        <v>17024</v>
      </c>
      <c r="H2379" s="5">
        <f t="shared" si="37"/>
        <v>-2.4618082487438016E-2</v>
      </c>
    </row>
    <row r="2380" spans="1:8" ht="13.5" x14ac:dyDescent="0.25">
      <c r="A2380" s="1"/>
      <c r="B2380" s="3">
        <v>45768</v>
      </c>
      <c r="C2380" s="4">
        <v>6.3</v>
      </c>
      <c r="D2380" s="4">
        <v>5.7481</v>
      </c>
      <c r="E2380" s="4">
        <v>681</v>
      </c>
      <c r="F2380" s="4">
        <v>6.3170000000000002</v>
      </c>
      <c r="G2380" s="4">
        <v>4301.8770000000004</v>
      </c>
      <c r="H2380" s="5">
        <f t="shared" si="37"/>
        <v>-6.3098572070670739E-3</v>
      </c>
    </row>
    <row r="2381" spans="1:8" ht="13.5" x14ac:dyDescent="0.25">
      <c r="A2381" s="1"/>
      <c r="B2381" s="3">
        <v>45769</v>
      </c>
      <c r="C2381" s="4">
        <v>6.31</v>
      </c>
      <c r="D2381" s="4">
        <v>5.7572000000000001</v>
      </c>
      <c r="E2381" s="4">
        <v>15724</v>
      </c>
      <c r="F2381" s="4">
        <v>6.3040000000000003</v>
      </c>
      <c r="G2381" s="4">
        <v>99124.096000000005</v>
      </c>
      <c r="H2381" s="5">
        <f t="shared" si="37"/>
        <v>1.5831318174701393E-3</v>
      </c>
    </row>
    <row r="2382" spans="1:8" ht="13.5" x14ac:dyDescent="0.25">
      <c r="A2382" s="1"/>
      <c r="B2382" s="3">
        <v>45770</v>
      </c>
      <c r="C2382" s="4">
        <v>6.64</v>
      </c>
      <c r="D2382" s="4">
        <v>6.0583</v>
      </c>
      <c r="E2382" s="4">
        <v>8259</v>
      </c>
      <c r="F2382" s="4">
        <v>6.5049999999999999</v>
      </c>
      <c r="G2382" s="4">
        <v>53724.794999999998</v>
      </c>
      <c r="H2382" s="5">
        <f t="shared" si="37"/>
        <v>5.2299729034947527E-2</v>
      </c>
    </row>
    <row r="2383" spans="1:8" ht="13.5" x14ac:dyDescent="0.25">
      <c r="A2383" s="1"/>
      <c r="B2383" s="3">
        <v>45771</v>
      </c>
      <c r="C2383" s="4">
        <v>6.6</v>
      </c>
      <c r="D2383" s="4">
        <v>6.0217999999999998</v>
      </c>
      <c r="E2383" s="4">
        <v>8809</v>
      </c>
      <c r="F2383" s="4">
        <v>6.5650000000000004</v>
      </c>
      <c r="G2383" s="4">
        <v>57831.084999999999</v>
      </c>
      <c r="H2383" s="5">
        <f t="shared" si="37"/>
        <v>-6.0247924335209875E-3</v>
      </c>
    </row>
    <row r="2384" spans="1:8" ht="13.5" x14ac:dyDescent="0.25">
      <c r="A2384" s="1"/>
      <c r="B2384" s="3">
        <v>45772</v>
      </c>
      <c r="C2384" s="4">
        <v>6.6</v>
      </c>
      <c r="D2384" s="4">
        <v>6.0217999999999998</v>
      </c>
      <c r="E2384" s="4">
        <v>4510</v>
      </c>
      <c r="F2384" s="4">
        <v>6.5369999999999999</v>
      </c>
      <c r="G2384" s="4">
        <v>29481.87</v>
      </c>
      <c r="H2384" s="5">
        <f t="shared" si="37"/>
        <v>0</v>
      </c>
    </row>
    <row r="2385" spans="1:8" ht="13.5" x14ac:dyDescent="0.25">
      <c r="A2385" s="1"/>
      <c r="B2385" s="3">
        <v>45775</v>
      </c>
      <c r="C2385" s="4">
        <v>6.65</v>
      </c>
      <c r="D2385" s="4">
        <v>6.0674999999999999</v>
      </c>
      <c r="E2385" s="4">
        <v>7099</v>
      </c>
      <c r="F2385" s="4">
        <v>6.53</v>
      </c>
      <c r="G2385" s="4">
        <v>46356.47</v>
      </c>
      <c r="H2385" s="5">
        <f t="shared" si="37"/>
        <v>7.5890929622372174E-3</v>
      </c>
    </row>
    <row r="2386" spans="1:8" ht="13.5" x14ac:dyDescent="0.25">
      <c r="A2386" s="1"/>
      <c r="B2386" s="3">
        <v>45776</v>
      </c>
      <c r="C2386" s="4">
        <v>6.68</v>
      </c>
      <c r="D2386" s="4">
        <v>6.0948000000000002</v>
      </c>
      <c r="E2386" s="4">
        <v>2388</v>
      </c>
      <c r="F2386" s="4">
        <v>6.6050000000000004</v>
      </c>
      <c r="G2386" s="4">
        <v>15772.74</v>
      </c>
      <c r="H2386" s="5">
        <f t="shared" si="37"/>
        <v>4.4993819530284836E-3</v>
      </c>
    </row>
    <row r="2387" spans="1:8" ht="13.5" x14ac:dyDescent="0.25">
      <c r="A2387" s="1"/>
      <c r="B2387" s="3">
        <v>45777</v>
      </c>
      <c r="C2387" s="4">
        <v>6.68</v>
      </c>
      <c r="D2387" s="4">
        <v>6.0948000000000002</v>
      </c>
      <c r="E2387" s="4">
        <v>767</v>
      </c>
      <c r="F2387" s="4">
        <v>6.681</v>
      </c>
      <c r="G2387" s="4">
        <v>5124.3270000000002</v>
      </c>
      <c r="H2387" s="5">
        <f t="shared" si="37"/>
        <v>0</v>
      </c>
    </row>
    <row r="2388" spans="1:8" ht="13.5" x14ac:dyDescent="0.25">
      <c r="A2388" s="1"/>
      <c r="B2388" s="3">
        <v>45779</v>
      </c>
      <c r="C2388" s="4">
        <v>6.6</v>
      </c>
      <c r="D2388" s="4">
        <v>6.0217999999999998</v>
      </c>
      <c r="E2388" s="4">
        <v>1170</v>
      </c>
      <c r="F2388" s="4">
        <v>6.6639999999999997</v>
      </c>
      <c r="G2388" s="4">
        <v>7796.88</v>
      </c>
      <c r="H2388" s="5">
        <f t="shared" si="37"/>
        <v>-1.1977423377305309E-2</v>
      </c>
    </row>
    <row r="2389" spans="1:8" ht="13.5" x14ac:dyDescent="0.25">
      <c r="A2389" s="1"/>
      <c r="B2389" s="3">
        <v>45782</v>
      </c>
      <c r="C2389" s="4">
        <v>6.48</v>
      </c>
      <c r="D2389" s="4">
        <v>5.9123999999999999</v>
      </c>
      <c r="E2389" s="4">
        <v>3938</v>
      </c>
      <c r="F2389" s="4">
        <v>6.5190000000000001</v>
      </c>
      <c r="G2389" s="4">
        <v>25671.822</v>
      </c>
      <c r="H2389" s="5">
        <f t="shared" si="37"/>
        <v>-1.816732538443654E-2</v>
      </c>
    </row>
    <row r="2390" spans="1:8" ht="13.5" x14ac:dyDescent="0.25">
      <c r="A2390" s="1"/>
      <c r="B2390" s="3">
        <v>45783</v>
      </c>
      <c r="C2390" s="4">
        <v>6.59</v>
      </c>
      <c r="D2390" s="4">
        <v>6.0126999999999997</v>
      </c>
      <c r="E2390" s="4">
        <v>11222</v>
      </c>
      <c r="F2390" s="4">
        <v>6.5949999999999998</v>
      </c>
      <c r="G2390" s="4">
        <v>74009.09</v>
      </c>
      <c r="H2390" s="5">
        <f t="shared" si="37"/>
        <v>1.6964346120018917E-2</v>
      </c>
    </row>
    <row r="2391" spans="1:8" ht="13.5" x14ac:dyDescent="0.25">
      <c r="A2391" s="1"/>
      <c r="B2391" s="3">
        <v>45784</v>
      </c>
      <c r="C2391" s="4">
        <v>6.5</v>
      </c>
      <c r="D2391" s="4">
        <v>5.9306000000000001</v>
      </c>
      <c r="E2391" s="4">
        <v>3991</v>
      </c>
      <c r="F2391" s="4">
        <v>6.508</v>
      </c>
      <c r="G2391" s="4">
        <v>25973.428</v>
      </c>
      <c r="H2391" s="5">
        <f t="shared" si="37"/>
        <v>-1.3654431453423524E-2</v>
      </c>
    </row>
    <row r="2392" spans="1:8" ht="13.5" x14ac:dyDescent="0.25">
      <c r="A2392" s="1"/>
      <c r="B2392" s="3">
        <v>45785</v>
      </c>
      <c r="C2392" s="4">
        <v>6.55</v>
      </c>
      <c r="D2392" s="4">
        <v>5.9762000000000004</v>
      </c>
      <c r="E2392" s="4">
        <v>3298</v>
      </c>
      <c r="F2392" s="4">
        <v>6.5039999999999996</v>
      </c>
      <c r="G2392" s="4">
        <v>21450.191999999999</v>
      </c>
      <c r="H2392" s="5">
        <f t="shared" si="37"/>
        <v>7.6889353522409717E-3</v>
      </c>
    </row>
    <row r="2393" spans="1:8" ht="13.5" x14ac:dyDescent="0.25">
      <c r="A2393" s="1"/>
      <c r="B2393" s="3">
        <v>45786</v>
      </c>
      <c r="C2393" s="4">
        <v>6.5</v>
      </c>
      <c r="D2393" s="4">
        <v>5.9306000000000001</v>
      </c>
      <c r="E2393" s="4">
        <v>3944</v>
      </c>
      <c r="F2393" s="4">
        <v>6.4770000000000003</v>
      </c>
      <c r="G2393" s="4">
        <v>25545.288</v>
      </c>
      <c r="H2393" s="5">
        <f t="shared" si="37"/>
        <v>-7.630266724674593E-3</v>
      </c>
    </row>
    <row r="2394" spans="1:8" ht="13.5" x14ac:dyDescent="0.25">
      <c r="A2394" s="1"/>
      <c r="B2394" s="3">
        <v>45789</v>
      </c>
      <c r="C2394" s="4">
        <v>6.6</v>
      </c>
      <c r="D2394" s="4">
        <v>6.0217999999999998</v>
      </c>
      <c r="E2394" s="4">
        <v>5427</v>
      </c>
      <c r="F2394" s="4">
        <v>6.4950000000000001</v>
      </c>
      <c r="G2394" s="4">
        <v>35248.364999999998</v>
      </c>
      <c r="H2394" s="5">
        <f t="shared" si="37"/>
        <v>1.5377870704481794E-2</v>
      </c>
    </row>
    <row r="2395" spans="1:8" ht="13.5" x14ac:dyDescent="0.25">
      <c r="A2395" s="1"/>
      <c r="B2395" s="3">
        <v>45790</v>
      </c>
      <c r="C2395" s="4">
        <v>6.6</v>
      </c>
      <c r="D2395" s="4">
        <v>6.0217999999999998</v>
      </c>
      <c r="E2395" s="4">
        <v>495</v>
      </c>
      <c r="F2395" s="4">
        <v>6.4989999999999997</v>
      </c>
      <c r="G2395" s="4">
        <v>3217.0050000000001</v>
      </c>
      <c r="H2395" s="5">
        <f t="shared" si="37"/>
        <v>0</v>
      </c>
    </row>
    <row r="2396" spans="1:8" ht="13.5" x14ac:dyDescent="0.25">
      <c r="A2396" s="1"/>
      <c r="B2396" s="3">
        <v>45791</v>
      </c>
      <c r="C2396" s="4">
        <v>6.6</v>
      </c>
      <c r="D2396" s="4">
        <v>6.0217999999999998</v>
      </c>
      <c r="E2396" s="4">
        <v>425</v>
      </c>
      <c r="F2396" s="4">
        <v>6.4939999999999998</v>
      </c>
      <c r="G2396" s="4">
        <v>2759.95</v>
      </c>
      <c r="H2396" s="5">
        <f t="shared" si="37"/>
        <v>0</v>
      </c>
    </row>
    <row r="2397" spans="1:8" ht="13.5" x14ac:dyDescent="0.25">
      <c r="A2397" s="1"/>
      <c r="B2397" s="3">
        <v>45792</v>
      </c>
      <c r="C2397" s="4">
        <v>6.57</v>
      </c>
      <c r="D2397" s="4">
        <v>5.9945000000000004</v>
      </c>
      <c r="E2397" s="4">
        <v>14208</v>
      </c>
      <c r="F2397" s="4">
        <v>6.5019999999999998</v>
      </c>
      <c r="G2397" s="4">
        <v>92380.415999999997</v>
      </c>
      <c r="H2397" s="5">
        <f t="shared" si="37"/>
        <v>-4.5335281809424817E-3</v>
      </c>
    </row>
    <row r="2398" spans="1:8" ht="13.5" x14ac:dyDescent="0.25">
      <c r="A2398" s="1"/>
      <c r="B2398" s="3">
        <v>45793</v>
      </c>
      <c r="C2398" s="4">
        <v>6.6</v>
      </c>
      <c r="D2398" s="4">
        <v>6.0217999999999998</v>
      </c>
      <c r="E2398" s="4">
        <v>473</v>
      </c>
      <c r="F2398" s="4">
        <v>6.6</v>
      </c>
      <c r="G2398" s="4">
        <v>3121.8</v>
      </c>
      <c r="H2398" s="5">
        <f t="shared" si="37"/>
        <v>4.5541746601050022E-3</v>
      </c>
    </row>
    <row r="2399" spans="1:8" ht="13.5" x14ac:dyDescent="0.25">
      <c r="A2399" s="1"/>
      <c r="B2399" s="3">
        <v>45796</v>
      </c>
      <c r="C2399" s="4">
        <v>6.6</v>
      </c>
      <c r="D2399" s="4">
        <v>6.0217999999999998</v>
      </c>
      <c r="E2399" s="4">
        <v>1571</v>
      </c>
      <c r="F2399" s="4">
        <v>6.5590000000000002</v>
      </c>
      <c r="G2399" s="4">
        <v>10304.189</v>
      </c>
      <c r="H2399" s="5">
        <f t="shared" si="37"/>
        <v>0</v>
      </c>
    </row>
    <row r="2400" spans="1:8" ht="13.5" x14ac:dyDescent="0.25">
      <c r="A2400" s="1"/>
      <c r="B2400" s="3">
        <v>45797</v>
      </c>
      <c r="C2400" s="4">
        <v>6.6</v>
      </c>
      <c r="D2400" s="4">
        <v>6.0217999999999998</v>
      </c>
      <c r="E2400" s="4">
        <v>1764</v>
      </c>
      <c r="F2400" s="4">
        <v>6.6219999999999999</v>
      </c>
      <c r="G2400" s="4">
        <v>11681.208000000001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6.62</v>
      </c>
      <c r="D2401" s="4">
        <v>6.0400999999999998</v>
      </c>
      <c r="E2401" s="4">
        <v>3347</v>
      </c>
      <c r="F2401" s="4">
        <v>6.6040000000000001</v>
      </c>
      <c r="G2401" s="4">
        <v>22103.588</v>
      </c>
      <c r="H2401" s="5">
        <f t="shared" si="37"/>
        <v>3.0389584509615038E-3</v>
      </c>
    </row>
    <row r="2402" spans="1:8" ht="13.5" x14ac:dyDescent="0.25">
      <c r="A2402" s="1"/>
      <c r="B2402" s="3">
        <v>45799</v>
      </c>
      <c r="C2402" s="4">
        <v>6.5</v>
      </c>
      <c r="D2402" s="4">
        <v>5.9306000000000001</v>
      </c>
      <c r="E2402" s="4">
        <v>3707</v>
      </c>
      <c r="F2402" s="4">
        <v>6.5810000000000004</v>
      </c>
      <c r="G2402" s="4">
        <v>24395.767</v>
      </c>
      <c r="H2402" s="5">
        <f t="shared" si="37"/>
        <v>-1.8128838926507792E-2</v>
      </c>
    </row>
    <row r="2403" spans="1:8" ht="13.5" x14ac:dyDescent="0.25">
      <c r="A2403" s="1"/>
      <c r="B2403" s="3">
        <v>45800</v>
      </c>
      <c r="C2403" s="4">
        <v>6.6</v>
      </c>
      <c r="D2403" s="4">
        <v>6.0217999999999998</v>
      </c>
      <c r="E2403" s="4">
        <v>3260</v>
      </c>
      <c r="F2403" s="4">
        <v>6.593</v>
      </c>
      <c r="G2403" s="4">
        <v>21493.18</v>
      </c>
      <c r="H2403" s="5">
        <f t="shared" si="37"/>
        <v>1.5377870704481794E-2</v>
      </c>
    </row>
    <row r="2404" spans="1:8" ht="13.5" x14ac:dyDescent="0.25">
      <c r="A2404" s="1"/>
      <c r="B2404" s="3">
        <v>45803</v>
      </c>
      <c r="C2404" s="4">
        <v>6.6</v>
      </c>
      <c r="D2404" s="4">
        <v>6.0217999999999998</v>
      </c>
      <c r="E2404" s="4">
        <v>1312</v>
      </c>
      <c r="F2404" s="4">
        <v>6.5540000000000003</v>
      </c>
      <c r="G2404" s="4">
        <v>8598.848</v>
      </c>
      <c r="H2404" s="5">
        <f t="shared" si="37"/>
        <v>0</v>
      </c>
    </row>
    <row r="2405" spans="1:8" ht="13.5" x14ac:dyDescent="0.25">
      <c r="A2405" s="1"/>
      <c r="B2405" s="3">
        <v>45804</v>
      </c>
      <c r="C2405" s="4">
        <v>6.58</v>
      </c>
      <c r="D2405" s="4">
        <v>6.0035999999999996</v>
      </c>
      <c r="E2405" s="4">
        <v>1713</v>
      </c>
      <c r="F2405" s="4">
        <v>6.5170000000000003</v>
      </c>
      <c r="G2405" s="4">
        <v>11163.620999999999</v>
      </c>
      <c r="H2405" s="5">
        <f t="shared" si="37"/>
        <v>-3.0223521206284194E-3</v>
      </c>
    </row>
    <row r="2406" spans="1:8" ht="13.5" x14ac:dyDescent="0.25">
      <c r="A2406" s="1"/>
      <c r="B2406" s="3">
        <v>45805</v>
      </c>
      <c r="C2406" s="4">
        <v>6.55</v>
      </c>
      <c r="D2406" s="4">
        <v>5.9762000000000004</v>
      </c>
      <c r="E2406" s="4">
        <v>574</v>
      </c>
      <c r="F2406" s="4">
        <v>6.5110000000000001</v>
      </c>
      <c r="G2406" s="4">
        <v>3737.3139999999999</v>
      </c>
      <c r="H2406" s="5">
        <f t="shared" si="37"/>
        <v>-4.5639283096807256E-3</v>
      </c>
    </row>
    <row r="2407" spans="1:8" ht="13.5" x14ac:dyDescent="0.25">
      <c r="A2407" s="1"/>
      <c r="B2407" s="3">
        <v>45806</v>
      </c>
      <c r="C2407" s="4">
        <v>6.55</v>
      </c>
      <c r="D2407" s="4">
        <v>5.9762000000000004</v>
      </c>
      <c r="E2407" s="4">
        <v>2682</v>
      </c>
      <c r="F2407" s="4">
        <v>6.5549999999999997</v>
      </c>
      <c r="G2407" s="4">
        <v>17580.509999999998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6.6</v>
      </c>
      <c r="D2408" s="4">
        <v>6.0217999999999998</v>
      </c>
      <c r="E2408" s="4">
        <v>8585</v>
      </c>
      <c r="F2408" s="4">
        <v>6.5919999999999996</v>
      </c>
      <c r="G2408" s="4">
        <v>56592.32</v>
      </c>
      <c r="H2408" s="5">
        <f t="shared" si="37"/>
        <v>7.6302667246744447E-3</v>
      </c>
    </row>
    <row r="2409" spans="1:8" ht="13.5" x14ac:dyDescent="0.25">
      <c r="A2409" s="1"/>
      <c r="B2409" s="3">
        <v>45810</v>
      </c>
      <c r="C2409" s="4">
        <v>6.59</v>
      </c>
      <c r="D2409" s="4">
        <v>6.0126999999999997</v>
      </c>
      <c r="E2409" s="4">
        <v>971</v>
      </c>
      <c r="F2409" s="4">
        <v>6.5259999999999998</v>
      </c>
      <c r="G2409" s="4">
        <v>6336.7460000000001</v>
      </c>
      <c r="H2409" s="5">
        <f t="shared" si="37"/>
        <v>-1.5111760603142097E-3</v>
      </c>
    </row>
    <row r="2410" spans="1:8" ht="13.5" x14ac:dyDescent="0.25">
      <c r="A2410" s="1"/>
      <c r="B2410" s="3">
        <v>45811</v>
      </c>
      <c r="C2410" s="4">
        <v>6.6</v>
      </c>
      <c r="D2410" s="4">
        <v>6.0217999999999998</v>
      </c>
      <c r="E2410" s="4">
        <v>383</v>
      </c>
      <c r="F2410" s="4">
        <v>6.6</v>
      </c>
      <c r="G2410" s="4">
        <v>2527.8000000000002</v>
      </c>
      <c r="H2410" s="5">
        <f t="shared" si="37"/>
        <v>1.5134631696243133E-3</v>
      </c>
    </row>
    <row r="2411" spans="1:8" ht="13.5" x14ac:dyDescent="0.25">
      <c r="A2411" s="1"/>
      <c r="B2411" s="3">
        <v>45812</v>
      </c>
      <c r="C2411" s="4">
        <v>6.52</v>
      </c>
      <c r="D2411" s="4">
        <v>5.9488000000000003</v>
      </c>
      <c r="E2411" s="4">
        <v>1428</v>
      </c>
      <c r="F2411" s="4">
        <v>6.5309999999999997</v>
      </c>
      <c r="G2411" s="4">
        <v>9326.268</v>
      </c>
      <c r="H2411" s="5">
        <f t="shared" si="37"/>
        <v>-1.2122621143179699E-2</v>
      </c>
    </row>
    <row r="2412" spans="1:8" ht="13.5" x14ac:dyDescent="0.25">
      <c r="A2412" s="1"/>
      <c r="B2412" s="3">
        <v>45813</v>
      </c>
      <c r="C2412" s="4">
        <v>6.65</v>
      </c>
      <c r="D2412" s="4">
        <v>6.0674999999999999</v>
      </c>
      <c r="E2412" s="4">
        <v>14</v>
      </c>
      <c r="F2412" s="4">
        <v>6.65</v>
      </c>
      <c r="G2412" s="4">
        <v>93.1</v>
      </c>
      <c r="H2412" s="5">
        <f t="shared" si="37"/>
        <v>1.99536040882194E-2</v>
      </c>
    </row>
    <row r="2413" spans="1:8" ht="13.5" x14ac:dyDescent="0.25">
      <c r="A2413" s="1"/>
      <c r="B2413" s="3">
        <v>45817</v>
      </c>
      <c r="C2413" s="4">
        <v>6.64</v>
      </c>
      <c r="D2413" s="4">
        <v>6.0583</v>
      </c>
      <c r="E2413" s="4">
        <v>1032</v>
      </c>
      <c r="F2413" s="4">
        <v>6.51</v>
      </c>
      <c r="G2413" s="4">
        <v>6718.32</v>
      </c>
      <c r="H2413" s="5">
        <f t="shared" si="37"/>
        <v>-1.5162752369179851E-3</v>
      </c>
    </row>
    <row r="2414" spans="1:8" ht="13.5" x14ac:dyDescent="0.25">
      <c r="A2414" s="1"/>
      <c r="B2414" s="3">
        <v>45818</v>
      </c>
      <c r="C2414" s="4">
        <v>6.64</v>
      </c>
      <c r="D2414" s="4">
        <v>6.0583</v>
      </c>
      <c r="E2414" s="4">
        <v>621</v>
      </c>
      <c r="F2414" s="4">
        <v>6.5839999999999996</v>
      </c>
      <c r="G2414" s="4">
        <v>4088.6640000000002</v>
      </c>
      <c r="H2414" s="5">
        <f t="shared" si="37"/>
        <v>0</v>
      </c>
    </row>
    <row r="2415" spans="1:8" ht="13.5" x14ac:dyDescent="0.25">
      <c r="A2415" s="1"/>
      <c r="B2415" s="3">
        <v>45819</v>
      </c>
      <c r="C2415" s="4">
        <v>6.64</v>
      </c>
      <c r="D2415" s="4">
        <v>6.0583</v>
      </c>
      <c r="E2415" s="4">
        <v>243</v>
      </c>
      <c r="F2415" s="4">
        <v>6.5119999999999996</v>
      </c>
      <c r="G2415" s="4">
        <v>1582.4159999999999</v>
      </c>
      <c r="H2415" s="5">
        <f t="shared" si="37"/>
        <v>0</v>
      </c>
    </row>
    <row r="2416" spans="1:8" ht="13.5" x14ac:dyDescent="0.25">
      <c r="A2416" s="1"/>
      <c r="B2416" s="3">
        <v>45820</v>
      </c>
      <c r="C2416" s="4">
        <v>6.6</v>
      </c>
      <c r="D2416" s="4">
        <v>6.0217999999999998</v>
      </c>
      <c r="E2416" s="4">
        <v>718</v>
      </c>
      <c r="F2416" s="4">
        <v>6.5</v>
      </c>
      <c r="G2416" s="4">
        <v>4667</v>
      </c>
      <c r="H2416" s="5">
        <f t="shared" si="37"/>
        <v>-6.0247924335209875E-3</v>
      </c>
    </row>
    <row r="2417" spans="1:8" ht="13.5" x14ac:dyDescent="0.25">
      <c r="A2417" s="1"/>
      <c r="B2417" s="3">
        <v>45821</v>
      </c>
      <c r="C2417" s="4">
        <v>6.4</v>
      </c>
      <c r="D2417" s="4">
        <v>5.8394000000000004</v>
      </c>
      <c r="E2417" s="4">
        <v>3848</v>
      </c>
      <c r="F2417" s="4">
        <v>6.43</v>
      </c>
      <c r="G2417" s="4">
        <v>24742.639999999999</v>
      </c>
      <c r="H2417" s="5">
        <f t="shared" si="37"/>
        <v>-3.0289946527616237E-2</v>
      </c>
    </row>
    <row r="2418" spans="1:8" ht="13.5" x14ac:dyDescent="0.25">
      <c r="A2418" s="1"/>
      <c r="B2418" s="3">
        <v>45824</v>
      </c>
      <c r="C2418" s="4">
        <v>6.38</v>
      </c>
      <c r="D2418" s="4">
        <v>5.8211000000000004</v>
      </c>
      <c r="E2418" s="4">
        <v>1648</v>
      </c>
      <c r="F2418" s="4">
        <v>6.3129999999999997</v>
      </c>
      <c r="G2418" s="4">
        <v>10403.824000000001</v>
      </c>
      <c r="H2418" s="5">
        <f t="shared" si="37"/>
        <v>-3.133883618179947E-3</v>
      </c>
    </row>
    <row r="2419" spans="1:8" ht="13.5" x14ac:dyDescent="0.25">
      <c r="A2419" s="1"/>
      <c r="B2419" s="3">
        <v>45825</v>
      </c>
      <c r="C2419" s="4">
        <v>6.38</v>
      </c>
      <c r="D2419" s="4">
        <v>5.8211000000000004</v>
      </c>
      <c r="E2419" s="4">
        <v>819</v>
      </c>
      <c r="F2419" s="4">
        <v>6.3760000000000003</v>
      </c>
      <c r="G2419" s="4">
        <v>5221.9440000000004</v>
      </c>
      <c r="H2419" s="5">
        <f t="shared" si="37"/>
        <v>0</v>
      </c>
    </row>
    <row r="2420" spans="1:8" ht="13.5" x14ac:dyDescent="0.25">
      <c r="A2420" s="1"/>
      <c r="B2420" s="3">
        <v>45826</v>
      </c>
      <c r="C2420" s="4">
        <v>6.37</v>
      </c>
      <c r="D2420" s="4">
        <v>5.8120000000000003</v>
      </c>
      <c r="E2420" s="4">
        <v>1032</v>
      </c>
      <c r="F2420" s="4">
        <v>6.3259999999999996</v>
      </c>
      <c r="G2420" s="4">
        <v>6528.4319999999998</v>
      </c>
      <c r="H2420" s="5">
        <f t="shared" si="37"/>
        <v>-1.5632784181684059E-3</v>
      </c>
    </row>
    <row r="2421" spans="1:8" ht="13.5" x14ac:dyDescent="0.25">
      <c r="A2421" s="1"/>
      <c r="B2421" s="3">
        <v>45827</v>
      </c>
      <c r="C2421" s="4">
        <v>6.3</v>
      </c>
      <c r="D2421" s="4">
        <v>5.7481</v>
      </c>
      <c r="E2421" s="4">
        <v>2715</v>
      </c>
      <c r="F2421" s="4">
        <v>6.26</v>
      </c>
      <c r="G2421" s="4">
        <v>16995.900000000001</v>
      </c>
      <c r="H2421" s="5">
        <f t="shared" si="37"/>
        <v>-1.0994494150034461E-2</v>
      </c>
    </row>
    <row r="2422" spans="1:8" ht="13.5" x14ac:dyDescent="0.25">
      <c r="A2422" s="1"/>
      <c r="B2422" s="3">
        <v>45828</v>
      </c>
      <c r="C2422" s="4">
        <v>6.3</v>
      </c>
      <c r="D2422" s="4">
        <v>5.7481</v>
      </c>
      <c r="E2422" s="4">
        <v>924</v>
      </c>
      <c r="F2422" s="4">
        <v>6.2370000000000001</v>
      </c>
      <c r="G2422" s="4">
        <v>5762.9880000000003</v>
      </c>
      <c r="H2422" s="5">
        <f t="shared" si="37"/>
        <v>0</v>
      </c>
    </row>
    <row r="2423" spans="1:8" ht="13.5" x14ac:dyDescent="0.25">
      <c r="A2423" s="1"/>
      <c r="B2423" s="3">
        <v>45831</v>
      </c>
      <c r="C2423" s="4">
        <v>6.48</v>
      </c>
      <c r="D2423" s="4">
        <v>5.9123999999999999</v>
      </c>
      <c r="E2423" s="4">
        <v>721</v>
      </c>
      <c r="F2423" s="4">
        <v>6.343</v>
      </c>
      <c r="G2423" s="4">
        <v>4573.3029999999999</v>
      </c>
      <c r="H2423" s="5">
        <f t="shared" si="37"/>
        <v>2.858335797915831E-2</v>
      </c>
    </row>
    <row r="2424" spans="1:8" ht="13.5" x14ac:dyDescent="0.25">
      <c r="A2424" s="1"/>
      <c r="B2424" s="3">
        <v>45832</v>
      </c>
      <c r="C2424" s="4">
        <v>6.55</v>
      </c>
      <c r="D2424" s="4">
        <v>5.9762000000000004</v>
      </c>
      <c r="E2424" s="4">
        <v>6297</v>
      </c>
      <c r="F2424" s="4">
        <v>6.4349999999999996</v>
      </c>
      <c r="G2424" s="4">
        <v>40521.195</v>
      </c>
      <c r="H2424" s="5">
        <f t="shared" si="37"/>
        <v>1.0790880184020114E-2</v>
      </c>
    </row>
    <row r="2425" spans="1:8" ht="13.5" x14ac:dyDescent="0.25">
      <c r="A2425" s="1"/>
      <c r="B2425" s="3">
        <v>45833</v>
      </c>
      <c r="C2425" s="4">
        <v>6.58</v>
      </c>
      <c r="D2425" s="4">
        <v>6.0035999999999996</v>
      </c>
      <c r="E2425" s="4">
        <v>1276</v>
      </c>
      <c r="F2425" s="4">
        <v>6.5410000000000004</v>
      </c>
      <c r="G2425" s="4">
        <v>8346.3160000000007</v>
      </c>
      <c r="H2425" s="5">
        <f t="shared" si="37"/>
        <v>4.5848532512297452E-3</v>
      </c>
    </row>
    <row r="2426" spans="1:8" ht="13.5" x14ac:dyDescent="0.25">
      <c r="A2426" s="1"/>
      <c r="B2426" s="3">
        <v>45835</v>
      </c>
      <c r="C2426" s="4">
        <v>6.36</v>
      </c>
      <c r="D2426" s="4">
        <v>5.8029000000000002</v>
      </c>
      <c r="E2426" s="4">
        <v>2826</v>
      </c>
      <c r="F2426" s="4">
        <v>6.3650000000000002</v>
      </c>
      <c r="G2426" s="4">
        <v>17987.490000000002</v>
      </c>
      <c r="H2426" s="5">
        <f t="shared" si="37"/>
        <v>-3.3429942034779038E-2</v>
      </c>
    </row>
    <row r="2427" spans="1:8" ht="13.5" x14ac:dyDescent="0.25">
      <c r="A2427" s="1"/>
      <c r="B2427" s="3">
        <v>45838</v>
      </c>
      <c r="C2427" s="4">
        <v>6.55</v>
      </c>
      <c r="D2427" s="4">
        <v>5.9762000000000004</v>
      </c>
      <c r="E2427" s="4">
        <v>6887</v>
      </c>
      <c r="F2427" s="4">
        <v>6.4569999999999999</v>
      </c>
      <c r="G2427" s="4">
        <v>44469.358999999997</v>
      </c>
      <c r="H2427" s="5">
        <f t="shared" si="37"/>
        <v>2.986437815574975E-2</v>
      </c>
    </row>
    <row r="2428" spans="1:8" ht="13.5" x14ac:dyDescent="0.25">
      <c r="A2428" s="1"/>
      <c r="B2428" s="3">
        <v>45839</v>
      </c>
      <c r="C2428" s="4">
        <v>6.55</v>
      </c>
      <c r="D2428" s="4">
        <v>5.9762000000000004</v>
      </c>
      <c r="E2428" s="4">
        <v>63</v>
      </c>
      <c r="F2428" s="4">
        <v>6.569</v>
      </c>
      <c r="G2428" s="4">
        <v>413.84699999999998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6.5</v>
      </c>
      <c r="D2429" s="4">
        <v>5.9306000000000001</v>
      </c>
      <c r="E2429" s="4">
        <v>2947</v>
      </c>
      <c r="F2429" s="4">
        <v>6.4859999999999998</v>
      </c>
      <c r="G2429" s="4">
        <v>19114.241999999998</v>
      </c>
      <c r="H2429" s="5">
        <f t="shared" si="37"/>
        <v>-7.630266724674593E-3</v>
      </c>
    </row>
    <row r="2430" spans="1:8" ht="13.5" x14ac:dyDescent="0.25">
      <c r="A2430" s="1"/>
      <c r="B2430" s="3">
        <v>45841</v>
      </c>
      <c r="C2430" s="4">
        <v>6.5</v>
      </c>
      <c r="D2430" s="4">
        <v>5.9306000000000001</v>
      </c>
      <c r="E2430" s="4">
        <v>567</v>
      </c>
      <c r="F2430" s="4">
        <v>6.5069999999999997</v>
      </c>
      <c r="G2430" s="4">
        <v>3689.4690000000001</v>
      </c>
      <c r="H2430" s="5">
        <f t="shared" si="37"/>
        <v>0</v>
      </c>
    </row>
    <row r="2431" spans="1:8" ht="13.5" x14ac:dyDescent="0.25">
      <c r="A2431" s="1"/>
      <c r="B2431" s="3">
        <v>45842</v>
      </c>
      <c r="C2431" s="4">
        <v>6.49</v>
      </c>
      <c r="D2431" s="4">
        <v>5.9215</v>
      </c>
      <c r="E2431" s="4">
        <v>2759</v>
      </c>
      <c r="F2431" s="4">
        <v>6.4359999999999999</v>
      </c>
      <c r="G2431" s="4">
        <v>17756.923999999999</v>
      </c>
      <c r="H2431" s="5">
        <f t="shared" si="37"/>
        <v>-1.5344147303814298E-3</v>
      </c>
    </row>
    <row r="2432" spans="1:8" ht="13.5" x14ac:dyDescent="0.25">
      <c r="A2432" s="1"/>
      <c r="B2432" s="3">
        <v>45845</v>
      </c>
      <c r="C2432" s="4">
        <v>6.49</v>
      </c>
      <c r="D2432" s="4">
        <v>5.9215</v>
      </c>
      <c r="E2432" s="4">
        <v>1799</v>
      </c>
      <c r="F2432" s="4">
        <v>6.415</v>
      </c>
      <c r="G2432" s="4">
        <v>11540.584999999999</v>
      </c>
      <c r="H2432" s="5">
        <f t="shared" si="37"/>
        <v>0</v>
      </c>
    </row>
    <row r="2433" spans="1:8" ht="13.5" x14ac:dyDescent="0.25">
      <c r="A2433" s="1"/>
      <c r="B2433" s="3">
        <v>45846</v>
      </c>
      <c r="C2433" s="4">
        <v>6.49</v>
      </c>
      <c r="D2433" s="4">
        <v>5.9215</v>
      </c>
      <c r="E2433" s="4">
        <v>1905</v>
      </c>
      <c r="F2433" s="4">
        <v>6.4139999999999997</v>
      </c>
      <c r="G2433" s="4">
        <v>12218.67</v>
      </c>
      <c r="H2433" s="5">
        <f t="shared" si="37"/>
        <v>0</v>
      </c>
    </row>
    <row r="2434" spans="1:8" ht="13.5" x14ac:dyDescent="0.25">
      <c r="A2434" s="1"/>
      <c r="B2434" s="3">
        <v>45847</v>
      </c>
      <c r="C2434" s="4">
        <v>6.47</v>
      </c>
      <c r="D2434" s="4">
        <v>5.9032</v>
      </c>
      <c r="E2434" s="4">
        <v>390</v>
      </c>
      <c r="F2434" s="4">
        <v>6.4429999999999996</v>
      </c>
      <c r="G2434" s="4">
        <v>2512.77</v>
      </c>
      <c r="H2434" s="5">
        <f t="shared" si="37"/>
        <v>-3.0904331672718032E-3</v>
      </c>
    </row>
    <row r="2435" spans="1:8" ht="13.5" x14ac:dyDescent="0.25">
      <c r="A2435" s="1"/>
      <c r="B2435" s="3">
        <v>45848</v>
      </c>
      <c r="C2435" s="4">
        <v>6.5</v>
      </c>
      <c r="D2435" s="4">
        <v>5.9306000000000001</v>
      </c>
      <c r="E2435" s="4">
        <v>14513</v>
      </c>
      <c r="F2435" s="4">
        <v>6.4870000000000001</v>
      </c>
      <c r="G2435" s="4">
        <v>94145.831000000006</v>
      </c>
      <c r="H2435" s="5">
        <f t="shared" si="37"/>
        <v>4.641550345575297E-3</v>
      </c>
    </row>
    <row r="2436" spans="1:8" ht="13.5" x14ac:dyDescent="0.25">
      <c r="A2436" s="1"/>
      <c r="B2436" s="3">
        <v>45849</v>
      </c>
      <c r="C2436" s="4">
        <v>6.5</v>
      </c>
      <c r="D2436" s="4">
        <v>5.9306000000000001</v>
      </c>
      <c r="E2436" s="4">
        <v>3166</v>
      </c>
      <c r="F2436" s="4">
        <v>6.5019999999999998</v>
      </c>
      <c r="G2436" s="4">
        <v>20585.331999999999</v>
      </c>
      <c r="H2436" s="5">
        <f t="shared" si="37"/>
        <v>0</v>
      </c>
    </row>
    <row r="2437" spans="1:8" ht="13.5" x14ac:dyDescent="0.25">
      <c r="A2437" s="1"/>
      <c r="B2437" s="3">
        <v>45852</v>
      </c>
      <c r="C2437" s="4">
        <v>6.5</v>
      </c>
      <c r="D2437" s="4">
        <v>5.9306000000000001</v>
      </c>
      <c r="E2437" s="4">
        <v>3622</v>
      </c>
      <c r="F2437" s="4">
        <v>6.4989999999999997</v>
      </c>
      <c r="G2437" s="4">
        <v>23539.378000000001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6.5</v>
      </c>
      <c r="D2438" s="4">
        <v>5.9306000000000001</v>
      </c>
      <c r="E2438" s="4">
        <v>12507</v>
      </c>
      <c r="F2438" s="4">
        <v>6.4740000000000002</v>
      </c>
      <c r="G2438" s="4">
        <v>80970.317999999999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6.5</v>
      </c>
      <c r="D2439" s="4">
        <v>5.9306000000000001</v>
      </c>
      <c r="E2439" s="4">
        <v>28383</v>
      </c>
      <c r="F2439" s="4">
        <v>6.5</v>
      </c>
      <c r="G2439" s="4">
        <v>184489.5</v>
      </c>
      <c r="H2439" s="5">
        <f t="shared" ref="H2439:H2502" si="38">(D2439-D2438)/D2438</f>
        <v>0</v>
      </c>
    </row>
    <row r="2440" spans="1:8" ht="13.5" x14ac:dyDescent="0.25">
      <c r="A2440" s="1"/>
      <c r="B2440" s="3">
        <v>45855</v>
      </c>
      <c r="C2440" s="4">
        <v>6.71</v>
      </c>
      <c r="D2440" s="4">
        <v>6.1222000000000003</v>
      </c>
      <c r="E2440" s="4">
        <v>18920</v>
      </c>
      <c r="F2440" s="4">
        <v>6.6230000000000002</v>
      </c>
      <c r="G2440" s="4">
        <v>125307.16</v>
      </c>
      <c r="H2440" s="5">
        <f t="shared" si="38"/>
        <v>3.2307017839678986E-2</v>
      </c>
    </row>
    <row r="2441" spans="1:8" ht="13.5" x14ac:dyDescent="0.25">
      <c r="A2441" s="1"/>
      <c r="B2441" s="3">
        <v>45856</v>
      </c>
      <c r="C2441" s="4">
        <v>6.69</v>
      </c>
      <c r="D2441" s="4">
        <v>6.1040000000000001</v>
      </c>
      <c r="E2441" s="4">
        <v>3138</v>
      </c>
      <c r="F2441" s="4">
        <v>6.6319999999999997</v>
      </c>
      <c r="G2441" s="4">
        <v>20811.216</v>
      </c>
      <c r="H2441" s="5">
        <f t="shared" si="38"/>
        <v>-2.9727875600274764E-3</v>
      </c>
    </row>
    <row r="2442" spans="1:8" ht="13.5" x14ac:dyDescent="0.25">
      <c r="A2442" s="1"/>
      <c r="B2442" s="3">
        <v>45859</v>
      </c>
      <c r="C2442" s="4">
        <v>6.69</v>
      </c>
      <c r="D2442" s="4">
        <v>6.1040000000000001</v>
      </c>
      <c r="E2442" s="4">
        <v>8901</v>
      </c>
      <c r="F2442" s="4">
        <v>6.6970000000000001</v>
      </c>
      <c r="G2442" s="4">
        <v>59609.997000000003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6.94</v>
      </c>
      <c r="D2443" s="4">
        <v>6.3320999999999996</v>
      </c>
      <c r="E2443" s="4">
        <v>30197</v>
      </c>
      <c r="F2443" s="4">
        <v>6.8040000000000003</v>
      </c>
      <c r="G2443" s="4">
        <v>205460.38800000001</v>
      </c>
      <c r="H2443" s="5">
        <f t="shared" si="38"/>
        <v>3.7368938401048414E-2</v>
      </c>
    </row>
    <row r="2444" spans="1:8" ht="13.5" x14ac:dyDescent="0.25">
      <c r="A2444" s="1"/>
      <c r="B2444" s="3">
        <v>45861</v>
      </c>
      <c r="C2444" s="4">
        <v>7</v>
      </c>
      <c r="D2444" s="4">
        <v>6.3868</v>
      </c>
      <c r="E2444" s="4">
        <v>36261</v>
      </c>
      <c r="F2444" s="4">
        <v>7.0250000000000004</v>
      </c>
      <c r="G2444" s="4">
        <v>254733.52499999999</v>
      </c>
      <c r="H2444" s="5">
        <f t="shared" si="38"/>
        <v>8.6385243442144658E-3</v>
      </c>
    </row>
    <row r="2445" spans="1:8" ht="13.5" x14ac:dyDescent="0.25">
      <c r="A2445" s="1"/>
      <c r="B2445" s="3">
        <v>45862</v>
      </c>
      <c r="C2445" s="4">
        <v>6.58</v>
      </c>
      <c r="D2445" s="4">
        <v>6.0035999999999996</v>
      </c>
      <c r="E2445" s="4">
        <v>0</v>
      </c>
      <c r="F2445" s="4">
        <v>0</v>
      </c>
      <c r="G2445" s="4">
        <v>0</v>
      </c>
      <c r="H2445" s="5">
        <f t="shared" si="38"/>
        <v>-5.9998747416546691E-2</v>
      </c>
    </row>
    <row r="2446" spans="1:8" ht="13.5" x14ac:dyDescent="0.25">
      <c r="A2446" s="1"/>
      <c r="B2446" s="3">
        <v>45866</v>
      </c>
      <c r="C2446" s="4">
        <v>6.19</v>
      </c>
      <c r="D2446" s="4">
        <v>5.6478000000000002</v>
      </c>
      <c r="E2446" s="4">
        <v>0</v>
      </c>
      <c r="F2446" s="4">
        <v>0</v>
      </c>
      <c r="G2446" s="4">
        <v>0</v>
      </c>
      <c r="H2446" s="5">
        <f t="shared" si="38"/>
        <v>-5.9264441335198793E-2</v>
      </c>
    </row>
    <row r="2447" spans="1:8" ht="13.5" x14ac:dyDescent="0.25">
      <c r="A2447" s="1"/>
      <c r="B2447" s="3">
        <v>45867</v>
      </c>
      <c r="C2447" s="4">
        <v>6</v>
      </c>
      <c r="D2447" s="4">
        <v>5.4744000000000002</v>
      </c>
      <c r="E2447" s="4">
        <v>57276</v>
      </c>
      <c r="F2447" s="4">
        <v>5.9939999999999998</v>
      </c>
      <c r="G2447" s="4">
        <v>343312.34399999998</v>
      </c>
      <c r="H2447" s="5">
        <f t="shared" si="38"/>
        <v>-3.0702220333581217E-2</v>
      </c>
    </row>
    <row r="2448" spans="1:8" ht="13.5" x14ac:dyDescent="0.25">
      <c r="A2448" s="1"/>
      <c r="B2448" s="3">
        <v>45868</v>
      </c>
      <c r="C2448" s="4">
        <v>6.06</v>
      </c>
      <c r="D2448" s="4">
        <v>5.5290999999999997</v>
      </c>
      <c r="E2448" s="4">
        <v>49658</v>
      </c>
      <c r="F2448" s="4">
        <v>6.0140000000000002</v>
      </c>
      <c r="G2448" s="4">
        <v>298643.212</v>
      </c>
      <c r="H2448" s="5">
        <f t="shared" si="38"/>
        <v>9.9919625895074395E-3</v>
      </c>
    </row>
    <row r="2449" spans="1:8" ht="13.5" x14ac:dyDescent="0.25">
      <c r="A2449" s="1"/>
      <c r="B2449" s="3">
        <v>45869</v>
      </c>
      <c r="C2449" s="4">
        <v>6.11</v>
      </c>
      <c r="D2449" s="4">
        <v>5.5747999999999998</v>
      </c>
      <c r="E2449" s="4">
        <v>10717</v>
      </c>
      <c r="F2449" s="4">
        <v>6.0679999999999996</v>
      </c>
      <c r="G2449" s="4">
        <v>65030.756000000001</v>
      </c>
      <c r="H2449" s="5">
        <f t="shared" si="38"/>
        <v>8.2653596426181617E-3</v>
      </c>
    </row>
    <row r="2450" spans="1:8" ht="13.5" x14ac:dyDescent="0.25">
      <c r="A2450" s="1"/>
      <c r="B2450" s="3">
        <v>45870</v>
      </c>
      <c r="C2450" s="4">
        <v>6.28</v>
      </c>
      <c r="D2450" s="4">
        <v>5.7298999999999998</v>
      </c>
      <c r="E2450" s="4">
        <v>18158</v>
      </c>
      <c r="F2450" s="4">
        <v>6.0439999999999996</v>
      </c>
      <c r="G2450" s="4">
        <v>109746.952</v>
      </c>
      <c r="H2450" s="5">
        <f t="shared" si="38"/>
        <v>2.7821625887924233E-2</v>
      </c>
    </row>
    <row r="2451" spans="1:8" ht="13.5" x14ac:dyDescent="0.25">
      <c r="A2451" s="1"/>
      <c r="B2451" s="3">
        <v>45873</v>
      </c>
      <c r="C2451" s="4">
        <v>6.25</v>
      </c>
      <c r="D2451" s="4">
        <v>5.7024999999999997</v>
      </c>
      <c r="E2451" s="4">
        <v>1429</v>
      </c>
      <c r="F2451" s="4">
        <v>6.1520000000000001</v>
      </c>
      <c r="G2451" s="4">
        <v>8791.2080000000005</v>
      </c>
      <c r="H2451" s="5">
        <f t="shared" si="38"/>
        <v>-4.7819333670744849E-3</v>
      </c>
    </row>
    <row r="2452" spans="1:8" ht="13.5" x14ac:dyDescent="0.25">
      <c r="A2452" s="1"/>
      <c r="B2452" s="3">
        <v>45874</v>
      </c>
      <c r="C2452" s="4">
        <v>6.22</v>
      </c>
      <c r="D2452" s="4">
        <v>5.6750999999999996</v>
      </c>
      <c r="E2452" s="4">
        <v>3840</v>
      </c>
      <c r="F2452" s="4">
        <v>6.1609999999999996</v>
      </c>
      <c r="G2452" s="4">
        <v>23658.240000000002</v>
      </c>
      <c r="H2452" s="5">
        <f t="shared" si="38"/>
        <v>-4.8049101271372364E-3</v>
      </c>
    </row>
    <row r="2453" spans="1:8" ht="13.5" x14ac:dyDescent="0.25">
      <c r="A2453" s="1"/>
      <c r="B2453" s="3">
        <v>45875</v>
      </c>
      <c r="C2453" s="4">
        <v>6.22</v>
      </c>
      <c r="D2453" s="4">
        <v>5.6750999999999996</v>
      </c>
      <c r="E2453" s="4">
        <v>791</v>
      </c>
      <c r="F2453" s="4">
        <v>6.1580000000000004</v>
      </c>
      <c r="G2453" s="4">
        <v>4870.9780000000001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6.24</v>
      </c>
      <c r="D2454" s="4">
        <v>5.6933999999999996</v>
      </c>
      <c r="E2454" s="4">
        <v>2092</v>
      </c>
      <c r="F2454" s="4">
        <v>6.2430000000000003</v>
      </c>
      <c r="G2454" s="4">
        <v>13060.356</v>
      </c>
      <c r="H2454" s="5">
        <f t="shared" si="38"/>
        <v>3.2246127821536157E-3</v>
      </c>
    </row>
    <row r="2455" spans="1:8" ht="13.5" x14ac:dyDescent="0.25">
      <c r="A2455" s="1"/>
      <c r="B2455" s="3">
        <v>45877</v>
      </c>
      <c r="C2455" s="4">
        <v>6.17</v>
      </c>
      <c r="D2455" s="4">
        <v>5.6295000000000002</v>
      </c>
      <c r="E2455" s="4">
        <v>4799</v>
      </c>
      <c r="F2455" s="4">
        <v>6.1310000000000002</v>
      </c>
      <c r="G2455" s="4">
        <v>29422.669000000002</v>
      </c>
      <c r="H2455" s="5">
        <f t="shared" si="38"/>
        <v>-1.1223521972810518E-2</v>
      </c>
    </row>
    <row r="2456" spans="1:8" ht="13.5" x14ac:dyDescent="0.25">
      <c r="A2456" s="1"/>
      <c r="B2456" s="3">
        <v>45880</v>
      </c>
      <c r="C2456" s="4">
        <v>5.8</v>
      </c>
      <c r="D2456" s="4">
        <v>5.2919</v>
      </c>
      <c r="E2456" s="4">
        <v>32361</v>
      </c>
      <c r="F2456" s="4">
        <v>5.9409999999999998</v>
      </c>
      <c r="G2456" s="4">
        <v>192256.701</v>
      </c>
      <c r="H2456" s="5">
        <f t="shared" si="38"/>
        <v>-5.9969801936228813E-2</v>
      </c>
    </row>
    <row r="2457" spans="1:8" ht="13.5" x14ac:dyDescent="0.25">
      <c r="A2457" s="1"/>
      <c r="B2457" s="3">
        <v>45881</v>
      </c>
      <c r="C2457" s="4">
        <v>5.8</v>
      </c>
      <c r="D2457" s="4">
        <v>5.2919</v>
      </c>
      <c r="E2457" s="4">
        <v>8882</v>
      </c>
      <c r="F2457" s="4">
        <v>5.7949999999999999</v>
      </c>
      <c r="G2457" s="4">
        <v>51471.19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5.7</v>
      </c>
      <c r="D2458" s="4">
        <v>5.2007000000000003</v>
      </c>
      <c r="E2458" s="4">
        <v>38526</v>
      </c>
      <c r="F2458" s="4">
        <v>5.702</v>
      </c>
      <c r="G2458" s="4">
        <v>219675.25200000001</v>
      </c>
      <c r="H2458" s="5">
        <f t="shared" si="38"/>
        <v>-1.7233885749919638E-2</v>
      </c>
    </row>
    <row r="2459" spans="1:8" ht="13.5" x14ac:dyDescent="0.25">
      <c r="A2459" s="1"/>
      <c r="B2459" s="3">
        <v>45884</v>
      </c>
      <c r="C2459" s="4">
        <v>5.7</v>
      </c>
      <c r="D2459" s="4">
        <v>5.2007000000000003</v>
      </c>
      <c r="E2459" s="4">
        <v>3633</v>
      </c>
      <c r="F2459" s="4">
        <v>5.7489999999999997</v>
      </c>
      <c r="G2459" s="4">
        <v>20886.116999999998</v>
      </c>
      <c r="H2459" s="5">
        <f t="shared" si="38"/>
        <v>0</v>
      </c>
    </row>
    <row r="2460" spans="1:8" ht="13.5" x14ac:dyDescent="0.25">
      <c r="A2460" s="1"/>
      <c r="B2460" s="3">
        <v>45887</v>
      </c>
      <c r="C2460" s="4">
        <v>5.84</v>
      </c>
      <c r="D2460" s="4">
        <v>5.3284000000000002</v>
      </c>
      <c r="E2460" s="4">
        <v>2376</v>
      </c>
      <c r="F2460" s="4">
        <v>5.7619999999999996</v>
      </c>
      <c r="G2460" s="4">
        <v>13690.512000000001</v>
      </c>
      <c r="H2460" s="5">
        <f t="shared" si="38"/>
        <v>2.4554386909454481E-2</v>
      </c>
    </row>
    <row r="2461" spans="1:8" ht="13.5" x14ac:dyDescent="0.25">
      <c r="A2461" s="1"/>
      <c r="B2461" s="3">
        <v>45888</v>
      </c>
      <c r="C2461" s="4">
        <v>5.85</v>
      </c>
      <c r="D2461" s="4">
        <v>5.3375000000000004</v>
      </c>
      <c r="E2461" s="4">
        <v>1622</v>
      </c>
      <c r="F2461" s="4">
        <v>5.819</v>
      </c>
      <c r="G2461" s="4">
        <v>9438.4179999999997</v>
      </c>
      <c r="H2461" s="5">
        <f t="shared" si="38"/>
        <v>1.7078297425118436E-3</v>
      </c>
    </row>
    <row r="2462" spans="1:8" ht="13.5" x14ac:dyDescent="0.25">
      <c r="A2462" s="1"/>
      <c r="B2462" s="3">
        <v>45889</v>
      </c>
      <c r="C2462" s="4">
        <v>5.75</v>
      </c>
      <c r="D2462" s="4">
        <v>5.2462999999999997</v>
      </c>
      <c r="E2462" s="4">
        <v>9745</v>
      </c>
      <c r="F2462" s="4">
        <v>5.7290000000000001</v>
      </c>
      <c r="G2462" s="4">
        <v>55829.105000000003</v>
      </c>
      <c r="H2462" s="5">
        <f t="shared" si="38"/>
        <v>-1.7086651053864282E-2</v>
      </c>
    </row>
    <row r="2463" spans="1:8" ht="13.5" x14ac:dyDescent="0.25">
      <c r="A2463" s="1"/>
      <c r="B2463" s="3">
        <v>45890</v>
      </c>
      <c r="C2463" s="4">
        <v>5.84</v>
      </c>
      <c r="D2463" s="4">
        <v>5.3284000000000002</v>
      </c>
      <c r="E2463" s="4">
        <v>2362</v>
      </c>
      <c r="F2463" s="4">
        <v>5.7869999999999999</v>
      </c>
      <c r="G2463" s="4">
        <v>13668.894</v>
      </c>
      <c r="H2463" s="5">
        <f t="shared" si="38"/>
        <v>1.5649124144635363E-2</v>
      </c>
    </row>
    <row r="2464" spans="1:8" ht="13.5" x14ac:dyDescent="0.25">
      <c r="A2464" s="1"/>
      <c r="B2464" s="3">
        <v>45891</v>
      </c>
      <c r="C2464" s="4">
        <v>5.8</v>
      </c>
      <c r="D2464" s="4">
        <v>5.2919</v>
      </c>
      <c r="E2464" s="4">
        <v>9899</v>
      </c>
      <c r="F2464" s="4">
        <v>5.8250000000000002</v>
      </c>
      <c r="G2464" s="4">
        <v>57661.675000000003</v>
      </c>
      <c r="H2464" s="5">
        <f t="shared" si="38"/>
        <v>-6.8500863298551528E-3</v>
      </c>
    </row>
    <row r="2465" spans="1:8" ht="13.5" x14ac:dyDescent="0.25">
      <c r="A2465" s="1"/>
      <c r="B2465" s="3">
        <v>45894</v>
      </c>
      <c r="C2465" s="4">
        <v>5.87</v>
      </c>
      <c r="D2465" s="4">
        <v>5.3558000000000003</v>
      </c>
      <c r="E2465" s="4">
        <v>3098</v>
      </c>
      <c r="F2465" s="4">
        <v>5.8330000000000002</v>
      </c>
      <c r="G2465" s="4">
        <v>18070.633999999998</v>
      </c>
      <c r="H2465" s="5">
        <f t="shared" si="38"/>
        <v>1.2075058107674046E-2</v>
      </c>
    </row>
    <row r="2466" spans="1:8" ht="13.5" x14ac:dyDescent="0.25">
      <c r="A2466" s="1"/>
      <c r="B2466" s="3">
        <v>45895</v>
      </c>
      <c r="C2466" s="4">
        <v>5.99</v>
      </c>
      <c r="D2466" s="4">
        <v>5.4653</v>
      </c>
      <c r="E2466" s="4">
        <v>2132</v>
      </c>
      <c r="F2466" s="4">
        <v>5.915</v>
      </c>
      <c r="G2466" s="4">
        <v>12610.78</v>
      </c>
      <c r="H2466" s="5">
        <f t="shared" si="38"/>
        <v>2.0445124911311046E-2</v>
      </c>
    </row>
    <row r="2467" spans="1:8" ht="13.5" x14ac:dyDescent="0.25">
      <c r="A2467" s="1"/>
      <c r="B2467" s="3">
        <v>45896</v>
      </c>
      <c r="C2467" s="4">
        <v>6</v>
      </c>
      <c r="D2467" s="4">
        <v>5.4744000000000002</v>
      </c>
      <c r="E2467" s="4">
        <v>12261</v>
      </c>
      <c r="F2467" s="4">
        <v>5.9909999999999997</v>
      </c>
      <c r="G2467" s="4">
        <v>73455.650999999998</v>
      </c>
      <c r="H2467" s="5">
        <f t="shared" si="38"/>
        <v>1.6650504089437191E-3</v>
      </c>
    </row>
    <row r="2468" spans="1:8" ht="13.5" x14ac:dyDescent="0.25">
      <c r="A2468" s="1"/>
      <c r="B2468" s="3">
        <v>45897</v>
      </c>
      <c r="C2468" s="4">
        <v>6.1</v>
      </c>
      <c r="D2468" s="4">
        <v>5.5655999999999999</v>
      </c>
      <c r="E2468" s="4">
        <v>2901</v>
      </c>
      <c r="F2468" s="4">
        <v>6.0039999999999996</v>
      </c>
      <c r="G2468" s="4">
        <v>17417.603999999999</v>
      </c>
      <c r="H2468" s="5">
        <f t="shared" si="38"/>
        <v>1.6659359929855275E-2</v>
      </c>
    </row>
    <row r="2469" spans="1:8" ht="13.5" x14ac:dyDescent="0.25">
      <c r="A2469" s="1"/>
      <c r="B2469" s="3">
        <v>45898</v>
      </c>
      <c r="C2469" s="4">
        <v>6.25</v>
      </c>
      <c r="D2469" s="4">
        <v>5.7024999999999997</v>
      </c>
      <c r="E2469" s="4">
        <v>3348</v>
      </c>
      <c r="F2469" s="4">
        <v>6.2190000000000003</v>
      </c>
      <c r="G2469" s="4">
        <v>20821.212</v>
      </c>
      <c r="H2469" s="5">
        <f t="shared" si="38"/>
        <v>2.4597527669972655E-2</v>
      </c>
    </row>
    <row r="2470" spans="1:8" ht="13.5" x14ac:dyDescent="0.25">
      <c r="A2470" s="1"/>
      <c r="B2470" s="3">
        <v>45901</v>
      </c>
      <c r="C2470" s="4">
        <v>6.15</v>
      </c>
      <c r="D2470" s="4">
        <v>5.6113</v>
      </c>
      <c r="E2470" s="4">
        <v>5760</v>
      </c>
      <c r="F2470" s="4">
        <v>6.18</v>
      </c>
      <c r="G2470" s="4">
        <v>35596.800000000003</v>
      </c>
      <c r="H2470" s="5">
        <f t="shared" si="38"/>
        <v>-1.5992985532661066E-2</v>
      </c>
    </row>
    <row r="2471" spans="1:8" ht="13.5" x14ac:dyDescent="0.25">
      <c r="A2471" s="1"/>
      <c r="B2471" s="3">
        <v>45902</v>
      </c>
      <c r="C2471" s="4">
        <v>6.11</v>
      </c>
      <c r="D2471" s="4">
        <v>5.5747999999999998</v>
      </c>
      <c r="E2471" s="4">
        <v>7877</v>
      </c>
      <c r="F2471" s="4">
        <v>6.0990000000000002</v>
      </c>
      <c r="G2471" s="4">
        <v>48041.822999999997</v>
      </c>
      <c r="H2471" s="5">
        <f t="shared" si="38"/>
        <v>-6.5047315238893301E-3</v>
      </c>
    </row>
    <row r="2472" spans="1:8" ht="13.5" x14ac:dyDescent="0.25">
      <c r="A2472" s="1"/>
      <c r="B2472" s="3">
        <v>45903</v>
      </c>
      <c r="C2472" s="4">
        <v>5.9</v>
      </c>
      <c r="D2472" s="4">
        <v>5.3832000000000004</v>
      </c>
      <c r="E2472" s="4">
        <v>10989</v>
      </c>
      <c r="F2472" s="4">
        <v>5.8789999999999996</v>
      </c>
      <c r="G2472" s="4">
        <v>64604.330999999998</v>
      </c>
      <c r="H2472" s="5">
        <f t="shared" si="38"/>
        <v>-3.43689459711558E-2</v>
      </c>
    </row>
    <row r="2473" spans="1:8" ht="13.5" x14ac:dyDescent="0.25">
      <c r="A2473" s="1"/>
      <c r="B2473" s="3">
        <v>45905</v>
      </c>
      <c r="C2473" s="4">
        <v>5.9</v>
      </c>
      <c r="D2473" s="4">
        <v>5.3832000000000004</v>
      </c>
      <c r="E2473" s="4">
        <v>4524</v>
      </c>
      <c r="F2473" s="4">
        <v>5.851</v>
      </c>
      <c r="G2473" s="4">
        <v>26469.923999999999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5.95</v>
      </c>
      <c r="D2474" s="4">
        <v>5.4287999999999998</v>
      </c>
      <c r="E2474" s="4">
        <v>7778</v>
      </c>
      <c r="F2474" s="4">
        <v>5.8040000000000003</v>
      </c>
      <c r="G2474" s="4">
        <v>45143.512000000002</v>
      </c>
      <c r="H2474" s="5">
        <f t="shared" si="38"/>
        <v>8.4707980383413976E-3</v>
      </c>
    </row>
    <row r="2475" spans="1:8" ht="13.5" x14ac:dyDescent="0.25">
      <c r="A2475" s="1"/>
      <c r="B2475" s="3">
        <v>45909</v>
      </c>
      <c r="C2475" s="4">
        <v>5.89</v>
      </c>
      <c r="D2475" s="4">
        <v>5.3739999999999997</v>
      </c>
      <c r="E2475" s="4">
        <v>577</v>
      </c>
      <c r="F2475" s="4">
        <v>5.8360000000000003</v>
      </c>
      <c r="G2475" s="4">
        <v>3367.3719999999998</v>
      </c>
      <c r="H2475" s="5">
        <f t="shared" si="38"/>
        <v>-1.0094311818449784E-2</v>
      </c>
    </row>
    <row r="2476" spans="1:8" ht="13.5" x14ac:dyDescent="0.25">
      <c r="A2476" s="1"/>
      <c r="B2476" s="3">
        <v>45910</v>
      </c>
      <c r="C2476" s="4">
        <v>5.81</v>
      </c>
      <c r="D2476" s="4">
        <v>5.3010000000000002</v>
      </c>
      <c r="E2476" s="4">
        <v>10459</v>
      </c>
      <c r="F2476" s="4">
        <v>5.8259999999999996</v>
      </c>
      <c r="G2476" s="4">
        <v>60934.133999999998</v>
      </c>
      <c r="H2476" s="5">
        <f t="shared" si="38"/>
        <v>-1.3583922590249257E-2</v>
      </c>
    </row>
    <row r="2477" spans="1:8" ht="13.5" x14ac:dyDescent="0.25">
      <c r="A2477" s="1"/>
      <c r="B2477" s="3">
        <v>45911</v>
      </c>
      <c r="C2477" s="4">
        <v>5.71</v>
      </c>
      <c r="D2477" s="4">
        <v>5.2098000000000004</v>
      </c>
      <c r="E2477" s="4">
        <v>7476</v>
      </c>
      <c r="F2477" s="4">
        <v>5.73</v>
      </c>
      <c r="G2477" s="4">
        <v>42837.48</v>
      </c>
      <c r="H2477" s="5">
        <f t="shared" si="38"/>
        <v>-1.7204301075268765E-2</v>
      </c>
    </row>
    <row r="2478" spans="1:8" ht="13.5" x14ac:dyDescent="0.25">
      <c r="A2478" s="1"/>
      <c r="B2478" s="3">
        <v>45912</v>
      </c>
      <c r="C2478" s="4">
        <v>5.7</v>
      </c>
      <c r="D2478" s="4">
        <v>5.2007000000000003</v>
      </c>
      <c r="E2478" s="4">
        <v>27339</v>
      </c>
      <c r="F2478" s="4">
        <v>5.6840000000000002</v>
      </c>
      <c r="G2478" s="4">
        <v>155394.87599999999</v>
      </c>
      <c r="H2478" s="5">
        <f t="shared" si="38"/>
        <v>-1.7467081269914597E-3</v>
      </c>
    </row>
    <row r="2479" spans="1:8" ht="13.5" x14ac:dyDescent="0.25">
      <c r="A2479" s="1"/>
      <c r="B2479" s="3">
        <v>45915</v>
      </c>
      <c r="C2479" s="4">
        <v>5.32</v>
      </c>
      <c r="D2479" s="4">
        <v>5.32</v>
      </c>
      <c r="E2479" s="4">
        <v>11234</v>
      </c>
      <c r="F2479" s="4">
        <v>5.35</v>
      </c>
      <c r="G2479" s="4">
        <v>60101.9</v>
      </c>
      <c r="H2479" s="5">
        <f t="shared" si="38"/>
        <v>2.2939219720422243E-2</v>
      </c>
    </row>
    <row r="2480" spans="1:8" ht="13.5" x14ac:dyDescent="0.25">
      <c r="A2480" s="1"/>
      <c r="B2480" s="3">
        <v>45916</v>
      </c>
      <c r="C2480" s="4">
        <v>5.42</v>
      </c>
      <c r="D2480" s="4">
        <v>5.42</v>
      </c>
      <c r="E2480" s="4">
        <v>10384</v>
      </c>
      <c r="F2480" s="4">
        <v>5.3810000000000002</v>
      </c>
      <c r="G2480" s="4">
        <v>55876.303999999996</v>
      </c>
      <c r="H2480" s="5">
        <f t="shared" si="38"/>
        <v>1.8796992481202941E-2</v>
      </c>
    </row>
    <row r="2481" spans="1:8" ht="13.5" x14ac:dyDescent="0.25">
      <c r="A2481" s="1"/>
      <c r="B2481" s="3">
        <v>45917</v>
      </c>
      <c r="C2481" s="4">
        <v>5.24</v>
      </c>
      <c r="D2481" s="4">
        <v>5.24</v>
      </c>
      <c r="E2481" s="4">
        <v>14634</v>
      </c>
      <c r="F2481" s="4">
        <v>5.2779999999999996</v>
      </c>
      <c r="G2481" s="4">
        <v>77238.251999999993</v>
      </c>
      <c r="H2481" s="5">
        <f t="shared" si="38"/>
        <v>-3.3210332103320979E-2</v>
      </c>
    </row>
    <row r="2482" spans="1:8" ht="13.5" x14ac:dyDescent="0.25">
      <c r="A2482" s="1"/>
      <c r="B2482" s="3">
        <v>45918</v>
      </c>
      <c r="C2482" s="4">
        <v>5.24</v>
      </c>
      <c r="D2482" s="4">
        <v>5.24</v>
      </c>
      <c r="E2482" s="4">
        <v>13466</v>
      </c>
      <c r="F2482" s="4">
        <v>5.077</v>
      </c>
      <c r="G2482" s="4">
        <v>68366.881999999998</v>
      </c>
      <c r="H2482" s="5">
        <f t="shared" si="38"/>
        <v>0</v>
      </c>
    </row>
    <row r="2483" spans="1:8" ht="13.5" x14ac:dyDescent="0.25">
      <c r="A2483" s="1"/>
      <c r="B2483" s="3">
        <v>45919</v>
      </c>
      <c r="C2483" s="4">
        <v>5.24</v>
      </c>
      <c r="D2483" s="4">
        <v>5.24</v>
      </c>
      <c r="E2483" s="4">
        <v>8258</v>
      </c>
      <c r="F2483" s="4">
        <v>5.2160000000000002</v>
      </c>
      <c r="G2483" s="4">
        <v>43073.728000000003</v>
      </c>
      <c r="H2483" s="5">
        <f t="shared" si="38"/>
        <v>0</v>
      </c>
    </row>
    <row r="2484" spans="1:8" ht="13.5" x14ac:dyDescent="0.25">
      <c r="A2484" s="1"/>
      <c r="B2484" s="3">
        <v>45922</v>
      </c>
      <c r="C2484" s="4">
        <v>5.08</v>
      </c>
      <c r="D2484" s="4">
        <v>5.08</v>
      </c>
      <c r="E2484" s="4">
        <v>6917</v>
      </c>
      <c r="F2484" s="4">
        <v>5.1589999999999998</v>
      </c>
      <c r="G2484" s="4">
        <v>35684.803</v>
      </c>
      <c r="H2484" s="5">
        <f t="shared" si="38"/>
        <v>-3.0534351145038195E-2</v>
      </c>
    </row>
    <row r="2485" spans="1:8" ht="13.5" x14ac:dyDescent="0.25">
      <c r="A2485" s="1"/>
      <c r="B2485" s="3">
        <v>45923</v>
      </c>
      <c r="C2485" s="4">
        <v>4.96</v>
      </c>
      <c r="D2485" s="4">
        <v>4.96</v>
      </c>
      <c r="E2485" s="4">
        <v>12913</v>
      </c>
      <c r="F2485" s="4">
        <v>4.9660000000000002</v>
      </c>
      <c r="G2485" s="4">
        <v>64125.957999999999</v>
      </c>
      <c r="H2485" s="5">
        <f t="shared" si="38"/>
        <v>-2.3622047244094509E-2</v>
      </c>
    </row>
    <row r="2486" spans="1:8" ht="13.5" x14ac:dyDescent="0.25">
      <c r="A2486" s="1"/>
      <c r="B2486" s="3">
        <v>45924</v>
      </c>
      <c r="C2486" s="4">
        <v>4.99</v>
      </c>
      <c r="D2486" s="4">
        <v>4.99</v>
      </c>
      <c r="E2486" s="4">
        <v>14880</v>
      </c>
      <c r="F2486" s="4">
        <v>4.8979999999999997</v>
      </c>
      <c r="G2486" s="4">
        <v>72882.240000000005</v>
      </c>
      <c r="H2486" s="5">
        <f t="shared" si="38"/>
        <v>6.0483870967742437E-3</v>
      </c>
    </row>
    <row r="2487" spans="1:8" ht="13.5" x14ac:dyDescent="0.25">
      <c r="A2487" s="1"/>
      <c r="B2487" s="3">
        <v>45925</v>
      </c>
      <c r="C2487" s="4">
        <v>5.15</v>
      </c>
      <c r="D2487" s="4">
        <v>5.15</v>
      </c>
      <c r="E2487" s="4">
        <v>3310</v>
      </c>
      <c r="F2487" s="4">
        <v>4.9989999999999997</v>
      </c>
      <c r="G2487" s="4">
        <v>16546.689999999999</v>
      </c>
      <c r="H2487" s="5">
        <f t="shared" si="38"/>
        <v>3.2064128256513051E-2</v>
      </c>
    </row>
    <row r="2488" spans="1:8" ht="13.5" x14ac:dyDescent="0.25">
      <c r="A2488" s="1"/>
      <c r="B2488" s="3">
        <v>45926</v>
      </c>
      <c r="C2488" s="4">
        <v>5.15</v>
      </c>
      <c r="D2488" s="4">
        <v>5.15</v>
      </c>
      <c r="E2488" s="4">
        <v>2644</v>
      </c>
      <c r="F2488" s="4">
        <v>5.0389999999999997</v>
      </c>
      <c r="G2488" s="4">
        <v>13323.116</v>
      </c>
      <c r="H2488" s="5">
        <f t="shared" si="38"/>
        <v>0</v>
      </c>
    </row>
    <row r="2489" spans="1:8" ht="13.5" x14ac:dyDescent="0.25">
      <c r="A2489" s="1"/>
      <c r="B2489" s="3">
        <v>45929</v>
      </c>
      <c r="C2489" s="4">
        <v>5.0599999999999996</v>
      </c>
      <c r="D2489" s="4">
        <v>5.0599999999999996</v>
      </c>
      <c r="E2489" s="4">
        <v>1181</v>
      </c>
      <c r="F2489" s="4">
        <v>5.0110000000000001</v>
      </c>
      <c r="G2489" s="4">
        <v>5917.991</v>
      </c>
      <c r="H2489" s="5">
        <f t="shared" si="38"/>
        <v>-1.7475728155339949E-2</v>
      </c>
    </row>
    <row r="2490" spans="1:8" ht="13.5" x14ac:dyDescent="0.25">
      <c r="A2490" s="1"/>
      <c r="B2490" s="3">
        <v>45930</v>
      </c>
      <c r="C2490" s="4">
        <v>4.99</v>
      </c>
      <c r="D2490" s="4">
        <v>4.99</v>
      </c>
      <c r="E2490" s="4">
        <v>4057</v>
      </c>
      <c r="F2490" s="4">
        <v>5.01</v>
      </c>
      <c r="G2490" s="4">
        <v>20325.57</v>
      </c>
      <c r="H2490" s="5">
        <f t="shared" si="38"/>
        <v>-1.3833992094861542E-2</v>
      </c>
    </row>
    <row r="2491" spans="1:8" ht="13.5" x14ac:dyDescent="0.25">
      <c r="A2491" s="1"/>
      <c r="B2491" s="3">
        <v>45931</v>
      </c>
      <c r="C2491" s="4">
        <v>5.0999999999999996</v>
      </c>
      <c r="D2491" s="4">
        <v>5.0999999999999996</v>
      </c>
      <c r="E2491" s="4">
        <v>247</v>
      </c>
      <c r="F2491" s="4">
        <v>5.0170000000000003</v>
      </c>
      <c r="G2491" s="4">
        <v>1239.1990000000001</v>
      </c>
      <c r="H2491" s="5">
        <f t="shared" si="38"/>
        <v>2.2044088176352592E-2</v>
      </c>
    </row>
    <row r="2492" spans="1:8" ht="13.5" x14ac:dyDescent="0.25">
      <c r="A2492" s="1"/>
      <c r="B2492" s="3">
        <v>45932</v>
      </c>
      <c r="C2492" s="4">
        <v>4.9800000000000004</v>
      </c>
      <c r="D2492" s="4">
        <v>4.9800000000000004</v>
      </c>
      <c r="E2492" s="4">
        <v>856</v>
      </c>
      <c r="F2492" s="4">
        <v>4.9960000000000004</v>
      </c>
      <c r="G2492" s="4">
        <v>4276.576</v>
      </c>
      <c r="H2492" s="5">
        <f t="shared" si="38"/>
        <v>-2.3529411764705729E-2</v>
      </c>
    </row>
    <row r="2493" spans="1:8" ht="13.5" x14ac:dyDescent="0.25">
      <c r="A2493" s="1"/>
      <c r="B2493" s="3">
        <v>45933</v>
      </c>
      <c r="C2493" s="4">
        <v>4.91</v>
      </c>
      <c r="D2493" s="4">
        <v>4.91</v>
      </c>
      <c r="E2493" s="4">
        <v>1857</v>
      </c>
      <c r="F2493" s="4">
        <v>4.9539999999999997</v>
      </c>
      <c r="G2493" s="4">
        <v>9199.5779999999995</v>
      </c>
      <c r="H2493" s="5">
        <f t="shared" si="38"/>
        <v>-1.4056224899598449E-2</v>
      </c>
    </row>
    <row r="2494" spans="1:8" ht="13.5" x14ac:dyDescent="0.25">
      <c r="A2494" s="1"/>
      <c r="B2494" s="3">
        <v>45936</v>
      </c>
      <c r="C2494" s="4">
        <v>5.05</v>
      </c>
      <c r="D2494" s="4">
        <v>5.05</v>
      </c>
      <c r="E2494" s="4">
        <v>1180</v>
      </c>
      <c r="F2494" s="4">
        <v>4.9260000000000002</v>
      </c>
      <c r="G2494" s="4">
        <v>5812.68</v>
      </c>
      <c r="H2494" s="5">
        <f t="shared" si="38"/>
        <v>2.8513238289205638E-2</v>
      </c>
    </row>
    <row r="2495" spans="1:8" ht="13.5" x14ac:dyDescent="0.25">
      <c r="A2495" s="1"/>
      <c r="B2495" s="3">
        <v>45937</v>
      </c>
      <c r="C2495" s="4">
        <v>5.07</v>
      </c>
      <c r="D2495" s="4">
        <v>5.07</v>
      </c>
      <c r="E2495" s="4">
        <v>561</v>
      </c>
      <c r="F2495" s="4">
        <v>5.0789999999999997</v>
      </c>
      <c r="G2495" s="4">
        <v>2849.319</v>
      </c>
      <c r="H2495" s="5">
        <f t="shared" si="38"/>
        <v>3.9603960396040524E-3</v>
      </c>
    </row>
    <row r="2496" spans="1:8" ht="13.5" x14ac:dyDescent="0.25">
      <c r="A2496" s="1"/>
      <c r="B2496" s="3">
        <v>45938</v>
      </c>
      <c r="C2496" s="4">
        <v>5.0599999999999996</v>
      </c>
      <c r="D2496" s="4">
        <v>5.0599999999999996</v>
      </c>
      <c r="E2496" s="4">
        <v>86</v>
      </c>
      <c r="F2496" s="4">
        <v>5.0599999999999996</v>
      </c>
      <c r="G2496" s="4">
        <v>435.16</v>
      </c>
      <c r="H2496" s="5">
        <f t="shared" si="38"/>
        <v>-1.9723865877713364E-3</v>
      </c>
    </row>
    <row r="2497" spans="1:11" ht="13.5" x14ac:dyDescent="0.25">
      <c r="A2497" s="1"/>
      <c r="B2497" s="3">
        <v>45939</v>
      </c>
      <c r="C2497" s="4">
        <v>4.96</v>
      </c>
      <c r="D2497" s="4">
        <v>4.96</v>
      </c>
      <c r="E2497" s="4">
        <v>1415</v>
      </c>
      <c r="F2497" s="4">
        <v>4.9169999999999998</v>
      </c>
      <c r="G2497" s="4">
        <v>6957.5550000000003</v>
      </c>
      <c r="H2497" s="5">
        <f t="shared" si="38"/>
        <v>-1.9762845849802303E-2</v>
      </c>
    </row>
    <row r="2498" spans="1:11" ht="13.5" x14ac:dyDescent="0.25">
      <c r="A2498" s="1"/>
      <c r="B2498" s="3">
        <v>45940</v>
      </c>
      <c r="C2498" s="4">
        <v>4.96</v>
      </c>
      <c r="D2498" s="4">
        <v>4.96</v>
      </c>
      <c r="E2498" s="4">
        <v>100</v>
      </c>
      <c r="F2498" s="4">
        <v>4.96</v>
      </c>
      <c r="G2498" s="4">
        <v>496</v>
      </c>
      <c r="H2498" s="5">
        <f t="shared" si="38"/>
        <v>0</v>
      </c>
    </row>
    <row r="2499" spans="1:11" ht="13.5" x14ac:dyDescent="0.25">
      <c r="A2499" s="1"/>
      <c r="B2499" s="3">
        <v>45943</v>
      </c>
      <c r="C2499" s="4">
        <v>4.9000000000000004</v>
      </c>
      <c r="D2499" s="4">
        <v>4.9000000000000004</v>
      </c>
      <c r="E2499" s="4">
        <v>807</v>
      </c>
      <c r="F2499" s="4">
        <v>4.9269999999999996</v>
      </c>
      <c r="G2499" s="4">
        <v>3976.0889999999999</v>
      </c>
      <c r="H2499" s="5">
        <f t="shared" si="38"/>
        <v>-1.2096774193548309E-2</v>
      </c>
    </row>
    <row r="2500" spans="1:11" ht="13.5" x14ac:dyDescent="0.25">
      <c r="A2500" s="1"/>
      <c r="B2500" s="3">
        <v>45944</v>
      </c>
      <c r="C2500" s="4">
        <v>4.9000000000000004</v>
      </c>
      <c r="D2500" s="4">
        <v>4.9000000000000004</v>
      </c>
      <c r="E2500" s="4">
        <v>2415</v>
      </c>
      <c r="F2500" s="4">
        <v>4.8949999999999996</v>
      </c>
      <c r="G2500" s="4">
        <v>11821.424999999999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4.8499999999999996</v>
      </c>
      <c r="D2501" s="4">
        <v>4.8499999999999996</v>
      </c>
      <c r="E2501" s="4">
        <v>1229</v>
      </c>
      <c r="F2501" s="4">
        <v>4.8620000000000001</v>
      </c>
      <c r="G2501" s="4">
        <v>5975.3980000000001</v>
      </c>
      <c r="H2501" s="5">
        <f t="shared" si="38"/>
        <v>-1.0204081632653206E-2</v>
      </c>
    </row>
    <row r="2502" spans="1:11" ht="13.5" x14ac:dyDescent="0.25">
      <c r="A2502" s="1"/>
      <c r="B2502" s="3">
        <v>45947</v>
      </c>
      <c r="C2502" s="4">
        <v>4.9000000000000004</v>
      </c>
      <c r="D2502" s="4">
        <v>4.9000000000000004</v>
      </c>
      <c r="E2502" s="4">
        <v>2054</v>
      </c>
      <c r="F2502" s="4">
        <v>4.8449999999999998</v>
      </c>
      <c r="G2502" s="4">
        <v>9951.6299999999992</v>
      </c>
      <c r="H2502" s="5">
        <f t="shared" si="38"/>
        <v>1.0309278350515611E-2</v>
      </c>
    </row>
    <row r="2503" spans="1:11" ht="13.5" x14ac:dyDescent="0.25">
      <c r="A2503" s="1"/>
      <c r="B2503" s="3">
        <v>45950</v>
      </c>
      <c r="C2503" s="4">
        <v>4.84</v>
      </c>
      <c r="D2503" s="4">
        <v>4.84</v>
      </c>
      <c r="E2503" s="4">
        <v>1010</v>
      </c>
      <c r="F2503" s="4">
        <v>4.8659999999999997</v>
      </c>
      <c r="G2503" s="4">
        <v>4914.66</v>
      </c>
      <c r="H2503" s="5">
        <f t="shared" ref="H2503:H2511" si="39">(D2503-D2502)/D2502</f>
        <v>-1.2244897959183773E-2</v>
      </c>
    </row>
    <row r="2504" spans="1:11" ht="13.5" x14ac:dyDescent="0.25">
      <c r="A2504" s="1"/>
      <c r="B2504" s="3">
        <v>45951</v>
      </c>
      <c r="C2504" s="4">
        <v>4.97</v>
      </c>
      <c r="D2504" s="4">
        <v>4.97</v>
      </c>
      <c r="E2504" s="4">
        <v>12092</v>
      </c>
      <c r="F2504" s="4">
        <v>4.9720000000000004</v>
      </c>
      <c r="G2504" s="4">
        <v>60121.423999999999</v>
      </c>
      <c r="H2504" s="5">
        <f t="shared" si="39"/>
        <v>2.6859504132231385E-2</v>
      </c>
    </row>
    <row r="2505" spans="1:11" ht="13.5" x14ac:dyDescent="0.25">
      <c r="A2505" s="1"/>
      <c r="B2505" s="3">
        <v>45952</v>
      </c>
      <c r="C2505" s="4">
        <v>4.9000000000000004</v>
      </c>
      <c r="D2505" s="4">
        <v>4.9000000000000004</v>
      </c>
      <c r="E2505" s="4">
        <v>2533</v>
      </c>
      <c r="F2505" s="4">
        <v>4.9180000000000001</v>
      </c>
      <c r="G2505" s="4">
        <v>12457.294</v>
      </c>
      <c r="H2505" s="5">
        <f t="shared" si="39"/>
        <v>-1.40845070422534E-2</v>
      </c>
    </row>
    <row r="2506" spans="1:11" ht="13.5" x14ac:dyDescent="0.25">
      <c r="A2506" s="1"/>
      <c r="B2506" s="3">
        <v>45953</v>
      </c>
      <c r="C2506" s="4">
        <v>4.95</v>
      </c>
      <c r="D2506" s="4">
        <v>4.95</v>
      </c>
      <c r="E2506" s="4">
        <v>3679</v>
      </c>
      <c r="F2506" s="4">
        <v>4.9329999999999998</v>
      </c>
      <c r="G2506" s="4">
        <v>18148.507000000001</v>
      </c>
      <c r="H2506" s="5">
        <f t="shared" si="39"/>
        <v>1.0204081632653024E-2</v>
      </c>
    </row>
    <row r="2507" spans="1:11" ht="13.5" x14ac:dyDescent="0.25">
      <c r="A2507" s="1"/>
      <c r="B2507" s="3">
        <v>45954</v>
      </c>
      <c r="C2507" s="4">
        <v>5</v>
      </c>
      <c r="D2507" s="4">
        <v>5</v>
      </c>
      <c r="E2507" s="4">
        <v>504</v>
      </c>
      <c r="F2507" s="4">
        <v>4.984</v>
      </c>
      <c r="G2507" s="4">
        <v>2511.9360000000001</v>
      </c>
      <c r="H2507" s="5">
        <f t="shared" si="39"/>
        <v>1.0101010101010065E-2</v>
      </c>
    </row>
    <row r="2508" spans="1:11" ht="13.5" x14ac:dyDescent="0.25">
      <c r="A2508" s="1"/>
      <c r="B2508" s="3">
        <v>45957</v>
      </c>
      <c r="C2508" s="4">
        <v>5</v>
      </c>
      <c r="D2508" s="4">
        <v>5</v>
      </c>
      <c r="E2508" s="4">
        <v>2274</v>
      </c>
      <c r="F2508" s="4">
        <v>4.9930000000000003</v>
      </c>
      <c r="G2508" s="4">
        <v>11354.082</v>
      </c>
      <c r="H2508" s="5">
        <f t="shared" si="39"/>
        <v>0</v>
      </c>
    </row>
    <row r="2509" spans="1:11" ht="13.5" x14ac:dyDescent="0.25">
      <c r="A2509" s="1"/>
      <c r="B2509" s="3">
        <v>45958</v>
      </c>
      <c r="C2509" s="4">
        <v>4.9800000000000004</v>
      </c>
      <c r="D2509" s="4">
        <v>4.9800000000000004</v>
      </c>
      <c r="E2509" s="4">
        <v>1004</v>
      </c>
      <c r="F2509" s="4">
        <v>4.97</v>
      </c>
      <c r="G2509" s="4">
        <v>4989.88</v>
      </c>
      <c r="H2509" s="5">
        <f t="shared" si="39"/>
        <v>-3.9999999999999151E-3</v>
      </c>
    </row>
    <row r="2510" spans="1:11" ht="13.5" x14ac:dyDescent="0.25">
      <c r="A2510" s="1"/>
      <c r="B2510" s="3">
        <v>45959</v>
      </c>
      <c r="C2510" s="4">
        <v>4.99</v>
      </c>
      <c r="D2510" s="4">
        <v>4.99</v>
      </c>
      <c r="E2510" s="4">
        <v>418</v>
      </c>
      <c r="F2510" s="4">
        <v>4.99</v>
      </c>
      <c r="G2510" s="4">
        <v>2085.8200000000002</v>
      </c>
      <c r="H2510" s="5">
        <f t="shared" si="39"/>
        <v>2.0080321285140131E-3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4.9800000000000004</v>
      </c>
      <c r="D2511" s="4">
        <v>4.9800000000000004</v>
      </c>
      <c r="E2511" s="4">
        <v>1010</v>
      </c>
      <c r="F2511" s="4">
        <v>4.9539999999999997</v>
      </c>
      <c r="G2511" s="4">
        <v>5003.54</v>
      </c>
      <c r="H2511" s="5">
        <f t="shared" si="39"/>
        <v>-2.0040080160320215E-3</v>
      </c>
      <c r="I2511" s="12">
        <v>4636800</v>
      </c>
      <c r="J2511" s="8">
        <f>I2511*D2511</f>
        <v>23091264.000000004</v>
      </c>
      <c r="K2511" s="9">
        <f>SUM(E2307:E2511)/205</f>
        <v>7529.4195121951216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637CB4-8F20-43A2-B1AE-29A14D47CBFD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825c0b43-6af9-4148-8ec1-c9594105943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DDF49C2-FC5B-48EE-885A-92CE4AE8F4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B9C8F2-6E98-4FBB-AFB3-E1C2AE522D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2025-11-04T19:50:11Z</dcterms:created>
  <dcterms:modified xsi:type="dcterms:W3CDTF">2025-11-05T05:43:56Z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