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B5B1602C-0981-407C-ACA8-B0CA68E4FB7F}" xr6:coauthVersionLast="47" xr6:coauthVersionMax="47" xr10:uidLastSave="{00000000-0000-0000-0000-000000000000}"/>
  <bookViews>
    <workbookView xWindow="28680" yWindow="-120" windowWidth="24240" windowHeight="13020" xr2:uid="{C1A4D8FB-10BC-4557-B282-E7EBA40A70E1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<sst xmlns="http://schemas.openxmlformats.org/spreadsheetml/2006/main" count="16" uniqueCount="16">
  <si>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CIMENTS DE BIZERTE,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</si>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</sst>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5240-8ABD-426F-939B-0FE6A7D030B4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3.13</v>
      </c>
      <c r="D5" s="4">
        <v>3.13</v>
      </c>
      <c r="E5" s="4">
        <v>6262</v>
      </c>
      <c r="F5" s="4"/>
      <c r="G5" s="4"/>
      <c r="H5" s="1"/>
    </row>
    <row r="6" spans="1:11" ht="13.5" x14ac:dyDescent="0.25">
      <c r="A6" s="1"/>
      <c r="B6" s="3">
        <v>42311</v>
      </c>
      <c r="C6" s="4">
        <v>3.27</v>
      </c>
      <c r="D6" s="4">
        <v>3.27</v>
      </c>
      <c r="E6" s="4">
        <v>22</v>
      </c>
      <c r="F6" s="4"/>
      <c r="G6" s="4"/>
      <c r="H6" s="5">
        <f>(D6-D5)/D5</f>
        <v>4.4728434504792372E-2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3.27</v>
      </c>
      <c r="D7" s="4">
        <v>3.27</v>
      </c>
      <c r="E7" s="4">
        <v>36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3.27</v>
      </c>
      <c r="D8" s="4">
        <v>3.27</v>
      </c>
      <c r="E8" s="4">
        <v>2089</v>
      </c>
      <c r="F8" s="4"/>
      <c r="G8" s="4"/>
      <c r="H8" s="5">
        <f t="shared" si="0"/>
        <v>0</v>
      </c>
      <c r="J8" t="s">
        <v>9</v>
      </c>
      <c r="K8" s="6">
        <f>AVERAGE(H6:H2511)</f>
        <v>-5.137325356371203E-4</v>
      </c>
    </row>
    <row r="9" spans="1:11" ht="13.5" x14ac:dyDescent="0.25">
      <c r="A9" s="1"/>
      <c r="B9" s="3">
        <v>42314</v>
      </c>
      <c r="C9" s="4">
        <v>3.18</v>
      </c>
      <c r="D9" s="4">
        <v>3.18</v>
      </c>
      <c r="E9" s="4">
        <v>45</v>
      </c>
      <c r="F9" s="4"/>
      <c r="G9" s="4"/>
      <c r="H9" s="5">
        <f t="shared" si="0"/>
        <v>-2.752293577981647E-2</v>
      </c>
      <c r="J9" t="s">
        <v>10</v>
      </c>
      <c r="K9" s="6">
        <f>K8*K6</f>
        <v>-0.12946059898055431</v>
      </c>
    </row>
    <row r="10" spans="1:11" ht="13.5" x14ac:dyDescent="0.25">
      <c r="A10" s="1"/>
      <c r="B10" s="3">
        <v>42317</v>
      </c>
      <c r="C10" s="4">
        <v>3.12</v>
      </c>
      <c r="D10" s="4">
        <v>3.12</v>
      </c>
      <c r="E10" s="4">
        <v>10</v>
      </c>
      <c r="F10" s="4"/>
      <c r="G10" s="4"/>
      <c r="H10" s="5">
        <f t="shared" si="0"/>
        <v>-1.8867924528301903E-2</v>
      </c>
      <c r="J10" t="s">
        <v>11</v>
      </c>
      <c r="K10" s="6">
        <f>STDEV(H6:H2511)</f>
        <v>2.0502102876508169E-2</v>
      </c>
    </row>
    <row r="11" spans="1:11" ht="13.5" x14ac:dyDescent="0.25">
      <c r="A11" s="1"/>
      <c r="B11" s="3">
        <v>42318</v>
      </c>
      <c r="C11" s="4">
        <v>3.03</v>
      </c>
      <c r="D11" s="4">
        <v>3.03</v>
      </c>
      <c r="E11" s="4">
        <v>2586</v>
      </c>
      <c r="F11" s="4"/>
      <c r="G11" s="4"/>
      <c r="H11" s="5">
        <f t="shared" si="0"/>
        <v>-2.8846153846153941E-2</v>
      </c>
      <c r="J11" t="s">
        <v>12</v>
      </c>
      <c r="K11" s="6">
        <f>K10*SQRT(K6)</f>
        <v>0.32546079339061562</v>
      </c>
    </row>
    <row r="12" spans="1:11" ht="13.5" x14ac:dyDescent="0.25">
      <c r="A12" s="1"/>
      <c r="B12" s="3">
        <v>42319</v>
      </c>
      <c r="C12" s="4">
        <v>3.16</v>
      </c>
      <c r="D12" s="4">
        <v>3.16</v>
      </c>
      <c r="E12" s="4">
        <v>269</v>
      </c>
      <c r="F12" s="4"/>
      <c r="G12" s="4"/>
      <c r="H12" s="5">
        <f t="shared" si="0"/>
        <v>4.2904290429043021E-2</v>
      </c>
    </row>
    <row r="13" spans="1:11" ht="13.5" x14ac:dyDescent="0.25">
      <c r="A13" s="1"/>
      <c r="B13" s="3">
        <v>42320</v>
      </c>
      <c r="C13" s="4">
        <v>3.16</v>
      </c>
      <c r="D13" s="4">
        <v>3.16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3.16</v>
      </c>
      <c r="D14" s="4">
        <v>3.16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3.08</v>
      </c>
      <c r="D15" s="4">
        <v>3.08</v>
      </c>
      <c r="E15" s="4">
        <v>120</v>
      </c>
      <c r="F15" s="4"/>
      <c r="G15" s="4"/>
      <c r="H15" s="5">
        <f t="shared" si="0"/>
        <v>-2.5316455696202552E-2</v>
      </c>
    </row>
    <row r="16" spans="1:11" ht="13.5" x14ac:dyDescent="0.25">
      <c r="A16" s="1"/>
      <c r="B16" s="3">
        <v>42325</v>
      </c>
      <c r="C16" s="4">
        <v>3.17</v>
      </c>
      <c r="D16" s="4">
        <v>3.17</v>
      </c>
      <c r="E16" s="4">
        <v>5161</v>
      </c>
      <c r="F16" s="4"/>
      <c r="G16" s="4"/>
      <c r="H16" s="5">
        <f t="shared" si="0"/>
        <v>2.9220779220779175E-2</v>
      </c>
    </row>
    <row r="17" spans="1:8" ht="13.5" x14ac:dyDescent="0.25">
      <c r="A17" s="1"/>
      <c r="B17" s="3">
        <v>42326</v>
      </c>
      <c r="C17" s="4">
        <v>3.08</v>
      </c>
      <c r="D17" s="4">
        <v>3.08</v>
      </c>
      <c r="E17" s="4">
        <v>2440</v>
      </c>
      <c r="F17" s="4"/>
      <c r="G17" s="4"/>
      <c r="H17" s="5">
        <f t="shared" si="0"/>
        <v>-2.8391167192428977E-2</v>
      </c>
    </row>
    <row r="18" spans="1:8" ht="13.5" x14ac:dyDescent="0.25">
      <c r="A18" s="1"/>
      <c r="B18" s="3">
        <v>42327</v>
      </c>
      <c r="C18" s="4">
        <v>3.15</v>
      </c>
      <c r="D18" s="4">
        <v>3.15</v>
      </c>
      <c r="E18" s="4">
        <v>921</v>
      </c>
      <c r="F18" s="4"/>
      <c r="G18" s="4"/>
      <c r="H18" s="5">
        <f t="shared" si="0"/>
        <v>2.2727272727272676E-2</v>
      </c>
    </row>
    <row r="19" spans="1:8" ht="13.5" x14ac:dyDescent="0.25">
      <c r="A19" s="1"/>
      <c r="B19" s="3">
        <v>42328</v>
      </c>
      <c r="C19" s="4">
        <v>3.07</v>
      </c>
      <c r="D19" s="4">
        <v>3.07</v>
      </c>
      <c r="E19" s="4">
        <v>10389</v>
      </c>
      <c r="F19" s="4"/>
      <c r="G19" s="4"/>
      <c r="H19" s="5">
        <f t="shared" si="0"/>
        <v>-2.5396825396825421E-2</v>
      </c>
    </row>
    <row r="20" spans="1:8" ht="13.5" x14ac:dyDescent="0.25">
      <c r="A20" s="1"/>
      <c r="B20" s="3">
        <v>42331</v>
      </c>
      <c r="C20" s="4">
        <v>3.1</v>
      </c>
      <c r="D20" s="4">
        <v>3.1</v>
      </c>
      <c r="E20" s="4">
        <v>107</v>
      </c>
      <c r="F20" s="4"/>
      <c r="G20" s="4"/>
      <c r="H20" s="5">
        <f t="shared" si="0"/>
        <v>9.7719869706841198E-3</v>
      </c>
    </row>
    <row r="21" spans="1:8" ht="13.5" x14ac:dyDescent="0.25">
      <c r="A21" s="1"/>
      <c r="B21" s="3">
        <v>42332</v>
      </c>
      <c r="C21" s="4">
        <v>3.01</v>
      </c>
      <c r="D21" s="4">
        <v>3.01</v>
      </c>
      <c r="E21" s="4">
        <v>1640</v>
      </c>
      <c r="F21" s="4"/>
      <c r="G21" s="4"/>
      <c r="H21" s="5">
        <f t="shared" si="0"/>
        <v>-2.9032258064516224E-2</v>
      </c>
    </row>
    <row r="22" spans="1:8" ht="13.5" x14ac:dyDescent="0.25">
      <c r="A22" s="1"/>
      <c r="B22" s="3">
        <v>42333</v>
      </c>
      <c r="C22" s="4">
        <v>3</v>
      </c>
      <c r="D22" s="4">
        <v>3</v>
      </c>
      <c r="E22" s="4">
        <v>2300</v>
      </c>
      <c r="F22" s="4"/>
      <c r="G22" s="4"/>
      <c r="H22" s="5">
        <f t="shared" si="0"/>
        <v>-3.322259136212554E-3</v>
      </c>
    </row>
    <row r="23" spans="1:8" ht="13.5" x14ac:dyDescent="0.25">
      <c r="A23" s="1"/>
      <c r="B23" s="3">
        <v>42334</v>
      </c>
      <c r="C23" s="4">
        <v>3</v>
      </c>
      <c r="D23" s="4">
        <v>3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3</v>
      </c>
      <c r="D24" s="4">
        <v>3</v>
      </c>
      <c r="E24" s="4">
        <v>810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3</v>
      </c>
      <c r="D25" s="4">
        <v>3</v>
      </c>
      <c r="E25" s="4">
        <v>1022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3</v>
      </c>
      <c r="D26" s="4">
        <v>3</v>
      </c>
      <c r="E26" s="4">
        <v>15790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3.08</v>
      </c>
      <c r="D27" s="4">
        <v>3.08</v>
      </c>
      <c r="E27" s="4">
        <v>14314</v>
      </c>
      <c r="F27" s="4"/>
      <c r="G27" s="4"/>
      <c r="H27" s="5">
        <f t="shared" si="0"/>
        <v>2.6666666666666689E-2</v>
      </c>
    </row>
    <row r="28" spans="1:8" ht="13.5" x14ac:dyDescent="0.25">
      <c r="A28" s="1"/>
      <c r="B28" s="3">
        <v>42341</v>
      </c>
      <c r="C28" s="4">
        <v>3.08</v>
      </c>
      <c r="D28" s="4">
        <v>3.08</v>
      </c>
      <c r="E28" s="4">
        <v>0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2.99</v>
      </c>
      <c r="D29" s="4">
        <v>2.99</v>
      </c>
      <c r="E29" s="4">
        <v>2550</v>
      </c>
      <c r="F29" s="4"/>
      <c r="G29" s="4"/>
      <c r="H29" s="5">
        <f t="shared" si="0"/>
        <v>-2.9220779220779175E-2</v>
      </c>
    </row>
    <row r="30" spans="1:8" ht="13.5" x14ac:dyDescent="0.25">
      <c r="A30" s="1"/>
      <c r="B30" s="3">
        <v>42345</v>
      </c>
      <c r="C30" s="4">
        <v>2.99</v>
      </c>
      <c r="D30" s="4">
        <v>2.99</v>
      </c>
      <c r="E30" s="4">
        <v>149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2.99</v>
      </c>
      <c r="D31" s="4">
        <v>2.99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2.91</v>
      </c>
      <c r="D32" s="4">
        <v>2.91</v>
      </c>
      <c r="E32" s="4">
        <v>3242</v>
      </c>
      <c r="F32" s="4"/>
      <c r="G32" s="4"/>
      <c r="H32" s="5">
        <f t="shared" si="0"/>
        <v>-2.6755852842809385E-2</v>
      </c>
    </row>
    <row r="33" spans="1:8" ht="13.5" x14ac:dyDescent="0.25">
      <c r="A33" s="1"/>
      <c r="B33" s="3">
        <v>42348</v>
      </c>
      <c r="C33" s="4">
        <v>2.91</v>
      </c>
      <c r="D33" s="4">
        <v>2.91</v>
      </c>
      <c r="E33" s="4">
        <v>854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2.91</v>
      </c>
      <c r="D34" s="4">
        <v>2.91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2.87</v>
      </c>
      <c r="D35" s="4">
        <v>2.87</v>
      </c>
      <c r="E35" s="4">
        <v>1539</v>
      </c>
      <c r="F35" s="4"/>
      <c r="G35" s="4"/>
      <c r="H35" s="5">
        <f t="shared" si="0"/>
        <v>-1.3745704467353964E-2</v>
      </c>
    </row>
    <row r="36" spans="1:8" ht="13.5" x14ac:dyDescent="0.25">
      <c r="A36" s="1"/>
      <c r="B36" s="3">
        <v>42353</v>
      </c>
      <c r="C36" s="4">
        <v>2.87</v>
      </c>
      <c r="D36" s="4">
        <v>2.87</v>
      </c>
      <c r="E36" s="4">
        <v>5293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3.04</v>
      </c>
      <c r="D37" s="4">
        <v>3.04</v>
      </c>
      <c r="E37" s="4">
        <v>3596</v>
      </c>
      <c r="F37" s="4"/>
      <c r="G37" s="4"/>
      <c r="H37" s="5">
        <f t="shared" si="0"/>
        <v>5.9233449477351888E-2</v>
      </c>
    </row>
    <row r="38" spans="1:8" ht="13.5" x14ac:dyDescent="0.25">
      <c r="A38" s="1"/>
      <c r="B38" s="3">
        <v>42355</v>
      </c>
      <c r="C38" s="4">
        <v>2.99</v>
      </c>
      <c r="D38" s="4">
        <v>2.99</v>
      </c>
      <c r="E38" s="4">
        <v>3915</v>
      </c>
      <c r="F38" s="4"/>
      <c r="G38" s="4"/>
      <c r="H38" s="5">
        <f t="shared" si="0"/>
        <v>-1.6447368421052572E-2</v>
      </c>
    </row>
    <row r="39" spans="1:8" ht="13.5" x14ac:dyDescent="0.25">
      <c r="A39" s="1"/>
      <c r="B39" s="3">
        <v>42356</v>
      </c>
      <c r="C39" s="4">
        <v>3.07</v>
      </c>
      <c r="D39" s="4">
        <v>3.07</v>
      </c>
      <c r="E39" s="4">
        <v>41630</v>
      </c>
      <c r="F39" s="4"/>
      <c r="G39" s="4"/>
      <c r="H39" s="5">
        <f t="shared" si="0"/>
        <v>2.6755852842809239E-2</v>
      </c>
    </row>
    <row r="40" spans="1:8" ht="13.5" x14ac:dyDescent="0.25">
      <c r="A40" s="1"/>
      <c r="B40" s="3">
        <v>42359</v>
      </c>
      <c r="C40" s="4">
        <v>3.16</v>
      </c>
      <c r="D40" s="4">
        <v>3.16</v>
      </c>
      <c r="E40" s="4">
        <v>8816</v>
      </c>
      <c r="F40" s="4"/>
      <c r="G40" s="4"/>
      <c r="H40" s="5">
        <f t="shared" si="0"/>
        <v>2.9315960912052217E-2</v>
      </c>
    </row>
    <row r="41" spans="1:8" ht="13.5" x14ac:dyDescent="0.25">
      <c r="A41" s="1"/>
      <c r="B41" s="3">
        <v>42360</v>
      </c>
      <c r="C41" s="4">
        <v>3.15</v>
      </c>
      <c r="D41" s="4">
        <v>3.15</v>
      </c>
      <c r="E41" s="4">
        <v>1811</v>
      </c>
      <c r="F41" s="4"/>
      <c r="G41" s="4"/>
      <c r="H41" s="5">
        <f t="shared" si="0"/>
        <v>-3.1645569620253893E-3</v>
      </c>
    </row>
    <row r="42" spans="1:8" ht="13.5" x14ac:dyDescent="0.25">
      <c r="A42" s="1"/>
      <c r="B42" s="3">
        <v>42361</v>
      </c>
      <c r="C42" s="4">
        <v>3.07</v>
      </c>
      <c r="D42" s="4">
        <v>3.07</v>
      </c>
      <c r="E42" s="4">
        <v>502</v>
      </c>
      <c r="F42" s="4"/>
      <c r="G42" s="4"/>
      <c r="H42" s="5">
        <f t="shared" si="0"/>
        <v>-2.5396825396825421E-2</v>
      </c>
    </row>
    <row r="43" spans="1:8" ht="13.5" x14ac:dyDescent="0.25">
      <c r="A43" s="1"/>
      <c r="B43" s="3">
        <v>42363</v>
      </c>
      <c r="C43" s="4">
        <v>3.07</v>
      </c>
      <c r="D43" s="4">
        <v>3.07</v>
      </c>
      <c r="E43" s="4">
        <v>1600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3.1</v>
      </c>
      <c r="D44" s="4">
        <v>3.1</v>
      </c>
      <c r="E44" s="4">
        <v>150</v>
      </c>
      <c r="F44" s="4"/>
      <c r="G44" s="4"/>
      <c r="H44" s="5">
        <f t="shared" si="0"/>
        <v>9.7719869706841198E-3</v>
      </c>
    </row>
    <row r="45" spans="1:8" ht="13.5" x14ac:dyDescent="0.25">
      <c r="A45" s="1"/>
      <c r="B45" s="3">
        <v>42367</v>
      </c>
      <c r="C45" s="4">
        <v>3.05</v>
      </c>
      <c r="D45" s="4">
        <v>3.05</v>
      </c>
      <c r="E45" s="4">
        <v>3210</v>
      </c>
      <c r="F45" s="4"/>
      <c r="G45" s="4"/>
      <c r="H45" s="5">
        <f t="shared" si="0"/>
        <v>-1.6129032258064602E-2</v>
      </c>
    </row>
    <row r="46" spans="1:8" ht="13.5" x14ac:dyDescent="0.25">
      <c r="A46" s="1"/>
      <c r="B46" s="3">
        <v>42368</v>
      </c>
      <c r="C46" s="4">
        <v>3.08</v>
      </c>
      <c r="D46" s="4">
        <v>3.08</v>
      </c>
      <c r="E46" s="4">
        <v>762</v>
      </c>
      <c r="F46" s="4"/>
      <c r="G46" s="4"/>
      <c r="H46" s="5">
        <f t="shared" si="0"/>
        <v>9.8360655737705742E-3</v>
      </c>
    </row>
    <row r="47" spans="1:8" ht="13.5" x14ac:dyDescent="0.25">
      <c r="A47" s="1"/>
      <c r="B47" s="3">
        <v>42369</v>
      </c>
      <c r="C47" s="4">
        <v>3.15</v>
      </c>
      <c r="D47" s="4">
        <v>3.15</v>
      </c>
      <c r="E47" s="4">
        <v>316</v>
      </c>
      <c r="F47" s="4"/>
      <c r="G47" s="4"/>
      <c r="H47" s="5">
        <f t="shared" si="0"/>
        <v>2.2727272727272676E-2</v>
      </c>
    </row>
    <row r="48" spans="1:8" ht="13.5" x14ac:dyDescent="0.25">
      <c r="A48" s="1"/>
      <c r="B48" s="3">
        <v>42373</v>
      </c>
      <c r="C48" s="4">
        <v>3.33</v>
      </c>
      <c r="D48" s="4">
        <v>3.33</v>
      </c>
      <c r="E48" s="4">
        <v>1970</v>
      </c>
      <c r="F48" s="4"/>
      <c r="G48" s="4"/>
      <c r="H48" s="5">
        <f t="shared" si="0"/>
        <v>5.7142857142857197E-2</v>
      </c>
    </row>
    <row r="49" spans="1:8" ht="13.5" x14ac:dyDescent="0.25">
      <c r="A49" s="1"/>
      <c r="B49" s="3">
        <v>42374</v>
      </c>
      <c r="C49" s="4">
        <v>3.31</v>
      </c>
      <c r="D49" s="4">
        <v>3.31</v>
      </c>
      <c r="E49" s="4">
        <v>146</v>
      </c>
      <c r="F49" s="4"/>
      <c r="G49" s="4"/>
      <c r="H49" s="5">
        <f t="shared" si="0"/>
        <v>-6.0060060060060112E-3</v>
      </c>
    </row>
    <row r="50" spans="1:8" ht="13.5" x14ac:dyDescent="0.25">
      <c r="A50" s="1"/>
      <c r="B50" s="3">
        <v>42375</v>
      </c>
      <c r="C50" s="4">
        <v>3.29</v>
      </c>
      <c r="D50" s="4">
        <v>3.29</v>
      </c>
      <c r="E50" s="4">
        <v>2108</v>
      </c>
      <c r="F50" s="4"/>
      <c r="G50" s="4"/>
      <c r="H50" s="5">
        <f t="shared" si="0"/>
        <v>-6.0422960725075581E-3</v>
      </c>
    </row>
    <row r="51" spans="1:8" ht="13.5" x14ac:dyDescent="0.25">
      <c r="A51" s="1"/>
      <c r="B51" s="3">
        <v>42376</v>
      </c>
      <c r="C51" s="4">
        <v>3.28</v>
      </c>
      <c r="D51" s="4">
        <v>3.28</v>
      </c>
      <c r="E51" s="4">
        <v>12102</v>
      </c>
      <c r="F51" s="4"/>
      <c r="G51" s="4"/>
      <c r="H51" s="5">
        <f t="shared" si="0"/>
        <v>-3.0395136778116204E-3</v>
      </c>
    </row>
    <row r="52" spans="1:8" ht="13.5" x14ac:dyDescent="0.25">
      <c r="A52" s="1"/>
      <c r="B52" s="3">
        <v>42377</v>
      </c>
      <c r="C52" s="4">
        <v>3.29</v>
      </c>
      <c r="D52" s="4">
        <v>3.29</v>
      </c>
      <c r="E52" s="4">
        <v>1226</v>
      </c>
      <c r="F52" s="4"/>
      <c r="G52" s="4"/>
      <c r="H52" s="5">
        <f t="shared" si="0"/>
        <v>3.0487804878049488E-3</v>
      </c>
    </row>
    <row r="53" spans="1:8" ht="13.5" x14ac:dyDescent="0.25">
      <c r="A53" s="1"/>
      <c r="B53" s="3">
        <v>42380</v>
      </c>
      <c r="C53" s="4">
        <v>3.2</v>
      </c>
      <c r="D53" s="4">
        <v>3.2</v>
      </c>
      <c r="E53" s="4">
        <v>1654</v>
      </c>
      <c r="F53" s="4"/>
      <c r="G53" s="4"/>
      <c r="H53" s="5">
        <f t="shared" si="0"/>
        <v>-2.7355623100303907E-2</v>
      </c>
    </row>
    <row r="54" spans="1:8" ht="13.5" x14ac:dyDescent="0.25">
      <c r="A54" s="1"/>
      <c r="B54" s="3">
        <v>42381</v>
      </c>
      <c r="C54" s="4">
        <v>3.11</v>
      </c>
      <c r="D54" s="4">
        <v>3.11</v>
      </c>
      <c r="E54" s="4">
        <v>7222</v>
      </c>
      <c r="F54" s="4"/>
      <c r="G54" s="4"/>
      <c r="H54" s="5">
        <f t="shared" si="0"/>
        <v>-2.8125000000000094E-2</v>
      </c>
    </row>
    <row r="55" spans="1:8" ht="13.5" x14ac:dyDescent="0.25">
      <c r="A55" s="1"/>
      <c r="B55" s="3">
        <v>42382</v>
      </c>
      <c r="C55" s="4">
        <v>3.2</v>
      </c>
      <c r="D55" s="4">
        <v>3.2</v>
      </c>
      <c r="E55" s="4">
        <v>15120</v>
      </c>
      <c r="F55" s="4"/>
      <c r="G55" s="4"/>
      <c r="H55" s="5">
        <f t="shared" si="0"/>
        <v>2.8938906752411675E-2</v>
      </c>
    </row>
    <row r="56" spans="1:8" ht="13.5" x14ac:dyDescent="0.25">
      <c r="A56" s="1"/>
      <c r="B56" s="3">
        <v>42384</v>
      </c>
      <c r="C56" s="4">
        <v>3.28</v>
      </c>
      <c r="D56" s="4">
        <v>3.28</v>
      </c>
      <c r="E56" s="4">
        <v>54</v>
      </c>
      <c r="F56" s="4"/>
      <c r="G56" s="4"/>
      <c r="H56" s="5">
        <f t="shared" si="0"/>
        <v>2.4999999999999883E-2</v>
      </c>
    </row>
    <row r="57" spans="1:8" ht="13.5" x14ac:dyDescent="0.25">
      <c r="A57" s="1"/>
      <c r="B57" s="3">
        <v>42387</v>
      </c>
      <c r="C57" s="4">
        <v>3.11</v>
      </c>
      <c r="D57" s="4">
        <v>3.11</v>
      </c>
      <c r="E57" s="4">
        <v>1524</v>
      </c>
      <c r="F57" s="4"/>
      <c r="G57" s="4"/>
      <c r="H57" s="5">
        <f t="shared" si="0"/>
        <v>-5.182926829268291E-2</v>
      </c>
    </row>
    <row r="58" spans="1:8" ht="13.5" x14ac:dyDescent="0.25">
      <c r="A58" s="1"/>
      <c r="B58" s="3">
        <v>42388</v>
      </c>
      <c r="C58" s="4">
        <v>3.19</v>
      </c>
      <c r="D58" s="4">
        <v>3.19</v>
      </c>
      <c r="E58" s="4">
        <v>1500</v>
      </c>
      <c r="F58" s="4"/>
      <c r="G58" s="4"/>
      <c r="H58" s="5">
        <f t="shared" si="0"/>
        <v>2.5723472668810313E-2</v>
      </c>
    </row>
    <row r="59" spans="1:8" ht="13.5" x14ac:dyDescent="0.25">
      <c r="A59" s="1"/>
      <c r="B59" s="3">
        <v>42389</v>
      </c>
      <c r="C59" s="4">
        <v>3.2</v>
      </c>
      <c r="D59" s="4">
        <v>3.2</v>
      </c>
      <c r="E59" s="4">
        <v>1200</v>
      </c>
      <c r="F59" s="4"/>
      <c r="G59" s="4"/>
      <c r="H59" s="5">
        <f t="shared" si="0"/>
        <v>3.1347962382445864E-3</v>
      </c>
    </row>
    <row r="60" spans="1:8" ht="13.5" x14ac:dyDescent="0.25">
      <c r="A60" s="1"/>
      <c r="B60" s="3">
        <v>42390</v>
      </c>
      <c r="C60" s="4">
        <v>3.2</v>
      </c>
      <c r="D60" s="4">
        <v>3.2</v>
      </c>
      <c r="E60" s="4">
        <v>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3.12</v>
      </c>
      <c r="D61" s="4">
        <v>3.12</v>
      </c>
      <c r="E61" s="4">
        <v>620</v>
      </c>
      <c r="F61" s="4"/>
      <c r="G61" s="4"/>
      <c r="H61" s="5">
        <f t="shared" si="0"/>
        <v>-2.5000000000000022E-2</v>
      </c>
    </row>
    <row r="62" spans="1:8" ht="13.5" x14ac:dyDescent="0.25">
      <c r="A62" s="1"/>
      <c r="B62" s="3">
        <v>42394</v>
      </c>
      <c r="C62" s="4">
        <v>3.03</v>
      </c>
      <c r="D62" s="4">
        <v>3.03</v>
      </c>
      <c r="E62" s="4">
        <v>10580</v>
      </c>
      <c r="F62" s="4"/>
      <c r="G62" s="4"/>
      <c r="H62" s="5">
        <f t="shared" si="0"/>
        <v>-2.8846153846153941E-2</v>
      </c>
    </row>
    <row r="63" spans="1:8" ht="13.5" x14ac:dyDescent="0.25">
      <c r="A63" s="1"/>
      <c r="B63" s="3">
        <v>42395</v>
      </c>
      <c r="C63" s="4">
        <v>3.06</v>
      </c>
      <c r="D63" s="4">
        <v>3.06</v>
      </c>
      <c r="E63" s="4">
        <v>50</v>
      </c>
      <c r="F63" s="4"/>
      <c r="G63" s="4"/>
      <c r="H63" s="5">
        <f t="shared" si="0"/>
        <v>9.9009900990099844E-3</v>
      </c>
    </row>
    <row r="64" spans="1:8" ht="13.5" x14ac:dyDescent="0.25">
      <c r="A64" s="1"/>
      <c r="B64" s="3">
        <v>42396</v>
      </c>
      <c r="C64" s="4">
        <v>3</v>
      </c>
      <c r="D64" s="4">
        <v>3</v>
      </c>
      <c r="E64" s="4">
        <v>13655</v>
      </c>
      <c r="F64" s="4"/>
      <c r="G64" s="4"/>
      <c r="H64" s="5">
        <f t="shared" si="0"/>
        <v>-1.9607843137254919E-2</v>
      </c>
    </row>
    <row r="65" spans="1:8" ht="13.5" x14ac:dyDescent="0.25">
      <c r="A65" s="1"/>
      <c r="B65" s="3">
        <v>42397</v>
      </c>
      <c r="C65" s="4">
        <v>3</v>
      </c>
      <c r="D65" s="4">
        <v>3</v>
      </c>
      <c r="E65" s="4">
        <v>633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3</v>
      </c>
      <c r="D66" s="4">
        <v>3</v>
      </c>
      <c r="E66" s="4">
        <v>8754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2.99</v>
      </c>
      <c r="D67" s="4">
        <v>2.99</v>
      </c>
      <c r="E67" s="4">
        <v>2980</v>
      </c>
      <c r="F67" s="4"/>
      <c r="G67" s="4"/>
      <c r="H67" s="5">
        <f t="shared" si="0"/>
        <v>-3.3333333333332624E-3</v>
      </c>
    </row>
    <row r="68" spans="1:8" ht="13.5" x14ac:dyDescent="0.25">
      <c r="A68" s="1"/>
      <c r="B68" s="3">
        <v>42402</v>
      </c>
      <c r="C68" s="4">
        <v>3.07</v>
      </c>
      <c r="D68" s="4">
        <v>3.07</v>
      </c>
      <c r="E68" s="4">
        <v>6262</v>
      </c>
      <c r="F68" s="4"/>
      <c r="G68" s="4"/>
      <c r="H68" s="5">
        <f t="shared" si="0"/>
        <v>2.6755852842809239E-2</v>
      </c>
    </row>
    <row r="69" spans="1:8" ht="13.5" x14ac:dyDescent="0.25">
      <c r="A69" s="1"/>
      <c r="B69" s="3">
        <v>42403</v>
      </c>
      <c r="C69" s="4">
        <v>3.01</v>
      </c>
      <c r="D69" s="4">
        <v>3.01</v>
      </c>
      <c r="E69" s="4">
        <v>1040</v>
      </c>
      <c r="F69" s="4"/>
      <c r="G69" s="4"/>
      <c r="H69" s="5">
        <f t="shared" si="0"/>
        <v>-1.9543973941368097E-2</v>
      </c>
    </row>
    <row r="70" spans="1:8" ht="13.5" x14ac:dyDescent="0.25">
      <c r="A70" s="1"/>
      <c r="B70" s="3">
        <v>42404</v>
      </c>
      <c r="C70" s="4">
        <v>3.01</v>
      </c>
      <c r="D70" s="4">
        <v>3.01</v>
      </c>
      <c r="E70" s="4">
        <v>1576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3.01</v>
      </c>
      <c r="D71" s="4">
        <v>3.01</v>
      </c>
      <c r="E71" s="4">
        <v>0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2.95</v>
      </c>
      <c r="D72" s="4">
        <v>2.95</v>
      </c>
      <c r="E72" s="4">
        <v>5452</v>
      </c>
      <c r="F72" s="4"/>
      <c r="G72" s="4"/>
      <c r="H72" s="5">
        <f t="shared" si="1"/>
        <v>-1.9933554817275618E-2</v>
      </c>
    </row>
    <row r="73" spans="1:8" ht="13.5" x14ac:dyDescent="0.25">
      <c r="A73" s="1"/>
      <c r="B73" s="3">
        <v>42409</v>
      </c>
      <c r="C73" s="4">
        <v>3</v>
      </c>
      <c r="D73" s="4">
        <v>3</v>
      </c>
      <c r="E73" s="4">
        <v>90</v>
      </c>
      <c r="F73" s="4"/>
      <c r="G73" s="4"/>
      <c r="H73" s="5">
        <f t="shared" si="1"/>
        <v>1.6949152542372819E-2</v>
      </c>
    </row>
    <row r="74" spans="1:8" ht="13.5" x14ac:dyDescent="0.25">
      <c r="A74" s="1"/>
      <c r="B74" s="3">
        <v>42410</v>
      </c>
      <c r="C74" s="4">
        <v>2.91</v>
      </c>
      <c r="D74" s="4">
        <v>2.91</v>
      </c>
      <c r="E74" s="4">
        <v>13150</v>
      </c>
      <c r="F74" s="4"/>
      <c r="G74" s="4"/>
      <c r="H74" s="5">
        <f t="shared" si="1"/>
        <v>-2.9999999999999954E-2</v>
      </c>
    </row>
    <row r="75" spans="1:8" ht="13.5" x14ac:dyDescent="0.25">
      <c r="A75" s="1"/>
      <c r="B75" s="3">
        <v>42411</v>
      </c>
      <c r="C75" s="4">
        <v>2.9</v>
      </c>
      <c r="D75" s="4">
        <v>2.9</v>
      </c>
      <c r="E75" s="4">
        <v>6352</v>
      </c>
      <c r="F75" s="4"/>
      <c r="G75" s="4"/>
      <c r="H75" s="5">
        <f t="shared" si="1"/>
        <v>-3.4364261168385673E-3</v>
      </c>
    </row>
    <row r="76" spans="1:8" ht="13.5" x14ac:dyDescent="0.25">
      <c r="A76" s="1"/>
      <c r="B76" s="3">
        <v>42412</v>
      </c>
      <c r="C76" s="4">
        <v>2.86</v>
      </c>
      <c r="D76" s="4">
        <v>2.86</v>
      </c>
      <c r="E76" s="4">
        <v>4903</v>
      </c>
      <c r="F76" s="4"/>
      <c r="G76" s="4"/>
      <c r="H76" s="5">
        <f t="shared" si="1"/>
        <v>-1.3793103448275874E-2</v>
      </c>
    </row>
    <row r="77" spans="1:8" ht="13.5" x14ac:dyDescent="0.25">
      <c r="A77" s="1"/>
      <c r="B77" s="3">
        <v>42415</v>
      </c>
      <c r="C77" s="4">
        <v>2.86</v>
      </c>
      <c r="D77" s="4">
        <v>2.86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2.84</v>
      </c>
      <c r="D78" s="4">
        <v>2.84</v>
      </c>
      <c r="E78" s="4">
        <v>3781</v>
      </c>
      <c r="F78" s="4"/>
      <c r="G78" s="4"/>
      <c r="H78" s="5">
        <f t="shared" si="1"/>
        <v>-6.9930069930069999E-3</v>
      </c>
    </row>
    <row r="79" spans="1:8" ht="13.5" x14ac:dyDescent="0.25">
      <c r="A79" s="1"/>
      <c r="B79" s="3">
        <v>42417</v>
      </c>
      <c r="C79" s="4">
        <v>2.87</v>
      </c>
      <c r="D79" s="4">
        <v>2.87</v>
      </c>
      <c r="E79" s="4">
        <v>594</v>
      </c>
      <c r="F79" s="4"/>
      <c r="G79" s="4"/>
      <c r="H79" s="5">
        <f t="shared" si="1"/>
        <v>1.0563380281690229E-2</v>
      </c>
    </row>
    <row r="80" spans="1:8" ht="13.5" x14ac:dyDescent="0.25">
      <c r="A80" s="1"/>
      <c r="B80" s="3">
        <v>42418</v>
      </c>
      <c r="C80" s="4">
        <v>2.9</v>
      </c>
      <c r="D80" s="4">
        <v>2.9</v>
      </c>
      <c r="E80" s="4">
        <v>2582</v>
      </c>
      <c r="F80" s="4"/>
      <c r="G80" s="4"/>
      <c r="H80" s="5">
        <f t="shared" si="1"/>
        <v>1.0452961672473799E-2</v>
      </c>
    </row>
    <row r="81" spans="1:8" ht="13.5" x14ac:dyDescent="0.25">
      <c r="A81" s="1"/>
      <c r="B81" s="3">
        <v>42419</v>
      </c>
      <c r="C81" s="4">
        <v>2.9</v>
      </c>
      <c r="D81" s="4">
        <v>2.9</v>
      </c>
      <c r="E81" s="4">
        <v>5770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2.9</v>
      </c>
      <c r="D82" s="4">
        <v>2.9</v>
      </c>
      <c r="E82" s="4">
        <v>750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2.9</v>
      </c>
      <c r="D83" s="4">
        <v>2.9</v>
      </c>
      <c r="E83" s="4">
        <v>4005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2.85</v>
      </c>
      <c r="D84" s="4">
        <v>2.85</v>
      </c>
      <c r="E84" s="4">
        <v>3151</v>
      </c>
      <c r="F84" s="4"/>
      <c r="G84" s="4"/>
      <c r="H84" s="5">
        <f t="shared" si="1"/>
        <v>-1.7241379310344768E-2</v>
      </c>
    </row>
    <row r="85" spans="1:8" ht="13.5" x14ac:dyDescent="0.25">
      <c r="A85" s="1"/>
      <c r="B85" s="3">
        <v>42425</v>
      </c>
      <c r="C85" s="4">
        <v>2.9</v>
      </c>
      <c r="D85" s="4">
        <v>2.9</v>
      </c>
      <c r="E85" s="4">
        <v>799</v>
      </c>
      <c r="F85" s="4"/>
      <c r="G85" s="4"/>
      <c r="H85" s="5">
        <f t="shared" si="1"/>
        <v>1.7543859649122744E-2</v>
      </c>
    </row>
    <row r="86" spans="1:8" ht="13.5" x14ac:dyDescent="0.25">
      <c r="A86" s="1"/>
      <c r="B86" s="3">
        <v>42426</v>
      </c>
      <c r="C86" s="4">
        <v>2.97</v>
      </c>
      <c r="D86" s="4">
        <v>2.97</v>
      </c>
      <c r="E86" s="4">
        <v>61</v>
      </c>
      <c r="F86" s="4"/>
      <c r="G86" s="4"/>
      <c r="H86" s="5">
        <f t="shared" si="1"/>
        <v>2.4137931034482859E-2</v>
      </c>
    </row>
    <row r="87" spans="1:8" ht="13.5" x14ac:dyDescent="0.25">
      <c r="A87" s="1"/>
      <c r="B87" s="3">
        <v>42429</v>
      </c>
      <c r="C87" s="4">
        <v>2.9</v>
      </c>
      <c r="D87" s="4">
        <v>2.9</v>
      </c>
      <c r="E87" s="4">
        <v>3415</v>
      </c>
      <c r="F87" s="4"/>
      <c r="G87" s="4"/>
      <c r="H87" s="5">
        <f t="shared" si="1"/>
        <v>-2.3569023569023663E-2</v>
      </c>
    </row>
    <row r="88" spans="1:8" ht="13.5" x14ac:dyDescent="0.25">
      <c r="A88" s="1"/>
      <c r="B88" s="3">
        <v>42430</v>
      </c>
      <c r="C88" s="4">
        <v>2.9</v>
      </c>
      <c r="D88" s="4">
        <v>2.9</v>
      </c>
      <c r="E88" s="4">
        <v>2740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2.83</v>
      </c>
      <c r="D89" s="4">
        <v>2.83</v>
      </c>
      <c r="E89" s="4">
        <v>6486</v>
      </c>
      <c r="F89" s="4"/>
      <c r="G89" s="4"/>
      <c r="H89" s="5">
        <f t="shared" si="1"/>
        <v>-2.4137931034482703E-2</v>
      </c>
    </row>
    <row r="90" spans="1:8" ht="13.5" x14ac:dyDescent="0.25">
      <c r="A90" s="1"/>
      <c r="B90" s="3">
        <v>42432</v>
      </c>
      <c r="C90" s="4">
        <v>2.85</v>
      </c>
      <c r="D90" s="4">
        <v>2.85</v>
      </c>
      <c r="E90" s="4">
        <v>1450</v>
      </c>
      <c r="F90" s="4"/>
      <c r="G90" s="4"/>
      <c r="H90" s="5">
        <f t="shared" si="1"/>
        <v>7.0671378091872851E-3</v>
      </c>
    </row>
    <row r="91" spans="1:8" ht="13.5" x14ac:dyDescent="0.25">
      <c r="A91" s="1"/>
      <c r="B91" s="3">
        <v>42433</v>
      </c>
      <c r="C91" s="4">
        <v>2.8</v>
      </c>
      <c r="D91" s="4">
        <v>2.8</v>
      </c>
      <c r="E91" s="4">
        <v>535</v>
      </c>
      <c r="F91" s="4"/>
      <c r="G91" s="4"/>
      <c r="H91" s="5">
        <f t="shared" si="1"/>
        <v>-1.75438596491229E-2</v>
      </c>
    </row>
    <row r="92" spans="1:8" ht="13.5" x14ac:dyDescent="0.25">
      <c r="A92" s="1"/>
      <c r="B92" s="3">
        <v>42436</v>
      </c>
      <c r="C92" s="4">
        <v>2.8</v>
      </c>
      <c r="D92" s="4">
        <v>2.8</v>
      </c>
      <c r="E92" s="4">
        <v>352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2.8</v>
      </c>
      <c r="D93" s="4">
        <v>2.8</v>
      </c>
      <c r="E93" s="4">
        <v>140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42438</v>
      </c>
      <c r="C94" s="4">
        <v>2.8</v>
      </c>
      <c r="D94" s="4">
        <v>2.8</v>
      </c>
      <c r="E94" s="4">
        <v>0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2.88</v>
      </c>
      <c r="D95" s="4">
        <v>2.88</v>
      </c>
      <c r="E95" s="4">
        <v>695</v>
      </c>
      <c r="F95" s="4"/>
      <c r="G95" s="4"/>
      <c r="H95" s="5">
        <f t="shared" si="1"/>
        <v>2.8571428571428598E-2</v>
      </c>
    </row>
    <row r="96" spans="1:8" ht="13.5" x14ac:dyDescent="0.25">
      <c r="A96" s="1"/>
      <c r="B96" s="3">
        <v>42440</v>
      </c>
      <c r="C96" s="4">
        <v>2.88</v>
      </c>
      <c r="D96" s="4">
        <v>2.88</v>
      </c>
      <c r="E96" s="4">
        <v>338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2.81</v>
      </c>
      <c r="D97" s="4">
        <v>2.81</v>
      </c>
      <c r="E97" s="4">
        <v>54</v>
      </c>
      <c r="F97" s="4"/>
      <c r="G97" s="4"/>
      <c r="H97" s="5">
        <f t="shared" si="1"/>
        <v>-2.43055555555555E-2</v>
      </c>
    </row>
    <row r="98" spans="1:8" ht="13.5" x14ac:dyDescent="0.25">
      <c r="A98" s="1"/>
      <c r="B98" s="3">
        <v>42444</v>
      </c>
      <c r="C98" s="4">
        <v>2.81</v>
      </c>
      <c r="D98" s="4">
        <v>2.81</v>
      </c>
      <c r="E98" s="4">
        <v>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2.81</v>
      </c>
      <c r="D99" s="4">
        <v>2.81</v>
      </c>
      <c r="E99" s="4">
        <v>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2.81</v>
      </c>
      <c r="D100" s="4">
        <v>2.81</v>
      </c>
      <c r="E100" s="4">
        <v>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2.82</v>
      </c>
      <c r="D101" s="4">
        <v>2.82</v>
      </c>
      <c r="E101" s="4">
        <v>777</v>
      </c>
      <c r="F101" s="4"/>
      <c r="G101" s="4"/>
      <c r="H101" s="5">
        <f t="shared" si="1"/>
        <v>3.5587188612098883E-3</v>
      </c>
    </row>
    <row r="102" spans="1:8" ht="13.5" x14ac:dyDescent="0.25">
      <c r="A102" s="1"/>
      <c r="B102" s="3">
        <v>42450</v>
      </c>
      <c r="C102" s="4">
        <v>2.82</v>
      </c>
      <c r="D102" s="4">
        <v>2.82</v>
      </c>
      <c r="E102" s="4">
        <v>166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2.82</v>
      </c>
      <c r="D103" s="4">
        <v>2.82</v>
      </c>
      <c r="E103" s="4">
        <v>333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2.81</v>
      </c>
      <c r="D104" s="4">
        <v>2.81</v>
      </c>
      <c r="E104" s="4">
        <v>1648</v>
      </c>
      <c r="F104" s="4"/>
      <c r="G104" s="4"/>
      <c r="H104" s="5">
        <f t="shared" si="1"/>
        <v>-3.5460992907800663E-3</v>
      </c>
    </row>
    <row r="105" spans="1:8" ht="13.5" x14ac:dyDescent="0.25">
      <c r="A105" s="1"/>
      <c r="B105" s="3">
        <v>42453</v>
      </c>
      <c r="C105" s="4">
        <v>2.8</v>
      </c>
      <c r="D105" s="4">
        <v>2.8</v>
      </c>
      <c r="E105" s="4">
        <v>790</v>
      </c>
      <c r="F105" s="4"/>
      <c r="G105" s="4"/>
      <c r="H105" s="5">
        <f t="shared" si="1"/>
        <v>-3.5587188612100466E-3</v>
      </c>
    </row>
    <row r="106" spans="1:8" ht="13.5" x14ac:dyDescent="0.25">
      <c r="A106" s="1"/>
      <c r="B106" s="3">
        <v>42454</v>
      </c>
      <c r="C106" s="4">
        <v>2.8</v>
      </c>
      <c r="D106" s="4">
        <v>2.8</v>
      </c>
      <c r="E106" s="4">
        <v>1615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2.8</v>
      </c>
      <c r="D107" s="4">
        <v>2.8</v>
      </c>
      <c r="E107" s="4">
        <v>221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2.8</v>
      </c>
      <c r="D108" s="4">
        <v>2.8</v>
      </c>
      <c r="E108" s="4">
        <v>1263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2.8</v>
      </c>
      <c r="D109" s="4">
        <v>2.8</v>
      </c>
      <c r="E109" s="4">
        <v>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2.75</v>
      </c>
      <c r="D110" s="4">
        <v>2.75</v>
      </c>
      <c r="E110" s="4">
        <v>472</v>
      </c>
      <c r="F110" s="4"/>
      <c r="G110" s="4"/>
      <c r="H110" s="5">
        <f t="shared" si="1"/>
        <v>-1.7857142857142794E-2</v>
      </c>
    </row>
    <row r="111" spans="1:8" ht="13.5" x14ac:dyDescent="0.25">
      <c r="A111" s="1"/>
      <c r="B111" s="3">
        <v>42461</v>
      </c>
      <c r="C111" s="4">
        <v>2.75</v>
      </c>
      <c r="D111" s="4">
        <v>2.75</v>
      </c>
      <c r="E111" s="4">
        <v>50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2.75</v>
      </c>
      <c r="D112" s="4">
        <v>2.75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2.75</v>
      </c>
      <c r="D113" s="4">
        <v>2.75</v>
      </c>
      <c r="E113" s="4">
        <v>1356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2.68</v>
      </c>
      <c r="D114" s="4">
        <v>2.68</v>
      </c>
      <c r="E114" s="4">
        <v>500</v>
      </c>
      <c r="F114" s="4"/>
      <c r="G114" s="4"/>
      <c r="H114" s="5">
        <f t="shared" si="1"/>
        <v>-2.5454545454545396E-2</v>
      </c>
    </row>
    <row r="115" spans="1:8" ht="13.5" x14ac:dyDescent="0.25">
      <c r="A115" s="1"/>
      <c r="B115" s="3">
        <v>42467</v>
      </c>
      <c r="C115" s="4">
        <v>2.8</v>
      </c>
      <c r="D115" s="4">
        <v>2.8</v>
      </c>
      <c r="E115" s="4">
        <v>1</v>
      </c>
      <c r="F115" s="4"/>
      <c r="G115" s="4"/>
      <c r="H115" s="5">
        <f t="shared" si="1"/>
        <v>4.4776119402984947E-2</v>
      </c>
    </row>
    <row r="116" spans="1:8" ht="13.5" x14ac:dyDescent="0.25">
      <c r="A116" s="1"/>
      <c r="B116" s="3">
        <v>42468</v>
      </c>
      <c r="C116" s="4">
        <v>2.8</v>
      </c>
      <c r="D116" s="4">
        <v>2.8</v>
      </c>
      <c r="E116" s="4">
        <v>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2.72</v>
      </c>
      <c r="D117" s="4">
        <v>2.72</v>
      </c>
      <c r="E117" s="4">
        <v>3821</v>
      </c>
      <c r="F117" s="4"/>
      <c r="G117" s="4"/>
      <c r="H117" s="5">
        <f t="shared" si="1"/>
        <v>-2.8571428571428439E-2</v>
      </c>
    </row>
    <row r="118" spans="1:8" ht="13.5" x14ac:dyDescent="0.25">
      <c r="A118" s="1"/>
      <c r="B118" s="3">
        <v>42472</v>
      </c>
      <c r="C118" s="4">
        <v>2.84</v>
      </c>
      <c r="D118" s="4">
        <v>2.84</v>
      </c>
      <c r="E118" s="4">
        <v>0</v>
      </c>
      <c r="F118" s="4"/>
      <c r="G118" s="4"/>
      <c r="H118" s="5">
        <f t="shared" si="1"/>
        <v>4.41176470588234E-2</v>
      </c>
    </row>
    <row r="119" spans="1:8" ht="13.5" x14ac:dyDescent="0.25">
      <c r="A119" s="1"/>
      <c r="B119" s="3">
        <v>42473</v>
      </c>
      <c r="C119" s="4">
        <v>2.8</v>
      </c>
      <c r="D119" s="4">
        <v>2.8</v>
      </c>
      <c r="E119" s="4">
        <v>157</v>
      </c>
      <c r="F119" s="4"/>
      <c r="G119" s="4"/>
      <c r="H119" s="5">
        <f t="shared" si="1"/>
        <v>-1.4084507042253534E-2</v>
      </c>
    </row>
    <row r="120" spans="1:8" ht="13.5" x14ac:dyDescent="0.25">
      <c r="A120" s="1"/>
      <c r="B120" s="3">
        <v>42474</v>
      </c>
      <c r="C120" s="4">
        <v>2.78</v>
      </c>
      <c r="D120" s="4">
        <v>2.78</v>
      </c>
      <c r="E120" s="4">
        <v>27</v>
      </c>
      <c r="F120" s="4"/>
      <c r="G120" s="4"/>
      <c r="H120" s="5">
        <f t="shared" si="1"/>
        <v>-7.1428571428571496E-3</v>
      </c>
    </row>
    <row r="121" spans="1:8" ht="13.5" x14ac:dyDescent="0.25">
      <c r="A121" s="1"/>
      <c r="B121" s="3">
        <v>42475</v>
      </c>
      <c r="C121" s="4">
        <v>2.7</v>
      </c>
      <c r="D121" s="4">
        <v>2.7</v>
      </c>
      <c r="E121" s="4">
        <v>3119</v>
      </c>
      <c r="F121" s="4"/>
      <c r="G121" s="4"/>
      <c r="H121" s="5">
        <f t="shared" si="1"/>
        <v>-2.8776978417266053E-2</v>
      </c>
    </row>
    <row r="122" spans="1:8" ht="13.5" x14ac:dyDescent="0.25">
      <c r="A122" s="1"/>
      <c r="B122" s="3">
        <v>42478</v>
      </c>
      <c r="C122" s="4">
        <v>2.62</v>
      </c>
      <c r="D122" s="4">
        <v>2.62</v>
      </c>
      <c r="E122" s="4">
        <v>5837</v>
      </c>
      <c r="F122" s="4"/>
      <c r="G122" s="4"/>
      <c r="H122" s="5">
        <f t="shared" si="1"/>
        <v>-2.9629629629629655E-2</v>
      </c>
    </row>
    <row r="123" spans="1:8" ht="13.5" x14ac:dyDescent="0.25">
      <c r="A123" s="1"/>
      <c r="B123" s="3">
        <v>42479</v>
      </c>
      <c r="C123" s="4">
        <v>2.6</v>
      </c>
      <c r="D123" s="4">
        <v>2.6</v>
      </c>
      <c r="E123" s="4">
        <v>9799</v>
      </c>
      <c r="F123" s="4"/>
      <c r="G123" s="4"/>
      <c r="H123" s="5">
        <f t="shared" si="1"/>
        <v>-7.6335877862595486E-3</v>
      </c>
    </row>
    <row r="124" spans="1:8" ht="13.5" x14ac:dyDescent="0.25">
      <c r="A124" s="1"/>
      <c r="B124" s="3">
        <v>42480</v>
      </c>
      <c r="C124" s="4">
        <v>2.75</v>
      </c>
      <c r="D124" s="4">
        <v>2.75</v>
      </c>
      <c r="E124" s="4">
        <v>630</v>
      </c>
      <c r="F124" s="4"/>
      <c r="G124" s="4"/>
      <c r="H124" s="5">
        <f t="shared" si="1"/>
        <v>5.7692307692307654E-2</v>
      </c>
    </row>
    <row r="125" spans="1:8" ht="13.5" x14ac:dyDescent="0.25">
      <c r="A125" s="1"/>
      <c r="B125" s="3">
        <v>42481</v>
      </c>
      <c r="C125" s="4">
        <v>2.87</v>
      </c>
      <c r="D125" s="4">
        <v>2.87</v>
      </c>
      <c r="E125" s="4">
        <v>0</v>
      </c>
      <c r="F125" s="4"/>
      <c r="G125" s="4"/>
      <c r="H125" s="5">
        <f t="shared" si="1"/>
        <v>4.3636363636363674E-2</v>
      </c>
    </row>
    <row r="126" spans="1:8" ht="13.5" x14ac:dyDescent="0.25">
      <c r="A126" s="1"/>
      <c r="B126" s="3">
        <v>42482</v>
      </c>
      <c r="C126" s="4">
        <v>2.73</v>
      </c>
      <c r="D126" s="4">
        <v>2.73</v>
      </c>
      <c r="E126" s="4">
        <v>5218</v>
      </c>
      <c r="F126" s="4"/>
      <c r="G126" s="4"/>
      <c r="H126" s="5">
        <f t="shared" si="1"/>
        <v>-4.8780487804878092E-2</v>
      </c>
    </row>
    <row r="127" spans="1:8" ht="13.5" x14ac:dyDescent="0.25">
      <c r="A127" s="1"/>
      <c r="B127" s="3">
        <v>42485</v>
      </c>
      <c r="C127" s="4">
        <v>2.65</v>
      </c>
      <c r="D127" s="4">
        <v>2.65</v>
      </c>
      <c r="E127" s="4">
        <v>10728</v>
      </c>
      <c r="F127" s="4"/>
      <c r="G127" s="4"/>
      <c r="H127" s="5">
        <f t="shared" si="1"/>
        <v>-2.9304029304029332E-2</v>
      </c>
    </row>
    <row r="128" spans="1:8" ht="13.5" x14ac:dyDescent="0.25">
      <c r="A128" s="1"/>
      <c r="B128" s="3">
        <v>42486</v>
      </c>
      <c r="C128" s="4">
        <v>2.67</v>
      </c>
      <c r="D128" s="4">
        <v>2.67</v>
      </c>
      <c r="E128" s="4">
        <v>1767</v>
      </c>
      <c r="F128" s="4"/>
      <c r="G128" s="4"/>
      <c r="H128" s="5">
        <f t="shared" si="1"/>
        <v>7.5471698113207617E-3</v>
      </c>
    </row>
    <row r="129" spans="1:8" ht="13.5" x14ac:dyDescent="0.25">
      <c r="A129" s="1"/>
      <c r="B129" s="3">
        <v>42487</v>
      </c>
      <c r="C129" s="4">
        <v>2.74</v>
      </c>
      <c r="D129" s="4">
        <v>2.74</v>
      </c>
      <c r="E129" s="4">
        <v>592</v>
      </c>
      <c r="F129" s="4"/>
      <c r="G129" s="4"/>
      <c r="H129" s="5">
        <f t="shared" si="1"/>
        <v>2.6217228464419581E-2</v>
      </c>
    </row>
    <row r="130" spans="1:8" ht="13.5" x14ac:dyDescent="0.25">
      <c r="A130" s="1"/>
      <c r="B130" s="3">
        <v>42488</v>
      </c>
      <c r="C130" s="4">
        <v>2.66</v>
      </c>
      <c r="D130" s="4">
        <v>2.66</v>
      </c>
      <c r="E130" s="4">
        <v>136</v>
      </c>
      <c r="F130" s="4"/>
      <c r="G130" s="4"/>
      <c r="H130" s="5">
        <f t="shared" si="1"/>
        <v>-2.9197080291970826E-2</v>
      </c>
    </row>
    <row r="131" spans="1:8" ht="13.5" x14ac:dyDescent="0.25">
      <c r="A131" s="1"/>
      <c r="B131" s="3">
        <v>42489</v>
      </c>
      <c r="C131" s="4">
        <v>2.7</v>
      </c>
      <c r="D131" s="4">
        <v>2.7</v>
      </c>
      <c r="E131" s="4">
        <v>4426</v>
      </c>
      <c r="F131" s="4"/>
      <c r="G131" s="4"/>
      <c r="H131" s="5">
        <f t="shared" si="1"/>
        <v>1.5037593984962419E-2</v>
      </c>
    </row>
    <row r="132" spans="1:8" ht="13.5" x14ac:dyDescent="0.25">
      <c r="A132" s="1"/>
      <c r="B132" s="3">
        <v>42492</v>
      </c>
      <c r="C132" s="4">
        <v>2.62</v>
      </c>
      <c r="D132" s="4">
        <v>2.62</v>
      </c>
      <c r="E132" s="4">
        <v>11852</v>
      </c>
      <c r="F132" s="4"/>
      <c r="G132" s="4"/>
      <c r="H132" s="5">
        <f t="shared" si="1"/>
        <v>-2.9629629629629655E-2</v>
      </c>
    </row>
    <row r="133" spans="1:8" ht="13.5" x14ac:dyDescent="0.25">
      <c r="A133" s="1"/>
      <c r="B133" s="3">
        <v>42493</v>
      </c>
      <c r="C133" s="4">
        <v>2.7</v>
      </c>
      <c r="D133" s="4">
        <v>2.7</v>
      </c>
      <c r="E133" s="4">
        <v>627</v>
      </c>
      <c r="F133" s="4"/>
      <c r="G133" s="4"/>
      <c r="H133" s="5">
        <f t="shared" si="1"/>
        <v>3.0534351145038195E-2</v>
      </c>
    </row>
    <row r="134" spans="1:8" ht="13.5" x14ac:dyDescent="0.25">
      <c r="A134" s="1"/>
      <c r="B134" s="3">
        <v>42494</v>
      </c>
      <c r="C134" s="4">
        <v>2.63</v>
      </c>
      <c r="D134" s="4">
        <v>2.63</v>
      </c>
      <c r="E134" s="4">
        <v>3318</v>
      </c>
      <c r="F134" s="4"/>
      <c r="G134" s="4"/>
      <c r="H134" s="5">
        <f t="shared" si="1"/>
        <v>-2.5925925925926029E-2</v>
      </c>
    </row>
    <row r="135" spans="1:8" ht="13.5" x14ac:dyDescent="0.25">
      <c r="A135" s="1"/>
      <c r="B135" s="3">
        <v>42495</v>
      </c>
      <c r="C135" s="4">
        <v>2.6</v>
      </c>
      <c r="D135" s="4">
        <v>2.6</v>
      </c>
      <c r="E135" s="4">
        <v>2614</v>
      </c>
      <c r="F135" s="4"/>
      <c r="G135" s="4"/>
      <c r="H135" s="5">
        <f t="shared" ref="H135:H198" si="2">(D135-D134)/D134</f>
        <v>-1.1406844106463804E-2</v>
      </c>
    </row>
    <row r="136" spans="1:8" ht="13.5" x14ac:dyDescent="0.25">
      <c r="A136" s="1"/>
      <c r="B136" s="3">
        <v>42496</v>
      </c>
      <c r="C136" s="4">
        <v>2.65</v>
      </c>
      <c r="D136" s="4">
        <v>2.65</v>
      </c>
      <c r="E136" s="4">
        <v>2546</v>
      </c>
      <c r="F136" s="4"/>
      <c r="G136" s="4"/>
      <c r="H136" s="5">
        <f t="shared" si="2"/>
        <v>1.9230769230769162E-2</v>
      </c>
    </row>
    <row r="137" spans="1:8" ht="13.5" x14ac:dyDescent="0.25">
      <c r="A137" s="1"/>
      <c r="B137" s="3">
        <v>42499</v>
      </c>
      <c r="C137" s="4">
        <v>2.67</v>
      </c>
      <c r="D137" s="4">
        <v>2.67</v>
      </c>
      <c r="E137" s="4">
        <v>473</v>
      </c>
      <c r="F137" s="4"/>
      <c r="G137" s="4"/>
      <c r="H137" s="5">
        <f t="shared" si="2"/>
        <v>7.5471698113207617E-3</v>
      </c>
    </row>
    <row r="138" spans="1:8" ht="13.5" x14ac:dyDescent="0.25">
      <c r="A138" s="1"/>
      <c r="B138" s="3">
        <v>42500</v>
      </c>
      <c r="C138" s="4">
        <v>2.62</v>
      </c>
      <c r="D138" s="4">
        <v>2.62</v>
      </c>
      <c r="E138" s="4">
        <v>3144</v>
      </c>
      <c r="F138" s="4"/>
      <c r="G138" s="4"/>
      <c r="H138" s="5">
        <f t="shared" si="2"/>
        <v>-1.872659176029956E-2</v>
      </c>
    </row>
    <row r="139" spans="1:8" ht="13.5" x14ac:dyDescent="0.25">
      <c r="A139" s="1"/>
      <c r="B139" s="3">
        <v>42501</v>
      </c>
      <c r="C139" s="4">
        <v>2.62</v>
      </c>
      <c r="D139" s="4">
        <v>2.62</v>
      </c>
      <c r="E139" s="4">
        <v>3128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2.65</v>
      </c>
      <c r="D140" s="4">
        <v>2.65</v>
      </c>
      <c r="E140" s="4">
        <v>197</v>
      </c>
      <c r="F140" s="4"/>
      <c r="G140" s="4"/>
      <c r="H140" s="5">
        <f t="shared" si="2"/>
        <v>1.1450381679389238E-2</v>
      </c>
    </row>
    <row r="141" spans="1:8" ht="13.5" x14ac:dyDescent="0.25">
      <c r="A141" s="1"/>
      <c r="B141" s="3">
        <v>42503</v>
      </c>
      <c r="C141" s="4">
        <v>2.73</v>
      </c>
      <c r="D141" s="4">
        <v>2.73</v>
      </c>
      <c r="E141" s="4">
        <v>4199</v>
      </c>
      <c r="F141" s="4"/>
      <c r="G141" s="4"/>
      <c r="H141" s="5">
        <f t="shared" si="2"/>
        <v>3.0188679245283047E-2</v>
      </c>
    </row>
    <row r="142" spans="1:8" ht="13.5" x14ac:dyDescent="0.25">
      <c r="A142" s="1"/>
      <c r="B142" s="3">
        <v>42506</v>
      </c>
      <c r="C142" s="4">
        <v>2.74</v>
      </c>
      <c r="D142" s="4">
        <v>2.74</v>
      </c>
      <c r="E142" s="4">
        <v>1005</v>
      </c>
      <c r="F142" s="4"/>
      <c r="G142" s="4"/>
      <c r="H142" s="5">
        <f t="shared" si="2"/>
        <v>3.6630036630037476E-3</v>
      </c>
    </row>
    <row r="143" spans="1:8" ht="13.5" x14ac:dyDescent="0.25">
      <c r="A143" s="1"/>
      <c r="B143" s="3">
        <v>42507</v>
      </c>
      <c r="C143" s="4">
        <v>2.74</v>
      </c>
      <c r="D143" s="4">
        <v>2.74</v>
      </c>
      <c r="E143" s="4">
        <v>2026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2.66</v>
      </c>
      <c r="D144" s="4">
        <v>2.66</v>
      </c>
      <c r="E144" s="4">
        <v>2565</v>
      </c>
      <c r="F144" s="4"/>
      <c r="G144" s="4"/>
      <c r="H144" s="5">
        <f t="shared" si="2"/>
        <v>-2.9197080291970826E-2</v>
      </c>
    </row>
    <row r="145" spans="1:8" ht="13.5" x14ac:dyDescent="0.25">
      <c r="A145" s="1"/>
      <c r="B145" s="3">
        <v>42509</v>
      </c>
      <c r="C145" s="4">
        <v>2.62</v>
      </c>
      <c r="D145" s="4">
        <v>2.62</v>
      </c>
      <c r="E145" s="4">
        <v>807</v>
      </c>
      <c r="F145" s="4"/>
      <c r="G145" s="4"/>
      <c r="H145" s="5">
        <f t="shared" si="2"/>
        <v>-1.5037593984962419E-2</v>
      </c>
    </row>
    <row r="146" spans="1:8" ht="13.5" x14ac:dyDescent="0.25">
      <c r="A146" s="1"/>
      <c r="B146" s="3">
        <v>42510</v>
      </c>
      <c r="C146" s="4">
        <v>2.65</v>
      </c>
      <c r="D146" s="4">
        <v>2.65</v>
      </c>
      <c r="E146" s="4">
        <v>50</v>
      </c>
      <c r="F146" s="4"/>
      <c r="G146" s="4"/>
      <c r="H146" s="5">
        <f t="shared" si="2"/>
        <v>1.1450381679389238E-2</v>
      </c>
    </row>
    <row r="147" spans="1:8" ht="13.5" x14ac:dyDescent="0.25">
      <c r="A147" s="1"/>
      <c r="B147" s="3">
        <v>42513</v>
      </c>
      <c r="C147" s="4">
        <v>2.7</v>
      </c>
      <c r="D147" s="4">
        <v>2.7</v>
      </c>
      <c r="E147" s="4">
        <v>100</v>
      </c>
      <c r="F147" s="4"/>
      <c r="G147" s="4"/>
      <c r="H147" s="5">
        <f t="shared" si="2"/>
        <v>1.8867924528301987E-2</v>
      </c>
    </row>
    <row r="148" spans="1:8" ht="13.5" x14ac:dyDescent="0.25">
      <c r="A148" s="1"/>
      <c r="B148" s="3">
        <v>42514</v>
      </c>
      <c r="C148" s="4">
        <v>2.62</v>
      </c>
      <c r="D148" s="4">
        <v>2.62</v>
      </c>
      <c r="E148" s="4">
        <v>210</v>
      </c>
      <c r="F148" s="4"/>
      <c r="G148" s="4"/>
      <c r="H148" s="5">
        <f t="shared" si="2"/>
        <v>-2.9629629629629655E-2</v>
      </c>
    </row>
    <row r="149" spans="1:8" ht="13.5" x14ac:dyDescent="0.25">
      <c r="A149" s="1"/>
      <c r="B149" s="3">
        <v>42515</v>
      </c>
      <c r="C149" s="4">
        <v>2.68</v>
      </c>
      <c r="D149" s="4">
        <v>2.68</v>
      </c>
      <c r="E149" s="4">
        <v>173</v>
      </c>
      <c r="F149" s="4"/>
      <c r="G149" s="4"/>
      <c r="H149" s="5">
        <f t="shared" si="2"/>
        <v>2.2900763358778647E-2</v>
      </c>
    </row>
    <row r="150" spans="1:8" ht="13.5" x14ac:dyDescent="0.25">
      <c r="A150" s="1"/>
      <c r="B150" s="3">
        <v>42516</v>
      </c>
      <c r="C150" s="4">
        <v>2.75</v>
      </c>
      <c r="D150" s="4">
        <v>2.75</v>
      </c>
      <c r="E150" s="4">
        <v>2280</v>
      </c>
      <c r="F150" s="4"/>
      <c r="G150" s="4"/>
      <c r="H150" s="5">
        <f t="shared" si="2"/>
        <v>2.6119402985074567E-2</v>
      </c>
    </row>
    <row r="151" spans="1:8" ht="13.5" x14ac:dyDescent="0.25">
      <c r="A151" s="1"/>
      <c r="B151" s="3">
        <v>42517</v>
      </c>
      <c r="C151" s="4">
        <v>2.8</v>
      </c>
      <c r="D151" s="4">
        <v>2.8</v>
      </c>
      <c r="E151" s="4">
        <v>727</v>
      </c>
      <c r="F151" s="4"/>
      <c r="G151" s="4"/>
      <c r="H151" s="5">
        <f t="shared" si="2"/>
        <v>1.8181818181818118E-2</v>
      </c>
    </row>
    <row r="152" spans="1:8" ht="13.5" x14ac:dyDescent="0.25">
      <c r="A152" s="1"/>
      <c r="B152" s="3">
        <v>42520</v>
      </c>
      <c r="C152" s="4">
        <v>2.86</v>
      </c>
      <c r="D152" s="4">
        <v>2.86</v>
      </c>
      <c r="E152" s="4">
        <v>553</v>
      </c>
      <c r="F152" s="4"/>
      <c r="G152" s="4"/>
      <c r="H152" s="5">
        <f t="shared" si="2"/>
        <v>2.142857142857145E-2</v>
      </c>
    </row>
    <row r="153" spans="1:8" ht="13.5" x14ac:dyDescent="0.25">
      <c r="A153" s="1"/>
      <c r="B153" s="3">
        <v>42521</v>
      </c>
      <c r="C153" s="4">
        <v>2.84</v>
      </c>
      <c r="D153" s="4">
        <v>2.84</v>
      </c>
      <c r="E153" s="4">
        <v>1365</v>
      </c>
      <c r="F153" s="4"/>
      <c r="G153" s="4"/>
      <c r="H153" s="5">
        <f t="shared" si="2"/>
        <v>-6.9930069930069999E-3</v>
      </c>
    </row>
    <row r="154" spans="1:8" ht="13.5" x14ac:dyDescent="0.25">
      <c r="A154" s="1"/>
      <c r="B154" s="3">
        <v>42522</v>
      </c>
      <c r="C154" s="4">
        <v>2.84</v>
      </c>
      <c r="D154" s="4">
        <v>2.84</v>
      </c>
      <c r="E154" s="4">
        <v>573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2.8</v>
      </c>
      <c r="D155" s="4">
        <v>2.8</v>
      </c>
      <c r="E155" s="4">
        <v>90</v>
      </c>
      <c r="F155" s="4"/>
      <c r="G155" s="4"/>
      <c r="H155" s="5">
        <f t="shared" si="2"/>
        <v>-1.4084507042253534E-2</v>
      </c>
    </row>
    <row r="156" spans="1:8" ht="13.5" x14ac:dyDescent="0.25">
      <c r="A156" s="1"/>
      <c r="B156" s="3">
        <v>42524</v>
      </c>
      <c r="C156" s="4">
        <v>2.82</v>
      </c>
      <c r="D156" s="4">
        <v>2.82</v>
      </c>
      <c r="E156" s="4">
        <v>449</v>
      </c>
      <c r="F156" s="4"/>
      <c r="G156" s="4"/>
      <c r="H156" s="5">
        <f t="shared" si="2"/>
        <v>7.1428571428571496E-3</v>
      </c>
    </row>
    <row r="157" spans="1:8" ht="13.5" x14ac:dyDescent="0.25">
      <c r="A157" s="1"/>
      <c r="B157" s="3">
        <v>42527</v>
      </c>
      <c r="C157" s="4">
        <v>2.82</v>
      </c>
      <c r="D157" s="4">
        <v>2.82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2.82</v>
      </c>
      <c r="D158" s="4">
        <v>2.82</v>
      </c>
      <c r="E158" s="4">
        <v>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2.7</v>
      </c>
      <c r="D159" s="4">
        <v>2.7</v>
      </c>
      <c r="E159" s="4">
        <v>100</v>
      </c>
      <c r="F159" s="4"/>
      <c r="G159" s="4"/>
      <c r="H159" s="5">
        <f t="shared" si="2"/>
        <v>-4.2553191489361583E-2</v>
      </c>
    </row>
    <row r="160" spans="1:8" ht="13.5" x14ac:dyDescent="0.25">
      <c r="A160" s="1"/>
      <c r="B160" s="3">
        <v>42530</v>
      </c>
      <c r="C160" s="4">
        <v>2.75</v>
      </c>
      <c r="D160" s="4">
        <v>2.75</v>
      </c>
      <c r="E160" s="4">
        <v>1786</v>
      </c>
      <c r="F160" s="4"/>
      <c r="G160" s="4"/>
      <c r="H160" s="5">
        <f t="shared" si="2"/>
        <v>1.8518518518518452E-2</v>
      </c>
    </row>
    <row r="161" spans="1:8" ht="13.5" x14ac:dyDescent="0.25">
      <c r="A161" s="1"/>
      <c r="B161" s="3">
        <v>42531</v>
      </c>
      <c r="C161" s="4">
        <v>2.8</v>
      </c>
      <c r="D161" s="4">
        <v>2.8</v>
      </c>
      <c r="E161" s="4">
        <v>2420</v>
      </c>
      <c r="F161" s="4"/>
      <c r="G161" s="4"/>
      <c r="H161" s="5">
        <f t="shared" si="2"/>
        <v>1.8181818181818118E-2</v>
      </c>
    </row>
    <row r="162" spans="1:8" ht="13.5" x14ac:dyDescent="0.25">
      <c r="A162" s="1"/>
      <c r="B162" s="3">
        <v>42534</v>
      </c>
      <c r="C162" s="4">
        <v>2.81</v>
      </c>
      <c r="D162" s="4">
        <v>2.81</v>
      </c>
      <c r="E162" s="4">
        <v>11050</v>
      </c>
      <c r="F162" s="4"/>
      <c r="G162" s="4"/>
      <c r="H162" s="5">
        <f t="shared" si="2"/>
        <v>3.5714285714286542E-3</v>
      </c>
    </row>
    <row r="163" spans="1:8" ht="13.5" x14ac:dyDescent="0.25">
      <c r="A163" s="1"/>
      <c r="B163" s="3">
        <v>42535</v>
      </c>
      <c r="C163" s="4">
        <v>2.81</v>
      </c>
      <c r="D163" s="4">
        <v>2.81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2.81</v>
      </c>
      <c r="D164" s="4">
        <v>2.81</v>
      </c>
      <c r="E164" s="4">
        <v>222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2.73</v>
      </c>
      <c r="D165" s="4">
        <v>2.73</v>
      </c>
      <c r="E165" s="4">
        <v>13107</v>
      </c>
      <c r="F165" s="4"/>
      <c r="G165" s="4"/>
      <c r="H165" s="5">
        <f t="shared" si="2"/>
        <v>-2.8469750889679742E-2</v>
      </c>
    </row>
    <row r="166" spans="1:8" ht="13.5" x14ac:dyDescent="0.25">
      <c r="A166" s="1"/>
      <c r="B166" s="3">
        <v>42538</v>
      </c>
      <c r="C166" s="4">
        <v>2.73</v>
      </c>
      <c r="D166" s="4">
        <v>2.73</v>
      </c>
      <c r="E166" s="4">
        <v>6000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2.73</v>
      </c>
      <c r="D167" s="4">
        <v>2.73</v>
      </c>
      <c r="E167" s="4">
        <v>0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2.85</v>
      </c>
      <c r="D168" s="4">
        <v>2.85</v>
      </c>
      <c r="E168" s="4">
        <v>2000</v>
      </c>
      <c r="F168" s="4"/>
      <c r="G168" s="4"/>
      <c r="H168" s="5">
        <f t="shared" si="2"/>
        <v>4.3956043956043994E-2</v>
      </c>
    </row>
    <row r="169" spans="1:8" ht="13.5" x14ac:dyDescent="0.25">
      <c r="A169" s="1"/>
      <c r="B169" s="3">
        <v>42543</v>
      </c>
      <c r="C169" s="4">
        <v>2.87</v>
      </c>
      <c r="D169" s="4">
        <v>2.87</v>
      </c>
      <c r="E169" s="4">
        <v>590</v>
      </c>
      <c r="F169" s="4"/>
      <c r="G169" s="4"/>
      <c r="H169" s="5">
        <f t="shared" si="2"/>
        <v>7.017543859649129E-3</v>
      </c>
    </row>
    <row r="170" spans="1:8" ht="13.5" x14ac:dyDescent="0.25">
      <c r="A170" s="1"/>
      <c r="B170" s="3">
        <v>42544</v>
      </c>
      <c r="C170" s="4">
        <v>2.87</v>
      </c>
      <c r="D170" s="4">
        <v>2.87</v>
      </c>
      <c r="E170" s="4">
        <v>0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2.87</v>
      </c>
      <c r="D171" s="4">
        <v>2.87</v>
      </c>
      <c r="E171" s="4">
        <v>450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2.9</v>
      </c>
      <c r="D172" s="4">
        <v>2.9</v>
      </c>
      <c r="E172" s="4">
        <v>710</v>
      </c>
      <c r="F172" s="4"/>
      <c r="G172" s="4"/>
      <c r="H172" s="5">
        <f t="shared" si="2"/>
        <v>1.0452961672473799E-2</v>
      </c>
    </row>
    <row r="173" spans="1:8" ht="13.5" x14ac:dyDescent="0.25">
      <c r="A173" s="1"/>
      <c r="B173" s="3">
        <v>42549</v>
      </c>
      <c r="C173" s="4">
        <v>2.9</v>
      </c>
      <c r="D173" s="4">
        <v>2.9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2.9</v>
      </c>
      <c r="D174" s="4">
        <v>2.9</v>
      </c>
      <c r="E174" s="4">
        <v>3467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2.98</v>
      </c>
      <c r="D175" s="4">
        <v>2.98</v>
      </c>
      <c r="E175" s="4">
        <v>2262</v>
      </c>
      <c r="F175" s="4"/>
      <c r="G175" s="4"/>
      <c r="H175" s="5">
        <f t="shared" si="2"/>
        <v>2.7586206896551748E-2</v>
      </c>
    </row>
    <row r="176" spans="1:8" ht="13.5" x14ac:dyDescent="0.25">
      <c r="A176" s="1"/>
      <c r="B176" s="3">
        <v>42552</v>
      </c>
      <c r="C176" s="4">
        <v>2.98</v>
      </c>
      <c r="D176" s="4">
        <v>2.98</v>
      </c>
      <c r="E176" s="4">
        <v>0</v>
      </c>
      <c r="F176" s="4"/>
      <c r="G176" s="4"/>
      <c r="H176" s="5">
        <f t="shared" si="2"/>
        <v>0</v>
      </c>
    </row>
    <row r="177" spans="1:8" ht="13.5" x14ac:dyDescent="0.25">
      <c r="A177" s="1"/>
      <c r="B177" s="3">
        <v>42555</v>
      </c>
      <c r="C177" s="4">
        <v>2.96</v>
      </c>
      <c r="D177" s="4">
        <v>2.96</v>
      </c>
      <c r="E177" s="4">
        <v>52</v>
      </c>
      <c r="F177" s="4"/>
      <c r="G177" s="4"/>
      <c r="H177" s="5">
        <f t="shared" si="2"/>
        <v>-6.7114093959731603E-3</v>
      </c>
    </row>
    <row r="178" spans="1:8" ht="13.5" x14ac:dyDescent="0.25">
      <c r="A178" s="1"/>
      <c r="B178" s="3">
        <v>42559</v>
      </c>
      <c r="C178" s="4">
        <v>2.96</v>
      </c>
      <c r="D178" s="4">
        <v>2.96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3</v>
      </c>
      <c r="D179" s="4">
        <v>3</v>
      </c>
      <c r="E179" s="4">
        <v>250</v>
      </c>
      <c r="F179" s="4"/>
      <c r="G179" s="4"/>
      <c r="H179" s="5">
        <f t="shared" si="2"/>
        <v>1.3513513513513526E-2</v>
      </c>
    </row>
    <row r="180" spans="1:8" ht="13.5" x14ac:dyDescent="0.25">
      <c r="A180" s="1"/>
      <c r="B180" s="3">
        <v>42563</v>
      </c>
      <c r="C180" s="4">
        <v>3.06</v>
      </c>
      <c r="D180" s="4">
        <v>3.06</v>
      </c>
      <c r="E180" s="4">
        <v>550</v>
      </c>
      <c r="F180" s="4"/>
      <c r="G180" s="4"/>
      <c r="H180" s="5">
        <f t="shared" si="2"/>
        <v>2.0000000000000018E-2</v>
      </c>
    </row>
    <row r="181" spans="1:8" ht="13.5" x14ac:dyDescent="0.25">
      <c r="A181" s="1"/>
      <c r="B181" s="3">
        <v>42564</v>
      </c>
      <c r="C181" s="4">
        <v>2.97</v>
      </c>
      <c r="D181" s="4">
        <v>2.97</v>
      </c>
      <c r="E181" s="4">
        <v>164</v>
      </c>
      <c r="F181" s="4"/>
      <c r="G181" s="4"/>
      <c r="H181" s="5">
        <f t="shared" si="2"/>
        <v>-2.9411764705882307E-2</v>
      </c>
    </row>
    <row r="182" spans="1:8" ht="13.5" x14ac:dyDescent="0.25">
      <c r="A182" s="1"/>
      <c r="B182" s="3">
        <v>42565</v>
      </c>
      <c r="C182" s="4">
        <v>3</v>
      </c>
      <c r="D182" s="4">
        <v>3</v>
      </c>
      <c r="E182" s="4">
        <v>48</v>
      </c>
      <c r="F182" s="4"/>
      <c r="G182" s="4"/>
      <c r="H182" s="5">
        <f t="shared" si="2"/>
        <v>1.0101010101010034E-2</v>
      </c>
    </row>
    <row r="183" spans="1:8" ht="13.5" x14ac:dyDescent="0.25">
      <c r="A183" s="1"/>
      <c r="B183" s="3">
        <v>42566</v>
      </c>
      <c r="C183" s="4">
        <v>3</v>
      </c>
      <c r="D183" s="4">
        <v>3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3</v>
      </c>
      <c r="D184" s="4">
        <v>3</v>
      </c>
      <c r="E184" s="4">
        <v>364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3</v>
      </c>
      <c r="D185" s="4">
        <v>3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3</v>
      </c>
      <c r="D186" s="4">
        <v>3</v>
      </c>
      <c r="E186" s="4">
        <v>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3</v>
      </c>
      <c r="D187" s="4">
        <v>3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2.98</v>
      </c>
      <c r="D188" s="4">
        <v>2.98</v>
      </c>
      <c r="E188" s="4">
        <v>380</v>
      </c>
      <c r="F188" s="4"/>
      <c r="G188" s="4"/>
      <c r="H188" s="5">
        <f t="shared" si="2"/>
        <v>-6.6666666666666723E-3</v>
      </c>
    </row>
    <row r="189" spans="1:8" ht="13.5" x14ac:dyDescent="0.25">
      <c r="A189" s="1"/>
      <c r="B189" s="3">
        <v>42577</v>
      </c>
      <c r="C189" s="4">
        <v>2.85</v>
      </c>
      <c r="D189" s="4">
        <v>2.85</v>
      </c>
      <c r="E189" s="4">
        <v>1464</v>
      </c>
      <c r="F189" s="4"/>
      <c r="G189" s="4"/>
      <c r="H189" s="5">
        <f t="shared" si="2"/>
        <v>-4.3624161073825468E-2</v>
      </c>
    </row>
    <row r="190" spans="1:8" ht="13.5" x14ac:dyDescent="0.25">
      <c r="A190" s="1"/>
      <c r="B190" s="3">
        <v>42578</v>
      </c>
      <c r="C190" s="4">
        <v>2.85</v>
      </c>
      <c r="D190" s="4">
        <v>2.85</v>
      </c>
      <c r="E190" s="4">
        <v>1098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2.85</v>
      </c>
      <c r="D191" s="4">
        <v>2.85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2.85</v>
      </c>
      <c r="D192" s="4">
        <v>2.85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2.8</v>
      </c>
      <c r="D193" s="4">
        <v>2.8</v>
      </c>
      <c r="E193" s="4">
        <v>73</v>
      </c>
      <c r="F193" s="4"/>
      <c r="G193" s="4"/>
      <c r="H193" s="5">
        <f t="shared" si="2"/>
        <v>-1.75438596491229E-2</v>
      </c>
    </row>
    <row r="194" spans="1:8" ht="13.5" x14ac:dyDescent="0.25">
      <c r="A194" s="1"/>
      <c r="B194" s="3">
        <v>42584</v>
      </c>
      <c r="C194" s="4">
        <v>2.8</v>
      </c>
      <c r="D194" s="4">
        <v>2.8</v>
      </c>
      <c r="E194" s="4">
        <v>800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2.9</v>
      </c>
      <c r="D195" s="4">
        <v>2.9</v>
      </c>
      <c r="E195" s="4">
        <v>200</v>
      </c>
      <c r="F195" s="4"/>
      <c r="G195" s="4"/>
      <c r="H195" s="5">
        <f t="shared" si="2"/>
        <v>3.5714285714285747E-2</v>
      </c>
    </row>
    <row r="196" spans="1:8" ht="13.5" x14ac:dyDescent="0.25">
      <c r="A196" s="1"/>
      <c r="B196" s="3">
        <v>42586</v>
      </c>
      <c r="C196" s="4">
        <v>2.9</v>
      </c>
      <c r="D196" s="4">
        <v>2.9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3.03</v>
      </c>
      <c r="D197" s="4">
        <v>3.03</v>
      </c>
      <c r="E197" s="4">
        <v>100</v>
      </c>
      <c r="F197" s="4"/>
      <c r="G197" s="4"/>
      <c r="H197" s="5">
        <f t="shared" si="2"/>
        <v>4.4827586206896516E-2</v>
      </c>
    </row>
    <row r="198" spans="1:8" ht="13.5" x14ac:dyDescent="0.25">
      <c r="A198" s="1"/>
      <c r="B198" s="3">
        <v>42590</v>
      </c>
      <c r="C198" s="4">
        <v>3.06</v>
      </c>
      <c r="D198" s="4">
        <v>3.06</v>
      </c>
      <c r="E198" s="4">
        <v>492</v>
      </c>
      <c r="F198" s="4"/>
      <c r="G198" s="4"/>
      <c r="H198" s="5">
        <f t="shared" si="2"/>
        <v>9.9009900990099844E-3</v>
      </c>
    </row>
    <row r="199" spans="1:8" ht="13.5" x14ac:dyDescent="0.25">
      <c r="A199" s="1"/>
      <c r="B199" s="3">
        <v>42591</v>
      </c>
      <c r="C199" s="4">
        <v>3</v>
      </c>
      <c r="D199" s="4">
        <v>3</v>
      </c>
      <c r="E199" s="4">
        <v>357</v>
      </c>
      <c r="F199" s="4"/>
      <c r="G199" s="4"/>
      <c r="H199" s="5">
        <f t="shared" ref="H199:H262" si="3">(D199-D198)/D198</f>
        <v>-1.9607843137254919E-2</v>
      </c>
    </row>
    <row r="200" spans="1:8" ht="13.5" x14ac:dyDescent="0.25">
      <c r="A200" s="1"/>
      <c r="B200" s="3">
        <v>42592</v>
      </c>
      <c r="C200" s="4">
        <v>2.91</v>
      </c>
      <c r="D200" s="4">
        <v>2.91</v>
      </c>
      <c r="E200" s="4">
        <v>969</v>
      </c>
      <c r="F200" s="4"/>
      <c r="G200" s="4"/>
      <c r="H200" s="5">
        <f t="shared" si="3"/>
        <v>-2.9999999999999954E-2</v>
      </c>
    </row>
    <row r="201" spans="1:8" ht="13.5" x14ac:dyDescent="0.25">
      <c r="A201" s="1"/>
      <c r="B201" s="3">
        <v>42593</v>
      </c>
      <c r="C201" s="4">
        <v>2.85</v>
      </c>
      <c r="D201" s="4">
        <v>2.85</v>
      </c>
      <c r="E201" s="4">
        <v>20</v>
      </c>
      <c r="F201" s="4"/>
      <c r="G201" s="4"/>
      <c r="H201" s="5">
        <f t="shared" si="3"/>
        <v>-2.0618556701030945E-2</v>
      </c>
    </row>
    <row r="202" spans="1:8" ht="13.5" x14ac:dyDescent="0.25">
      <c r="A202" s="1"/>
      <c r="B202" s="3">
        <v>42594</v>
      </c>
      <c r="C202" s="4">
        <v>2.85</v>
      </c>
      <c r="D202" s="4">
        <v>2.85</v>
      </c>
      <c r="E202" s="4">
        <v>490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2.85</v>
      </c>
      <c r="D203" s="4">
        <v>2.85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2.85</v>
      </c>
      <c r="D204" s="4">
        <v>2.85</v>
      </c>
      <c r="E204" s="4">
        <v>14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2.85</v>
      </c>
      <c r="D205" s="4">
        <v>2.85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2.8</v>
      </c>
      <c r="D206" s="4">
        <v>2.8</v>
      </c>
      <c r="E206" s="4">
        <v>1287</v>
      </c>
      <c r="F206" s="4"/>
      <c r="G206" s="4"/>
      <c r="H206" s="5">
        <f t="shared" si="3"/>
        <v>-1.75438596491229E-2</v>
      </c>
    </row>
    <row r="207" spans="1:8" ht="13.5" x14ac:dyDescent="0.25">
      <c r="A207" s="1"/>
      <c r="B207" s="3">
        <v>42601</v>
      </c>
      <c r="C207" s="4">
        <v>2.8</v>
      </c>
      <c r="D207" s="4">
        <v>2.8</v>
      </c>
      <c r="E207" s="4">
        <v>1050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2.8</v>
      </c>
      <c r="D208" s="4">
        <v>2.8</v>
      </c>
      <c r="E208" s="4">
        <v>3000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2.8</v>
      </c>
      <c r="D209" s="4">
        <v>2.8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2.8</v>
      </c>
      <c r="D210" s="4">
        <v>2.8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2.83</v>
      </c>
      <c r="D211" s="4">
        <v>2.83</v>
      </c>
      <c r="E211" s="4">
        <v>100</v>
      </c>
      <c r="F211" s="4"/>
      <c r="G211" s="4"/>
      <c r="H211" s="5">
        <f t="shared" si="3"/>
        <v>1.0714285714285805E-2</v>
      </c>
    </row>
    <row r="212" spans="1:8" ht="13.5" x14ac:dyDescent="0.25">
      <c r="A212" s="1"/>
      <c r="B212" s="3">
        <v>42608</v>
      </c>
      <c r="C212" s="4">
        <v>2.85</v>
      </c>
      <c r="D212" s="4">
        <v>2.85</v>
      </c>
      <c r="E212" s="4">
        <v>5961</v>
      </c>
      <c r="F212" s="4"/>
      <c r="G212" s="4"/>
      <c r="H212" s="5">
        <f t="shared" si="3"/>
        <v>7.0671378091872851E-3</v>
      </c>
    </row>
    <row r="213" spans="1:8" ht="13.5" x14ac:dyDescent="0.25">
      <c r="A213" s="1"/>
      <c r="B213" s="3">
        <v>42611</v>
      </c>
      <c r="C213" s="4">
        <v>2.85</v>
      </c>
      <c r="D213" s="4">
        <v>2.85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2.85</v>
      </c>
      <c r="D214" s="4">
        <v>2.85</v>
      </c>
      <c r="E214" s="4">
        <v>1310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2.85</v>
      </c>
      <c r="D215" s="4">
        <v>2.85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2.8</v>
      </c>
      <c r="D216" s="4">
        <v>2.8</v>
      </c>
      <c r="E216" s="4">
        <v>160</v>
      </c>
      <c r="F216" s="4"/>
      <c r="G216" s="4"/>
      <c r="H216" s="5">
        <f t="shared" si="3"/>
        <v>-1.75438596491229E-2</v>
      </c>
    </row>
    <row r="217" spans="1:8" ht="13.5" x14ac:dyDescent="0.25">
      <c r="A217" s="1"/>
      <c r="B217" s="3">
        <v>42615</v>
      </c>
      <c r="C217" s="4">
        <v>2.8</v>
      </c>
      <c r="D217" s="4">
        <v>2.8</v>
      </c>
      <c r="E217" s="4">
        <v>1500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2.81</v>
      </c>
      <c r="D218" s="4">
        <v>2.81</v>
      </c>
      <c r="E218" s="4">
        <v>3028</v>
      </c>
      <c r="F218" s="4"/>
      <c r="G218" s="4"/>
      <c r="H218" s="5">
        <f t="shared" si="3"/>
        <v>3.5714285714286542E-3</v>
      </c>
    </row>
    <row r="219" spans="1:8" ht="13.5" x14ac:dyDescent="0.25">
      <c r="A219" s="1"/>
      <c r="B219" s="3">
        <v>42619</v>
      </c>
      <c r="C219" s="4">
        <v>2.8</v>
      </c>
      <c r="D219" s="4">
        <v>2.8</v>
      </c>
      <c r="E219" s="4">
        <v>2000</v>
      </c>
      <c r="F219" s="4"/>
      <c r="G219" s="4"/>
      <c r="H219" s="5">
        <f t="shared" si="3"/>
        <v>-3.5587188612100466E-3</v>
      </c>
    </row>
    <row r="220" spans="1:8" ht="13.5" x14ac:dyDescent="0.25">
      <c r="A220" s="1"/>
      <c r="B220" s="3">
        <v>42620</v>
      </c>
      <c r="C220" s="4">
        <v>2.88</v>
      </c>
      <c r="D220" s="4">
        <v>2.88</v>
      </c>
      <c r="E220" s="4">
        <v>63</v>
      </c>
      <c r="F220" s="4"/>
      <c r="G220" s="4"/>
      <c r="H220" s="5">
        <f t="shared" si="3"/>
        <v>2.8571428571428598E-2</v>
      </c>
    </row>
    <row r="221" spans="1:8" ht="13.5" x14ac:dyDescent="0.25">
      <c r="A221" s="1"/>
      <c r="B221" s="3">
        <v>42621</v>
      </c>
      <c r="C221" s="4">
        <v>2.91</v>
      </c>
      <c r="D221" s="4">
        <v>2.91</v>
      </c>
      <c r="E221" s="4">
        <v>14</v>
      </c>
      <c r="F221" s="4"/>
      <c r="G221" s="4"/>
      <c r="H221" s="5">
        <f t="shared" si="3"/>
        <v>1.0416666666666753E-2</v>
      </c>
    </row>
    <row r="222" spans="1:8" ht="13.5" x14ac:dyDescent="0.25">
      <c r="A222" s="1"/>
      <c r="B222" s="3">
        <v>42622</v>
      </c>
      <c r="C222" s="4">
        <v>2.99</v>
      </c>
      <c r="D222" s="4">
        <v>2.99</v>
      </c>
      <c r="E222" s="4">
        <v>70</v>
      </c>
      <c r="F222" s="4"/>
      <c r="G222" s="4"/>
      <c r="H222" s="5">
        <f t="shared" si="3"/>
        <v>2.7491408934707928E-2</v>
      </c>
    </row>
    <row r="223" spans="1:8" ht="13.5" x14ac:dyDescent="0.25">
      <c r="A223" s="1"/>
      <c r="B223" s="3">
        <v>42627</v>
      </c>
      <c r="C223" s="4">
        <v>2.99</v>
      </c>
      <c r="D223" s="4">
        <v>2.99</v>
      </c>
      <c r="E223" s="4">
        <v>70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2.99</v>
      </c>
      <c r="D224" s="4">
        <v>2.99</v>
      </c>
      <c r="E224" s="4">
        <v>0</v>
      </c>
      <c r="F224" s="4"/>
      <c r="G224" s="4"/>
      <c r="H224" s="5">
        <f t="shared" si="3"/>
        <v>0</v>
      </c>
    </row>
    <row r="225" spans="1:8" ht="13.5" x14ac:dyDescent="0.25">
      <c r="A225" s="1"/>
      <c r="B225" s="3">
        <v>42629</v>
      </c>
      <c r="C225" s="4">
        <v>2.99</v>
      </c>
      <c r="D225" s="4">
        <v>2.99</v>
      </c>
      <c r="E225" s="4">
        <v>0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2.91</v>
      </c>
      <c r="D226" s="4">
        <v>2.91</v>
      </c>
      <c r="E226" s="4">
        <v>0</v>
      </c>
      <c r="F226" s="4"/>
      <c r="G226" s="4"/>
      <c r="H226" s="5">
        <f t="shared" si="3"/>
        <v>-2.6755852842809385E-2</v>
      </c>
    </row>
    <row r="227" spans="1:8" ht="13.5" x14ac:dyDescent="0.25">
      <c r="A227" s="1"/>
      <c r="B227" s="3">
        <v>42633</v>
      </c>
      <c r="C227" s="4">
        <v>2.9</v>
      </c>
      <c r="D227" s="4">
        <v>2.9</v>
      </c>
      <c r="E227" s="4">
        <v>50</v>
      </c>
      <c r="F227" s="4"/>
      <c r="G227" s="4"/>
      <c r="H227" s="5">
        <f t="shared" si="3"/>
        <v>-3.4364261168385673E-3</v>
      </c>
    </row>
    <row r="228" spans="1:8" ht="13.5" x14ac:dyDescent="0.25">
      <c r="A228" s="1"/>
      <c r="B228" s="3">
        <v>42634</v>
      </c>
      <c r="C228" s="4">
        <v>2.91</v>
      </c>
      <c r="D228" s="4">
        <v>2.91</v>
      </c>
      <c r="E228" s="4">
        <v>134</v>
      </c>
      <c r="F228" s="4"/>
      <c r="G228" s="4"/>
      <c r="H228" s="5">
        <f t="shared" si="3"/>
        <v>3.4482758620690453E-3</v>
      </c>
    </row>
    <row r="229" spans="1:8" ht="13.5" x14ac:dyDescent="0.25">
      <c r="A229" s="1"/>
      <c r="B229" s="3">
        <v>42635</v>
      </c>
      <c r="C229" s="4">
        <v>2.88</v>
      </c>
      <c r="D229" s="4">
        <v>2.88</v>
      </c>
      <c r="E229" s="4">
        <v>184</v>
      </c>
      <c r="F229" s="4"/>
      <c r="G229" s="4"/>
      <c r="H229" s="5">
        <f t="shared" si="3"/>
        <v>-1.0309278350515549E-2</v>
      </c>
    </row>
    <row r="230" spans="1:8" ht="13.5" x14ac:dyDescent="0.25">
      <c r="A230" s="1"/>
      <c r="B230" s="3">
        <v>42636</v>
      </c>
      <c r="C230" s="4">
        <v>2.88</v>
      </c>
      <c r="D230" s="4">
        <v>2.88</v>
      </c>
      <c r="E230" s="4">
        <v>652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2.83</v>
      </c>
      <c r="D231" s="4">
        <v>2.83</v>
      </c>
      <c r="E231" s="4">
        <v>200</v>
      </c>
      <c r="F231" s="4"/>
      <c r="G231" s="4"/>
      <c r="H231" s="5">
        <f t="shared" si="3"/>
        <v>-1.7361111111111049E-2</v>
      </c>
    </row>
    <row r="232" spans="1:8" ht="13.5" x14ac:dyDescent="0.25">
      <c r="A232" s="1"/>
      <c r="B232" s="3">
        <v>42640</v>
      </c>
      <c r="C232" s="4">
        <v>2.8</v>
      </c>
      <c r="D232" s="4">
        <v>2.8</v>
      </c>
      <c r="E232" s="4">
        <v>2064</v>
      </c>
      <c r="F232" s="4"/>
      <c r="G232" s="4"/>
      <c r="H232" s="5">
        <f t="shared" si="3"/>
        <v>-1.0600706713781006E-2</v>
      </c>
    </row>
    <row r="233" spans="1:8" ht="13.5" x14ac:dyDescent="0.25">
      <c r="A233" s="1"/>
      <c r="B233" s="3">
        <v>42641</v>
      </c>
      <c r="C233" s="4">
        <v>2.78</v>
      </c>
      <c r="D233" s="4">
        <v>2.78</v>
      </c>
      <c r="E233" s="4">
        <v>1376</v>
      </c>
      <c r="F233" s="4"/>
      <c r="G233" s="4"/>
      <c r="H233" s="5">
        <f t="shared" si="3"/>
        <v>-7.1428571428571496E-3</v>
      </c>
    </row>
    <row r="234" spans="1:8" ht="13.5" x14ac:dyDescent="0.25">
      <c r="A234" s="1"/>
      <c r="B234" s="3">
        <v>42642</v>
      </c>
      <c r="C234" s="4">
        <v>2.78</v>
      </c>
      <c r="D234" s="4">
        <v>2.78</v>
      </c>
      <c r="E234" s="4">
        <v>95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2.75</v>
      </c>
      <c r="D235" s="4">
        <v>2.75</v>
      </c>
      <c r="E235" s="4">
        <v>1053</v>
      </c>
      <c r="F235" s="4"/>
      <c r="G235" s="4"/>
      <c r="H235" s="5">
        <f t="shared" si="3"/>
        <v>-1.0791366906474751E-2</v>
      </c>
    </row>
    <row r="236" spans="1:8" ht="13.5" x14ac:dyDescent="0.25">
      <c r="A236" s="1"/>
      <c r="B236" s="3">
        <v>42647</v>
      </c>
      <c r="C236" s="4">
        <v>2.8</v>
      </c>
      <c r="D236" s="4">
        <v>2.8</v>
      </c>
      <c r="E236" s="4">
        <v>1463</v>
      </c>
      <c r="F236" s="4"/>
      <c r="G236" s="4"/>
      <c r="H236" s="5">
        <f t="shared" si="3"/>
        <v>1.8181818181818118E-2</v>
      </c>
    </row>
    <row r="237" spans="1:8" ht="13.5" x14ac:dyDescent="0.25">
      <c r="A237" s="1"/>
      <c r="B237" s="3">
        <v>42648</v>
      </c>
      <c r="C237" s="4">
        <v>2.8</v>
      </c>
      <c r="D237" s="4">
        <v>2.8</v>
      </c>
      <c r="E237" s="4">
        <v>150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42649</v>
      </c>
      <c r="C238" s="4">
        <v>2.76</v>
      </c>
      <c r="D238" s="4">
        <v>2.76</v>
      </c>
      <c r="E238" s="4">
        <v>2039</v>
      </c>
      <c r="F238" s="4"/>
      <c r="G238" s="4"/>
      <c r="H238" s="5">
        <f t="shared" si="3"/>
        <v>-1.4285714285714299E-2</v>
      </c>
    </row>
    <row r="239" spans="1:8" ht="13.5" x14ac:dyDescent="0.25">
      <c r="A239" s="1"/>
      <c r="B239" s="3">
        <v>42650</v>
      </c>
      <c r="C239" s="4">
        <v>2.75</v>
      </c>
      <c r="D239" s="4">
        <v>2.75</v>
      </c>
      <c r="E239" s="4">
        <v>100</v>
      </c>
      <c r="F239" s="4"/>
      <c r="G239" s="4"/>
      <c r="H239" s="5">
        <f t="shared" si="3"/>
        <v>-3.6231884057970243E-3</v>
      </c>
    </row>
    <row r="240" spans="1:8" ht="13.5" x14ac:dyDescent="0.25">
      <c r="A240" s="1"/>
      <c r="B240" s="3">
        <v>42653</v>
      </c>
      <c r="C240" s="4">
        <v>2.78</v>
      </c>
      <c r="D240" s="4">
        <v>2.78</v>
      </c>
      <c r="E240" s="4">
        <v>227</v>
      </c>
      <c r="F240" s="4"/>
      <c r="G240" s="4"/>
      <c r="H240" s="5">
        <f t="shared" si="3"/>
        <v>1.0909090909090839E-2</v>
      </c>
    </row>
    <row r="241" spans="1:8" ht="13.5" x14ac:dyDescent="0.25">
      <c r="A241" s="1"/>
      <c r="B241" s="3">
        <v>42654</v>
      </c>
      <c r="C241" s="4">
        <v>2.76</v>
      </c>
      <c r="D241" s="4">
        <v>2.76</v>
      </c>
      <c r="E241" s="4">
        <v>65</v>
      </c>
      <c r="F241" s="4"/>
      <c r="G241" s="4"/>
      <c r="H241" s="5">
        <f t="shared" si="3"/>
        <v>-7.1942446043165541E-3</v>
      </c>
    </row>
    <row r="242" spans="1:8" ht="13.5" x14ac:dyDescent="0.25">
      <c r="A242" s="1"/>
      <c r="B242" s="3">
        <v>42655</v>
      </c>
      <c r="C242" s="4">
        <v>2.77</v>
      </c>
      <c r="D242" s="4">
        <v>2.77</v>
      </c>
      <c r="E242" s="4">
        <v>300</v>
      </c>
      <c r="F242" s="4"/>
      <c r="G242" s="4"/>
      <c r="H242" s="5">
        <f t="shared" si="3"/>
        <v>3.6231884057971852E-3</v>
      </c>
    </row>
    <row r="243" spans="1:8" ht="13.5" x14ac:dyDescent="0.25">
      <c r="A243" s="1"/>
      <c r="B243" s="3">
        <v>42656</v>
      </c>
      <c r="C243" s="4">
        <v>2.76</v>
      </c>
      <c r="D243" s="4">
        <v>2.76</v>
      </c>
      <c r="E243" s="4">
        <v>105</v>
      </c>
      <c r="F243" s="4"/>
      <c r="G243" s="4"/>
      <c r="H243" s="5">
        <f t="shared" si="3"/>
        <v>-3.6101083032491809E-3</v>
      </c>
    </row>
    <row r="244" spans="1:8" ht="13.5" x14ac:dyDescent="0.25">
      <c r="A244" s="1"/>
      <c r="B244" s="3">
        <v>42657</v>
      </c>
      <c r="C244" s="4">
        <v>2.76</v>
      </c>
      <c r="D244" s="4">
        <v>2.76</v>
      </c>
      <c r="E244" s="4">
        <v>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2.84</v>
      </c>
      <c r="D245" s="4">
        <v>2.84</v>
      </c>
      <c r="E245" s="4">
        <v>1</v>
      </c>
      <c r="F245" s="4"/>
      <c r="G245" s="4"/>
      <c r="H245" s="5">
        <f t="shared" si="3"/>
        <v>2.898550724637684E-2</v>
      </c>
    </row>
    <row r="246" spans="1:8" ht="13.5" x14ac:dyDescent="0.25">
      <c r="A246" s="1"/>
      <c r="B246" s="3">
        <v>42661</v>
      </c>
      <c r="C246" s="4">
        <v>2.84</v>
      </c>
      <c r="D246" s="4">
        <v>2.84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2.84</v>
      </c>
      <c r="D247" s="4">
        <v>2.84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2.84</v>
      </c>
      <c r="D248" s="4">
        <v>2.84</v>
      </c>
      <c r="E248" s="4">
        <v>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2.84</v>
      </c>
      <c r="D249" s="4">
        <v>2.84</v>
      </c>
      <c r="E249" s="4">
        <v>0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2.84</v>
      </c>
      <c r="D250" s="4">
        <v>2.84</v>
      </c>
      <c r="E250" s="4">
        <v>0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2.9</v>
      </c>
      <c r="D251" s="4">
        <v>2.9</v>
      </c>
      <c r="E251" s="4">
        <v>4670</v>
      </c>
      <c r="F251" s="4"/>
      <c r="G251" s="4"/>
      <c r="H251" s="5">
        <f t="shared" si="3"/>
        <v>2.1126760563380302E-2</v>
      </c>
    </row>
    <row r="252" spans="1:8" ht="13.5" x14ac:dyDescent="0.25">
      <c r="A252" s="1"/>
      <c r="B252" s="3">
        <v>42669</v>
      </c>
      <c r="C252" s="4">
        <v>2.92</v>
      </c>
      <c r="D252" s="4">
        <v>2.92</v>
      </c>
      <c r="E252" s="4">
        <v>600</v>
      </c>
      <c r="F252" s="4"/>
      <c r="G252" s="4"/>
      <c r="H252" s="5">
        <f t="shared" si="3"/>
        <v>6.896551724137937E-3</v>
      </c>
    </row>
    <row r="253" spans="1:8" ht="13.5" x14ac:dyDescent="0.25">
      <c r="A253" s="1"/>
      <c r="B253" s="3">
        <v>42670</v>
      </c>
      <c r="C253" s="4">
        <v>2.96</v>
      </c>
      <c r="D253" s="4">
        <v>2.96</v>
      </c>
      <c r="E253" s="4">
        <v>485</v>
      </c>
      <c r="F253" s="4"/>
      <c r="G253" s="4"/>
      <c r="H253" s="5">
        <f t="shared" si="3"/>
        <v>1.3698630136986314E-2</v>
      </c>
    </row>
    <row r="254" spans="1:8" ht="13.5" x14ac:dyDescent="0.25">
      <c r="A254" s="1"/>
      <c r="B254" s="3">
        <v>42671</v>
      </c>
      <c r="C254" s="4">
        <v>2.96</v>
      </c>
      <c r="D254" s="4">
        <v>2.96</v>
      </c>
      <c r="E254" s="4">
        <v>100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2.96</v>
      </c>
      <c r="D255" s="4">
        <v>2.96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2.96</v>
      </c>
      <c r="D256" s="4">
        <v>2.96</v>
      </c>
      <c r="E256" s="4">
        <v>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2.89</v>
      </c>
      <c r="D257" s="4">
        <v>2.89</v>
      </c>
      <c r="E257" s="4">
        <v>2500</v>
      </c>
      <c r="F257" s="4"/>
      <c r="G257" s="4"/>
      <c r="H257" s="5">
        <f t="shared" si="3"/>
        <v>-2.3648648648648594E-2</v>
      </c>
    </row>
    <row r="258" spans="1:8" ht="13.5" x14ac:dyDescent="0.25">
      <c r="A258" s="1"/>
      <c r="B258" s="3">
        <v>42677</v>
      </c>
      <c r="C258" s="4">
        <v>2.85</v>
      </c>
      <c r="D258" s="4">
        <v>2.85</v>
      </c>
      <c r="E258" s="4">
        <v>970</v>
      </c>
      <c r="F258" s="4"/>
      <c r="G258" s="4"/>
      <c r="H258" s="5">
        <f t="shared" si="3"/>
        <v>-1.3840830449827002E-2</v>
      </c>
    </row>
    <row r="259" spans="1:8" ht="13.5" x14ac:dyDescent="0.25">
      <c r="A259" s="1"/>
      <c r="B259" s="3">
        <v>42678</v>
      </c>
      <c r="C259" s="4">
        <v>2.93</v>
      </c>
      <c r="D259" s="4">
        <v>2.93</v>
      </c>
      <c r="E259" s="4">
        <v>840</v>
      </c>
      <c r="F259" s="4"/>
      <c r="G259" s="4"/>
      <c r="H259" s="5">
        <f t="shared" si="3"/>
        <v>2.8070175438596516E-2</v>
      </c>
    </row>
    <row r="260" spans="1:8" ht="13.5" x14ac:dyDescent="0.25">
      <c r="A260" s="1"/>
      <c r="B260" s="3">
        <v>42681</v>
      </c>
      <c r="C260" s="4">
        <v>2.87</v>
      </c>
      <c r="D260" s="4">
        <v>2.87</v>
      </c>
      <c r="E260" s="4">
        <v>1142</v>
      </c>
      <c r="F260" s="4"/>
      <c r="G260" s="4"/>
      <c r="H260" s="5">
        <f t="shared" si="3"/>
        <v>-2.047781569965872E-2</v>
      </c>
    </row>
    <row r="261" spans="1:8" ht="13.5" x14ac:dyDescent="0.25">
      <c r="A261" s="1"/>
      <c r="B261" s="3">
        <v>42682</v>
      </c>
      <c r="C261" s="4">
        <v>2.95</v>
      </c>
      <c r="D261" s="4">
        <v>2.95</v>
      </c>
      <c r="E261" s="4">
        <v>3674</v>
      </c>
      <c r="F261" s="4"/>
      <c r="G261" s="4"/>
      <c r="H261" s="5">
        <f t="shared" si="3"/>
        <v>2.7874564459930338E-2</v>
      </c>
    </row>
    <row r="262" spans="1:8" ht="13.5" x14ac:dyDescent="0.25">
      <c r="A262" s="1"/>
      <c r="B262" s="3">
        <v>42683</v>
      </c>
      <c r="C262" s="4">
        <v>2.87</v>
      </c>
      <c r="D262" s="4">
        <v>2.87</v>
      </c>
      <c r="E262" s="4">
        <v>48</v>
      </c>
      <c r="F262" s="4"/>
      <c r="G262" s="4"/>
      <c r="H262" s="5">
        <f t="shared" si="3"/>
        <v>-2.7118644067796634E-2</v>
      </c>
    </row>
    <row r="263" spans="1:8" ht="13.5" x14ac:dyDescent="0.25">
      <c r="A263" s="1"/>
      <c r="B263" s="3">
        <v>42684</v>
      </c>
      <c r="C263" s="4">
        <v>2.87</v>
      </c>
      <c r="D263" s="4">
        <v>2.87</v>
      </c>
      <c r="E263" s="4">
        <v>136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2.94</v>
      </c>
      <c r="D264" s="4">
        <v>2.94</v>
      </c>
      <c r="E264" s="4">
        <v>954</v>
      </c>
      <c r="F264" s="4"/>
      <c r="G264" s="4"/>
      <c r="H264" s="5">
        <f t="shared" si="4"/>
        <v>2.4390243902438966E-2</v>
      </c>
    </row>
    <row r="265" spans="1:8" ht="13.5" x14ac:dyDescent="0.25">
      <c r="A265" s="1"/>
      <c r="B265" s="3">
        <v>42688</v>
      </c>
      <c r="C265" s="4">
        <v>2.95</v>
      </c>
      <c r="D265" s="4">
        <v>2.95</v>
      </c>
      <c r="E265" s="4">
        <v>165</v>
      </c>
      <c r="F265" s="4"/>
      <c r="G265" s="4"/>
      <c r="H265" s="5">
        <f t="shared" si="4"/>
        <v>3.4013605442177659E-3</v>
      </c>
    </row>
    <row r="266" spans="1:8" ht="13.5" x14ac:dyDescent="0.25">
      <c r="A266" s="1"/>
      <c r="B266" s="3">
        <v>42689</v>
      </c>
      <c r="C266" s="4">
        <v>2.87</v>
      </c>
      <c r="D266" s="4">
        <v>2.87</v>
      </c>
      <c r="E266" s="4">
        <v>886</v>
      </c>
      <c r="F266" s="4"/>
      <c r="G266" s="4"/>
      <c r="H266" s="5">
        <f t="shared" si="4"/>
        <v>-2.7118644067796634E-2</v>
      </c>
    </row>
    <row r="267" spans="1:8" ht="13.5" x14ac:dyDescent="0.25">
      <c r="A267" s="1"/>
      <c r="B267" s="3">
        <v>42690</v>
      </c>
      <c r="C267" s="4">
        <v>2.95</v>
      </c>
      <c r="D267" s="4">
        <v>2.95</v>
      </c>
      <c r="E267" s="4">
        <v>10</v>
      </c>
      <c r="F267" s="4"/>
      <c r="G267" s="4"/>
      <c r="H267" s="5">
        <f t="shared" si="4"/>
        <v>2.7874564459930338E-2</v>
      </c>
    </row>
    <row r="268" spans="1:8" ht="13.5" x14ac:dyDescent="0.25">
      <c r="A268" s="1"/>
      <c r="B268" s="3">
        <v>42691</v>
      </c>
      <c r="C268" s="4">
        <v>2.87</v>
      </c>
      <c r="D268" s="4">
        <v>2.87</v>
      </c>
      <c r="E268" s="4">
        <v>704</v>
      </c>
      <c r="F268" s="4"/>
      <c r="G268" s="4"/>
      <c r="H268" s="5">
        <f t="shared" si="4"/>
        <v>-2.7118644067796634E-2</v>
      </c>
    </row>
    <row r="269" spans="1:8" ht="13.5" x14ac:dyDescent="0.25">
      <c r="A269" s="1"/>
      <c r="B269" s="3">
        <v>42692</v>
      </c>
      <c r="C269" s="4">
        <v>2.94</v>
      </c>
      <c r="D269" s="4">
        <v>2.94</v>
      </c>
      <c r="E269" s="4">
        <v>50</v>
      </c>
      <c r="F269" s="4"/>
      <c r="G269" s="4"/>
      <c r="H269" s="5">
        <f t="shared" si="4"/>
        <v>2.4390243902438966E-2</v>
      </c>
    </row>
    <row r="270" spans="1:8" ht="13.5" x14ac:dyDescent="0.25">
      <c r="A270" s="1"/>
      <c r="B270" s="3">
        <v>42695</v>
      </c>
      <c r="C270" s="4">
        <v>2.94</v>
      </c>
      <c r="D270" s="4">
        <v>2.94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2.94</v>
      </c>
      <c r="D271" s="4">
        <v>2.94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2.86</v>
      </c>
      <c r="D272" s="4">
        <v>2.86</v>
      </c>
      <c r="E272" s="4">
        <v>3478</v>
      </c>
      <c r="F272" s="4"/>
      <c r="G272" s="4"/>
      <c r="H272" s="5">
        <f t="shared" si="4"/>
        <v>-2.721088435374152E-2</v>
      </c>
    </row>
    <row r="273" spans="1:8" ht="13.5" x14ac:dyDescent="0.25">
      <c r="A273" s="1"/>
      <c r="B273" s="3">
        <v>42698</v>
      </c>
      <c r="C273" s="4">
        <v>2.8</v>
      </c>
      <c r="D273" s="4">
        <v>2.8</v>
      </c>
      <c r="E273" s="4">
        <v>4744</v>
      </c>
      <c r="F273" s="4"/>
      <c r="G273" s="4"/>
      <c r="H273" s="5">
        <f t="shared" si="4"/>
        <v>-2.0979020979020997E-2</v>
      </c>
    </row>
    <row r="274" spans="1:8" ht="13.5" x14ac:dyDescent="0.25">
      <c r="A274" s="1"/>
      <c r="B274" s="3">
        <v>42699</v>
      </c>
      <c r="C274" s="4">
        <v>2.79</v>
      </c>
      <c r="D274" s="4">
        <v>2.79</v>
      </c>
      <c r="E274" s="4">
        <v>143</v>
      </c>
      <c r="F274" s="4"/>
      <c r="G274" s="4"/>
      <c r="H274" s="5">
        <f t="shared" si="4"/>
        <v>-3.5714285714284954E-3</v>
      </c>
    </row>
    <row r="275" spans="1:8" ht="13.5" x14ac:dyDescent="0.25">
      <c r="A275" s="1"/>
      <c r="B275" s="3">
        <v>42702</v>
      </c>
      <c r="C275" s="4">
        <v>2.79</v>
      </c>
      <c r="D275" s="4">
        <v>2.79</v>
      </c>
      <c r="E275" s="4">
        <v>0</v>
      </c>
      <c r="F275" s="4"/>
      <c r="G275" s="4"/>
      <c r="H275" s="5">
        <f t="shared" si="4"/>
        <v>0</v>
      </c>
    </row>
    <row r="276" spans="1:8" ht="13.5" x14ac:dyDescent="0.25">
      <c r="A276" s="1"/>
      <c r="B276" s="3">
        <v>42703</v>
      </c>
      <c r="C276" s="4">
        <v>2.8</v>
      </c>
      <c r="D276" s="4">
        <v>2.8</v>
      </c>
      <c r="E276" s="4">
        <v>25</v>
      </c>
      <c r="F276" s="4"/>
      <c r="G276" s="4"/>
      <c r="H276" s="5">
        <f t="shared" si="4"/>
        <v>3.5842293906809273E-3</v>
      </c>
    </row>
    <row r="277" spans="1:8" ht="13.5" x14ac:dyDescent="0.25">
      <c r="A277" s="1"/>
      <c r="B277" s="3">
        <v>42704</v>
      </c>
      <c r="C277" s="4">
        <v>2.8</v>
      </c>
      <c r="D277" s="4">
        <v>2.8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2.8</v>
      </c>
      <c r="D278" s="4">
        <v>2.8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2.8</v>
      </c>
      <c r="D279" s="4">
        <v>2.8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2.8</v>
      </c>
      <c r="D280" s="4">
        <v>2.8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2.8</v>
      </c>
      <c r="D281" s="4">
        <v>2.8</v>
      </c>
      <c r="E281" s="4">
        <v>3271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2.8</v>
      </c>
      <c r="D282" s="4">
        <v>2.8</v>
      </c>
      <c r="E282" s="4">
        <v>0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2.8</v>
      </c>
      <c r="D283" s="4">
        <v>2.8</v>
      </c>
      <c r="E283" s="4">
        <v>1701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2.8</v>
      </c>
      <c r="D284" s="4">
        <v>2.8</v>
      </c>
      <c r="E284" s="4">
        <v>150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2.8</v>
      </c>
      <c r="D285" s="4">
        <v>2.8</v>
      </c>
      <c r="E285" s="4">
        <v>250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2.8</v>
      </c>
      <c r="D286" s="4">
        <v>2.8</v>
      </c>
      <c r="E286" s="4">
        <v>1424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2.8</v>
      </c>
      <c r="D287" s="4">
        <v>2.8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2.75</v>
      </c>
      <c r="D288" s="4">
        <v>2.75</v>
      </c>
      <c r="E288" s="4">
        <v>2701</v>
      </c>
      <c r="F288" s="4"/>
      <c r="G288" s="4"/>
      <c r="H288" s="5">
        <f t="shared" si="4"/>
        <v>-1.7857142857142794E-2</v>
      </c>
    </row>
    <row r="289" spans="1:8" ht="13.5" x14ac:dyDescent="0.25">
      <c r="A289" s="1"/>
      <c r="B289" s="3">
        <v>42723</v>
      </c>
      <c r="C289" s="4">
        <v>2.75</v>
      </c>
      <c r="D289" s="4">
        <v>2.75</v>
      </c>
      <c r="E289" s="4">
        <v>1000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2.75</v>
      </c>
      <c r="D290" s="4">
        <v>2.75</v>
      </c>
      <c r="E290" s="4">
        <v>200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2.75</v>
      </c>
      <c r="D291" s="4">
        <v>2.75</v>
      </c>
      <c r="E291" s="4">
        <v>165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2.74</v>
      </c>
      <c r="D292" s="4">
        <v>2.74</v>
      </c>
      <c r="E292" s="4">
        <v>1553</v>
      </c>
      <c r="F292" s="4"/>
      <c r="G292" s="4"/>
      <c r="H292" s="5">
        <f t="shared" si="4"/>
        <v>-3.6363636363635587E-3</v>
      </c>
    </row>
    <row r="293" spans="1:8" ht="13.5" x14ac:dyDescent="0.25">
      <c r="A293" s="1"/>
      <c r="B293" s="3">
        <v>42727</v>
      </c>
      <c r="C293" s="4">
        <v>2.88</v>
      </c>
      <c r="D293" s="4">
        <v>2.88</v>
      </c>
      <c r="E293" s="4">
        <v>1550</v>
      </c>
      <c r="F293" s="4"/>
      <c r="G293" s="4"/>
      <c r="H293" s="5">
        <f t="shared" si="4"/>
        <v>5.1094890510948787E-2</v>
      </c>
    </row>
    <row r="294" spans="1:8" ht="13.5" x14ac:dyDescent="0.25">
      <c r="A294" s="1"/>
      <c r="B294" s="3">
        <v>42730</v>
      </c>
      <c r="C294" s="4">
        <v>3.05</v>
      </c>
      <c r="D294" s="4">
        <v>3.05</v>
      </c>
      <c r="E294" s="4">
        <v>16125</v>
      </c>
      <c r="F294" s="4"/>
      <c r="G294" s="4"/>
      <c r="H294" s="5">
        <f t="shared" si="4"/>
        <v>5.9027777777777755E-2</v>
      </c>
    </row>
    <row r="295" spans="1:8" ht="13.5" x14ac:dyDescent="0.25">
      <c r="A295" s="1"/>
      <c r="B295" s="3">
        <v>42731</v>
      </c>
      <c r="C295" s="4">
        <v>3.19</v>
      </c>
      <c r="D295" s="4">
        <v>3.19</v>
      </c>
      <c r="E295" s="4">
        <v>10133</v>
      </c>
      <c r="F295" s="4"/>
      <c r="G295" s="4"/>
      <c r="H295" s="5">
        <f t="shared" si="4"/>
        <v>4.5901639344262342E-2</v>
      </c>
    </row>
    <row r="296" spans="1:8" ht="13.5" x14ac:dyDescent="0.25">
      <c r="A296" s="1"/>
      <c r="B296" s="3">
        <v>42732</v>
      </c>
      <c r="C296" s="4">
        <v>3.38</v>
      </c>
      <c r="D296" s="4">
        <v>3.38</v>
      </c>
      <c r="E296" s="4">
        <v>6496</v>
      </c>
      <c r="F296" s="4"/>
      <c r="G296" s="4"/>
      <c r="H296" s="5">
        <f t="shared" si="4"/>
        <v>5.9561128526645753E-2</v>
      </c>
    </row>
    <row r="297" spans="1:8" ht="13.5" x14ac:dyDescent="0.25">
      <c r="A297" s="1"/>
      <c r="B297" s="3">
        <v>42733</v>
      </c>
      <c r="C297" s="4">
        <v>3.51</v>
      </c>
      <c r="D297" s="4">
        <v>3.51</v>
      </c>
      <c r="E297" s="4">
        <v>5250</v>
      </c>
      <c r="F297" s="4"/>
      <c r="G297" s="4"/>
      <c r="H297" s="5">
        <f t="shared" si="4"/>
        <v>3.8461538461538429E-2</v>
      </c>
    </row>
    <row r="298" spans="1:8" ht="13.5" x14ac:dyDescent="0.25">
      <c r="A298" s="1"/>
      <c r="B298" s="3">
        <v>42734</v>
      </c>
      <c r="C298" s="4">
        <v>3.51</v>
      </c>
      <c r="D298" s="4">
        <v>3.51</v>
      </c>
      <c r="E298" s="4">
        <v>16450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3.52</v>
      </c>
      <c r="D299" s="4">
        <v>3.52</v>
      </c>
      <c r="E299" s="4">
        <v>2003</v>
      </c>
      <c r="F299" s="4"/>
      <c r="G299" s="4"/>
      <c r="H299" s="5">
        <f t="shared" si="4"/>
        <v>2.8490028490029151E-3</v>
      </c>
    </row>
    <row r="300" spans="1:8" ht="13.5" x14ac:dyDescent="0.25">
      <c r="A300" s="1"/>
      <c r="B300" s="3">
        <v>42738</v>
      </c>
      <c r="C300" s="4">
        <v>3.52</v>
      </c>
      <c r="D300" s="4">
        <v>3.52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3.37</v>
      </c>
      <c r="D301" s="4">
        <v>3.37</v>
      </c>
      <c r="E301" s="4">
        <v>3777</v>
      </c>
      <c r="F301" s="4"/>
      <c r="G301" s="4"/>
      <c r="H301" s="5">
        <f t="shared" si="4"/>
        <v>-4.261363636363634E-2</v>
      </c>
    </row>
    <row r="302" spans="1:8" ht="13.5" x14ac:dyDescent="0.25">
      <c r="A302" s="1"/>
      <c r="B302" s="3">
        <v>42740</v>
      </c>
      <c r="C302" s="4">
        <v>3.37</v>
      </c>
      <c r="D302" s="4">
        <v>3.37</v>
      </c>
      <c r="E302" s="4">
        <v>22477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3.37</v>
      </c>
      <c r="D303" s="4">
        <v>3.37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3.37</v>
      </c>
      <c r="D304" s="4">
        <v>3.37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3.37</v>
      </c>
      <c r="D305" s="4">
        <v>3.37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3.27</v>
      </c>
      <c r="D306" s="4">
        <v>3.27</v>
      </c>
      <c r="E306" s="4">
        <v>805</v>
      </c>
      <c r="F306" s="4"/>
      <c r="G306" s="4"/>
      <c r="H306" s="5">
        <f t="shared" si="4"/>
        <v>-2.9673590504451064E-2</v>
      </c>
    </row>
    <row r="307" spans="1:8" ht="13.5" x14ac:dyDescent="0.25">
      <c r="A307" s="1"/>
      <c r="B307" s="3">
        <v>42747</v>
      </c>
      <c r="C307" s="4">
        <v>3.26</v>
      </c>
      <c r="D307" s="4">
        <v>3.26</v>
      </c>
      <c r="E307" s="4">
        <v>3124</v>
      </c>
      <c r="F307" s="4"/>
      <c r="G307" s="4"/>
      <c r="H307" s="5">
        <f t="shared" si="4"/>
        <v>-3.0581039755352389E-3</v>
      </c>
    </row>
    <row r="308" spans="1:8" ht="13.5" x14ac:dyDescent="0.25">
      <c r="A308" s="1"/>
      <c r="B308" s="3">
        <v>42748</v>
      </c>
      <c r="C308" s="4">
        <v>3.15</v>
      </c>
      <c r="D308" s="4">
        <v>3.15</v>
      </c>
      <c r="E308" s="4">
        <v>744</v>
      </c>
      <c r="F308" s="4"/>
      <c r="G308" s="4"/>
      <c r="H308" s="5">
        <f t="shared" si="4"/>
        <v>-3.3742331288343523E-2</v>
      </c>
    </row>
    <row r="309" spans="1:8" ht="13.5" x14ac:dyDescent="0.25">
      <c r="A309" s="1"/>
      <c r="B309" s="3">
        <v>42751</v>
      </c>
      <c r="C309" s="4">
        <v>3.2</v>
      </c>
      <c r="D309" s="4">
        <v>3.2</v>
      </c>
      <c r="E309" s="4">
        <v>2345</v>
      </c>
      <c r="F309" s="4"/>
      <c r="G309" s="4"/>
      <c r="H309" s="5">
        <f t="shared" si="4"/>
        <v>1.5873015873015959E-2</v>
      </c>
    </row>
    <row r="310" spans="1:8" ht="13.5" x14ac:dyDescent="0.25">
      <c r="A310" s="1"/>
      <c r="B310" s="3">
        <v>42752</v>
      </c>
      <c r="C310" s="4">
        <v>3.2</v>
      </c>
      <c r="D310" s="4">
        <v>3.2</v>
      </c>
      <c r="E310" s="4">
        <v>59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3.11</v>
      </c>
      <c r="D311" s="4">
        <v>3.11</v>
      </c>
      <c r="E311" s="4">
        <v>160</v>
      </c>
      <c r="F311" s="4"/>
      <c r="G311" s="4"/>
      <c r="H311" s="5">
        <f t="shared" si="4"/>
        <v>-2.8125000000000094E-2</v>
      </c>
    </row>
    <row r="312" spans="1:8" ht="13.5" x14ac:dyDescent="0.25">
      <c r="A312" s="1"/>
      <c r="B312" s="3">
        <v>42754</v>
      </c>
      <c r="C312" s="4">
        <v>3.11</v>
      </c>
      <c r="D312" s="4">
        <v>3.11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3.2</v>
      </c>
      <c r="D313" s="4">
        <v>3.2</v>
      </c>
      <c r="E313" s="4">
        <v>1</v>
      </c>
      <c r="F313" s="4"/>
      <c r="G313" s="4"/>
      <c r="H313" s="5">
        <f t="shared" si="4"/>
        <v>2.8938906752411675E-2</v>
      </c>
    </row>
    <row r="314" spans="1:8" ht="13.5" x14ac:dyDescent="0.25">
      <c r="A314" s="1"/>
      <c r="B314" s="3">
        <v>42758</v>
      </c>
      <c r="C314" s="4">
        <v>3.15</v>
      </c>
      <c r="D314" s="4">
        <v>3.15</v>
      </c>
      <c r="E314" s="4">
        <v>500</v>
      </c>
      <c r="F314" s="4"/>
      <c r="G314" s="4"/>
      <c r="H314" s="5">
        <f t="shared" si="4"/>
        <v>-1.5625000000000083E-2</v>
      </c>
    </row>
    <row r="315" spans="1:8" ht="13.5" x14ac:dyDescent="0.25">
      <c r="A315" s="1"/>
      <c r="B315" s="3">
        <v>42759</v>
      </c>
      <c r="C315" s="4">
        <v>3.06</v>
      </c>
      <c r="D315" s="4">
        <v>3.06</v>
      </c>
      <c r="E315" s="4">
        <v>2350</v>
      </c>
      <c r="F315" s="4"/>
      <c r="G315" s="4"/>
      <c r="H315" s="5">
        <f t="shared" si="4"/>
        <v>-2.8571428571428525E-2</v>
      </c>
    </row>
    <row r="316" spans="1:8" ht="13.5" x14ac:dyDescent="0.25">
      <c r="A316" s="1"/>
      <c r="B316" s="3">
        <v>42760</v>
      </c>
      <c r="C316" s="4">
        <v>3.06</v>
      </c>
      <c r="D316" s="4">
        <v>3.06</v>
      </c>
      <c r="E316" s="4">
        <v>6521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2.97</v>
      </c>
      <c r="D317" s="4">
        <v>2.97</v>
      </c>
      <c r="E317" s="4">
        <v>460</v>
      </c>
      <c r="F317" s="4"/>
      <c r="G317" s="4"/>
      <c r="H317" s="5">
        <f t="shared" si="4"/>
        <v>-2.9411764705882307E-2</v>
      </c>
    </row>
    <row r="318" spans="1:8" ht="13.5" x14ac:dyDescent="0.25">
      <c r="A318" s="1"/>
      <c r="B318" s="3">
        <v>42762</v>
      </c>
      <c r="C318" s="4">
        <v>2.89</v>
      </c>
      <c r="D318" s="4">
        <v>2.89</v>
      </c>
      <c r="E318" s="4">
        <v>1264</v>
      </c>
      <c r="F318" s="4"/>
      <c r="G318" s="4"/>
      <c r="H318" s="5">
        <f t="shared" si="4"/>
        <v>-2.6936026936026959E-2</v>
      </c>
    </row>
    <row r="319" spans="1:8" ht="13.5" x14ac:dyDescent="0.25">
      <c r="A319" s="1"/>
      <c r="B319" s="3">
        <v>42765</v>
      </c>
      <c r="C319" s="4">
        <v>2.93</v>
      </c>
      <c r="D319" s="4">
        <v>2.93</v>
      </c>
      <c r="E319" s="4">
        <v>286</v>
      </c>
      <c r="F319" s="4"/>
      <c r="G319" s="4"/>
      <c r="H319" s="5">
        <f t="shared" si="4"/>
        <v>1.3840830449827002E-2</v>
      </c>
    </row>
    <row r="320" spans="1:8" ht="13.5" x14ac:dyDescent="0.25">
      <c r="A320" s="1"/>
      <c r="B320" s="3">
        <v>42766</v>
      </c>
      <c r="C320" s="4">
        <v>2.93</v>
      </c>
      <c r="D320" s="4">
        <v>2.93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2.93</v>
      </c>
      <c r="D321" s="4">
        <v>2.93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2.9</v>
      </c>
      <c r="D322" s="4">
        <v>2.9</v>
      </c>
      <c r="E322" s="4">
        <v>500</v>
      </c>
      <c r="F322" s="4"/>
      <c r="G322" s="4"/>
      <c r="H322" s="5">
        <f t="shared" si="4"/>
        <v>-1.0238907849829436E-2</v>
      </c>
    </row>
    <row r="323" spans="1:8" ht="13.5" x14ac:dyDescent="0.25">
      <c r="A323" s="1"/>
      <c r="B323" s="3">
        <v>42769</v>
      </c>
      <c r="C323" s="4">
        <v>2.82</v>
      </c>
      <c r="D323" s="4">
        <v>2.82</v>
      </c>
      <c r="E323" s="4">
        <v>885</v>
      </c>
      <c r="F323" s="4"/>
      <c r="G323" s="4"/>
      <c r="H323" s="5">
        <f t="shared" si="4"/>
        <v>-2.7586206896551748E-2</v>
      </c>
    </row>
    <row r="324" spans="1:8" ht="13.5" x14ac:dyDescent="0.25">
      <c r="A324" s="1"/>
      <c r="B324" s="3">
        <v>42772</v>
      </c>
      <c r="C324" s="4">
        <v>2.8</v>
      </c>
      <c r="D324" s="4">
        <v>2.8</v>
      </c>
      <c r="E324" s="4">
        <v>6275</v>
      </c>
      <c r="F324" s="4"/>
      <c r="G324" s="4"/>
      <c r="H324" s="5">
        <f t="shared" si="4"/>
        <v>-7.0921985815602905E-3</v>
      </c>
    </row>
    <row r="325" spans="1:8" ht="13.5" x14ac:dyDescent="0.25">
      <c r="A325" s="1"/>
      <c r="B325" s="3">
        <v>42773</v>
      </c>
      <c r="C325" s="4">
        <v>2.73</v>
      </c>
      <c r="D325" s="4">
        <v>2.73</v>
      </c>
      <c r="E325" s="4">
        <v>14626</v>
      </c>
      <c r="F325" s="4"/>
      <c r="G325" s="4"/>
      <c r="H325" s="5">
        <f t="shared" si="4"/>
        <v>-2.4999999999999946E-2</v>
      </c>
    </row>
    <row r="326" spans="1:8" ht="13.5" x14ac:dyDescent="0.25">
      <c r="A326" s="1"/>
      <c r="B326" s="3">
        <v>42774</v>
      </c>
      <c r="C326" s="4">
        <v>2.75</v>
      </c>
      <c r="D326" s="4">
        <v>2.75</v>
      </c>
      <c r="E326" s="4">
        <v>2210</v>
      </c>
      <c r="F326" s="4"/>
      <c r="G326" s="4"/>
      <c r="H326" s="5">
        <f t="shared" si="4"/>
        <v>7.3260073260073329E-3</v>
      </c>
    </row>
    <row r="327" spans="1:8" ht="13.5" x14ac:dyDescent="0.25">
      <c r="A327" s="1"/>
      <c r="B327" s="3">
        <v>42775</v>
      </c>
      <c r="C327" s="4">
        <v>2.63</v>
      </c>
      <c r="D327" s="4">
        <v>2.63</v>
      </c>
      <c r="E327" s="4">
        <v>0</v>
      </c>
      <c r="F327" s="4"/>
      <c r="G327" s="4"/>
      <c r="H327" s="5">
        <f t="shared" ref="H327:H390" si="5">(D327-D326)/D326</f>
        <v>-4.3636363636363674E-2</v>
      </c>
    </row>
    <row r="328" spans="1:8" ht="13.5" x14ac:dyDescent="0.25">
      <c r="A328" s="1"/>
      <c r="B328" s="3">
        <v>42776</v>
      </c>
      <c r="C328" s="4">
        <v>2.58</v>
      </c>
      <c r="D328" s="4">
        <v>2.58</v>
      </c>
      <c r="E328" s="4">
        <v>20724</v>
      </c>
      <c r="F328" s="4"/>
      <c r="G328" s="4"/>
      <c r="H328" s="5">
        <f t="shared" si="5"/>
        <v>-1.9011406844106397E-2</v>
      </c>
    </row>
    <row r="329" spans="1:8" ht="13.5" x14ac:dyDescent="0.25">
      <c r="A329" s="1"/>
      <c r="B329" s="3">
        <v>42779</v>
      </c>
      <c r="C329" s="4">
        <v>2.59</v>
      </c>
      <c r="D329" s="4">
        <v>2.59</v>
      </c>
      <c r="E329" s="4">
        <v>1860</v>
      </c>
      <c r="F329" s="4"/>
      <c r="G329" s="4"/>
      <c r="H329" s="5">
        <f t="shared" si="5"/>
        <v>3.8759689922479791E-3</v>
      </c>
    </row>
    <row r="330" spans="1:8" ht="13.5" x14ac:dyDescent="0.25">
      <c r="A330" s="1"/>
      <c r="B330" s="3">
        <v>42780</v>
      </c>
      <c r="C330" s="4">
        <v>2.52</v>
      </c>
      <c r="D330" s="4">
        <v>2.52</v>
      </c>
      <c r="E330" s="4">
        <v>2587</v>
      </c>
      <c r="F330" s="4"/>
      <c r="G330" s="4"/>
      <c r="H330" s="5">
        <f t="shared" si="5"/>
        <v>-2.7027027027026966E-2</v>
      </c>
    </row>
    <row r="331" spans="1:8" ht="13.5" x14ac:dyDescent="0.25">
      <c r="A331" s="1"/>
      <c r="B331" s="3">
        <v>42781</v>
      </c>
      <c r="C331" s="4">
        <v>2.5</v>
      </c>
      <c r="D331" s="4">
        <v>2.5</v>
      </c>
      <c r="E331" s="4">
        <v>13808</v>
      </c>
      <c r="F331" s="4"/>
      <c r="G331" s="4"/>
      <c r="H331" s="5">
        <f t="shared" si="5"/>
        <v>-7.936507936507943E-3</v>
      </c>
    </row>
    <row r="332" spans="1:8" ht="13.5" x14ac:dyDescent="0.25">
      <c r="A332" s="1"/>
      <c r="B332" s="3">
        <v>42782</v>
      </c>
      <c r="C332" s="4">
        <v>2.5299999999999998</v>
      </c>
      <c r="D332" s="4">
        <v>2.5299999999999998</v>
      </c>
      <c r="E332" s="4">
        <v>3062</v>
      </c>
      <c r="F332" s="4"/>
      <c r="G332" s="4"/>
      <c r="H332" s="5">
        <f t="shared" si="5"/>
        <v>1.1999999999999922E-2</v>
      </c>
    </row>
    <row r="333" spans="1:8" ht="13.5" x14ac:dyDescent="0.25">
      <c r="A333" s="1"/>
      <c r="B333" s="3">
        <v>42783</v>
      </c>
      <c r="C333" s="4">
        <v>2.48</v>
      </c>
      <c r="D333" s="4">
        <v>2.48</v>
      </c>
      <c r="E333" s="4">
        <v>1577</v>
      </c>
      <c r="F333" s="4"/>
      <c r="G333" s="4"/>
      <c r="H333" s="5">
        <f t="shared" si="5"/>
        <v>-1.9762845849802303E-2</v>
      </c>
    </row>
    <row r="334" spans="1:8" ht="13.5" x14ac:dyDescent="0.25">
      <c r="A334" s="1"/>
      <c r="B334" s="3">
        <v>42786</v>
      </c>
      <c r="C334" s="4">
        <v>2.4700000000000002</v>
      </c>
      <c r="D334" s="4">
        <v>2.4700000000000002</v>
      </c>
      <c r="E334" s="4">
        <v>1616</v>
      </c>
      <c r="F334" s="4"/>
      <c r="G334" s="4"/>
      <c r="H334" s="5">
        <f t="shared" si="5"/>
        <v>-4.0322580645160431E-3</v>
      </c>
    </row>
    <row r="335" spans="1:8" ht="13.5" x14ac:dyDescent="0.25">
      <c r="A335" s="1"/>
      <c r="B335" s="3">
        <v>42787</v>
      </c>
      <c r="C335" s="4">
        <v>2.4700000000000002</v>
      </c>
      <c r="D335" s="4">
        <v>2.4700000000000002</v>
      </c>
      <c r="E335" s="4">
        <v>1258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2.5099999999999998</v>
      </c>
      <c r="D336" s="4">
        <v>2.5099999999999998</v>
      </c>
      <c r="E336" s="4">
        <v>6008</v>
      </c>
      <c r="F336" s="4"/>
      <c r="G336" s="4"/>
      <c r="H336" s="5">
        <f t="shared" si="5"/>
        <v>1.6194331983805502E-2</v>
      </c>
    </row>
    <row r="337" spans="1:8" ht="13.5" x14ac:dyDescent="0.25">
      <c r="A337" s="1"/>
      <c r="B337" s="3">
        <v>42789</v>
      </c>
      <c r="C337" s="4">
        <v>2.56</v>
      </c>
      <c r="D337" s="4">
        <v>2.56</v>
      </c>
      <c r="E337" s="4">
        <v>3015</v>
      </c>
      <c r="F337" s="4"/>
      <c r="G337" s="4"/>
      <c r="H337" s="5">
        <f t="shared" si="5"/>
        <v>1.9920318725099709E-2</v>
      </c>
    </row>
    <row r="338" spans="1:8" ht="13.5" x14ac:dyDescent="0.25">
      <c r="A338" s="1"/>
      <c r="B338" s="3">
        <v>42790</v>
      </c>
      <c r="C338" s="4">
        <v>2.5099999999999998</v>
      </c>
      <c r="D338" s="4">
        <v>2.5099999999999998</v>
      </c>
      <c r="E338" s="4">
        <v>850</v>
      </c>
      <c r="F338" s="4"/>
      <c r="G338" s="4"/>
      <c r="H338" s="5">
        <f t="shared" si="5"/>
        <v>-1.9531250000000104E-2</v>
      </c>
    </row>
    <row r="339" spans="1:8" ht="13.5" x14ac:dyDescent="0.25">
      <c r="A339" s="1"/>
      <c r="B339" s="3">
        <v>42793</v>
      </c>
      <c r="C339" s="4">
        <v>2.44</v>
      </c>
      <c r="D339" s="4">
        <v>2.44</v>
      </c>
      <c r="E339" s="4">
        <v>10700</v>
      </c>
      <c r="F339" s="4"/>
      <c r="G339" s="4"/>
      <c r="H339" s="5">
        <f t="shared" si="5"/>
        <v>-2.7888446215139379E-2</v>
      </c>
    </row>
    <row r="340" spans="1:8" ht="13.5" x14ac:dyDescent="0.25">
      <c r="A340" s="1"/>
      <c r="B340" s="3">
        <v>42794</v>
      </c>
      <c r="C340" s="4">
        <v>2.57</v>
      </c>
      <c r="D340" s="4">
        <v>2.57</v>
      </c>
      <c r="E340" s="4">
        <v>10930</v>
      </c>
      <c r="F340" s="4"/>
      <c r="G340" s="4"/>
      <c r="H340" s="5">
        <f t="shared" si="5"/>
        <v>5.3278688524590119E-2</v>
      </c>
    </row>
    <row r="341" spans="1:8" ht="13.5" x14ac:dyDescent="0.25">
      <c r="A341" s="1"/>
      <c r="B341" s="3">
        <v>42795</v>
      </c>
      <c r="C341" s="4">
        <v>2.58</v>
      </c>
      <c r="D341" s="4">
        <v>2.58</v>
      </c>
      <c r="E341" s="4">
        <v>2785</v>
      </c>
      <c r="F341" s="4"/>
      <c r="G341" s="4"/>
      <c r="H341" s="5">
        <f t="shared" si="5"/>
        <v>3.8910505836576778E-3</v>
      </c>
    </row>
    <row r="342" spans="1:8" ht="13.5" x14ac:dyDescent="0.25">
      <c r="A342" s="1"/>
      <c r="B342" s="3">
        <v>42796</v>
      </c>
      <c r="C342" s="4">
        <v>2.6</v>
      </c>
      <c r="D342" s="4">
        <v>2.6</v>
      </c>
      <c r="E342" s="4">
        <v>16134</v>
      </c>
      <c r="F342" s="4"/>
      <c r="G342" s="4"/>
      <c r="H342" s="5">
        <f t="shared" si="5"/>
        <v>7.7519379844961309E-3</v>
      </c>
    </row>
    <row r="343" spans="1:8" ht="13.5" x14ac:dyDescent="0.25">
      <c r="A343" s="1"/>
      <c r="B343" s="3">
        <v>42797</v>
      </c>
      <c r="C343" s="4">
        <v>2.64</v>
      </c>
      <c r="D343" s="4">
        <v>2.64</v>
      </c>
      <c r="E343" s="4">
        <v>93</v>
      </c>
      <c r="F343" s="4"/>
      <c r="G343" s="4"/>
      <c r="H343" s="5">
        <f t="shared" si="5"/>
        <v>1.5384615384615398E-2</v>
      </c>
    </row>
    <row r="344" spans="1:8" ht="13.5" x14ac:dyDescent="0.25">
      <c r="A344" s="1"/>
      <c r="B344" s="3">
        <v>42800</v>
      </c>
      <c r="C344" s="4">
        <v>2.63</v>
      </c>
      <c r="D344" s="4">
        <v>2.63</v>
      </c>
      <c r="E344" s="4">
        <v>1190</v>
      </c>
      <c r="F344" s="4"/>
      <c r="G344" s="4"/>
      <c r="H344" s="5">
        <f t="shared" si="5"/>
        <v>-3.7878787878788752E-3</v>
      </c>
    </row>
    <row r="345" spans="1:8" ht="13.5" x14ac:dyDescent="0.25">
      <c r="A345" s="1"/>
      <c r="B345" s="3">
        <v>42801</v>
      </c>
      <c r="C345" s="4">
        <v>2.59</v>
      </c>
      <c r="D345" s="4">
        <v>2.59</v>
      </c>
      <c r="E345" s="4">
        <v>766</v>
      </c>
      <c r="F345" s="4"/>
      <c r="G345" s="4"/>
      <c r="H345" s="5">
        <f t="shared" si="5"/>
        <v>-1.5209125475285185E-2</v>
      </c>
    </row>
    <row r="346" spans="1:8" ht="13.5" x14ac:dyDescent="0.25">
      <c r="A346" s="1"/>
      <c r="B346" s="3">
        <v>42802</v>
      </c>
      <c r="C346" s="4">
        <v>2.64</v>
      </c>
      <c r="D346" s="4">
        <v>2.64</v>
      </c>
      <c r="E346" s="4">
        <v>125</v>
      </c>
      <c r="F346" s="4"/>
      <c r="G346" s="4"/>
      <c r="H346" s="5">
        <f t="shared" si="5"/>
        <v>1.9305019305019409E-2</v>
      </c>
    </row>
    <row r="347" spans="1:8" ht="13.5" x14ac:dyDescent="0.25">
      <c r="A347" s="1"/>
      <c r="B347" s="3">
        <v>42803</v>
      </c>
      <c r="C347" s="4">
        <v>2.61</v>
      </c>
      <c r="D347" s="4">
        <v>2.61</v>
      </c>
      <c r="E347" s="4">
        <v>1729</v>
      </c>
      <c r="F347" s="4"/>
      <c r="G347" s="4"/>
      <c r="H347" s="5">
        <f t="shared" si="5"/>
        <v>-1.1363636363636458E-2</v>
      </c>
    </row>
    <row r="348" spans="1:8" ht="13.5" x14ac:dyDescent="0.25">
      <c r="A348" s="1"/>
      <c r="B348" s="3">
        <v>42804</v>
      </c>
      <c r="C348" s="4">
        <v>2.73</v>
      </c>
      <c r="D348" s="4">
        <v>2.73</v>
      </c>
      <c r="E348" s="4">
        <v>1537</v>
      </c>
      <c r="F348" s="4"/>
      <c r="G348" s="4"/>
      <c r="H348" s="5">
        <f t="shared" si="5"/>
        <v>4.5977011494252915E-2</v>
      </c>
    </row>
    <row r="349" spans="1:8" ht="13.5" x14ac:dyDescent="0.25">
      <c r="A349" s="1"/>
      <c r="B349" s="3">
        <v>42807</v>
      </c>
      <c r="C349" s="4">
        <v>2.8</v>
      </c>
      <c r="D349" s="4">
        <v>2.8</v>
      </c>
      <c r="E349" s="4">
        <v>1374</v>
      </c>
      <c r="F349" s="4"/>
      <c r="G349" s="4"/>
      <c r="H349" s="5">
        <f t="shared" si="5"/>
        <v>2.5641025641025581E-2</v>
      </c>
    </row>
    <row r="350" spans="1:8" ht="13.5" x14ac:dyDescent="0.25">
      <c r="A350" s="1"/>
      <c r="B350" s="3">
        <v>42808</v>
      </c>
      <c r="C350" s="4">
        <v>2.84</v>
      </c>
      <c r="D350" s="4">
        <v>2.84</v>
      </c>
      <c r="E350" s="4">
        <v>3010</v>
      </c>
      <c r="F350" s="4"/>
      <c r="G350" s="4"/>
      <c r="H350" s="5">
        <f t="shared" si="5"/>
        <v>1.4285714285714299E-2</v>
      </c>
    </row>
    <row r="351" spans="1:8" ht="13.5" x14ac:dyDescent="0.25">
      <c r="A351" s="1"/>
      <c r="B351" s="3">
        <v>42809</v>
      </c>
      <c r="C351" s="4">
        <v>2.77</v>
      </c>
      <c r="D351" s="4">
        <v>2.77</v>
      </c>
      <c r="E351" s="4">
        <v>393</v>
      </c>
      <c r="F351" s="4"/>
      <c r="G351" s="4"/>
      <c r="H351" s="5">
        <f t="shared" si="5"/>
        <v>-2.4647887323943608E-2</v>
      </c>
    </row>
    <row r="352" spans="1:8" ht="13.5" x14ac:dyDescent="0.25">
      <c r="A352" s="1"/>
      <c r="B352" s="3">
        <v>42810</v>
      </c>
      <c r="C352" s="4">
        <v>2.76</v>
      </c>
      <c r="D352" s="4">
        <v>2.76</v>
      </c>
      <c r="E352" s="4">
        <v>3325</v>
      </c>
      <c r="F352" s="4"/>
      <c r="G352" s="4"/>
      <c r="H352" s="5">
        <f t="shared" si="5"/>
        <v>-3.6101083032491809E-3</v>
      </c>
    </row>
    <row r="353" spans="1:8" ht="13.5" x14ac:dyDescent="0.25">
      <c r="A353" s="1"/>
      <c r="B353" s="3">
        <v>42811</v>
      </c>
      <c r="C353" s="4">
        <v>2.83</v>
      </c>
      <c r="D353" s="4">
        <v>2.83</v>
      </c>
      <c r="E353" s="4">
        <v>557</v>
      </c>
      <c r="F353" s="4"/>
      <c r="G353" s="4"/>
      <c r="H353" s="5">
        <f t="shared" si="5"/>
        <v>2.5362318840579816E-2</v>
      </c>
    </row>
    <row r="354" spans="1:8" ht="13.5" x14ac:dyDescent="0.25">
      <c r="A354" s="1"/>
      <c r="B354" s="3">
        <v>42815</v>
      </c>
      <c r="C354" s="4">
        <v>2.79</v>
      </c>
      <c r="D354" s="4">
        <v>2.79</v>
      </c>
      <c r="E354" s="4">
        <v>1200</v>
      </c>
      <c r="F354" s="4"/>
      <c r="G354" s="4"/>
      <c r="H354" s="5">
        <f t="shared" si="5"/>
        <v>-1.413427561837457E-2</v>
      </c>
    </row>
    <row r="355" spans="1:8" ht="13.5" x14ac:dyDescent="0.25">
      <c r="A355" s="1"/>
      <c r="B355" s="3">
        <v>42816</v>
      </c>
      <c r="C355" s="4">
        <v>2.83</v>
      </c>
      <c r="D355" s="4">
        <v>2.83</v>
      </c>
      <c r="E355" s="4">
        <v>102</v>
      </c>
      <c r="F355" s="4"/>
      <c r="G355" s="4"/>
      <c r="H355" s="5">
        <f t="shared" si="5"/>
        <v>1.4336917562724026E-2</v>
      </c>
    </row>
    <row r="356" spans="1:8" ht="13.5" x14ac:dyDescent="0.25">
      <c r="A356" s="1"/>
      <c r="B356" s="3">
        <v>42817</v>
      </c>
      <c r="C356" s="4">
        <v>2.76</v>
      </c>
      <c r="D356" s="4">
        <v>2.76</v>
      </c>
      <c r="E356" s="4">
        <v>410</v>
      </c>
      <c r="F356" s="4"/>
      <c r="G356" s="4"/>
      <c r="H356" s="5">
        <f t="shared" si="5"/>
        <v>-2.4734982332155576E-2</v>
      </c>
    </row>
    <row r="357" spans="1:8" ht="13.5" x14ac:dyDescent="0.25">
      <c r="A357" s="1"/>
      <c r="B357" s="3">
        <v>42818</v>
      </c>
      <c r="C357" s="4">
        <v>2.78</v>
      </c>
      <c r="D357" s="4">
        <v>2.78</v>
      </c>
      <c r="E357" s="4">
        <v>1043</v>
      </c>
      <c r="F357" s="4"/>
      <c r="G357" s="4"/>
      <c r="H357" s="5">
        <f t="shared" si="5"/>
        <v>7.2463768115942099E-3</v>
      </c>
    </row>
    <row r="358" spans="1:8" ht="13.5" x14ac:dyDescent="0.25">
      <c r="A358" s="1"/>
      <c r="B358" s="3">
        <v>42821</v>
      </c>
      <c r="C358" s="4">
        <v>2.8</v>
      </c>
      <c r="D358" s="4">
        <v>2.8</v>
      </c>
      <c r="E358" s="4">
        <v>674</v>
      </c>
      <c r="F358" s="4"/>
      <c r="G358" s="4"/>
      <c r="H358" s="5">
        <f t="shared" si="5"/>
        <v>7.1942446043165541E-3</v>
      </c>
    </row>
    <row r="359" spans="1:8" ht="13.5" x14ac:dyDescent="0.25">
      <c r="A359" s="1"/>
      <c r="B359" s="3">
        <v>42822</v>
      </c>
      <c r="C359" s="4">
        <v>2.82</v>
      </c>
      <c r="D359" s="4">
        <v>2.82</v>
      </c>
      <c r="E359" s="4">
        <v>3186</v>
      </c>
      <c r="F359" s="4"/>
      <c r="G359" s="4"/>
      <c r="H359" s="5">
        <f t="shared" si="5"/>
        <v>7.1428571428571496E-3</v>
      </c>
    </row>
    <row r="360" spans="1:8" ht="13.5" x14ac:dyDescent="0.25">
      <c r="A360" s="1"/>
      <c r="B360" s="3">
        <v>42823</v>
      </c>
      <c r="C360" s="4">
        <v>2.87</v>
      </c>
      <c r="D360" s="4">
        <v>2.87</v>
      </c>
      <c r="E360" s="4">
        <v>155</v>
      </c>
      <c r="F360" s="4"/>
      <c r="G360" s="4"/>
      <c r="H360" s="5">
        <f t="shared" si="5"/>
        <v>1.7730496453900804E-2</v>
      </c>
    </row>
    <row r="361" spans="1:8" ht="13.5" x14ac:dyDescent="0.25">
      <c r="A361" s="1"/>
      <c r="B361" s="3">
        <v>42824</v>
      </c>
      <c r="C361" s="4">
        <v>2.87</v>
      </c>
      <c r="D361" s="4">
        <v>2.87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2.89</v>
      </c>
      <c r="D362" s="4">
        <v>2.89</v>
      </c>
      <c r="E362" s="4">
        <v>972</v>
      </c>
      <c r="F362" s="4"/>
      <c r="G362" s="4"/>
      <c r="H362" s="5">
        <f t="shared" si="5"/>
        <v>6.9686411149825845E-3</v>
      </c>
    </row>
    <row r="363" spans="1:8" ht="13.5" x14ac:dyDescent="0.25">
      <c r="A363" s="1"/>
      <c r="B363" s="3">
        <v>42828</v>
      </c>
      <c r="C363" s="4">
        <v>2.9</v>
      </c>
      <c r="D363" s="4">
        <v>2.9</v>
      </c>
      <c r="E363" s="4">
        <v>378</v>
      </c>
      <c r="F363" s="4"/>
      <c r="G363" s="4"/>
      <c r="H363" s="5">
        <f t="shared" si="5"/>
        <v>3.4602076124566734E-3</v>
      </c>
    </row>
    <row r="364" spans="1:8" ht="13.5" x14ac:dyDescent="0.25">
      <c r="A364" s="1"/>
      <c r="B364" s="3">
        <v>42829</v>
      </c>
      <c r="C364" s="4">
        <v>2.89</v>
      </c>
      <c r="D364" s="4">
        <v>2.89</v>
      </c>
      <c r="E364" s="4">
        <v>187</v>
      </c>
      <c r="F364" s="4"/>
      <c r="G364" s="4"/>
      <c r="H364" s="5">
        <f t="shared" si="5"/>
        <v>-3.4482758620688922E-3</v>
      </c>
    </row>
    <row r="365" spans="1:8" ht="13.5" x14ac:dyDescent="0.25">
      <c r="A365" s="1"/>
      <c r="B365" s="3">
        <v>42830</v>
      </c>
      <c r="C365" s="4">
        <v>2.89</v>
      </c>
      <c r="D365" s="4">
        <v>2.89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2.87</v>
      </c>
      <c r="D366" s="4">
        <v>2.87</v>
      </c>
      <c r="E366" s="4">
        <v>250</v>
      </c>
      <c r="F366" s="4"/>
      <c r="G366" s="4"/>
      <c r="H366" s="5">
        <f t="shared" si="5"/>
        <v>-6.9204152249135011E-3</v>
      </c>
    </row>
    <row r="367" spans="1:8" ht="13.5" x14ac:dyDescent="0.25">
      <c r="A367" s="1"/>
      <c r="B367" s="3">
        <v>42832</v>
      </c>
      <c r="C367" s="4">
        <v>2.9</v>
      </c>
      <c r="D367" s="4">
        <v>2.9</v>
      </c>
      <c r="E367" s="4">
        <v>876</v>
      </c>
      <c r="F367" s="4"/>
      <c r="G367" s="4"/>
      <c r="H367" s="5">
        <f t="shared" si="5"/>
        <v>1.0452961672473799E-2</v>
      </c>
    </row>
    <row r="368" spans="1:8" ht="13.5" x14ac:dyDescent="0.25">
      <c r="A368" s="1"/>
      <c r="B368" s="3">
        <v>42835</v>
      </c>
      <c r="C368" s="4">
        <v>2.88</v>
      </c>
      <c r="D368" s="4">
        <v>2.88</v>
      </c>
      <c r="E368" s="4">
        <v>225</v>
      </c>
      <c r="F368" s="4"/>
      <c r="G368" s="4"/>
      <c r="H368" s="5">
        <f t="shared" si="5"/>
        <v>-6.896551724137937E-3</v>
      </c>
    </row>
    <row r="369" spans="1:8" ht="13.5" x14ac:dyDescent="0.25">
      <c r="A369" s="1"/>
      <c r="B369" s="3">
        <v>42836</v>
      </c>
      <c r="C369" s="4">
        <v>2.82</v>
      </c>
      <c r="D369" s="4">
        <v>2.82</v>
      </c>
      <c r="E369" s="4">
        <v>850</v>
      </c>
      <c r="F369" s="4"/>
      <c r="G369" s="4"/>
      <c r="H369" s="5">
        <f t="shared" si="5"/>
        <v>-2.0833333333333353E-2</v>
      </c>
    </row>
    <row r="370" spans="1:8" ht="13.5" x14ac:dyDescent="0.25">
      <c r="A370" s="1"/>
      <c r="B370" s="3">
        <v>42837</v>
      </c>
      <c r="C370" s="4">
        <v>2.74</v>
      </c>
      <c r="D370" s="4">
        <v>2.74</v>
      </c>
      <c r="E370" s="4">
        <v>1890</v>
      </c>
      <c r="F370" s="4"/>
      <c r="G370" s="4"/>
      <c r="H370" s="5">
        <f t="shared" si="5"/>
        <v>-2.8368794326241006E-2</v>
      </c>
    </row>
    <row r="371" spans="1:8" ht="13.5" x14ac:dyDescent="0.25">
      <c r="A371" s="1"/>
      <c r="B371" s="3">
        <v>42838</v>
      </c>
      <c r="C371" s="4">
        <v>2.74</v>
      </c>
      <c r="D371" s="4">
        <v>2.74</v>
      </c>
      <c r="E371" s="4">
        <v>1530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2.74</v>
      </c>
      <c r="D372" s="4">
        <v>2.74</v>
      </c>
      <c r="E372" s="4">
        <v>522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2.74</v>
      </c>
      <c r="D373" s="4">
        <v>2.74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2.65</v>
      </c>
      <c r="D374" s="4">
        <v>2.65</v>
      </c>
      <c r="E374" s="4">
        <v>1066</v>
      </c>
      <c r="F374" s="4"/>
      <c r="G374" s="4"/>
      <c r="H374" s="5">
        <f t="shared" si="5"/>
        <v>-3.2846715328467259E-2</v>
      </c>
    </row>
    <row r="375" spans="1:8" ht="13.5" x14ac:dyDescent="0.25">
      <c r="A375" s="1"/>
      <c r="B375" s="3">
        <v>42844</v>
      </c>
      <c r="C375" s="4">
        <v>2.65</v>
      </c>
      <c r="D375" s="4">
        <v>2.65</v>
      </c>
      <c r="E375" s="4">
        <v>400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2.65</v>
      </c>
      <c r="D376" s="4">
        <v>2.65</v>
      </c>
      <c r="E376" s="4">
        <v>20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2.65</v>
      </c>
      <c r="D377" s="4">
        <v>2.65</v>
      </c>
      <c r="E377" s="4">
        <v>53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2.65</v>
      </c>
      <c r="D378" s="4">
        <v>2.65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2.65</v>
      </c>
      <c r="D379" s="4">
        <v>2.65</v>
      </c>
      <c r="E379" s="4">
        <v>400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2.65</v>
      </c>
      <c r="D380" s="4">
        <v>2.65</v>
      </c>
      <c r="E380" s="4">
        <v>0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2.65</v>
      </c>
      <c r="D381" s="4">
        <v>2.65</v>
      </c>
      <c r="E381" s="4">
        <v>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2.65</v>
      </c>
      <c r="D382" s="4">
        <v>2.65</v>
      </c>
      <c r="E382" s="4">
        <v>1647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2.65</v>
      </c>
      <c r="D383" s="4">
        <v>2.65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2.65</v>
      </c>
      <c r="D384" s="4">
        <v>2.65</v>
      </c>
      <c r="E384" s="4">
        <v>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2.72</v>
      </c>
      <c r="D385" s="4">
        <v>2.72</v>
      </c>
      <c r="E385" s="4">
        <v>120</v>
      </c>
      <c r="F385" s="4"/>
      <c r="G385" s="4"/>
      <c r="H385" s="5">
        <f t="shared" si="5"/>
        <v>2.641509433962275E-2</v>
      </c>
    </row>
    <row r="386" spans="1:8" ht="13.5" x14ac:dyDescent="0.25">
      <c r="A386" s="1"/>
      <c r="B386" s="3">
        <v>42860</v>
      </c>
      <c r="C386" s="4">
        <v>2.64</v>
      </c>
      <c r="D386" s="4">
        <v>2.64</v>
      </c>
      <c r="E386" s="4">
        <v>2272</v>
      </c>
      <c r="F386" s="4"/>
      <c r="G386" s="4"/>
      <c r="H386" s="5">
        <f t="shared" si="5"/>
        <v>-2.9411764705882377E-2</v>
      </c>
    </row>
    <row r="387" spans="1:8" ht="13.5" x14ac:dyDescent="0.25">
      <c r="A387" s="1"/>
      <c r="B387" s="3">
        <v>42863</v>
      </c>
      <c r="C387" s="4">
        <v>2.64</v>
      </c>
      <c r="D387" s="4">
        <v>2.64</v>
      </c>
      <c r="E387" s="4">
        <v>814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2.72</v>
      </c>
      <c r="D388" s="4">
        <v>2.72</v>
      </c>
      <c r="E388" s="4">
        <v>1870</v>
      </c>
      <c r="F388" s="4"/>
      <c r="G388" s="4"/>
      <c r="H388" s="5">
        <f t="shared" si="5"/>
        <v>3.0303030303030328E-2</v>
      </c>
    </row>
    <row r="389" spans="1:8" ht="13.5" x14ac:dyDescent="0.25">
      <c r="A389" s="1"/>
      <c r="B389" s="3">
        <v>42865</v>
      </c>
      <c r="C389" s="4">
        <v>2.7</v>
      </c>
      <c r="D389" s="4">
        <v>2.7</v>
      </c>
      <c r="E389" s="4">
        <v>150</v>
      </c>
      <c r="F389" s="4"/>
      <c r="G389" s="4"/>
      <c r="H389" s="5">
        <f t="shared" si="5"/>
        <v>-7.3529411764705942E-3</v>
      </c>
    </row>
    <row r="390" spans="1:8" ht="13.5" x14ac:dyDescent="0.25">
      <c r="A390" s="1"/>
      <c r="B390" s="3">
        <v>42866</v>
      </c>
      <c r="C390" s="4">
        <v>2.7</v>
      </c>
      <c r="D390" s="4">
        <v>2.7</v>
      </c>
      <c r="E390" s="4">
        <v>409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2.7</v>
      </c>
      <c r="D391" s="4">
        <v>2.7</v>
      </c>
      <c r="E391" s="4">
        <v>1150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2.62</v>
      </c>
      <c r="D392" s="4">
        <v>2.62</v>
      </c>
      <c r="E392" s="4">
        <v>273</v>
      </c>
      <c r="F392" s="4"/>
      <c r="G392" s="4"/>
      <c r="H392" s="5">
        <f t="shared" si="6"/>
        <v>-2.9629629629629655E-2</v>
      </c>
    </row>
    <row r="393" spans="1:8" ht="13.5" x14ac:dyDescent="0.25">
      <c r="A393" s="1"/>
      <c r="B393" s="3">
        <v>42871</v>
      </c>
      <c r="C393" s="4">
        <v>2.62</v>
      </c>
      <c r="D393" s="4">
        <v>2.62</v>
      </c>
      <c r="E393" s="4">
        <v>0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2.69</v>
      </c>
      <c r="D394" s="4">
        <v>2.69</v>
      </c>
      <c r="E394" s="4">
        <v>50</v>
      </c>
      <c r="F394" s="4"/>
      <c r="G394" s="4"/>
      <c r="H394" s="5">
        <f t="shared" si="6"/>
        <v>2.6717557251908334E-2</v>
      </c>
    </row>
    <row r="395" spans="1:8" ht="13.5" x14ac:dyDescent="0.25">
      <c r="A395" s="1"/>
      <c r="B395" s="3">
        <v>42873</v>
      </c>
      <c r="C395" s="4">
        <v>2.69</v>
      </c>
      <c r="D395" s="4">
        <v>2.69</v>
      </c>
      <c r="E395" s="4">
        <v>0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2.69</v>
      </c>
      <c r="D396" s="4">
        <v>2.69</v>
      </c>
      <c r="E396" s="4">
        <v>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2.68</v>
      </c>
      <c r="D397" s="4">
        <v>2.68</v>
      </c>
      <c r="E397" s="4">
        <v>1</v>
      </c>
      <c r="F397" s="4"/>
      <c r="G397" s="4"/>
      <c r="H397" s="5">
        <f t="shared" si="6"/>
        <v>-3.7174721189590287E-3</v>
      </c>
    </row>
    <row r="398" spans="1:8" ht="13.5" x14ac:dyDescent="0.25">
      <c r="A398" s="1"/>
      <c r="B398" s="3">
        <v>42878</v>
      </c>
      <c r="C398" s="4">
        <v>2.66</v>
      </c>
      <c r="D398" s="4">
        <v>2.66</v>
      </c>
      <c r="E398" s="4">
        <v>99</v>
      </c>
      <c r="F398" s="4"/>
      <c r="G398" s="4"/>
      <c r="H398" s="5">
        <f t="shared" si="6"/>
        <v>-7.462686567164185E-3</v>
      </c>
    </row>
    <row r="399" spans="1:8" ht="13.5" x14ac:dyDescent="0.25">
      <c r="A399" s="1"/>
      <c r="B399" s="3">
        <v>42879</v>
      </c>
      <c r="C399" s="4">
        <v>2.59</v>
      </c>
      <c r="D399" s="4">
        <v>2.59</v>
      </c>
      <c r="E399" s="4">
        <v>204</v>
      </c>
      <c r="F399" s="4"/>
      <c r="G399" s="4"/>
      <c r="H399" s="5">
        <f t="shared" si="6"/>
        <v>-2.6315789473684317E-2</v>
      </c>
    </row>
    <row r="400" spans="1:8" ht="13.5" x14ac:dyDescent="0.25">
      <c r="A400" s="1"/>
      <c r="B400" s="3">
        <v>42880</v>
      </c>
      <c r="C400" s="4">
        <v>2.59</v>
      </c>
      <c r="D400" s="4">
        <v>2.59</v>
      </c>
      <c r="E400" s="4">
        <v>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2.59</v>
      </c>
      <c r="D401" s="4">
        <v>2.59</v>
      </c>
      <c r="E401" s="4">
        <v>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2.59</v>
      </c>
      <c r="D402" s="4">
        <v>2.59</v>
      </c>
      <c r="E402" s="4">
        <v>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2.52</v>
      </c>
      <c r="D403" s="4">
        <v>2.52</v>
      </c>
      <c r="E403" s="4">
        <v>7527</v>
      </c>
      <c r="F403" s="4"/>
      <c r="G403" s="4"/>
      <c r="H403" s="5">
        <f t="shared" si="6"/>
        <v>-2.7027027027026966E-2</v>
      </c>
    </row>
    <row r="404" spans="1:8" ht="13.5" x14ac:dyDescent="0.25">
      <c r="A404" s="1"/>
      <c r="B404" s="3">
        <v>42886</v>
      </c>
      <c r="C404" s="4">
        <v>2.52</v>
      </c>
      <c r="D404" s="4">
        <v>2.52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2.59</v>
      </c>
      <c r="D405" s="4">
        <v>2.59</v>
      </c>
      <c r="E405" s="4">
        <v>100</v>
      </c>
      <c r="F405" s="4"/>
      <c r="G405" s="4"/>
      <c r="H405" s="5">
        <f t="shared" si="6"/>
        <v>2.7777777777777714E-2</v>
      </c>
    </row>
    <row r="406" spans="1:8" ht="13.5" x14ac:dyDescent="0.25">
      <c r="A406" s="1"/>
      <c r="B406" s="3">
        <v>42888</v>
      </c>
      <c r="C406" s="4">
        <v>2.59</v>
      </c>
      <c r="D406" s="4">
        <v>2.59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2.59</v>
      </c>
      <c r="D407" s="4">
        <v>2.59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2.59</v>
      </c>
      <c r="D408" s="4">
        <v>2.59</v>
      </c>
      <c r="E408" s="4">
        <v>0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2.6</v>
      </c>
      <c r="D409" s="4">
        <v>2.6</v>
      </c>
      <c r="E409" s="4">
        <v>1150</v>
      </c>
      <c r="F409" s="4"/>
      <c r="G409" s="4"/>
      <c r="H409" s="5">
        <f t="shared" si="6"/>
        <v>3.8610038610039504E-3</v>
      </c>
    </row>
    <row r="410" spans="1:8" ht="13.5" x14ac:dyDescent="0.25">
      <c r="A410" s="1"/>
      <c r="B410" s="3">
        <v>42894</v>
      </c>
      <c r="C410" s="4">
        <v>2.5499999999999998</v>
      </c>
      <c r="D410" s="4">
        <v>2.5499999999999998</v>
      </c>
      <c r="E410" s="4">
        <v>1020</v>
      </c>
      <c r="F410" s="4"/>
      <c r="G410" s="4"/>
      <c r="H410" s="5">
        <f t="shared" si="6"/>
        <v>-1.9230769230769332E-2</v>
      </c>
    </row>
    <row r="411" spans="1:8" ht="13.5" x14ac:dyDescent="0.25">
      <c r="A411" s="1"/>
      <c r="B411" s="3">
        <v>42895</v>
      </c>
      <c r="C411" s="4">
        <v>2.5499999999999998</v>
      </c>
      <c r="D411" s="4">
        <v>2.5499999999999998</v>
      </c>
      <c r="E411" s="4">
        <v>0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2.4900000000000002</v>
      </c>
      <c r="D412" s="4">
        <v>2.4900000000000002</v>
      </c>
      <c r="E412" s="4">
        <v>200</v>
      </c>
      <c r="F412" s="4"/>
      <c r="G412" s="4"/>
      <c r="H412" s="5">
        <f t="shared" si="6"/>
        <v>-2.3529411764705729E-2</v>
      </c>
    </row>
    <row r="413" spans="1:8" ht="13.5" x14ac:dyDescent="0.25">
      <c r="A413" s="1"/>
      <c r="B413" s="3">
        <v>42899</v>
      </c>
      <c r="C413" s="4">
        <v>2.42</v>
      </c>
      <c r="D413" s="4">
        <v>2.42</v>
      </c>
      <c r="E413" s="4">
        <v>11500</v>
      </c>
      <c r="F413" s="4"/>
      <c r="G413" s="4"/>
      <c r="H413" s="5">
        <f t="shared" si="6"/>
        <v>-2.8112449799196897E-2</v>
      </c>
    </row>
    <row r="414" spans="1:8" ht="13.5" x14ac:dyDescent="0.25">
      <c r="A414" s="1"/>
      <c r="B414" s="3">
        <v>42900</v>
      </c>
      <c r="C414" s="4">
        <v>2.4900000000000002</v>
      </c>
      <c r="D414" s="4">
        <v>2.4900000000000002</v>
      </c>
      <c r="E414" s="4">
        <v>325</v>
      </c>
      <c r="F414" s="4"/>
      <c r="G414" s="4"/>
      <c r="H414" s="5">
        <f t="shared" si="6"/>
        <v>2.8925619834710863E-2</v>
      </c>
    </row>
    <row r="415" spans="1:8" ht="13.5" x14ac:dyDescent="0.25">
      <c r="A415" s="1"/>
      <c r="B415" s="3">
        <v>42901</v>
      </c>
      <c r="C415" s="4">
        <v>2.6</v>
      </c>
      <c r="D415" s="4">
        <v>2.6</v>
      </c>
      <c r="E415" s="4">
        <v>2500</v>
      </c>
      <c r="F415" s="4"/>
      <c r="G415" s="4"/>
      <c r="H415" s="5">
        <f t="shared" si="6"/>
        <v>4.4176706827309183E-2</v>
      </c>
    </row>
    <row r="416" spans="1:8" ht="13.5" x14ac:dyDescent="0.25">
      <c r="A416" s="1"/>
      <c r="B416" s="3">
        <v>42902</v>
      </c>
      <c r="C416" s="4">
        <v>2.6</v>
      </c>
      <c r="D416" s="4">
        <v>2.6</v>
      </c>
      <c r="E416" s="4">
        <v>13889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2.65</v>
      </c>
      <c r="D417" s="4">
        <v>2.65</v>
      </c>
      <c r="E417" s="4">
        <v>1500</v>
      </c>
      <c r="F417" s="4"/>
      <c r="G417" s="4"/>
      <c r="H417" s="5">
        <f t="shared" si="6"/>
        <v>1.9230769230769162E-2</v>
      </c>
    </row>
    <row r="418" spans="1:8" ht="13.5" x14ac:dyDescent="0.25">
      <c r="A418" s="1"/>
      <c r="B418" s="3">
        <v>42906</v>
      </c>
      <c r="C418" s="4">
        <v>2.78</v>
      </c>
      <c r="D418" s="4">
        <v>2.78</v>
      </c>
      <c r="E418" s="4">
        <v>2310</v>
      </c>
      <c r="F418" s="4"/>
      <c r="G418" s="4"/>
      <c r="H418" s="5">
        <f t="shared" si="6"/>
        <v>4.9056603773584867E-2</v>
      </c>
    </row>
    <row r="419" spans="1:8" ht="13.5" x14ac:dyDescent="0.25">
      <c r="A419" s="1"/>
      <c r="B419" s="3">
        <v>42907</v>
      </c>
      <c r="C419" s="4">
        <v>2.94</v>
      </c>
      <c r="D419" s="4">
        <v>2.94</v>
      </c>
      <c r="E419" s="4">
        <v>6100</v>
      </c>
      <c r="F419" s="4"/>
      <c r="G419" s="4"/>
      <c r="H419" s="5">
        <f t="shared" si="6"/>
        <v>5.7553956834532433E-2</v>
      </c>
    </row>
    <row r="420" spans="1:8" ht="13.5" x14ac:dyDescent="0.25">
      <c r="A420" s="1"/>
      <c r="B420" s="3">
        <v>42908</v>
      </c>
      <c r="C420" s="4">
        <v>2.99</v>
      </c>
      <c r="D420" s="4">
        <v>2.99</v>
      </c>
      <c r="E420" s="4">
        <v>7000</v>
      </c>
      <c r="F420" s="4"/>
      <c r="G420" s="4"/>
      <c r="H420" s="5">
        <f t="shared" si="6"/>
        <v>1.7006802721088527E-2</v>
      </c>
    </row>
    <row r="421" spans="1:8" ht="13.5" x14ac:dyDescent="0.25">
      <c r="A421" s="1"/>
      <c r="B421" s="3">
        <v>42909</v>
      </c>
      <c r="C421" s="4">
        <v>3.04</v>
      </c>
      <c r="D421" s="4">
        <v>3.04</v>
      </c>
      <c r="E421" s="4">
        <v>6500</v>
      </c>
      <c r="F421" s="4"/>
      <c r="G421" s="4"/>
      <c r="H421" s="5">
        <f t="shared" si="6"/>
        <v>1.6722408026755793E-2</v>
      </c>
    </row>
    <row r="422" spans="1:8" ht="13.5" x14ac:dyDescent="0.25">
      <c r="A422" s="1"/>
      <c r="B422" s="3">
        <v>42914</v>
      </c>
      <c r="C422" s="4">
        <v>3.04</v>
      </c>
      <c r="D422" s="4">
        <v>3.04</v>
      </c>
      <c r="E422" s="4">
        <v>6055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3.04</v>
      </c>
      <c r="D423" s="4">
        <v>3.04</v>
      </c>
      <c r="E423" s="4">
        <v>150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3.05</v>
      </c>
      <c r="D424" s="4">
        <v>3.05</v>
      </c>
      <c r="E424" s="4">
        <v>100</v>
      </c>
      <c r="F424" s="4"/>
      <c r="G424" s="4"/>
      <c r="H424" s="5">
        <f t="shared" si="6"/>
        <v>3.2894736842104563E-3</v>
      </c>
    </row>
    <row r="425" spans="1:8" ht="13.5" x14ac:dyDescent="0.25">
      <c r="A425" s="1"/>
      <c r="B425" s="3">
        <v>42919</v>
      </c>
      <c r="C425" s="4">
        <v>3.05</v>
      </c>
      <c r="D425" s="4">
        <v>3.05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3.05</v>
      </c>
      <c r="D426" s="4">
        <v>3.05</v>
      </c>
      <c r="E426" s="4">
        <v>425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2.92</v>
      </c>
      <c r="D427" s="4">
        <v>2.92</v>
      </c>
      <c r="E427" s="4">
        <v>145</v>
      </c>
      <c r="F427" s="4"/>
      <c r="G427" s="4"/>
      <c r="H427" s="5">
        <f t="shared" si="6"/>
        <v>-4.2622950819672101E-2</v>
      </c>
    </row>
    <row r="428" spans="1:8" ht="13.5" x14ac:dyDescent="0.25">
      <c r="A428" s="1"/>
      <c r="B428" s="3">
        <v>42922</v>
      </c>
      <c r="C428" s="4">
        <v>2.92</v>
      </c>
      <c r="D428" s="4">
        <v>2.92</v>
      </c>
      <c r="E428" s="4">
        <v>395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2.92</v>
      </c>
      <c r="D429" s="4">
        <v>2.92</v>
      </c>
      <c r="E429" s="4">
        <v>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42926</v>
      </c>
      <c r="C430" s="4">
        <v>3</v>
      </c>
      <c r="D430" s="4">
        <v>3</v>
      </c>
      <c r="E430" s="4">
        <v>100</v>
      </c>
      <c r="F430" s="4"/>
      <c r="G430" s="4"/>
      <c r="H430" s="5">
        <f t="shared" si="6"/>
        <v>2.7397260273972629E-2</v>
      </c>
    </row>
    <row r="431" spans="1:8" ht="13.5" x14ac:dyDescent="0.25">
      <c r="A431" s="1"/>
      <c r="B431" s="3">
        <v>42927</v>
      </c>
      <c r="C431" s="4">
        <v>2.91</v>
      </c>
      <c r="D431" s="4">
        <v>2.91</v>
      </c>
      <c r="E431" s="4">
        <v>200</v>
      </c>
      <c r="F431" s="4"/>
      <c r="G431" s="4"/>
      <c r="H431" s="5">
        <f t="shared" si="6"/>
        <v>-2.9999999999999954E-2</v>
      </c>
    </row>
    <row r="432" spans="1:8" ht="13.5" x14ac:dyDescent="0.25">
      <c r="A432" s="1"/>
      <c r="B432" s="3">
        <v>42928</v>
      </c>
      <c r="C432" s="4">
        <v>3</v>
      </c>
      <c r="D432" s="4">
        <v>3</v>
      </c>
      <c r="E432" s="4">
        <v>1355</v>
      </c>
      <c r="F432" s="4"/>
      <c r="G432" s="4"/>
      <c r="H432" s="5">
        <f t="shared" si="6"/>
        <v>3.0927835051546341E-2</v>
      </c>
    </row>
    <row r="433" spans="1:8" ht="13.5" x14ac:dyDescent="0.25">
      <c r="A433" s="1"/>
      <c r="B433" s="3">
        <v>42929</v>
      </c>
      <c r="C433" s="4">
        <v>3</v>
      </c>
      <c r="D433" s="4">
        <v>3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3</v>
      </c>
      <c r="D434" s="4">
        <v>3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2.99</v>
      </c>
      <c r="D435" s="4">
        <v>2.99</v>
      </c>
      <c r="E435" s="4">
        <v>1670</v>
      </c>
      <c r="F435" s="4"/>
      <c r="G435" s="4"/>
      <c r="H435" s="5">
        <f t="shared" si="6"/>
        <v>-3.3333333333332624E-3</v>
      </c>
    </row>
    <row r="436" spans="1:8" ht="13.5" x14ac:dyDescent="0.25">
      <c r="A436" s="1"/>
      <c r="B436" s="3">
        <v>42934</v>
      </c>
      <c r="C436" s="4">
        <v>2.99</v>
      </c>
      <c r="D436" s="4">
        <v>2.99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2.99</v>
      </c>
      <c r="D437" s="4">
        <v>2.99</v>
      </c>
      <c r="E437" s="4">
        <v>120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2.99</v>
      </c>
      <c r="D438" s="4">
        <v>2.99</v>
      </c>
      <c r="E438" s="4">
        <v>0</v>
      </c>
      <c r="F438" s="4"/>
      <c r="G438" s="4"/>
      <c r="H438" s="5">
        <f t="shared" si="6"/>
        <v>0</v>
      </c>
    </row>
    <row r="439" spans="1:8" ht="13.5" x14ac:dyDescent="0.25">
      <c r="A439" s="1"/>
      <c r="B439" s="3">
        <v>42937</v>
      </c>
      <c r="C439" s="4">
        <v>2.99</v>
      </c>
      <c r="D439" s="4">
        <v>2.99</v>
      </c>
      <c r="E439" s="4">
        <v>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3</v>
      </c>
      <c r="D440" s="4">
        <v>3</v>
      </c>
      <c r="E440" s="4">
        <v>2411</v>
      </c>
      <c r="F440" s="4"/>
      <c r="G440" s="4"/>
      <c r="H440" s="5">
        <f t="shared" si="6"/>
        <v>3.344481605351099E-3</v>
      </c>
    </row>
    <row r="441" spans="1:8" ht="13.5" x14ac:dyDescent="0.25">
      <c r="A441" s="1"/>
      <c r="B441" s="3">
        <v>42942</v>
      </c>
      <c r="C441" s="4">
        <v>3</v>
      </c>
      <c r="D441" s="4">
        <v>3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3</v>
      </c>
      <c r="D442" s="4">
        <v>3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3</v>
      </c>
      <c r="D443" s="4">
        <v>3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2.91</v>
      </c>
      <c r="D444" s="4">
        <v>2.91</v>
      </c>
      <c r="E444" s="4">
        <v>0</v>
      </c>
      <c r="F444" s="4"/>
      <c r="G444" s="4"/>
      <c r="H444" s="5">
        <f t="shared" si="6"/>
        <v>-2.9999999999999954E-2</v>
      </c>
    </row>
    <row r="445" spans="1:8" ht="13.5" x14ac:dyDescent="0.25">
      <c r="A445" s="1"/>
      <c r="B445" s="3">
        <v>42948</v>
      </c>
      <c r="C445" s="4">
        <v>2.91</v>
      </c>
      <c r="D445" s="4">
        <v>2.91</v>
      </c>
      <c r="E445" s="4">
        <v>935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2.91</v>
      </c>
      <c r="D446" s="4">
        <v>2.91</v>
      </c>
      <c r="E446" s="4">
        <v>200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2.91</v>
      </c>
      <c r="D447" s="4">
        <v>2.91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2.91</v>
      </c>
      <c r="D448" s="4">
        <v>2.91</v>
      </c>
      <c r="E448" s="4">
        <v>500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2.95</v>
      </c>
      <c r="D449" s="4">
        <v>2.95</v>
      </c>
      <c r="E449" s="4">
        <v>10</v>
      </c>
      <c r="F449" s="4"/>
      <c r="G449" s="4"/>
      <c r="H449" s="5">
        <f t="shared" si="6"/>
        <v>1.3745704467353964E-2</v>
      </c>
    </row>
    <row r="450" spans="1:8" ht="13.5" x14ac:dyDescent="0.25">
      <c r="A450" s="1"/>
      <c r="B450" s="3">
        <v>42955</v>
      </c>
      <c r="C450" s="4">
        <v>3</v>
      </c>
      <c r="D450" s="4">
        <v>3</v>
      </c>
      <c r="E450" s="4">
        <v>20</v>
      </c>
      <c r="F450" s="4"/>
      <c r="G450" s="4"/>
      <c r="H450" s="5">
        <f t="shared" si="6"/>
        <v>1.6949152542372819E-2</v>
      </c>
    </row>
    <row r="451" spans="1:8" ht="13.5" x14ac:dyDescent="0.25">
      <c r="A451" s="1"/>
      <c r="B451" s="3">
        <v>42956</v>
      </c>
      <c r="C451" s="4">
        <v>3</v>
      </c>
      <c r="D451" s="4">
        <v>3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2.94</v>
      </c>
      <c r="D452" s="4">
        <v>2.94</v>
      </c>
      <c r="E452" s="4">
        <v>300</v>
      </c>
      <c r="F452" s="4"/>
      <c r="G452" s="4"/>
      <c r="H452" s="5">
        <f t="shared" si="6"/>
        <v>-2.0000000000000018E-2</v>
      </c>
    </row>
    <row r="453" spans="1:8" ht="13.5" x14ac:dyDescent="0.25">
      <c r="A453" s="1"/>
      <c r="B453" s="3">
        <v>42958</v>
      </c>
      <c r="C453" s="4">
        <v>2.94</v>
      </c>
      <c r="D453" s="4">
        <v>2.94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2.94</v>
      </c>
      <c r="D454" s="4">
        <v>2.94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2.91</v>
      </c>
      <c r="D455" s="4">
        <v>2.91</v>
      </c>
      <c r="E455" s="4">
        <v>220</v>
      </c>
      <c r="F455" s="4"/>
      <c r="G455" s="4"/>
      <c r="H455" s="5">
        <f t="shared" ref="H455:H518" si="7">(D455-D454)/D454</f>
        <v>-1.0204081632652994E-2</v>
      </c>
    </row>
    <row r="456" spans="1:8" ht="13.5" x14ac:dyDescent="0.25">
      <c r="A456" s="1"/>
      <c r="B456" s="3">
        <v>42963</v>
      </c>
      <c r="C456" s="4">
        <v>2.91</v>
      </c>
      <c r="D456" s="4">
        <v>2.91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2.91</v>
      </c>
      <c r="D457" s="4">
        <v>2.91</v>
      </c>
      <c r="E457" s="4">
        <v>200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2.91</v>
      </c>
      <c r="D458" s="4">
        <v>2.91</v>
      </c>
      <c r="E458" s="4">
        <v>500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2.91</v>
      </c>
      <c r="D459" s="4">
        <v>2.91</v>
      </c>
      <c r="E459" s="4">
        <v>105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2.91</v>
      </c>
      <c r="D460" s="4">
        <v>2.91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2.91</v>
      </c>
      <c r="D461" s="4">
        <v>2.91</v>
      </c>
      <c r="E461" s="4">
        <v>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2.91</v>
      </c>
      <c r="D462" s="4">
        <v>2.91</v>
      </c>
      <c r="E462" s="4">
        <v>30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2.91</v>
      </c>
      <c r="D463" s="4">
        <v>2.91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2.91</v>
      </c>
      <c r="D464" s="4">
        <v>2.91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2.91</v>
      </c>
      <c r="D465" s="4">
        <v>2.91</v>
      </c>
      <c r="E465" s="4">
        <v>300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2.91</v>
      </c>
      <c r="D466" s="4">
        <v>2.91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2.91</v>
      </c>
      <c r="D467" s="4">
        <v>2.91</v>
      </c>
      <c r="E467" s="4">
        <v>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2.91</v>
      </c>
      <c r="D468" s="4">
        <v>2.91</v>
      </c>
      <c r="E468" s="4">
        <v>500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2.91</v>
      </c>
      <c r="D469" s="4">
        <v>2.91</v>
      </c>
      <c r="E469" s="4">
        <v>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2.91</v>
      </c>
      <c r="D470" s="4">
        <v>2.91</v>
      </c>
      <c r="E470" s="4">
        <v>0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2.91</v>
      </c>
      <c r="D471" s="4">
        <v>2.91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2.91</v>
      </c>
      <c r="D472" s="4">
        <v>2.91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2.91</v>
      </c>
      <c r="D473" s="4">
        <v>2.91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2.91</v>
      </c>
      <c r="D474" s="4">
        <v>2.91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2.91</v>
      </c>
      <c r="D475" s="4">
        <v>2.91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2.83</v>
      </c>
      <c r="D476" s="4">
        <v>2.83</v>
      </c>
      <c r="E476" s="4">
        <v>70</v>
      </c>
      <c r="F476" s="4"/>
      <c r="G476" s="4"/>
      <c r="H476" s="5">
        <f t="shared" si="7"/>
        <v>-2.7491408934707928E-2</v>
      </c>
    </row>
    <row r="477" spans="1:8" ht="13.5" x14ac:dyDescent="0.25">
      <c r="A477" s="1"/>
      <c r="B477" s="3">
        <v>42993</v>
      </c>
      <c r="C477" s="4">
        <v>2.83</v>
      </c>
      <c r="D477" s="4">
        <v>2.83</v>
      </c>
      <c r="E477" s="4">
        <v>87097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2.83</v>
      </c>
      <c r="D478" s="4">
        <v>2.83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2.75</v>
      </c>
      <c r="D479" s="4">
        <v>2.75</v>
      </c>
      <c r="E479" s="4">
        <v>400</v>
      </c>
      <c r="F479" s="4"/>
      <c r="G479" s="4"/>
      <c r="H479" s="5">
        <f t="shared" si="7"/>
        <v>-2.8268551236749141E-2</v>
      </c>
    </row>
    <row r="480" spans="1:8" ht="13.5" x14ac:dyDescent="0.25">
      <c r="A480" s="1"/>
      <c r="B480" s="3">
        <v>42998</v>
      </c>
      <c r="C480" s="4">
        <v>2.75</v>
      </c>
      <c r="D480" s="4">
        <v>2.75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2.75</v>
      </c>
      <c r="D481" s="4">
        <v>2.75</v>
      </c>
      <c r="E481" s="4">
        <v>11236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2.7</v>
      </c>
      <c r="D482" s="4">
        <v>2.7</v>
      </c>
      <c r="E482" s="4">
        <v>1790</v>
      </c>
      <c r="F482" s="4"/>
      <c r="G482" s="4"/>
      <c r="H482" s="5">
        <f t="shared" si="7"/>
        <v>-1.8181818181818118E-2</v>
      </c>
    </row>
    <row r="483" spans="1:8" ht="13.5" x14ac:dyDescent="0.25">
      <c r="A483" s="1"/>
      <c r="B483" s="3">
        <v>43004</v>
      </c>
      <c r="C483" s="4">
        <v>2.7</v>
      </c>
      <c r="D483" s="4">
        <v>2.7</v>
      </c>
      <c r="E483" s="4">
        <v>282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2.7</v>
      </c>
      <c r="D484" s="4">
        <v>2.7</v>
      </c>
      <c r="E484" s="4">
        <v>1070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2.7</v>
      </c>
      <c r="D485" s="4">
        <v>2.7</v>
      </c>
      <c r="E485" s="4">
        <v>1315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2.7</v>
      </c>
      <c r="D486" s="4">
        <v>2.7</v>
      </c>
      <c r="E486" s="4">
        <v>2500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2.7</v>
      </c>
      <c r="D487" s="4">
        <v>2.7</v>
      </c>
      <c r="E487" s="4">
        <v>1500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2.7</v>
      </c>
      <c r="D488" s="4">
        <v>2.7</v>
      </c>
      <c r="E488" s="4">
        <v>3363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2.7</v>
      </c>
      <c r="D489" s="4">
        <v>2.7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2.7</v>
      </c>
      <c r="D490" s="4">
        <v>2.7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2.74</v>
      </c>
      <c r="D491" s="4">
        <v>2.74</v>
      </c>
      <c r="E491" s="4">
        <v>667</v>
      </c>
      <c r="F491" s="4"/>
      <c r="G491" s="4"/>
      <c r="H491" s="5">
        <f t="shared" si="7"/>
        <v>1.4814814814814828E-2</v>
      </c>
    </row>
    <row r="492" spans="1:8" ht="13.5" x14ac:dyDescent="0.25">
      <c r="A492" s="1"/>
      <c r="B492" s="3">
        <v>43017</v>
      </c>
      <c r="C492" s="4">
        <v>2.73</v>
      </c>
      <c r="D492" s="4">
        <v>2.73</v>
      </c>
      <c r="E492" s="4">
        <v>4120</v>
      </c>
      <c r="F492" s="4"/>
      <c r="G492" s="4"/>
      <c r="H492" s="5">
        <f t="shared" si="7"/>
        <v>-3.6496350364964344E-3</v>
      </c>
    </row>
    <row r="493" spans="1:8" ht="13.5" x14ac:dyDescent="0.25">
      <c r="A493" s="1"/>
      <c r="B493" s="3">
        <v>43018</v>
      </c>
      <c r="C493" s="4">
        <v>2.73</v>
      </c>
      <c r="D493" s="4">
        <v>2.73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2.73</v>
      </c>
      <c r="D494" s="4">
        <v>2.73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2.73</v>
      </c>
      <c r="D495" s="4">
        <v>2.73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2.73</v>
      </c>
      <c r="D496" s="4">
        <v>2.73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2.68</v>
      </c>
      <c r="D497" s="4">
        <v>2.68</v>
      </c>
      <c r="E497" s="4">
        <v>6912</v>
      </c>
      <c r="F497" s="4"/>
      <c r="G497" s="4"/>
      <c r="H497" s="5">
        <f t="shared" si="7"/>
        <v>-1.831501831501825E-2</v>
      </c>
    </row>
    <row r="498" spans="1:8" ht="13.5" x14ac:dyDescent="0.25">
      <c r="A498" s="1"/>
      <c r="B498" s="3">
        <v>43025</v>
      </c>
      <c r="C498" s="4">
        <v>2.68</v>
      </c>
      <c r="D498" s="4">
        <v>2.68</v>
      </c>
      <c r="E498" s="4">
        <v>3100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2.68</v>
      </c>
      <c r="D499" s="4">
        <v>2.68</v>
      </c>
      <c r="E499" s="4">
        <v>0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2.68</v>
      </c>
      <c r="D500" s="4">
        <v>2.68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2.68</v>
      </c>
      <c r="D501" s="4">
        <v>2.68</v>
      </c>
      <c r="E501" s="4">
        <v>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2.6</v>
      </c>
      <c r="D502" s="4">
        <v>2.6</v>
      </c>
      <c r="E502" s="4">
        <v>601</v>
      </c>
      <c r="F502" s="4"/>
      <c r="G502" s="4"/>
      <c r="H502" s="5">
        <f t="shared" si="7"/>
        <v>-2.985074626865674E-2</v>
      </c>
    </row>
    <row r="503" spans="1:8" ht="13.5" x14ac:dyDescent="0.25">
      <c r="A503" s="1"/>
      <c r="B503" s="3">
        <v>43032</v>
      </c>
      <c r="C503" s="4">
        <v>2.5499999999999998</v>
      </c>
      <c r="D503" s="4">
        <v>2.5499999999999998</v>
      </c>
      <c r="E503" s="4">
        <v>193</v>
      </c>
      <c r="F503" s="4"/>
      <c r="G503" s="4"/>
      <c r="H503" s="5">
        <f t="shared" si="7"/>
        <v>-1.9230769230769332E-2</v>
      </c>
    </row>
    <row r="504" spans="1:8" ht="13.5" x14ac:dyDescent="0.25">
      <c r="A504" s="1"/>
      <c r="B504" s="3">
        <v>43033</v>
      </c>
      <c r="C504" s="4">
        <v>2.5</v>
      </c>
      <c r="D504" s="4">
        <v>2.5</v>
      </c>
      <c r="E504" s="4">
        <v>2706</v>
      </c>
      <c r="F504" s="4"/>
      <c r="G504" s="4"/>
      <c r="H504" s="5">
        <f t="shared" si="7"/>
        <v>-1.9607843137254832E-2</v>
      </c>
    </row>
    <row r="505" spans="1:8" ht="13.5" x14ac:dyDescent="0.25">
      <c r="A505" s="1"/>
      <c r="B505" s="3">
        <v>43034</v>
      </c>
      <c r="C505" s="4">
        <v>2.5</v>
      </c>
      <c r="D505" s="4">
        <v>2.5</v>
      </c>
      <c r="E505" s="4">
        <v>2049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2.5</v>
      </c>
      <c r="D506" s="4">
        <v>2.5</v>
      </c>
      <c r="E506" s="4">
        <v>183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2.5</v>
      </c>
      <c r="D507" s="4">
        <v>2.5</v>
      </c>
      <c r="E507" s="4">
        <v>617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2.5</v>
      </c>
      <c r="D508" s="4">
        <v>2.5</v>
      </c>
      <c r="E508" s="4">
        <v>0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2.5</v>
      </c>
      <c r="D509" s="4">
        <v>2.5</v>
      </c>
      <c r="E509" s="4">
        <v>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2.4300000000000002</v>
      </c>
      <c r="D510" s="4">
        <v>2.4300000000000002</v>
      </c>
      <c r="E510" s="4">
        <v>5051</v>
      </c>
      <c r="F510" s="4"/>
      <c r="G510" s="4"/>
      <c r="H510" s="5">
        <f t="shared" si="7"/>
        <v>-2.7999999999999935E-2</v>
      </c>
    </row>
    <row r="511" spans="1:8" ht="13.5" x14ac:dyDescent="0.25">
      <c r="A511" s="1"/>
      <c r="B511" s="3">
        <v>43042</v>
      </c>
      <c r="C511" s="4">
        <v>2.4</v>
      </c>
      <c r="D511" s="4">
        <v>2.4</v>
      </c>
      <c r="E511" s="4">
        <v>2500</v>
      </c>
      <c r="F511" s="4"/>
      <c r="G511" s="4"/>
      <c r="H511" s="5">
        <f t="shared" si="7"/>
        <v>-1.2345679012345781E-2</v>
      </c>
    </row>
    <row r="512" spans="1:8" ht="13.5" x14ac:dyDescent="0.25">
      <c r="A512" s="1"/>
      <c r="B512" s="3">
        <v>43045</v>
      </c>
      <c r="C512" s="4">
        <v>2.4</v>
      </c>
      <c r="D512" s="4">
        <v>2.4</v>
      </c>
      <c r="E512" s="4">
        <v>200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2.4</v>
      </c>
      <c r="D513" s="4">
        <v>2.4</v>
      </c>
      <c r="E513" s="4">
        <v>50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2.4</v>
      </c>
      <c r="D514" s="4">
        <v>2.4</v>
      </c>
      <c r="E514" s="4">
        <v>200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2.36</v>
      </c>
      <c r="D515" s="4">
        <v>2.36</v>
      </c>
      <c r="E515" s="4">
        <v>150</v>
      </c>
      <c r="F515" s="4"/>
      <c r="G515" s="4"/>
      <c r="H515" s="5">
        <f t="shared" si="7"/>
        <v>-1.6666666666666684E-2</v>
      </c>
    </row>
    <row r="516" spans="1:8" ht="13.5" x14ac:dyDescent="0.25">
      <c r="A516" s="1"/>
      <c r="B516" s="3">
        <v>43049</v>
      </c>
      <c r="C516" s="4">
        <v>2.4</v>
      </c>
      <c r="D516" s="4">
        <v>2.4</v>
      </c>
      <c r="E516" s="4">
        <v>5210</v>
      </c>
      <c r="F516" s="4"/>
      <c r="G516" s="4"/>
      <c r="H516" s="5">
        <f t="shared" si="7"/>
        <v>1.6949152542372899E-2</v>
      </c>
    </row>
    <row r="517" spans="1:8" ht="13.5" x14ac:dyDescent="0.25">
      <c r="A517" s="1"/>
      <c r="B517" s="3">
        <v>43052</v>
      </c>
      <c r="C517" s="4">
        <v>2.3199999999999998</v>
      </c>
      <c r="D517" s="4">
        <v>2.3199999999999998</v>
      </c>
      <c r="E517" s="4">
        <v>6530</v>
      </c>
      <c r="F517" s="4"/>
      <c r="G517" s="4"/>
      <c r="H517" s="5">
        <f t="shared" si="7"/>
        <v>-3.3333333333333368E-2</v>
      </c>
    </row>
    <row r="518" spans="1:8" ht="13.5" x14ac:dyDescent="0.25">
      <c r="A518" s="1"/>
      <c r="B518" s="3">
        <v>43053</v>
      </c>
      <c r="C518" s="4">
        <v>2.29</v>
      </c>
      <c r="D518" s="4">
        <v>2.29</v>
      </c>
      <c r="E518" s="4">
        <v>31014</v>
      </c>
      <c r="F518" s="4"/>
      <c r="G518" s="4"/>
      <c r="H518" s="5">
        <f t="shared" si="7"/>
        <v>-1.2931034482758537E-2</v>
      </c>
    </row>
    <row r="519" spans="1:8" ht="13.5" x14ac:dyDescent="0.25">
      <c r="A519" s="1"/>
      <c r="B519" s="3">
        <v>43054</v>
      </c>
      <c r="C519" s="4">
        <v>2.2999999999999998</v>
      </c>
      <c r="D519" s="4">
        <v>2.2999999999999998</v>
      </c>
      <c r="E519" s="4">
        <v>2035</v>
      </c>
      <c r="F519" s="4"/>
      <c r="G519" s="4"/>
      <c r="H519" s="5">
        <f t="shared" ref="H519:H582" si="8">(D519-D518)/D518</f>
        <v>4.3668122270741428E-3</v>
      </c>
    </row>
    <row r="520" spans="1:8" ht="13.5" x14ac:dyDescent="0.25">
      <c r="A520" s="1"/>
      <c r="B520" s="3">
        <v>43055</v>
      </c>
      <c r="C520" s="4">
        <v>2.31</v>
      </c>
      <c r="D520" s="4">
        <v>2.31</v>
      </c>
      <c r="E520" s="4">
        <v>100</v>
      </c>
      <c r="F520" s="4"/>
      <c r="G520" s="4"/>
      <c r="H520" s="5">
        <f t="shared" si="8"/>
        <v>4.3478260869566224E-3</v>
      </c>
    </row>
    <row r="521" spans="1:8" ht="13.5" x14ac:dyDescent="0.25">
      <c r="A521" s="1"/>
      <c r="B521" s="3">
        <v>43056</v>
      </c>
      <c r="C521" s="4">
        <v>2.29</v>
      </c>
      <c r="D521" s="4">
        <v>2.29</v>
      </c>
      <c r="E521" s="4">
        <v>1880</v>
      </c>
      <c r="F521" s="4"/>
      <c r="G521" s="4"/>
      <c r="H521" s="5">
        <f t="shared" si="8"/>
        <v>-8.6580086580086649E-3</v>
      </c>
    </row>
    <row r="522" spans="1:8" ht="13.5" x14ac:dyDescent="0.25">
      <c r="A522" s="1"/>
      <c r="B522" s="3">
        <v>43059</v>
      </c>
      <c r="C522" s="4">
        <v>2.29</v>
      </c>
      <c r="D522" s="4">
        <v>2.29</v>
      </c>
      <c r="E522" s="4">
        <v>0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2.29</v>
      </c>
      <c r="D523" s="4">
        <v>2.29</v>
      </c>
      <c r="E523" s="4">
        <v>2361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2.31</v>
      </c>
      <c r="D524" s="4">
        <v>2.31</v>
      </c>
      <c r="E524" s="4">
        <v>242</v>
      </c>
      <c r="F524" s="4"/>
      <c r="G524" s="4"/>
      <c r="H524" s="5">
        <f t="shared" si="8"/>
        <v>8.7336244541484798E-3</v>
      </c>
    </row>
    <row r="525" spans="1:8" ht="13.5" x14ac:dyDescent="0.25">
      <c r="A525" s="1"/>
      <c r="B525" s="3">
        <v>43062</v>
      </c>
      <c r="C525" s="4">
        <v>2.31</v>
      </c>
      <c r="D525" s="4">
        <v>2.31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2.2999999999999998</v>
      </c>
      <c r="D526" s="4">
        <v>2.2999999999999998</v>
      </c>
      <c r="E526" s="4">
        <v>3980</v>
      </c>
      <c r="F526" s="4"/>
      <c r="G526" s="4"/>
      <c r="H526" s="5">
        <f t="shared" si="8"/>
        <v>-4.3290043290044287E-3</v>
      </c>
    </row>
    <row r="527" spans="1:8" ht="13.5" x14ac:dyDescent="0.25">
      <c r="A527" s="1"/>
      <c r="B527" s="3">
        <v>43066</v>
      </c>
      <c r="C527" s="4">
        <v>2.2999999999999998</v>
      </c>
      <c r="D527" s="4">
        <v>2.2999999999999998</v>
      </c>
      <c r="E527" s="4">
        <v>0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2.2999999999999998</v>
      </c>
      <c r="D528" s="4">
        <v>2.2999999999999998</v>
      </c>
      <c r="E528" s="4">
        <v>743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2.2999999999999998</v>
      </c>
      <c r="D529" s="4">
        <v>2.2999999999999998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2.29</v>
      </c>
      <c r="D530" s="4">
        <v>2.29</v>
      </c>
      <c r="E530" s="4">
        <v>796</v>
      </c>
      <c r="F530" s="4"/>
      <c r="G530" s="4"/>
      <c r="H530" s="5">
        <f t="shared" si="8"/>
        <v>-4.347826086956429E-3</v>
      </c>
    </row>
    <row r="531" spans="1:8" ht="13.5" x14ac:dyDescent="0.25">
      <c r="A531" s="1"/>
      <c r="B531" s="3">
        <v>43073</v>
      </c>
      <c r="C531" s="4">
        <v>2.31</v>
      </c>
      <c r="D531" s="4">
        <v>2.31</v>
      </c>
      <c r="E531" s="4">
        <v>50</v>
      </c>
      <c r="F531" s="4"/>
      <c r="G531" s="4"/>
      <c r="H531" s="5">
        <f t="shared" si="8"/>
        <v>8.7336244541484798E-3</v>
      </c>
    </row>
    <row r="532" spans="1:8" ht="13.5" x14ac:dyDescent="0.25">
      <c r="A532" s="1"/>
      <c r="B532" s="3">
        <v>43074</v>
      </c>
      <c r="C532" s="4">
        <v>2.31</v>
      </c>
      <c r="D532" s="4">
        <v>2.31</v>
      </c>
      <c r="E532" s="4">
        <v>0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2.29</v>
      </c>
      <c r="D533" s="4">
        <v>2.29</v>
      </c>
      <c r="E533" s="4">
        <v>140</v>
      </c>
      <c r="F533" s="4"/>
      <c r="G533" s="4"/>
      <c r="H533" s="5">
        <f t="shared" si="8"/>
        <v>-8.6580086580086649E-3</v>
      </c>
    </row>
    <row r="534" spans="1:8" ht="13.5" x14ac:dyDescent="0.25">
      <c r="A534" s="1"/>
      <c r="B534" s="3">
        <v>43076</v>
      </c>
      <c r="C534" s="4">
        <v>2.29</v>
      </c>
      <c r="D534" s="4">
        <v>2.29</v>
      </c>
      <c r="E534" s="4">
        <v>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2.29</v>
      </c>
      <c r="D535" s="4">
        <v>2.29</v>
      </c>
      <c r="E535" s="4">
        <v>1953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2.29</v>
      </c>
      <c r="D536" s="4">
        <v>2.29</v>
      </c>
      <c r="E536" s="4">
        <v>7427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2.2999999999999998</v>
      </c>
      <c r="D537" s="4">
        <v>2.2999999999999998</v>
      </c>
      <c r="E537" s="4">
        <v>636</v>
      </c>
      <c r="F537" s="4"/>
      <c r="G537" s="4"/>
      <c r="H537" s="5">
        <f t="shared" si="8"/>
        <v>4.3668122270741428E-3</v>
      </c>
    </row>
    <row r="538" spans="1:8" ht="13.5" x14ac:dyDescent="0.25">
      <c r="A538" s="1"/>
      <c r="B538" s="3">
        <v>43082</v>
      </c>
      <c r="C538" s="4">
        <v>2.31</v>
      </c>
      <c r="D538" s="4">
        <v>2.31</v>
      </c>
      <c r="E538" s="4">
        <v>4927</v>
      </c>
      <c r="F538" s="4"/>
      <c r="G538" s="4"/>
      <c r="H538" s="5">
        <f t="shared" si="8"/>
        <v>4.3478260869566224E-3</v>
      </c>
    </row>
    <row r="539" spans="1:8" ht="13.5" x14ac:dyDescent="0.25">
      <c r="A539" s="1"/>
      <c r="B539" s="3">
        <v>43083</v>
      </c>
      <c r="C539" s="4">
        <v>2.29</v>
      </c>
      <c r="D539" s="4">
        <v>2.29</v>
      </c>
      <c r="E539" s="4">
        <v>400</v>
      </c>
      <c r="F539" s="4"/>
      <c r="G539" s="4"/>
      <c r="H539" s="5">
        <f t="shared" si="8"/>
        <v>-8.6580086580086649E-3</v>
      </c>
    </row>
    <row r="540" spans="1:8" ht="13.5" x14ac:dyDescent="0.25">
      <c r="A540" s="1"/>
      <c r="B540" s="3">
        <v>43084</v>
      </c>
      <c r="C540" s="4">
        <v>2.35</v>
      </c>
      <c r="D540" s="4">
        <v>2.35</v>
      </c>
      <c r="E540" s="4">
        <v>0</v>
      </c>
      <c r="F540" s="4"/>
      <c r="G540" s="4"/>
      <c r="H540" s="5">
        <f t="shared" si="8"/>
        <v>2.6200873362445438E-2</v>
      </c>
    </row>
    <row r="541" spans="1:8" ht="13.5" x14ac:dyDescent="0.25">
      <c r="A541" s="1"/>
      <c r="B541" s="3">
        <v>43087</v>
      </c>
      <c r="C541" s="4">
        <v>2.35</v>
      </c>
      <c r="D541" s="4">
        <v>2.35</v>
      </c>
      <c r="E541" s="4">
        <v>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2.42</v>
      </c>
      <c r="D542" s="4">
        <v>2.42</v>
      </c>
      <c r="E542" s="4">
        <v>1</v>
      </c>
      <c r="F542" s="4"/>
      <c r="G542" s="4"/>
      <c r="H542" s="5">
        <f t="shared" si="8"/>
        <v>2.9787234042553123E-2</v>
      </c>
    </row>
    <row r="543" spans="1:8" ht="13.5" x14ac:dyDescent="0.25">
      <c r="A543" s="1"/>
      <c r="B543" s="3">
        <v>43089</v>
      </c>
      <c r="C543" s="4">
        <v>2.42</v>
      </c>
      <c r="D543" s="4">
        <v>2.42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2.42</v>
      </c>
      <c r="D544" s="4">
        <v>2.42</v>
      </c>
      <c r="E544" s="4">
        <v>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2.42</v>
      </c>
      <c r="D545" s="4">
        <v>2.42</v>
      </c>
      <c r="E545" s="4">
        <v>0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2.42</v>
      </c>
      <c r="D546" s="4">
        <v>2.42</v>
      </c>
      <c r="E546" s="4">
        <v>0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2.42</v>
      </c>
      <c r="D547" s="4">
        <v>2.42</v>
      </c>
      <c r="E547" s="4">
        <v>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2.42</v>
      </c>
      <c r="D548" s="4">
        <v>2.42</v>
      </c>
      <c r="E548" s="4">
        <v>0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2.4900000000000002</v>
      </c>
      <c r="D549" s="4">
        <v>2.4900000000000002</v>
      </c>
      <c r="E549" s="4">
        <v>2696</v>
      </c>
      <c r="F549" s="4"/>
      <c r="G549" s="4"/>
      <c r="H549" s="5">
        <f t="shared" si="8"/>
        <v>2.8925619834710863E-2</v>
      </c>
    </row>
    <row r="550" spans="1:8" ht="13.5" x14ac:dyDescent="0.25">
      <c r="A550" s="1"/>
      <c r="B550" s="3">
        <v>43098</v>
      </c>
      <c r="C550" s="4">
        <v>2.4900000000000002</v>
      </c>
      <c r="D550" s="4">
        <v>2.4900000000000002</v>
      </c>
      <c r="E550" s="4">
        <v>1877</v>
      </c>
      <c r="F550" s="4"/>
      <c r="G550" s="4"/>
      <c r="H550" s="5">
        <f t="shared" si="8"/>
        <v>0</v>
      </c>
    </row>
    <row r="551" spans="1:8" ht="13.5" x14ac:dyDescent="0.25">
      <c r="A551" s="1"/>
      <c r="B551" s="3">
        <v>43102</v>
      </c>
      <c r="C551" s="4">
        <v>2.5</v>
      </c>
      <c r="D551" s="4">
        <v>2.5</v>
      </c>
      <c r="E551" s="4">
        <v>790</v>
      </c>
      <c r="F551" s="4"/>
      <c r="G551" s="4"/>
      <c r="H551" s="5">
        <f t="shared" si="8"/>
        <v>4.0160642570280262E-3</v>
      </c>
    </row>
    <row r="552" spans="1:8" ht="13.5" x14ac:dyDescent="0.25">
      <c r="A552" s="1"/>
      <c r="B552" s="3">
        <v>43103</v>
      </c>
      <c r="C552" s="4">
        <v>2.4900000000000002</v>
      </c>
      <c r="D552" s="4">
        <v>2.4900000000000002</v>
      </c>
      <c r="E552" s="4">
        <v>1426</v>
      </c>
      <c r="F552" s="4"/>
      <c r="G552" s="4"/>
      <c r="H552" s="5">
        <f t="shared" si="8"/>
        <v>-3.9999999999999151E-3</v>
      </c>
    </row>
    <row r="553" spans="1:8" ht="13.5" x14ac:dyDescent="0.25">
      <c r="A553" s="1"/>
      <c r="B553" s="3">
        <v>43104</v>
      </c>
      <c r="C553" s="4">
        <v>2.4900000000000002</v>
      </c>
      <c r="D553" s="4">
        <v>2.4900000000000002</v>
      </c>
      <c r="E553" s="4">
        <v>0</v>
      </c>
      <c r="F553" s="4"/>
      <c r="G553" s="4"/>
      <c r="H553" s="5">
        <f t="shared" si="8"/>
        <v>0</v>
      </c>
    </row>
    <row r="554" spans="1:8" ht="13.5" x14ac:dyDescent="0.25">
      <c r="A554" s="1"/>
      <c r="B554" s="3">
        <v>43105</v>
      </c>
      <c r="C554" s="4">
        <v>2.4900000000000002</v>
      </c>
      <c r="D554" s="4">
        <v>2.4900000000000002</v>
      </c>
      <c r="E554" s="4">
        <v>2235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2.4900000000000002</v>
      </c>
      <c r="D555" s="4">
        <v>2.4900000000000002</v>
      </c>
      <c r="E555" s="4">
        <v>1014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2.4</v>
      </c>
      <c r="D556" s="4">
        <v>2.4</v>
      </c>
      <c r="E556" s="4">
        <v>4685</v>
      </c>
      <c r="F556" s="4"/>
      <c r="G556" s="4"/>
      <c r="H556" s="5">
        <f t="shared" si="8"/>
        <v>-3.6144578313253128E-2</v>
      </c>
    </row>
    <row r="557" spans="1:8" ht="13.5" x14ac:dyDescent="0.25">
      <c r="A557" s="1"/>
      <c r="B557" s="3">
        <v>43110</v>
      </c>
      <c r="C557" s="4">
        <v>2.4</v>
      </c>
      <c r="D557" s="4">
        <v>2.4</v>
      </c>
      <c r="E557" s="4">
        <v>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2.4</v>
      </c>
      <c r="D558" s="4">
        <v>2.4</v>
      </c>
      <c r="E558" s="4">
        <v>0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2.4</v>
      </c>
      <c r="D559" s="4">
        <v>2.4</v>
      </c>
      <c r="E559" s="4">
        <v>0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2.4</v>
      </c>
      <c r="D560" s="4">
        <v>2.4</v>
      </c>
      <c r="E560" s="4">
        <v>0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2.33</v>
      </c>
      <c r="D561" s="4">
        <v>2.33</v>
      </c>
      <c r="E561" s="4">
        <v>1130</v>
      </c>
      <c r="F561" s="4"/>
      <c r="G561" s="4"/>
      <c r="H561" s="5">
        <f t="shared" si="8"/>
        <v>-2.9166666666666601E-2</v>
      </c>
    </row>
    <row r="562" spans="1:8" ht="13.5" x14ac:dyDescent="0.25">
      <c r="A562" s="1"/>
      <c r="B562" s="3">
        <v>43117</v>
      </c>
      <c r="C562" s="4">
        <v>2.33</v>
      </c>
      <c r="D562" s="4">
        <v>2.33</v>
      </c>
      <c r="E562" s="4">
        <v>1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2.33</v>
      </c>
      <c r="D563" s="4">
        <v>2.33</v>
      </c>
      <c r="E563" s="4">
        <v>0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2.27</v>
      </c>
      <c r="D564" s="4">
        <v>2.27</v>
      </c>
      <c r="E564" s="4">
        <v>115</v>
      </c>
      <c r="F564" s="4"/>
      <c r="G564" s="4"/>
      <c r="H564" s="5">
        <f t="shared" si="8"/>
        <v>-2.5751072961373411E-2</v>
      </c>
    </row>
    <row r="565" spans="1:8" ht="13.5" x14ac:dyDescent="0.25">
      <c r="A565" s="1"/>
      <c r="B565" s="3">
        <v>43122</v>
      </c>
      <c r="C565" s="4">
        <v>2.27</v>
      </c>
      <c r="D565" s="4">
        <v>2.27</v>
      </c>
      <c r="E565" s="4">
        <v>0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2.21</v>
      </c>
      <c r="D566" s="4">
        <v>2.21</v>
      </c>
      <c r="E566" s="4">
        <v>650</v>
      </c>
      <c r="F566" s="4"/>
      <c r="G566" s="4"/>
      <c r="H566" s="5">
        <f t="shared" si="8"/>
        <v>-2.6431718061674034E-2</v>
      </c>
    </row>
    <row r="567" spans="1:8" ht="13.5" x14ac:dyDescent="0.25">
      <c r="A567" s="1"/>
      <c r="B567" s="3">
        <v>43124</v>
      </c>
      <c r="C567" s="4">
        <v>2.21</v>
      </c>
      <c r="D567" s="4">
        <v>2.21</v>
      </c>
      <c r="E567" s="4">
        <v>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2.21</v>
      </c>
      <c r="D568" s="4">
        <v>2.21</v>
      </c>
      <c r="E568" s="4">
        <v>484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2.21</v>
      </c>
      <c r="D569" s="4">
        <v>2.21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2.21</v>
      </c>
      <c r="D570" s="4">
        <v>2.21</v>
      </c>
      <c r="E570" s="4">
        <v>0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2.15</v>
      </c>
      <c r="D571" s="4">
        <v>2.15</v>
      </c>
      <c r="E571" s="4">
        <v>186</v>
      </c>
      <c r="F571" s="4"/>
      <c r="G571" s="4"/>
      <c r="H571" s="5">
        <f t="shared" si="8"/>
        <v>-2.7149321266968351E-2</v>
      </c>
    </row>
    <row r="572" spans="1:8" ht="13.5" x14ac:dyDescent="0.25">
      <c r="A572" s="1"/>
      <c r="B572" s="3">
        <v>43131</v>
      </c>
      <c r="C572" s="4">
        <v>2.15</v>
      </c>
      <c r="D572" s="4">
        <v>2.15</v>
      </c>
      <c r="E572" s="4">
        <v>1089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2.15</v>
      </c>
      <c r="D573" s="4">
        <v>2.15</v>
      </c>
      <c r="E573" s="4">
        <v>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2.15</v>
      </c>
      <c r="D574" s="4">
        <v>2.15</v>
      </c>
      <c r="E574" s="4">
        <v>1117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2.15</v>
      </c>
      <c r="D575" s="4">
        <v>2.15</v>
      </c>
      <c r="E575" s="4">
        <v>102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2.15</v>
      </c>
      <c r="D576" s="4">
        <v>2.15</v>
      </c>
      <c r="E576" s="4">
        <v>131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2.15</v>
      </c>
      <c r="D577" s="4">
        <v>2.15</v>
      </c>
      <c r="E577" s="4">
        <v>0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2.15</v>
      </c>
      <c r="D578" s="4">
        <v>2.15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2.11</v>
      </c>
      <c r="D579" s="4">
        <v>2.11</v>
      </c>
      <c r="E579" s="4">
        <v>1149</v>
      </c>
      <c r="F579" s="4"/>
      <c r="G579" s="4"/>
      <c r="H579" s="5">
        <f t="shared" si="8"/>
        <v>-1.8604651162790715E-2</v>
      </c>
    </row>
    <row r="580" spans="1:8" ht="13.5" x14ac:dyDescent="0.25">
      <c r="A580" s="1"/>
      <c r="B580" s="3">
        <v>43143</v>
      </c>
      <c r="C580" s="4">
        <v>2.11</v>
      </c>
      <c r="D580" s="4">
        <v>2.11</v>
      </c>
      <c r="E580" s="4">
        <v>291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2.1</v>
      </c>
      <c r="D581" s="4">
        <v>2.1</v>
      </c>
      <c r="E581" s="4">
        <v>2320</v>
      </c>
      <c r="F581" s="4"/>
      <c r="G581" s="4"/>
      <c r="H581" s="5">
        <f t="shared" si="8"/>
        <v>-4.7393364928908941E-3</v>
      </c>
    </row>
    <row r="582" spans="1:8" ht="13.5" x14ac:dyDescent="0.25">
      <c r="A582" s="1"/>
      <c r="B582" s="3">
        <v>43145</v>
      </c>
      <c r="C582" s="4">
        <v>2.0099999999999998</v>
      </c>
      <c r="D582" s="4">
        <v>2.0099999999999998</v>
      </c>
      <c r="E582" s="4">
        <v>0</v>
      </c>
      <c r="F582" s="4"/>
      <c r="G582" s="4"/>
      <c r="H582" s="5">
        <f t="shared" si="8"/>
        <v>-4.2857142857142996E-2</v>
      </c>
    </row>
    <row r="583" spans="1:8" ht="13.5" x14ac:dyDescent="0.25">
      <c r="A583" s="1"/>
      <c r="B583" s="3">
        <v>43146</v>
      </c>
      <c r="C583" s="4">
        <v>2.0299999999999998</v>
      </c>
      <c r="D583" s="4">
        <v>2.0299999999999998</v>
      </c>
      <c r="E583" s="4">
        <v>1284</v>
      </c>
      <c r="F583" s="4"/>
      <c r="G583" s="4"/>
      <c r="H583" s="5">
        <f t="shared" ref="H583:H646" si="9">(D583-D582)/D582</f>
        <v>9.9502487562189157E-3</v>
      </c>
    </row>
    <row r="584" spans="1:8" ht="13.5" x14ac:dyDescent="0.25">
      <c r="A584" s="1"/>
      <c r="B584" s="3">
        <v>43147</v>
      </c>
      <c r="C584" s="4">
        <v>2.0299999999999998</v>
      </c>
      <c r="D584" s="4">
        <v>2.0299999999999998</v>
      </c>
      <c r="E584" s="4">
        <v>345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2.0299999999999998</v>
      </c>
      <c r="D585" s="4">
        <v>2.0299999999999998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2.02</v>
      </c>
      <c r="D586" s="4">
        <v>2.02</v>
      </c>
      <c r="E586" s="4">
        <v>334</v>
      </c>
      <c r="F586" s="4"/>
      <c r="G586" s="4"/>
      <c r="H586" s="5">
        <f t="shared" si="9"/>
        <v>-4.9261083743841316E-3</v>
      </c>
    </row>
    <row r="587" spans="1:8" ht="13.5" x14ac:dyDescent="0.25">
      <c r="A587" s="1"/>
      <c r="B587" s="3">
        <v>43152</v>
      </c>
      <c r="C587" s="4">
        <v>2.02</v>
      </c>
      <c r="D587" s="4">
        <v>2.02</v>
      </c>
      <c r="E587" s="4">
        <v>50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2.02</v>
      </c>
      <c r="D588" s="4">
        <v>2.02</v>
      </c>
      <c r="E588" s="4">
        <v>1480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2.02</v>
      </c>
      <c r="D589" s="4">
        <v>2.02</v>
      </c>
      <c r="E589" s="4">
        <v>180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2</v>
      </c>
      <c r="D590" s="4">
        <v>2</v>
      </c>
      <c r="E590" s="4">
        <v>1000</v>
      </c>
      <c r="F590" s="4"/>
      <c r="G590" s="4"/>
      <c r="H590" s="5">
        <f t="shared" si="9"/>
        <v>-9.9009900990099098E-3</v>
      </c>
    </row>
    <row r="591" spans="1:8" ht="13.5" x14ac:dyDescent="0.25">
      <c r="A591" s="1"/>
      <c r="B591" s="3">
        <v>43158</v>
      </c>
      <c r="C591" s="4">
        <v>2</v>
      </c>
      <c r="D591" s="4">
        <v>2</v>
      </c>
      <c r="E591" s="4">
        <v>1212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1.96</v>
      </c>
      <c r="D592" s="4">
        <v>1.96</v>
      </c>
      <c r="E592" s="4">
        <v>5309</v>
      </c>
      <c r="F592" s="4"/>
      <c r="G592" s="4"/>
      <c r="H592" s="5">
        <f t="shared" si="9"/>
        <v>-2.0000000000000018E-2</v>
      </c>
    </row>
    <row r="593" spans="1:8" ht="13.5" x14ac:dyDescent="0.25">
      <c r="A593" s="1"/>
      <c r="B593" s="3">
        <v>43160</v>
      </c>
      <c r="C593" s="4">
        <v>1.96</v>
      </c>
      <c r="D593" s="4">
        <v>1.96</v>
      </c>
      <c r="E593" s="4">
        <v>2258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1.95</v>
      </c>
      <c r="D594" s="4">
        <v>1.95</v>
      </c>
      <c r="E594" s="4">
        <v>235</v>
      </c>
      <c r="F594" s="4"/>
      <c r="G594" s="4"/>
      <c r="H594" s="5">
        <f t="shared" si="9"/>
        <v>-5.1020408163265354E-3</v>
      </c>
    </row>
    <row r="595" spans="1:8" ht="13.5" x14ac:dyDescent="0.25">
      <c r="A595" s="1"/>
      <c r="B595" s="3">
        <v>43164</v>
      </c>
      <c r="C595" s="4">
        <v>1.96</v>
      </c>
      <c r="D595" s="4">
        <v>1.96</v>
      </c>
      <c r="E595" s="4">
        <v>3769</v>
      </c>
      <c r="F595" s="4"/>
      <c r="G595" s="4"/>
      <c r="H595" s="5">
        <f t="shared" si="9"/>
        <v>5.1282051282051325E-3</v>
      </c>
    </row>
    <row r="596" spans="1:8" ht="13.5" x14ac:dyDescent="0.25">
      <c r="A596" s="1"/>
      <c r="B596" s="3">
        <v>43165</v>
      </c>
      <c r="C596" s="4">
        <v>2</v>
      </c>
      <c r="D596" s="4">
        <v>2</v>
      </c>
      <c r="E596" s="4">
        <v>1326</v>
      </c>
      <c r="F596" s="4"/>
      <c r="G596" s="4"/>
      <c r="H596" s="5">
        <f t="shared" si="9"/>
        <v>2.0408163265306142E-2</v>
      </c>
    </row>
    <row r="597" spans="1:8" ht="13.5" x14ac:dyDescent="0.25">
      <c r="A597" s="1"/>
      <c r="B597" s="3">
        <v>43166</v>
      </c>
      <c r="C597" s="4">
        <v>2</v>
      </c>
      <c r="D597" s="4">
        <v>2</v>
      </c>
      <c r="E597" s="4">
        <v>1525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1.99</v>
      </c>
      <c r="D598" s="4">
        <v>1.99</v>
      </c>
      <c r="E598" s="4">
        <v>281</v>
      </c>
      <c r="F598" s="4"/>
      <c r="G598" s="4"/>
      <c r="H598" s="5">
        <f t="shared" si="9"/>
        <v>-5.0000000000000044E-3</v>
      </c>
    </row>
    <row r="599" spans="1:8" ht="13.5" x14ac:dyDescent="0.25">
      <c r="A599" s="1"/>
      <c r="B599" s="3">
        <v>43168</v>
      </c>
      <c r="C599" s="4">
        <v>1.99</v>
      </c>
      <c r="D599" s="4">
        <v>1.99</v>
      </c>
      <c r="E599" s="4">
        <v>3565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1.99</v>
      </c>
      <c r="D600" s="4">
        <v>1.99</v>
      </c>
      <c r="E600" s="4">
        <v>1800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1.95</v>
      </c>
      <c r="D601" s="4">
        <v>1.95</v>
      </c>
      <c r="E601" s="4">
        <v>491</v>
      </c>
      <c r="F601" s="4"/>
      <c r="G601" s="4"/>
      <c r="H601" s="5">
        <f t="shared" si="9"/>
        <v>-2.0100502512562832E-2</v>
      </c>
    </row>
    <row r="602" spans="1:8" ht="13.5" x14ac:dyDescent="0.25">
      <c r="A602" s="1"/>
      <c r="B602" s="3">
        <v>43173</v>
      </c>
      <c r="C602" s="4">
        <v>1.97</v>
      </c>
      <c r="D602" s="4">
        <v>1.97</v>
      </c>
      <c r="E602" s="4">
        <v>285</v>
      </c>
      <c r="F602" s="4"/>
      <c r="G602" s="4"/>
      <c r="H602" s="5">
        <f t="shared" si="9"/>
        <v>1.0256410256410265E-2</v>
      </c>
    </row>
    <row r="603" spans="1:8" ht="13.5" x14ac:dyDescent="0.25">
      <c r="A603" s="1"/>
      <c r="B603" s="3">
        <v>43174</v>
      </c>
      <c r="C603" s="4">
        <v>1.97</v>
      </c>
      <c r="D603" s="4">
        <v>1.97</v>
      </c>
      <c r="E603" s="4">
        <v>300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1.96</v>
      </c>
      <c r="D604" s="4">
        <v>1.96</v>
      </c>
      <c r="E604" s="4">
        <v>790</v>
      </c>
      <c r="F604" s="4"/>
      <c r="G604" s="4"/>
      <c r="H604" s="5">
        <f t="shared" si="9"/>
        <v>-5.0761421319797002E-3</v>
      </c>
    </row>
    <row r="605" spans="1:8" ht="13.5" x14ac:dyDescent="0.25">
      <c r="A605" s="1"/>
      <c r="B605" s="3">
        <v>43178</v>
      </c>
      <c r="C605" s="4">
        <v>1.96</v>
      </c>
      <c r="D605" s="4">
        <v>1.96</v>
      </c>
      <c r="E605" s="4">
        <v>50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1.93</v>
      </c>
      <c r="D606" s="4">
        <v>1.93</v>
      </c>
      <c r="E606" s="4">
        <v>50</v>
      </c>
      <c r="F606" s="4"/>
      <c r="G606" s="4"/>
      <c r="H606" s="5">
        <f t="shared" si="9"/>
        <v>-1.5306122448979605E-2</v>
      </c>
    </row>
    <row r="607" spans="1:8" ht="13.5" x14ac:dyDescent="0.25">
      <c r="A607" s="1"/>
      <c r="B607" s="3">
        <v>43181</v>
      </c>
      <c r="C607" s="4">
        <v>1.93</v>
      </c>
      <c r="D607" s="4">
        <v>1.93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1.94</v>
      </c>
      <c r="D608" s="4">
        <v>1.94</v>
      </c>
      <c r="E608" s="4">
        <v>1000</v>
      </c>
      <c r="F608" s="4"/>
      <c r="G608" s="4"/>
      <c r="H608" s="5">
        <f t="shared" si="9"/>
        <v>5.1813471502590719E-3</v>
      </c>
    </row>
    <row r="609" spans="1:8" ht="13.5" x14ac:dyDescent="0.25">
      <c r="A609" s="1"/>
      <c r="B609" s="3">
        <v>43185</v>
      </c>
      <c r="C609" s="4">
        <v>1.94</v>
      </c>
      <c r="D609" s="4">
        <v>1.94</v>
      </c>
      <c r="E609" s="4">
        <v>727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1.95</v>
      </c>
      <c r="D610" s="4">
        <v>1.95</v>
      </c>
      <c r="E610" s="4">
        <v>1000</v>
      </c>
      <c r="F610" s="4"/>
      <c r="G610" s="4"/>
      <c r="H610" s="5">
        <f t="shared" si="9"/>
        <v>5.1546391752577371E-3</v>
      </c>
    </row>
    <row r="611" spans="1:8" ht="13.5" x14ac:dyDescent="0.25">
      <c r="A611" s="1"/>
      <c r="B611" s="3">
        <v>43187</v>
      </c>
      <c r="C611" s="4">
        <v>1.95</v>
      </c>
      <c r="D611" s="4">
        <v>1.95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1.96</v>
      </c>
      <c r="D612" s="4">
        <v>1.96</v>
      </c>
      <c r="E612" s="4">
        <v>2100</v>
      </c>
      <c r="F612" s="4"/>
      <c r="G612" s="4"/>
      <c r="H612" s="5">
        <f t="shared" si="9"/>
        <v>5.1282051282051325E-3</v>
      </c>
    </row>
    <row r="613" spans="1:8" ht="13.5" x14ac:dyDescent="0.25">
      <c r="A613" s="1"/>
      <c r="B613" s="3">
        <v>43189</v>
      </c>
      <c r="C613" s="4">
        <v>1.96</v>
      </c>
      <c r="D613" s="4">
        <v>1.96</v>
      </c>
      <c r="E613" s="4">
        <v>0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1.96</v>
      </c>
      <c r="D614" s="4">
        <v>1.96</v>
      </c>
      <c r="E614" s="4">
        <v>233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2</v>
      </c>
      <c r="D615" s="4">
        <v>2</v>
      </c>
      <c r="E615" s="4">
        <v>440</v>
      </c>
      <c r="F615" s="4"/>
      <c r="G615" s="4"/>
      <c r="H615" s="5">
        <f t="shared" si="9"/>
        <v>2.0408163265306142E-2</v>
      </c>
    </row>
    <row r="616" spans="1:8" ht="13.5" x14ac:dyDescent="0.25">
      <c r="A616" s="1"/>
      <c r="B616" s="3">
        <v>43194</v>
      </c>
      <c r="C616" s="4">
        <v>2.12</v>
      </c>
      <c r="D616" s="4">
        <v>2.12</v>
      </c>
      <c r="E616" s="4">
        <v>600</v>
      </c>
      <c r="F616" s="4"/>
      <c r="G616" s="4"/>
      <c r="H616" s="5">
        <f t="shared" si="9"/>
        <v>6.0000000000000053E-2</v>
      </c>
    </row>
    <row r="617" spans="1:8" ht="13.5" x14ac:dyDescent="0.25">
      <c r="A617" s="1"/>
      <c r="B617" s="3">
        <v>43195</v>
      </c>
      <c r="C617" s="4">
        <v>2.21</v>
      </c>
      <c r="D617" s="4">
        <v>2.21</v>
      </c>
      <c r="E617" s="4">
        <v>943</v>
      </c>
      <c r="F617" s="4"/>
      <c r="G617" s="4"/>
      <c r="H617" s="5">
        <f t="shared" si="9"/>
        <v>4.2452830188679173E-2</v>
      </c>
    </row>
    <row r="618" spans="1:8" ht="13.5" x14ac:dyDescent="0.25">
      <c r="A618" s="1"/>
      <c r="B618" s="3">
        <v>43196</v>
      </c>
      <c r="C618" s="4">
        <v>2.2999999999999998</v>
      </c>
      <c r="D618" s="4">
        <v>2.2999999999999998</v>
      </c>
      <c r="E618" s="4">
        <v>0</v>
      </c>
      <c r="F618" s="4"/>
      <c r="G618" s="4"/>
      <c r="H618" s="5">
        <f t="shared" si="9"/>
        <v>4.0723981900452427E-2</v>
      </c>
    </row>
    <row r="619" spans="1:8" ht="13.5" x14ac:dyDescent="0.25">
      <c r="A619" s="1"/>
      <c r="B619" s="3">
        <v>43200</v>
      </c>
      <c r="C619" s="4">
        <v>2.4300000000000002</v>
      </c>
      <c r="D619" s="4">
        <v>2.4300000000000002</v>
      </c>
      <c r="E619" s="4">
        <v>2500</v>
      </c>
      <c r="F619" s="4"/>
      <c r="G619" s="4"/>
      <c r="H619" s="5">
        <f t="shared" si="9"/>
        <v>5.6521739130434935E-2</v>
      </c>
    </row>
    <row r="620" spans="1:8" ht="13.5" x14ac:dyDescent="0.25">
      <c r="A620" s="1"/>
      <c r="B620" s="3">
        <v>43201</v>
      </c>
      <c r="C620" s="4">
        <v>2.5299999999999998</v>
      </c>
      <c r="D620" s="4">
        <v>2.5299999999999998</v>
      </c>
      <c r="E620" s="4">
        <v>4022</v>
      </c>
      <c r="F620" s="4"/>
      <c r="G620" s="4"/>
      <c r="H620" s="5">
        <f t="shared" si="9"/>
        <v>4.1152263374485451E-2</v>
      </c>
    </row>
    <row r="621" spans="1:8" ht="13.5" x14ac:dyDescent="0.25">
      <c r="A621" s="1"/>
      <c r="B621" s="3">
        <v>43202</v>
      </c>
      <c r="C621" s="4">
        <v>2.64</v>
      </c>
      <c r="D621" s="4">
        <v>2.64</v>
      </c>
      <c r="E621" s="4">
        <v>0</v>
      </c>
      <c r="F621" s="4"/>
      <c r="G621" s="4"/>
      <c r="H621" s="5">
        <f t="shared" si="9"/>
        <v>4.3478260869565348E-2</v>
      </c>
    </row>
    <row r="622" spans="1:8" ht="13.5" x14ac:dyDescent="0.25">
      <c r="A622" s="1"/>
      <c r="B622" s="3">
        <v>43203</v>
      </c>
      <c r="C622" s="4">
        <v>2.75</v>
      </c>
      <c r="D622" s="4">
        <v>2.75</v>
      </c>
      <c r="E622" s="4">
        <v>0</v>
      </c>
      <c r="F622" s="4"/>
      <c r="G622" s="4"/>
      <c r="H622" s="5">
        <f t="shared" si="9"/>
        <v>4.1666666666666616E-2</v>
      </c>
    </row>
    <row r="623" spans="1:8" ht="13.5" x14ac:dyDescent="0.25">
      <c r="A623" s="1"/>
      <c r="B623" s="3">
        <v>43206</v>
      </c>
      <c r="C623" s="4">
        <v>2.71</v>
      </c>
      <c r="D623" s="4">
        <v>2.71</v>
      </c>
      <c r="E623" s="4">
        <v>2787</v>
      </c>
      <c r="F623" s="4"/>
      <c r="G623" s="4"/>
      <c r="H623" s="5">
        <f t="shared" si="9"/>
        <v>-1.4545454545454558E-2</v>
      </c>
    </row>
    <row r="624" spans="1:8" ht="13.5" x14ac:dyDescent="0.25">
      <c r="A624" s="1"/>
      <c r="B624" s="3">
        <v>43207</v>
      </c>
      <c r="C624" s="4">
        <v>2.65</v>
      </c>
      <c r="D624" s="4">
        <v>2.65</v>
      </c>
      <c r="E624" s="4">
        <v>2901</v>
      </c>
      <c r="F624" s="4"/>
      <c r="G624" s="4"/>
      <c r="H624" s="5">
        <f t="shared" si="9"/>
        <v>-2.2140221402214041E-2</v>
      </c>
    </row>
    <row r="625" spans="1:8" ht="13.5" x14ac:dyDescent="0.25">
      <c r="A625" s="1"/>
      <c r="B625" s="3">
        <v>43208</v>
      </c>
      <c r="C625" s="4">
        <v>2.6</v>
      </c>
      <c r="D625" s="4">
        <v>2.6</v>
      </c>
      <c r="E625" s="4">
        <v>100</v>
      </c>
      <c r="F625" s="4"/>
      <c r="G625" s="4"/>
      <c r="H625" s="5">
        <f t="shared" si="9"/>
        <v>-1.886792452830182E-2</v>
      </c>
    </row>
    <row r="626" spans="1:8" ht="13.5" x14ac:dyDescent="0.25">
      <c r="A626" s="1"/>
      <c r="B626" s="3">
        <v>43209</v>
      </c>
      <c r="C626" s="4">
        <v>2.5499999999999998</v>
      </c>
      <c r="D626" s="4">
        <v>2.5499999999999998</v>
      </c>
      <c r="E626" s="4">
        <v>311</v>
      </c>
      <c r="F626" s="4"/>
      <c r="G626" s="4"/>
      <c r="H626" s="5">
        <f t="shared" si="9"/>
        <v>-1.9230769230769332E-2</v>
      </c>
    </row>
    <row r="627" spans="1:8" ht="13.5" x14ac:dyDescent="0.25">
      <c r="A627" s="1"/>
      <c r="B627" s="3">
        <v>43210</v>
      </c>
      <c r="C627" s="4">
        <v>2.5299999999999998</v>
      </c>
      <c r="D627" s="4">
        <v>2.5299999999999998</v>
      </c>
      <c r="E627" s="4">
        <v>148</v>
      </c>
      <c r="F627" s="4"/>
      <c r="G627" s="4"/>
      <c r="H627" s="5">
        <f t="shared" si="9"/>
        <v>-7.8431372549019676E-3</v>
      </c>
    </row>
    <row r="628" spans="1:8" ht="13.5" x14ac:dyDescent="0.25">
      <c r="A628" s="1"/>
      <c r="B628" s="3">
        <v>43213</v>
      </c>
      <c r="C628" s="4">
        <v>2.4500000000000002</v>
      </c>
      <c r="D628" s="4">
        <v>2.4500000000000002</v>
      </c>
      <c r="E628" s="4">
        <v>2600</v>
      </c>
      <c r="F628" s="4"/>
      <c r="G628" s="4"/>
      <c r="H628" s="5">
        <f t="shared" si="9"/>
        <v>-3.1620553359683647E-2</v>
      </c>
    </row>
    <row r="629" spans="1:8" ht="13.5" x14ac:dyDescent="0.25">
      <c r="A629" s="1"/>
      <c r="B629" s="3">
        <v>43214</v>
      </c>
      <c r="C629" s="4">
        <v>2.4500000000000002</v>
      </c>
      <c r="D629" s="4">
        <v>2.4500000000000002</v>
      </c>
      <c r="E629" s="4">
        <v>4068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2.46</v>
      </c>
      <c r="D630" s="4">
        <v>2.46</v>
      </c>
      <c r="E630" s="4">
        <v>2555</v>
      </c>
      <c r="F630" s="4"/>
      <c r="G630" s="4"/>
      <c r="H630" s="5">
        <f t="shared" si="9"/>
        <v>4.0816326530611373E-3</v>
      </c>
    </row>
    <row r="631" spans="1:8" ht="13.5" x14ac:dyDescent="0.25">
      <c r="A631" s="1"/>
      <c r="B631" s="3">
        <v>43216</v>
      </c>
      <c r="C631" s="4">
        <v>2.46</v>
      </c>
      <c r="D631" s="4">
        <v>2.46</v>
      </c>
      <c r="E631" s="4">
        <v>4600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2.4900000000000002</v>
      </c>
      <c r="D632" s="4">
        <v>2.4900000000000002</v>
      </c>
      <c r="E632" s="4">
        <v>1450</v>
      </c>
      <c r="F632" s="4"/>
      <c r="G632" s="4"/>
      <c r="H632" s="5">
        <f t="shared" si="9"/>
        <v>1.2195121951219613E-2</v>
      </c>
    </row>
    <row r="633" spans="1:8" ht="13.5" x14ac:dyDescent="0.25">
      <c r="A633" s="1"/>
      <c r="B633" s="3">
        <v>43220</v>
      </c>
      <c r="C633" s="4">
        <v>2.4900000000000002</v>
      </c>
      <c r="D633" s="4">
        <v>2.4900000000000002</v>
      </c>
      <c r="E633" s="4">
        <v>2318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2.5</v>
      </c>
      <c r="D634" s="4">
        <v>2.5</v>
      </c>
      <c r="E634" s="4">
        <v>250</v>
      </c>
      <c r="F634" s="4"/>
      <c r="G634" s="4"/>
      <c r="H634" s="5">
        <f t="shared" si="9"/>
        <v>4.0160642570280262E-3</v>
      </c>
    </row>
    <row r="635" spans="1:8" ht="13.5" x14ac:dyDescent="0.25">
      <c r="A635" s="1"/>
      <c r="B635" s="3">
        <v>43223</v>
      </c>
      <c r="C635" s="4">
        <v>2.5</v>
      </c>
      <c r="D635" s="4">
        <v>2.5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2.5</v>
      </c>
      <c r="D636" s="4">
        <v>2.5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2.5</v>
      </c>
      <c r="D637" s="4">
        <v>2.5</v>
      </c>
      <c r="E637" s="4">
        <v>0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2.5</v>
      </c>
      <c r="D638" s="4">
        <v>2.5</v>
      </c>
      <c r="E638" s="4">
        <v>3322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2.54</v>
      </c>
      <c r="D639" s="4">
        <v>2.54</v>
      </c>
      <c r="E639" s="4">
        <v>3420</v>
      </c>
      <c r="F639" s="4"/>
      <c r="G639" s="4"/>
      <c r="H639" s="5">
        <f t="shared" si="9"/>
        <v>1.6000000000000014E-2</v>
      </c>
    </row>
    <row r="640" spans="1:8" ht="13.5" x14ac:dyDescent="0.25">
      <c r="A640" s="1"/>
      <c r="B640" s="3">
        <v>43230</v>
      </c>
      <c r="C640" s="4">
        <v>2.6</v>
      </c>
      <c r="D640" s="4">
        <v>2.6</v>
      </c>
      <c r="E640" s="4">
        <v>1435</v>
      </c>
      <c r="F640" s="4"/>
      <c r="G640" s="4"/>
      <c r="H640" s="5">
        <f t="shared" si="9"/>
        <v>2.3622047244094509E-2</v>
      </c>
    </row>
    <row r="641" spans="1:8" ht="13.5" x14ac:dyDescent="0.25">
      <c r="A641" s="1"/>
      <c r="B641" s="3">
        <v>43231</v>
      </c>
      <c r="C641" s="4">
        <v>2.6</v>
      </c>
      <c r="D641" s="4">
        <v>2.6</v>
      </c>
      <c r="E641" s="4">
        <v>1591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2.7</v>
      </c>
      <c r="D642" s="4">
        <v>2.7</v>
      </c>
      <c r="E642" s="4">
        <v>5100</v>
      </c>
      <c r="F642" s="4"/>
      <c r="G642" s="4"/>
      <c r="H642" s="5">
        <f t="shared" si="9"/>
        <v>3.8461538461538491E-2</v>
      </c>
    </row>
    <row r="643" spans="1:8" ht="13.5" x14ac:dyDescent="0.25">
      <c r="A643" s="1"/>
      <c r="B643" s="3">
        <v>43235</v>
      </c>
      <c r="C643" s="4">
        <v>2.72</v>
      </c>
      <c r="D643" s="4">
        <v>2.72</v>
      </c>
      <c r="E643" s="4">
        <v>3314</v>
      </c>
      <c r="F643" s="4"/>
      <c r="G643" s="4"/>
      <c r="H643" s="5">
        <f t="shared" si="9"/>
        <v>7.4074074074074138E-3</v>
      </c>
    </row>
    <row r="644" spans="1:8" ht="13.5" x14ac:dyDescent="0.25">
      <c r="A644" s="1"/>
      <c r="B644" s="3">
        <v>43236</v>
      </c>
      <c r="C644" s="4">
        <v>2.78</v>
      </c>
      <c r="D644" s="4">
        <v>2.78</v>
      </c>
      <c r="E644" s="4">
        <v>3858</v>
      </c>
      <c r="F644" s="4"/>
      <c r="G644" s="4"/>
      <c r="H644" s="5">
        <f t="shared" si="9"/>
        <v>2.205882352941162E-2</v>
      </c>
    </row>
    <row r="645" spans="1:8" ht="13.5" x14ac:dyDescent="0.25">
      <c r="A645" s="1"/>
      <c r="B645" s="3">
        <v>43237</v>
      </c>
      <c r="C645" s="4">
        <v>2.62</v>
      </c>
      <c r="D645" s="4">
        <v>2.62</v>
      </c>
      <c r="E645" s="4">
        <v>473</v>
      </c>
      <c r="F645" s="4"/>
      <c r="G645" s="4"/>
      <c r="H645" s="5">
        <f t="shared" si="9"/>
        <v>-5.7553956834532266E-2</v>
      </c>
    </row>
    <row r="646" spans="1:8" ht="13.5" x14ac:dyDescent="0.25">
      <c r="A646" s="1"/>
      <c r="B646" s="3">
        <v>43238</v>
      </c>
      <c r="C646" s="4">
        <v>2.61</v>
      </c>
      <c r="D646" s="4">
        <v>2.61</v>
      </c>
      <c r="E646" s="4">
        <v>307</v>
      </c>
      <c r="F646" s="4"/>
      <c r="G646" s="4"/>
      <c r="H646" s="5">
        <f t="shared" si="9"/>
        <v>-3.8167938931298589E-3</v>
      </c>
    </row>
    <row r="647" spans="1:8" ht="13.5" x14ac:dyDescent="0.25">
      <c r="A647" s="1"/>
      <c r="B647" s="3">
        <v>43241</v>
      </c>
      <c r="C647" s="4">
        <v>2.54</v>
      </c>
      <c r="D647" s="4">
        <v>2.54</v>
      </c>
      <c r="E647" s="4">
        <v>225</v>
      </c>
      <c r="F647" s="4"/>
      <c r="G647" s="4"/>
      <c r="H647" s="5">
        <f t="shared" ref="H647:H710" si="10">(D647-D646)/D646</f>
        <v>-2.6819923371647448E-2</v>
      </c>
    </row>
    <row r="648" spans="1:8" ht="13.5" x14ac:dyDescent="0.25">
      <c r="A648" s="1"/>
      <c r="B648" s="3">
        <v>43242</v>
      </c>
      <c r="C648" s="4">
        <v>2.61</v>
      </c>
      <c r="D648" s="4">
        <v>2.61</v>
      </c>
      <c r="E648" s="4">
        <v>1299</v>
      </c>
      <c r="F648" s="4"/>
      <c r="G648" s="4"/>
      <c r="H648" s="5">
        <f t="shared" si="10"/>
        <v>2.7559055118110173E-2</v>
      </c>
    </row>
    <row r="649" spans="1:8" ht="13.5" x14ac:dyDescent="0.25">
      <c r="A649" s="1"/>
      <c r="B649" s="3">
        <v>43243</v>
      </c>
      <c r="C649" s="4">
        <v>2.61</v>
      </c>
      <c r="D649" s="4">
        <v>2.61</v>
      </c>
      <c r="E649" s="4">
        <v>100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2.54</v>
      </c>
      <c r="D650" s="4">
        <v>2.54</v>
      </c>
      <c r="E650" s="4">
        <v>2000</v>
      </c>
      <c r="F650" s="4"/>
      <c r="G650" s="4"/>
      <c r="H650" s="5">
        <f t="shared" si="10"/>
        <v>-2.6819923371647448E-2</v>
      </c>
    </row>
    <row r="651" spans="1:8" ht="13.5" x14ac:dyDescent="0.25">
      <c r="A651" s="1"/>
      <c r="B651" s="3">
        <v>43245</v>
      </c>
      <c r="C651" s="4">
        <v>2.6</v>
      </c>
      <c r="D651" s="4">
        <v>2.6</v>
      </c>
      <c r="E651" s="4">
        <v>1150</v>
      </c>
      <c r="F651" s="4"/>
      <c r="G651" s="4"/>
      <c r="H651" s="5">
        <f t="shared" si="10"/>
        <v>2.3622047244094509E-2</v>
      </c>
    </row>
    <row r="652" spans="1:8" ht="13.5" x14ac:dyDescent="0.25">
      <c r="A652" s="1"/>
      <c r="B652" s="3">
        <v>43248</v>
      </c>
      <c r="C652" s="4">
        <v>2.62</v>
      </c>
      <c r="D652" s="4">
        <v>2.62</v>
      </c>
      <c r="E652" s="4">
        <v>82</v>
      </c>
      <c r="F652" s="4"/>
      <c r="G652" s="4"/>
      <c r="H652" s="5">
        <f t="shared" si="10"/>
        <v>7.6923076923076988E-3</v>
      </c>
    </row>
    <row r="653" spans="1:8" ht="13.5" x14ac:dyDescent="0.25">
      <c r="A653" s="1"/>
      <c r="B653" s="3">
        <v>43249</v>
      </c>
      <c r="C653" s="4">
        <v>2.69</v>
      </c>
      <c r="D653" s="4">
        <v>2.69</v>
      </c>
      <c r="E653" s="4">
        <v>1101</v>
      </c>
      <c r="F653" s="4"/>
      <c r="G653" s="4"/>
      <c r="H653" s="5">
        <f t="shared" si="10"/>
        <v>2.6717557251908334E-2</v>
      </c>
    </row>
    <row r="654" spans="1:8" ht="13.5" x14ac:dyDescent="0.25">
      <c r="A654" s="1"/>
      <c r="B654" s="3">
        <v>43250</v>
      </c>
      <c r="C654" s="4">
        <v>2.69</v>
      </c>
      <c r="D654" s="4">
        <v>2.69</v>
      </c>
      <c r="E654" s="4">
        <v>3062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2.85</v>
      </c>
      <c r="D655" s="4">
        <v>2.85</v>
      </c>
      <c r="E655" s="4">
        <v>979</v>
      </c>
      <c r="F655" s="4"/>
      <c r="G655" s="4"/>
      <c r="H655" s="5">
        <f t="shared" si="10"/>
        <v>5.9479553903345778E-2</v>
      </c>
    </row>
    <row r="656" spans="1:8" ht="13.5" x14ac:dyDescent="0.25">
      <c r="A656" s="1"/>
      <c r="B656" s="3">
        <v>43252</v>
      </c>
      <c r="C656" s="4">
        <v>2.85</v>
      </c>
      <c r="D656" s="4">
        <v>2.85</v>
      </c>
      <c r="E656" s="4">
        <v>1499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2.86</v>
      </c>
      <c r="D657" s="4">
        <v>2.86</v>
      </c>
      <c r="E657" s="4">
        <v>63</v>
      </c>
      <c r="F657" s="4"/>
      <c r="G657" s="4"/>
      <c r="H657" s="5">
        <f t="shared" si="10"/>
        <v>3.5087719298244864E-3</v>
      </c>
    </row>
    <row r="658" spans="1:8" ht="13.5" x14ac:dyDescent="0.25">
      <c r="A658" s="1"/>
      <c r="B658" s="3">
        <v>43256</v>
      </c>
      <c r="C658" s="4">
        <v>2.88</v>
      </c>
      <c r="D658" s="4">
        <v>2.88</v>
      </c>
      <c r="E658" s="4">
        <v>368</v>
      </c>
      <c r="F658" s="4"/>
      <c r="G658" s="4"/>
      <c r="H658" s="5">
        <f t="shared" si="10"/>
        <v>6.9930069930069999E-3</v>
      </c>
    </row>
    <row r="659" spans="1:8" ht="13.5" x14ac:dyDescent="0.25">
      <c r="A659" s="1"/>
      <c r="B659" s="3">
        <v>43257</v>
      </c>
      <c r="C659" s="4">
        <v>2.88</v>
      </c>
      <c r="D659" s="4">
        <v>2.88</v>
      </c>
      <c r="E659" s="4">
        <v>3238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2.94</v>
      </c>
      <c r="D660" s="4">
        <v>2.94</v>
      </c>
      <c r="E660" s="4">
        <v>3768</v>
      </c>
      <c r="F660" s="4"/>
      <c r="G660" s="4"/>
      <c r="H660" s="5">
        <f t="shared" si="10"/>
        <v>2.0833333333333353E-2</v>
      </c>
    </row>
    <row r="661" spans="1:8" ht="13.5" x14ac:dyDescent="0.25">
      <c r="A661" s="1"/>
      <c r="B661" s="3">
        <v>43259</v>
      </c>
      <c r="C661" s="4">
        <v>2.94</v>
      </c>
      <c r="D661" s="4">
        <v>2.94</v>
      </c>
      <c r="E661" s="4">
        <v>2731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2.9</v>
      </c>
      <c r="D662" s="4">
        <v>2.9</v>
      </c>
      <c r="E662" s="4">
        <v>116</v>
      </c>
      <c r="F662" s="4"/>
      <c r="G662" s="4"/>
      <c r="H662" s="5">
        <f t="shared" si="10"/>
        <v>-1.360544217687076E-2</v>
      </c>
    </row>
    <row r="663" spans="1:8" ht="13.5" x14ac:dyDescent="0.25">
      <c r="A663" s="1"/>
      <c r="B663" s="3">
        <v>43263</v>
      </c>
      <c r="C663" s="4">
        <v>2.89</v>
      </c>
      <c r="D663" s="4">
        <v>2.89</v>
      </c>
      <c r="E663" s="4">
        <v>4731</v>
      </c>
      <c r="F663" s="4"/>
      <c r="G663" s="4"/>
      <c r="H663" s="5">
        <f t="shared" si="10"/>
        <v>-3.4482758620688922E-3</v>
      </c>
    </row>
    <row r="664" spans="1:8" ht="13.5" x14ac:dyDescent="0.25">
      <c r="A664" s="1"/>
      <c r="B664" s="3">
        <v>43264</v>
      </c>
      <c r="C664" s="4">
        <v>2.93</v>
      </c>
      <c r="D664" s="4">
        <v>2.93</v>
      </c>
      <c r="E664" s="4">
        <v>719</v>
      </c>
      <c r="F664" s="4"/>
      <c r="G664" s="4"/>
      <c r="H664" s="5">
        <f t="shared" si="10"/>
        <v>1.3840830449827002E-2</v>
      </c>
    </row>
    <row r="665" spans="1:8" ht="13.5" x14ac:dyDescent="0.25">
      <c r="A665" s="1"/>
      <c r="B665" s="3">
        <v>43265</v>
      </c>
      <c r="C665" s="4">
        <v>2.95</v>
      </c>
      <c r="D665" s="4">
        <v>2.95</v>
      </c>
      <c r="E665" s="4">
        <v>855</v>
      </c>
      <c r="F665" s="4"/>
      <c r="G665" s="4"/>
      <c r="H665" s="5">
        <f t="shared" si="10"/>
        <v>6.8259385665529063E-3</v>
      </c>
    </row>
    <row r="666" spans="1:8" ht="13.5" x14ac:dyDescent="0.25">
      <c r="A666" s="1"/>
      <c r="B666" s="3">
        <v>43269</v>
      </c>
      <c r="C666" s="4">
        <v>2.95</v>
      </c>
      <c r="D666" s="4">
        <v>2.95</v>
      </c>
      <c r="E666" s="4">
        <v>203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2.94</v>
      </c>
      <c r="D667" s="4">
        <v>2.94</v>
      </c>
      <c r="E667" s="4">
        <v>797</v>
      </c>
      <c r="F667" s="4"/>
      <c r="G667" s="4"/>
      <c r="H667" s="5">
        <f t="shared" si="10"/>
        <v>-3.3898305084746542E-3</v>
      </c>
    </row>
    <row r="668" spans="1:8" ht="13.5" x14ac:dyDescent="0.25">
      <c r="A668" s="1"/>
      <c r="B668" s="3">
        <v>43271</v>
      </c>
      <c r="C668" s="4">
        <v>2.94</v>
      </c>
      <c r="D668" s="4">
        <v>2.94</v>
      </c>
      <c r="E668" s="4">
        <v>3100</v>
      </c>
      <c r="F668" s="4"/>
      <c r="G668" s="4"/>
      <c r="H668" s="5">
        <f t="shared" si="10"/>
        <v>0</v>
      </c>
    </row>
    <row r="669" spans="1:8" ht="13.5" x14ac:dyDescent="0.25">
      <c r="A669" s="1"/>
      <c r="B669" s="3">
        <v>43272</v>
      </c>
      <c r="C669" s="4">
        <v>2.94</v>
      </c>
      <c r="D669" s="4">
        <v>2.94</v>
      </c>
      <c r="E669" s="4">
        <v>1000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2.94</v>
      </c>
      <c r="D670" s="4">
        <v>2.94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2.88</v>
      </c>
      <c r="D671" s="4">
        <v>2.88</v>
      </c>
      <c r="E671" s="4">
        <v>662</v>
      </c>
      <c r="F671" s="4"/>
      <c r="G671" s="4"/>
      <c r="H671" s="5">
        <f t="shared" si="10"/>
        <v>-2.0408163265306142E-2</v>
      </c>
    </row>
    <row r="672" spans="1:8" ht="13.5" x14ac:dyDescent="0.25">
      <c r="A672" s="1"/>
      <c r="B672" s="3">
        <v>43277</v>
      </c>
      <c r="C672" s="4">
        <v>2.77</v>
      </c>
      <c r="D672" s="4">
        <v>2.77</v>
      </c>
      <c r="E672" s="4">
        <v>2075</v>
      </c>
      <c r="F672" s="4"/>
      <c r="G672" s="4"/>
      <c r="H672" s="5">
        <f t="shared" si="10"/>
        <v>-3.8194444444444406E-2</v>
      </c>
    </row>
    <row r="673" spans="1:8" ht="13.5" x14ac:dyDescent="0.25">
      <c r="A673" s="1"/>
      <c r="B673" s="3">
        <v>43278</v>
      </c>
      <c r="C673" s="4">
        <v>2.85</v>
      </c>
      <c r="D673" s="4">
        <v>2.85</v>
      </c>
      <c r="E673" s="4">
        <v>796</v>
      </c>
      <c r="F673" s="4"/>
      <c r="G673" s="4"/>
      <c r="H673" s="5">
        <f t="shared" si="10"/>
        <v>2.8880866425992805E-2</v>
      </c>
    </row>
    <row r="674" spans="1:8" ht="13.5" x14ac:dyDescent="0.25">
      <c r="A674" s="1"/>
      <c r="B674" s="3">
        <v>43279</v>
      </c>
      <c r="C674" s="4">
        <v>2.85</v>
      </c>
      <c r="D674" s="4">
        <v>2.85</v>
      </c>
      <c r="E674" s="4">
        <v>305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2.85</v>
      </c>
      <c r="D675" s="4">
        <v>2.85</v>
      </c>
      <c r="E675" s="4">
        <v>0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2.85</v>
      </c>
      <c r="D676" s="4">
        <v>2.85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2.73</v>
      </c>
      <c r="D677" s="4">
        <v>2.73</v>
      </c>
      <c r="E677" s="4">
        <v>0</v>
      </c>
      <c r="F677" s="4"/>
      <c r="G677" s="4"/>
      <c r="H677" s="5">
        <f t="shared" si="10"/>
        <v>-4.2105263157894771E-2</v>
      </c>
    </row>
    <row r="678" spans="1:8" ht="13.5" x14ac:dyDescent="0.25">
      <c r="A678" s="1"/>
      <c r="B678" s="3">
        <v>43285</v>
      </c>
      <c r="C678" s="4">
        <v>2.65</v>
      </c>
      <c r="D678" s="4">
        <v>2.65</v>
      </c>
      <c r="E678" s="4">
        <v>60</v>
      </c>
      <c r="F678" s="4"/>
      <c r="G678" s="4"/>
      <c r="H678" s="5">
        <f t="shared" si="10"/>
        <v>-2.9304029304029332E-2</v>
      </c>
    </row>
    <row r="679" spans="1:8" ht="13.5" x14ac:dyDescent="0.25">
      <c r="A679" s="1"/>
      <c r="B679" s="3">
        <v>43286</v>
      </c>
      <c r="C679" s="4">
        <v>2.72</v>
      </c>
      <c r="D679" s="4">
        <v>2.72</v>
      </c>
      <c r="E679" s="4">
        <v>50</v>
      </c>
      <c r="F679" s="4"/>
      <c r="G679" s="4"/>
      <c r="H679" s="5">
        <f t="shared" si="10"/>
        <v>2.641509433962275E-2</v>
      </c>
    </row>
    <row r="680" spans="1:8" ht="13.5" x14ac:dyDescent="0.25">
      <c r="A680" s="1"/>
      <c r="B680" s="3">
        <v>43287</v>
      </c>
      <c r="C680" s="4">
        <v>2.77</v>
      </c>
      <c r="D680" s="4">
        <v>2.77</v>
      </c>
      <c r="E680" s="4">
        <v>50</v>
      </c>
      <c r="F680" s="4"/>
      <c r="G680" s="4"/>
      <c r="H680" s="5">
        <f t="shared" si="10"/>
        <v>1.8382352941176405E-2</v>
      </c>
    </row>
    <row r="681" spans="1:8" ht="13.5" x14ac:dyDescent="0.25">
      <c r="A681" s="1"/>
      <c r="B681" s="3">
        <v>43290</v>
      </c>
      <c r="C681" s="4">
        <v>2.77</v>
      </c>
      <c r="D681" s="4">
        <v>2.77</v>
      </c>
      <c r="E681" s="4">
        <v>0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2.76</v>
      </c>
      <c r="D682" s="4">
        <v>2.76</v>
      </c>
      <c r="E682" s="4">
        <v>130</v>
      </c>
      <c r="F682" s="4"/>
      <c r="G682" s="4"/>
      <c r="H682" s="5">
        <f t="shared" si="10"/>
        <v>-3.6101083032491809E-3</v>
      </c>
    </row>
    <row r="683" spans="1:8" ht="13.5" x14ac:dyDescent="0.25">
      <c r="A683" s="1"/>
      <c r="B683" s="3">
        <v>43292</v>
      </c>
      <c r="C683" s="4">
        <v>2.75</v>
      </c>
      <c r="D683" s="4">
        <v>2.75</v>
      </c>
      <c r="E683" s="4">
        <v>800</v>
      </c>
      <c r="F683" s="4"/>
      <c r="G683" s="4"/>
      <c r="H683" s="5">
        <f t="shared" si="10"/>
        <v>-3.6231884057970243E-3</v>
      </c>
    </row>
    <row r="684" spans="1:8" ht="13.5" x14ac:dyDescent="0.25">
      <c r="A684" s="1"/>
      <c r="B684" s="3">
        <v>43293</v>
      </c>
      <c r="C684" s="4">
        <v>2.75</v>
      </c>
      <c r="D684" s="4">
        <v>2.75</v>
      </c>
      <c r="E684" s="4">
        <v>500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2.75</v>
      </c>
      <c r="D685" s="4">
        <v>2.75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2.77</v>
      </c>
      <c r="D686" s="4">
        <v>2.77</v>
      </c>
      <c r="E686" s="4">
        <v>50</v>
      </c>
      <c r="F686" s="4"/>
      <c r="G686" s="4"/>
      <c r="H686" s="5">
        <f t="shared" si="10"/>
        <v>7.2727272727272788E-3</v>
      </c>
    </row>
    <row r="687" spans="1:8" ht="13.5" x14ac:dyDescent="0.25">
      <c r="A687" s="1"/>
      <c r="B687" s="3">
        <v>43298</v>
      </c>
      <c r="C687" s="4">
        <v>2.77</v>
      </c>
      <c r="D687" s="4">
        <v>2.77</v>
      </c>
      <c r="E687" s="4">
        <v>189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2.77</v>
      </c>
      <c r="D688" s="4">
        <v>2.77</v>
      </c>
      <c r="E688" s="4">
        <v>50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2.77</v>
      </c>
      <c r="D689" s="4">
        <v>2.77</v>
      </c>
      <c r="E689" s="4">
        <v>50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2.75</v>
      </c>
      <c r="D690" s="4">
        <v>2.75</v>
      </c>
      <c r="E690" s="4">
        <v>594</v>
      </c>
      <c r="F690" s="4"/>
      <c r="G690" s="4"/>
      <c r="H690" s="5">
        <f t="shared" si="10"/>
        <v>-7.2202166064982013E-3</v>
      </c>
    </row>
    <row r="691" spans="1:8" ht="13.5" x14ac:dyDescent="0.25">
      <c r="A691" s="1"/>
      <c r="B691" s="3">
        <v>43304</v>
      </c>
      <c r="C691" s="4">
        <v>2.75</v>
      </c>
      <c r="D691" s="4">
        <v>2.75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2.75</v>
      </c>
      <c r="D692" s="4">
        <v>2.75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2.75</v>
      </c>
      <c r="D693" s="4">
        <v>2.75</v>
      </c>
      <c r="E693" s="4">
        <v>0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2.75</v>
      </c>
      <c r="D694" s="4">
        <v>2.75</v>
      </c>
      <c r="E694" s="4">
        <v>0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2.75</v>
      </c>
      <c r="D695" s="4">
        <v>2.75</v>
      </c>
      <c r="E695" s="4">
        <v>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2.75</v>
      </c>
      <c r="D696" s="4">
        <v>2.75</v>
      </c>
      <c r="E696" s="4">
        <v>200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2.67</v>
      </c>
      <c r="D697" s="4">
        <v>2.67</v>
      </c>
      <c r="E697" s="4">
        <v>300</v>
      </c>
      <c r="F697" s="4"/>
      <c r="G697" s="4"/>
      <c r="H697" s="5">
        <f t="shared" si="10"/>
        <v>-2.9090909090909115E-2</v>
      </c>
    </row>
    <row r="698" spans="1:8" ht="13.5" x14ac:dyDescent="0.25">
      <c r="A698" s="1"/>
      <c r="B698" s="3">
        <v>43314</v>
      </c>
      <c r="C698" s="4">
        <v>2.73</v>
      </c>
      <c r="D698" s="4">
        <v>2.73</v>
      </c>
      <c r="E698" s="4">
        <v>500</v>
      </c>
      <c r="F698" s="4"/>
      <c r="G698" s="4"/>
      <c r="H698" s="5">
        <f t="shared" si="10"/>
        <v>2.2471910112359571E-2</v>
      </c>
    </row>
    <row r="699" spans="1:8" ht="13.5" x14ac:dyDescent="0.25">
      <c r="A699" s="1"/>
      <c r="B699" s="3">
        <v>43315</v>
      </c>
      <c r="C699" s="4">
        <v>2.7</v>
      </c>
      <c r="D699" s="4">
        <v>2.7</v>
      </c>
      <c r="E699" s="4">
        <v>1275</v>
      </c>
      <c r="F699" s="4"/>
      <c r="G699" s="4"/>
      <c r="H699" s="5">
        <f t="shared" si="10"/>
        <v>-1.0989010989010917E-2</v>
      </c>
    </row>
    <row r="700" spans="1:8" ht="13.5" x14ac:dyDescent="0.25">
      <c r="A700" s="1"/>
      <c r="B700" s="3">
        <v>43318</v>
      </c>
      <c r="C700" s="4">
        <v>2.7</v>
      </c>
      <c r="D700" s="4">
        <v>2.7</v>
      </c>
      <c r="E700" s="4">
        <v>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2.7</v>
      </c>
      <c r="D701" s="4">
        <v>2.7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2.7</v>
      </c>
      <c r="D702" s="4">
        <v>2.7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2.7</v>
      </c>
      <c r="D703" s="4">
        <v>2.7</v>
      </c>
      <c r="E703" s="4">
        <v>100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2.7</v>
      </c>
      <c r="D704" s="4">
        <v>2.7</v>
      </c>
      <c r="E704" s="4">
        <v>450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2.7</v>
      </c>
      <c r="D705" s="4">
        <v>2.7</v>
      </c>
      <c r="E705" s="4">
        <v>0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2.7</v>
      </c>
      <c r="D706" s="4">
        <v>2.7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2.7</v>
      </c>
      <c r="D707" s="4">
        <v>2.7</v>
      </c>
      <c r="E707" s="4">
        <v>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2.7</v>
      </c>
      <c r="D708" s="4">
        <v>2.7</v>
      </c>
      <c r="E708" s="4">
        <v>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2.7</v>
      </c>
      <c r="D709" s="4">
        <v>2.7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2.7</v>
      </c>
      <c r="D710" s="4">
        <v>2.7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2.7</v>
      </c>
      <c r="D711" s="4">
        <v>2.7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2.7</v>
      </c>
      <c r="D712" s="4">
        <v>2.7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2.7</v>
      </c>
      <c r="D713" s="4">
        <v>2.7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2.7</v>
      </c>
      <c r="D714" s="4">
        <v>2.7</v>
      </c>
      <c r="E714" s="4">
        <v>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2.7</v>
      </c>
      <c r="D715" s="4">
        <v>2.7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2.7</v>
      </c>
      <c r="D716" s="4">
        <v>2.7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2.7</v>
      </c>
      <c r="D717" s="4">
        <v>2.7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2.7</v>
      </c>
      <c r="D718" s="4">
        <v>2.7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2.7</v>
      </c>
      <c r="D719" s="4">
        <v>2.7</v>
      </c>
      <c r="E719" s="4">
        <v>0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2.7</v>
      </c>
      <c r="D720" s="4">
        <v>2.7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2.7</v>
      </c>
      <c r="D721" s="4">
        <v>2.7</v>
      </c>
      <c r="E721" s="4">
        <v>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2.7</v>
      </c>
      <c r="D722" s="4">
        <v>2.7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2.7</v>
      </c>
      <c r="D723" s="4">
        <v>2.7</v>
      </c>
      <c r="E723" s="4">
        <v>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2.7</v>
      </c>
      <c r="D724" s="4">
        <v>2.7</v>
      </c>
      <c r="E724" s="4">
        <v>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2.7</v>
      </c>
      <c r="D725" s="4">
        <v>2.7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2.7</v>
      </c>
      <c r="D726" s="4">
        <v>2.7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2.7</v>
      </c>
      <c r="D727" s="4">
        <v>2.7</v>
      </c>
      <c r="E727" s="4">
        <v>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2.7</v>
      </c>
      <c r="D728" s="4">
        <v>2.7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2.7</v>
      </c>
      <c r="D729" s="4">
        <v>2.7</v>
      </c>
      <c r="E729" s="4">
        <v>0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2.7</v>
      </c>
      <c r="D730" s="4">
        <v>2.7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2.58</v>
      </c>
      <c r="D731" s="4">
        <v>2.58</v>
      </c>
      <c r="E731" s="4">
        <v>10</v>
      </c>
      <c r="F731" s="4"/>
      <c r="G731" s="4"/>
      <c r="H731" s="5">
        <f t="shared" si="11"/>
        <v>-4.4444444444444481E-2</v>
      </c>
    </row>
    <row r="732" spans="1:8" ht="13.5" x14ac:dyDescent="0.25">
      <c r="A732" s="1"/>
      <c r="B732" s="3">
        <v>43368</v>
      </c>
      <c r="C732" s="4">
        <v>2.5099999999999998</v>
      </c>
      <c r="D732" s="4">
        <v>2.5099999999999998</v>
      </c>
      <c r="E732" s="4">
        <v>0</v>
      </c>
      <c r="F732" s="4"/>
      <c r="G732" s="4"/>
      <c r="H732" s="5">
        <f t="shared" si="11"/>
        <v>-2.7131782945736545E-2</v>
      </c>
    </row>
    <row r="733" spans="1:8" ht="13.5" x14ac:dyDescent="0.25">
      <c r="A733" s="1"/>
      <c r="B733" s="3">
        <v>43369</v>
      </c>
      <c r="C733" s="4">
        <v>2.44</v>
      </c>
      <c r="D733" s="4">
        <v>2.44</v>
      </c>
      <c r="E733" s="4">
        <v>0</v>
      </c>
      <c r="F733" s="4"/>
      <c r="G733" s="4"/>
      <c r="H733" s="5">
        <f t="shared" si="11"/>
        <v>-2.7888446215139379E-2</v>
      </c>
    </row>
    <row r="734" spans="1:8" ht="13.5" x14ac:dyDescent="0.25">
      <c r="A734" s="1"/>
      <c r="B734" s="3">
        <v>43370</v>
      </c>
      <c r="C734" s="4">
        <v>2.2999999999999998</v>
      </c>
      <c r="D734" s="4">
        <v>2.2999999999999998</v>
      </c>
      <c r="E734" s="4">
        <v>43500</v>
      </c>
      <c r="F734" s="4"/>
      <c r="G734" s="4"/>
      <c r="H734" s="5">
        <f t="shared" si="11"/>
        <v>-5.7377049180327919E-2</v>
      </c>
    </row>
    <row r="735" spans="1:8" ht="13.5" x14ac:dyDescent="0.25">
      <c r="A735" s="1"/>
      <c r="B735" s="3">
        <v>43371</v>
      </c>
      <c r="C735" s="4">
        <v>2.25</v>
      </c>
      <c r="D735" s="4">
        <v>2.25</v>
      </c>
      <c r="E735" s="4">
        <v>2080</v>
      </c>
      <c r="F735" s="4"/>
      <c r="G735" s="4"/>
      <c r="H735" s="5">
        <f t="shared" si="11"/>
        <v>-2.1739130434782532E-2</v>
      </c>
    </row>
    <row r="736" spans="1:8" ht="13.5" x14ac:dyDescent="0.25">
      <c r="A736" s="1"/>
      <c r="B736" s="3">
        <v>43374</v>
      </c>
      <c r="C736" s="4">
        <v>2.15</v>
      </c>
      <c r="D736" s="4">
        <v>2.15</v>
      </c>
      <c r="E736" s="4">
        <v>1983</v>
      </c>
      <c r="F736" s="4"/>
      <c r="G736" s="4"/>
      <c r="H736" s="5">
        <f t="shared" si="11"/>
        <v>-4.4444444444444481E-2</v>
      </c>
    </row>
    <row r="737" spans="1:8" ht="13.5" x14ac:dyDescent="0.25">
      <c r="A737" s="1"/>
      <c r="B737" s="3">
        <v>43375</v>
      </c>
      <c r="C737" s="4">
        <v>2.15</v>
      </c>
      <c r="D737" s="4">
        <v>2.15</v>
      </c>
      <c r="E737" s="4">
        <v>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2.09</v>
      </c>
      <c r="D738" s="4">
        <v>2.09</v>
      </c>
      <c r="E738" s="4">
        <v>286</v>
      </c>
      <c r="F738" s="4"/>
      <c r="G738" s="4"/>
      <c r="H738" s="5">
        <f t="shared" si="11"/>
        <v>-2.7906976744186074E-2</v>
      </c>
    </row>
    <row r="739" spans="1:8" ht="13.5" x14ac:dyDescent="0.25">
      <c r="A739" s="1"/>
      <c r="B739" s="3">
        <v>43377</v>
      </c>
      <c r="C739" s="4">
        <v>2.0299999999999998</v>
      </c>
      <c r="D739" s="4">
        <v>2.0299999999999998</v>
      </c>
      <c r="E739" s="4">
        <v>100</v>
      </c>
      <c r="F739" s="4"/>
      <c r="G739" s="4"/>
      <c r="H739" s="5">
        <f t="shared" si="11"/>
        <v>-2.8708133971291894E-2</v>
      </c>
    </row>
    <row r="740" spans="1:8" ht="13.5" x14ac:dyDescent="0.25">
      <c r="A740" s="1"/>
      <c r="B740" s="3">
        <v>43378</v>
      </c>
      <c r="C740" s="4">
        <v>2</v>
      </c>
      <c r="D740" s="4">
        <v>2</v>
      </c>
      <c r="E740" s="4">
        <v>1621</v>
      </c>
      <c r="F740" s="4"/>
      <c r="G740" s="4"/>
      <c r="H740" s="5">
        <f t="shared" si="11"/>
        <v>-1.4778325123152615E-2</v>
      </c>
    </row>
    <row r="741" spans="1:8" ht="13.5" x14ac:dyDescent="0.25">
      <c r="A741" s="1"/>
      <c r="B741" s="3">
        <v>43381</v>
      </c>
      <c r="C741" s="4">
        <v>2</v>
      </c>
      <c r="D741" s="4">
        <v>2</v>
      </c>
      <c r="E741" s="4">
        <v>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1.94</v>
      </c>
      <c r="D742" s="4">
        <v>1.94</v>
      </c>
      <c r="E742" s="4">
        <v>0</v>
      </c>
      <c r="F742" s="4"/>
      <c r="G742" s="4"/>
      <c r="H742" s="5">
        <f t="shared" si="11"/>
        <v>-3.0000000000000027E-2</v>
      </c>
    </row>
    <row r="743" spans="1:8" ht="13.5" x14ac:dyDescent="0.25">
      <c r="A743" s="1"/>
      <c r="B743" s="3">
        <v>43383</v>
      </c>
      <c r="C743" s="4">
        <v>1.9</v>
      </c>
      <c r="D743" s="4">
        <v>1.9</v>
      </c>
      <c r="E743" s="4">
        <v>1720</v>
      </c>
      <c r="F743" s="4"/>
      <c r="G743" s="4"/>
      <c r="H743" s="5">
        <f t="shared" si="11"/>
        <v>-2.0618556701030948E-2</v>
      </c>
    </row>
    <row r="744" spans="1:8" ht="13.5" x14ac:dyDescent="0.25">
      <c r="A744" s="1"/>
      <c r="B744" s="3">
        <v>43384</v>
      </c>
      <c r="C744" s="4">
        <v>1.9</v>
      </c>
      <c r="D744" s="4">
        <v>1.9</v>
      </c>
      <c r="E744" s="4">
        <v>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1.82</v>
      </c>
      <c r="D745" s="4">
        <v>1.82</v>
      </c>
      <c r="E745" s="4">
        <v>500</v>
      </c>
      <c r="F745" s="4"/>
      <c r="G745" s="4"/>
      <c r="H745" s="5">
        <f t="shared" si="11"/>
        <v>-4.210526315789466E-2</v>
      </c>
    </row>
    <row r="746" spans="1:8" ht="13.5" x14ac:dyDescent="0.25">
      <c r="A746" s="1"/>
      <c r="B746" s="3">
        <v>43389</v>
      </c>
      <c r="C746" s="4">
        <v>1.79</v>
      </c>
      <c r="D746" s="4">
        <v>1.79</v>
      </c>
      <c r="E746" s="4">
        <v>1051</v>
      </c>
      <c r="F746" s="4"/>
      <c r="G746" s="4"/>
      <c r="H746" s="5">
        <f t="shared" si="11"/>
        <v>-1.6483516483516498E-2</v>
      </c>
    </row>
    <row r="747" spans="1:8" ht="13.5" x14ac:dyDescent="0.25">
      <c r="A747" s="1"/>
      <c r="B747" s="3">
        <v>43390</v>
      </c>
      <c r="C747" s="4">
        <v>1.71</v>
      </c>
      <c r="D747" s="4">
        <v>1.71</v>
      </c>
      <c r="E747" s="4">
        <v>1543</v>
      </c>
      <c r="F747" s="4"/>
      <c r="G747" s="4"/>
      <c r="H747" s="5">
        <f t="shared" si="11"/>
        <v>-4.4692737430167634E-2</v>
      </c>
    </row>
    <row r="748" spans="1:8" ht="13.5" x14ac:dyDescent="0.25">
      <c r="A748" s="1"/>
      <c r="B748" s="3">
        <v>43391</v>
      </c>
      <c r="C748" s="4">
        <v>1.71</v>
      </c>
      <c r="D748" s="4">
        <v>1.71</v>
      </c>
      <c r="E748" s="4">
        <v>500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1.67</v>
      </c>
      <c r="D749" s="4">
        <v>1.67</v>
      </c>
      <c r="E749" s="4">
        <v>129</v>
      </c>
      <c r="F749" s="4"/>
      <c r="G749" s="4"/>
      <c r="H749" s="5">
        <f t="shared" si="11"/>
        <v>-2.3391812865497099E-2</v>
      </c>
    </row>
    <row r="750" spans="1:8" ht="13.5" x14ac:dyDescent="0.25">
      <c r="A750" s="1"/>
      <c r="B750" s="3">
        <v>43395</v>
      </c>
      <c r="C750" s="4">
        <v>1.71</v>
      </c>
      <c r="D750" s="4">
        <v>1.71</v>
      </c>
      <c r="E750" s="4">
        <v>236</v>
      </c>
      <c r="F750" s="4"/>
      <c r="G750" s="4"/>
      <c r="H750" s="5">
        <f t="shared" si="11"/>
        <v>2.3952095808383256E-2</v>
      </c>
    </row>
    <row r="751" spans="1:8" ht="13.5" x14ac:dyDescent="0.25">
      <c r="A751" s="1"/>
      <c r="B751" s="3">
        <v>43396</v>
      </c>
      <c r="C751" s="4">
        <v>1.71</v>
      </c>
      <c r="D751" s="4">
        <v>1.71</v>
      </c>
      <c r="E751" s="4">
        <v>380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1.74</v>
      </c>
      <c r="D752" s="4">
        <v>1.74</v>
      </c>
      <c r="E752" s="4">
        <v>2856</v>
      </c>
      <c r="F752" s="4"/>
      <c r="G752" s="4"/>
      <c r="H752" s="5">
        <f t="shared" si="11"/>
        <v>1.7543859649122823E-2</v>
      </c>
    </row>
    <row r="753" spans="1:8" ht="13.5" x14ac:dyDescent="0.25">
      <c r="A753" s="1"/>
      <c r="B753" s="3">
        <v>43398</v>
      </c>
      <c r="C753" s="4">
        <v>1.74</v>
      </c>
      <c r="D753" s="4">
        <v>1.74</v>
      </c>
      <c r="E753" s="4">
        <v>600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1.74</v>
      </c>
      <c r="D754" s="4">
        <v>1.74</v>
      </c>
      <c r="E754" s="4">
        <v>2100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1.7</v>
      </c>
      <c r="D755" s="4">
        <v>1.7</v>
      </c>
      <c r="E755" s="4">
        <v>676</v>
      </c>
      <c r="F755" s="4"/>
      <c r="G755" s="4"/>
      <c r="H755" s="5">
        <f t="shared" si="11"/>
        <v>-2.2988505747126457E-2</v>
      </c>
    </row>
    <row r="756" spans="1:8" ht="13.5" x14ac:dyDescent="0.25">
      <c r="A756" s="1"/>
      <c r="B756" s="3">
        <v>43403</v>
      </c>
      <c r="C756" s="4">
        <v>1.61</v>
      </c>
      <c r="D756" s="4">
        <v>1.61</v>
      </c>
      <c r="E756" s="4">
        <v>185</v>
      </c>
      <c r="F756" s="4"/>
      <c r="G756" s="4"/>
      <c r="H756" s="5">
        <f t="shared" si="11"/>
        <v>-5.2941176470588151E-2</v>
      </c>
    </row>
    <row r="757" spans="1:8" ht="13.5" x14ac:dyDescent="0.25">
      <c r="A757" s="1"/>
      <c r="B757" s="3">
        <v>43404</v>
      </c>
      <c r="C757" s="4">
        <v>1.61</v>
      </c>
      <c r="D757" s="4">
        <v>1.61</v>
      </c>
      <c r="E757" s="4">
        <v>50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1.61</v>
      </c>
      <c r="D758" s="4">
        <v>1.61</v>
      </c>
      <c r="E758" s="4">
        <v>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1.6</v>
      </c>
      <c r="D759" s="4">
        <v>1.6</v>
      </c>
      <c r="E759" s="4">
        <v>247</v>
      </c>
      <c r="F759" s="4"/>
      <c r="G759" s="4"/>
      <c r="H759" s="5">
        <f t="shared" si="11"/>
        <v>-6.2111801242236073E-3</v>
      </c>
    </row>
    <row r="760" spans="1:8" ht="13.5" x14ac:dyDescent="0.25">
      <c r="A760" s="1"/>
      <c r="B760" s="3">
        <v>43409</v>
      </c>
      <c r="C760" s="4">
        <v>1.53</v>
      </c>
      <c r="D760" s="4">
        <v>1.53</v>
      </c>
      <c r="E760" s="4">
        <v>850</v>
      </c>
      <c r="F760" s="4"/>
      <c r="G760" s="4"/>
      <c r="H760" s="5">
        <f t="shared" si="11"/>
        <v>-4.3750000000000039E-2</v>
      </c>
    </row>
    <row r="761" spans="1:8" ht="13.5" x14ac:dyDescent="0.25">
      <c r="A761" s="1"/>
      <c r="B761" s="3">
        <v>43410</v>
      </c>
      <c r="C761" s="4">
        <v>1.5</v>
      </c>
      <c r="D761" s="4">
        <v>1.5</v>
      </c>
      <c r="E761" s="4">
        <v>3811</v>
      </c>
      <c r="F761" s="4"/>
      <c r="G761" s="4"/>
      <c r="H761" s="5">
        <f t="shared" si="11"/>
        <v>-1.9607843137254919E-2</v>
      </c>
    </row>
    <row r="762" spans="1:8" ht="13.5" x14ac:dyDescent="0.25">
      <c r="A762" s="1"/>
      <c r="B762" s="3">
        <v>43411</v>
      </c>
      <c r="C762" s="4">
        <v>1.5</v>
      </c>
      <c r="D762" s="4">
        <v>1.5</v>
      </c>
      <c r="E762" s="4">
        <v>50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1.5</v>
      </c>
      <c r="D763" s="4">
        <v>1.5</v>
      </c>
      <c r="E763" s="4">
        <v>990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1.49</v>
      </c>
      <c r="D764" s="4">
        <v>1.49</v>
      </c>
      <c r="E764" s="4">
        <v>527</v>
      </c>
      <c r="F764" s="4"/>
      <c r="G764" s="4"/>
      <c r="H764" s="5">
        <f t="shared" si="11"/>
        <v>-6.6666666666666723E-3</v>
      </c>
    </row>
    <row r="765" spans="1:8" ht="13.5" x14ac:dyDescent="0.25">
      <c r="A765" s="1"/>
      <c r="B765" s="3">
        <v>43416</v>
      </c>
      <c r="C765" s="4">
        <v>1.48</v>
      </c>
      <c r="D765" s="4">
        <v>1.48</v>
      </c>
      <c r="E765" s="4">
        <v>200</v>
      </c>
      <c r="F765" s="4"/>
      <c r="G765" s="4"/>
      <c r="H765" s="5">
        <f t="shared" si="11"/>
        <v>-6.7114093959731603E-3</v>
      </c>
    </row>
    <row r="766" spans="1:8" ht="13.5" x14ac:dyDescent="0.25">
      <c r="A766" s="1"/>
      <c r="B766" s="3">
        <v>43417</v>
      </c>
      <c r="C766" s="4">
        <v>1.42</v>
      </c>
      <c r="D766" s="4">
        <v>1.42</v>
      </c>
      <c r="E766" s="4">
        <v>4812</v>
      </c>
      <c r="F766" s="4"/>
      <c r="G766" s="4"/>
      <c r="H766" s="5">
        <f t="shared" si="11"/>
        <v>-4.0540540540540577E-2</v>
      </c>
    </row>
    <row r="767" spans="1:8" ht="13.5" x14ac:dyDescent="0.25">
      <c r="A767" s="1"/>
      <c r="B767" s="3">
        <v>43418</v>
      </c>
      <c r="C767" s="4">
        <v>1.5</v>
      </c>
      <c r="D767" s="4">
        <v>1.5</v>
      </c>
      <c r="E767" s="4">
        <v>7659</v>
      </c>
      <c r="F767" s="4"/>
      <c r="G767" s="4"/>
      <c r="H767" s="5">
        <f t="shared" si="11"/>
        <v>5.6338028169014134E-2</v>
      </c>
    </row>
    <row r="768" spans="1:8" ht="13.5" x14ac:dyDescent="0.25">
      <c r="A768" s="1"/>
      <c r="B768" s="3">
        <v>43419</v>
      </c>
      <c r="C768" s="4">
        <v>1.56</v>
      </c>
      <c r="D768" s="4">
        <v>1.56</v>
      </c>
      <c r="E768" s="4">
        <v>15444</v>
      </c>
      <c r="F768" s="4"/>
      <c r="G768" s="4"/>
      <c r="H768" s="5">
        <f t="shared" si="11"/>
        <v>4.0000000000000036E-2</v>
      </c>
    </row>
    <row r="769" spans="1:8" ht="13.5" x14ac:dyDescent="0.25">
      <c r="A769" s="1"/>
      <c r="B769" s="3">
        <v>43420</v>
      </c>
      <c r="C769" s="4">
        <v>1.57</v>
      </c>
      <c r="D769" s="4">
        <v>1.57</v>
      </c>
      <c r="E769" s="4">
        <v>12300</v>
      </c>
      <c r="F769" s="4"/>
      <c r="G769" s="4"/>
      <c r="H769" s="5">
        <f t="shared" si="11"/>
        <v>6.4102564102564161E-3</v>
      </c>
    </row>
    <row r="770" spans="1:8" ht="13.5" x14ac:dyDescent="0.25">
      <c r="A770" s="1"/>
      <c r="B770" s="3">
        <v>43423</v>
      </c>
      <c r="C770" s="4">
        <v>1.6</v>
      </c>
      <c r="D770" s="4">
        <v>1.6</v>
      </c>
      <c r="E770" s="4">
        <v>4464</v>
      </c>
      <c r="F770" s="4"/>
      <c r="G770" s="4"/>
      <c r="H770" s="5">
        <f t="shared" si="11"/>
        <v>1.9108280254777087E-2</v>
      </c>
    </row>
    <row r="771" spans="1:8" ht="13.5" x14ac:dyDescent="0.25">
      <c r="A771" s="1"/>
      <c r="B771" s="3">
        <v>43425</v>
      </c>
      <c r="C771" s="4">
        <v>1.6</v>
      </c>
      <c r="D771" s="4">
        <v>1.6</v>
      </c>
      <c r="E771" s="4">
        <v>7518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1.64</v>
      </c>
      <c r="D772" s="4">
        <v>1.64</v>
      </c>
      <c r="E772" s="4">
        <v>25832</v>
      </c>
      <c r="F772" s="4"/>
      <c r="G772" s="4"/>
      <c r="H772" s="5">
        <f t="shared" si="11"/>
        <v>2.4999999999999883E-2</v>
      </c>
    </row>
    <row r="773" spans="1:8" ht="13.5" x14ac:dyDescent="0.25">
      <c r="A773" s="1"/>
      <c r="B773" s="3">
        <v>43427</v>
      </c>
      <c r="C773" s="4">
        <v>1.6</v>
      </c>
      <c r="D773" s="4">
        <v>1.6</v>
      </c>
      <c r="E773" s="4">
        <v>10000</v>
      </c>
      <c r="F773" s="4"/>
      <c r="G773" s="4"/>
      <c r="H773" s="5">
        <f t="shared" si="11"/>
        <v>-2.4390243902438911E-2</v>
      </c>
    </row>
    <row r="774" spans="1:8" ht="13.5" x14ac:dyDescent="0.25">
      <c r="A774" s="1"/>
      <c r="B774" s="3">
        <v>43430</v>
      </c>
      <c r="C774" s="4">
        <v>1.68</v>
      </c>
      <c r="D774" s="4">
        <v>1.68</v>
      </c>
      <c r="E774" s="4">
        <v>2889</v>
      </c>
      <c r="F774" s="4"/>
      <c r="G774" s="4"/>
      <c r="H774" s="5">
        <f t="shared" si="11"/>
        <v>4.9999999999999906E-2</v>
      </c>
    </row>
    <row r="775" spans="1:8" ht="13.5" x14ac:dyDescent="0.25">
      <c r="A775" s="1"/>
      <c r="B775" s="3">
        <v>43431</v>
      </c>
      <c r="C775" s="4">
        <v>1.75</v>
      </c>
      <c r="D775" s="4">
        <v>1.75</v>
      </c>
      <c r="E775" s="4">
        <v>0</v>
      </c>
      <c r="F775" s="4"/>
      <c r="G775" s="4"/>
      <c r="H775" s="5">
        <f t="shared" ref="H775:H838" si="12">(D775-D774)/D774</f>
        <v>4.1666666666666706E-2</v>
      </c>
    </row>
    <row r="776" spans="1:8" ht="13.5" x14ac:dyDescent="0.25">
      <c r="A776" s="1"/>
      <c r="B776" s="3">
        <v>43432</v>
      </c>
      <c r="C776" s="4">
        <v>1.78</v>
      </c>
      <c r="D776" s="4">
        <v>1.78</v>
      </c>
      <c r="E776" s="4">
        <v>20179</v>
      </c>
      <c r="F776" s="4"/>
      <c r="G776" s="4"/>
      <c r="H776" s="5">
        <f t="shared" si="12"/>
        <v>1.7142857142857158E-2</v>
      </c>
    </row>
    <row r="777" spans="1:8" ht="13.5" x14ac:dyDescent="0.25">
      <c r="A777" s="1"/>
      <c r="B777" s="3">
        <v>43433</v>
      </c>
      <c r="C777" s="4">
        <v>1.78</v>
      </c>
      <c r="D777" s="4">
        <v>1.78</v>
      </c>
      <c r="E777" s="4">
        <v>6958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1.86</v>
      </c>
      <c r="D778" s="4">
        <v>1.86</v>
      </c>
      <c r="E778" s="4">
        <v>0</v>
      </c>
      <c r="F778" s="4"/>
      <c r="G778" s="4"/>
      <c r="H778" s="5">
        <f t="shared" si="12"/>
        <v>4.4943820224719142E-2</v>
      </c>
    </row>
    <row r="779" spans="1:8" ht="13.5" x14ac:dyDescent="0.25">
      <c r="A779" s="1"/>
      <c r="B779" s="3">
        <v>43437</v>
      </c>
      <c r="C779" s="4">
        <v>1.84</v>
      </c>
      <c r="D779" s="4">
        <v>1.84</v>
      </c>
      <c r="E779" s="4">
        <v>7074</v>
      </c>
      <c r="F779" s="4"/>
      <c r="G779" s="4"/>
      <c r="H779" s="5">
        <f t="shared" si="12"/>
        <v>-1.075268817204302E-2</v>
      </c>
    </row>
    <row r="780" spans="1:8" ht="13.5" x14ac:dyDescent="0.25">
      <c r="A780" s="1"/>
      <c r="B780" s="3">
        <v>43438</v>
      </c>
      <c r="C780" s="4">
        <v>1.84</v>
      </c>
      <c r="D780" s="4">
        <v>1.84</v>
      </c>
      <c r="E780" s="4">
        <v>8431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1.84</v>
      </c>
      <c r="D781" s="4">
        <v>1.84</v>
      </c>
      <c r="E781" s="4">
        <v>6000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1.84</v>
      </c>
      <c r="D782" s="4">
        <v>1.84</v>
      </c>
      <c r="E782" s="4">
        <v>4397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1.84</v>
      </c>
      <c r="D783" s="4">
        <v>1.84</v>
      </c>
      <c r="E783" s="4">
        <v>9000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1.84</v>
      </c>
      <c r="D784" s="4">
        <v>1.84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1.79</v>
      </c>
      <c r="D785" s="4">
        <v>1.79</v>
      </c>
      <c r="E785" s="4">
        <v>213</v>
      </c>
      <c r="F785" s="4"/>
      <c r="G785" s="4"/>
      <c r="H785" s="5">
        <f t="shared" si="12"/>
        <v>-2.7173913043478284E-2</v>
      </c>
    </row>
    <row r="786" spans="1:8" ht="13.5" x14ac:dyDescent="0.25">
      <c r="A786" s="1"/>
      <c r="B786" s="3">
        <v>43446</v>
      </c>
      <c r="C786" s="4">
        <v>1.79</v>
      </c>
      <c r="D786" s="4">
        <v>1.79</v>
      </c>
      <c r="E786" s="4">
        <v>9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1.79</v>
      </c>
      <c r="D787" s="4">
        <v>1.79</v>
      </c>
      <c r="E787" s="4">
        <v>0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1.78</v>
      </c>
      <c r="D788" s="4">
        <v>1.78</v>
      </c>
      <c r="E788" s="4">
        <v>1133</v>
      </c>
      <c r="F788" s="4"/>
      <c r="G788" s="4"/>
      <c r="H788" s="5">
        <f t="shared" si="12"/>
        <v>-5.5865921787709542E-3</v>
      </c>
    </row>
    <row r="789" spans="1:8" ht="13.5" x14ac:dyDescent="0.25">
      <c r="A789" s="1"/>
      <c r="B789" s="3">
        <v>43451</v>
      </c>
      <c r="C789" s="4">
        <v>1.78</v>
      </c>
      <c r="D789" s="4">
        <v>1.78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1.78</v>
      </c>
      <c r="D790" s="4">
        <v>1.78</v>
      </c>
      <c r="E790" s="4">
        <v>932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1.79</v>
      </c>
      <c r="D791" s="4">
        <v>1.79</v>
      </c>
      <c r="E791" s="4">
        <v>17</v>
      </c>
      <c r="F791" s="4"/>
      <c r="G791" s="4"/>
      <c r="H791" s="5">
        <f t="shared" si="12"/>
        <v>5.6179775280898927E-3</v>
      </c>
    </row>
    <row r="792" spans="1:8" ht="13.5" x14ac:dyDescent="0.25">
      <c r="A792" s="1"/>
      <c r="B792" s="3">
        <v>43454</v>
      </c>
      <c r="C792" s="4">
        <v>1.74</v>
      </c>
      <c r="D792" s="4">
        <v>1.74</v>
      </c>
      <c r="E792" s="4">
        <v>2000</v>
      </c>
      <c r="F792" s="4"/>
      <c r="G792" s="4"/>
      <c r="H792" s="5">
        <f t="shared" si="12"/>
        <v>-2.7932960893854771E-2</v>
      </c>
    </row>
    <row r="793" spans="1:8" ht="13.5" x14ac:dyDescent="0.25">
      <c r="A793" s="1"/>
      <c r="B793" s="3">
        <v>43455</v>
      </c>
      <c r="C793" s="4">
        <v>1.73</v>
      </c>
      <c r="D793" s="4">
        <v>1.73</v>
      </c>
      <c r="E793" s="4">
        <v>1000</v>
      </c>
      <c r="F793" s="4"/>
      <c r="G793" s="4"/>
      <c r="H793" s="5">
        <f t="shared" si="12"/>
        <v>-5.7471264367816143E-3</v>
      </c>
    </row>
    <row r="794" spans="1:8" ht="13.5" x14ac:dyDescent="0.25">
      <c r="A794" s="1"/>
      <c r="B794" s="3">
        <v>43458</v>
      </c>
      <c r="C794" s="4">
        <v>1.68</v>
      </c>
      <c r="D794" s="4">
        <v>1.68</v>
      </c>
      <c r="E794" s="4">
        <v>1430</v>
      </c>
      <c r="F794" s="4"/>
      <c r="G794" s="4"/>
      <c r="H794" s="5">
        <f t="shared" si="12"/>
        <v>-2.890173410404627E-2</v>
      </c>
    </row>
    <row r="795" spans="1:8" ht="13.5" x14ac:dyDescent="0.25">
      <c r="A795" s="1"/>
      <c r="B795" s="3">
        <v>43459</v>
      </c>
      <c r="C795" s="4">
        <v>1.73</v>
      </c>
      <c r="D795" s="4">
        <v>1.73</v>
      </c>
      <c r="E795" s="4">
        <v>3675</v>
      </c>
      <c r="F795" s="4"/>
      <c r="G795" s="4"/>
      <c r="H795" s="5">
        <f t="shared" si="12"/>
        <v>2.9761904761904788E-2</v>
      </c>
    </row>
    <row r="796" spans="1:8" ht="13.5" x14ac:dyDescent="0.25">
      <c r="A796" s="1"/>
      <c r="B796" s="3">
        <v>43460</v>
      </c>
      <c r="C796" s="4">
        <v>1.78</v>
      </c>
      <c r="D796" s="4">
        <v>1.78</v>
      </c>
      <c r="E796" s="4">
        <v>0</v>
      </c>
      <c r="F796" s="4"/>
      <c r="G796" s="4"/>
      <c r="H796" s="5">
        <f t="shared" si="12"/>
        <v>2.890173410404627E-2</v>
      </c>
    </row>
    <row r="797" spans="1:8" ht="13.5" x14ac:dyDescent="0.25">
      <c r="A797" s="1"/>
      <c r="B797" s="3">
        <v>43461</v>
      </c>
      <c r="C797" s="4">
        <v>1.88</v>
      </c>
      <c r="D797" s="4">
        <v>1.88</v>
      </c>
      <c r="E797" s="4">
        <v>3733</v>
      </c>
      <c r="F797" s="4"/>
      <c r="G797" s="4"/>
      <c r="H797" s="5">
        <f t="shared" si="12"/>
        <v>5.6179775280898799E-2</v>
      </c>
    </row>
    <row r="798" spans="1:8" ht="13.5" x14ac:dyDescent="0.25">
      <c r="A798" s="1"/>
      <c r="B798" s="3">
        <v>43462</v>
      </c>
      <c r="C798" s="4">
        <v>1.96</v>
      </c>
      <c r="D798" s="4">
        <v>1.96</v>
      </c>
      <c r="E798" s="4">
        <v>260</v>
      </c>
      <c r="F798" s="4"/>
      <c r="G798" s="4"/>
      <c r="H798" s="5">
        <f t="shared" si="12"/>
        <v>4.2553191489361743E-2</v>
      </c>
    </row>
    <row r="799" spans="1:8" ht="13.5" x14ac:dyDescent="0.25">
      <c r="A799" s="1"/>
      <c r="B799" s="3">
        <v>43465</v>
      </c>
      <c r="C799" s="4">
        <v>2.0699999999999998</v>
      </c>
      <c r="D799" s="4">
        <v>2.0699999999999998</v>
      </c>
      <c r="E799" s="4">
        <v>4050</v>
      </c>
      <c r="F799" s="4"/>
      <c r="G799" s="4"/>
      <c r="H799" s="5">
        <f t="shared" si="12"/>
        <v>5.6122448979591774E-2</v>
      </c>
    </row>
    <row r="800" spans="1:8" ht="13.5" x14ac:dyDescent="0.25">
      <c r="A800" s="1"/>
      <c r="B800" s="3">
        <v>43467</v>
      </c>
      <c r="C800" s="4">
        <v>2.0699999999999998</v>
      </c>
      <c r="D800" s="4">
        <v>2.0699999999999998</v>
      </c>
      <c r="E800" s="4">
        <v>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1.98</v>
      </c>
      <c r="D801" s="4">
        <v>1.98</v>
      </c>
      <c r="E801" s="4">
        <v>0</v>
      </c>
      <c r="F801" s="4"/>
      <c r="G801" s="4"/>
      <c r="H801" s="5">
        <f t="shared" si="12"/>
        <v>-4.3478260869565154E-2</v>
      </c>
    </row>
    <row r="802" spans="1:8" ht="13.5" x14ac:dyDescent="0.25">
      <c r="A802" s="1"/>
      <c r="B802" s="3">
        <v>43469</v>
      </c>
      <c r="C802" s="4">
        <v>2.0299999999999998</v>
      </c>
      <c r="D802" s="4">
        <v>2.0299999999999998</v>
      </c>
      <c r="E802" s="4">
        <v>5000</v>
      </c>
      <c r="F802" s="4"/>
      <c r="G802" s="4"/>
      <c r="H802" s="5">
        <f t="shared" si="12"/>
        <v>2.5252525252525162E-2</v>
      </c>
    </row>
    <row r="803" spans="1:8" ht="13.5" x14ac:dyDescent="0.25">
      <c r="A803" s="1"/>
      <c r="B803" s="3">
        <v>43472</v>
      </c>
      <c r="C803" s="4">
        <v>2.02</v>
      </c>
      <c r="D803" s="4">
        <v>2.02</v>
      </c>
      <c r="E803" s="4">
        <v>1280</v>
      </c>
      <c r="F803" s="4"/>
      <c r="G803" s="4"/>
      <c r="H803" s="5">
        <f t="shared" si="12"/>
        <v>-4.9261083743841316E-3</v>
      </c>
    </row>
    <row r="804" spans="1:8" ht="13.5" x14ac:dyDescent="0.25">
      <c r="A804" s="1"/>
      <c r="B804" s="3">
        <v>43473</v>
      </c>
      <c r="C804" s="4">
        <v>2.0099999999999998</v>
      </c>
      <c r="D804" s="4">
        <v>2.0099999999999998</v>
      </c>
      <c r="E804" s="4">
        <v>2450</v>
      </c>
      <c r="F804" s="4"/>
      <c r="G804" s="4"/>
      <c r="H804" s="5">
        <f t="shared" si="12"/>
        <v>-4.950495049505065E-3</v>
      </c>
    </row>
    <row r="805" spans="1:8" ht="13.5" x14ac:dyDescent="0.25">
      <c r="A805" s="1"/>
      <c r="B805" s="3">
        <v>43474</v>
      </c>
      <c r="C805" s="4">
        <v>1.95</v>
      </c>
      <c r="D805" s="4">
        <v>1.95</v>
      </c>
      <c r="E805" s="4">
        <v>1070</v>
      </c>
      <c r="F805" s="4"/>
      <c r="G805" s="4"/>
      <c r="H805" s="5">
        <f t="shared" si="12"/>
        <v>-2.9850746268656636E-2</v>
      </c>
    </row>
    <row r="806" spans="1:8" ht="13.5" x14ac:dyDescent="0.25">
      <c r="A806" s="1"/>
      <c r="B806" s="3">
        <v>43475</v>
      </c>
      <c r="C806" s="4">
        <v>1.92</v>
      </c>
      <c r="D806" s="4">
        <v>1.92</v>
      </c>
      <c r="E806" s="4">
        <v>491</v>
      </c>
      <c r="F806" s="4"/>
      <c r="G806" s="4"/>
      <c r="H806" s="5">
        <f t="shared" si="12"/>
        <v>-1.5384615384615399E-2</v>
      </c>
    </row>
    <row r="807" spans="1:8" ht="13.5" x14ac:dyDescent="0.25">
      <c r="A807" s="1"/>
      <c r="B807" s="3">
        <v>43476</v>
      </c>
      <c r="C807" s="4">
        <v>1.84</v>
      </c>
      <c r="D807" s="4">
        <v>1.84</v>
      </c>
      <c r="E807" s="4">
        <v>0</v>
      </c>
      <c r="F807" s="4"/>
      <c r="G807" s="4"/>
      <c r="H807" s="5">
        <f t="shared" si="12"/>
        <v>-4.1666666666666588E-2</v>
      </c>
    </row>
    <row r="808" spans="1:8" ht="13.5" x14ac:dyDescent="0.25">
      <c r="A808" s="1"/>
      <c r="B808" s="3">
        <v>43480</v>
      </c>
      <c r="C808" s="4">
        <v>1.76</v>
      </c>
      <c r="D808" s="4">
        <v>1.76</v>
      </c>
      <c r="E808" s="4">
        <v>0</v>
      </c>
      <c r="F808" s="4"/>
      <c r="G808" s="4"/>
      <c r="H808" s="5">
        <f t="shared" si="12"/>
        <v>-4.3478260869565251E-2</v>
      </c>
    </row>
    <row r="809" spans="1:8" ht="13.5" x14ac:dyDescent="0.25">
      <c r="A809" s="1"/>
      <c r="B809" s="3">
        <v>43481</v>
      </c>
      <c r="C809" s="4">
        <v>1.69</v>
      </c>
      <c r="D809" s="4">
        <v>1.69</v>
      </c>
      <c r="E809" s="4">
        <v>0</v>
      </c>
      <c r="F809" s="4"/>
      <c r="G809" s="4"/>
      <c r="H809" s="5">
        <f t="shared" si="12"/>
        <v>-3.9772727272727307E-2</v>
      </c>
    </row>
    <row r="810" spans="1:8" ht="13.5" x14ac:dyDescent="0.25">
      <c r="A810" s="1"/>
      <c r="B810" s="3">
        <v>43482</v>
      </c>
      <c r="C810" s="4">
        <v>1.62</v>
      </c>
      <c r="D810" s="4">
        <v>1.62</v>
      </c>
      <c r="E810" s="4">
        <v>984</v>
      </c>
      <c r="F810" s="4"/>
      <c r="G810" s="4"/>
      <c r="H810" s="5">
        <f t="shared" si="12"/>
        <v>-4.1420118343195172E-2</v>
      </c>
    </row>
    <row r="811" spans="1:8" ht="13.5" x14ac:dyDescent="0.25">
      <c r="A811" s="1"/>
      <c r="B811" s="3">
        <v>43483</v>
      </c>
      <c r="C811" s="4">
        <v>1.61</v>
      </c>
      <c r="D811" s="4">
        <v>1.61</v>
      </c>
      <c r="E811" s="4">
        <v>3059</v>
      </c>
      <c r="F811" s="4"/>
      <c r="G811" s="4"/>
      <c r="H811" s="5">
        <f t="shared" si="12"/>
        <v>-6.1728395061728444E-3</v>
      </c>
    </row>
    <row r="812" spans="1:8" ht="13.5" x14ac:dyDescent="0.25">
      <c r="A812" s="1"/>
      <c r="B812" s="3">
        <v>43486</v>
      </c>
      <c r="C812" s="4">
        <v>1.6</v>
      </c>
      <c r="D812" s="4">
        <v>1.6</v>
      </c>
      <c r="E812" s="4">
        <v>1100</v>
      </c>
      <c r="F812" s="4"/>
      <c r="G812" s="4"/>
      <c r="H812" s="5">
        <f t="shared" si="12"/>
        <v>-6.2111801242236073E-3</v>
      </c>
    </row>
    <row r="813" spans="1:8" ht="13.5" x14ac:dyDescent="0.25">
      <c r="A813" s="1"/>
      <c r="B813" s="3">
        <v>43487</v>
      </c>
      <c r="C813" s="4">
        <v>1.6</v>
      </c>
      <c r="D813" s="4">
        <v>1.6</v>
      </c>
      <c r="E813" s="4">
        <v>678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1.64</v>
      </c>
      <c r="D814" s="4">
        <v>1.64</v>
      </c>
      <c r="E814" s="4">
        <v>4766</v>
      </c>
      <c r="F814" s="4"/>
      <c r="G814" s="4"/>
      <c r="H814" s="5">
        <f t="shared" si="12"/>
        <v>2.4999999999999883E-2</v>
      </c>
    </row>
    <row r="815" spans="1:8" ht="13.5" x14ac:dyDescent="0.25">
      <c r="A815" s="1"/>
      <c r="B815" s="3">
        <v>43489</v>
      </c>
      <c r="C815" s="4">
        <v>1.62</v>
      </c>
      <c r="D815" s="4">
        <v>1.62</v>
      </c>
      <c r="E815" s="4">
        <v>2000</v>
      </c>
      <c r="F815" s="4"/>
      <c r="G815" s="4"/>
      <c r="H815" s="5">
        <f t="shared" si="12"/>
        <v>-1.2195121951219388E-2</v>
      </c>
    </row>
    <row r="816" spans="1:8" ht="13.5" x14ac:dyDescent="0.25">
      <c r="A816" s="1"/>
      <c r="B816" s="3">
        <v>43490</v>
      </c>
      <c r="C816" s="4">
        <v>1.65</v>
      </c>
      <c r="D816" s="4">
        <v>1.65</v>
      </c>
      <c r="E816" s="4">
        <v>1495</v>
      </c>
      <c r="F816" s="4"/>
      <c r="G816" s="4"/>
      <c r="H816" s="5">
        <f t="shared" si="12"/>
        <v>1.8518518518518396E-2</v>
      </c>
    </row>
    <row r="817" spans="1:8" ht="13.5" x14ac:dyDescent="0.25">
      <c r="A817" s="1"/>
      <c r="B817" s="3">
        <v>43493</v>
      </c>
      <c r="C817" s="4">
        <v>1.65</v>
      </c>
      <c r="D817" s="4">
        <v>1.65</v>
      </c>
      <c r="E817" s="4">
        <v>2485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1.65</v>
      </c>
      <c r="D818" s="4">
        <v>1.65</v>
      </c>
      <c r="E818" s="4">
        <v>381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1.65</v>
      </c>
      <c r="D819" s="4">
        <v>1.65</v>
      </c>
      <c r="E819" s="4">
        <v>600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1.65</v>
      </c>
      <c r="D820" s="4">
        <v>1.65</v>
      </c>
      <c r="E820" s="4">
        <v>162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1.65</v>
      </c>
      <c r="D821" s="4">
        <v>1.65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1.65</v>
      </c>
      <c r="D822" s="4">
        <v>1.65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1.65</v>
      </c>
      <c r="D823" s="4">
        <v>1.65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1.65</v>
      </c>
      <c r="D824" s="4">
        <v>1.65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1.61</v>
      </c>
      <c r="D825" s="4">
        <v>1.61</v>
      </c>
      <c r="E825" s="4">
        <v>0</v>
      </c>
      <c r="F825" s="4"/>
      <c r="G825" s="4"/>
      <c r="H825" s="5">
        <f t="shared" si="12"/>
        <v>-2.4242424242424131E-2</v>
      </c>
    </row>
    <row r="826" spans="1:8" ht="13.5" x14ac:dyDescent="0.25">
      <c r="A826" s="1"/>
      <c r="B826" s="3">
        <v>43504</v>
      </c>
      <c r="C826" s="4">
        <v>1.57</v>
      </c>
      <c r="D826" s="4">
        <v>1.57</v>
      </c>
      <c r="E826" s="4">
        <v>1145</v>
      </c>
      <c r="F826" s="4"/>
      <c r="G826" s="4"/>
      <c r="H826" s="5">
        <f t="shared" si="12"/>
        <v>-2.4844720496894429E-2</v>
      </c>
    </row>
    <row r="827" spans="1:8" ht="13.5" x14ac:dyDescent="0.25">
      <c r="A827" s="1"/>
      <c r="B827" s="3">
        <v>43507</v>
      </c>
      <c r="C827" s="4">
        <v>1.58</v>
      </c>
      <c r="D827" s="4">
        <v>1.58</v>
      </c>
      <c r="E827" s="4">
        <v>625</v>
      </c>
      <c r="F827" s="4"/>
      <c r="G827" s="4"/>
      <c r="H827" s="5">
        <f t="shared" si="12"/>
        <v>6.3694267515923622E-3</v>
      </c>
    </row>
    <row r="828" spans="1:8" ht="13.5" x14ac:dyDescent="0.25">
      <c r="A828" s="1"/>
      <c r="B828" s="3">
        <v>43508</v>
      </c>
      <c r="C828" s="4">
        <v>1.58</v>
      </c>
      <c r="D828" s="4">
        <v>1.58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1.53</v>
      </c>
      <c r="D829" s="4">
        <v>1.53</v>
      </c>
      <c r="E829" s="4">
        <v>1300</v>
      </c>
      <c r="F829" s="4"/>
      <c r="G829" s="4"/>
      <c r="H829" s="5">
        <f t="shared" si="12"/>
        <v>-3.1645569620253194E-2</v>
      </c>
    </row>
    <row r="830" spans="1:8" ht="13.5" x14ac:dyDescent="0.25">
      <c r="A830" s="1"/>
      <c r="B830" s="3">
        <v>43510</v>
      </c>
      <c r="C830" s="4">
        <v>1.57</v>
      </c>
      <c r="D830" s="4">
        <v>1.57</v>
      </c>
      <c r="E830" s="4">
        <v>90</v>
      </c>
      <c r="F830" s="4"/>
      <c r="G830" s="4"/>
      <c r="H830" s="5">
        <f t="shared" si="12"/>
        <v>2.6143790849673224E-2</v>
      </c>
    </row>
    <row r="831" spans="1:8" ht="13.5" x14ac:dyDescent="0.25">
      <c r="A831" s="1"/>
      <c r="B831" s="3">
        <v>43511</v>
      </c>
      <c r="C831" s="4">
        <v>1.55</v>
      </c>
      <c r="D831" s="4">
        <v>1.55</v>
      </c>
      <c r="E831" s="4">
        <v>101</v>
      </c>
      <c r="F831" s="4"/>
      <c r="G831" s="4"/>
      <c r="H831" s="5">
        <f t="shared" si="12"/>
        <v>-1.2738853503184724E-2</v>
      </c>
    </row>
    <row r="832" spans="1:8" ht="13.5" x14ac:dyDescent="0.25">
      <c r="A832" s="1"/>
      <c r="B832" s="3">
        <v>43514</v>
      </c>
      <c r="C832" s="4">
        <v>1.55</v>
      </c>
      <c r="D832" s="4">
        <v>1.55</v>
      </c>
      <c r="E832" s="4">
        <v>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1.55</v>
      </c>
      <c r="D833" s="4">
        <v>1.55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1.53</v>
      </c>
      <c r="D834" s="4">
        <v>1.53</v>
      </c>
      <c r="E834" s="4">
        <v>2289</v>
      </c>
      <c r="F834" s="4"/>
      <c r="G834" s="4"/>
      <c r="H834" s="5">
        <f t="shared" si="12"/>
        <v>-1.2903225806451623E-2</v>
      </c>
    </row>
    <row r="835" spans="1:8" ht="13.5" x14ac:dyDescent="0.25">
      <c r="A835" s="1"/>
      <c r="B835" s="3">
        <v>43517</v>
      </c>
      <c r="C835" s="4">
        <v>1.5</v>
      </c>
      <c r="D835" s="4">
        <v>1.5</v>
      </c>
      <c r="E835" s="4">
        <v>1000</v>
      </c>
      <c r="F835" s="4"/>
      <c r="G835" s="4"/>
      <c r="H835" s="5">
        <f t="shared" si="12"/>
        <v>-1.9607843137254919E-2</v>
      </c>
    </row>
    <row r="836" spans="1:8" ht="13.5" x14ac:dyDescent="0.25">
      <c r="A836" s="1"/>
      <c r="B836" s="3">
        <v>43518</v>
      </c>
      <c r="C836" s="4">
        <v>1.51</v>
      </c>
      <c r="D836" s="4">
        <v>1.51</v>
      </c>
      <c r="E836" s="4">
        <v>3847</v>
      </c>
      <c r="F836" s="4"/>
      <c r="G836" s="4"/>
      <c r="H836" s="5">
        <f t="shared" si="12"/>
        <v>6.6666666666666723E-3</v>
      </c>
    </row>
    <row r="837" spans="1:8" ht="13.5" x14ac:dyDescent="0.25">
      <c r="A837" s="1"/>
      <c r="B837" s="3">
        <v>43521</v>
      </c>
      <c r="C837" s="4">
        <v>1.5</v>
      </c>
      <c r="D837" s="4">
        <v>1.5</v>
      </c>
      <c r="E837" s="4">
        <v>2755</v>
      </c>
      <c r="F837" s="4"/>
      <c r="G837" s="4"/>
      <c r="H837" s="5">
        <f t="shared" si="12"/>
        <v>-6.6225165562913968E-3</v>
      </c>
    </row>
    <row r="838" spans="1:8" ht="13.5" x14ac:dyDescent="0.25">
      <c r="A838" s="1"/>
      <c r="B838" s="3">
        <v>43522</v>
      </c>
      <c r="C838" s="4">
        <v>1.5</v>
      </c>
      <c r="D838" s="4">
        <v>1.5</v>
      </c>
      <c r="E838" s="4">
        <v>337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1.5</v>
      </c>
      <c r="D839" s="4">
        <v>1.5</v>
      </c>
      <c r="E839" s="4">
        <v>3957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1.55</v>
      </c>
      <c r="D840" s="4">
        <v>1.55</v>
      </c>
      <c r="E840" s="4">
        <v>14</v>
      </c>
      <c r="F840" s="4"/>
      <c r="G840" s="4"/>
      <c r="H840" s="5">
        <f t="shared" si="13"/>
        <v>3.3333333333333361E-2</v>
      </c>
    </row>
    <row r="841" spans="1:8" ht="13.5" x14ac:dyDescent="0.25">
      <c r="A841" s="1"/>
      <c r="B841" s="3">
        <v>43525</v>
      </c>
      <c r="C841" s="4">
        <v>1.49</v>
      </c>
      <c r="D841" s="4">
        <v>1.49</v>
      </c>
      <c r="E841" s="4">
        <v>0</v>
      </c>
      <c r="F841" s="4"/>
      <c r="G841" s="4"/>
      <c r="H841" s="5">
        <f t="shared" si="13"/>
        <v>-3.8709677419354875E-2</v>
      </c>
    </row>
    <row r="842" spans="1:8" ht="13.5" x14ac:dyDescent="0.25">
      <c r="A842" s="1"/>
      <c r="B842" s="3">
        <v>43528</v>
      </c>
      <c r="C842" s="4">
        <v>1.43</v>
      </c>
      <c r="D842" s="4">
        <v>1.43</v>
      </c>
      <c r="E842" s="4">
        <v>0</v>
      </c>
      <c r="F842" s="4"/>
      <c r="G842" s="4"/>
      <c r="H842" s="5">
        <f t="shared" si="13"/>
        <v>-4.0268456375838965E-2</v>
      </c>
    </row>
    <row r="843" spans="1:8" ht="13.5" x14ac:dyDescent="0.25">
      <c r="A843" s="1"/>
      <c r="B843" s="3">
        <v>43529</v>
      </c>
      <c r="C843" s="4">
        <v>1.47</v>
      </c>
      <c r="D843" s="4">
        <v>1.47</v>
      </c>
      <c r="E843" s="4">
        <v>2429</v>
      </c>
      <c r="F843" s="4">
        <v>1.43</v>
      </c>
      <c r="G843" s="4">
        <v>3473.47</v>
      </c>
      <c r="H843" s="5">
        <f t="shared" si="13"/>
        <v>2.7972027972028E-2</v>
      </c>
    </row>
    <row r="844" spans="1:8" ht="13.5" x14ac:dyDescent="0.25">
      <c r="A844" s="1"/>
      <c r="B844" s="3">
        <v>43530</v>
      </c>
      <c r="C844" s="4">
        <v>1.47</v>
      </c>
      <c r="D844" s="4">
        <v>1.47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1.47</v>
      </c>
      <c r="D845" s="4">
        <v>1.47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1.45</v>
      </c>
      <c r="D846" s="4">
        <v>1.45</v>
      </c>
      <c r="E846" s="4">
        <v>306</v>
      </c>
      <c r="F846" s="4">
        <v>1.45</v>
      </c>
      <c r="G846" s="4">
        <v>443.7</v>
      </c>
      <c r="H846" s="5">
        <f t="shared" si="13"/>
        <v>-1.360544217687076E-2</v>
      </c>
    </row>
    <row r="847" spans="1:8" ht="13.5" x14ac:dyDescent="0.25">
      <c r="A847" s="1"/>
      <c r="B847" s="3">
        <v>43535</v>
      </c>
      <c r="C847" s="4">
        <v>1.45</v>
      </c>
      <c r="D847" s="4">
        <v>1.45</v>
      </c>
      <c r="E847" s="4">
        <v>2120</v>
      </c>
      <c r="F847" s="4">
        <v>1.45</v>
      </c>
      <c r="G847" s="4">
        <v>3074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1.45</v>
      </c>
      <c r="D848" s="4">
        <v>1.45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1.45</v>
      </c>
      <c r="D849" s="4">
        <v>1.45</v>
      </c>
      <c r="E849" s="4">
        <v>1875</v>
      </c>
      <c r="F849" s="4">
        <v>1.45</v>
      </c>
      <c r="G849" s="4">
        <v>2718.75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1.45</v>
      </c>
      <c r="D850" s="4">
        <v>1.45</v>
      </c>
      <c r="E850" s="4">
        <v>1229</v>
      </c>
      <c r="F850" s="4">
        <v>1.4536</v>
      </c>
      <c r="G850" s="4">
        <v>1786.4744000000001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1.45</v>
      </c>
      <c r="D851" s="4">
        <v>1.45</v>
      </c>
      <c r="E851" s="4">
        <v>11</v>
      </c>
      <c r="F851" s="4">
        <v>1.45</v>
      </c>
      <c r="G851" s="4">
        <v>15.95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1.45</v>
      </c>
      <c r="D852" s="4">
        <v>1.45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1.45</v>
      </c>
      <c r="D853" s="4">
        <v>1.45</v>
      </c>
      <c r="E853" s="4">
        <v>1585</v>
      </c>
      <c r="F853" s="4">
        <v>1.45</v>
      </c>
      <c r="G853" s="4">
        <v>2298.25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1.41</v>
      </c>
      <c r="D854" s="4">
        <v>1.41</v>
      </c>
      <c r="E854" s="4">
        <v>1215</v>
      </c>
      <c r="F854" s="4">
        <v>1.4149</v>
      </c>
      <c r="G854" s="4">
        <v>1719.1034999999999</v>
      </c>
      <c r="H854" s="5">
        <f t="shared" si="13"/>
        <v>-2.7586206896551748E-2</v>
      </c>
    </row>
    <row r="855" spans="1:8" ht="13.5" x14ac:dyDescent="0.25">
      <c r="A855" s="1"/>
      <c r="B855" s="3">
        <v>43546</v>
      </c>
      <c r="C855" s="4">
        <v>1.37</v>
      </c>
      <c r="D855" s="4">
        <v>1.37</v>
      </c>
      <c r="E855" s="4">
        <v>1205</v>
      </c>
      <c r="F855" s="4">
        <v>1.37</v>
      </c>
      <c r="G855" s="4">
        <v>1650.85</v>
      </c>
      <c r="H855" s="5">
        <f t="shared" si="13"/>
        <v>-2.8368794326241006E-2</v>
      </c>
    </row>
    <row r="856" spans="1:8" ht="13.5" x14ac:dyDescent="0.25">
      <c r="A856" s="1"/>
      <c r="B856" s="3">
        <v>43549</v>
      </c>
      <c r="C856" s="4">
        <v>1.3</v>
      </c>
      <c r="D856" s="4">
        <v>1.3</v>
      </c>
      <c r="E856" s="4">
        <v>657</v>
      </c>
      <c r="F856" s="4">
        <v>1.3203</v>
      </c>
      <c r="G856" s="4">
        <v>867.43709999999999</v>
      </c>
      <c r="H856" s="5">
        <f t="shared" si="13"/>
        <v>-5.1094890510948947E-2</v>
      </c>
    </row>
    <row r="857" spans="1:8" ht="13.5" x14ac:dyDescent="0.25">
      <c r="A857" s="1"/>
      <c r="B857" s="3">
        <v>43550</v>
      </c>
      <c r="C857" s="4">
        <v>1.3</v>
      </c>
      <c r="D857" s="4">
        <v>1.3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1.3</v>
      </c>
      <c r="D858" s="4">
        <v>1.3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1.27</v>
      </c>
      <c r="D859" s="4">
        <v>1.27</v>
      </c>
      <c r="E859" s="4">
        <v>3048</v>
      </c>
      <c r="F859" s="4">
        <v>1.27</v>
      </c>
      <c r="G859" s="4">
        <v>3870.96</v>
      </c>
      <c r="H859" s="5">
        <f t="shared" si="13"/>
        <v>-2.3076923076923096E-2</v>
      </c>
    </row>
    <row r="860" spans="1:8" ht="13.5" x14ac:dyDescent="0.25">
      <c r="A860" s="1"/>
      <c r="B860" s="3">
        <v>43553</v>
      </c>
      <c r="C860" s="4">
        <v>1.27</v>
      </c>
      <c r="D860" s="4">
        <v>1.27</v>
      </c>
      <c r="E860" s="4">
        <v>3500</v>
      </c>
      <c r="F860" s="4">
        <v>1.27</v>
      </c>
      <c r="G860" s="4">
        <v>4445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1.25</v>
      </c>
      <c r="D861" s="4">
        <v>1.25</v>
      </c>
      <c r="E861" s="4">
        <v>3500</v>
      </c>
      <c r="F861" s="4">
        <v>1.2503</v>
      </c>
      <c r="G861" s="4">
        <v>4376.05</v>
      </c>
      <c r="H861" s="5">
        <f t="shared" si="13"/>
        <v>-1.5748031496063006E-2</v>
      </c>
    </row>
    <row r="862" spans="1:8" ht="13.5" x14ac:dyDescent="0.25">
      <c r="A862" s="1"/>
      <c r="B862" s="3">
        <v>43557</v>
      </c>
      <c r="C862" s="4">
        <v>1.24</v>
      </c>
      <c r="D862" s="4">
        <v>1.24</v>
      </c>
      <c r="E862" s="4">
        <v>1976</v>
      </c>
      <c r="F862" s="4">
        <v>1.24</v>
      </c>
      <c r="G862" s="4">
        <v>2450.2399999999998</v>
      </c>
      <c r="H862" s="5">
        <f t="shared" si="13"/>
        <v>-8.0000000000000071E-3</v>
      </c>
    </row>
    <row r="863" spans="1:8" ht="13.5" x14ac:dyDescent="0.25">
      <c r="A863" s="1"/>
      <c r="B863" s="3">
        <v>43558</v>
      </c>
      <c r="C863" s="4">
        <v>1.25</v>
      </c>
      <c r="D863" s="4">
        <v>1.25</v>
      </c>
      <c r="E863" s="4">
        <v>812</v>
      </c>
      <c r="F863" s="4">
        <v>1.25</v>
      </c>
      <c r="G863" s="4">
        <v>1015</v>
      </c>
      <c r="H863" s="5">
        <f t="shared" si="13"/>
        <v>8.0645161290322648E-3</v>
      </c>
    </row>
    <row r="864" spans="1:8" ht="13.5" x14ac:dyDescent="0.25">
      <c r="A864" s="1"/>
      <c r="B864" s="3">
        <v>43559</v>
      </c>
      <c r="C864" s="4">
        <v>1.24</v>
      </c>
      <c r="D864" s="4">
        <v>1.24</v>
      </c>
      <c r="E864" s="4">
        <v>5350</v>
      </c>
      <c r="F864" s="4">
        <v>1.2419</v>
      </c>
      <c r="G864" s="4">
        <v>6644.165</v>
      </c>
      <c r="H864" s="5">
        <f t="shared" si="13"/>
        <v>-8.0000000000000071E-3</v>
      </c>
    </row>
    <row r="865" spans="1:8" ht="13.5" x14ac:dyDescent="0.25">
      <c r="A865" s="1"/>
      <c r="B865" s="3">
        <v>43560</v>
      </c>
      <c r="C865" s="4">
        <v>1.24</v>
      </c>
      <c r="D865" s="4">
        <v>1.24</v>
      </c>
      <c r="E865" s="4">
        <v>939</v>
      </c>
      <c r="F865" s="4">
        <v>1.24</v>
      </c>
      <c r="G865" s="4">
        <v>1164.3599999999999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1.24</v>
      </c>
      <c r="D866" s="4">
        <v>1.24</v>
      </c>
      <c r="E866" s="4">
        <v>15</v>
      </c>
      <c r="F866" s="4">
        <v>1.24</v>
      </c>
      <c r="G866" s="4">
        <v>18.600000000000001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1.24</v>
      </c>
      <c r="D867" s="4">
        <v>1.24</v>
      </c>
      <c r="E867" s="4">
        <v>1321</v>
      </c>
      <c r="F867" s="4">
        <v>1.24</v>
      </c>
      <c r="G867" s="4">
        <v>1638.04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1.24</v>
      </c>
      <c r="D868" s="4">
        <v>1.24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1.24</v>
      </c>
      <c r="D869" s="4">
        <v>1.24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1.24</v>
      </c>
      <c r="D870" s="4">
        <v>1.24</v>
      </c>
      <c r="E870" s="4">
        <v>1676</v>
      </c>
      <c r="F870" s="4">
        <v>1.2408999999999999</v>
      </c>
      <c r="G870" s="4">
        <v>2079.7483999999999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1.24</v>
      </c>
      <c r="D871" s="4">
        <v>1.24</v>
      </c>
      <c r="E871" s="4">
        <v>2880</v>
      </c>
      <c r="F871" s="4">
        <v>1.24</v>
      </c>
      <c r="G871" s="4">
        <v>3571.2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1.24</v>
      </c>
      <c r="D872" s="4">
        <v>1.24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1.24</v>
      </c>
      <c r="D873" s="4">
        <v>1.24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1.21</v>
      </c>
      <c r="D874" s="4">
        <v>1.21</v>
      </c>
      <c r="E874" s="4">
        <v>250</v>
      </c>
      <c r="F874" s="4">
        <v>1.21</v>
      </c>
      <c r="G874" s="4">
        <v>302.5</v>
      </c>
      <c r="H874" s="5">
        <f t="shared" si="13"/>
        <v>-2.4193548387096794E-2</v>
      </c>
    </row>
    <row r="875" spans="1:8" ht="13.5" x14ac:dyDescent="0.25">
      <c r="A875" s="1"/>
      <c r="B875" s="3">
        <v>43577</v>
      </c>
      <c r="C875" s="4">
        <v>1.21</v>
      </c>
      <c r="D875" s="4">
        <v>1.21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1.18</v>
      </c>
      <c r="D876" s="4">
        <v>1.18</v>
      </c>
      <c r="E876" s="4">
        <v>1122</v>
      </c>
      <c r="F876" s="4">
        <v>1.18</v>
      </c>
      <c r="G876" s="4">
        <v>1323.96</v>
      </c>
      <c r="H876" s="5">
        <f t="shared" si="13"/>
        <v>-2.4793388429752088E-2</v>
      </c>
    </row>
    <row r="877" spans="1:8" ht="13.5" x14ac:dyDescent="0.25">
      <c r="A877" s="1"/>
      <c r="B877" s="3">
        <v>43579</v>
      </c>
      <c r="C877" s="4">
        <v>1.19</v>
      </c>
      <c r="D877" s="4">
        <v>1.19</v>
      </c>
      <c r="E877" s="4">
        <v>460</v>
      </c>
      <c r="F877" s="4">
        <v>1.19</v>
      </c>
      <c r="G877" s="4">
        <v>547.4</v>
      </c>
      <c r="H877" s="5">
        <f t="shared" si="13"/>
        <v>8.4745762711864493E-3</v>
      </c>
    </row>
    <row r="878" spans="1:8" ht="13.5" x14ac:dyDescent="0.25">
      <c r="A878" s="1"/>
      <c r="B878" s="3">
        <v>43580</v>
      </c>
      <c r="C878" s="4">
        <v>1.19</v>
      </c>
      <c r="D878" s="4">
        <v>1.19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1.18</v>
      </c>
      <c r="D879" s="4">
        <v>1.18</v>
      </c>
      <c r="E879" s="4">
        <v>2605</v>
      </c>
      <c r="F879" s="4">
        <v>1.181</v>
      </c>
      <c r="G879" s="4">
        <v>3076.5050000000001</v>
      </c>
      <c r="H879" s="5">
        <f t="shared" si="13"/>
        <v>-8.4033613445378234E-3</v>
      </c>
    </row>
    <row r="880" spans="1:8" ht="13.5" x14ac:dyDescent="0.25">
      <c r="A880" s="1"/>
      <c r="B880" s="3">
        <v>43584</v>
      </c>
      <c r="C880" s="4">
        <v>1.18</v>
      </c>
      <c r="D880" s="4">
        <v>1.18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1.18</v>
      </c>
      <c r="D881" s="4">
        <v>1.18</v>
      </c>
      <c r="E881" s="4">
        <v>1262</v>
      </c>
      <c r="F881" s="4">
        <v>1.18</v>
      </c>
      <c r="G881" s="4">
        <v>1489.16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1.18</v>
      </c>
      <c r="D882" s="4">
        <v>1.18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1.18</v>
      </c>
      <c r="D883" s="4">
        <v>1.18</v>
      </c>
      <c r="E883" s="4">
        <v>40</v>
      </c>
      <c r="F883" s="4">
        <v>1.18</v>
      </c>
      <c r="G883" s="4">
        <v>47.2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1.17</v>
      </c>
      <c r="D884" s="4">
        <v>1.17</v>
      </c>
      <c r="E884" s="4">
        <v>1000</v>
      </c>
      <c r="F884" s="4">
        <v>1.17</v>
      </c>
      <c r="G884" s="4">
        <v>1170</v>
      </c>
      <c r="H884" s="5">
        <f t="shared" si="13"/>
        <v>-8.4745762711864493E-3</v>
      </c>
    </row>
    <row r="885" spans="1:8" ht="13.5" x14ac:dyDescent="0.25">
      <c r="A885" s="1"/>
      <c r="B885" s="3">
        <v>43592</v>
      </c>
      <c r="C885" s="4">
        <v>1.1499999999999999</v>
      </c>
      <c r="D885" s="4">
        <v>1.1499999999999999</v>
      </c>
      <c r="E885" s="4">
        <v>12476</v>
      </c>
      <c r="F885" s="4">
        <v>1.1505000000000001</v>
      </c>
      <c r="G885" s="4">
        <v>14353.638000000001</v>
      </c>
      <c r="H885" s="5">
        <f t="shared" si="13"/>
        <v>-1.709401709401711E-2</v>
      </c>
    </row>
    <row r="886" spans="1:8" ht="13.5" x14ac:dyDescent="0.25">
      <c r="A886" s="1"/>
      <c r="B886" s="3">
        <v>43593</v>
      </c>
      <c r="C886" s="4">
        <v>1.1499999999999999</v>
      </c>
      <c r="D886" s="4">
        <v>1.1499999999999999</v>
      </c>
      <c r="E886" s="4">
        <v>250</v>
      </c>
      <c r="F886" s="4">
        <v>1.1499999999999999</v>
      </c>
      <c r="G886" s="4">
        <v>287.5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1.1200000000000001</v>
      </c>
      <c r="D887" s="4">
        <v>1.1200000000000001</v>
      </c>
      <c r="E887" s="4">
        <v>2008</v>
      </c>
      <c r="F887" s="4">
        <v>1.1200000000000001</v>
      </c>
      <c r="G887" s="4">
        <v>2248.96</v>
      </c>
      <c r="H887" s="5">
        <f t="shared" si="13"/>
        <v>-2.6086956521738962E-2</v>
      </c>
    </row>
    <row r="888" spans="1:8" ht="13.5" x14ac:dyDescent="0.25">
      <c r="A888" s="1"/>
      <c r="B888" s="3">
        <v>43595</v>
      </c>
      <c r="C888" s="4">
        <v>1.1000000000000001</v>
      </c>
      <c r="D888" s="4">
        <v>1.1000000000000001</v>
      </c>
      <c r="E888" s="4">
        <v>5842</v>
      </c>
      <c r="F888" s="4">
        <v>1.1021000000000001</v>
      </c>
      <c r="G888" s="4">
        <v>6438.4682000000003</v>
      </c>
      <c r="H888" s="5">
        <f t="shared" si="13"/>
        <v>-1.785714285714287E-2</v>
      </c>
    </row>
    <row r="889" spans="1:8" ht="13.5" x14ac:dyDescent="0.25">
      <c r="A889" s="1"/>
      <c r="B889" s="3">
        <v>43598</v>
      </c>
      <c r="C889" s="4">
        <v>1.1000000000000001</v>
      </c>
      <c r="D889" s="4">
        <v>1.1000000000000001</v>
      </c>
      <c r="E889" s="4">
        <v>1040</v>
      </c>
      <c r="F889" s="4">
        <v>1.1000000000000001</v>
      </c>
      <c r="G889" s="4">
        <v>1144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1.1000000000000001</v>
      </c>
      <c r="D890" s="4">
        <v>1.1000000000000001</v>
      </c>
      <c r="E890" s="4">
        <v>170</v>
      </c>
      <c r="F890" s="4">
        <v>1.1000000000000001</v>
      </c>
      <c r="G890" s="4">
        <v>187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1.0900000000000001</v>
      </c>
      <c r="D891" s="4">
        <v>1.0900000000000001</v>
      </c>
      <c r="E891" s="4">
        <v>6083</v>
      </c>
      <c r="F891" s="4">
        <v>1.0900000000000001</v>
      </c>
      <c r="G891" s="4">
        <v>6630.47</v>
      </c>
      <c r="H891" s="5">
        <f t="shared" si="13"/>
        <v>-9.0909090909090974E-3</v>
      </c>
    </row>
    <row r="892" spans="1:8" ht="13.5" x14ac:dyDescent="0.25">
      <c r="A892" s="1"/>
      <c r="B892" s="3">
        <v>43601</v>
      </c>
      <c r="C892" s="4">
        <v>1.0900000000000001</v>
      </c>
      <c r="D892" s="4">
        <v>1.0900000000000001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1.0900000000000001</v>
      </c>
      <c r="D893" s="4">
        <v>1.0900000000000001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1.0900000000000001</v>
      </c>
      <c r="D894" s="4">
        <v>1.0900000000000001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1.0900000000000001</v>
      </c>
      <c r="D895" s="4">
        <v>1.0900000000000001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1.0900000000000001</v>
      </c>
      <c r="D896" s="4">
        <v>1.0900000000000001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1.08</v>
      </c>
      <c r="D897" s="4">
        <v>1.08</v>
      </c>
      <c r="E897" s="4">
        <v>349</v>
      </c>
      <c r="F897" s="4">
        <v>1.08</v>
      </c>
      <c r="G897" s="4">
        <v>376.92</v>
      </c>
      <c r="H897" s="5">
        <f t="shared" si="13"/>
        <v>-9.174311926605512E-3</v>
      </c>
    </row>
    <row r="898" spans="1:8" ht="13.5" x14ac:dyDescent="0.25">
      <c r="A898" s="1"/>
      <c r="B898" s="3">
        <v>43609</v>
      </c>
      <c r="C898" s="4">
        <v>1.1000000000000001</v>
      </c>
      <c r="D898" s="4">
        <v>1.1000000000000001</v>
      </c>
      <c r="E898" s="4">
        <v>112</v>
      </c>
      <c r="F898" s="4">
        <v>1.1000000000000001</v>
      </c>
      <c r="G898" s="4">
        <v>123.2</v>
      </c>
      <c r="H898" s="5">
        <f t="shared" si="13"/>
        <v>1.8518518518518535E-2</v>
      </c>
    </row>
    <row r="899" spans="1:8" ht="13.5" x14ac:dyDescent="0.25">
      <c r="A899" s="1"/>
      <c r="B899" s="3">
        <v>43612</v>
      </c>
      <c r="C899" s="4">
        <v>1.1299999999999999</v>
      </c>
      <c r="D899" s="4">
        <v>1.1299999999999999</v>
      </c>
      <c r="E899" s="4">
        <v>0</v>
      </c>
      <c r="F899" s="4">
        <v>0</v>
      </c>
      <c r="G899" s="4">
        <v>0</v>
      </c>
      <c r="H899" s="5">
        <f t="shared" si="13"/>
        <v>2.7272727272727094E-2</v>
      </c>
    </row>
    <row r="900" spans="1:8" ht="13.5" x14ac:dyDescent="0.25">
      <c r="A900" s="1"/>
      <c r="B900" s="3">
        <v>43613</v>
      </c>
      <c r="C900" s="4">
        <v>1.1299999999999999</v>
      </c>
      <c r="D900" s="4">
        <v>1.1299999999999999</v>
      </c>
      <c r="E900" s="4">
        <v>1</v>
      </c>
      <c r="F900" s="4">
        <v>1.1299999999999999</v>
      </c>
      <c r="G900" s="4">
        <v>1.1299999999999999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1.1599999999999999</v>
      </c>
      <c r="D901" s="4">
        <v>1.1599999999999999</v>
      </c>
      <c r="E901" s="4">
        <v>1018</v>
      </c>
      <c r="F901" s="4">
        <v>1.1599999999999999</v>
      </c>
      <c r="G901" s="4">
        <v>1180.8800000000001</v>
      </c>
      <c r="H901" s="5">
        <f t="shared" si="13"/>
        <v>2.6548672566371709E-2</v>
      </c>
    </row>
    <row r="902" spans="1:8" ht="13.5" x14ac:dyDescent="0.25">
      <c r="A902" s="1"/>
      <c r="B902" s="3">
        <v>43615</v>
      </c>
      <c r="C902" s="4">
        <v>1.1599999999999999</v>
      </c>
      <c r="D902" s="4">
        <v>1.1599999999999999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1.19</v>
      </c>
      <c r="D903" s="4">
        <v>1.19</v>
      </c>
      <c r="E903" s="4">
        <v>9</v>
      </c>
      <c r="F903" s="4">
        <v>1.19</v>
      </c>
      <c r="G903" s="4">
        <v>10.71</v>
      </c>
      <c r="H903" s="5">
        <f t="shared" ref="H903:H966" si="14">(D903-D902)/D902</f>
        <v>2.5862068965517265E-2</v>
      </c>
    </row>
    <row r="904" spans="1:8" ht="13.5" x14ac:dyDescent="0.25">
      <c r="A904" s="1"/>
      <c r="B904" s="3">
        <v>43619</v>
      </c>
      <c r="C904" s="4">
        <v>1.19</v>
      </c>
      <c r="D904" s="4">
        <v>1.19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1.19</v>
      </c>
      <c r="D905" s="4">
        <v>1.19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1.19</v>
      </c>
      <c r="D906" s="4">
        <v>1.19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1.1599999999999999</v>
      </c>
      <c r="D907" s="4">
        <v>1.1599999999999999</v>
      </c>
      <c r="E907" s="4">
        <v>1500</v>
      </c>
      <c r="F907" s="4">
        <v>1.1599999999999999</v>
      </c>
      <c r="G907" s="4">
        <v>1740</v>
      </c>
      <c r="H907" s="5">
        <f t="shared" si="14"/>
        <v>-2.521008403361347E-2</v>
      </c>
    </row>
    <row r="908" spans="1:8" ht="13.5" x14ac:dyDescent="0.25">
      <c r="A908" s="1"/>
      <c r="B908" s="3">
        <v>43628</v>
      </c>
      <c r="C908" s="4">
        <v>1.1100000000000001</v>
      </c>
      <c r="D908" s="4">
        <v>1.1100000000000001</v>
      </c>
      <c r="E908" s="4">
        <v>0</v>
      </c>
      <c r="F908" s="4">
        <v>0</v>
      </c>
      <c r="G908" s="4">
        <v>0</v>
      </c>
      <c r="H908" s="5">
        <f t="shared" si="14"/>
        <v>-4.3103448275861919E-2</v>
      </c>
    </row>
    <row r="909" spans="1:8" ht="13.5" x14ac:dyDescent="0.25">
      <c r="A909" s="1"/>
      <c r="B909" s="3">
        <v>43629</v>
      </c>
      <c r="C909" s="4">
        <v>1.1399999999999999</v>
      </c>
      <c r="D909" s="4">
        <v>1.1399999999999999</v>
      </c>
      <c r="E909" s="4">
        <v>1173</v>
      </c>
      <c r="F909" s="4">
        <v>1.1059000000000001</v>
      </c>
      <c r="G909" s="4">
        <v>1297.2207000000001</v>
      </c>
      <c r="H909" s="5">
        <f t="shared" si="14"/>
        <v>2.7027027027026848E-2</v>
      </c>
    </row>
    <row r="910" spans="1:8" ht="13.5" x14ac:dyDescent="0.25">
      <c r="A910" s="1"/>
      <c r="B910" s="3">
        <v>43630</v>
      </c>
      <c r="C910" s="4">
        <v>1.1399999999999999</v>
      </c>
      <c r="D910" s="4">
        <v>1.1399999999999999</v>
      </c>
      <c r="E910" s="4">
        <v>918</v>
      </c>
      <c r="F910" s="4">
        <v>1.1399999999999999</v>
      </c>
      <c r="G910" s="4">
        <v>1046.52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1.1399999999999999</v>
      </c>
      <c r="D911" s="4">
        <v>1.1399999999999999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1.1399999999999999</v>
      </c>
      <c r="D912" s="4">
        <v>1.1399999999999999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1.1100000000000001</v>
      </c>
      <c r="D913" s="4">
        <v>1.1100000000000001</v>
      </c>
      <c r="E913" s="4">
        <v>23</v>
      </c>
      <c r="F913" s="4">
        <v>1.1100000000000001</v>
      </c>
      <c r="G913" s="4">
        <v>25.53</v>
      </c>
      <c r="H913" s="5">
        <f t="shared" si="14"/>
        <v>-2.6315789473684043E-2</v>
      </c>
    </row>
    <row r="914" spans="1:8" ht="13.5" x14ac:dyDescent="0.25">
      <c r="A914" s="1"/>
      <c r="B914" s="3">
        <v>43636</v>
      </c>
      <c r="C914" s="4">
        <v>1.1399999999999999</v>
      </c>
      <c r="D914" s="4">
        <v>1.1399999999999999</v>
      </c>
      <c r="E914" s="4">
        <v>133</v>
      </c>
      <c r="F914" s="4">
        <v>1.1237999999999999</v>
      </c>
      <c r="G914" s="4">
        <v>149.46539999999999</v>
      </c>
      <c r="H914" s="5">
        <f t="shared" si="14"/>
        <v>2.7027027027026848E-2</v>
      </c>
    </row>
    <row r="915" spans="1:8" ht="13.5" x14ac:dyDescent="0.25">
      <c r="A915" s="1"/>
      <c r="B915" s="3">
        <v>43637</v>
      </c>
      <c r="C915" s="4">
        <v>1.1399999999999999</v>
      </c>
      <c r="D915" s="4">
        <v>1.1399999999999999</v>
      </c>
      <c r="E915" s="4">
        <v>15</v>
      </c>
      <c r="F915" s="4">
        <v>1.1399999999999999</v>
      </c>
      <c r="G915" s="4">
        <v>17.100000000000001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1.1399999999999999</v>
      </c>
      <c r="D916" s="4">
        <v>1.1399999999999999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1.1399999999999999</v>
      </c>
      <c r="D917" s="4">
        <v>1.1399999999999999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1.1100000000000001</v>
      </c>
      <c r="D918" s="4">
        <v>1.1100000000000001</v>
      </c>
      <c r="E918" s="4">
        <v>329</v>
      </c>
      <c r="F918" s="4">
        <v>1.1100000000000001</v>
      </c>
      <c r="G918" s="4">
        <v>365.19</v>
      </c>
      <c r="H918" s="5">
        <f t="shared" si="14"/>
        <v>-2.6315789473684043E-2</v>
      </c>
    </row>
    <row r="919" spans="1:8" ht="13.5" x14ac:dyDescent="0.25">
      <c r="A919" s="1"/>
      <c r="B919" s="3">
        <v>43643</v>
      </c>
      <c r="C919" s="4">
        <v>1.1100000000000001</v>
      </c>
      <c r="D919" s="4">
        <v>1.1100000000000001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1.1100000000000001</v>
      </c>
      <c r="D920" s="4">
        <v>1.1100000000000001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1.1100000000000001</v>
      </c>
      <c r="D921" s="4">
        <v>1.1100000000000001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1.1100000000000001</v>
      </c>
      <c r="D922" s="4">
        <v>1.1100000000000001</v>
      </c>
      <c r="E922" s="4">
        <v>30</v>
      </c>
      <c r="F922" s="4">
        <v>1.1100000000000001</v>
      </c>
      <c r="G922" s="4">
        <v>33.299999999999997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1.08</v>
      </c>
      <c r="D923" s="4">
        <v>1.08</v>
      </c>
      <c r="E923" s="4">
        <v>1121</v>
      </c>
      <c r="F923" s="4">
        <v>1.08</v>
      </c>
      <c r="G923" s="4">
        <v>1210.68</v>
      </c>
      <c r="H923" s="5">
        <f t="shared" si="14"/>
        <v>-2.7027027027027049E-2</v>
      </c>
    </row>
    <row r="924" spans="1:8" ht="13.5" x14ac:dyDescent="0.25">
      <c r="A924" s="1"/>
      <c r="B924" s="3">
        <v>43650</v>
      </c>
      <c r="C924" s="4">
        <v>1.08</v>
      </c>
      <c r="D924" s="4">
        <v>1.08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1.08</v>
      </c>
      <c r="D925" s="4">
        <v>1.08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1.08</v>
      </c>
      <c r="D926" s="4">
        <v>1.08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1.08</v>
      </c>
      <c r="D927" s="4">
        <v>1.08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1.08</v>
      </c>
      <c r="D928" s="4">
        <v>1.08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1.1000000000000001</v>
      </c>
      <c r="D929" s="4">
        <v>1.1000000000000001</v>
      </c>
      <c r="E929" s="4">
        <v>383</v>
      </c>
      <c r="F929" s="4">
        <v>1.1000000000000001</v>
      </c>
      <c r="G929" s="4">
        <v>421.3</v>
      </c>
      <c r="H929" s="5">
        <f t="shared" si="14"/>
        <v>1.8518518518518535E-2</v>
      </c>
    </row>
    <row r="930" spans="1:8" ht="13.5" x14ac:dyDescent="0.25">
      <c r="A930" s="1"/>
      <c r="B930" s="3">
        <v>43658</v>
      </c>
      <c r="C930" s="4">
        <v>1.1000000000000001</v>
      </c>
      <c r="D930" s="4">
        <v>1.1000000000000001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1.1000000000000001</v>
      </c>
      <c r="D931" s="4">
        <v>1.1000000000000001</v>
      </c>
      <c r="E931" s="4">
        <v>500</v>
      </c>
      <c r="F931" s="4">
        <v>1.1000000000000001</v>
      </c>
      <c r="G931" s="4">
        <v>550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1.1000000000000001</v>
      </c>
      <c r="D932" s="4">
        <v>1.1000000000000001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1.1000000000000001</v>
      </c>
      <c r="D933" s="4">
        <v>1.1000000000000001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1.1000000000000001</v>
      </c>
      <c r="D934" s="4">
        <v>1.1000000000000001</v>
      </c>
      <c r="E934" s="4">
        <v>375</v>
      </c>
      <c r="F934" s="4">
        <v>1.1000000000000001</v>
      </c>
      <c r="G934" s="4">
        <v>412.5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1.1000000000000001</v>
      </c>
      <c r="D935" s="4">
        <v>1.1000000000000001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1.1000000000000001</v>
      </c>
      <c r="D936" s="4">
        <v>1.1000000000000001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1.1000000000000001</v>
      </c>
      <c r="D937" s="4">
        <v>1.1000000000000001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1.1000000000000001</v>
      </c>
      <c r="D938" s="4">
        <v>1.1000000000000001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1.1000000000000001</v>
      </c>
      <c r="D939" s="4">
        <v>1.1000000000000001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1.1000000000000001</v>
      </c>
      <c r="D940" s="4">
        <v>1.1000000000000001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1.06</v>
      </c>
      <c r="D941" s="4">
        <v>1.06</v>
      </c>
      <c r="E941" s="4">
        <v>0</v>
      </c>
      <c r="F941" s="4">
        <v>0</v>
      </c>
      <c r="G941" s="4">
        <v>0</v>
      </c>
      <c r="H941" s="5">
        <f t="shared" si="14"/>
        <v>-3.636363636363639E-2</v>
      </c>
    </row>
    <row r="942" spans="1:8" ht="13.5" x14ac:dyDescent="0.25">
      <c r="A942" s="1"/>
      <c r="B942" s="3">
        <v>43677</v>
      </c>
      <c r="C942" s="4">
        <v>1.05</v>
      </c>
      <c r="D942" s="4">
        <v>1.05</v>
      </c>
      <c r="E942" s="4">
        <v>150</v>
      </c>
      <c r="F942" s="4">
        <v>1.05</v>
      </c>
      <c r="G942" s="4">
        <v>157.5</v>
      </c>
      <c r="H942" s="5">
        <f t="shared" si="14"/>
        <v>-9.4339622641509517E-3</v>
      </c>
    </row>
    <row r="943" spans="1:8" ht="13.5" x14ac:dyDescent="0.25">
      <c r="A943" s="1"/>
      <c r="B943" s="3">
        <v>43678</v>
      </c>
      <c r="C943" s="4">
        <v>1.05</v>
      </c>
      <c r="D943" s="4">
        <v>1.05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1.05</v>
      </c>
      <c r="D944" s="4">
        <v>1.05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1.05</v>
      </c>
      <c r="D945" s="4">
        <v>1.05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1.05</v>
      </c>
      <c r="D946" s="4">
        <v>1.05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1.07</v>
      </c>
      <c r="D947" s="4">
        <v>1.07</v>
      </c>
      <c r="E947" s="4">
        <v>70</v>
      </c>
      <c r="F947" s="4">
        <v>1.07</v>
      </c>
      <c r="G947" s="4">
        <v>74.900000000000006</v>
      </c>
      <c r="H947" s="5">
        <f t="shared" si="14"/>
        <v>1.9047619047619063E-2</v>
      </c>
    </row>
    <row r="948" spans="1:8" ht="13.5" x14ac:dyDescent="0.25">
      <c r="A948" s="1"/>
      <c r="B948" s="3">
        <v>43685</v>
      </c>
      <c r="C948" s="4">
        <v>1.07</v>
      </c>
      <c r="D948" s="4">
        <v>1.07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1.07</v>
      </c>
      <c r="D949" s="4">
        <v>1.07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1.08</v>
      </c>
      <c r="D950" s="4">
        <v>1.08</v>
      </c>
      <c r="E950" s="4">
        <v>7</v>
      </c>
      <c r="F950" s="4">
        <v>1.08</v>
      </c>
      <c r="G950" s="4">
        <v>7.56</v>
      </c>
      <c r="H950" s="5">
        <f t="shared" si="14"/>
        <v>9.3457943925233725E-3</v>
      </c>
    </row>
    <row r="951" spans="1:8" ht="13.5" x14ac:dyDescent="0.25">
      <c r="A951" s="1"/>
      <c r="B951" s="3">
        <v>43692</v>
      </c>
      <c r="C951" s="4">
        <v>1.08</v>
      </c>
      <c r="D951" s="4">
        <v>1.08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1.08</v>
      </c>
      <c r="D952" s="4">
        <v>1.08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1.08</v>
      </c>
      <c r="D953" s="4">
        <v>1.08</v>
      </c>
      <c r="E953" s="4">
        <v>120</v>
      </c>
      <c r="F953" s="4">
        <v>1.08</v>
      </c>
      <c r="G953" s="4">
        <v>129.6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1.1100000000000001</v>
      </c>
      <c r="D954" s="4">
        <v>1.1100000000000001</v>
      </c>
      <c r="E954" s="4">
        <v>405</v>
      </c>
      <c r="F954" s="4">
        <v>1.1100000000000001</v>
      </c>
      <c r="G954" s="4">
        <v>449.55</v>
      </c>
      <c r="H954" s="5">
        <f t="shared" si="14"/>
        <v>2.7777777777777801E-2</v>
      </c>
    </row>
    <row r="955" spans="1:8" ht="13.5" x14ac:dyDescent="0.25">
      <c r="A955" s="1"/>
      <c r="B955" s="3">
        <v>43698</v>
      </c>
      <c r="C955" s="4">
        <v>1.1499999999999999</v>
      </c>
      <c r="D955" s="4">
        <v>1.1499999999999999</v>
      </c>
      <c r="E955" s="4">
        <v>5</v>
      </c>
      <c r="F955" s="4">
        <v>1.1499999999999999</v>
      </c>
      <c r="G955" s="4">
        <v>5.75</v>
      </c>
      <c r="H955" s="5">
        <f t="shared" si="14"/>
        <v>3.6036036036035862E-2</v>
      </c>
    </row>
    <row r="956" spans="1:8" ht="13.5" x14ac:dyDescent="0.25">
      <c r="A956" s="1"/>
      <c r="B956" s="3">
        <v>43699</v>
      </c>
      <c r="C956" s="4">
        <v>1.1200000000000001</v>
      </c>
      <c r="D956" s="4">
        <v>1.1200000000000001</v>
      </c>
      <c r="E956" s="4">
        <v>4</v>
      </c>
      <c r="F956" s="4">
        <v>1.1200000000000001</v>
      </c>
      <c r="G956" s="4">
        <v>4.4800000000000004</v>
      </c>
      <c r="H956" s="5">
        <f t="shared" si="14"/>
        <v>-2.6086956521738962E-2</v>
      </c>
    </row>
    <row r="957" spans="1:8" ht="13.5" x14ac:dyDescent="0.25">
      <c r="A957" s="1"/>
      <c r="B957" s="3">
        <v>43700</v>
      </c>
      <c r="C957" s="4">
        <v>1.0900000000000001</v>
      </c>
      <c r="D957" s="4">
        <v>1.0900000000000001</v>
      </c>
      <c r="E957" s="4">
        <v>203</v>
      </c>
      <c r="F957" s="4">
        <v>1.1107</v>
      </c>
      <c r="G957" s="4">
        <v>225.47210000000001</v>
      </c>
      <c r="H957" s="5">
        <f t="shared" si="14"/>
        <v>-2.6785714285714309E-2</v>
      </c>
    </row>
    <row r="958" spans="1:8" ht="13.5" x14ac:dyDescent="0.25">
      <c r="A958" s="1"/>
      <c r="B958" s="3">
        <v>43703</v>
      </c>
      <c r="C958" s="4">
        <v>1.07</v>
      </c>
      <c r="D958" s="4">
        <v>1.07</v>
      </c>
      <c r="E958" s="4">
        <v>230</v>
      </c>
      <c r="F958" s="4">
        <v>1.07</v>
      </c>
      <c r="G958" s="4">
        <v>246.1</v>
      </c>
      <c r="H958" s="5">
        <f t="shared" si="14"/>
        <v>-1.8348623853211024E-2</v>
      </c>
    </row>
    <row r="959" spans="1:8" ht="13.5" x14ac:dyDescent="0.25">
      <c r="A959" s="1"/>
      <c r="B959" s="3">
        <v>43704</v>
      </c>
      <c r="C959" s="4">
        <v>1.05</v>
      </c>
      <c r="D959" s="4">
        <v>1.05</v>
      </c>
      <c r="E959" s="4">
        <v>732</v>
      </c>
      <c r="F959" s="4">
        <v>1.05</v>
      </c>
      <c r="G959" s="4">
        <v>768.6</v>
      </c>
      <c r="H959" s="5">
        <f t="shared" si="14"/>
        <v>-1.8691588785046745E-2</v>
      </c>
    </row>
    <row r="960" spans="1:8" ht="13.5" x14ac:dyDescent="0.25">
      <c r="A960" s="1"/>
      <c r="B960" s="3">
        <v>43705</v>
      </c>
      <c r="C960" s="4">
        <v>1.05</v>
      </c>
      <c r="D960" s="4">
        <v>1.05</v>
      </c>
      <c r="E960" s="4">
        <v>809</v>
      </c>
      <c r="F960" s="4">
        <v>1.05</v>
      </c>
      <c r="G960" s="4">
        <v>849.45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1.05</v>
      </c>
      <c r="D961" s="4">
        <v>1.05</v>
      </c>
      <c r="E961" s="4">
        <v>221</v>
      </c>
      <c r="F961" s="4">
        <v>1.05</v>
      </c>
      <c r="G961" s="4">
        <v>232.05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1.05</v>
      </c>
      <c r="D962" s="4">
        <v>1.05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1.05</v>
      </c>
      <c r="D963" s="4">
        <v>1.05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1.05</v>
      </c>
      <c r="D964" s="4">
        <v>1.05</v>
      </c>
      <c r="E964" s="4">
        <v>300</v>
      </c>
      <c r="F964" s="4">
        <v>1.05</v>
      </c>
      <c r="G964" s="4">
        <v>315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1.05</v>
      </c>
      <c r="D965" s="4">
        <v>1.05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1.05</v>
      </c>
      <c r="D966" s="4">
        <v>1.05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1.05</v>
      </c>
      <c r="D967" s="4">
        <v>1.05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1.05</v>
      </c>
      <c r="D968" s="4">
        <v>1.05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1.03</v>
      </c>
      <c r="D969" s="4">
        <v>1.03</v>
      </c>
      <c r="E969" s="4">
        <v>111</v>
      </c>
      <c r="F969" s="4">
        <v>1.03</v>
      </c>
      <c r="G969" s="4">
        <v>114.33</v>
      </c>
      <c r="H969" s="5">
        <f t="shared" si="15"/>
        <v>-1.9047619047619063E-2</v>
      </c>
    </row>
    <row r="970" spans="1:8" ht="13.5" x14ac:dyDescent="0.25">
      <c r="A970" s="1"/>
      <c r="B970" s="3">
        <v>43719</v>
      </c>
      <c r="C970" s="4">
        <v>1.03</v>
      </c>
      <c r="D970" s="4">
        <v>1.03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1.03</v>
      </c>
      <c r="D971" s="4">
        <v>1.03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1.03</v>
      </c>
      <c r="D972" s="4">
        <v>1.03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1.03</v>
      </c>
      <c r="D973" s="4">
        <v>1.03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1.03</v>
      </c>
      <c r="D974" s="4">
        <v>1.03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1.05</v>
      </c>
      <c r="D975" s="4">
        <v>1.05</v>
      </c>
      <c r="E975" s="4">
        <v>100</v>
      </c>
      <c r="F975" s="4">
        <v>1.05</v>
      </c>
      <c r="G975" s="4">
        <v>105</v>
      </c>
      <c r="H975" s="5">
        <f t="shared" si="15"/>
        <v>1.9417475728155355E-2</v>
      </c>
    </row>
    <row r="976" spans="1:8" ht="13.5" x14ac:dyDescent="0.25">
      <c r="A976" s="1"/>
      <c r="B976" s="3">
        <v>43727</v>
      </c>
      <c r="C976" s="4">
        <v>1.05</v>
      </c>
      <c r="D976" s="4">
        <v>1.05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1.05</v>
      </c>
      <c r="D977" s="4">
        <v>1.05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1.05</v>
      </c>
      <c r="D978" s="4">
        <v>1.05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1.05</v>
      </c>
      <c r="D979" s="4">
        <v>1.05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1.05</v>
      </c>
      <c r="D980" s="4">
        <v>1.05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1.02</v>
      </c>
      <c r="D981" s="4">
        <v>1.02</v>
      </c>
      <c r="E981" s="4">
        <v>1123</v>
      </c>
      <c r="F981" s="4">
        <v>1.02</v>
      </c>
      <c r="G981" s="4">
        <v>1145.46</v>
      </c>
      <c r="H981" s="5">
        <f t="shared" si="15"/>
        <v>-2.8571428571428595E-2</v>
      </c>
    </row>
    <row r="982" spans="1:8" ht="13.5" x14ac:dyDescent="0.25">
      <c r="A982" s="1"/>
      <c r="B982" s="3">
        <v>43735</v>
      </c>
      <c r="C982" s="4">
        <v>1.02</v>
      </c>
      <c r="D982" s="4">
        <v>1.02</v>
      </c>
      <c r="E982" s="4">
        <v>2375</v>
      </c>
      <c r="F982" s="4">
        <v>1.02</v>
      </c>
      <c r="G982" s="4">
        <v>2422.5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1</v>
      </c>
      <c r="D983" s="4">
        <v>1</v>
      </c>
      <c r="E983" s="4">
        <v>4400</v>
      </c>
      <c r="F983" s="4">
        <v>1</v>
      </c>
      <c r="G983" s="4">
        <v>4400</v>
      </c>
      <c r="H983" s="5">
        <f t="shared" si="15"/>
        <v>-1.9607843137254919E-2</v>
      </c>
    </row>
    <row r="984" spans="1:8" ht="13.5" x14ac:dyDescent="0.25">
      <c r="A984" s="1"/>
      <c r="B984" s="3">
        <v>43739</v>
      </c>
      <c r="C984" s="4">
        <v>1.02</v>
      </c>
      <c r="D984" s="4">
        <v>1.02</v>
      </c>
      <c r="E984" s="4">
        <v>50</v>
      </c>
      <c r="F984" s="4">
        <v>1.02</v>
      </c>
      <c r="G984" s="4">
        <v>51</v>
      </c>
      <c r="H984" s="5">
        <f t="shared" si="15"/>
        <v>2.0000000000000018E-2</v>
      </c>
    </row>
    <row r="985" spans="1:8" ht="13.5" x14ac:dyDescent="0.25">
      <c r="A985" s="1"/>
      <c r="B985" s="3">
        <v>43740</v>
      </c>
      <c r="C985" s="4">
        <v>1.02</v>
      </c>
      <c r="D985" s="4">
        <v>1.02</v>
      </c>
      <c r="E985" s="4">
        <v>450</v>
      </c>
      <c r="F985" s="4">
        <v>1.02</v>
      </c>
      <c r="G985" s="4">
        <v>459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1.02</v>
      </c>
      <c r="D986" s="4">
        <v>1.02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1.02</v>
      </c>
      <c r="D987" s="4">
        <v>1.02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1.02</v>
      </c>
      <c r="D988" s="4">
        <v>1.02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1.02</v>
      </c>
      <c r="D989" s="4">
        <v>1.02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1</v>
      </c>
      <c r="D990" s="4">
        <v>1</v>
      </c>
      <c r="E990" s="4">
        <v>850</v>
      </c>
      <c r="F990" s="4">
        <v>1</v>
      </c>
      <c r="G990" s="4">
        <v>850</v>
      </c>
      <c r="H990" s="5">
        <f t="shared" si="15"/>
        <v>-1.9607843137254919E-2</v>
      </c>
    </row>
    <row r="991" spans="1:8" ht="13.5" x14ac:dyDescent="0.25">
      <c r="A991" s="1"/>
      <c r="B991" s="3">
        <v>43748</v>
      </c>
      <c r="C991" s="4">
        <v>1</v>
      </c>
      <c r="D991" s="4">
        <v>1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1.02</v>
      </c>
      <c r="D992" s="4">
        <v>1.02</v>
      </c>
      <c r="E992" s="4">
        <v>300</v>
      </c>
      <c r="F992" s="4">
        <v>1.02</v>
      </c>
      <c r="G992" s="4">
        <v>306</v>
      </c>
      <c r="H992" s="5">
        <f t="shared" si="15"/>
        <v>2.0000000000000018E-2</v>
      </c>
    </row>
    <row r="993" spans="1:8" ht="13.5" x14ac:dyDescent="0.25">
      <c r="A993" s="1"/>
      <c r="B993" s="3">
        <v>43752</v>
      </c>
      <c r="C993" s="4">
        <v>1.02</v>
      </c>
      <c r="D993" s="4">
        <v>1.02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1.02</v>
      </c>
      <c r="D994" s="4">
        <v>1.02</v>
      </c>
      <c r="E994" s="4">
        <v>30</v>
      </c>
      <c r="F994" s="4">
        <v>1.02</v>
      </c>
      <c r="G994" s="4">
        <v>30.6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1.02</v>
      </c>
      <c r="D995" s="4">
        <v>1.02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1.02</v>
      </c>
      <c r="D996" s="4">
        <v>1.02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1.02</v>
      </c>
      <c r="D997" s="4">
        <v>1.02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1.02</v>
      </c>
      <c r="D998" s="4">
        <v>1.02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1.02</v>
      </c>
      <c r="D999" s="4">
        <v>1.02</v>
      </c>
      <c r="E999" s="4">
        <v>500</v>
      </c>
      <c r="F999" s="4">
        <v>1.02</v>
      </c>
      <c r="G999" s="4">
        <v>510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1.02</v>
      </c>
      <c r="D1000" s="4">
        <v>1.02</v>
      </c>
      <c r="E1000" s="4">
        <v>0</v>
      </c>
      <c r="F1000" s="4">
        <v>0</v>
      </c>
      <c r="G1000" s="4">
        <v>0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1.01</v>
      </c>
      <c r="D1001" s="4">
        <v>1.01</v>
      </c>
      <c r="E1001" s="4">
        <v>100</v>
      </c>
      <c r="F1001" s="4">
        <v>1.01</v>
      </c>
      <c r="G1001" s="4">
        <v>101</v>
      </c>
      <c r="H1001" s="5">
        <f t="shared" si="15"/>
        <v>-9.8039215686274595E-3</v>
      </c>
    </row>
    <row r="1002" spans="1:8" ht="13.5" x14ac:dyDescent="0.25">
      <c r="A1002" s="1"/>
      <c r="B1002" s="3">
        <v>43766</v>
      </c>
      <c r="C1002" s="4">
        <v>1.01</v>
      </c>
      <c r="D1002" s="4">
        <v>1.01</v>
      </c>
      <c r="E1002" s="4">
        <v>1500</v>
      </c>
      <c r="F1002" s="4">
        <v>1.01</v>
      </c>
      <c r="G1002" s="4">
        <v>1515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1.02</v>
      </c>
      <c r="D1003" s="4">
        <v>1.02</v>
      </c>
      <c r="E1003" s="4">
        <v>3950</v>
      </c>
      <c r="F1003" s="4">
        <v>1.02</v>
      </c>
      <c r="G1003" s="4">
        <v>4029</v>
      </c>
      <c r="H1003" s="5">
        <f t="shared" si="15"/>
        <v>9.9009900990099098E-3</v>
      </c>
    </row>
    <row r="1004" spans="1:8" ht="13.5" x14ac:dyDescent="0.25">
      <c r="A1004" s="1"/>
      <c r="B1004" s="3">
        <v>43768</v>
      </c>
      <c r="C1004" s="4">
        <v>1.02</v>
      </c>
      <c r="D1004" s="4">
        <v>1.02</v>
      </c>
      <c r="E1004" s="4">
        <v>2000</v>
      </c>
      <c r="F1004" s="4">
        <v>1.02</v>
      </c>
      <c r="G1004" s="4">
        <v>2040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1.02</v>
      </c>
      <c r="D1005" s="4">
        <v>1.02</v>
      </c>
      <c r="E1005" s="4">
        <v>1638</v>
      </c>
      <c r="F1005" s="4">
        <v>1.02</v>
      </c>
      <c r="G1005" s="4">
        <v>1670.76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1.01</v>
      </c>
      <c r="D1006" s="4">
        <v>1.01</v>
      </c>
      <c r="E1006" s="4">
        <v>9822</v>
      </c>
      <c r="F1006" s="4">
        <v>1.0104</v>
      </c>
      <c r="G1006" s="4">
        <v>9924.1488000000008</v>
      </c>
      <c r="H1006" s="5">
        <f t="shared" si="15"/>
        <v>-9.8039215686274595E-3</v>
      </c>
    </row>
    <row r="1007" spans="1:8" ht="13.5" x14ac:dyDescent="0.25">
      <c r="A1007" s="1"/>
      <c r="B1007" s="3">
        <v>43773</v>
      </c>
      <c r="C1007" s="4">
        <v>1.01</v>
      </c>
      <c r="D1007" s="4">
        <v>1.01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1</v>
      </c>
      <c r="D1008" s="4">
        <v>1</v>
      </c>
      <c r="E1008" s="4">
        <v>2795</v>
      </c>
      <c r="F1008" s="4">
        <v>1</v>
      </c>
      <c r="G1008" s="4">
        <v>2795</v>
      </c>
      <c r="H1008" s="5">
        <f t="shared" si="15"/>
        <v>-9.9009900990099098E-3</v>
      </c>
    </row>
    <row r="1009" spans="1:8" ht="13.5" x14ac:dyDescent="0.25">
      <c r="A1009" s="1"/>
      <c r="B1009" s="3">
        <v>43775</v>
      </c>
      <c r="C1009" s="4">
        <v>1</v>
      </c>
      <c r="D1009" s="4">
        <v>1</v>
      </c>
      <c r="E1009" s="4">
        <v>1000</v>
      </c>
      <c r="F1009" s="4">
        <v>1</v>
      </c>
      <c r="G1009" s="4">
        <v>1000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1</v>
      </c>
      <c r="D1010" s="4">
        <v>1</v>
      </c>
      <c r="E1010" s="4">
        <v>1000</v>
      </c>
      <c r="F1010" s="4">
        <v>1</v>
      </c>
      <c r="G1010" s="4">
        <v>1000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1</v>
      </c>
      <c r="D1011" s="4">
        <v>1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1</v>
      </c>
      <c r="D1012" s="4">
        <v>1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1</v>
      </c>
      <c r="D1013" s="4">
        <v>1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1.02</v>
      </c>
      <c r="D1014" s="4">
        <v>1.02</v>
      </c>
      <c r="E1014" s="4">
        <v>40</v>
      </c>
      <c r="F1014" s="4">
        <v>1.02</v>
      </c>
      <c r="G1014" s="4">
        <v>40.799999999999997</v>
      </c>
      <c r="H1014" s="5">
        <f t="shared" si="15"/>
        <v>2.0000000000000018E-2</v>
      </c>
    </row>
    <row r="1015" spans="1:8" ht="13.5" x14ac:dyDescent="0.25">
      <c r="A1015" s="1"/>
      <c r="B1015" s="3">
        <v>43783</v>
      </c>
      <c r="C1015" s="4">
        <v>1.02</v>
      </c>
      <c r="D1015" s="4">
        <v>1.02</v>
      </c>
      <c r="E1015" s="4">
        <v>0</v>
      </c>
      <c r="F1015" s="4">
        <v>0</v>
      </c>
      <c r="G1015" s="4">
        <v>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1.02</v>
      </c>
      <c r="D1016" s="4">
        <v>1.02</v>
      </c>
      <c r="E1016" s="4">
        <v>510</v>
      </c>
      <c r="F1016" s="4">
        <v>1.02</v>
      </c>
      <c r="G1016" s="4">
        <v>520.20000000000005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1.02</v>
      </c>
      <c r="D1017" s="4">
        <v>1.02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1.02</v>
      </c>
      <c r="D1018" s="4">
        <v>1.02</v>
      </c>
      <c r="E1018" s="4">
        <v>53</v>
      </c>
      <c r="F1018" s="4">
        <v>1.02</v>
      </c>
      <c r="G1018" s="4">
        <v>54.06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1.02</v>
      </c>
      <c r="D1019" s="4">
        <v>1.02</v>
      </c>
      <c r="E1019" s="4">
        <v>0</v>
      </c>
      <c r="F1019" s="4">
        <v>0</v>
      </c>
      <c r="G1019" s="4">
        <v>0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1.02</v>
      </c>
      <c r="D1020" s="4">
        <v>1.02</v>
      </c>
      <c r="E1020" s="4">
        <v>250</v>
      </c>
      <c r="F1020" s="4">
        <v>1.02</v>
      </c>
      <c r="G1020" s="4">
        <v>255</v>
      </c>
      <c r="H1020" s="5">
        <f t="shared" si="15"/>
        <v>0</v>
      </c>
    </row>
    <row r="1021" spans="1:8" ht="13.5" x14ac:dyDescent="0.25">
      <c r="A1021" s="1"/>
      <c r="B1021" s="3">
        <v>43791</v>
      </c>
      <c r="C1021" s="4">
        <v>1.06</v>
      </c>
      <c r="D1021" s="4">
        <v>1.06</v>
      </c>
      <c r="E1021" s="4">
        <v>4136</v>
      </c>
      <c r="F1021" s="4">
        <v>1.0313000000000001</v>
      </c>
      <c r="G1021" s="4">
        <v>4265.4567999999999</v>
      </c>
      <c r="H1021" s="5">
        <f t="shared" si="15"/>
        <v>3.9215686274509838E-2</v>
      </c>
    </row>
    <row r="1022" spans="1:8" ht="13.5" x14ac:dyDescent="0.25">
      <c r="A1022" s="1"/>
      <c r="B1022" s="3">
        <v>43794</v>
      </c>
      <c r="C1022" s="4">
        <v>1.03</v>
      </c>
      <c r="D1022" s="4">
        <v>1.03</v>
      </c>
      <c r="E1022" s="4">
        <v>0</v>
      </c>
      <c r="F1022" s="4">
        <v>0</v>
      </c>
      <c r="G1022" s="4">
        <v>0</v>
      </c>
      <c r="H1022" s="5">
        <f t="shared" si="15"/>
        <v>-2.8301886792452855E-2</v>
      </c>
    </row>
    <row r="1023" spans="1:8" ht="13.5" x14ac:dyDescent="0.25">
      <c r="A1023" s="1"/>
      <c r="B1023" s="3">
        <v>43795</v>
      </c>
      <c r="C1023" s="4">
        <v>1.02</v>
      </c>
      <c r="D1023" s="4">
        <v>1.02</v>
      </c>
      <c r="E1023" s="4">
        <v>3085</v>
      </c>
      <c r="F1023" s="4">
        <v>1.02</v>
      </c>
      <c r="G1023" s="4">
        <v>3146.7</v>
      </c>
      <c r="H1023" s="5">
        <f t="shared" si="15"/>
        <v>-9.7087378640776777E-3</v>
      </c>
    </row>
    <row r="1024" spans="1:8" ht="13.5" x14ac:dyDescent="0.25">
      <c r="A1024" s="1"/>
      <c r="B1024" s="3">
        <v>43796</v>
      </c>
      <c r="C1024" s="4">
        <v>1.02</v>
      </c>
      <c r="D1024" s="4">
        <v>1.02</v>
      </c>
      <c r="E1024" s="4">
        <v>936</v>
      </c>
      <c r="F1024" s="4">
        <v>1.02</v>
      </c>
      <c r="G1024" s="4">
        <v>954.72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1.02</v>
      </c>
      <c r="D1025" s="4">
        <v>1.02</v>
      </c>
      <c r="E1025" s="4">
        <v>0</v>
      </c>
      <c r="F1025" s="4">
        <v>0</v>
      </c>
      <c r="G1025" s="4">
        <v>0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1.02</v>
      </c>
      <c r="D1026" s="4">
        <v>1.02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1.05</v>
      </c>
      <c r="D1027" s="4">
        <v>1.05</v>
      </c>
      <c r="E1027" s="4">
        <v>176</v>
      </c>
      <c r="F1027" s="4">
        <v>1.05</v>
      </c>
      <c r="G1027" s="4">
        <v>184.8</v>
      </c>
      <c r="H1027" s="5">
        <f t="shared" si="15"/>
        <v>2.9411764705882377E-2</v>
      </c>
    </row>
    <row r="1028" spans="1:8" ht="13.5" x14ac:dyDescent="0.25">
      <c r="A1028" s="1"/>
      <c r="B1028" s="3">
        <v>43802</v>
      </c>
      <c r="C1028" s="4">
        <v>1.0900000000000001</v>
      </c>
      <c r="D1028" s="4">
        <v>1.0900000000000001</v>
      </c>
      <c r="E1028" s="4">
        <v>561</v>
      </c>
      <c r="F1028" s="4">
        <v>1.0900000000000001</v>
      </c>
      <c r="G1028" s="4">
        <v>611.49</v>
      </c>
      <c r="H1028" s="5">
        <f t="shared" si="15"/>
        <v>3.8095238095238126E-2</v>
      </c>
    </row>
    <row r="1029" spans="1:8" ht="13.5" x14ac:dyDescent="0.25">
      <c r="A1029" s="1"/>
      <c r="B1029" s="3">
        <v>43803</v>
      </c>
      <c r="C1029" s="4">
        <v>1.1200000000000001</v>
      </c>
      <c r="D1029" s="4">
        <v>1.1200000000000001</v>
      </c>
      <c r="E1029" s="4">
        <v>177</v>
      </c>
      <c r="F1029" s="4">
        <v>1.0900000000000001</v>
      </c>
      <c r="G1029" s="4">
        <v>192.93</v>
      </c>
      <c r="H1029" s="5">
        <f t="shared" si="15"/>
        <v>2.7522935779816536E-2</v>
      </c>
    </row>
    <row r="1030" spans="1:8" ht="13.5" x14ac:dyDescent="0.25">
      <c r="A1030" s="1"/>
      <c r="B1030" s="3">
        <v>43804</v>
      </c>
      <c r="C1030" s="4">
        <v>1.1599999999999999</v>
      </c>
      <c r="D1030" s="4">
        <v>1.1599999999999999</v>
      </c>
      <c r="E1030" s="4">
        <v>1201</v>
      </c>
      <c r="F1030" s="4">
        <v>1.1575</v>
      </c>
      <c r="G1030" s="4">
        <v>1390.1575</v>
      </c>
      <c r="H1030" s="5">
        <f t="shared" si="15"/>
        <v>3.5714285714285546E-2</v>
      </c>
    </row>
    <row r="1031" spans="1:8" ht="13.5" x14ac:dyDescent="0.25">
      <c r="A1031" s="1"/>
      <c r="B1031" s="3">
        <v>43805</v>
      </c>
      <c r="C1031" s="4">
        <v>1.22</v>
      </c>
      <c r="D1031" s="4">
        <v>1.22</v>
      </c>
      <c r="E1031" s="4">
        <v>986</v>
      </c>
      <c r="F1031" s="4">
        <v>1.2029000000000001</v>
      </c>
      <c r="G1031" s="4">
        <v>1186.0594000000001</v>
      </c>
      <c r="H1031" s="5">
        <f t="shared" ref="H1031:H1094" si="16">(D1031-D1030)/D1030</f>
        <v>5.1724137931034531E-2</v>
      </c>
    </row>
    <row r="1032" spans="1:8" ht="13.5" x14ac:dyDescent="0.25">
      <c r="A1032" s="1"/>
      <c r="B1032" s="3">
        <v>43808</v>
      </c>
      <c r="C1032" s="4">
        <v>1.27</v>
      </c>
      <c r="D1032" s="4">
        <v>1.27</v>
      </c>
      <c r="E1032" s="4">
        <v>0</v>
      </c>
      <c r="F1032" s="4">
        <v>0</v>
      </c>
      <c r="G1032" s="4">
        <v>0</v>
      </c>
      <c r="H1032" s="5">
        <f t="shared" si="16"/>
        <v>4.0983606557377088E-2</v>
      </c>
    </row>
    <row r="1033" spans="1:8" ht="13.5" x14ac:dyDescent="0.25">
      <c r="A1033" s="1"/>
      <c r="B1033" s="3">
        <v>43809</v>
      </c>
      <c r="C1033" s="4">
        <v>1.27</v>
      </c>
      <c r="D1033" s="4">
        <v>1.27</v>
      </c>
      <c r="E1033" s="4">
        <v>1563</v>
      </c>
      <c r="F1033" s="4">
        <v>1.2710999999999999</v>
      </c>
      <c r="G1033" s="4">
        <v>1986.7293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1.33</v>
      </c>
      <c r="D1034" s="4">
        <v>1.33</v>
      </c>
      <c r="E1034" s="4">
        <v>1753</v>
      </c>
      <c r="F1034" s="4">
        <v>1.3257000000000001</v>
      </c>
      <c r="G1034" s="4">
        <v>2323.9521</v>
      </c>
      <c r="H1034" s="5">
        <f t="shared" si="16"/>
        <v>4.7244094488189017E-2</v>
      </c>
    </row>
    <row r="1035" spans="1:8" ht="13.5" x14ac:dyDescent="0.25">
      <c r="A1035" s="1"/>
      <c r="B1035" s="3">
        <v>43811</v>
      </c>
      <c r="C1035" s="4">
        <v>1.39</v>
      </c>
      <c r="D1035" s="4">
        <v>1.39</v>
      </c>
      <c r="E1035" s="4">
        <v>7422</v>
      </c>
      <c r="F1035" s="4">
        <v>1.3616999999999999</v>
      </c>
      <c r="G1035" s="4">
        <v>10106.537399999999</v>
      </c>
      <c r="H1035" s="5">
        <f t="shared" si="16"/>
        <v>4.5112781954887091E-2</v>
      </c>
    </row>
    <row r="1036" spans="1:8" ht="13.5" x14ac:dyDescent="0.25">
      <c r="A1036" s="1"/>
      <c r="B1036" s="3">
        <v>43812</v>
      </c>
      <c r="C1036" s="4">
        <v>1.45</v>
      </c>
      <c r="D1036" s="4">
        <v>1.45</v>
      </c>
      <c r="E1036" s="4">
        <v>5820</v>
      </c>
      <c r="F1036" s="4">
        <v>1.4468000000000001</v>
      </c>
      <c r="G1036" s="4">
        <v>8420.3760000000002</v>
      </c>
      <c r="H1036" s="5">
        <f t="shared" si="16"/>
        <v>4.3165467625899324E-2</v>
      </c>
    </row>
    <row r="1037" spans="1:8" ht="13.5" x14ac:dyDescent="0.25">
      <c r="A1037" s="1"/>
      <c r="B1037" s="3">
        <v>43815</v>
      </c>
      <c r="C1037" s="4">
        <v>1.51</v>
      </c>
      <c r="D1037" s="4">
        <v>1.51</v>
      </c>
      <c r="E1037" s="4">
        <v>2754</v>
      </c>
      <c r="F1037" s="4">
        <v>1.4984999999999999</v>
      </c>
      <c r="G1037" s="4">
        <v>4126.8689999999997</v>
      </c>
      <c r="H1037" s="5">
        <f t="shared" si="16"/>
        <v>4.1379310344827627E-2</v>
      </c>
    </row>
    <row r="1038" spans="1:8" ht="13.5" x14ac:dyDescent="0.25">
      <c r="A1038" s="1"/>
      <c r="B1038" s="3">
        <v>43816</v>
      </c>
      <c r="C1038" s="4">
        <v>1.54</v>
      </c>
      <c r="D1038" s="4">
        <v>1.54</v>
      </c>
      <c r="E1038" s="4">
        <v>1388</v>
      </c>
      <c r="F1038" s="4">
        <v>1.5349999999999999</v>
      </c>
      <c r="G1038" s="4">
        <v>2130.58</v>
      </c>
      <c r="H1038" s="5">
        <f t="shared" si="16"/>
        <v>1.986754966887419E-2</v>
      </c>
    </row>
    <row r="1039" spans="1:8" ht="13.5" x14ac:dyDescent="0.25">
      <c r="A1039" s="1"/>
      <c r="B1039" s="3">
        <v>43817</v>
      </c>
      <c r="C1039" s="4">
        <v>1.59</v>
      </c>
      <c r="D1039" s="4">
        <v>1.59</v>
      </c>
      <c r="E1039" s="4">
        <v>4852</v>
      </c>
      <c r="F1039" s="4">
        <v>1.5680000000000001</v>
      </c>
      <c r="G1039" s="4">
        <v>7607.9359999999997</v>
      </c>
      <c r="H1039" s="5">
        <f t="shared" si="16"/>
        <v>3.2467532467532492E-2</v>
      </c>
    </row>
    <row r="1040" spans="1:8" ht="13.5" x14ac:dyDescent="0.25">
      <c r="A1040" s="1"/>
      <c r="B1040" s="3">
        <v>43818</v>
      </c>
      <c r="C1040" s="4">
        <v>1.6</v>
      </c>
      <c r="D1040" s="4">
        <v>1.6</v>
      </c>
      <c r="E1040" s="4">
        <v>2822</v>
      </c>
      <c r="F1040" s="4">
        <v>1.59</v>
      </c>
      <c r="G1040" s="4">
        <v>4486.9799999999996</v>
      </c>
      <c r="H1040" s="5">
        <f t="shared" si="16"/>
        <v>6.2893081761006345E-3</v>
      </c>
    </row>
    <row r="1041" spans="1:8" ht="13.5" x14ac:dyDescent="0.25">
      <c r="A1041" s="1"/>
      <c r="B1041" s="3">
        <v>43819</v>
      </c>
      <c r="C1041" s="4">
        <v>1.63</v>
      </c>
      <c r="D1041" s="4">
        <v>1.63</v>
      </c>
      <c r="E1041" s="4">
        <v>5566</v>
      </c>
      <c r="F1041" s="4">
        <v>1.6016999999999999</v>
      </c>
      <c r="G1041" s="4">
        <v>8915.0622000000003</v>
      </c>
      <c r="H1041" s="5">
        <f t="shared" si="16"/>
        <v>1.8749999999999878E-2</v>
      </c>
    </row>
    <row r="1042" spans="1:8" ht="13.5" x14ac:dyDescent="0.25">
      <c r="A1042" s="1"/>
      <c r="B1042" s="3">
        <v>43822</v>
      </c>
      <c r="C1042" s="4">
        <v>1.7</v>
      </c>
      <c r="D1042" s="4">
        <v>1.7</v>
      </c>
      <c r="E1042" s="4">
        <v>1587</v>
      </c>
      <c r="F1042" s="4">
        <v>1.6912</v>
      </c>
      <c r="G1042" s="4">
        <v>2683.9344000000001</v>
      </c>
      <c r="H1042" s="5">
        <f t="shared" si="16"/>
        <v>4.2944785276073663E-2</v>
      </c>
    </row>
    <row r="1043" spans="1:8" ht="13.5" x14ac:dyDescent="0.25">
      <c r="A1043" s="1"/>
      <c r="B1043" s="3">
        <v>43823</v>
      </c>
      <c r="C1043" s="4">
        <v>1.77</v>
      </c>
      <c r="D1043" s="4">
        <v>1.77</v>
      </c>
      <c r="E1043" s="4">
        <v>0</v>
      </c>
      <c r="F1043" s="4">
        <v>0</v>
      </c>
      <c r="G1043" s="4">
        <v>0</v>
      </c>
      <c r="H1043" s="5">
        <f t="shared" si="16"/>
        <v>4.1176470588235335E-2</v>
      </c>
    </row>
    <row r="1044" spans="1:8" ht="13.5" x14ac:dyDescent="0.25">
      <c r="A1044" s="1"/>
      <c r="B1044" s="3">
        <v>43824</v>
      </c>
      <c r="C1044" s="4">
        <v>1.8</v>
      </c>
      <c r="D1044" s="4">
        <v>1.8</v>
      </c>
      <c r="E1044" s="4">
        <v>4504</v>
      </c>
      <c r="F1044" s="4">
        <v>1.7979000000000001</v>
      </c>
      <c r="G1044" s="4">
        <v>8097.7416000000003</v>
      </c>
      <c r="H1044" s="5">
        <f t="shared" si="16"/>
        <v>1.6949152542372895E-2</v>
      </c>
    </row>
    <row r="1045" spans="1:8" ht="13.5" x14ac:dyDescent="0.25">
      <c r="A1045" s="1"/>
      <c r="B1045" s="3">
        <v>43825</v>
      </c>
      <c r="C1045" s="4">
        <v>1.81</v>
      </c>
      <c r="D1045" s="4">
        <v>1.81</v>
      </c>
      <c r="E1045" s="4">
        <v>4207</v>
      </c>
      <c r="F1045" s="4">
        <v>1.81</v>
      </c>
      <c r="G1045" s="4">
        <v>7614.67</v>
      </c>
      <c r="H1045" s="5">
        <f t="shared" si="16"/>
        <v>5.5555555555555601E-3</v>
      </c>
    </row>
    <row r="1046" spans="1:8" ht="13.5" x14ac:dyDescent="0.25">
      <c r="A1046" s="1"/>
      <c r="B1046" s="3">
        <v>43826</v>
      </c>
      <c r="C1046" s="4">
        <v>1.8</v>
      </c>
      <c r="D1046" s="4">
        <v>1.8</v>
      </c>
      <c r="E1046" s="4">
        <v>8383</v>
      </c>
      <c r="F1046" s="4">
        <v>1.7887999999999999</v>
      </c>
      <c r="G1046" s="4">
        <v>14995.510399999999</v>
      </c>
      <c r="H1046" s="5">
        <f t="shared" si="16"/>
        <v>-5.5248618784530436E-3</v>
      </c>
    </row>
    <row r="1047" spans="1:8" ht="13.5" x14ac:dyDescent="0.25">
      <c r="A1047" s="1"/>
      <c r="B1047" s="3">
        <v>43829</v>
      </c>
      <c r="C1047" s="4">
        <v>1.84</v>
      </c>
      <c r="D1047" s="4">
        <v>1.84</v>
      </c>
      <c r="E1047" s="4">
        <v>137</v>
      </c>
      <c r="F1047" s="4">
        <v>1.84</v>
      </c>
      <c r="G1047" s="4">
        <v>252.08</v>
      </c>
      <c r="H1047" s="5">
        <f t="shared" si="16"/>
        <v>2.222222222222224E-2</v>
      </c>
    </row>
    <row r="1048" spans="1:8" ht="13.5" x14ac:dyDescent="0.25">
      <c r="A1048" s="1"/>
      <c r="B1048" s="3">
        <v>43830</v>
      </c>
      <c r="C1048" s="4">
        <v>1.84</v>
      </c>
      <c r="D1048" s="4">
        <v>1.84</v>
      </c>
      <c r="E1048" s="4">
        <v>0</v>
      </c>
      <c r="F1048" s="4">
        <v>0</v>
      </c>
      <c r="G1048" s="4">
        <v>0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1.81</v>
      </c>
      <c r="D1049" s="4">
        <v>1.81</v>
      </c>
      <c r="E1049" s="4">
        <v>5</v>
      </c>
      <c r="F1049" s="4">
        <v>1.81</v>
      </c>
      <c r="G1049" s="4">
        <v>9.0500000000000007</v>
      </c>
      <c r="H1049" s="5">
        <f t="shared" si="16"/>
        <v>-1.630434782608697E-2</v>
      </c>
    </row>
    <row r="1050" spans="1:8" ht="13.5" x14ac:dyDescent="0.25">
      <c r="A1050" s="1"/>
      <c r="B1050" s="3">
        <v>43833</v>
      </c>
      <c r="C1050" s="4">
        <v>1.78</v>
      </c>
      <c r="D1050" s="4">
        <v>1.78</v>
      </c>
      <c r="E1050" s="4">
        <v>301</v>
      </c>
      <c r="F1050" s="4">
        <v>1.79</v>
      </c>
      <c r="G1050" s="4">
        <v>538.79</v>
      </c>
      <c r="H1050" s="5">
        <f t="shared" si="16"/>
        <v>-1.6574585635359129E-2</v>
      </c>
    </row>
    <row r="1051" spans="1:8" ht="13.5" x14ac:dyDescent="0.25">
      <c r="A1051" s="1"/>
      <c r="B1051" s="3">
        <v>43836</v>
      </c>
      <c r="C1051" s="4">
        <v>1.7</v>
      </c>
      <c r="D1051" s="4">
        <v>1.7</v>
      </c>
      <c r="E1051" s="4">
        <v>0</v>
      </c>
      <c r="F1051" s="4">
        <v>0</v>
      </c>
      <c r="G1051" s="4">
        <v>0</v>
      </c>
      <c r="H1051" s="5">
        <f t="shared" si="16"/>
        <v>-4.4943820224719142E-2</v>
      </c>
    </row>
    <row r="1052" spans="1:8" ht="13.5" x14ac:dyDescent="0.25">
      <c r="A1052" s="1"/>
      <c r="B1052" s="3">
        <v>43837</v>
      </c>
      <c r="C1052" s="4">
        <v>1.7</v>
      </c>
      <c r="D1052" s="4">
        <v>1.7</v>
      </c>
      <c r="E1052" s="4">
        <v>5</v>
      </c>
      <c r="F1052" s="4">
        <v>1.7</v>
      </c>
      <c r="G1052" s="4">
        <v>8.5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1.63</v>
      </c>
      <c r="D1053" s="4">
        <v>1.63</v>
      </c>
      <c r="E1053" s="4">
        <v>0</v>
      </c>
      <c r="F1053" s="4">
        <v>0</v>
      </c>
      <c r="G1053" s="4">
        <v>0</v>
      </c>
      <c r="H1053" s="5">
        <f t="shared" si="16"/>
        <v>-4.1176470588235335E-2</v>
      </c>
    </row>
    <row r="1054" spans="1:8" ht="13.5" x14ac:dyDescent="0.25">
      <c r="A1054" s="1"/>
      <c r="B1054" s="3">
        <v>43839</v>
      </c>
      <c r="C1054" s="4">
        <v>1.61</v>
      </c>
      <c r="D1054" s="4">
        <v>1.61</v>
      </c>
      <c r="E1054" s="4">
        <v>1</v>
      </c>
      <c r="F1054" s="4">
        <v>1.61</v>
      </c>
      <c r="G1054" s="4">
        <v>1.61</v>
      </c>
      <c r="H1054" s="5">
        <f t="shared" si="16"/>
        <v>-1.2269938650306624E-2</v>
      </c>
    </row>
    <row r="1055" spans="1:8" ht="13.5" x14ac:dyDescent="0.25">
      <c r="A1055" s="1"/>
      <c r="B1055" s="3">
        <v>43840</v>
      </c>
      <c r="C1055" s="4">
        <v>1.6</v>
      </c>
      <c r="D1055" s="4">
        <v>1.6</v>
      </c>
      <c r="E1055" s="4">
        <v>5</v>
      </c>
      <c r="F1055" s="4">
        <v>1.6</v>
      </c>
      <c r="G1055" s="4">
        <v>8</v>
      </c>
      <c r="H1055" s="5">
        <f t="shared" si="16"/>
        <v>-6.2111801242236073E-3</v>
      </c>
    </row>
    <row r="1056" spans="1:8" ht="13.5" x14ac:dyDescent="0.25">
      <c r="A1056" s="1"/>
      <c r="B1056" s="3">
        <v>43843</v>
      </c>
      <c r="C1056" s="4">
        <v>1.57</v>
      </c>
      <c r="D1056" s="4">
        <v>1.57</v>
      </c>
      <c r="E1056" s="4">
        <v>1</v>
      </c>
      <c r="F1056" s="4">
        <v>1.61</v>
      </c>
      <c r="G1056" s="4">
        <v>1.61</v>
      </c>
      <c r="H1056" s="5">
        <f t="shared" si="16"/>
        <v>-1.8750000000000017E-2</v>
      </c>
    </row>
    <row r="1057" spans="1:8" ht="13.5" x14ac:dyDescent="0.25">
      <c r="A1057" s="1"/>
      <c r="B1057" s="3">
        <v>43845</v>
      </c>
      <c r="C1057" s="4">
        <v>1.56</v>
      </c>
      <c r="D1057" s="4">
        <v>1.56</v>
      </c>
      <c r="E1057" s="4">
        <v>1</v>
      </c>
      <c r="F1057" s="4">
        <v>1.56</v>
      </c>
      <c r="G1057" s="4">
        <v>1.56</v>
      </c>
      <c r="H1057" s="5">
        <f t="shared" si="16"/>
        <v>-6.3694267515923622E-3</v>
      </c>
    </row>
    <row r="1058" spans="1:8" ht="13.5" x14ac:dyDescent="0.25">
      <c r="A1058" s="1"/>
      <c r="B1058" s="3">
        <v>43846</v>
      </c>
      <c r="C1058" s="4">
        <v>1.56</v>
      </c>
      <c r="D1058" s="4">
        <v>1.56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1.56</v>
      </c>
      <c r="D1059" s="4">
        <v>1.56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1.51</v>
      </c>
      <c r="D1060" s="4">
        <v>1.51</v>
      </c>
      <c r="E1060" s="4">
        <v>364</v>
      </c>
      <c r="F1060" s="4">
        <v>1.55</v>
      </c>
      <c r="G1060" s="4">
        <v>564.20000000000005</v>
      </c>
      <c r="H1060" s="5">
        <f t="shared" si="16"/>
        <v>-3.2051282051282076E-2</v>
      </c>
    </row>
    <row r="1061" spans="1:8" ht="13.5" x14ac:dyDescent="0.25">
      <c r="A1061" s="1"/>
      <c r="B1061" s="3">
        <v>43851</v>
      </c>
      <c r="C1061" s="4">
        <v>1.49</v>
      </c>
      <c r="D1061" s="4">
        <v>1.49</v>
      </c>
      <c r="E1061" s="4">
        <v>1</v>
      </c>
      <c r="F1061" s="4">
        <v>1.55</v>
      </c>
      <c r="G1061" s="4">
        <v>1.55</v>
      </c>
      <c r="H1061" s="5">
        <f t="shared" si="16"/>
        <v>-1.3245033112582794E-2</v>
      </c>
    </row>
    <row r="1062" spans="1:8" ht="13.5" x14ac:dyDescent="0.25">
      <c r="A1062" s="1"/>
      <c r="B1062" s="3">
        <v>43852</v>
      </c>
      <c r="C1062" s="4">
        <v>1.43</v>
      </c>
      <c r="D1062" s="4">
        <v>1.43</v>
      </c>
      <c r="E1062" s="4">
        <v>0</v>
      </c>
      <c r="F1062" s="4">
        <v>0</v>
      </c>
      <c r="G1062" s="4">
        <v>0</v>
      </c>
      <c r="H1062" s="5">
        <f t="shared" si="16"/>
        <v>-4.0268456375838965E-2</v>
      </c>
    </row>
    <row r="1063" spans="1:8" ht="13.5" x14ac:dyDescent="0.25">
      <c r="A1063" s="1"/>
      <c r="B1063" s="3">
        <v>43853</v>
      </c>
      <c r="C1063" s="4">
        <v>1.47</v>
      </c>
      <c r="D1063" s="4">
        <v>1.47</v>
      </c>
      <c r="E1063" s="4">
        <v>0</v>
      </c>
      <c r="F1063" s="4">
        <v>0</v>
      </c>
      <c r="G1063" s="4">
        <v>0</v>
      </c>
      <c r="H1063" s="5">
        <f t="shared" si="16"/>
        <v>2.7972027972028E-2</v>
      </c>
    </row>
    <row r="1064" spans="1:8" ht="13.5" x14ac:dyDescent="0.25">
      <c r="A1064" s="1"/>
      <c r="B1064" s="3">
        <v>43854</v>
      </c>
      <c r="C1064" s="4">
        <v>1.5</v>
      </c>
      <c r="D1064" s="4">
        <v>1.5</v>
      </c>
      <c r="E1064" s="4">
        <v>63</v>
      </c>
      <c r="F1064" s="4">
        <v>1.4890000000000001</v>
      </c>
      <c r="G1064" s="4">
        <v>93.807000000000002</v>
      </c>
      <c r="H1064" s="5">
        <f t="shared" si="16"/>
        <v>2.0408163265306142E-2</v>
      </c>
    </row>
    <row r="1065" spans="1:8" ht="13.5" x14ac:dyDescent="0.25">
      <c r="A1065" s="1"/>
      <c r="B1065" s="3">
        <v>43857</v>
      </c>
      <c r="C1065" s="4">
        <v>1.49</v>
      </c>
      <c r="D1065" s="4">
        <v>1.49</v>
      </c>
      <c r="E1065" s="4">
        <v>1</v>
      </c>
      <c r="F1065" s="4">
        <v>1.49</v>
      </c>
      <c r="G1065" s="4">
        <v>1.49</v>
      </c>
      <c r="H1065" s="5">
        <f t="shared" si="16"/>
        <v>-6.6666666666666723E-3</v>
      </c>
    </row>
    <row r="1066" spans="1:8" ht="13.5" x14ac:dyDescent="0.25">
      <c r="A1066" s="1"/>
      <c r="B1066" s="3">
        <v>43858</v>
      </c>
      <c r="C1066" s="4">
        <v>1.49</v>
      </c>
      <c r="D1066" s="4">
        <v>1.49</v>
      </c>
      <c r="E1066" s="4">
        <v>1</v>
      </c>
      <c r="F1066" s="4">
        <v>1.49</v>
      </c>
      <c r="G1066" s="4">
        <v>1.49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1.48</v>
      </c>
      <c r="D1067" s="4">
        <v>1.48</v>
      </c>
      <c r="E1067" s="4">
        <v>1</v>
      </c>
      <c r="F1067" s="4">
        <v>1.48</v>
      </c>
      <c r="G1067" s="4">
        <v>1.48</v>
      </c>
      <c r="H1067" s="5">
        <f t="shared" si="16"/>
        <v>-6.7114093959731603E-3</v>
      </c>
    </row>
    <row r="1068" spans="1:8" ht="13.5" x14ac:dyDescent="0.25">
      <c r="A1068" s="1"/>
      <c r="B1068" s="3">
        <v>43860</v>
      </c>
      <c r="C1068" s="4">
        <v>1.48</v>
      </c>
      <c r="D1068" s="4">
        <v>1.48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1.48</v>
      </c>
      <c r="D1069" s="4">
        <v>1.48</v>
      </c>
      <c r="E1069" s="4">
        <v>632</v>
      </c>
      <c r="F1069" s="4">
        <v>1.48</v>
      </c>
      <c r="G1069" s="4">
        <v>935.36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1.48</v>
      </c>
      <c r="D1070" s="4">
        <v>1.48</v>
      </c>
      <c r="E1070" s="4">
        <v>383</v>
      </c>
      <c r="F1070" s="4">
        <v>1.48</v>
      </c>
      <c r="G1070" s="4">
        <v>566.84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1.5</v>
      </c>
      <c r="D1071" s="4">
        <v>1.5</v>
      </c>
      <c r="E1071" s="4">
        <v>1</v>
      </c>
      <c r="F1071" s="4">
        <v>1.5</v>
      </c>
      <c r="G1071" s="4">
        <v>1.5</v>
      </c>
      <c r="H1071" s="5">
        <f t="shared" si="16"/>
        <v>1.3513513513513526E-2</v>
      </c>
    </row>
    <row r="1072" spans="1:8" ht="13.5" x14ac:dyDescent="0.25">
      <c r="A1072" s="1"/>
      <c r="B1072" s="3">
        <v>43866</v>
      </c>
      <c r="C1072" s="4">
        <v>1.5</v>
      </c>
      <c r="D1072" s="4">
        <v>1.5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1.5</v>
      </c>
      <c r="D1073" s="4">
        <v>1.5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1.5</v>
      </c>
      <c r="D1074" s="4">
        <v>1.5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1.5</v>
      </c>
      <c r="D1075" s="4">
        <v>1.5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1.5</v>
      </c>
      <c r="D1076" s="4">
        <v>1.5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1.46</v>
      </c>
      <c r="D1077" s="4">
        <v>1.46</v>
      </c>
      <c r="E1077" s="4">
        <v>100</v>
      </c>
      <c r="F1077" s="4">
        <v>1.46</v>
      </c>
      <c r="G1077" s="4">
        <v>146</v>
      </c>
      <c r="H1077" s="5">
        <f t="shared" si="16"/>
        <v>-2.6666666666666689E-2</v>
      </c>
    </row>
    <row r="1078" spans="1:8" ht="13.5" x14ac:dyDescent="0.25">
      <c r="A1078" s="1"/>
      <c r="B1078" s="3">
        <v>43874</v>
      </c>
      <c r="C1078" s="4">
        <v>1.4</v>
      </c>
      <c r="D1078" s="4">
        <v>1.4</v>
      </c>
      <c r="E1078" s="4">
        <v>827</v>
      </c>
      <c r="F1078" s="4">
        <v>1.4</v>
      </c>
      <c r="G1078" s="4">
        <v>1157.8</v>
      </c>
      <c r="H1078" s="5">
        <f t="shared" si="16"/>
        <v>-4.1095890410958943E-2</v>
      </c>
    </row>
    <row r="1079" spans="1:8" ht="13.5" x14ac:dyDescent="0.25">
      <c r="A1079" s="1"/>
      <c r="B1079" s="3">
        <v>43875</v>
      </c>
      <c r="C1079" s="4">
        <v>1.38</v>
      </c>
      <c r="D1079" s="4">
        <v>1.38</v>
      </c>
      <c r="E1079" s="4">
        <v>268</v>
      </c>
      <c r="F1079" s="4">
        <v>1.38</v>
      </c>
      <c r="G1079" s="4">
        <v>369.84</v>
      </c>
      <c r="H1079" s="5">
        <f t="shared" si="16"/>
        <v>-1.4285714285714299E-2</v>
      </c>
    </row>
    <row r="1080" spans="1:8" ht="13.5" x14ac:dyDescent="0.25">
      <c r="A1080" s="1"/>
      <c r="B1080" s="3">
        <v>43878</v>
      </c>
      <c r="C1080" s="4">
        <v>1.38</v>
      </c>
      <c r="D1080" s="4">
        <v>1.38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1.38</v>
      </c>
      <c r="D1081" s="4">
        <v>1.38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1.34</v>
      </c>
      <c r="D1082" s="4">
        <v>1.34</v>
      </c>
      <c r="E1082" s="4">
        <v>750</v>
      </c>
      <c r="F1082" s="4">
        <v>1.34</v>
      </c>
      <c r="G1082" s="4">
        <v>1005</v>
      </c>
      <c r="H1082" s="5">
        <f t="shared" si="16"/>
        <v>-2.898550724637668E-2</v>
      </c>
    </row>
    <row r="1083" spans="1:8" ht="13.5" x14ac:dyDescent="0.25">
      <c r="A1083" s="1"/>
      <c r="B1083" s="3">
        <v>43881</v>
      </c>
      <c r="C1083" s="4">
        <v>1.4</v>
      </c>
      <c r="D1083" s="4">
        <v>1.4</v>
      </c>
      <c r="E1083" s="4">
        <v>2</v>
      </c>
      <c r="F1083" s="4">
        <v>1.39</v>
      </c>
      <c r="G1083" s="4">
        <v>2.78</v>
      </c>
      <c r="H1083" s="5">
        <f t="shared" si="16"/>
        <v>4.4776119402984947E-2</v>
      </c>
    </row>
    <row r="1084" spans="1:8" ht="13.5" x14ac:dyDescent="0.25">
      <c r="A1084" s="1"/>
      <c r="B1084" s="3">
        <v>43882</v>
      </c>
      <c r="C1084" s="4">
        <v>1.4</v>
      </c>
      <c r="D1084" s="4">
        <v>1.4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1.4</v>
      </c>
      <c r="D1085" s="4">
        <v>1.4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1.4</v>
      </c>
      <c r="D1086" s="4">
        <v>1.4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1.4</v>
      </c>
      <c r="D1087" s="4">
        <v>1.4</v>
      </c>
      <c r="E1087" s="4">
        <v>0</v>
      </c>
      <c r="F1087" s="4">
        <v>0</v>
      </c>
      <c r="G1087" s="4">
        <v>0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1.4</v>
      </c>
      <c r="D1088" s="4">
        <v>1.4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1.4</v>
      </c>
      <c r="D1089" s="4">
        <v>1.4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1.4</v>
      </c>
      <c r="D1090" s="4">
        <v>1.4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1.4</v>
      </c>
      <c r="D1091" s="4">
        <v>1.4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1.36</v>
      </c>
      <c r="D1092" s="4">
        <v>1.36</v>
      </c>
      <c r="E1092" s="4">
        <v>10</v>
      </c>
      <c r="F1092" s="4">
        <v>1.36</v>
      </c>
      <c r="G1092" s="4">
        <v>13.6</v>
      </c>
      <c r="H1092" s="5">
        <f t="shared" si="16"/>
        <v>-2.8571428571428439E-2</v>
      </c>
    </row>
    <row r="1093" spans="1:8" ht="13.5" x14ac:dyDescent="0.25">
      <c r="A1093" s="1"/>
      <c r="B1093" s="3">
        <v>43895</v>
      </c>
      <c r="C1093" s="4">
        <v>1.3</v>
      </c>
      <c r="D1093" s="4">
        <v>1.3</v>
      </c>
      <c r="E1093" s="4">
        <v>111</v>
      </c>
      <c r="F1093" s="4">
        <v>1.3</v>
      </c>
      <c r="G1093" s="4">
        <v>144.30000000000001</v>
      </c>
      <c r="H1093" s="5">
        <f t="shared" si="16"/>
        <v>-4.4117647058823567E-2</v>
      </c>
    </row>
    <row r="1094" spans="1:8" ht="13.5" x14ac:dyDescent="0.25">
      <c r="A1094" s="1"/>
      <c r="B1094" s="3">
        <v>43896</v>
      </c>
      <c r="C1094" s="4">
        <v>1.3</v>
      </c>
      <c r="D1094" s="4">
        <v>1.3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1.24</v>
      </c>
      <c r="D1095" s="4">
        <v>1.24</v>
      </c>
      <c r="E1095" s="4">
        <v>54</v>
      </c>
      <c r="F1095" s="4">
        <v>1.2644</v>
      </c>
      <c r="G1095" s="4">
        <v>68.277600000000007</v>
      </c>
      <c r="H1095" s="5">
        <f t="shared" ref="H1095:H1158" si="17">(D1095-D1094)/D1094</f>
        <v>-4.6153846153846191E-2</v>
      </c>
    </row>
    <row r="1096" spans="1:8" ht="13.5" x14ac:dyDescent="0.25">
      <c r="A1096" s="1"/>
      <c r="B1096" s="3">
        <v>43900</v>
      </c>
      <c r="C1096" s="4">
        <v>1.24</v>
      </c>
      <c r="D1096" s="4">
        <v>1.24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1.24</v>
      </c>
      <c r="D1097" s="4">
        <v>1.24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1.21</v>
      </c>
      <c r="D1098" s="4">
        <v>1.21</v>
      </c>
      <c r="E1098" s="4">
        <v>100</v>
      </c>
      <c r="F1098" s="4">
        <v>1.21</v>
      </c>
      <c r="G1098" s="4">
        <v>121</v>
      </c>
      <c r="H1098" s="5">
        <f t="shared" si="17"/>
        <v>-2.4193548387096794E-2</v>
      </c>
    </row>
    <row r="1099" spans="1:8" ht="13.5" x14ac:dyDescent="0.25">
      <c r="A1099" s="1"/>
      <c r="B1099" s="3">
        <v>43903</v>
      </c>
      <c r="C1099" s="4">
        <v>1.24</v>
      </c>
      <c r="D1099" s="4">
        <v>1.24</v>
      </c>
      <c r="E1099" s="4">
        <v>1</v>
      </c>
      <c r="F1099" s="4">
        <v>1.24</v>
      </c>
      <c r="G1099" s="4">
        <v>1.24</v>
      </c>
      <c r="H1099" s="5">
        <f t="shared" si="17"/>
        <v>2.4793388429752088E-2</v>
      </c>
    </row>
    <row r="1100" spans="1:8" ht="13.5" x14ac:dyDescent="0.25">
      <c r="A1100" s="1"/>
      <c r="B1100" s="3">
        <v>43906</v>
      </c>
      <c r="C1100" s="4">
        <v>1.24</v>
      </c>
      <c r="D1100" s="4">
        <v>1.24</v>
      </c>
      <c r="E1100" s="4">
        <v>50</v>
      </c>
      <c r="F1100" s="4">
        <v>1.24</v>
      </c>
      <c r="G1100" s="4">
        <v>62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1.24</v>
      </c>
      <c r="D1101" s="4">
        <v>1.24</v>
      </c>
      <c r="E1101" s="4">
        <v>2</v>
      </c>
      <c r="F1101" s="4">
        <v>1.24</v>
      </c>
      <c r="G1101" s="4">
        <v>2.48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1.21</v>
      </c>
      <c r="D1102" s="4">
        <v>1.21</v>
      </c>
      <c r="E1102" s="4">
        <v>0</v>
      </c>
      <c r="F1102" s="4">
        <v>0</v>
      </c>
      <c r="G1102" s="4">
        <v>0</v>
      </c>
      <c r="H1102" s="5">
        <f t="shared" si="17"/>
        <v>-2.4193548387096794E-2</v>
      </c>
    </row>
    <row r="1103" spans="1:8" ht="13.5" x14ac:dyDescent="0.25">
      <c r="A1103" s="1"/>
      <c r="B1103" s="3">
        <v>43909</v>
      </c>
      <c r="C1103" s="4">
        <v>1.24</v>
      </c>
      <c r="D1103" s="4">
        <v>1.24</v>
      </c>
      <c r="E1103" s="4">
        <v>5</v>
      </c>
      <c r="F1103" s="4">
        <v>1.24</v>
      </c>
      <c r="G1103" s="4">
        <v>6.2</v>
      </c>
      <c r="H1103" s="5">
        <f t="shared" si="17"/>
        <v>2.4793388429752088E-2</v>
      </c>
    </row>
    <row r="1104" spans="1:8" ht="13.5" x14ac:dyDescent="0.25">
      <c r="A1104" s="1"/>
      <c r="B1104" s="3">
        <v>43913</v>
      </c>
      <c r="C1104" s="4">
        <v>1.24</v>
      </c>
      <c r="D1104" s="4">
        <v>1.24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1.24</v>
      </c>
      <c r="D1105" s="4">
        <v>1.24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1.24</v>
      </c>
      <c r="D1106" s="4">
        <v>1.24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1.24</v>
      </c>
      <c r="D1107" s="4">
        <v>1.24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1.24</v>
      </c>
      <c r="D1108" s="4">
        <v>1.24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1.24</v>
      </c>
      <c r="D1109" s="4">
        <v>1.24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1.24</v>
      </c>
      <c r="D1110" s="4">
        <v>1.24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1.27</v>
      </c>
      <c r="D1111" s="4">
        <v>1.27</v>
      </c>
      <c r="E1111" s="4">
        <v>1</v>
      </c>
      <c r="F1111" s="4">
        <v>1.27</v>
      </c>
      <c r="G1111" s="4">
        <v>1.27</v>
      </c>
      <c r="H1111" s="5">
        <f t="shared" si="17"/>
        <v>2.4193548387096794E-2</v>
      </c>
    </row>
    <row r="1112" spans="1:8" ht="13.5" x14ac:dyDescent="0.25">
      <c r="A1112" s="1"/>
      <c r="B1112" s="3">
        <v>43923</v>
      </c>
      <c r="C1112" s="4">
        <v>1.27</v>
      </c>
      <c r="D1112" s="4">
        <v>1.27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1.3</v>
      </c>
      <c r="D1113" s="4">
        <v>1.3</v>
      </c>
      <c r="E1113" s="4">
        <v>1</v>
      </c>
      <c r="F1113" s="4">
        <v>1.3</v>
      </c>
      <c r="G1113" s="4">
        <v>1.3</v>
      </c>
      <c r="H1113" s="5">
        <f t="shared" si="17"/>
        <v>2.3622047244094509E-2</v>
      </c>
    </row>
    <row r="1114" spans="1:8" ht="13.5" x14ac:dyDescent="0.25">
      <c r="A1114" s="1"/>
      <c r="B1114" s="3">
        <v>43927</v>
      </c>
      <c r="C1114" s="4">
        <v>1.3</v>
      </c>
      <c r="D1114" s="4">
        <v>1.3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1.33</v>
      </c>
      <c r="D1115" s="4">
        <v>1.33</v>
      </c>
      <c r="E1115" s="4">
        <v>1</v>
      </c>
      <c r="F1115" s="4">
        <v>1.33</v>
      </c>
      <c r="G1115" s="4">
        <v>1.33</v>
      </c>
      <c r="H1115" s="5">
        <f t="shared" si="17"/>
        <v>2.3076923076923096E-2</v>
      </c>
    </row>
    <row r="1116" spans="1:8" ht="13.5" x14ac:dyDescent="0.25">
      <c r="A1116" s="1"/>
      <c r="B1116" s="3">
        <v>43929</v>
      </c>
      <c r="C1116" s="4">
        <v>1.35</v>
      </c>
      <c r="D1116" s="4">
        <v>1.35</v>
      </c>
      <c r="E1116" s="4">
        <v>1</v>
      </c>
      <c r="F1116" s="4">
        <v>1.35</v>
      </c>
      <c r="G1116" s="4">
        <v>1.35</v>
      </c>
      <c r="H1116" s="5">
        <f t="shared" si="17"/>
        <v>1.5037593984962419E-2</v>
      </c>
    </row>
    <row r="1117" spans="1:8" ht="13.5" x14ac:dyDescent="0.25">
      <c r="A1117" s="1"/>
      <c r="B1117" s="3">
        <v>43934</v>
      </c>
      <c r="C1117" s="4">
        <v>1.35</v>
      </c>
      <c r="D1117" s="4">
        <v>1.35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1.35</v>
      </c>
      <c r="D1118" s="4">
        <v>1.35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1.35</v>
      </c>
      <c r="D1119" s="4">
        <v>1.35</v>
      </c>
      <c r="E1119" s="4">
        <v>0</v>
      </c>
      <c r="F1119" s="4">
        <v>0</v>
      </c>
      <c r="G1119" s="4">
        <v>0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1.35</v>
      </c>
      <c r="D1120" s="4">
        <v>1.35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1.35</v>
      </c>
      <c r="D1121" s="4">
        <v>1.35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1.35</v>
      </c>
      <c r="D1122" s="4">
        <v>1.35</v>
      </c>
      <c r="E1122" s="4">
        <v>63</v>
      </c>
      <c r="F1122" s="4">
        <v>1.35</v>
      </c>
      <c r="G1122" s="4">
        <v>85.05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1.39</v>
      </c>
      <c r="D1123" s="4">
        <v>1.39</v>
      </c>
      <c r="E1123" s="4">
        <v>1</v>
      </c>
      <c r="F1123" s="4">
        <v>1.39</v>
      </c>
      <c r="G1123" s="4">
        <v>1.39</v>
      </c>
      <c r="H1123" s="5">
        <f t="shared" si="17"/>
        <v>2.9629629629629489E-2</v>
      </c>
    </row>
    <row r="1124" spans="1:8" ht="13.5" x14ac:dyDescent="0.25">
      <c r="A1124" s="1"/>
      <c r="B1124" s="3">
        <v>43943</v>
      </c>
      <c r="C1124" s="4">
        <v>1.39</v>
      </c>
      <c r="D1124" s="4">
        <v>1.39</v>
      </c>
      <c r="E1124" s="4">
        <v>237</v>
      </c>
      <c r="F1124" s="4">
        <v>1.39</v>
      </c>
      <c r="G1124" s="4">
        <v>329.43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1.4</v>
      </c>
      <c r="D1125" s="4">
        <v>1.4</v>
      </c>
      <c r="E1125" s="4">
        <v>1</v>
      </c>
      <c r="F1125" s="4">
        <v>1.4</v>
      </c>
      <c r="G1125" s="4">
        <v>1.4</v>
      </c>
      <c r="H1125" s="5">
        <f t="shared" si="17"/>
        <v>7.1942446043165541E-3</v>
      </c>
    </row>
    <row r="1126" spans="1:8" ht="13.5" x14ac:dyDescent="0.25">
      <c r="A1126" s="1"/>
      <c r="B1126" s="3">
        <v>43945</v>
      </c>
      <c r="C1126" s="4">
        <v>1.4</v>
      </c>
      <c r="D1126" s="4">
        <v>1.4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1.4</v>
      </c>
      <c r="D1127" s="4">
        <v>1.4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1.44</v>
      </c>
      <c r="D1128" s="4">
        <v>1.44</v>
      </c>
      <c r="E1128" s="4">
        <v>150</v>
      </c>
      <c r="F1128" s="4">
        <v>1.44</v>
      </c>
      <c r="G1128" s="4">
        <v>216</v>
      </c>
      <c r="H1128" s="5">
        <f t="shared" si="17"/>
        <v>2.8571428571428598E-2</v>
      </c>
    </row>
    <row r="1129" spans="1:8" ht="13.5" x14ac:dyDescent="0.25">
      <c r="A1129" s="1"/>
      <c r="B1129" s="3">
        <v>43950</v>
      </c>
      <c r="C1129" s="4">
        <v>1.44</v>
      </c>
      <c r="D1129" s="4">
        <v>1.44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1.48</v>
      </c>
      <c r="D1130" s="4">
        <v>1.48</v>
      </c>
      <c r="E1130" s="4">
        <v>199</v>
      </c>
      <c r="F1130" s="4">
        <v>1.48</v>
      </c>
      <c r="G1130" s="4">
        <v>294.52</v>
      </c>
      <c r="H1130" s="5">
        <f t="shared" si="17"/>
        <v>2.7777777777777804E-2</v>
      </c>
    </row>
    <row r="1131" spans="1:8" ht="13.5" x14ac:dyDescent="0.25">
      <c r="A1131" s="1"/>
      <c r="B1131" s="3">
        <v>43955</v>
      </c>
      <c r="C1131" s="4">
        <v>1.51</v>
      </c>
      <c r="D1131" s="4">
        <v>1.51</v>
      </c>
      <c r="E1131" s="4">
        <v>120</v>
      </c>
      <c r="F1131" s="4">
        <v>1.51</v>
      </c>
      <c r="G1131" s="4">
        <v>181.2</v>
      </c>
      <c r="H1131" s="5">
        <f t="shared" si="17"/>
        <v>2.0270270270270289E-2</v>
      </c>
    </row>
    <row r="1132" spans="1:8" ht="13.5" x14ac:dyDescent="0.25">
      <c r="A1132" s="1"/>
      <c r="B1132" s="3">
        <v>43956</v>
      </c>
      <c r="C1132" s="4">
        <v>1.51</v>
      </c>
      <c r="D1132" s="4">
        <v>1.51</v>
      </c>
      <c r="E1132" s="4">
        <v>623</v>
      </c>
      <c r="F1132" s="4">
        <v>1.5485</v>
      </c>
      <c r="G1132" s="4">
        <v>964.71550000000002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1.52</v>
      </c>
      <c r="D1133" s="4">
        <v>1.52</v>
      </c>
      <c r="E1133" s="4">
        <v>1</v>
      </c>
      <c r="F1133" s="4">
        <v>1.52</v>
      </c>
      <c r="G1133" s="4">
        <v>1.52</v>
      </c>
      <c r="H1133" s="5">
        <f t="shared" si="17"/>
        <v>6.6225165562913968E-3</v>
      </c>
    </row>
    <row r="1134" spans="1:8" ht="13.5" x14ac:dyDescent="0.25">
      <c r="A1134" s="1"/>
      <c r="B1134" s="3">
        <v>43958</v>
      </c>
      <c r="C1134" s="4">
        <v>1.55</v>
      </c>
      <c r="D1134" s="4">
        <v>1.55</v>
      </c>
      <c r="E1134" s="4">
        <v>88</v>
      </c>
      <c r="F1134" s="4">
        <v>1.55</v>
      </c>
      <c r="G1134" s="4">
        <v>136.4</v>
      </c>
      <c r="H1134" s="5">
        <f t="shared" si="17"/>
        <v>1.9736842105263174E-2</v>
      </c>
    </row>
    <row r="1135" spans="1:8" ht="13.5" x14ac:dyDescent="0.25">
      <c r="A1135" s="1"/>
      <c r="B1135" s="3">
        <v>43959</v>
      </c>
      <c r="C1135" s="4">
        <v>1.55</v>
      </c>
      <c r="D1135" s="4">
        <v>1.55</v>
      </c>
      <c r="E1135" s="4">
        <v>109</v>
      </c>
      <c r="F1135" s="4">
        <v>1.55</v>
      </c>
      <c r="G1135" s="4">
        <v>168.95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1.58</v>
      </c>
      <c r="D1136" s="4">
        <v>1.58</v>
      </c>
      <c r="E1136" s="4">
        <v>1</v>
      </c>
      <c r="F1136" s="4">
        <v>1.58</v>
      </c>
      <c r="G1136" s="4">
        <v>1.58</v>
      </c>
      <c r="H1136" s="5">
        <f t="shared" si="17"/>
        <v>1.9354838709677438E-2</v>
      </c>
    </row>
    <row r="1137" spans="1:8" ht="13.5" x14ac:dyDescent="0.25">
      <c r="A1137" s="1"/>
      <c r="B1137" s="3">
        <v>43963</v>
      </c>
      <c r="C1137" s="4">
        <v>1.62</v>
      </c>
      <c r="D1137" s="4">
        <v>1.62</v>
      </c>
      <c r="E1137" s="4">
        <v>1</v>
      </c>
      <c r="F1137" s="4">
        <v>1.62</v>
      </c>
      <c r="G1137" s="4">
        <v>1.62</v>
      </c>
      <c r="H1137" s="5">
        <f t="shared" si="17"/>
        <v>2.5316455696202552E-2</v>
      </c>
    </row>
    <row r="1138" spans="1:8" ht="13.5" x14ac:dyDescent="0.25">
      <c r="A1138" s="1"/>
      <c r="B1138" s="3">
        <v>43964</v>
      </c>
      <c r="C1138" s="4">
        <v>1.66</v>
      </c>
      <c r="D1138" s="4">
        <v>1.66</v>
      </c>
      <c r="E1138" s="4">
        <v>1</v>
      </c>
      <c r="F1138" s="4">
        <v>1.66</v>
      </c>
      <c r="G1138" s="4">
        <v>1.66</v>
      </c>
      <c r="H1138" s="5">
        <f t="shared" si="17"/>
        <v>2.4691358024691242E-2</v>
      </c>
    </row>
    <row r="1139" spans="1:8" ht="13.5" x14ac:dyDescent="0.25">
      <c r="A1139" s="1"/>
      <c r="B1139" s="3">
        <v>43965</v>
      </c>
      <c r="C1139" s="4">
        <v>1.66</v>
      </c>
      <c r="D1139" s="4">
        <v>1.66</v>
      </c>
      <c r="E1139" s="4">
        <v>0</v>
      </c>
      <c r="F1139" s="4">
        <v>0</v>
      </c>
      <c r="G1139" s="4">
        <v>0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1.7</v>
      </c>
      <c r="D1140" s="4">
        <v>1.7</v>
      </c>
      <c r="E1140" s="4">
        <v>50</v>
      </c>
      <c r="F1140" s="4">
        <v>1.7</v>
      </c>
      <c r="G1140" s="4">
        <v>85</v>
      </c>
      <c r="H1140" s="5">
        <f t="shared" si="17"/>
        <v>2.4096385542168697E-2</v>
      </c>
    </row>
    <row r="1141" spans="1:8" ht="13.5" x14ac:dyDescent="0.25">
      <c r="A1141" s="1"/>
      <c r="B1141" s="3">
        <v>43969</v>
      </c>
      <c r="C1141" s="4">
        <v>1.67</v>
      </c>
      <c r="D1141" s="4">
        <v>1.67</v>
      </c>
      <c r="E1141" s="4">
        <v>300</v>
      </c>
      <c r="F1141" s="4">
        <v>1.67</v>
      </c>
      <c r="G1141" s="4">
        <v>501</v>
      </c>
      <c r="H1141" s="5">
        <f t="shared" si="17"/>
        <v>-1.7647058823529429E-2</v>
      </c>
    </row>
    <row r="1142" spans="1:8" ht="13.5" x14ac:dyDescent="0.25">
      <c r="A1142" s="1"/>
      <c r="B1142" s="3">
        <v>43970</v>
      </c>
      <c r="C1142" s="4">
        <v>1.69</v>
      </c>
      <c r="D1142" s="4">
        <v>1.69</v>
      </c>
      <c r="E1142" s="4">
        <v>200</v>
      </c>
      <c r="F1142" s="4">
        <v>1.69</v>
      </c>
      <c r="G1142" s="4">
        <v>338</v>
      </c>
      <c r="H1142" s="5">
        <f t="shared" si="17"/>
        <v>1.1976047904191628E-2</v>
      </c>
    </row>
    <row r="1143" spans="1:8" ht="13.5" x14ac:dyDescent="0.25">
      <c r="A1143" s="1"/>
      <c r="B1143" s="3">
        <v>43971</v>
      </c>
      <c r="C1143" s="4">
        <v>1.74</v>
      </c>
      <c r="D1143" s="4">
        <v>1.74</v>
      </c>
      <c r="E1143" s="4">
        <v>710</v>
      </c>
      <c r="F1143" s="4">
        <v>1.74</v>
      </c>
      <c r="G1143" s="4">
        <v>1235.4000000000001</v>
      </c>
      <c r="H1143" s="5">
        <f t="shared" si="17"/>
        <v>2.9585798816568074E-2</v>
      </c>
    </row>
    <row r="1144" spans="1:8" ht="13.5" x14ac:dyDescent="0.25">
      <c r="A1144" s="1"/>
      <c r="B1144" s="3">
        <v>43972</v>
      </c>
      <c r="C1144" s="4">
        <v>1.7</v>
      </c>
      <c r="D1144" s="4">
        <v>1.7</v>
      </c>
      <c r="E1144" s="4">
        <v>1000</v>
      </c>
      <c r="F1144" s="4">
        <v>1.7</v>
      </c>
      <c r="G1144" s="4">
        <v>1700</v>
      </c>
      <c r="H1144" s="5">
        <f t="shared" si="17"/>
        <v>-2.2988505747126457E-2</v>
      </c>
    </row>
    <row r="1145" spans="1:8" ht="13.5" x14ac:dyDescent="0.25">
      <c r="A1145" s="1"/>
      <c r="B1145" s="3">
        <v>43973</v>
      </c>
      <c r="C1145" s="4">
        <v>1.67</v>
      </c>
      <c r="D1145" s="4">
        <v>1.67</v>
      </c>
      <c r="E1145" s="4">
        <v>350</v>
      </c>
      <c r="F1145" s="4">
        <v>1.67</v>
      </c>
      <c r="G1145" s="4">
        <v>584.5</v>
      </c>
      <c r="H1145" s="5">
        <f t="shared" si="17"/>
        <v>-1.7647058823529429E-2</v>
      </c>
    </row>
    <row r="1146" spans="1:8" ht="13.5" x14ac:dyDescent="0.25">
      <c r="A1146" s="1"/>
      <c r="B1146" s="3">
        <v>43977</v>
      </c>
      <c r="C1146" s="4">
        <v>1.67</v>
      </c>
      <c r="D1146" s="4">
        <v>1.67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1.62</v>
      </c>
      <c r="D1147" s="4">
        <v>1.62</v>
      </c>
      <c r="E1147" s="4">
        <v>0</v>
      </c>
      <c r="F1147" s="4">
        <v>0</v>
      </c>
      <c r="G1147" s="4">
        <v>0</v>
      </c>
      <c r="H1147" s="5">
        <f t="shared" si="17"/>
        <v>-2.9940119760478938E-2</v>
      </c>
    </row>
    <row r="1148" spans="1:8" ht="13.5" x14ac:dyDescent="0.25">
      <c r="A1148" s="1"/>
      <c r="B1148" s="3">
        <v>43979</v>
      </c>
      <c r="C1148" s="4">
        <v>1.58</v>
      </c>
      <c r="D1148" s="4">
        <v>1.58</v>
      </c>
      <c r="E1148" s="4">
        <v>101</v>
      </c>
      <c r="F1148" s="4">
        <v>1.5808</v>
      </c>
      <c r="G1148" s="4">
        <v>159.66079999999999</v>
      </c>
      <c r="H1148" s="5">
        <f t="shared" si="17"/>
        <v>-2.4691358024691377E-2</v>
      </c>
    </row>
    <row r="1149" spans="1:8" ht="13.5" x14ac:dyDescent="0.25">
      <c r="A1149" s="1"/>
      <c r="B1149" s="3">
        <v>43980</v>
      </c>
      <c r="C1149" s="4">
        <v>1.58</v>
      </c>
      <c r="D1149" s="4">
        <v>1.58</v>
      </c>
      <c r="E1149" s="4">
        <v>50</v>
      </c>
      <c r="F1149" s="4">
        <v>1.58</v>
      </c>
      <c r="G1149" s="4">
        <v>79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1.54</v>
      </c>
      <c r="D1150" s="4">
        <v>1.54</v>
      </c>
      <c r="E1150" s="4">
        <v>300</v>
      </c>
      <c r="F1150" s="4">
        <v>1.54</v>
      </c>
      <c r="G1150" s="4">
        <v>462</v>
      </c>
      <c r="H1150" s="5">
        <f t="shared" si="17"/>
        <v>-2.5316455696202552E-2</v>
      </c>
    </row>
    <row r="1151" spans="1:8" ht="13.5" x14ac:dyDescent="0.25">
      <c r="A1151" s="1"/>
      <c r="B1151" s="3">
        <v>43984</v>
      </c>
      <c r="C1151" s="4">
        <v>1.54</v>
      </c>
      <c r="D1151" s="4">
        <v>1.54</v>
      </c>
      <c r="E1151" s="4">
        <v>65</v>
      </c>
      <c r="F1151" s="4">
        <v>1.54</v>
      </c>
      <c r="G1151" s="4">
        <v>100.1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1.5</v>
      </c>
      <c r="D1152" s="4">
        <v>1.5</v>
      </c>
      <c r="E1152" s="4">
        <v>20</v>
      </c>
      <c r="F1152" s="4">
        <v>1.5</v>
      </c>
      <c r="G1152" s="4">
        <v>30</v>
      </c>
      <c r="H1152" s="5">
        <f t="shared" si="17"/>
        <v>-2.5974025974025997E-2</v>
      </c>
    </row>
    <row r="1153" spans="1:8" ht="13.5" x14ac:dyDescent="0.25">
      <c r="A1153" s="1"/>
      <c r="B1153" s="3">
        <v>43986</v>
      </c>
      <c r="C1153" s="4">
        <v>1.54</v>
      </c>
      <c r="D1153" s="4">
        <v>1.54</v>
      </c>
      <c r="E1153" s="4">
        <v>1</v>
      </c>
      <c r="F1153" s="4">
        <v>1.54</v>
      </c>
      <c r="G1153" s="4">
        <v>1.54</v>
      </c>
      <c r="H1153" s="5">
        <f t="shared" si="17"/>
        <v>2.6666666666666689E-2</v>
      </c>
    </row>
    <row r="1154" spans="1:8" ht="13.5" x14ac:dyDescent="0.25">
      <c r="A1154" s="1"/>
      <c r="B1154" s="3">
        <v>43987</v>
      </c>
      <c r="C1154" s="4">
        <v>1.5</v>
      </c>
      <c r="D1154" s="4">
        <v>1.5</v>
      </c>
      <c r="E1154" s="4">
        <v>0</v>
      </c>
      <c r="F1154" s="4">
        <v>0</v>
      </c>
      <c r="G1154" s="4">
        <v>0</v>
      </c>
      <c r="H1154" s="5">
        <f t="shared" si="17"/>
        <v>-2.5974025974025997E-2</v>
      </c>
    </row>
    <row r="1155" spans="1:8" ht="13.5" x14ac:dyDescent="0.25">
      <c r="A1155" s="1"/>
      <c r="B1155" s="3">
        <v>43990</v>
      </c>
      <c r="C1155" s="4">
        <v>1.46</v>
      </c>
      <c r="D1155" s="4">
        <v>1.46</v>
      </c>
      <c r="E1155" s="4">
        <v>0</v>
      </c>
      <c r="F1155" s="4">
        <v>0</v>
      </c>
      <c r="G1155" s="4">
        <v>0</v>
      </c>
      <c r="H1155" s="5">
        <f t="shared" si="17"/>
        <v>-2.6666666666666689E-2</v>
      </c>
    </row>
    <row r="1156" spans="1:8" ht="13.5" x14ac:dyDescent="0.25">
      <c r="A1156" s="1"/>
      <c r="B1156" s="3">
        <v>43991</v>
      </c>
      <c r="C1156" s="4">
        <v>1.4</v>
      </c>
      <c r="D1156" s="4">
        <v>1.4</v>
      </c>
      <c r="E1156" s="4">
        <v>0</v>
      </c>
      <c r="F1156" s="4">
        <v>0</v>
      </c>
      <c r="G1156" s="4">
        <v>0</v>
      </c>
      <c r="H1156" s="5">
        <f t="shared" si="17"/>
        <v>-4.1095890410958943E-2</v>
      </c>
    </row>
    <row r="1157" spans="1:8" ht="13.5" x14ac:dyDescent="0.25">
      <c r="A1157" s="1"/>
      <c r="B1157" s="3">
        <v>43992</v>
      </c>
      <c r="C1157" s="4">
        <v>1.32</v>
      </c>
      <c r="D1157" s="4">
        <v>1.32</v>
      </c>
      <c r="E1157" s="4">
        <v>660</v>
      </c>
      <c r="F1157" s="4">
        <v>1.3552</v>
      </c>
      <c r="G1157" s="4">
        <v>894.43200000000002</v>
      </c>
      <c r="H1157" s="5">
        <f t="shared" si="17"/>
        <v>-5.7142857142857037E-2</v>
      </c>
    </row>
    <row r="1158" spans="1:8" ht="13.5" x14ac:dyDescent="0.25">
      <c r="A1158" s="1"/>
      <c r="B1158" s="3">
        <v>43993</v>
      </c>
      <c r="C1158" s="4">
        <v>1.35</v>
      </c>
      <c r="D1158" s="4">
        <v>1.35</v>
      </c>
      <c r="E1158" s="4">
        <v>11</v>
      </c>
      <c r="F1158" s="4">
        <v>1.35</v>
      </c>
      <c r="G1158" s="4">
        <v>14.85</v>
      </c>
      <c r="H1158" s="5">
        <f t="shared" si="17"/>
        <v>2.2727272727272745E-2</v>
      </c>
    </row>
    <row r="1159" spans="1:8" ht="13.5" x14ac:dyDescent="0.25">
      <c r="A1159" s="1"/>
      <c r="B1159" s="3">
        <v>43994</v>
      </c>
      <c r="C1159" s="4">
        <v>1.35</v>
      </c>
      <c r="D1159" s="4">
        <v>1.35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1.39</v>
      </c>
      <c r="D1160" s="4">
        <v>1.39</v>
      </c>
      <c r="E1160" s="4">
        <v>1</v>
      </c>
      <c r="F1160" s="4">
        <v>1.39</v>
      </c>
      <c r="G1160" s="4">
        <v>1.39</v>
      </c>
      <c r="H1160" s="5">
        <f t="shared" si="18"/>
        <v>2.9629629629629489E-2</v>
      </c>
    </row>
    <row r="1161" spans="1:8" ht="13.5" x14ac:dyDescent="0.25">
      <c r="A1161" s="1"/>
      <c r="B1161" s="3">
        <v>43998</v>
      </c>
      <c r="C1161" s="4">
        <v>1.33</v>
      </c>
      <c r="D1161" s="4">
        <v>1.33</v>
      </c>
      <c r="E1161" s="4">
        <v>205</v>
      </c>
      <c r="F1161" s="4">
        <v>1.33</v>
      </c>
      <c r="G1161" s="4">
        <v>272.64999999999998</v>
      </c>
      <c r="H1161" s="5">
        <f t="shared" si="18"/>
        <v>-4.3165467625899165E-2</v>
      </c>
    </row>
    <row r="1162" spans="1:8" ht="13.5" x14ac:dyDescent="0.25">
      <c r="A1162" s="1"/>
      <c r="B1162" s="3">
        <v>43999</v>
      </c>
      <c r="C1162" s="4">
        <v>1.28</v>
      </c>
      <c r="D1162" s="4">
        <v>1.28</v>
      </c>
      <c r="E1162" s="4">
        <v>0</v>
      </c>
      <c r="F1162" s="4">
        <v>0</v>
      </c>
      <c r="G1162" s="4">
        <v>0</v>
      </c>
      <c r="H1162" s="5">
        <f t="shared" si="18"/>
        <v>-3.7593984962406048E-2</v>
      </c>
    </row>
    <row r="1163" spans="1:8" ht="13.5" x14ac:dyDescent="0.25">
      <c r="A1163" s="1"/>
      <c r="B1163" s="3">
        <v>44000</v>
      </c>
      <c r="C1163" s="4">
        <v>1.23</v>
      </c>
      <c r="D1163" s="4">
        <v>1.23</v>
      </c>
      <c r="E1163" s="4">
        <v>1639</v>
      </c>
      <c r="F1163" s="4">
        <v>1.23</v>
      </c>
      <c r="G1163" s="4">
        <v>2015.97</v>
      </c>
      <c r="H1163" s="5">
        <f t="shared" si="18"/>
        <v>-3.9062500000000035E-2</v>
      </c>
    </row>
    <row r="1164" spans="1:8" ht="13.5" x14ac:dyDescent="0.25">
      <c r="A1164" s="1"/>
      <c r="B1164" s="3">
        <v>44001</v>
      </c>
      <c r="C1164" s="4">
        <v>1.23</v>
      </c>
      <c r="D1164" s="4">
        <v>1.23</v>
      </c>
      <c r="E1164" s="4">
        <v>45</v>
      </c>
      <c r="F1164" s="4">
        <v>1.23</v>
      </c>
      <c r="G1164" s="4">
        <v>55.35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1.23</v>
      </c>
      <c r="D1165" s="4">
        <v>1.23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1.23</v>
      </c>
      <c r="D1166" s="4">
        <v>1.23</v>
      </c>
      <c r="E1166" s="4">
        <v>0</v>
      </c>
      <c r="F1166" s="4">
        <v>0</v>
      </c>
      <c r="G1166" s="4">
        <v>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1.21</v>
      </c>
      <c r="D1167" s="4">
        <v>1.21</v>
      </c>
      <c r="E1167" s="4">
        <v>10</v>
      </c>
      <c r="F1167" s="4">
        <v>1.21</v>
      </c>
      <c r="G1167" s="4">
        <v>12.1</v>
      </c>
      <c r="H1167" s="5">
        <f t="shared" si="18"/>
        <v>-1.6260162601626032E-2</v>
      </c>
    </row>
    <row r="1168" spans="1:8" ht="13.5" x14ac:dyDescent="0.25">
      <c r="A1168" s="1"/>
      <c r="B1168" s="3">
        <v>44007</v>
      </c>
      <c r="C1168" s="4">
        <v>1.21</v>
      </c>
      <c r="D1168" s="4">
        <v>1.21</v>
      </c>
      <c r="E1168" s="4">
        <v>0</v>
      </c>
      <c r="F1168" s="4">
        <v>0</v>
      </c>
      <c r="G1168" s="4">
        <v>0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1.21</v>
      </c>
      <c r="D1169" s="4">
        <v>1.21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1.21</v>
      </c>
      <c r="D1170" s="4">
        <v>1.21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1.24</v>
      </c>
      <c r="D1171" s="4">
        <v>1.24</v>
      </c>
      <c r="E1171" s="4">
        <v>108</v>
      </c>
      <c r="F1171" s="4">
        <v>1.24</v>
      </c>
      <c r="G1171" s="4">
        <v>133.91999999999999</v>
      </c>
      <c r="H1171" s="5">
        <f t="shared" si="18"/>
        <v>2.4793388429752088E-2</v>
      </c>
    </row>
    <row r="1172" spans="1:8" ht="13.5" x14ac:dyDescent="0.25">
      <c r="A1172" s="1"/>
      <c r="B1172" s="3">
        <v>44013</v>
      </c>
      <c r="C1172" s="4">
        <v>1.24</v>
      </c>
      <c r="D1172" s="4">
        <v>1.24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1.21</v>
      </c>
      <c r="D1173" s="4">
        <v>1.21</v>
      </c>
      <c r="E1173" s="4">
        <v>1730</v>
      </c>
      <c r="F1173" s="4">
        <v>1.21</v>
      </c>
      <c r="G1173" s="4">
        <v>2093.3000000000002</v>
      </c>
      <c r="H1173" s="5">
        <f t="shared" si="18"/>
        <v>-2.4193548387096794E-2</v>
      </c>
    </row>
    <row r="1174" spans="1:8" ht="13.5" x14ac:dyDescent="0.25">
      <c r="A1174" s="1"/>
      <c r="B1174" s="3">
        <v>44015</v>
      </c>
      <c r="C1174" s="4">
        <v>1.21</v>
      </c>
      <c r="D1174" s="4">
        <v>1.21</v>
      </c>
      <c r="E1174" s="4">
        <v>0</v>
      </c>
      <c r="F1174" s="4">
        <v>0</v>
      </c>
      <c r="G1174" s="4">
        <v>0</v>
      </c>
      <c r="H1174" s="5">
        <f t="shared" si="18"/>
        <v>0</v>
      </c>
    </row>
    <row r="1175" spans="1:8" ht="13.5" x14ac:dyDescent="0.25">
      <c r="A1175" s="1"/>
      <c r="B1175" s="3">
        <v>44018</v>
      </c>
      <c r="C1175" s="4">
        <v>1.21</v>
      </c>
      <c r="D1175" s="4">
        <v>1.21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1.24</v>
      </c>
      <c r="D1176" s="4">
        <v>1.24</v>
      </c>
      <c r="E1176" s="4">
        <v>270</v>
      </c>
      <c r="F1176" s="4">
        <v>1.24</v>
      </c>
      <c r="G1176" s="4">
        <v>334.8</v>
      </c>
      <c r="H1176" s="5">
        <f t="shared" si="18"/>
        <v>2.4793388429752088E-2</v>
      </c>
    </row>
    <row r="1177" spans="1:8" ht="13.5" x14ac:dyDescent="0.25">
      <c r="A1177" s="1"/>
      <c r="B1177" s="3">
        <v>44020</v>
      </c>
      <c r="C1177" s="4">
        <v>1.24</v>
      </c>
      <c r="D1177" s="4">
        <v>1.24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1.25</v>
      </c>
      <c r="D1178" s="4">
        <v>1.25</v>
      </c>
      <c r="E1178" s="4">
        <v>90</v>
      </c>
      <c r="F1178" s="4">
        <v>1.25</v>
      </c>
      <c r="G1178" s="4">
        <v>112.5</v>
      </c>
      <c r="H1178" s="5">
        <f t="shared" si="18"/>
        <v>8.0645161290322648E-3</v>
      </c>
    </row>
    <row r="1179" spans="1:8" ht="13.5" x14ac:dyDescent="0.25">
      <c r="A1179" s="1"/>
      <c r="B1179" s="3">
        <v>44022</v>
      </c>
      <c r="C1179" s="4">
        <v>1.25</v>
      </c>
      <c r="D1179" s="4">
        <v>1.25</v>
      </c>
      <c r="E1179" s="4">
        <v>59</v>
      </c>
      <c r="F1179" s="4">
        <v>1.25</v>
      </c>
      <c r="G1179" s="4">
        <v>73.75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1.25</v>
      </c>
      <c r="D1180" s="4">
        <v>1.25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1.25</v>
      </c>
      <c r="D1181" s="4">
        <v>1.25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1.25</v>
      </c>
      <c r="D1182" s="4">
        <v>1.25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1.25</v>
      </c>
      <c r="D1183" s="4">
        <v>1.25</v>
      </c>
      <c r="E1183" s="4">
        <v>0</v>
      </c>
      <c r="F1183" s="4">
        <v>0</v>
      </c>
      <c r="G1183" s="4">
        <v>0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1.22</v>
      </c>
      <c r="D1184" s="4">
        <v>1.22</v>
      </c>
      <c r="E1184" s="4">
        <v>200</v>
      </c>
      <c r="F1184" s="4">
        <v>1.22</v>
      </c>
      <c r="G1184" s="4">
        <v>244</v>
      </c>
      <c r="H1184" s="5">
        <f t="shared" si="18"/>
        <v>-2.4000000000000021E-2</v>
      </c>
    </row>
    <row r="1185" spans="1:8" ht="13.5" x14ac:dyDescent="0.25">
      <c r="A1185" s="1"/>
      <c r="B1185" s="3">
        <v>44032</v>
      </c>
      <c r="C1185" s="4">
        <v>1.22</v>
      </c>
      <c r="D1185" s="4">
        <v>1.22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1.22</v>
      </c>
      <c r="D1186" s="4">
        <v>1.22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1.2</v>
      </c>
      <c r="D1187" s="4">
        <v>1.2</v>
      </c>
      <c r="E1187" s="4">
        <v>1410</v>
      </c>
      <c r="F1187" s="4">
        <v>1.2</v>
      </c>
      <c r="G1187" s="4">
        <v>1692</v>
      </c>
      <c r="H1187" s="5">
        <f t="shared" si="18"/>
        <v>-1.6393442622950834E-2</v>
      </c>
    </row>
    <row r="1188" spans="1:8" ht="13.5" x14ac:dyDescent="0.25">
      <c r="A1188" s="1"/>
      <c r="B1188" s="3">
        <v>44035</v>
      </c>
      <c r="C1188" s="4">
        <v>1.2</v>
      </c>
      <c r="D1188" s="4">
        <v>1.2</v>
      </c>
      <c r="E1188" s="4">
        <v>1238</v>
      </c>
      <c r="F1188" s="4">
        <v>1.2</v>
      </c>
      <c r="G1188" s="4">
        <v>1485.6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1.2</v>
      </c>
      <c r="D1189" s="4">
        <v>1.2</v>
      </c>
      <c r="E1189" s="4">
        <v>1274</v>
      </c>
      <c r="F1189" s="4">
        <v>1.2</v>
      </c>
      <c r="G1189" s="4">
        <v>1528.8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1.2</v>
      </c>
      <c r="D1190" s="4">
        <v>1.2</v>
      </c>
      <c r="E1190" s="4">
        <v>133</v>
      </c>
      <c r="F1190" s="4">
        <v>1.2</v>
      </c>
      <c r="G1190" s="4">
        <v>159.6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1.2</v>
      </c>
      <c r="D1191" s="4">
        <v>1.2</v>
      </c>
      <c r="E1191" s="4">
        <v>143</v>
      </c>
      <c r="F1191" s="4">
        <v>1.2</v>
      </c>
      <c r="G1191" s="4">
        <v>171.6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1.18</v>
      </c>
      <c r="D1192" s="4">
        <v>1.18</v>
      </c>
      <c r="E1192" s="4">
        <v>2773</v>
      </c>
      <c r="F1192" s="4">
        <v>1.18</v>
      </c>
      <c r="G1192" s="4">
        <v>3272.14</v>
      </c>
      <c r="H1192" s="5">
        <f t="shared" si="18"/>
        <v>-1.6666666666666684E-2</v>
      </c>
    </row>
    <row r="1193" spans="1:8" ht="13.5" x14ac:dyDescent="0.25">
      <c r="A1193" s="1"/>
      <c r="B1193" s="3">
        <v>44042</v>
      </c>
      <c r="C1193" s="4">
        <v>1.18</v>
      </c>
      <c r="D1193" s="4">
        <v>1.18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1.18</v>
      </c>
      <c r="D1194" s="4">
        <v>1.18</v>
      </c>
      <c r="E1194" s="4">
        <v>19</v>
      </c>
      <c r="F1194" s="4">
        <v>1.18</v>
      </c>
      <c r="G1194" s="4">
        <v>22.42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1.1399999999999999</v>
      </c>
      <c r="D1195" s="4">
        <v>1.1399999999999999</v>
      </c>
      <c r="E1195" s="4">
        <v>3568</v>
      </c>
      <c r="F1195" s="4">
        <v>1.1399999999999999</v>
      </c>
      <c r="G1195" s="4">
        <v>4067.52</v>
      </c>
      <c r="H1195" s="5">
        <f t="shared" si="18"/>
        <v>-3.3898305084745797E-2</v>
      </c>
    </row>
    <row r="1196" spans="1:8" ht="13.5" x14ac:dyDescent="0.25">
      <c r="A1196" s="1"/>
      <c r="B1196" s="3">
        <v>44048</v>
      </c>
      <c r="C1196" s="4">
        <v>1.1399999999999999</v>
      </c>
      <c r="D1196" s="4">
        <v>1.1399999999999999</v>
      </c>
      <c r="E1196" s="4">
        <v>784</v>
      </c>
      <c r="F1196" s="4">
        <v>1.1399999999999999</v>
      </c>
      <c r="G1196" s="4">
        <v>893.76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1.1399999999999999</v>
      </c>
      <c r="D1197" s="4">
        <v>1.1399999999999999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1.1399999999999999</v>
      </c>
      <c r="D1198" s="4">
        <v>1.1399999999999999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1.1399999999999999</v>
      </c>
      <c r="D1199" s="4">
        <v>1.1399999999999999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1.1399999999999999</v>
      </c>
      <c r="D1200" s="4">
        <v>1.1399999999999999</v>
      </c>
      <c r="E1200" s="4">
        <v>922</v>
      </c>
      <c r="F1200" s="4">
        <v>1.1399999999999999</v>
      </c>
      <c r="G1200" s="4">
        <v>1051.08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1.1399999999999999</v>
      </c>
      <c r="D1201" s="4">
        <v>1.1399999999999999</v>
      </c>
      <c r="E1201" s="4">
        <v>574</v>
      </c>
      <c r="F1201" s="4">
        <v>1.1399999999999999</v>
      </c>
      <c r="G1201" s="4">
        <v>654.36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1.1399999999999999</v>
      </c>
      <c r="D1202" s="4">
        <v>1.1399999999999999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1.1399999999999999</v>
      </c>
      <c r="D1203" s="4">
        <v>1.1399999999999999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1.1399999999999999</v>
      </c>
      <c r="D1204" s="4">
        <v>1.1399999999999999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1.1399999999999999</v>
      </c>
      <c r="D1205" s="4">
        <v>1.1399999999999999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1.1399999999999999</v>
      </c>
      <c r="D1206" s="4">
        <v>1.1399999999999999</v>
      </c>
      <c r="E1206" s="4">
        <v>600</v>
      </c>
      <c r="F1206" s="4">
        <v>1.1399999999999999</v>
      </c>
      <c r="G1206" s="4">
        <v>684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1.1399999999999999</v>
      </c>
      <c r="D1207" s="4">
        <v>1.1399999999999999</v>
      </c>
      <c r="E1207" s="4">
        <v>250</v>
      </c>
      <c r="F1207" s="4">
        <v>1.1399999999999999</v>
      </c>
      <c r="G1207" s="4">
        <v>285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1.1399999999999999</v>
      </c>
      <c r="D1208" s="4">
        <v>1.1399999999999999</v>
      </c>
      <c r="E1208" s="4">
        <v>86</v>
      </c>
      <c r="F1208" s="4">
        <v>1.1399999999999999</v>
      </c>
      <c r="G1208" s="4">
        <v>98.04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1.1399999999999999</v>
      </c>
      <c r="D1209" s="4">
        <v>1.1399999999999999</v>
      </c>
      <c r="E1209" s="4">
        <v>1330</v>
      </c>
      <c r="F1209" s="4">
        <v>1.1399999999999999</v>
      </c>
      <c r="G1209" s="4">
        <v>1516.2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1.1399999999999999</v>
      </c>
      <c r="D1210" s="4">
        <v>1.1399999999999999</v>
      </c>
      <c r="E1210" s="4">
        <v>1243</v>
      </c>
      <c r="F1210" s="4">
        <v>1.1399999999999999</v>
      </c>
      <c r="G1210" s="4">
        <v>1417.02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1.1399999999999999</v>
      </c>
      <c r="D1211" s="4">
        <v>1.1399999999999999</v>
      </c>
      <c r="E1211" s="4">
        <v>432</v>
      </c>
      <c r="F1211" s="4">
        <v>1.1399999999999999</v>
      </c>
      <c r="G1211" s="4">
        <v>492.48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1.1399999999999999</v>
      </c>
      <c r="D1212" s="4">
        <v>1.1399999999999999</v>
      </c>
      <c r="E1212" s="4">
        <v>147</v>
      </c>
      <c r="F1212" s="4">
        <v>1.1399999999999999</v>
      </c>
      <c r="G1212" s="4">
        <v>167.58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1.1200000000000001</v>
      </c>
      <c r="D1213" s="4">
        <v>1.1200000000000001</v>
      </c>
      <c r="E1213" s="4">
        <v>50</v>
      </c>
      <c r="F1213" s="4">
        <v>1.1200000000000001</v>
      </c>
      <c r="G1213" s="4">
        <v>56</v>
      </c>
      <c r="H1213" s="5">
        <f t="shared" si="18"/>
        <v>-1.7543859649122629E-2</v>
      </c>
    </row>
    <row r="1214" spans="1:8" ht="13.5" x14ac:dyDescent="0.25">
      <c r="A1214" s="1"/>
      <c r="B1214" s="3">
        <v>44076</v>
      </c>
      <c r="C1214" s="4">
        <v>1.1200000000000001</v>
      </c>
      <c r="D1214" s="4">
        <v>1.1200000000000001</v>
      </c>
      <c r="E1214" s="4">
        <v>200</v>
      </c>
      <c r="F1214" s="4">
        <v>1.1200000000000001</v>
      </c>
      <c r="G1214" s="4">
        <v>224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1.08</v>
      </c>
      <c r="D1215" s="4">
        <v>1.08</v>
      </c>
      <c r="E1215" s="4">
        <v>1050</v>
      </c>
      <c r="F1215" s="4">
        <v>1.0831</v>
      </c>
      <c r="G1215" s="4">
        <v>1137.2550000000001</v>
      </c>
      <c r="H1215" s="5">
        <f t="shared" si="18"/>
        <v>-3.571428571428574E-2</v>
      </c>
    </row>
    <row r="1216" spans="1:8" ht="13.5" x14ac:dyDescent="0.25">
      <c r="A1216" s="1"/>
      <c r="B1216" s="3">
        <v>44078</v>
      </c>
      <c r="C1216" s="4">
        <v>1.1000000000000001</v>
      </c>
      <c r="D1216" s="4">
        <v>1.1000000000000001</v>
      </c>
      <c r="E1216" s="4">
        <v>5050</v>
      </c>
      <c r="F1216" s="4">
        <v>1.1000000000000001</v>
      </c>
      <c r="G1216" s="4">
        <v>5555</v>
      </c>
      <c r="H1216" s="5">
        <f t="shared" si="18"/>
        <v>1.8518518518518535E-2</v>
      </c>
    </row>
    <row r="1217" spans="1:8" ht="13.5" x14ac:dyDescent="0.25">
      <c r="A1217" s="1"/>
      <c r="B1217" s="3">
        <v>44081</v>
      </c>
      <c r="C1217" s="4">
        <v>1.1000000000000001</v>
      </c>
      <c r="D1217" s="4">
        <v>1.1000000000000001</v>
      </c>
      <c r="E1217" s="4">
        <v>333</v>
      </c>
      <c r="F1217" s="4">
        <v>1.1000000000000001</v>
      </c>
      <c r="G1217" s="4">
        <v>366.3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1.1299999999999999</v>
      </c>
      <c r="D1218" s="4">
        <v>1.1299999999999999</v>
      </c>
      <c r="E1218" s="4">
        <v>700</v>
      </c>
      <c r="F1218" s="4">
        <v>1.1299999999999999</v>
      </c>
      <c r="G1218" s="4">
        <v>791</v>
      </c>
      <c r="H1218" s="5">
        <f t="shared" si="18"/>
        <v>2.7272727272727094E-2</v>
      </c>
    </row>
    <row r="1219" spans="1:8" ht="13.5" x14ac:dyDescent="0.25">
      <c r="A1219" s="1"/>
      <c r="B1219" s="3">
        <v>44083</v>
      </c>
      <c r="C1219" s="4">
        <v>1.1599999999999999</v>
      </c>
      <c r="D1219" s="4">
        <v>1.1599999999999999</v>
      </c>
      <c r="E1219" s="4">
        <v>3130</v>
      </c>
      <c r="F1219" s="4">
        <v>1.1485000000000001</v>
      </c>
      <c r="G1219" s="4">
        <v>3594.8049999999998</v>
      </c>
      <c r="H1219" s="5">
        <f t="shared" si="18"/>
        <v>2.6548672566371709E-2</v>
      </c>
    </row>
    <row r="1220" spans="1:8" ht="13.5" x14ac:dyDescent="0.25">
      <c r="A1220" s="1"/>
      <c r="B1220" s="3">
        <v>44084</v>
      </c>
      <c r="C1220" s="4">
        <v>1.22</v>
      </c>
      <c r="D1220" s="4">
        <v>1.22</v>
      </c>
      <c r="E1220" s="4">
        <v>917</v>
      </c>
      <c r="F1220" s="4">
        <v>1.2101999999999999</v>
      </c>
      <c r="G1220" s="4">
        <v>1109.7534000000001</v>
      </c>
      <c r="H1220" s="5">
        <f t="shared" si="18"/>
        <v>5.1724137931034531E-2</v>
      </c>
    </row>
    <row r="1221" spans="1:8" ht="13.5" x14ac:dyDescent="0.25">
      <c r="A1221" s="1"/>
      <c r="B1221" s="3">
        <v>44085</v>
      </c>
      <c r="C1221" s="4">
        <v>1.26</v>
      </c>
      <c r="D1221" s="4">
        <v>1.26</v>
      </c>
      <c r="E1221" s="4">
        <v>2651</v>
      </c>
      <c r="F1221" s="4">
        <v>1.2562</v>
      </c>
      <c r="G1221" s="4">
        <v>3330.1862000000001</v>
      </c>
      <c r="H1221" s="5">
        <f t="shared" si="18"/>
        <v>3.2786885245901669E-2</v>
      </c>
    </row>
    <row r="1222" spans="1:8" ht="13.5" x14ac:dyDescent="0.25">
      <c r="A1222" s="1"/>
      <c r="B1222" s="3">
        <v>44088</v>
      </c>
      <c r="C1222" s="4">
        <v>1.26</v>
      </c>
      <c r="D1222" s="4">
        <v>1.26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1.26</v>
      </c>
      <c r="D1223" s="4">
        <v>1.26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1.21</v>
      </c>
      <c r="D1224" s="4">
        <v>1.21</v>
      </c>
      <c r="E1224" s="4">
        <v>0</v>
      </c>
      <c r="F1224" s="4">
        <v>0</v>
      </c>
      <c r="G1224" s="4">
        <v>0</v>
      </c>
      <c r="H1224" s="5">
        <f t="shared" si="19"/>
        <v>-3.9682539682539715E-2</v>
      </c>
    </row>
    <row r="1225" spans="1:8" ht="13.5" x14ac:dyDescent="0.25">
      <c r="A1225" s="1"/>
      <c r="B1225" s="3">
        <v>44091</v>
      </c>
      <c r="C1225" s="4">
        <v>1.1499999999999999</v>
      </c>
      <c r="D1225" s="4">
        <v>1.1499999999999999</v>
      </c>
      <c r="E1225" s="4">
        <v>116</v>
      </c>
      <c r="F1225" s="4">
        <v>1.1567000000000001</v>
      </c>
      <c r="G1225" s="4">
        <v>134.1772</v>
      </c>
      <c r="H1225" s="5">
        <f t="shared" si="19"/>
        <v>-4.9586776859504175E-2</v>
      </c>
    </row>
    <row r="1226" spans="1:8" ht="13.5" x14ac:dyDescent="0.25">
      <c r="A1226" s="1"/>
      <c r="B1226" s="3">
        <v>44092</v>
      </c>
      <c r="C1226" s="4">
        <v>1.1499999999999999</v>
      </c>
      <c r="D1226" s="4">
        <v>1.1499999999999999</v>
      </c>
      <c r="E1226" s="4">
        <v>130</v>
      </c>
      <c r="F1226" s="4">
        <v>1.1499999999999999</v>
      </c>
      <c r="G1226" s="4">
        <v>149.5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1.1499999999999999</v>
      </c>
      <c r="D1227" s="4">
        <v>1.1499999999999999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1.1200000000000001</v>
      </c>
      <c r="D1228" s="4">
        <v>1.1200000000000001</v>
      </c>
      <c r="E1228" s="4">
        <v>1250</v>
      </c>
      <c r="F1228" s="4">
        <v>1.1200000000000001</v>
      </c>
      <c r="G1228" s="4">
        <v>1400</v>
      </c>
      <c r="H1228" s="5">
        <f t="shared" si="19"/>
        <v>-2.6086956521738962E-2</v>
      </c>
    </row>
    <row r="1229" spans="1:8" ht="13.5" x14ac:dyDescent="0.25">
      <c r="A1229" s="1"/>
      <c r="B1229" s="3">
        <v>44097</v>
      </c>
      <c r="C1229" s="4">
        <v>1.1000000000000001</v>
      </c>
      <c r="D1229" s="4">
        <v>1.1000000000000001</v>
      </c>
      <c r="E1229" s="4">
        <v>9217</v>
      </c>
      <c r="F1229" s="4">
        <v>1.1000000000000001</v>
      </c>
      <c r="G1229" s="4">
        <v>10138.700000000001</v>
      </c>
      <c r="H1229" s="5">
        <f t="shared" si="19"/>
        <v>-1.785714285714287E-2</v>
      </c>
    </row>
    <row r="1230" spans="1:8" ht="13.5" x14ac:dyDescent="0.25">
      <c r="A1230" s="1"/>
      <c r="B1230" s="3">
        <v>44098</v>
      </c>
      <c r="C1230" s="4">
        <v>1.1000000000000001</v>
      </c>
      <c r="D1230" s="4">
        <v>1.1000000000000001</v>
      </c>
      <c r="E1230" s="4">
        <v>0</v>
      </c>
      <c r="F1230" s="4">
        <v>0</v>
      </c>
      <c r="G1230" s="4">
        <v>0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1.1000000000000001</v>
      </c>
      <c r="D1231" s="4">
        <v>1.1000000000000001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1.1200000000000001</v>
      </c>
      <c r="D1232" s="4">
        <v>1.1200000000000001</v>
      </c>
      <c r="E1232" s="4">
        <v>100</v>
      </c>
      <c r="F1232" s="4">
        <v>1.1200000000000001</v>
      </c>
      <c r="G1232" s="4">
        <v>112</v>
      </c>
      <c r="H1232" s="5">
        <f t="shared" si="19"/>
        <v>1.8181818181818195E-2</v>
      </c>
    </row>
    <row r="1233" spans="1:8" ht="13.5" x14ac:dyDescent="0.25">
      <c r="A1233" s="1"/>
      <c r="B1233" s="3">
        <v>44103</v>
      </c>
      <c r="C1233" s="4">
        <v>1.1499999999999999</v>
      </c>
      <c r="D1233" s="4">
        <v>1.1499999999999999</v>
      </c>
      <c r="E1233" s="4">
        <v>1580</v>
      </c>
      <c r="F1233" s="4">
        <v>1.1499999999999999</v>
      </c>
      <c r="G1233" s="4">
        <v>1817</v>
      </c>
      <c r="H1233" s="5">
        <f t="shared" si="19"/>
        <v>2.6785714285714107E-2</v>
      </c>
    </row>
    <row r="1234" spans="1:8" ht="13.5" x14ac:dyDescent="0.25">
      <c r="A1234" s="1"/>
      <c r="B1234" s="3">
        <v>44104</v>
      </c>
      <c r="C1234" s="4">
        <v>1.2</v>
      </c>
      <c r="D1234" s="4">
        <v>1.2</v>
      </c>
      <c r="E1234" s="4">
        <v>824</v>
      </c>
      <c r="F1234" s="4">
        <v>1.1994</v>
      </c>
      <c r="G1234" s="4">
        <v>988.30560000000003</v>
      </c>
      <c r="H1234" s="5">
        <f t="shared" si="19"/>
        <v>4.3478260869565258E-2</v>
      </c>
    </row>
    <row r="1235" spans="1:8" ht="13.5" x14ac:dyDescent="0.25">
      <c r="A1235" s="1"/>
      <c r="B1235" s="3">
        <v>44105</v>
      </c>
      <c r="C1235" s="4">
        <v>1.2</v>
      </c>
      <c r="D1235" s="4">
        <v>1.2</v>
      </c>
      <c r="E1235" s="4">
        <v>50</v>
      </c>
      <c r="F1235" s="4">
        <v>1.2</v>
      </c>
      <c r="G1235" s="4">
        <v>60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1.2</v>
      </c>
      <c r="D1236" s="4">
        <v>1.2</v>
      </c>
      <c r="E1236" s="4">
        <v>107</v>
      </c>
      <c r="F1236" s="4">
        <v>1.2</v>
      </c>
      <c r="G1236" s="4">
        <v>128.4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1.2</v>
      </c>
      <c r="D1237" s="4">
        <v>1.2</v>
      </c>
      <c r="E1237" s="4">
        <v>2664</v>
      </c>
      <c r="F1237" s="4">
        <v>1.1999</v>
      </c>
      <c r="G1237" s="4">
        <v>3196.5336000000002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1.2</v>
      </c>
      <c r="D1238" s="4">
        <v>1.2</v>
      </c>
      <c r="E1238" s="4">
        <v>100</v>
      </c>
      <c r="F1238" s="4">
        <v>1.2</v>
      </c>
      <c r="G1238" s="4">
        <v>120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1.26</v>
      </c>
      <c r="D1239" s="4">
        <v>1.26</v>
      </c>
      <c r="E1239" s="4">
        <v>341</v>
      </c>
      <c r="F1239" s="4">
        <v>1.2595000000000001</v>
      </c>
      <c r="G1239" s="4">
        <v>429.48950000000002</v>
      </c>
      <c r="H1239" s="5">
        <f t="shared" si="19"/>
        <v>5.0000000000000044E-2</v>
      </c>
    </row>
    <row r="1240" spans="1:8" ht="13.5" x14ac:dyDescent="0.25">
      <c r="A1240" s="1"/>
      <c r="B1240" s="3">
        <v>44112</v>
      </c>
      <c r="C1240" s="4">
        <v>1.32</v>
      </c>
      <c r="D1240" s="4">
        <v>1.32</v>
      </c>
      <c r="E1240" s="4">
        <v>937</v>
      </c>
      <c r="F1240" s="4">
        <v>1.3168</v>
      </c>
      <c r="G1240" s="4">
        <v>1233.8416</v>
      </c>
      <c r="H1240" s="5">
        <f t="shared" si="19"/>
        <v>4.7619047619047658E-2</v>
      </c>
    </row>
    <row r="1241" spans="1:8" ht="13.5" x14ac:dyDescent="0.25">
      <c r="A1241" s="1"/>
      <c r="B1241" s="3">
        <v>44113</v>
      </c>
      <c r="C1241" s="4">
        <v>1.37</v>
      </c>
      <c r="D1241" s="4">
        <v>1.37</v>
      </c>
      <c r="E1241" s="4">
        <v>0</v>
      </c>
      <c r="F1241" s="4">
        <v>0</v>
      </c>
      <c r="G1241" s="4">
        <v>0</v>
      </c>
      <c r="H1241" s="5">
        <f t="shared" si="19"/>
        <v>3.7878787878787908E-2</v>
      </c>
    </row>
    <row r="1242" spans="1:8" ht="13.5" x14ac:dyDescent="0.25">
      <c r="A1242" s="1"/>
      <c r="B1242" s="3">
        <v>44116</v>
      </c>
      <c r="C1242" s="4">
        <v>1.39</v>
      </c>
      <c r="D1242" s="4">
        <v>1.39</v>
      </c>
      <c r="E1242" s="4">
        <v>2342</v>
      </c>
      <c r="F1242" s="4">
        <v>1.3891</v>
      </c>
      <c r="G1242" s="4">
        <v>3253.2721999999999</v>
      </c>
      <c r="H1242" s="5">
        <f t="shared" si="19"/>
        <v>1.4598540145985252E-2</v>
      </c>
    </row>
    <row r="1243" spans="1:8" ht="13.5" x14ac:dyDescent="0.25">
      <c r="A1243" s="1"/>
      <c r="B1243" s="3">
        <v>44117</v>
      </c>
      <c r="C1243" s="4">
        <v>1.38</v>
      </c>
      <c r="D1243" s="4">
        <v>1.38</v>
      </c>
      <c r="E1243" s="4">
        <v>1128</v>
      </c>
      <c r="F1243" s="4">
        <v>1.38</v>
      </c>
      <c r="G1243" s="4">
        <v>1556.64</v>
      </c>
      <c r="H1243" s="5">
        <f t="shared" si="19"/>
        <v>-7.1942446043165541E-3</v>
      </c>
    </row>
    <row r="1244" spans="1:8" ht="13.5" x14ac:dyDescent="0.25">
      <c r="A1244" s="1"/>
      <c r="B1244" s="3">
        <v>44118</v>
      </c>
      <c r="C1244" s="4">
        <v>1.38</v>
      </c>
      <c r="D1244" s="4">
        <v>1.38</v>
      </c>
      <c r="E1244" s="4">
        <v>53</v>
      </c>
      <c r="F1244" s="4">
        <v>1.38</v>
      </c>
      <c r="G1244" s="4">
        <v>73.14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1.38</v>
      </c>
      <c r="D1245" s="4">
        <v>1.38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1.38</v>
      </c>
      <c r="D1246" s="4">
        <v>1.38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1.4</v>
      </c>
      <c r="D1247" s="4">
        <v>1.4</v>
      </c>
      <c r="E1247" s="4">
        <v>5215</v>
      </c>
      <c r="F1247" s="4">
        <v>1.3884000000000001</v>
      </c>
      <c r="G1247" s="4">
        <v>7240.5060000000003</v>
      </c>
      <c r="H1247" s="5">
        <f t="shared" si="19"/>
        <v>1.449275362318842E-2</v>
      </c>
    </row>
    <row r="1248" spans="1:8" ht="13.5" x14ac:dyDescent="0.25">
      <c r="A1248" s="1"/>
      <c r="B1248" s="3">
        <v>44125</v>
      </c>
      <c r="C1248" s="4">
        <v>1.44</v>
      </c>
      <c r="D1248" s="4">
        <v>1.44</v>
      </c>
      <c r="E1248" s="4">
        <v>1520</v>
      </c>
      <c r="F1248" s="4">
        <v>1.44</v>
      </c>
      <c r="G1248" s="4">
        <v>2188.8000000000002</v>
      </c>
      <c r="H1248" s="5">
        <f t="shared" si="19"/>
        <v>2.8571428571428598E-2</v>
      </c>
    </row>
    <row r="1249" spans="1:8" ht="13.5" x14ac:dyDescent="0.25">
      <c r="A1249" s="1"/>
      <c r="B1249" s="3">
        <v>44126</v>
      </c>
      <c r="C1249" s="4">
        <v>1.5</v>
      </c>
      <c r="D1249" s="4">
        <v>1.5</v>
      </c>
      <c r="E1249" s="4">
        <v>0</v>
      </c>
      <c r="F1249" s="4">
        <v>0</v>
      </c>
      <c r="G1249" s="4">
        <v>0</v>
      </c>
      <c r="H1249" s="5">
        <f t="shared" si="19"/>
        <v>4.1666666666666706E-2</v>
      </c>
    </row>
    <row r="1250" spans="1:8" ht="13.5" x14ac:dyDescent="0.25">
      <c r="A1250" s="1"/>
      <c r="B1250" s="3">
        <v>44127</v>
      </c>
      <c r="C1250" s="4">
        <v>1.56</v>
      </c>
      <c r="D1250" s="4">
        <v>1.56</v>
      </c>
      <c r="E1250" s="4">
        <v>2550</v>
      </c>
      <c r="F1250" s="4">
        <v>1.56</v>
      </c>
      <c r="G1250" s="4">
        <v>3978</v>
      </c>
      <c r="H1250" s="5">
        <f t="shared" si="19"/>
        <v>4.0000000000000036E-2</v>
      </c>
    </row>
    <row r="1251" spans="1:8" ht="13.5" x14ac:dyDescent="0.25">
      <c r="A1251" s="1"/>
      <c r="B1251" s="3">
        <v>44130</v>
      </c>
      <c r="C1251" s="4">
        <v>1.63</v>
      </c>
      <c r="D1251" s="4">
        <v>1.63</v>
      </c>
      <c r="E1251" s="4">
        <v>0</v>
      </c>
      <c r="F1251" s="4">
        <v>0</v>
      </c>
      <c r="G1251" s="4">
        <v>0</v>
      </c>
      <c r="H1251" s="5">
        <f t="shared" si="19"/>
        <v>4.4871794871794768E-2</v>
      </c>
    </row>
    <row r="1252" spans="1:8" ht="13.5" x14ac:dyDescent="0.25">
      <c r="A1252" s="1"/>
      <c r="B1252" s="3">
        <v>44131</v>
      </c>
      <c r="C1252" s="4">
        <v>1.7</v>
      </c>
      <c r="D1252" s="4">
        <v>1.7</v>
      </c>
      <c r="E1252" s="4">
        <v>3700</v>
      </c>
      <c r="F1252" s="4">
        <v>1.7</v>
      </c>
      <c r="G1252" s="4">
        <v>6290</v>
      </c>
      <c r="H1252" s="5">
        <f t="shared" si="19"/>
        <v>4.2944785276073663E-2</v>
      </c>
    </row>
    <row r="1253" spans="1:8" ht="13.5" x14ac:dyDescent="0.25">
      <c r="A1253" s="1"/>
      <c r="B1253" s="3">
        <v>44132</v>
      </c>
      <c r="C1253" s="4">
        <v>1.77</v>
      </c>
      <c r="D1253" s="4">
        <v>1.77</v>
      </c>
      <c r="E1253" s="4">
        <v>0</v>
      </c>
      <c r="F1253" s="4">
        <v>0</v>
      </c>
      <c r="G1253" s="4">
        <v>0</v>
      </c>
      <c r="H1253" s="5">
        <f t="shared" si="19"/>
        <v>4.1176470588235335E-2</v>
      </c>
    </row>
    <row r="1254" spans="1:8" ht="13.5" x14ac:dyDescent="0.25">
      <c r="A1254" s="1"/>
      <c r="B1254" s="3">
        <v>44134</v>
      </c>
      <c r="C1254" s="4">
        <v>1.8</v>
      </c>
      <c r="D1254" s="4">
        <v>1.8</v>
      </c>
      <c r="E1254" s="4">
        <v>8209</v>
      </c>
      <c r="F1254" s="4">
        <v>1.8163</v>
      </c>
      <c r="G1254" s="4">
        <v>14910.0067</v>
      </c>
      <c r="H1254" s="5">
        <f t="shared" si="19"/>
        <v>1.6949152542372895E-2</v>
      </c>
    </row>
    <row r="1255" spans="1:8" ht="13.5" x14ac:dyDescent="0.25">
      <c r="A1255" s="1"/>
      <c r="B1255" s="3">
        <v>44137</v>
      </c>
      <c r="C1255" s="4">
        <v>1.85</v>
      </c>
      <c r="D1255" s="4">
        <v>1.85</v>
      </c>
      <c r="E1255" s="4">
        <v>1513</v>
      </c>
      <c r="F1255" s="4">
        <v>1.85</v>
      </c>
      <c r="G1255" s="4">
        <v>2799.05</v>
      </c>
      <c r="H1255" s="5">
        <f t="shared" si="19"/>
        <v>2.7777777777777801E-2</v>
      </c>
    </row>
    <row r="1256" spans="1:8" ht="13.5" x14ac:dyDescent="0.25">
      <c r="A1256" s="1"/>
      <c r="B1256" s="3">
        <v>44138</v>
      </c>
      <c r="C1256" s="4">
        <v>1.85</v>
      </c>
      <c r="D1256" s="4">
        <v>1.85</v>
      </c>
      <c r="E1256" s="4">
        <v>3949</v>
      </c>
      <c r="F1256" s="4">
        <v>1.85</v>
      </c>
      <c r="G1256" s="4">
        <v>7305.65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1.85</v>
      </c>
      <c r="D1257" s="4">
        <v>1.85</v>
      </c>
      <c r="E1257" s="4">
        <v>600</v>
      </c>
      <c r="F1257" s="4">
        <v>1.85</v>
      </c>
      <c r="G1257" s="4">
        <v>1110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1.8</v>
      </c>
      <c r="D1258" s="4">
        <v>1.8</v>
      </c>
      <c r="E1258" s="4">
        <v>1842</v>
      </c>
      <c r="F1258" s="4">
        <v>1.8487</v>
      </c>
      <c r="G1258" s="4">
        <v>3405.3054000000002</v>
      </c>
      <c r="H1258" s="5">
        <f t="shared" si="19"/>
        <v>-2.7027027027027049E-2</v>
      </c>
    </row>
    <row r="1259" spans="1:8" ht="13.5" x14ac:dyDescent="0.25">
      <c r="A1259" s="1"/>
      <c r="B1259" s="3">
        <v>44141</v>
      </c>
      <c r="C1259" s="4">
        <v>1.8</v>
      </c>
      <c r="D1259" s="4">
        <v>1.8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1.82</v>
      </c>
      <c r="D1260" s="4">
        <v>1.82</v>
      </c>
      <c r="E1260" s="4">
        <v>200</v>
      </c>
      <c r="F1260" s="4">
        <v>1.82</v>
      </c>
      <c r="G1260" s="4">
        <v>364</v>
      </c>
      <c r="H1260" s="5">
        <f t="shared" si="19"/>
        <v>1.111111111111112E-2</v>
      </c>
    </row>
    <row r="1261" spans="1:8" ht="13.5" x14ac:dyDescent="0.25">
      <c r="A1261" s="1"/>
      <c r="B1261" s="3">
        <v>44145</v>
      </c>
      <c r="C1261" s="4">
        <v>1.82</v>
      </c>
      <c r="D1261" s="4">
        <v>1.82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1.82</v>
      </c>
      <c r="D1262" s="4">
        <v>1.82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1.82</v>
      </c>
      <c r="D1263" s="4">
        <v>1.82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1.82</v>
      </c>
      <c r="D1264" s="4">
        <v>1.82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1.82</v>
      </c>
      <c r="D1265" s="4">
        <v>1.82</v>
      </c>
      <c r="E1265" s="4">
        <v>0</v>
      </c>
      <c r="F1265" s="4">
        <v>0</v>
      </c>
      <c r="G1265" s="4">
        <v>0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1.82</v>
      </c>
      <c r="D1266" s="4">
        <v>1.82</v>
      </c>
      <c r="E1266" s="4">
        <v>1842</v>
      </c>
      <c r="F1266" s="4">
        <v>1.82</v>
      </c>
      <c r="G1266" s="4">
        <v>3352.44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1.82</v>
      </c>
      <c r="D1267" s="4">
        <v>1.82</v>
      </c>
      <c r="E1267" s="4">
        <v>0</v>
      </c>
      <c r="F1267" s="4">
        <v>0</v>
      </c>
      <c r="G1267" s="4">
        <v>0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1.82</v>
      </c>
      <c r="D1268" s="4">
        <v>1.82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1.82</v>
      </c>
      <c r="D1269" s="4">
        <v>1.82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1.82</v>
      </c>
      <c r="D1270" s="4">
        <v>1.82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1.79</v>
      </c>
      <c r="D1271" s="4">
        <v>1.79</v>
      </c>
      <c r="E1271" s="4">
        <v>5966</v>
      </c>
      <c r="F1271" s="4">
        <v>1.7945</v>
      </c>
      <c r="G1271" s="4">
        <v>10705.986999999999</v>
      </c>
      <c r="H1271" s="5">
        <f t="shared" si="19"/>
        <v>-1.6483516483516498E-2</v>
      </c>
    </row>
    <row r="1272" spans="1:8" ht="13.5" x14ac:dyDescent="0.25">
      <c r="A1272" s="1"/>
      <c r="B1272" s="3">
        <v>44160</v>
      </c>
      <c r="C1272" s="4">
        <v>1.8</v>
      </c>
      <c r="D1272" s="4">
        <v>1.8</v>
      </c>
      <c r="E1272" s="4">
        <v>7204</v>
      </c>
      <c r="F1272" s="4">
        <v>1.8</v>
      </c>
      <c r="G1272" s="4">
        <v>12967.2</v>
      </c>
      <c r="H1272" s="5">
        <f t="shared" si="19"/>
        <v>5.5865921787709542E-3</v>
      </c>
    </row>
    <row r="1273" spans="1:8" ht="13.5" x14ac:dyDescent="0.25">
      <c r="A1273" s="1"/>
      <c r="B1273" s="3">
        <v>44161</v>
      </c>
      <c r="C1273" s="4">
        <v>1.85</v>
      </c>
      <c r="D1273" s="4">
        <v>1.85</v>
      </c>
      <c r="E1273" s="4">
        <v>2000</v>
      </c>
      <c r="F1273" s="4">
        <v>1.85</v>
      </c>
      <c r="G1273" s="4">
        <v>3700</v>
      </c>
      <c r="H1273" s="5">
        <f t="shared" si="19"/>
        <v>2.7777777777777801E-2</v>
      </c>
    </row>
    <row r="1274" spans="1:8" ht="13.5" x14ac:dyDescent="0.25">
      <c r="A1274" s="1"/>
      <c r="B1274" s="3">
        <v>44162</v>
      </c>
      <c r="C1274" s="4">
        <v>1.84</v>
      </c>
      <c r="D1274" s="4">
        <v>1.84</v>
      </c>
      <c r="E1274" s="4">
        <v>1500</v>
      </c>
      <c r="F1274" s="4">
        <v>1.84</v>
      </c>
      <c r="G1274" s="4">
        <v>2760</v>
      </c>
      <c r="H1274" s="5">
        <f t="shared" si="19"/>
        <v>-5.40540540540541E-3</v>
      </c>
    </row>
    <row r="1275" spans="1:8" ht="13.5" x14ac:dyDescent="0.25">
      <c r="A1275" s="1"/>
      <c r="B1275" s="3">
        <v>44165</v>
      </c>
      <c r="C1275" s="4">
        <v>1.84</v>
      </c>
      <c r="D1275" s="4">
        <v>1.84</v>
      </c>
      <c r="E1275" s="4">
        <v>300</v>
      </c>
      <c r="F1275" s="4">
        <v>1.84</v>
      </c>
      <c r="G1275" s="4">
        <v>552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1.9</v>
      </c>
      <c r="D1276" s="4">
        <v>1.9</v>
      </c>
      <c r="E1276" s="4">
        <v>9887</v>
      </c>
      <c r="F1276" s="4">
        <v>1.8602000000000001</v>
      </c>
      <c r="G1276" s="4">
        <v>18391.797399999999</v>
      </c>
      <c r="H1276" s="5">
        <f t="shared" si="19"/>
        <v>3.2608695652173822E-2</v>
      </c>
    </row>
    <row r="1277" spans="1:8" ht="13.5" x14ac:dyDescent="0.25">
      <c r="A1277" s="1"/>
      <c r="B1277" s="3">
        <v>44167</v>
      </c>
      <c r="C1277" s="4">
        <v>1.88</v>
      </c>
      <c r="D1277" s="4">
        <v>1.88</v>
      </c>
      <c r="E1277" s="4">
        <v>831</v>
      </c>
      <c r="F1277" s="4">
        <v>1.88</v>
      </c>
      <c r="G1277" s="4">
        <v>1562.28</v>
      </c>
      <c r="H1277" s="5">
        <f t="shared" si="19"/>
        <v>-1.0526315789473694E-2</v>
      </c>
    </row>
    <row r="1278" spans="1:8" ht="13.5" x14ac:dyDescent="0.25">
      <c r="A1278" s="1"/>
      <c r="B1278" s="3">
        <v>44168</v>
      </c>
      <c r="C1278" s="4">
        <v>1.88</v>
      </c>
      <c r="D1278" s="4">
        <v>1.88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1.9</v>
      </c>
      <c r="D1279" s="4">
        <v>1.9</v>
      </c>
      <c r="E1279" s="4">
        <v>3084</v>
      </c>
      <c r="F1279" s="4">
        <v>1.8995</v>
      </c>
      <c r="G1279" s="4">
        <v>5858.058</v>
      </c>
      <c r="H1279" s="5">
        <f t="shared" si="19"/>
        <v>1.0638297872340436E-2</v>
      </c>
    </row>
    <row r="1280" spans="1:8" ht="13.5" x14ac:dyDescent="0.25">
      <c r="A1280" s="1"/>
      <c r="B1280" s="3">
        <v>44172</v>
      </c>
      <c r="C1280" s="4">
        <v>1.92</v>
      </c>
      <c r="D1280" s="4">
        <v>1.92</v>
      </c>
      <c r="E1280" s="4">
        <v>5263</v>
      </c>
      <c r="F1280" s="4">
        <v>1.901</v>
      </c>
      <c r="G1280" s="4">
        <v>10004.963</v>
      </c>
      <c r="H1280" s="5">
        <f t="shared" si="19"/>
        <v>1.0526315789473694E-2</v>
      </c>
    </row>
    <row r="1281" spans="1:8" ht="13.5" x14ac:dyDescent="0.25">
      <c r="A1281" s="1"/>
      <c r="B1281" s="3">
        <v>44173</v>
      </c>
      <c r="C1281" s="4">
        <v>1.92</v>
      </c>
      <c r="D1281" s="4">
        <v>1.92</v>
      </c>
      <c r="E1281" s="4">
        <v>10559</v>
      </c>
      <c r="F1281" s="4">
        <v>1.92</v>
      </c>
      <c r="G1281" s="4">
        <v>20273.28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1.88</v>
      </c>
      <c r="D1282" s="4">
        <v>1.88</v>
      </c>
      <c r="E1282" s="4">
        <v>105</v>
      </c>
      <c r="F1282" s="4">
        <v>1.8837999999999999</v>
      </c>
      <c r="G1282" s="4">
        <v>197.79900000000001</v>
      </c>
      <c r="H1282" s="5">
        <f t="shared" si="19"/>
        <v>-2.0833333333333353E-2</v>
      </c>
    </row>
    <row r="1283" spans="1:8" ht="13.5" x14ac:dyDescent="0.25">
      <c r="A1283" s="1"/>
      <c r="B1283" s="3">
        <v>44175</v>
      </c>
      <c r="C1283" s="4">
        <v>1.9</v>
      </c>
      <c r="D1283" s="4">
        <v>1.9</v>
      </c>
      <c r="E1283" s="4">
        <v>3000</v>
      </c>
      <c r="F1283" s="4">
        <v>1.9</v>
      </c>
      <c r="G1283" s="4">
        <v>5700</v>
      </c>
      <c r="H1283" s="5">
        <f t="shared" si="19"/>
        <v>1.0638297872340436E-2</v>
      </c>
    </row>
    <row r="1284" spans="1:8" ht="13.5" x14ac:dyDescent="0.25">
      <c r="A1284" s="1"/>
      <c r="B1284" s="3">
        <v>44176</v>
      </c>
      <c r="C1284" s="4">
        <v>1.9</v>
      </c>
      <c r="D1284" s="4">
        <v>1.9</v>
      </c>
      <c r="E1284" s="4">
        <v>1000</v>
      </c>
      <c r="F1284" s="4">
        <v>1.9</v>
      </c>
      <c r="G1284" s="4">
        <v>1900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1.86</v>
      </c>
      <c r="D1285" s="4">
        <v>1.86</v>
      </c>
      <c r="E1285" s="4">
        <v>218</v>
      </c>
      <c r="F1285" s="4">
        <v>1.86</v>
      </c>
      <c r="G1285" s="4">
        <v>405.48</v>
      </c>
      <c r="H1285" s="5">
        <f t="shared" si="19"/>
        <v>-2.1052631578947271E-2</v>
      </c>
    </row>
    <row r="1286" spans="1:8" ht="13.5" x14ac:dyDescent="0.25">
      <c r="A1286" s="1"/>
      <c r="B1286" s="3">
        <v>44180</v>
      </c>
      <c r="C1286" s="4">
        <v>1.9</v>
      </c>
      <c r="D1286" s="4">
        <v>1.9</v>
      </c>
      <c r="E1286" s="4">
        <v>1500</v>
      </c>
      <c r="F1286" s="4">
        <v>1.9</v>
      </c>
      <c r="G1286" s="4">
        <v>2850</v>
      </c>
      <c r="H1286" s="5">
        <f t="shared" si="19"/>
        <v>2.1505376344085919E-2</v>
      </c>
    </row>
    <row r="1287" spans="1:8" ht="13.5" x14ac:dyDescent="0.25">
      <c r="A1287" s="1"/>
      <c r="B1287" s="3">
        <v>44181</v>
      </c>
      <c r="C1287" s="4">
        <v>1.9</v>
      </c>
      <c r="D1287" s="4">
        <v>1.9</v>
      </c>
      <c r="E1287" s="4">
        <v>200</v>
      </c>
      <c r="F1287" s="4">
        <v>1.9</v>
      </c>
      <c r="G1287" s="4">
        <v>380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1.85</v>
      </c>
      <c r="D1288" s="4">
        <v>1.85</v>
      </c>
      <c r="E1288" s="4">
        <v>40</v>
      </c>
      <c r="F1288" s="4">
        <v>1.85</v>
      </c>
      <c r="G1288" s="4">
        <v>74</v>
      </c>
      <c r="H1288" s="5">
        <f t="shared" si="20"/>
        <v>-2.6315789473684119E-2</v>
      </c>
    </row>
    <row r="1289" spans="1:8" ht="13.5" x14ac:dyDescent="0.25">
      <c r="A1289" s="1"/>
      <c r="B1289" s="3">
        <v>44183</v>
      </c>
      <c r="C1289" s="4">
        <v>1.85</v>
      </c>
      <c r="D1289" s="4">
        <v>1.85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1.84</v>
      </c>
      <c r="D1290" s="4">
        <v>1.84</v>
      </c>
      <c r="E1290" s="4">
        <v>10000</v>
      </c>
      <c r="F1290" s="4">
        <v>1.84</v>
      </c>
      <c r="G1290" s="4">
        <v>18400</v>
      </c>
      <c r="H1290" s="5">
        <f t="shared" si="20"/>
        <v>-5.40540540540541E-3</v>
      </c>
    </row>
    <row r="1291" spans="1:8" ht="13.5" x14ac:dyDescent="0.25">
      <c r="A1291" s="1"/>
      <c r="B1291" s="3">
        <v>44187</v>
      </c>
      <c r="C1291" s="4">
        <v>1.84</v>
      </c>
      <c r="D1291" s="4">
        <v>1.84</v>
      </c>
      <c r="E1291" s="4">
        <v>465</v>
      </c>
      <c r="F1291" s="4">
        <v>1.84</v>
      </c>
      <c r="G1291" s="4">
        <v>855.6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1.84</v>
      </c>
      <c r="D1292" s="4">
        <v>1.84</v>
      </c>
      <c r="E1292" s="4">
        <v>0</v>
      </c>
      <c r="F1292" s="4">
        <v>0</v>
      </c>
      <c r="G1292" s="4">
        <v>0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1.84</v>
      </c>
      <c r="D1293" s="4">
        <v>1.84</v>
      </c>
      <c r="E1293" s="4">
        <v>0</v>
      </c>
      <c r="F1293" s="4">
        <v>0</v>
      </c>
      <c r="G1293" s="4">
        <v>0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1.83</v>
      </c>
      <c r="D1294" s="4">
        <v>1.83</v>
      </c>
      <c r="E1294" s="4">
        <v>9392</v>
      </c>
      <c r="F1294" s="4">
        <v>1.83</v>
      </c>
      <c r="G1294" s="4">
        <v>17187.36</v>
      </c>
      <c r="H1294" s="5">
        <f t="shared" si="20"/>
        <v>-5.4347826086956564E-3</v>
      </c>
    </row>
    <row r="1295" spans="1:8" ht="13.5" x14ac:dyDescent="0.25">
      <c r="A1295" s="1"/>
      <c r="B1295" s="3">
        <v>44193</v>
      </c>
      <c r="C1295" s="4">
        <v>1.85</v>
      </c>
      <c r="D1295" s="4">
        <v>1.85</v>
      </c>
      <c r="E1295" s="4">
        <v>160</v>
      </c>
      <c r="F1295" s="4">
        <v>1.85</v>
      </c>
      <c r="G1295" s="4">
        <v>296</v>
      </c>
      <c r="H1295" s="5">
        <f t="shared" si="20"/>
        <v>1.0928961748633888E-2</v>
      </c>
    </row>
    <row r="1296" spans="1:8" ht="13.5" x14ac:dyDescent="0.25">
      <c r="A1296" s="1"/>
      <c r="B1296" s="3">
        <v>44194</v>
      </c>
      <c r="C1296" s="4">
        <v>1.84</v>
      </c>
      <c r="D1296" s="4">
        <v>1.84</v>
      </c>
      <c r="E1296" s="4">
        <v>33389</v>
      </c>
      <c r="F1296" s="4">
        <v>1.84</v>
      </c>
      <c r="G1296" s="4">
        <v>61435.76</v>
      </c>
      <c r="H1296" s="5">
        <f t="shared" si="20"/>
        <v>-5.40540540540541E-3</v>
      </c>
    </row>
    <row r="1297" spans="1:8" ht="13.5" x14ac:dyDescent="0.25">
      <c r="A1297" s="1"/>
      <c r="B1297" s="3">
        <v>44195</v>
      </c>
      <c r="C1297" s="4">
        <v>1.85</v>
      </c>
      <c r="D1297" s="4">
        <v>1.85</v>
      </c>
      <c r="E1297" s="4">
        <v>2046</v>
      </c>
      <c r="F1297" s="4">
        <v>1.85</v>
      </c>
      <c r="G1297" s="4">
        <v>3785.1</v>
      </c>
      <c r="H1297" s="5">
        <f t="shared" si="20"/>
        <v>5.4347826086956564E-3</v>
      </c>
    </row>
    <row r="1298" spans="1:8" ht="13.5" x14ac:dyDescent="0.25">
      <c r="A1298" s="1"/>
      <c r="B1298" s="3">
        <v>44196</v>
      </c>
      <c r="C1298" s="4">
        <v>1.9</v>
      </c>
      <c r="D1298" s="4">
        <v>1.9</v>
      </c>
      <c r="E1298" s="4">
        <v>100</v>
      </c>
      <c r="F1298" s="4">
        <v>1.9</v>
      </c>
      <c r="G1298" s="4">
        <v>190</v>
      </c>
      <c r="H1298" s="5">
        <f t="shared" si="20"/>
        <v>2.7027027027026931E-2</v>
      </c>
    </row>
    <row r="1299" spans="1:8" ht="13.5" x14ac:dyDescent="0.25">
      <c r="A1299" s="1"/>
      <c r="B1299" s="3">
        <v>44200</v>
      </c>
      <c r="C1299" s="4">
        <v>1.88</v>
      </c>
      <c r="D1299" s="4">
        <v>1.88</v>
      </c>
      <c r="E1299" s="4">
        <v>1715</v>
      </c>
      <c r="F1299" s="4">
        <v>1.88</v>
      </c>
      <c r="G1299" s="4">
        <v>3224.2</v>
      </c>
      <c r="H1299" s="5">
        <f t="shared" si="20"/>
        <v>-1.0526315789473694E-2</v>
      </c>
    </row>
    <row r="1300" spans="1:8" ht="13.5" x14ac:dyDescent="0.25">
      <c r="A1300" s="1"/>
      <c r="B1300" s="3">
        <v>44201</v>
      </c>
      <c r="C1300" s="4">
        <v>1.88</v>
      </c>
      <c r="D1300" s="4">
        <v>1.88</v>
      </c>
      <c r="E1300" s="4">
        <v>100</v>
      </c>
      <c r="F1300" s="4">
        <v>1.88</v>
      </c>
      <c r="G1300" s="4">
        <v>188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1.88</v>
      </c>
      <c r="D1301" s="4">
        <v>1.88</v>
      </c>
      <c r="E1301" s="4">
        <v>9</v>
      </c>
      <c r="F1301" s="4">
        <v>1.88</v>
      </c>
      <c r="G1301" s="4">
        <v>16.920000000000002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1.82</v>
      </c>
      <c r="D1302" s="4">
        <v>1.82</v>
      </c>
      <c r="E1302" s="4">
        <v>216</v>
      </c>
      <c r="F1302" s="4">
        <v>1.8207</v>
      </c>
      <c r="G1302" s="4">
        <v>393.27120000000002</v>
      </c>
      <c r="H1302" s="5">
        <f t="shared" si="20"/>
        <v>-3.1914893617021191E-2</v>
      </c>
    </row>
    <row r="1303" spans="1:8" ht="13.5" x14ac:dyDescent="0.25">
      <c r="A1303" s="1"/>
      <c r="B1303" s="3">
        <v>44204</v>
      </c>
      <c r="C1303" s="4">
        <v>1.78</v>
      </c>
      <c r="D1303" s="4">
        <v>1.78</v>
      </c>
      <c r="E1303" s="4">
        <v>526</v>
      </c>
      <c r="F1303" s="4">
        <v>1.7819</v>
      </c>
      <c r="G1303" s="4">
        <v>937.27940000000001</v>
      </c>
      <c r="H1303" s="5">
        <f t="shared" si="20"/>
        <v>-2.1978021978021997E-2</v>
      </c>
    </row>
    <row r="1304" spans="1:8" ht="13.5" x14ac:dyDescent="0.25">
      <c r="A1304" s="1"/>
      <c r="B1304" s="3">
        <v>44207</v>
      </c>
      <c r="C1304" s="4">
        <v>1.77</v>
      </c>
      <c r="D1304" s="4">
        <v>1.77</v>
      </c>
      <c r="E1304" s="4">
        <v>56275</v>
      </c>
      <c r="F1304" s="4">
        <v>1.77</v>
      </c>
      <c r="G1304" s="4">
        <v>99606.75</v>
      </c>
      <c r="H1304" s="5">
        <f t="shared" si="20"/>
        <v>-5.6179775280898927E-3</v>
      </c>
    </row>
    <row r="1305" spans="1:8" ht="13.5" x14ac:dyDescent="0.25">
      <c r="A1305" s="1"/>
      <c r="B1305" s="3">
        <v>44208</v>
      </c>
      <c r="C1305" s="4">
        <v>1.73</v>
      </c>
      <c r="D1305" s="4">
        <v>1.73</v>
      </c>
      <c r="E1305" s="4">
        <v>1945</v>
      </c>
      <c r="F1305" s="4">
        <v>1.73</v>
      </c>
      <c r="G1305" s="4">
        <v>3364.85</v>
      </c>
      <c r="H1305" s="5">
        <f t="shared" si="20"/>
        <v>-2.2598870056497196E-2</v>
      </c>
    </row>
    <row r="1306" spans="1:8" ht="13.5" x14ac:dyDescent="0.25">
      <c r="A1306" s="1"/>
      <c r="B1306" s="3">
        <v>44209</v>
      </c>
      <c r="C1306" s="4">
        <v>1.78</v>
      </c>
      <c r="D1306" s="4">
        <v>1.78</v>
      </c>
      <c r="E1306" s="4">
        <v>1</v>
      </c>
      <c r="F1306" s="4">
        <v>1.78</v>
      </c>
      <c r="G1306" s="4">
        <v>1.78</v>
      </c>
      <c r="H1306" s="5">
        <f t="shared" si="20"/>
        <v>2.890173410404627E-2</v>
      </c>
    </row>
    <row r="1307" spans="1:8" ht="13.5" x14ac:dyDescent="0.25">
      <c r="A1307" s="1"/>
      <c r="B1307" s="3">
        <v>44211</v>
      </c>
      <c r="C1307" s="4">
        <v>1.77</v>
      </c>
      <c r="D1307" s="4">
        <v>1.77</v>
      </c>
      <c r="E1307" s="4">
        <v>32395</v>
      </c>
      <c r="F1307" s="4">
        <v>1.77</v>
      </c>
      <c r="G1307" s="4">
        <v>57339.15</v>
      </c>
      <c r="H1307" s="5">
        <f t="shared" si="20"/>
        <v>-5.6179775280898927E-3</v>
      </c>
    </row>
    <row r="1308" spans="1:8" ht="13.5" x14ac:dyDescent="0.25">
      <c r="A1308" s="1"/>
      <c r="B1308" s="3">
        <v>44214</v>
      </c>
      <c r="C1308" s="4">
        <v>1.7</v>
      </c>
      <c r="D1308" s="4">
        <v>1.7</v>
      </c>
      <c r="E1308" s="4">
        <v>0</v>
      </c>
      <c r="F1308" s="4">
        <v>0</v>
      </c>
      <c r="G1308" s="4">
        <v>0</v>
      </c>
      <c r="H1308" s="5">
        <f t="shared" si="20"/>
        <v>-3.9548022598870095E-2</v>
      </c>
    </row>
    <row r="1309" spans="1:8" ht="13.5" x14ac:dyDescent="0.25">
      <c r="A1309" s="1"/>
      <c r="B1309" s="3">
        <v>44215</v>
      </c>
      <c r="C1309" s="4">
        <v>1.68</v>
      </c>
      <c r="D1309" s="4">
        <v>1.68</v>
      </c>
      <c r="E1309" s="4">
        <v>1145</v>
      </c>
      <c r="F1309" s="4">
        <v>1.68</v>
      </c>
      <c r="G1309" s="4">
        <v>1923.6</v>
      </c>
      <c r="H1309" s="5">
        <f t="shared" si="20"/>
        <v>-1.1764705882352951E-2</v>
      </c>
    </row>
    <row r="1310" spans="1:8" ht="13.5" x14ac:dyDescent="0.25">
      <c r="A1310" s="1"/>
      <c r="B1310" s="3">
        <v>44216</v>
      </c>
      <c r="C1310" s="4">
        <v>1.68</v>
      </c>
      <c r="D1310" s="4">
        <v>1.68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1.68</v>
      </c>
      <c r="D1311" s="4">
        <v>1.68</v>
      </c>
      <c r="E1311" s="4">
        <v>0</v>
      </c>
      <c r="F1311" s="4">
        <v>0</v>
      </c>
      <c r="G1311" s="4">
        <v>0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1.68</v>
      </c>
      <c r="D1312" s="4">
        <v>1.68</v>
      </c>
      <c r="E1312" s="4">
        <v>0</v>
      </c>
      <c r="F1312" s="4">
        <v>0</v>
      </c>
      <c r="G1312" s="4">
        <v>0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1.63</v>
      </c>
      <c r="D1313" s="4">
        <v>1.63</v>
      </c>
      <c r="E1313" s="4">
        <v>4260</v>
      </c>
      <c r="F1313" s="4">
        <v>1.63</v>
      </c>
      <c r="G1313" s="4">
        <v>6943.8</v>
      </c>
      <c r="H1313" s="5">
        <f t="shared" si="20"/>
        <v>-2.9761904761904788E-2</v>
      </c>
    </row>
    <row r="1314" spans="1:8" ht="13.5" x14ac:dyDescent="0.25">
      <c r="A1314" s="1"/>
      <c r="B1314" s="3">
        <v>44222</v>
      </c>
      <c r="C1314" s="4">
        <v>1.59</v>
      </c>
      <c r="D1314" s="4">
        <v>1.59</v>
      </c>
      <c r="E1314" s="4">
        <v>1300</v>
      </c>
      <c r="F1314" s="4">
        <v>1.59</v>
      </c>
      <c r="G1314" s="4">
        <v>2067</v>
      </c>
      <c r="H1314" s="5">
        <f t="shared" si="20"/>
        <v>-2.4539877300613383E-2</v>
      </c>
    </row>
    <row r="1315" spans="1:8" ht="13.5" x14ac:dyDescent="0.25">
      <c r="A1315" s="1"/>
      <c r="B1315" s="3">
        <v>44223</v>
      </c>
      <c r="C1315" s="4">
        <v>1.66</v>
      </c>
      <c r="D1315" s="4">
        <v>1.66</v>
      </c>
      <c r="E1315" s="4">
        <v>500</v>
      </c>
      <c r="F1315" s="4">
        <v>1.66</v>
      </c>
      <c r="G1315" s="4">
        <v>830</v>
      </c>
      <c r="H1315" s="5">
        <f t="shared" si="20"/>
        <v>4.4025157232704303E-2</v>
      </c>
    </row>
    <row r="1316" spans="1:8" ht="13.5" x14ac:dyDescent="0.25">
      <c r="A1316" s="1"/>
      <c r="B1316" s="3">
        <v>44224</v>
      </c>
      <c r="C1316" s="4">
        <v>1.66</v>
      </c>
      <c r="D1316" s="4">
        <v>1.66</v>
      </c>
      <c r="E1316" s="4">
        <v>3304</v>
      </c>
      <c r="F1316" s="4">
        <v>1.66</v>
      </c>
      <c r="G1316" s="4">
        <v>5484.64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1.66</v>
      </c>
      <c r="D1317" s="4">
        <v>1.66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1.66</v>
      </c>
      <c r="D1318" s="4">
        <v>1.66</v>
      </c>
      <c r="E1318" s="4">
        <v>1830</v>
      </c>
      <c r="F1318" s="4">
        <v>1.66</v>
      </c>
      <c r="G1318" s="4">
        <v>3037.8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1.66</v>
      </c>
      <c r="D1319" s="4">
        <v>1.66</v>
      </c>
      <c r="E1319" s="4">
        <v>216</v>
      </c>
      <c r="F1319" s="4">
        <v>1.66</v>
      </c>
      <c r="G1319" s="4">
        <v>358.56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1.62</v>
      </c>
      <c r="D1320" s="4">
        <v>1.62</v>
      </c>
      <c r="E1320" s="4">
        <v>10</v>
      </c>
      <c r="F1320" s="4">
        <v>1.62</v>
      </c>
      <c r="G1320" s="4">
        <v>16.2</v>
      </c>
      <c r="H1320" s="5">
        <f t="shared" si="20"/>
        <v>-2.4096385542168565E-2</v>
      </c>
    </row>
    <row r="1321" spans="1:8" ht="13.5" x14ac:dyDescent="0.25">
      <c r="A1321" s="1"/>
      <c r="B1321" s="3">
        <v>44231</v>
      </c>
      <c r="C1321" s="4">
        <v>1.62</v>
      </c>
      <c r="D1321" s="4">
        <v>1.62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1.62</v>
      </c>
      <c r="D1322" s="4">
        <v>1.62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1.61</v>
      </c>
      <c r="D1323" s="4">
        <v>1.61</v>
      </c>
      <c r="E1323" s="4">
        <v>45</v>
      </c>
      <c r="F1323" s="4">
        <v>1.6144000000000001</v>
      </c>
      <c r="G1323" s="4">
        <v>72.647999999999996</v>
      </c>
      <c r="H1323" s="5">
        <f t="shared" si="20"/>
        <v>-6.1728395061728444E-3</v>
      </c>
    </row>
    <row r="1324" spans="1:8" ht="13.5" x14ac:dyDescent="0.25">
      <c r="A1324" s="1"/>
      <c r="B1324" s="3">
        <v>44236</v>
      </c>
      <c r="C1324" s="4">
        <v>1.61</v>
      </c>
      <c r="D1324" s="4">
        <v>1.61</v>
      </c>
      <c r="E1324" s="4">
        <v>23</v>
      </c>
      <c r="F1324" s="4">
        <v>1.61</v>
      </c>
      <c r="G1324" s="4">
        <v>37.03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1.62</v>
      </c>
      <c r="D1325" s="4">
        <v>1.62</v>
      </c>
      <c r="E1325" s="4">
        <v>33</v>
      </c>
      <c r="F1325" s="4">
        <v>1.62</v>
      </c>
      <c r="G1325" s="4">
        <v>53.46</v>
      </c>
      <c r="H1325" s="5">
        <f t="shared" si="20"/>
        <v>6.2111801242236073E-3</v>
      </c>
    </row>
    <row r="1326" spans="1:8" ht="13.5" x14ac:dyDescent="0.25">
      <c r="A1326" s="1"/>
      <c r="B1326" s="3">
        <v>44238</v>
      </c>
      <c r="C1326" s="4">
        <v>1.62</v>
      </c>
      <c r="D1326" s="4">
        <v>1.62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1.58</v>
      </c>
      <c r="D1327" s="4">
        <v>1.58</v>
      </c>
      <c r="E1327" s="4">
        <v>0</v>
      </c>
      <c r="F1327" s="4">
        <v>0</v>
      </c>
      <c r="G1327" s="4">
        <v>0</v>
      </c>
      <c r="H1327" s="5">
        <f t="shared" si="20"/>
        <v>-2.4691358024691377E-2</v>
      </c>
    </row>
    <row r="1328" spans="1:8" ht="13.5" x14ac:dyDescent="0.25">
      <c r="A1328" s="1"/>
      <c r="B1328" s="3">
        <v>44242</v>
      </c>
      <c r="C1328" s="4">
        <v>1.54</v>
      </c>
      <c r="D1328" s="4">
        <v>1.54</v>
      </c>
      <c r="E1328" s="4">
        <v>1000</v>
      </c>
      <c r="F1328" s="4">
        <v>1.54</v>
      </c>
      <c r="G1328" s="4">
        <v>1540</v>
      </c>
      <c r="H1328" s="5">
        <f t="shared" si="20"/>
        <v>-2.5316455696202552E-2</v>
      </c>
    </row>
    <row r="1329" spans="1:8" ht="13.5" x14ac:dyDescent="0.25">
      <c r="A1329" s="1"/>
      <c r="B1329" s="3">
        <v>44243</v>
      </c>
      <c r="C1329" s="4">
        <v>1.5</v>
      </c>
      <c r="D1329" s="4">
        <v>1.5</v>
      </c>
      <c r="E1329" s="4">
        <v>766</v>
      </c>
      <c r="F1329" s="4">
        <v>1.5129999999999999</v>
      </c>
      <c r="G1329" s="4">
        <v>1158.9580000000001</v>
      </c>
      <c r="H1329" s="5">
        <f t="shared" si="20"/>
        <v>-2.5974025974025997E-2</v>
      </c>
    </row>
    <row r="1330" spans="1:8" ht="13.5" x14ac:dyDescent="0.25">
      <c r="A1330" s="1"/>
      <c r="B1330" s="3">
        <v>44244</v>
      </c>
      <c r="C1330" s="4">
        <v>1.5</v>
      </c>
      <c r="D1330" s="4">
        <v>1.5</v>
      </c>
      <c r="E1330" s="4">
        <v>11</v>
      </c>
      <c r="F1330" s="4">
        <v>1.5</v>
      </c>
      <c r="G1330" s="4">
        <v>16.5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1.5</v>
      </c>
      <c r="D1331" s="4">
        <v>1.5</v>
      </c>
      <c r="E1331" s="4">
        <v>0</v>
      </c>
      <c r="F1331" s="4">
        <v>0</v>
      </c>
      <c r="G1331" s="4">
        <v>0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1.5</v>
      </c>
      <c r="D1332" s="4">
        <v>1.5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1.46</v>
      </c>
      <c r="D1333" s="4">
        <v>1.46</v>
      </c>
      <c r="E1333" s="4">
        <v>0</v>
      </c>
      <c r="F1333" s="4">
        <v>0</v>
      </c>
      <c r="G1333" s="4">
        <v>0</v>
      </c>
      <c r="H1333" s="5">
        <f t="shared" si="20"/>
        <v>-2.6666666666666689E-2</v>
      </c>
    </row>
    <row r="1334" spans="1:8" ht="13.5" x14ac:dyDescent="0.25">
      <c r="A1334" s="1"/>
      <c r="B1334" s="3">
        <v>44250</v>
      </c>
      <c r="C1334" s="4">
        <v>1.43</v>
      </c>
      <c r="D1334" s="4">
        <v>1.43</v>
      </c>
      <c r="E1334" s="4">
        <v>133</v>
      </c>
      <c r="F1334" s="4">
        <v>1.43</v>
      </c>
      <c r="G1334" s="4">
        <v>190.19</v>
      </c>
      <c r="H1334" s="5">
        <f t="shared" si="20"/>
        <v>-2.0547945205479472E-2</v>
      </c>
    </row>
    <row r="1335" spans="1:8" ht="13.5" x14ac:dyDescent="0.25">
      <c r="A1335" s="1"/>
      <c r="B1335" s="3">
        <v>44251</v>
      </c>
      <c r="C1335" s="4">
        <v>1.43</v>
      </c>
      <c r="D1335" s="4">
        <v>1.43</v>
      </c>
      <c r="E1335" s="4">
        <v>167</v>
      </c>
      <c r="F1335" s="4">
        <v>1.43</v>
      </c>
      <c r="G1335" s="4">
        <v>238.81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1.46</v>
      </c>
      <c r="D1336" s="4">
        <v>1.46</v>
      </c>
      <c r="E1336" s="4">
        <v>938</v>
      </c>
      <c r="F1336" s="4">
        <v>1.46</v>
      </c>
      <c r="G1336" s="4">
        <v>1369.48</v>
      </c>
      <c r="H1336" s="5">
        <f t="shared" si="20"/>
        <v>2.0979020979020997E-2</v>
      </c>
    </row>
    <row r="1337" spans="1:8" ht="13.5" x14ac:dyDescent="0.25">
      <c r="A1337" s="1"/>
      <c r="B1337" s="3">
        <v>44253</v>
      </c>
      <c r="C1337" s="4">
        <v>1.4</v>
      </c>
      <c r="D1337" s="4">
        <v>1.4</v>
      </c>
      <c r="E1337" s="4">
        <v>0</v>
      </c>
      <c r="F1337" s="4">
        <v>0</v>
      </c>
      <c r="G1337" s="4">
        <v>0</v>
      </c>
      <c r="H1337" s="5">
        <f t="shared" si="20"/>
        <v>-4.1095890410958943E-2</v>
      </c>
    </row>
    <row r="1338" spans="1:8" ht="13.5" x14ac:dyDescent="0.25">
      <c r="A1338" s="1"/>
      <c r="B1338" s="3">
        <v>44256</v>
      </c>
      <c r="C1338" s="4">
        <v>1.4</v>
      </c>
      <c r="D1338" s="4">
        <v>1.4</v>
      </c>
      <c r="E1338" s="4">
        <v>62</v>
      </c>
      <c r="F1338" s="4">
        <v>1.4</v>
      </c>
      <c r="G1338" s="4">
        <v>86.8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1.39</v>
      </c>
      <c r="D1339" s="4">
        <v>1.39</v>
      </c>
      <c r="E1339" s="4">
        <v>3524</v>
      </c>
      <c r="F1339" s="4">
        <v>1.3968</v>
      </c>
      <c r="G1339" s="4">
        <v>4922.3231999999998</v>
      </c>
      <c r="H1339" s="5">
        <f t="shared" si="20"/>
        <v>-7.1428571428571496E-3</v>
      </c>
    </row>
    <row r="1340" spans="1:8" ht="13.5" x14ac:dyDescent="0.25">
      <c r="A1340" s="1"/>
      <c r="B1340" s="3">
        <v>44258</v>
      </c>
      <c r="C1340" s="4">
        <v>1.39</v>
      </c>
      <c r="D1340" s="4">
        <v>1.39</v>
      </c>
      <c r="E1340" s="4">
        <v>260</v>
      </c>
      <c r="F1340" s="4">
        <v>1.3895999999999999</v>
      </c>
      <c r="G1340" s="4">
        <v>361.29599999999999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1.39</v>
      </c>
      <c r="D1341" s="4">
        <v>1.39</v>
      </c>
      <c r="E1341" s="4">
        <v>241</v>
      </c>
      <c r="F1341" s="4">
        <v>1.39</v>
      </c>
      <c r="G1341" s="4">
        <v>334.99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1.39</v>
      </c>
      <c r="D1342" s="4">
        <v>1.39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1.35</v>
      </c>
      <c r="D1343" s="4">
        <v>1.35</v>
      </c>
      <c r="E1343" s="4">
        <v>1097</v>
      </c>
      <c r="F1343" s="4">
        <v>1.3532</v>
      </c>
      <c r="G1343" s="4">
        <v>1484.4603999999999</v>
      </c>
      <c r="H1343" s="5">
        <f t="shared" si="20"/>
        <v>-2.8776978417266053E-2</v>
      </c>
    </row>
    <row r="1344" spans="1:8" ht="13.5" x14ac:dyDescent="0.25">
      <c r="A1344" s="1"/>
      <c r="B1344" s="3">
        <v>44264</v>
      </c>
      <c r="C1344" s="4">
        <v>1.31</v>
      </c>
      <c r="D1344" s="4">
        <v>1.31</v>
      </c>
      <c r="E1344" s="4">
        <v>1220</v>
      </c>
      <c r="F1344" s="4">
        <v>1.3132999999999999</v>
      </c>
      <c r="G1344" s="4">
        <v>1602.2260000000001</v>
      </c>
      <c r="H1344" s="5">
        <f t="shared" si="20"/>
        <v>-2.9629629629629655E-2</v>
      </c>
    </row>
    <row r="1345" spans="1:8" ht="13.5" x14ac:dyDescent="0.25">
      <c r="A1345" s="1"/>
      <c r="B1345" s="3">
        <v>44265</v>
      </c>
      <c r="C1345" s="4">
        <v>1.31</v>
      </c>
      <c r="D1345" s="4">
        <v>1.31</v>
      </c>
      <c r="E1345" s="4">
        <v>32520</v>
      </c>
      <c r="F1345" s="4">
        <v>1.31</v>
      </c>
      <c r="G1345" s="4">
        <v>42601.2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1.31</v>
      </c>
      <c r="D1346" s="4">
        <v>1.31</v>
      </c>
      <c r="E1346" s="4">
        <v>0</v>
      </c>
      <c r="F1346" s="4">
        <v>0</v>
      </c>
      <c r="G1346" s="4">
        <v>0</v>
      </c>
      <c r="H1346" s="5">
        <f t="shared" si="20"/>
        <v>0</v>
      </c>
    </row>
    <row r="1347" spans="1:8" ht="13.5" x14ac:dyDescent="0.25">
      <c r="A1347" s="1"/>
      <c r="B1347" s="3">
        <v>44267</v>
      </c>
      <c r="C1347" s="4">
        <v>1.31</v>
      </c>
      <c r="D1347" s="4">
        <v>1.31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1.31</v>
      </c>
      <c r="D1348" s="4">
        <v>1.31</v>
      </c>
      <c r="E1348" s="4">
        <v>400</v>
      </c>
      <c r="F1348" s="4">
        <v>1.31</v>
      </c>
      <c r="G1348" s="4">
        <v>524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1.35</v>
      </c>
      <c r="D1349" s="4">
        <v>1.35</v>
      </c>
      <c r="E1349" s="4">
        <v>340</v>
      </c>
      <c r="F1349" s="4">
        <v>1.35</v>
      </c>
      <c r="G1349" s="4">
        <v>459</v>
      </c>
      <c r="H1349" s="5">
        <f t="shared" si="20"/>
        <v>3.0534351145038195E-2</v>
      </c>
    </row>
    <row r="1350" spans="1:8" ht="13.5" x14ac:dyDescent="0.25">
      <c r="A1350" s="1"/>
      <c r="B1350" s="3">
        <v>44272</v>
      </c>
      <c r="C1350" s="4">
        <v>1.35</v>
      </c>
      <c r="D1350" s="4">
        <v>1.35</v>
      </c>
      <c r="E1350" s="4">
        <v>250</v>
      </c>
      <c r="F1350" s="4">
        <v>1.35</v>
      </c>
      <c r="G1350" s="4">
        <v>337.5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1.35</v>
      </c>
      <c r="D1351" s="4">
        <v>1.35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1.33</v>
      </c>
      <c r="D1352" s="4">
        <v>1.33</v>
      </c>
      <c r="E1352" s="4">
        <v>525</v>
      </c>
      <c r="F1352" s="4">
        <v>1.33</v>
      </c>
      <c r="G1352" s="4">
        <v>698.25</v>
      </c>
      <c r="H1352" s="5">
        <f t="shared" si="21"/>
        <v>-1.4814814814814828E-2</v>
      </c>
    </row>
    <row r="1353" spans="1:8" ht="13.5" x14ac:dyDescent="0.25">
      <c r="A1353" s="1"/>
      <c r="B1353" s="3">
        <v>44277</v>
      </c>
      <c r="C1353" s="4">
        <v>1.33</v>
      </c>
      <c r="D1353" s="4">
        <v>1.33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1.33</v>
      </c>
      <c r="D1354" s="4">
        <v>1.33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1.3</v>
      </c>
      <c r="D1355" s="4">
        <v>1.3</v>
      </c>
      <c r="E1355" s="4">
        <v>1611</v>
      </c>
      <c r="F1355" s="4">
        <v>1.3</v>
      </c>
      <c r="G1355" s="4">
        <v>2094.3000000000002</v>
      </c>
      <c r="H1355" s="5">
        <f t="shared" si="21"/>
        <v>-2.2556390977443629E-2</v>
      </c>
    </row>
    <row r="1356" spans="1:8" ht="13.5" x14ac:dyDescent="0.25">
      <c r="A1356" s="1"/>
      <c r="B1356" s="3">
        <v>44280</v>
      </c>
      <c r="C1356" s="4">
        <v>1.3</v>
      </c>
      <c r="D1356" s="4">
        <v>1.3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1.28</v>
      </c>
      <c r="D1357" s="4">
        <v>1.28</v>
      </c>
      <c r="E1357" s="4">
        <v>2086</v>
      </c>
      <c r="F1357" s="4">
        <v>1.28</v>
      </c>
      <c r="G1357" s="4">
        <v>2670.08</v>
      </c>
      <c r="H1357" s="5">
        <f t="shared" si="21"/>
        <v>-1.5384615384615398E-2</v>
      </c>
    </row>
    <row r="1358" spans="1:8" ht="13.5" x14ac:dyDescent="0.25">
      <c r="A1358" s="1"/>
      <c r="B1358" s="3">
        <v>44284</v>
      </c>
      <c r="C1358" s="4">
        <v>1.28</v>
      </c>
      <c r="D1358" s="4">
        <v>1.28</v>
      </c>
      <c r="E1358" s="4">
        <v>300</v>
      </c>
      <c r="F1358" s="4">
        <v>1.28</v>
      </c>
      <c r="G1358" s="4">
        <v>384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1.27</v>
      </c>
      <c r="D1359" s="4">
        <v>1.27</v>
      </c>
      <c r="E1359" s="4">
        <v>2100</v>
      </c>
      <c r="F1359" s="4">
        <v>1.27</v>
      </c>
      <c r="G1359" s="4">
        <v>2667</v>
      </c>
      <c r="H1359" s="5">
        <f t="shared" si="21"/>
        <v>-7.8125000000000069E-3</v>
      </c>
    </row>
    <row r="1360" spans="1:8" ht="13.5" x14ac:dyDescent="0.25">
      <c r="A1360" s="1"/>
      <c r="B1360" s="3">
        <v>44286</v>
      </c>
      <c r="C1360" s="4">
        <v>1.27</v>
      </c>
      <c r="D1360" s="4">
        <v>1.27</v>
      </c>
      <c r="E1360" s="4">
        <v>200</v>
      </c>
      <c r="F1360" s="4">
        <v>1.27</v>
      </c>
      <c r="G1360" s="4">
        <v>254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1.27</v>
      </c>
      <c r="D1361" s="4">
        <v>1.27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1.27</v>
      </c>
      <c r="D1362" s="4">
        <v>1.27</v>
      </c>
      <c r="E1362" s="4">
        <v>0</v>
      </c>
      <c r="F1362" s="4">
        <v>0</v>
      </c>
      <c r="G1362" s="4">
        <v>0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1.27</v>
      </c>
      <c r="D1363" s="4">
        <v>1.27</v>
      </c>
      <c r="E1363" s="4">
        <v>0</v>
      </c>
      <c r="F1363" s="4">
        <v>0</v>
      </c>
      <c r="G1363" s="4">
        <v>0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1.24</v>
      </c>
      <c r="D1364" s="4">
        <v>1.24</v>
      </c>
      <c r="E1364" s="4">
        <v>2178</v>
      </c>
      <c r="F1364" s="4">
        <v>1.24</v>
      </c>
      <c r="G1364" s="4">
        <v>2700.72</v>
      </c>
      <c r="H1364" s="5">
        <f t="shared" si="21"/>
        <v>-2.3622047244094509E-2</v>
      </c>
    </row>
    <row r="1365" spans="1:8" ht="13.5" x14ac:dyDescent="0.25">
      <c r="A1365" s="1"/>
      <c r="B1365" s="3">
        <v>44293</v>
      </c>
      <c r="C1365" s="4">
        <v>1.19</v>
      </c>
      <c r="D1365" s="4">
        <v>1.19</v>
      </c>
      <c r="E1365" s="4">
        <v>0</v>
      </c>
      <c r="F1365" s="4">
        <v>0</v>
      </c>
      <c r="G1365" s="4">
        <v>0</v>
      </c>
      <c r="H1365" s="5">
        <f t="shared" si="21"/>
        <v>-4.0322580645161324E-2</v>
      </c>
    </row>
    <row r="1366" spans="1:8" ht="13.5" x14ac:dyDescent="0.25">
      <c r="A1366" s="1"/>
      <c r="B1366" s="3">
        <v>44294</v>
      </c>
      <c r="C1366" s="4">
        <v>1.1399999999999999</v>
      </c>
      <c r="D1366" s="4">
        <v>1.1399999999999999</v>
      </c>
      <c r="E1366" s="4">
        <v>0</v>
      </c>
      <c r="F1366" s="4">
        <v>0</v>
      </c>
      <c r="G1366" s="4">
        <v>0</v>
      </c>
      <c r="H1366" s="5">
        <f t="shared" si="21"/>
        <v>-4.2016806722689114E-2</v>
      </c>
    </row>
    <row r="1367" spans="1:8" ht="13.5" x14ac:dyDescent="0.25">
      <c r="A1367" s="1"/>
      <c r="B1367" s="3">
        <v>44298</v>
      </c>
      <c r="C1367" s="4">
        <v>1.1399999999999999</v>
      </c>
      <c r="D1367" s="4">
        <v>1.1399999999999999</v>
      </c>
      <c r="E1367" s="4">
        <v>4112</v>
      </c>
      <c r="F1367" s="4">
        <v>1.1203000000000001</v>
      </c>
      <c r="G1367" s="4">
        <v>4606.6736000000001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1.1399999999999999</v>
      </c>
      <c r="D1368" s="4">
        <v>1.1399999999999999</v>
      </c>
      <c r="E1368" s="4">
        <v>355</v>
      </c>
      <c r="F1368" s="4">
        <v>1.1399999999999999</v>
      </c>
      <c r="G1368" s="4">
        <v>404.7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1.1399999999999999</v>
      </c>
      <c r="D1369" s="4">
        <v>1.1399999999999999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1.1599999999999999</v>
      </c>
      <c r="D1370" s="4">
        <v>1.1599999999999999</v>
      </c>
      <c r="E1370" s="4">
        <v>220</v>
      </c>
      <c r="F1370" s="4">
        <v>1.1599999999999999</v>
      </c>
      <c r="G1370" s="4">
        <v>255.2</v>
      </c>
      <c r="H1370" s="5">
        <f t="shared" si="21"/>
        <v>1.7543859649122823E-2</v>
      </c>
    </row>
    <row r="1371" spans="1:8" ht="13.5" x14ac:dyDescent="0.25">
      <c r="A1371" s="1"/>
      <c r="B1371" s="3">
        <v>44302</v>
      </c>
      <c r="C1371" s="4">
        <v>1.1599999999999999</v>
      </c>
      <c r="D1371" s="4">
        <v>1.1599999999999999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1.18</v>
      </c>
      <c r="D1372" s="4">
        <v>1.18</v>
      </c>
      <c r="E1372" s="4">
        <v>113</v>
      </c>
      <c r="F1372" s="4">
        <v>1.18</v>
      </c>
      <c r="G1372" s="4">
        <v>133.34</v>
      </c>
      <c r="H1372" s="5">
        <f t="shared" si="21"/>
        <v>1.7241379310344845E-2</v>
      </c>
    </row>
    <row r="1373" spans="1:8" ht="13.5" x14ac:dyDescent="0.25">
      <c r="A1373" s="1"/>
      <c r="B1373" s="3">
        <v>44306</v>
      </c>
      <c r="C1373" s="4">
        <v>1.18</v>
      </c>
      <c r="D1373" s="4">
        <v>1.18</v>
      </c>
      <c r="E1373" s="4">
        <v>0</v>
      </c>
      <c r="F1373" s="4">
        <v>0</v>
      </c>
      <c r="G1373" s="4">
        <v>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1.22</v>
      </c>
      <c r="D1374" s="4">
        <v>1.22</v>
      </c>
      <c r="E1374" s="4">
        <v>266</v>
      </c>
      <c r="F1374" s="4">
        <v>1.2018</v>
      </c>
      <c r="G1374" s="4">
        <v>319.67880000000002</v>
      </c>
      <c r="H1374" s="5">
        <f t="shared" si="21"/>
        <v>3.3898305084745797E-2</v>
      </c>
    </row>
    <row r="1375" spans="1:8" ht="13.5" x14ac:dyDescent="0.25">
      <c r="A1375" s="1"/>
      <c r="B1375" s="3">
        <v>44308</v>
      </c>
      <c r="C1375" s="4">
        <v>1.24</v>
      </c>
      <c r="D1375" s="4">
        <v>1.24</v>
      </c>
      <c r="E1375" s="4">
        <v>155</v>
      </c>
      <c r="F1375" s="4">
        <v>1.24</v>
      </c>
      <c r="G1375" s="4">
        <v>192.2</v>
      </c>
      <c r="H1375" s="5">
        <f t="shared" si="21"/>
        <v>1.6393442622950834E-2</v>
      </c>
    </row>
    <row r="1376" spans="1:8" ht="13.5" x14ac:dyDescent="0.25">
      <c r="A1376" s="1"/>
      <c r="B1376" s="3">
        <v>44309</v>
      </c>
      <c r="C1376" s="4">
        <v>1.25</v>
      </c>
      <c r="D1376" s="4">
        <v>1.25</v>
      </c>
      <c r="E1376" s="4">
        <v>2019</v>
      </c>
      <c r="F1376" s="4">
        <v>1.25</v>
      </c>
      <c r="G1376" s="4">
        <v>2523.75</v>
      </c>
      <c r="H1376" s="5">
        <f t="shared" si="21"/>
        <v>8.0645161290322648E-3</v>
      </c>
    </row>
    <row r="1377" spans="1:8" ht="13.5" x14ac:dyDescent="0.25">
      <c r="A1377" s="1"/>
      <c r="B1377" s="3">
        <v>44312</v>
      </c>
      <c r="C1377" s="4">
        <v>1.25</v>
      </c>
      <c r="D1377" s="4">
        <v>1.25</v>
      </c>
      <c r="E1377" s="4">
        <v>681</v>
      </c>
      <c r="F1377" s="4">
        <v>1.25</v>
      </c>
      <c r="G1377" s="4">
        <v>851.25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1.28</v>
      </c>
      <c r="D1378" s="4">
        <v>1.28</v>
      </c>
      <c r="E1378" s="4">
        <v>300</v>
      </c>
      <c r="F1378" s="4">
        <v>1.28</v>
      </c>
      <c r="G1378" s="4">
        <v>384</v>
      </c>
      <c r="H1378" s="5">
        <f t="shared" si="21"/>
        <v>2.4000000000000021E-2</v>
      </c>
    </row>
    <row r="1379" spans="1:8" ht="13.5" x14ac:dyDescent="0.25">
      <c r="A1379" s="1"/>
      <c r="B1379" s="3">
        <v>44314</v>
      </c>
      <c r="C1379" s="4">
        <v>1.33</v>
      </c>
      <c r="D1379" s="4">
        <v>1.33</v>
      </c>
      <c r="E1379" s="4">
        <v>455</v>
      </c>
      <c r="F1379" s="4">
        <v>1.327</v>
      </c>
      <c r="G1379" s="4">
        <v>603.78499999999997</v>
      </c>
      <c r="H1379" s="5">
        <f t="shared" si="21"/>
        <v>3.9062500000000035E-2</v>
      </c>
    </row>
    <row r="1380" spans="1:8" ht="13.5" x14ac:dyDescent="0.25">
      <c r="A1380" s="1"/>
      <c r="B1380" s="3">
        <v>44315</v>
      </c>
      <c r="C1380" s="4">
        <v>1.38</v>
      </c>
      <c r="D1380" s="4">
        <v>1.38</v>
      </c>
      <c r="E1380" s="4">
        <v>0</v>
      </c>
      <c r="F1380" s="4">
        <v>0</v>
      </c>
      <c r="G1380" s="4">
        <v>0</v>
      </c>
      <c r="H1380" s="5">
        <f t="shared" si="21"/>
        <v>3.7593984962405881E-2</v>
      </c>
    </row>
    <row r="1381" spans="1:8" ht="13.5" x14ac:dyDescent="0.25">
      <c r="A1381" s="1"/>
      <c r="B1381" s="3">
        <v>44316</v>
      </c>
      <c r="C1381" s="4">
        <v>1.44</v>
      </c>
      <c r="D1381" s="4">
        <v>1.44</v>
      </c>
      <c r="E1381" s="4">
        <v>2130</v>
      </c>
      <c r="F1381" s="4">
        <v>1.44</v>
      </c>
      <c r="G1381" s="4">
        <v>3067.2</v>
      </c>
      <c r="H1381" s="5">
        <f t="shared" si="21"/>
        <v>4.3478260869565258E-2</v>
      </c>
    </row>
    <row r="1382" spans="1:8" ht="13.5" x14ac:dyDescent="0.25">
      <c r="A1382" s="1"/>
      <c r="B1382" s="3">
        <v>44319</v>
      </c>
      <c r="C1382" s="4">
        <v>1.5</v>
      </c>
      <c r="D1382" s="4">
        <v>1.5</v>
      </c>
      <c r="E1382" s="4">
        <v>0</v>
      </c>
      <c r="F1382" s="4">
        <v>0</v>
      </c>
      <c r="G1382" s="4">
        <v>0</v>
      </c>
      <c r="H1382" s="5">
        <f t="shared" si="21"/>
        <v>4.1666666666666706E-2</v>
      </c>
    </row>
    <row r="1383" spans="1:8" ht="13.5" x14ac:dyDescent="0.25">
      <c r="A1383" s="1"/>
      <c r="B1383" s="3">
        <v>44320</v>
      </c>
      <c r="C1383" s="4">
        <v>1.55</v>
      </c>
      <c r="D1383" s="4">
        <v>1.55</v>
      </c>
      <c r="E1383" s="4">
        <v>2420</v>
      </c>
      <c r="F1383" s="4">
        <v>1.55</v>
      </c>
      <c r="G1383" s="4">
        <v>3751</v>
      </c>
      <c r="H1383" s="5">
        <f t="shared" si="21"/>
        <v>3.3333333333333361E-2</v>
      </c>
    </row>
    <row r="1384" spans="1:8" ht="13.5" x14ac:dyDescent="0.25">
      <c r="A1384" s="1"/>
      <c r="B1384" s="3">
        <v>44321</v>
      </c>
      <c r="C1384" s="4">
        <v>1.61</v>
      </c>
      <c r="D1384" s="4">
        <v>1.61</v>
      </c>
      <c r="E1384" s="4">
        <v>0</v>
      </c>
      <c r="F1384" s="4">
        <v>0</v>
      </c>
      <c r="G1384" s="4">
        <v>0</v>
      </c>
      <c r="H1384" s="5">
        <f t="shared" si="21"/>
        <v>3.8709677419354875E-2</v>
      </c>
    </row>
    <row r="1385" spans="1:8" ht="13.5" x14ac:dyDescent="0.25">
      <c r="A1385" s="1"/>
      <c r="B1385" s="3">
        <v>44322</v>
      </c>
      <c r="C1385" s="4">
        <v>1.61</v>
      </c>
      <c r="D1385" s="4">
        <v>1.61</v>
      </c>
      <c r="E1385" s="4">
        <v>4928</v>
      </c>
      <c r="F1385" s="4">
        <v>1.6103000000000001</v>
      </c>
      <c r="G1385" s="4">
        <v>7935.5583999999999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1.61</v>
      </c>
      <c r="D1386" s="4">
        <v>1.61</v>
      </c>
      <c r="E1386" s="4">
        <v>11307</v>
      </c>
      <c r="F1386" s="4">
        <v>1.61</v>
      </c>
      <c r="G1386" s="4">
        <v>18204.27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1.61</v>
      </c>
      <c r="D1387" s="4">
        <v>1.61</v>
      </c>
      <c r="E1387" s="4">
        <v>400</v>
      </c>
      <c r="F1387" s="4">
        <v>1.61</v>
      </c>
      <c r="G1387" s="4">
        <v>644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1.61</v>
      </c>
      <c r="D1388" s="4">
        <v>1.61</v>
      </c>
      <c r="E1388" s="4">
        <v>8826</v>
      </c>
      <c r="F1388" s="4">
        <v>1.6154999999999999</v>
      </c>
      <c r="G1388" s="4">
        <v>14258.403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1.61</v>
      </c>
      <c r="D1389" s="4">
        <v>1.61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1.61</v>
      </c>
      <c r="D1390" s="4">
        <v>1.61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1.61</v>
      </c>
      <c r="D1391" s="4">
        <v>1.61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1.65</v>
      </c>
      <c r="D1392" s="4">
        <v>1.65</v>
      </c>
      <c r="E1392" s="4">
        <v>291</v>
      </c>
      <c r="F1392" s="4">
        <v>1.65</v>
      </c>
      <c r="G1392" s="4">
        <v>480.15</v>
      </c>
      <c r="H1392" s="5">
        <f t="shared" si="21"/>
        <v>2.4844720496894294E-2</v>
      </c>
    </row>
    <row r="1393" spans="1:8" ht="13.5" x14ac:dyDescent="0.25">
      <c r="A1393" s="1"/>
      <c r="B1393" s="3">
        <v>44337</v>
      </c>
      <c r="C1393" s="4">
        <v>1.64</v>
      </c>
      <c r="D1393" s="4">
        <v>1.64</v>
      </c>
      <c r="E1393" s="4">
        <v>45827</v>
      </c>
      <c r="F1393" s="4">
        <v>1.64</v>
      </c>
      <c r="G1393" s="4">
        <v>75156.28</v>
      </c>
      <c r="H1393" s="5">
        <f t="shared" si="21"/>
        <v>-6.0606060606060667E-3</v>
      </c>
    </row>
    <row r="1394" spans="1:8" ht="13.5" x14ac:dyDescent="0.25">
      <c r="A1394" s="1"/>
      <c r="B1394" s="3">
        <v>44340</v>
      </c>
      <c r="C1394" s="4">
        <v>1.64</v>
      </c>
      <c r="D1394" s="4">
        <v>1.64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1.6</v>
      </c>
      <c r="D1395" s="4">
        <v>1.6</v>
      </c>
      <c r="E1395" s="4">
        <v>50</v>
      </c>
      <c r="F1395" s="4">
        <v>1.6</v>
      </c>
      <c r="G1395" s="4">
        <v>80</v>
      </c>
      <c r="H1395" s="5">
        <f t="shared" si="21"/>
        <v>-2.4390243902438911E-2</v>
      </c>
    </row>
    <row r="1396" spans="1:8" ht="13.5" x14ac:dyDescent="0.25">
      <c r="A1396" s="1"/>
      <c r="B1396" s="3">
        <v>44342</v>
      </c>
      <c r="C1396" s="4">
        <v>1.6</v>
      </c>
      <c r="D1396" s="4">
        <v>1.6</v>
      </c>
      <c r="E1396" s="4">
        <v>2460</v>
      </c>
      <c r="F1396" s="4">
        <v>1.6</v>
      </c>
      <c r="G1396" s="4">
        <v>3936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1.61</v>
      </c>
      <c r="D1397" s="4">
        <v>1.61</v>
      </c>
      <c r="E1397" s="4">
        <v>967</v>
      </c>
      <c r="F1397" s="4">
        <v>1.6009</v>
      </c>
      <c r="G1397" s="4">
        <v>1548.0703000000001</v>
      </c>
      <c r="H1397" s="5">
        <f t="shared" si="21"/>
        <v>6.2500000000000056E-3</v>
      </c>
    </row>
    <row r="1398" spans="1:8" ht="13.5" x14ac:dyDescent="0.25">
      <c r="A1398" s="1"/>
      <c r="B1398" s="3">
        <v>44344</v>
      </c>
      <c r="C1398" s="4">
        <v>1.56</v>
      </c>
      <c r="D1398" s="4">
        <v>1.56</v>
      </c>
      <c r="E1398" s="4">
        <v>600</v>
      </c>
      <c r="F1398" s="4">
        <v>1.56</v>
      </c>
      <c r="G1398" s="4">
        <v>936</v>
      </c>
      <c r="H1398" s="5">
        <f t="shared" si="21"/>
        <v>-3.105590062111804E-2</v>
      </c>
    </row>
    <row r="1399" spans="1:8" ht="13.5" x14ac:dyDescent="0.25">
      <c r="A1399" s="1"/>
      <c r="B1399" s="3">
        <v>44347</v>
      </c>
      <c r="C1399" s="4">
        <v>1.56</v>
      </c>
      <c r="D1399" s="4">
        <v>1.56</v>
      </c>
      <c r="E1399" s="4">
        <v>50</v>
      </c>
      <c r="F1399" s="4">
        <v>1.56</v>
      </c>
      <c r="G1399" s="4">
        <v>78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1.56</v>
      </c>
      <c r="D1400" s="4">
        <v>1.56</v>
      </c>
      <c r="E1400" s="4">
        <v>525</v>
      </c>
      <c r="F1400" s="4">
        <v>1.56</v>
      </c>
      <c r="G1400" s="4">
        <v>819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1.56</v>
      </c>
      <c r="D1401" s="4">
        <v>1.56</v>
      </c>
      <c r="E1401" s="4">
        <v>87</v>
      </c>
      <c r="F1401" s="4">
        <v>1.56</v>
      </c>
      <c r="G1401" s="4">
        <v>135.72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1.55</v>
      </c>
      <c r="D1402" s="4">
        <v>1.55</v>
      </c>
      <c r="E1402" s="4">
        <v>112</v>
      </c>
      <c r="F1402" s="4">
        <v>1.5679000000000001</v>
      </c>
      <c r="G1402" s="4">
        <v>175.60480000000001</v>
      </c>
      <c r="H1402" s="5">
        <f t="shared" si="21"/>
        <v>-6.4102564102564161E-3</v>
      </c>
    </row>
    <row r="1403" spans="1:8" ht="13.5" x14ac:dyDescent="0.25">
      <c r="A1403" s="1"/>
      <c r="B1403" s="3">
        <v>44351</v>
      </c>
      <c r="C1403" s="4">
        <v>1.55</v>
      </c>
      <c r="D1403" s="4">
        <v>1.55</v>
      </c>
      <c r="E1403" s="4">
        <v>112</v>
      </c>
      <c r="F1403" s="4">
        <v>1.5679000000000001</v>
      </c>
      <c r="G1403" s="4">
        <v>175.60480000000001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1.55</v>
      </c>
      <c r="D1404" s="4">
        <v>1.55</v>
      </c>
      <c r="E1404" s="4">
        <v>112</v>
      </c>
      <c r="F1404" s="4">
        <v>1.5679000000000001</v>
      </c>
      <c r="G1404" s="4">
        <v>175.60480000000001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1.55</v>
      </c>
      <c r="D1405" s="4">
        <v>1.55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1.52</v>
      </c>
      <c r="D1406" s="4">
        <v>1.52</v>
      </c>
      <c r="E1406" s="4">
        <v>600</v>
      </c>
      <c r="F1406" s="4">
        <v>1.52</v>
      </c>
      <c r="G1406" s="4">
        <v>912</v>
      </c>
      <c r="H1406" s="5">
        <f t="shared" si="21"/>
        <v>-1.9354838709677438E-2</v>
      </c>
    </row>
    <row r="1407" spans="1:8" ht="13.5" x14ac:dyDescent="0.25">
      <c r="A1407" s="1"/>
      <c r="B1407" s="3">
        <v>44357</v>
      </c>
      <c r="C1407" s="4">
        <v>1.52</v>
      </c>
      <c r="D1407" s="4">
        <v>1.52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1.52</v>
      </c>
      <c r="D1408" s="4">
        <v>1.52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1.52</v>
      </c>
      <c r="D1409" s="4">
        <v>1.52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1.48</v>
      </c>
      <c r="D1410" s="4">
        <v>1.48</v>
      </c>
      <c r="E1410" s="4">
        <v>214</v>
      </c>
      <c r="F1410" s="4">
        <v>1.48</v>
      </c>
      <c r="G1410" s="4">
        <v>316.72000000000003</v>
      </c>
      <c r="H1410" s="5">
        <f t="shared" si="21"/>
        <v>-2.6315789473684233E-2</v>
      </c>
    </row>
    <row r="1411" spans="1:8" ht="13.5" x14ac:dyDescent="0.25">
      <c r="A1411" s="1"/>
      <c r="B1411" s="3">
        <v>44363</v>
      </c>
      <c r="C1411" s="4">
        <v>1.48</v>
      </c>
      <c r="D1411" s="4">
        <v>1.48</v>
      </c>
      <c r="E1411" s="4">
        <v>214</v>
      </c>
      <c r="F1411" s="4">
        <v>1.48</v>
      </c>
      <c r="G1411" s="4">
        <v>316.72000000000003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1.44</v>
      </c>
      <c r="D1412" s="4">
        <v>1.44</v>
      </c>
      <c r="E1412" s="4">
        <v>50</v>
      </c>
      <c r="F1412" s="4">
        <v>1.44</v>
      </c>
      <c r="G1412" s="4">
        <v>72</v>
      </c>
      <c r="H1412" s="5">
        <f t="shared" si="21"/>
        <v>-2.7027027027027053E-2</v>
      </c>
    </row>
    <row r="1413" spans="1:8" ht="13.5" x14ac:dyDescent="0.25">
      <c r="A1413" s="1"/>
      <c r="B1413" s="3">
        <v>44365</v>
      </c>
      <c r="C1413" s="4">
        <v>1.48</v>
      </c>
      <c r="D1413" s="4">
        <v>1.48</v>
      </c>
      <c r="E1413" s="4">
        <v>50</v>
      </c>
      <c r="F1413" s="4">
        <v>1.44</v>
      </c>
      <c r="G1413" s="4">
        <v>72</v>
      </c>
      <c r="H1413" s="5">
        <f t="shared" si="21"/>
        <v>2.7777777777777804E-2</v>
      </c>
    </row>
    <row r="1414" spans="1:8" ht="13.5" x14ac:dyDescent="0.25">
      <c r="A1414" s="1"/>
      <c r="B1414" s="3">
        <v>44368</v>
      </c>
      <c r="C1414" s="4">
        <v>1.56</v>
      </c>
      <c r="D1414" s="4">
        <v>1.56</v>
      </c>
      <c r="E1414" s="4">
        <v>2492</v>
      </c>
      <c r="F1414" s="4">
        <v>1.5246999999999999</v>
      </c>
      <c r="G1414" s="4">
        <v>3799.5524</v>
      </c>
      <c r="H1414" s="5">
        <f t="shared" si="21"/>
        <v>5.4054054054054106E-2</v>
      </c>
    </row>
    <row r="1415" spans="1:8" ht="13.5" x14ac:dyDescent="0.25">
      <c r="A1415" s="1"/>
      <c r="B1415" s="3">
        <v>44369</v>
      </c>
      <c r="C1415" s="4">
        <v>1.63</v>
      </c>
      <c r="D1415" s="4">
        <v>1.63</v>
      </c>
      <c r="E1415" s="4">
        <v>195</v>
      </c>
      <c r="F1415" s="4">
        <v>1.63</v>
      </c>
      <c r="G1415" s="4">
        <v>317.85000000000002</v>
      </c>
      <c r="H1415" s="5">
        <f t="shared" ref="H1415:H1478" si="22">(D1415-D1414)/D1414</f>
        <v>4.4871794871794768E-2</v>
      </c>
    </row>
    <row r="1416" spans="1:8" ht="13.5" x14ac:dyDescent="0.25">
      <c r="A1416" s="1"/>
      <c r="B1416" s="3">
        <v>44370</v>
      </c>
      <c r="C1416" s="4">
        <v>1.68</v>
      </c>
      <c r="D1416" s="4">
        <v>1.68</v>
      </c>
      <c r="E1416" s="4">
        <v>246</v>
      </c>
      <c r="F1416" s="4">
        <v>1.6758999999999999</v>
      </c>
      <c r="G1416" s="4">
        <v>412.27140000000003</v>
      </c>
      <c r="H1416" s="5">
        <f t="shared" si="22"/>
        <v>3.0674846625766899E-2</v>
      </c>
    </row>
    <row r="1417" spans="1:8" ht="13.5" x14ac:dyDescent="0.25">
      <c r="A1417" s="1"/>
      <c r="B1417" s="3">
        <v>44371</v>
      </c>
      <c r="C1417" s="4">
        <v>1.68</v>
      </c>
      <c r="D1417" s="4">
        <v>1.68</v>
      </c>
      <c r="E1417" s="4">
        <v>246</v>
      </c>
      <c r="F1417" s="4">
        <v>1.6758999999999999</v>
      </c>
      <c r="G1417" s="4">
        <v>412.27140000000003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1.68</v>
      </c>
      <c r="D1418" s="4">
        <v>1.68</v>
      </c>
      <c r="E1418" s="4">
        <v>190</v>
      </c>
      <c r="F1418" s="4">
        <v>1.68</v>
      </c>
      <c r="G1418" s="4">
        <v>319.2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1.7</v>
      </c>
      <c r="D1419" s="4">
        <v>1.7</v>
      </c>
      <c r="E1419" s="4">
        <v>1100</v>
      </c>
      <c r="F1419" s="4">
        <v>1.6981999999999999</v>
      </c>
      <c r="G1419" s="4">
        <v>1868.02</v>
      </c>
      <c r="H1419" s="5">
        <f t="shared" si="22"/>
        <v>1.1904761904761916E-2</v>
      </c>
    </row>
    <row r="1420" spans="1:8" ht="13.5" x14ac:dyDescent="0.25">
      <c r="A1420" s="1"/>
      <c r="B1420" s="3">
        <v>44376</v>
      </c>
      <c r="C1420" s="4">
        <v>1.71</v>
      </c>
      <c r="D1420" s="4">
        <v>1.71</v>
      </c>
      <c r="E1420" s="4">
        <v>729</v>
      </c>
      <c r="F1420" s="4">
        <v>1.7014</v>
      </c>
      <c r="G1420" s="4">
        <v>1240.3206</v>
      </c>
      <c r="H1420" s="5">
        <f t="shared" si="22"/>
        <v>5.8823529411764757E-3</v>
      </c>
    </row>
    <row r="1421" spans="1:8" ht="13.5" x14ac:dyDescent="0.25">
      <c r="A1421" s="1"/>
      <c r="B1421" s="3">
        <v>44377</v>
      </c>
      <c r="C1421" s="4">
        <v>1.71</v>
      </c>
      <c r="D1421" s="4">
        <v>1.71</v>
      </c>
      <c r="E1421" s="4">
        <v>2087</v>
      </c>
      <c r="F1421" s="4">
        <v>1.71</v>
      </c>
      <c r="G1421" s="4">
        <v>3568.77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1.71</v>
      </c>
      <c r="D1422" s="4">
        <v>1.71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1.71</v>
      </c>
      <c r="D1423" s="4">
        <v>1.71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1.71</v>
      </c>
      <c r="D1424" s="4">
        <v>1.71</v>
      </c>
      <c r="E1424" s="4">
        <v>364</v>
      </c>
      <c r="F1424" s="4">
        <v>1.71</v>
      </c>
      <c r="G1424" s="4">
        <v>622.44000000000005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1.71</v>
      </c>
      <c r="D1425" s="4">
        <v>1.71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1.71</v>
      </c>
      <c r="D1426" s="4">
        <v>1.71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1.71</v>
      </c>
      <c r="D1427" s="4">
        <v>1.71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1.66</v>
      </c>
      <c r="D1428" s="4">
        <v>1.66</v>
      </c>
      <c r="E1428" s="4">
        <v>300</v>
      </c>
      <c r="F1428" s="4">
        <v>1.66</v>
      </c>
      <c r="G1428" s="4">
        <v>498</v>
      </c>
      <c r="H1428" s="5">
        <f t="shared" si="22"/>
        <v>-2.9239766081871371E-2</v>
      </c>
    </row>
    <row r="1429" spans="1:8" ht="13.5" x14ac:dyDescent="0.25">
      <c r="A1429" s="1"/>
      <c r="B1429" s="3">
        <v>44389</v>
      </c>
      <c r="C1429" s="4">
        <v>1.66</v>
      </c>
      <c r="D1429" s="4">
        <v>1.66</v>
      </c>
      <c r="E1429" s="4">
        <v>0</v>
      </c>
      <c r="F1429" s="4">
        <v>0</v>
      </c>
      <c r="G1429" s="4">
        <v>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1.66</v>
      </c>
      <c r="D1430" s="4">
        <v>1.66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1.7</v>
      </c>
      <c r="D1431" s="4">
        <v>1.7</v>
      </c>
      <c r="E1431" s="4">
        <v>239</v>
      </c>
      <c r="F1431" s="4">
        <v>1.7</v>
      </c>
      <c r="G1431" s="4">
        <v>406.3</v>
      </c>
      <c r="H1431" s="5">
        <f t="shared" si="22"/>
        <v>2.4096385542168697E-2</v>
      </c>
    </row>
    <row r="1432" spans="1:8" ht="13.5" x14ac:dyDescent="0.25">
      <c r="A1432" s="1"/>
      <c r="B1432" s="3">
        <v>44392</v>
      </c>
      <c r="C1432" s="4">
        <v>1.7</v>
      </c>
      <c r="D1432" s="4">
        <v>1.7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1.7</v>
      </c>
      <c r="D1433" s="4">
        <v>1.7</v>
      </c>
      <c r="E1433" s="4">
        <v>959</v>
      </c>
      <c r="F1433" s="4">
        <v>1.7</v>
      </c>
      <c r="G1433" s="4">
        <v>1630.3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1.74</v>
      </c>
      <c r="D1434" s="4">
        <v>1.74</v>
      </c>
      <c r="E1434" s="4">
        <v>1541</v>
      </c>
      <c r="F1434" s="4">
        <v>1.7033</v>
      </c>
      <c r="G1434" s="4">
        <v>2624.7853</v>
      </c>
      <c r="H1434" s="5">
        <f t="shared" si="22"/>
        <v>2.3529411764705903E-2</v>
      </c>
    </row>
    <row r="1435" spans="1:8" ht="13.5" x14ac:dyDescent="0.25">
      <c r="A1435" s="1"/>
      <c r="B1435" s="3">
        <v>44399</v>
      </c>
      <c r="C1435" s="4">
        <v>1.7</v>
      </c>
      <c r="D1435" s="4">
        <v>1.7</v>
      </c>
      <c r="E1435" s="4">
        <v>215</v>
      </c>
      <c r="F1435" s="4">
        <v>1.7</v>
      </c>
      <c r="G1435" s="4">
        <v>365.5</v>
      </c>
      <c r="H1435" s="5">
        <f t="shared" si="22"/>
        <v>-2.2988505747126457E-2</v>
      </c>
    </row>
    <row r="1436" spans="1:8" ht="13.5" x14ac:dyDescent="0.25">
      <c r="A1436" s="1"/>
      <c r="B1436" s="3">
        <v>44400</v>
      </c>
      <c r="C1436" s="4">
        <v>1.7</v>
      </c>
      <c r="D1436" s="4">
        <v>1.7</v>
      </c>
      <c r="E1436" s="4">
        <v>215</v>
      </c>
      <c r="F1436" s="4">
        <v>1.7</v>
      </c>
      <c r="G1436" s="4">
        <v>365.5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1.7</v>
      </c>
      <c r="D1437" s="4">
        <v>1.7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1.7</v>
      </c>
      <c r="D1438" s="4">
        <v>1.7</v>
      </c>
      <c r="E1438" s="4">
        <v>1040</v>
      </c>
      <c r="F1438" s="4">
        <v>1.7</v>
      </c>
      <c r="G1438" s="4">
        <v>1768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1.7</v>
      </c>
      <c r="D1439" s="4">
        <v>1.7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1.7</v>
      </c>
      <c r="D1440" s="4">
        <v>1.7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1.7</v>
      </c>
      <c r="D1441" s="4">
        <v>1.7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1.65</v>
      </c>
      <c r="D1442" s="4">
        <v>1.65</v>
      </c>
      <c r="E1442" s="4">
        <v>2</v>
      </c>
      <c r="F1442" s="4">
        <v>1.65</v>
      </c>
      <c r="G1442" s="4">
        <v>3.3</v>
      </c>
      <c r="H1442" s="5">
        <f t="shared" si="22"/>
        <v>-2.941176470588238E-2</v>
      </c>
    </row>
    <row r="1443" spans="1:8" ht="13.5" x14ac:dyDescent="0.25">
      <c r="A1443" s="1"/>
      <c r="B1443" s="3">
        <v>44411</v>
      </c>
      <c r="C1443" s="4">
        <v>1.65</v>
      </c>
      <c r="D1443" s="4">
        <v>1.65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1.65</v>
      </c>
      <c r="D1444" s="4">
        <v>1.65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1.65</v>
      </c>
      <c r="D1445" s="4">
        <v>1.65</v>
      </c>
      <c r="E1445" s="4">
        <v>0</v>
      </c>
      <c r="F1445" s="4">
        <v>0</v>
      </c>
      <c r="G1445" s="4">
        <v>0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1.65</v>
      </c>
      <c r="D1446" s="4">
        <v>1.65</v>
      </c>
      <c r="E1446" s="4">
        <v>450</v>
      </c>
      <c r="F1446" s="4">
        <v>1.65</v>
      </c>
      <c r="G1446" s="4">
        <v>742.5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1.65</v>
      </c>
      <c r="D1447" s="4">
        <v>1.65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1.65</v>
      </c>
      <c r="D1448" s="4">
        <v>1.65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1.65</v>
      </c>
      <c r="D1449" s="4">
        <v>1.65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1.66</v>
      </c>
      <c r="D1450" s="4">
        <v>1.66</v>
      </c>
      <c r="E1450" s="4">
        <v>20</v>
      </c>
      <c r="F1450" s="4">
        <v>1.66</v>
      </c>
      <c r="G1450" s="4">
        <v>33.200000000000003</v>
      </c>
      <c r="H1450" s="5">
        <f t="shared" si="22"/>
        <v>6.0606060606060667E-3</v>
      </c>
    </row>
    <row r="1451" spans="1:8" ht="13.5" x14ac:dyDescent="0.25">
      <c r="A1451" s="1"/>
      <c r="B1451" s="3">
        <v>44425</v>
      </c>
      <c r="C1451" s="4">
        <v>1.66</v>
      </c>
      <c r="D1451" s="4">
        <v>1.66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1.66</v>
      </c>
      <c r="D1452" s="4">
        <v>1.66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1.66</v>
      </c>
      <c r="D1453" s="4">
        <v>1.66</v>
      </c>
      <c r="E1453" s="4">
        <v>2680</v>
      </c>
      <c r="F1453" s="4">
        <v>1.66</v>
      </c>
      <c r="G1453" s="4">
        <v>4448.8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1.66</v>
      </c>
      <c r="D1454" s="4">
        <v>1.66</v>
      </c>
      <c r="E1454" s="4">
        <v>3700</v>
      </c>
      <c r="F1454" s="4">
        <v>1.66</v>
      </c>
      <c r="G1454" s="4">
        <v>6142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1.66</v>
      </c>
      <c r="D1455" s="4">
        <v>1.66</v>
      </c>
      <c r="E1455" s="4">
        <v>154</v>
      </c>
      <c r="F1455" s="4">
        <v>1.66</v>
      </c>
      <c r="G1455" s="4">
        <v>255.64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1.66</v>
      </c>
      <c r="D1456" s="4">
        <v>1.66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1.68</v>
      </c>
      <c r="D1457" s="4">
        <v>1.68</v>
      </c>
      <c r="E1457" s="4">
        <v>100</v>
      </c>
      <c r="F1457" s="4">
        <v>1.68</v>
      </c>
      <c r="G1457" s="4">
        <v>168</v>
      </c>
      <c r="H1457" s="5">
        <f t="shared" si="22"/>
        <v>1.2048192771084348E-2</v>
      </c>
    </row>
    <row r="1458" spans="1:8" ht="13.5" x14ac:dyDescent="0.25">
      <c r="A1458" s="1"/>
      <c r="B1458" s="3">
        <v>44434</v>
      </c>
      <c r="C1458" s="4">
        <v>1.7</v>
      </c>
      <c r="D1458" s="4">
        <v>1.7</v>
      </c>
      <c r="E1458" s="4">
        <v>144</v>
      </c>
      <c r="F1458" s="4">
        <v>1.7</v>
      </c>
      <c r="G1458" s="4">
        <v>244.8</v>
      </c>
      <c r="H1458" s="5">
        <f t="shared" si="22"/>
        <v>1.1904761904761916E-2</v>
      </c>
    </row>
    <row r="1459" spans="1:8" ht="13.5" x14ac:dyDescent="0.25">
      <c r="A1459" s="1"/>
      <c r="B1459" s="3">
        <v>44435</v>
      </c>
      <c r="C1459" s="4">
        <v>1.7</v>
      </c>
      <c r="D1459" s="4">
        <v>1.7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1.7</v>
      </c>
      <c r="D1460" s="4">
        <v>1.7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1.7</v>
      </c>
      <c r="D1461" s="4">
        <v>1.7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1.7</v>
      </c>
      <c r="D1462" s="4">
        <v>1.7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1.7</v>
      </c>
      <c r="D1463" s="4">
        <v>1.7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1.7</v>
      </c>
      <c r="D1464" s="4">
        <v>1.7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1.7</v>
      </c>
      <c r="D1465" s="4">
        <v>1.7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1.7</v>
      </c>
      <c r="D1466" s="4">
        <v>1.7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1.75</v>
      </c>
      <c r="D1467" s="4">
        <v>1.75</v>
      </c>
      <c r="E1467" s="4">
        <v>36</v>
      </c>
      <c r="F1467" s="4">
        <v>1.75</v>
      </c>
      <c r="G1467" s="4">
        <v>63</v>
      </c>
      <c r="H1467" s="5">
        <f t="shared" si="22"/>
        <v>2.941176470588238E-2</v>
      </c>
    </row>
    <row r="1468" spans="1:8" ht="13.5" x14ac:dyDescent="0.25">
      <c r="A1468" s="1"/>
      <c r="B1468" s="3">
        <v>44448</v>
      </c>
      <c r="C1468" s="4">
        <v>1.75</v>
      </c>
      <c r="D1468" s="4">
        <v>1.75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1.75</v>
      </c>
      <c r="D1469" s="4">
        <v>1.75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1.75</v>
      </c>
      <c r="D1470" s="4">
        <v>1.75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1.75</v>
      </c>
      <c r="D1471" s="4">
        <v>1.75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1.75</v>
      </c>
      <c r="D1472" s="4">
        <v>1.75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1.75</v>
      </c>
      <c r="D1473" s="4">
        <v>1.75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1.75</v>
      </c>
      <c r="D1474" s="4">
        <v>1.75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1.75</v>
      </c>
      <c r="D1475" s="4">
        <v>1.75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1.75</v>
      </c>
      <c r="D1476" s="4">
        <v>1.75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1.75</v>
      </c>
      <c r="D1477" s="4">
        <v>1.75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1.75</v>
      </c>
      <c r="D1478" s="4">
        <v>1.75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1.75</v>
      </c>
      <c r="D1479" s="4">
        <v>1.75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1.75</v>
      </c>
      <c r="D1480" s="4">
        <v>1.75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1.75</v>
      </c>
      <c r="D1481" s="4">
        <v>1.75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1.75</v>
      </c>
      <c r="D1482" s="4">
        <v>1.75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1.75</v>
      </c>
      <c r="D1483" s="4">
        <v>1.75</v>
      </c>
      <c r="E1483" s="4">
        <v>10</v>
      </c>
      <c r="F1483" s="4">
        <v>1.75</v>
      </c>
      <c r="G1483" s="4">
        <v>17.5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1.75</v>
      </c>
      <c r="D1484" s="4">
        <v>1.75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1.75</v>
      </c>
      <c r="D1485" s="4">
        <v>1.75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1.75</v>
      </c>
      <c r="D1486" s="4">
        <v>1.75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1.75</v>
      </c>
      <c r="D1487" s="4">
        <v>1.75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1.75</v>
      </c>
      <c r="D1488" s="4">
        <v>1.75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1.75</v>
      </c>
      <c r="D1489" s="4">
        <v>1.75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1.75</v>
      </c>
      <c r="D1490" s="4">
        <v>1.75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1.75</v>
      </c>
      <c r="D1491" s="4">
        <v>1.75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1.75</v>
      </c>
      <c r="D1492" s="4">
        <v>1.75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1.7</v>
      </c>
      <c r="D1493" s="4">
        <v>1.7</v>
      </c>
      <c r="E1493" s="4">
        <v>48</v>
      </c>
      <c r="F1493" s="4">
        <v>1.7</v>
      </c>
      <c r="G1493" s="4">
        <v>81.599999999999994</v>
      </c>
      <c r="H1493" s="5">
        <f t="shared" si="23"/>
        <v>-2.8571428571428598E-2</v>
      </c>
    </row>
    <row r="1494" spans="1:8" ht="13.5" x14ac:dyDescent="0.25">
      <c r="A1494" s="1"/>
      <c r="B1494" s="3">
        <v>44488</v>
      </c>
      <c r="C1494" s="4">
        <v>1.7</v>
      </c>
      <c r="D1494" s="4">
        <v>1.7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1.7</v>
      </c>
      <c r="D1495" s="4">
        <v>1.7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1.7</v>
      </c>
      <c r="D1496" s="4">
        <v>1.7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1.7</v>
      </c>
      <c r="D1497" s="4">
        <v>1.7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1.7</v>
      </c>
      <c r="D1498" s="4">
        <v>1.7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1.7</v>
      </c>
      <c r="D1499" s="4">
        <v>1.7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1.7</v>
      </c>
      <c r="D1500" s="4">
        <v>1.7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1.7</v>
      </c>
      <c r="D1501" s="4">
        <v>1.7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1.7</v>
      </c>
      <c r="D1502" s="4">
        <v>1.7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1.7</v>
      </c>
      <c r="D1503" s="4">
        <v>1.7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1.7</v>
      </c>
      <c r="D1504" s="4">
        <v>1.7</v>
      </c>
      <c r="E1504" s="4">
        <v>40</v>
      </c>
      <c r="F1504" s="4">
        <v>1.7</v>
      </c>
      <c r="G1504" s="4">
        <v>68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1.7</v>
      </c>
      <c r="D1505" s="4">
        <v>1.7</v>
      </c>
      <c r="E1505" s="4">
        <v>200</v>
      </c>
      <c r="F1505" s="4">
        <v>1.7</v>
      </c>
      <c r="G1505" s="4">
        <v>340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1.7</v>
      </c>
      <c r="D1506" s="4">
        <v>1.7</v>
      </c>
      <c r="E1506" s="4">
        <v>200</v>
      </c>
      <c r="F1506" s="4">
        <v>1.7</v>
      </c>
      <c r="G1506" s="4">
        <v>340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1.7</v>
      </c>
      <c r="D1507" s="4">
        <v>1.7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1.7</v>
      </c>
      <c r="D1508" s="4">
        <v>1.7</v>
      </c>
      <c r="E1508" s="4">
        <v>300</v>
      </c>
      <c r="F1508" s="4">
        <v>1.7</v>
      </c>
      <c r="G1508" s="4">
        <v>510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1.7</v>
      </c>
      <c r="D1509" s="4">
        <v>1.7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1.7</v>
      </c>
      <c r="D1510" s="4">
        <v>1.7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1.74</v>
      </c>
      <c r="D1511" s="4">
        <v>1.74</v>
      </c>
      <c r="E1511" s="4">
        <v>5500</v>
      </c>
      <c r="F1511" s="4">
        <v>1.74</v>
      </c>
      <c r="G1511" s="4">
        <v>9570</v>
      </c>
      <c r="H1511" s="5">
        <f t="shared" si="23"/>
        <v>2.3529411764705903E-2</v>
      </c>
    </row>
    <row r="1512" spans="1:8" ht="13.5" x14ac:dyDescent="0.25">
      <c r="A1512" s="1"/>
      <c r="B1512" s="3">
        <v>44512</v>
      </c>
      <c r="C1512" s="4">
        <v>1.74</v>
      </c>
      <c r="D1512" s="4">
        <v>1.74</v>
      </c>
      <c r="E1512" s="4">
        <v>500</v>
      </c>
      <c r="F1512" s="4">
        <v>1.74</v>
      </c>
      <c r="G1512" s="4">
        <v>870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1.74</v>
      </c>
      <c r="D1513" s="4">
        <v>1.74</v>
      </c>
      <c r="E1513" s="4">
        <v>150</v>
      </c>
      <c r="F1513" s="4">
        <v>1.74</v>
      </c>
      <c r="G1513" s="4">
        <v>261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1.75</v>
      </c>
      <c r="D1514" s="4">
        <v>1.75</v>
      </c>
      <c r="E1514" s="4">
        <v>500</v>
      </c>
      <c r="F1514" s="4">
        <v>1.75</v>
      </c>
      <c r="G1514" s="4">
        <v>875</v>
      </c>
      <c r="H1514" s="5">
        <f t="shared" si="23"/>
        <v>5.7471264367816143E-3</v>
      </c>
    </row>
    <row r="1515" spans="1:8" ht="13.5" x14ac:dyDescent="0.25">
      <c r="A1515" s="1"/>
      <c r="B1515" s="3">
        <v>44517</v>
      </c>
      <c r="C1515" s="4">
        <v>1.73</v>
      </c>
      <c r="D1515" s="4">
        <v>1.73</v>
      </c>
      <c r="E1515" s="4">
        <v>8914</v>
      </c>
      <c r="F1515" s="4">
        <v>1.73</v>
      </c>
      <c r="G1515" s="4">
        <v>15421.22</v>
      </c>
      <c r="H1515" s="5">
        <f t="shared" si="23"/>
        <v>-1.1428571428571439E-2</v>
      </c>
    </row>
    <row r="1516" spans="1:8" ht="13.5" x14ac:dyDescent="0.25">
      <c r="A1516" s="1"/>
      <c r="B1516" s="3">
        <v>44518</v>
      </c>
      <c r="C1516" s="4">
        <v>1.73</v>
      </c>
      <c r="D1516" s="4">
        <v>1.73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1.73</v>
      </c>
      <c r="D1517" s="4">
        <v>1.73</v>
      </c>
      <c r="E1517" s="4">
        <v>1500</v>
      </c>
      <c r="F1517" s="4">
        <v>1.7270000000000001</v>
      </c>
      <c r="G1517" s="4">
        <v>2590.5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1.73</v>
      </c>
      <c r="D1518" s="4">
        <v>1.73</v>
      </c>
      <c r="E1518" s="4">
        <v>1000</v>
      </c>
      <c r="F1518" s="4">
        <v>1.73</v>
      </c>
      <c r="G1518" s="4">
        <v>1730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1.72</v>
      </c>
      <c r="D1519" s="4">
        <v>1.72</v>
      </c>
      <c r="E1519" s="4">
        <v>500</v>
      </c>
      <c r="F1519" s="4">
        <v>1.72</v>
      </c>
      <c r="G1519" s="4">
        <v>860</v>
      </c>
      <c r="H1519" s="5">
        <f t="shared" si="23"/>
        <v>-5.7803468208092535E-3</v>
      </c>
    </row>
    <row r="1520" spans="1:8" ht="13.5" x14ac:dyDescent="0.25">
      <c r="A1520" s="1"/>
      <c r="B1520" s="3">
        <v>44524</v>
      </c>
      <c r="C1520" s="4">
        <v>1.7</v>
      </c>
      <c r="D1520" s="4">
        <v>1.7</v>
      </c>
      <c r="E1520" s="4">
        <v>1965</v>
      </c>
      <c r="F1520" s="4">
        <v>1.7</v>
      </c>
      <c r="G1520" s="4">
        <v>3340.5</v>
      </c>
      <c r="H1520" s="5">
        <f t="shared" si="23"/>
        <v>-1.1627906976744196E-2</v>
      </c>
    </row>
    <row r="1521" spans="1:8" ht="13.5" x14ac:dyDescent="0.25">
      <c r="A1521" s="1"/>
      <c r="B1521" s="3">
        <v>44525</v>
      </c>
      <c r="C1521" s="4">
        <v>1.7</v>
      </c>
      <c r="D1521" s="4">
        <v>1.7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1.7</v>
      </c>
      <c r="D1522" s="4">
        <v>1.7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1.75</v>
      </c>
      <c r="D1523" s="4">
        <v>1.75</v>
      </c>
      <c r="E1523" s="4">
        <v>1183</v>
      </c>
      <c r="F1523" s="4">
        <v>1.724</v>
      </c>
      <c r="G1523" s="4">
        <v>2039.492</v>
      </c>
      <c r="H1523" s="5">
        <f t="shared" si="23"/>
        <v>2.941176470588238E-2</v>
      </c>
    </row>
    <row r="1524" spans="1:8" ht="13.5" x14ac:dyDescent="0.25">
      <c r="A1524" s="1"/>
      <c r="B1524" s="3">
        <v>44530</v>
      </c>
      <c r="C1524" s="4">
        <v>1.82</v>
      </c>
      <c r="D1524" s="4">
        <v>1.82</v>
      </c>
      <c r="E1524" s="4">
        <v>828</v>
      </c>
      <c r="F1524" s="4">
        <v>1.82</v>
      </c>
      <c r="G1524" s="4">
        <v>1506.96</v>
      </c>
      <c r="H1524" s="5">
        <f t="shared" si="23"/>
        <v>4.0000000000000036E-2</v>
      </c>
    </row>
    <row r="1525" spans="1:8" ht="13.5" x14ac:dyDescent="0.25">
      <c r="A1525" s="1"/>
      <c r="B1525" s="3">
        <v>44531</v>
      </c>
      <c r="C1525" s="4">
        <v>1.9</v>
      </c>
      <c r="D1525" s="4">
        <v>1.9</v>
      </c>
      <c r="E1525" s="4">
        <v>2150</v>
      </c>
      <c r="F1525" s="4">
        <v>1.9</v>
      </c>
      <c r="G1525" s="4">
        <v>4085</v>
      </c>
      <c r="H1525" s="5">
        <f t="shared" si="23"/>
        <v>4.3956043956043869E-2</v>
      </c>
    </row>
    <row r="1526" spans="1:8" ht="13.5" x14ac:dyDescent="0.25">
      <c r="A1526" s="1"/>
      <c r="B1526" s="3">
        <v>44532</v>
      </c>
      <c r="C1526" s="4">
        <v>1.98</v>
      </c>
      <c r="D1526" s="4">
        <v>1.98</v>
      </c>
      <c r="E1526" s="4">
        <v>6440</v>
      </c>
      <c r="F1526" s="4">
        <v>1.9670000000000001</v>
      </c>
      <c r="G1526" s="4">
        <v>12667.48</v>
      </c>
      <c r="H1526" s="5">
        <f t="shared" si="23"/>
        <v>4.2105263157894778E-2</v>
      </c>
    </row>
    <row r="1527" spans="1:8" ht="13.5" x14ac:dyDescent="0.25">
      <c r="A1527" s="1"/>
      <c r="B1527" s="3">
        <v>44533</v>
      </c>
      <c r="C1527" s="4">
        <v>2.06</v>
      </c>
      <c r="D1527" s="4">
        <v>2.06</v>
      </c>
      <c r="E1527" s="4">
        <v>5840</v>
      </c>
      <c r="F1527" s="4">
        <v>2.06</v>
      </c>
      <c r="G1527" s="4">
        <v>12030.4</v>
      </c>
      <c r="H1527" s="5">
        <f t="shared" si="23"/>
        <v>4.0404040404040442E-2</v>
      </c>
    </row>
    <row r="1528" spans="1:8" ht="13.5" x14ac:dyDescent="0.25">
      <c r="A1528" s="1"/>
      <c r="B1528" s="3">
        <v>44536</v>
      </c>
      <c r="C1528" s="4">
        <v>2.09</v>
      </c>
      <c r="D1528" s="4">
        <v>2.09</v>
      </c>
      <c r="E1528" s="4">
        <v>3600</v>
      </c>
      <c r="F1528" s="4">
        <v>2.09</v>
      </c>
      <c r="G1528" s="4">
        <v>7524</v>
      </c>
      <c r="H1528" s="5">
        <f t="shared" si="23"/>
        <v>1.456310679611641E-2</v>
      </c>
    </row>
    <row r="1529" spans="1:8" ht="13.5" x14ac:dyDescent="0.25">
      <c r="A1529" s="1"/>
      <c r="B1529" s="3">
        <v>44537</v>
      </c>
      <c r="C1529" s="4">
        <v>2</v>
      </c>
      <c r="D1529" s="4">
        <v>2</v>
      </c>
      <c r="E1529" s="4">
        <v>3480</v>
      </c>
      <c r="F1529" s="4">
        <v>2.13</v>
      </c>
      <c r="G1529" s="4">
        <v>7412.4</v>
      </c>
      <c r="H1529" s="5">
        <f t="shared" si="23"/>
        <v>-4.3062200956937732E-2</v>
      </c>
    </row>
    <row r="1530" spans="1:8" ht="13.5" x14ac:dyDescent="0.25">
      <c r="A1530" s="1"/>
      <c r="B1530" s="3">
        <v>44538</v>
      </c>
      <c r="C1530" s="4">
        <v>2.09</v>
      </c>
      <c r="D1530" s="4">
        <v>2.09</v>
      </c>
      <c r="E1530" s="4">
        <v>600</v>
      </c>
      <c r="F1530" s="4">
        <v>2.09</v>
      </c>
      <c r="G1530" s="4">
        <v>1254</v>
      </c>
      <c r="H1530" s="5">
        <f t="shared" si="23"/>
        <v>4.4999999999999929E-2</v>
      </c>
    </row>
    <row r="1531" spans="1:8" ht="13.5" x14ac:dyDescent="0.25">
      <c r="A1531" s="1"/>
      <c r="B1531" s="3">
        <v>44539</v>
      </c>
      <c r="C1531" s="4">
        <v>2.09</v>
      </c>
      <c r="D1531" s="4">
        <v>2.09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2.09</v>
      </c>
      <c r="D1532" s="4">
        <v>2.09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2.08</v>
      </c>
      <c r="D1533" s="4">
        <v>2.08</v>
      </c>
      <c r="E1533" s="4">
        <v>54</v>
      </c>
      <c r="F1533" s="4">
        <v>2.08</v>
      </c>
      <c r="G1533" s="4">
        <v>112.32</v>
      </c>
      <c r="H1533" s="5">
        <f t="shared" si="23"/>
        <v>-4.7846889952152093E-3</v>
      </c>
    </row>
    <row r="1534" spans="1:8" ht="13.5" x14ac:dyDescent="0.25">
      <c r="A1534" s="1"/>
      <c r="B1534" s="3">
        <v>44544</v>
      </c>
      <c r="C1534" s="4">
        <v>2.08</v>
      </c>
      <c r="D1534" s="4">
        <v>2.08</v>
      </c>
      <c r="E1534" s="4">
        <v>16</v>
      </c>
      <c r="F1534" s="4">
        <v>2.08</v>
      </c>
      <c r="G1534" s="4">
        <v>33.28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2.08</v>
      </c>
      <c r="D1535" s="4">
        <v>2.08</v>
      </c>
      <c r="E1535" s="4">
        <v>0</v>
      </c>
      <c r="F1535" s="4">
        <v>0</v>
      </c>
      <c r="G1535" s="4">
        <v>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2.08</v>
      </c>
      <c r="D1536" s="4">
        <v>2.08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2.08</v>
      </c>
      <c r="D1537" s="4">
        <v>2.08</v>
      </c>
      <c r="E1537" s="4">
        <v>1200</v>
      </c>
      <c r="F1537" s="4">
        <v>2.08</v>
      </c>
      <c r="G1537" s="4">
        <v>2496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2.08</v>
      </c>
      <c r="D1538" s="4">
        <v>2.08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2.1</v>
      </c>
      <c r="D1539" s="4">
        <v>2.1</v>
      </c>
      <c r="E1539" s="4">
        <v>9500</v>
      </c>
      <c r="F1539" s="4">
        <v>2.1</v>
      </c>
      <c r="G1539" s="4">
        <v>19950</v>
      </c>
      <c r="H1539" s="5">
        <f t="shared" si="23"/>
        <v>9.6153846153846229E-3</v>
      </c>
    </row>
    <row r="1540" spans="1:8" ht="13.5" x14ac:dyDescent="0.25">
      <c r="A1540" s="1"/>
      <c r="B1540" s="3">
        <v>44553</v>
      </c>
      <c r="C1540" s="4">
        <v>2.15</v>
      </c>
      <c r="D1540" s="4">
        <v>2.15</v>
      </c>
      <c r="E1540" s="4">
        <v>6792</v>
      </c>
      <c r="F1540" s="4">
        <v>2.1280000000000001</v>
      </c>
      <c r="G1540" s="4">
        <v>14453.376</v>
      </c>
      <c r="H1540" s="5">
        <f t="shared" si="23"/>
        <v>2.3809523809523725E-2</v>
      </c>
    </row>
    <row r="1541" spans="1:8" ht="13.5" x14ac:dyDescent="0.25">
      <c r="A1541" s="1"/>
      <c r="B1541" s="3">
        <v>44554</v>
      </c>
      <c r="C1541" s="4">
        <v>2.19</v>
      </c>
      <c r="D1541" s="4">
        <v>2.19</v>
      </c>
      <c r="E1541" s="4">
        <v>3000</v>
      </c>
      <c r="F1541" s="4">
        <v>2.19</v>
      </c>
      <c r="G1541" s="4">
        <v>6570</v>
      </c>
      <c r="H1541" s="5">
        <f t="shared" si="23"/>
        <v>1.8604651162790715E-2</v>
      </c>
    </row>
    <row r="1542" spans="1:8" ht="13.5" x14ac:dyDescent="0.25">
      <c r="A1542" s="1"/>
      <c r="B1542" s="3">
        <v>44557</v>
      </c>
      <c r="C1542" s="4">
        <v>2.19</v>
      </c>
      <c r="D1542" s="4">
        <v>2.19</v>
      </c>
      <c r="E1542" s="4">
        <v>3000</v>
      </c>
      <c r="F1542" s="4">
        <v>2.19</v>
      </c>
      <c r="G1542" s="4">
        <v>6570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2.1800000000000002</v>
      </c>
      <c r="D1543" s="4">
        <v>2.1800000000000002</v>
      </c>
      <c r="E1543" s="4">
        <v>3000</v>
      </c>
      <c r="F1543" s="4">
        <v>2.1800000000000002</v>
      </c>
      <c r="G1543" s="4">
        <v>6540</v>
      </c>
      <c r="H1543" s="5">
        <f t="shared" ref="H1543:H1606" si="24">(D1543-D1542)/D1542</f>
        <v>-4.5662100456620031E-3</v>
      </c>
    </row>
    <row r="1544" spans="1:8" ht="13.5" x14ac:dyDescent="0.25">
      <c r="A1544" s="1"/>
      <c r="B1544" s="3">
        <v>44559</v>
      </c>
      <c r="C1544" s="4">
        <v>2.1800000000000002</v>
      </c>
      <c r="D1544" s="4">
        <v>2.1800000000000002</v>
      </c>
      <c r="E1544" s="4">
        <v>3000</v>
      </c>
      <c r="F1544" s="4">
        <v>2.1800000000000002</v>
      </c>
      <c r="G1544" s="4">
        <v>6540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2.1800000000000002</v>
      </c>
      <c r="D1545" s="4">
        <v>2.1800000000000002</v>
      </c>
      <c r="E1545" s="4">
        <v>4740</v>
      </c>
      <c r="F1545" s="4">
        <v>2.1800000000000002</v>
      </c>
      <c r="G1545" s="4">
        <v>10333.200000000001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2.1800000000000002</v>
      </c>
      <c r="D1546" s="4">
        <v>2.1800000000000002</v>
      </c>
      <c r="E1546" s="4">
        <v>500</v>
      </c>
      <c r="F1546" s="4">
        <v>2.1800000000000002</v>
      </c>
      <c r="G1546" s="4">
        <v>1090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2.1800000000000002</v>
      </c>
      <c r="D1547" s="4">
        <v>2.1800000000000002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2.09</v>
      </c>
      <c r="D1548" s="4">
        <v>2.09</v>
      </c>
      <c r="E1548" s="4">
        <v>0</v>
      </c>
      <c r="F1548" s="4">
        <v>0</v>
      </c>
      <c r="G1548" s="4">
        <v>0</v>
      </c>
      <c r="H1548" s="5">
        <f t="shared" si="24"/>
        <v>-4.1284403669724905E-2</v>
      </c>
    </row>
    <row r="1549" spans="1:8" ht="13.5" x14ac:dyDescent="0.25">
      <c r="A1549" s="1"/>
      <c r="B1549" s="3">
        <v>44566</v>
      </c>
      <c r="C1549" s="4">
        <v>2.15</v>
      </c>
      <c r="D1549" s="4">
        <v>2.15</v>
      </c>
      <c r="E1549" s="4">
        <v>47427</v>
      </c>
      <c r="F1549" s="4">
        <v>2.15</v>
      </c>
      <c r="G1549" s="4">
        <v>101968.05</v>
      </c>
      <c r="H1549" s="5">
        <f t="shared" si="24"/>
        <v>2.8708133971291894E-2</v>
      </c>
    </row>
    <row r="1550" spans="1:8" ht="13.5" x14ac:dyDescent="0.25">
      <c r="A1550" s="1"/>
      <c r="B1550" s="3">
        <v>44567</v>
      </c>
      <c r="C1550" s="4">
        <v>2.14</v>
      </c>
      <c r="D1550" s="4">
        <v>2.14</v>
      </c>
      <c r="E1550" s="4">
        <v>8400</v>
      </c>
      <c r="F1550" s="4">
        <v>2.14</v>
      </c>
      <c r="G1550" s="4">
        <v>17976</v>
      </c>
      <c r="H1550" s="5">
        <f t="shared" si="24"/>
        <v>-4.6511627906975755E-3</v>
      </c>
    </row>
    <row r="1551" spans="1:8" ht="13.5" x14ac:dyDescent="0.25">
      <c r="A1551" s="1"/>
      <c r="B1551" s="3">
        <v>44568</v>
      </c>
      <c r="C1551" s="4">
        <v>2.14</v>
      </c>
      <c r="D1551" s="4">
        <v>2.14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2.1</v>
      </c>
      <c r="D1552" s="4">
        <v>2.1</v>
      </c>
      <c r="E1552" s="4">
        <v>5000</v>
      </c>
      <c r="F1552" s="4">
        <v>2.1</v>
      </c>
      <c r="G1552" s="4">
        <v>10500</v>
      </c>
      <c r="H1552" s="5">
        <f t="shared" si="24"/>
        <v>-1.8691588785046745E-2</v>
      </c>
    </row>
    <row r="1553" spans="1:8" ht="13.5" x14ac:dyDescent="0.25">
      <c r="A1553" s="1"/>
      <c r="B1553" s="3">
        <v>44572</v>
      </c>
      <c r="C1553" s="4">
        <v>2.1</v>
      </c>
      <c r="D1553" s="4">
        <v>2.1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2.1</v>
      </c>
      <c r="D1554" s="4">
        <v>2.1</v>
      </c>
      <c r="E1554" s="4">
        <v>24500</v>
      </c>
      <c r="F1554" s="4">
        <v>2.1</v>
      </c>
      <c r="G1554" s="4">
        <v>51450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2.1</v>
      </c>
      <c r="D1555" s="4">
        <v>2.1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2.1</v>
      </c>
      <c r="D1556" s="4">
        <v>2.1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2.1</v>
      </c>
      <c r="D1557" s="4">
        <v>2.1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2.1</v>
      </c>
      <c r="D1558" s="4">
        <v>2.1</v>
      </c>
      <c r="E1558" s="4">
        <v>62</v>
      </c>
      <c r="F1558" s="4">
        <v>2.1</v>
      </c>
      <c r="G1558" s="4">
        <v>130.19999999999999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2.1</v>
      </c>
      <c r="D1559" s="4">
        <v>2.1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2.08</v>
      </c>
      <c r="D1560" s="4">
        <v>2.08</v>
      </c>
      <c r="E1560" s="4">
        <v>2455</v>
      </c>
      <c r="F1560" s="4">
        <v>2.08</v>
      </c>
      <c r="G1560" s="4">
        <v>5106.3999999999996</v>
      </c>
      <c r="H1560" s="5">
        <f t="shared" si="24"/>
        <v>-9.5238095238095316E-3</v>
      </c>
    </row>
    <row r="1561" spans="1:8" ht="13.5" x14ac:dyDescent="0.25">
      <c r="A1561" s="1"/>
      <c r="B1561" s="3">
        <v>44582</v>
      </c>
      <c r="C1561" s="4">
        <v>2.08</v>
      </c>
      <c r="D1561" s="4">
        <v>2.08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2.08</v>
      </c>
      <c r="D1562" s="4">
        <v>2.08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2.04</v>
      </c>
      <c r="D1563" s="4">
        <v>2.04</v>
      </c>
      <c r="E1563" s="4">
        <v>707</v>
      </c>
      <c r="F1563" s="4">
        <v>2.04</v>
      </c>
      <c r="G1563" s="4">
        <v>1442.28</v>
      </c>
      <c r="H1563" s="5">
        <f t="shared" si="24"/>
        <v>-1.9230769230769246E-2</v>
      </c>
    </row>
    <row r="1564" spans="1:8" ht="13.5" x14ac:dyDescent="0.25">
      <c r="A1564" s="1"/>
      <c r="B1564" s="3">
        <v>44587</v>
      </c>
      <c r="C1564" s="4">
        <v>1.99</v>
      </c>
      <c r="D1564" s="4">
        <v>1.99</v>
      </c>
      <c r="E1564" s="4">
        <v>198</v>
      </c>
      <c r="F1564" s="4">
        <v>1.99</v>
      </c>
      <c r="G1564" s="4">
        <v>394.02</v>
      </c>
      <c r="H1564" s="5">
        <f t="shared" si="24"/>
        <v>-2.4509803921568648E-2</v>
      </c>
    </row>
    <row r="1565" spans="1:8" ht="13.5" x14ac:dyDescent="0.25">
      <c r="A1565" s="1"/>
      <c r="B1565" s="3">
        <v>44588</v>
      </c>
      <c r="C1565" s="4">
        <v>1.99</v>
      </c>
      <c r="D1565" s="4">
        <v>1.99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1.99</v>
      </c>
      <c r="D1566" s="4">
        <v>1.99</v>
      </c>
      <c r="E1566" s="4">
        <v>0</v>
      </c>
      <c r="F1566" s="4">
        <v>0</v>
      </c>
      <c r="G1566" s="4">
        <v>0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1.97</v>
      </c>
      <c r="D1567" s="4">
        <v>1.97</v>
      </c>
      <c r="E1567" s="4">
        <v>457</v>
      </c>
      <c r="F1567" s="4">
        <v>1.97</v>
      </c>
      <c r="G1567" s="4">
        <v>900.29</v>
      </c>
      <c r="H1567" s="5">
        <f t="shared" si="24"/>
        <v>-1.0050251256281416E-2</v>
      </c>
    </row>
    <row r="1568" spans="1:8" ht="13.5" x14ac:dyDescent="0.25">
      <c r="A1568" s="1"/>
      <c r="B1568" s="3">
        <v>44593</v>
      </c>
      <c r="C1568" s="4">
        <v>1.97</v>
      </c>
      <c r="D1568" s="4">
        <v>1.97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1.89</v>
      </c>
      <c r="D1569" s="4">
        <v>1.89</v>
      </c>
      <c r="E1569" s="4">
        <v>480</v>
      </c>
      <c r="F1569" s="4">
        <v>1.89</v>
      </c>
      <c r="G1569" s="4">
        <v>907.2</v>
      </c>
      <c r="H1569" s="5">
        <f t="shared" si="24"/>
        <v>-4.0609137055837602E-2</v>
      </c>
    </row>
    <row r="1570" spans="1:8" ht="13.5" x14ac:dyDescent="0.25">
      <c r="A1570" s="1"/>
      <c r="B1570" s="3">
        <v>44595</v>
      </c>
      <c r="C1570" s="4">
        <v>1.89</v>
      </c>
      <c r="D1570" s="4">
        <v>1.89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1.81</v>
      </c>
      <c r="D1571" s="4">
        <v>1.81</v>
      </c>
      <c r="E1571" s="4">
        <v>15</v>
      </c>
      <c r="F1571" s="4">
        <v>1.81</v>
      </c>
      <c r="G1571" s="4">
        <v>27.15</v>
      </c>
      <c r="H1571" s="5">
        <f t="shared" si="24"/>
        <v>-4.2328042328042249E-2</v>
      </c>
    </row>
    <row r="1572" spans="1:8" ht="13.5" x14ac:dyDescent="0.25">
      <c r="A1572" s="1"/>
      <c r="B1572" s="3">
        <v>44599</v>
      </c>
      <c r="C1572" s="4">
        <v>1.73</v>
      </c>
      <c r="D1572" s="4">
        <v>1.73</v>
      </c>
      <c r="E1572" s="4">
        <v>100</v>
      </c>
      <c r="F1572" s="4">
        <v>1.73</v>
      </c>
      <c r="G1572" s="4">
        <v>173</v>
      </c>
      <c r="H1572" s="5">
        <f t="shared" si="24"/>
        <v>-4.4198895027624349E-2</v>
      </c>
    </row>
    <row r="1573" spans="1:8" ht="13.5" x14ac:dyDescent="0.25">
      <c r="A1573" s="1"/>
      <c r="B1573" s="3">
        <v>44600</v>
      </c>
      <c r="C1573" s="4">
        <v>1.73</v>
      </c>
      <c r="D1573" s="4">
        <v>1.73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1.66</v>
      </c>
      <c r="D1574" s="4">
        <v>1.66</v>
      </c>
      <c r="E1574" s="4">
        <v>1000</v>
      </c>
      <c r="F1574" s="4">
        <v>1.66</v>
      </c>
      <c r="G1574" s="4">
        <v>1660</v>
      </c>
      <c r="H1574" s="5">
        <f t="shared" si="24"/>
        <v>-4.0462427745664775E-2</v>
      </c>
    </row>
    <row r="1575" spans="1:8" ht="13.5" x14ac:dyDescent="0.25">
      <c r="A1575" s="1"/>
      <c r="B1575" s="3">
        <v>44602</v>
      </c>
      <c r="C1575" s="4">
        <v>1.66</v>
      </c>
      <c r="D1575" s="4">
        <v>1.66</v>
      </c>
      <c r="E1575" s="4">
        <v>300</v>
      </c>
      <c r="F1575" s="4">
        <v>1.66</v>
      </c>
      <c r="G1575" s="4">
        <v>498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1.6</v>
      </c>
      <c r="D1576" s="4">
        <v>1.6</v>
      </c>
      <c r="E1576" s="4">
        <v>507</v>
      </c>
      <c r="F1576" s="4">
        <v>1.6</v>
      </c>
      <c r="G1576" s="4">
        <v>811.2</v>
      </c>
      <c r="H1576" s="5">
        <f t="shared" si="24"/>
        <v>-3.6144578313252913E-2</v>
      </c>
    </row>
    <row r="1577" spans="1:8" ht="13.5" x14ac:dyDescent="0.25">
      <c r="A1577" s="1"/>
      <c r="B1577" s="3">
        <v>44606</v>
      </c>
      <c r="C1577" s="4">
        <v>1.6</v>
      </c>
      <c r="D1577" s="4">
        <v>1.6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1.67</v>
      </c>
      <c r="D1578" s="4">
        <v>1.67</v>
      </c>
      <c r="E1578" s="4">
        <v>2709</v>
      </c>
      <c r="F1578" s="4">
        <v>1.67</v>
      </c>
      <c r="G1578" s="4">
        <v>4524.03</v>
      </c>
      <c r="H1578" s="5">
        <f t="shared" si="24"/>
        <v>4.37499999999999E-2</v>
      </c>
    </row>
    <row r="1579" spans="1:8" ht="13.5" x14ac:dyDescent="0.25">
      <c r="A1579" s="1"/>
      <c r="B1579" s="3">
        <v>44608</v>
      </c>
      <c r="C1579" s="4">
        <v>1.67</v>
      </c>
      <c r="D1579" s="4">
        <v>1.67</v>
      </c>
      <c r="E1579" s="4">
        <v>401</v>
      </c>
      <c r="F1579" s="4">
        <v>1.67</v>
      </c>
      <c r="G1579" s="4">
        <v>669.67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1.74</v>
      </c>
      <c r="D1580" s="4">
        <v>1.74</v>
      </c>
      <c r="E1580" s="4">
        <v>106</v>
      </c>
      <c r="F1580" s="4">
        <v>1.74</v>
      </c>
      <c r="G1580" s="4">
        <v>184.44</v>
      </c>
      <c r="H1580" s="5">
        <f t="shared" si="24"/>
        <v>4.1916167664670698E-2</v>
      </c>
    </row>
    <row r="1581" spans="1:8" ht="13.5" x14ac:dyDescent="0.25">
      <c r="A1581" s="1"/>
      <c r="B1581" s="3">
        <v>44610</v>
      </c>
      <c r="C1581" s="4">
        <v>1.81</v>
      </c>
      <c r="D1581" s="4">
        <v>1.81</v>
      </c>
      <c r="E1581" s="4">
        <v>974</v>
      </c>
      <c r="F1581" s="4">
        <v>1.81</v>
      </c>
      <c r="G1581" s="4">
        <v>1762.94</v>
      </c>
      <c r="H1581" s="5">
        <f t="shared" si="24"/>
        <v>4.0229885057471299E-2</v>
      </c>
    </row>
    <row r="1582" spans="1:8" ht="13.5" x14ac:dyDescent="0.25">
      <c r="A1582" s="1"/>
      <c r="B1582" s="3">
        <v>44613</v>
      </c>
      <c r="C1582" s="4">
        <v>1.81</v>
      </c>
      <c r="D1582" s="4">
        <v>1.81</v>
      </c>
      <c r="E1582" s="4">
        <v>291</v>
      </c>
      <c r="F1582" s="4">
        <v>1.81</v>
      </c>
      <c r="G1582" s="4">
        <v>526.71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1.81</v>
      </c>
      <c r="D1583" s="4">
        <v>1.81</v>
      </c>
      <c r="E1583" s="4">
        <v>632</v>
      </c>
      <c r="F1583" s="4">
        <v>1.81</v>
      </c>
      <c r="G1583" s="4">
        <v>1143.92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1.8</v>
      </c>
      <c r="D1584" s="4">
        <v>1.8</v>
      </c>
      <c r="E1584" s="4">
        <v>604</v>
      </c>
      <c r="F1584" s="4">
        <v>1.802</v>
      </c>
      <c r="G1584" s="4">
        <v>1088.4079999999999</v>
      </c>
      <c r="H1584" s="5">
        <f t="shared" si="24"/>
        <v>-5.5248618784530436E-3</v>
      </c>
    </row>
    <row r="1585" spans="1:8" ht="13.5" x14ac:dyDescent="0.25">
      <c r="A1585" s="1"/>
      <c r="B1585" s="3">
        <v>44616</v>
      </c>
      <c r="C1585" s="4">
        <v>1.8</v>
      </c>
      <c r="D1585" s="4">
        <v>1.8</v>
      </c>
      <c r="E1585" s="4">
        <v>255</v>
      </c>
      <c r="F1585" s="4">
        <v>1.8</v>
      </c>
      <c r="G1585" s="4">
        <v>459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1.8</v>
      </c>
      <c r="D1586" s="4">
        <v>1.8</v>
      </c>
      <c r="E1586" s="4">
        <v>2</v>
      </c>
      <c r="F1586" s="4">
        <v>1.8</v>
      </c>
      <c r="G1586" s="4">
        <v>3.6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1.8</v>
      </c>
      <c r="D1587" s="4">
        <v>1.8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1.83</v>
      </c>
      <c r="D1588" s="4">
        <v>1.83</v>
      </c>
      <c r="E1588" s="4">
        <v>313</v>
      </c>
      <c r="F1588" s="4">
        <v>1.849</v>
      </c>
      <c r="G1588" s="4">
        <v>578.73699999999997</v>
      </c>
      <c r="H1588" s="5">
        <f t="shared" si="24"/>
        <v>1.666666666666668E-2</v>
      </c>
    </row>
    <row r="1589" spans="1:8" ht="13.5" x14ac:dyDescent="0.25">
      <c r="A1589" s="1"/>
      <c r="B1589" s="3">
        <v>44622</v>
      </c>
      <c r="C1589" s="4">
        <v>1.84</v>
      </c>
      <c r="D1589" s="4">
        <v>1.84</v>
      </c>
      <c r="E1589" s="4">
        <v>76</v>
      </c>
      <c r="F1589" s="4">
        <v>1.84</v>
      </c>
      <c r="G1589" s="4">
        <v>139.84</v>
      </c>
      <c r="H1589" s="5">
        <f t="shared" si="24"/>
        <v>5.4644808743169442E-3</v>
      </c>
    </row>
    <row r="1590" spans="1:8" ht="13.5" x14ac:dyDescent="0.25">
      <c r="A1590" s="1"/>
      <c r="B1590" s="3">
        <v>44623</v>
      </c>
      <c r="C1590" s="4">
        <v>1.85</v>
      </c>
      <c r="D1590" s="4">
        <v>1.85</v>
      </c>
      <c r="E1590" s="4">
        <v>200</v>
      </c>
      <c r="F1590" s="4">
        <v>1.85</v>
      </c>
      <c r="G1590" s="4">
        <v>370</v>
      </c>
      <c r="H1590" s="5">
        <f t="shared" si="24"/>
        <v>5.4347826086956564E-3</v>
      </c>
    </row>
    <row r="1591" spans="1:8" ht="13.5" x14ac:dyDescent="0.25">
      <c r="A1591" s="1"/>
      <c r="B1591" s="3">
        <v>44624</v>
      </c>
      <c r="C1591" s="4">
        <v>1.85</v>
      </c>
      <c r="D1591" s="4">
        <v>1.85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1.85</v>
      </c>
      <c r="D1592" s="4">
        <v>1.85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1.85</v>
      </c>
      <c r="D1593" s="4">
        <v>1.85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1.85</v>
      </c>
      <c r="D1594" s="4">
        <v>1.85</v>
      </c>
      <c r="E1594" s="4">
        <v>2315</v>
      </c>
      <c r="F1594" s="4">
        <v>1.85</v>
      </c>
      <c r="G1594" s="4">
        <v>4282.75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1.85</v>
      </c>
      <c r="D1595" s="4">
        <v>1.85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1.85</v>
      </c>
      <c r="D1596" s="4">
        <v>1.85</v>
      </c>
      <c r="E1596" s="4">
        <v>185</v>
      </c>
      <c r="F1596" s="4">
        <v>1.85</v>
      </c>
      <c r="G1596" s="4">
        <v>342.25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1.85</v>
      </c>
      <c r="D1597" s="4">
        <v>1.85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1.84</v>
      </c>
      <c r="D1598" s="4">
        <v>1.84</v>
      </c>
      <c r="E1598" s="4">
        <v>12200</v>
      </c>
      <c r="F1598" s="4">
        <v>1.84</v>
      </c>
      <c r="G1598" s="4">
        <v>22448</v>
      </c>
      <c r="H1598" s="5">
        <f t="shared" si="24"/>
        <v>-5.40540540540541E-3</v>
      </c>
    </row>
    <row r="1599" spans="1:8" ht="13.5" x14ac:dyDescent="0.25">
      <c r="A1599" s="1"/>
      <c r="B1599" s="3">
        <v>44636</v>
      </c>
      <c r="C1599" s="4">
        <v>1.84</v>
      </c>
      <c r="D1599" s="4">
        <v>1.84</v>
      </c>
      <c r="E1599" s="4">
        <v>2950</v>
      </c>
      <c r="F1599" s="4">
        <v>1.831</v>
      </c>
      <c r="G1599" s="4">
        <v>5401.45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1.85</v>
      </c>
      <c r="D1600" s="4">
        <v>1.85</v>
      </c>
      <c r="E1600" s="4">
        <v>200</v>
      </c>
      <c r="F1600" s="4">
        <v>1.85</v>
      </c>
      <c r="G1600" s="4">
        <v>370</v>
      </c>
      <c r="H1600" s="5">
        <f t="shared" si="24"/>
        <v>5.4347826086956564E-3</v>
      </c>
    </row>
    <row r="1601" spans="1:8" ht="13.5" x14ac:dyDescent="0.25">
      <c r="A1601" s="1"/>
      <c r="B1601" s="3">
        <v>44638</v>
      </c>
      <c r="C1601" s="4">
        <v>1.85</v>
      </c>
      <c r="D1601" s="4">
        <v>1.85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1.85</v>
      </c>
      <c r="D1602" s="4">
        <v>1.85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1.85</v>
      </c>
      <c r="D1603" s="4">
        <v>1.85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1.85</v>
      </c>
      <c r="D1604" s="4">
        <v>1.85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1.85</v>
      </c>
      <c r="D1605" s="4">
        <v>1.85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1.85</v>
      </c>
      <c r="D1606" s="4">
        <v>1.85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1.85</v>
      </c>
      <c r="D1607" s="4">
        <v>1.85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1.85</v>
      </c>
      <c r="D1608" s="4">
        <v>1.85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1.84</v>
      </c>
      <c r="D1609" s="4">
        <v>1.84</v>
      </c>
      <c r="E1609" s="4">
        <v>100</v>
      </c>
      <c r="F1609" s="4">
        <v>1.84</v>
      </c>
      <c r="G1609" s="4">
        <v>184</v>
      </c>
      <c r="H1609" s="5">
        <f t="shared" si="25"/>
        <v>-5.40540540540541E-3</v>
      </c>
    </row>
    <row r="1610" spans="1:8" ht="13.5" x14ac:dyDescent="0.25">
      <c r="A1610" s="1"/>
      <c r="B1610" s="3">
        <v>44651</v>
      </c>
      <c r="C1610" s="4">
        <v>1.84</v>
      </c>
      <c r="D1610" s="4">
        <v>1.84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1.76</v>
      </c>
      <c r="D1611" s="4">
        <v>1.76</v>
      </c>
      <c r="E1611" s="4">
        <v>0</v>
      </c>
      <c r="F1611" s="4">
        <v>0</v>
      </c>
      <c r="G1611" s="4">
        <v>0</v>
      </c>
      <c r="H1611" s="5">
        <f t="shared" si="25"/>
        <v>-4.3478260869565251E-2</v>
      </c>
    </row>
    <row r="1612" spans="1:8" ht="13.5" x14ac:dyDescent="0.25">
      <c r="A1612" s="1"/>
      <c r="B1612" s="3">
        <v>44655</v>
      </c>
      <c r="C1612" s="4">
        <v>1.69</v>
      </c>
      <c r="D1612" s="4">
        <v>1.69</v>
      </c>
      <c r="E1612" s="4">
        <v>0</v>
      </c>
      <c r="F1612" s="4">
        <v>0</v>
      </c>
      <c r="G1612" s="4">
        <v>0</v>
      </c>
      <c r="H1612" s="5">
        <f t="shared" si="25"/>
        <v>-3.9772727272727307E-2</v>
      </c>
    </row>
    <row r="1613" spans="1:8" ht="13.5" x14ac:dyDescent="0.25">
      <c r="A1613" s="1"/>
      <c r="B1613" s="3">
        <v>44656</v>
      </c>
      <c r="C1613" s="4">
        <v>1.63</v>
      </c>
      <c r="D1613" s="4">
        <v>1.63</v>
      </c>
      <c r="E1613" s="4">
        <v>1267</v>
      </c>
      <c r="F1613" s="4">
        <v>1.63</v>
      </c>
      <c r="G1613" s="4">
        <v>2065.21</v>
      </c>
      <c r="H1613" s="5">
        <f t="shared" si="25"/>
        <v>-3.5502958579881692E-2</v>
      </c>
    </row>
    <row r="1614" spans="1:8" ht="13.5" x14ac:dyDescent="0.25">
      <c r="A1614" s="1"/>
      <c r="B1614" s="3">
        <v>44657</v>
      </c>
      <c r="C1614" s="4">
        <v>1.56</v>
      </c>
      <c r="D1614" s="4">
        <v>1.56</v>
      </c>
      <c r="E1614" s="4">
        <v>633</v>
      </c>
      <c r="F1614" s="4">
        <v>1.56</v>
      </c>
      <c r="G1614" s="4">
        <v>987.48</v>
      </c>
      <c r="H1614" s="5">
        <f t="shared" si="25"/>
        <v>-4.2944785276073524E-2</v>
      </c>
    </row>
    <row r="1615" spans="1:8" ht="13.5" x14ac:dyDescent="0.25">
      <c r="A1615" s="1"/>
      <c r="B1615" s="3">
        <v>44658</v>
      </c>
      <c r="C1615" s="4">
        <v>1.56</v>
      </c>
      <c r="D1615" s="4">
        <v>1.56</v>
      </c>
      <c r="E1615" s="4">
        <v>928</v>
      </c>
      <c r="F1615" s="4">
        <v>1.56</v>
      </c>
      <c r="G1615" s="4">
        <v>1447.68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1.63</v>
      </c>
      <c r="D1616" s="4">
        <v>1.63</v>
      </c>
      <c r="E1616" s="4">
        <v>0</v>
      </c>
      <c r="F1616" s="4">
        <v>0</v>
      </c>
      <c r="G1616" s="4">
        <v>0</v>
      </c>
      <c r="H1616" s="5">
        <f t="shared" si="25"/>
        <v>4.4871794871794768E-2</v>
      </c>
    </row>
    <row r="1617" spans="1:8" ht="13.5" x14ac:dyDescent="0.25">
      <c r="A1617" s="1"/>
      <c r="B1617" s="3">
        <v>44662</v>
      </c>
      <c r="C1617" s="4">
        <v>1.7</v>
      </c>
      <c r="D1617" s="4">
        <v>1.7</v>
      </c>
      <c r="E1617" s="4">
        <v>0</v>
      </c>
      <c r="F1617" s="4">
        <v>0</v>
      </c>
      <c r="G1617" s="4">
        <v>0</v>
      </c>
      <c r="H1617" s="5">
        <f t="shared" si="25"/>
        <v>4.2944785276073663E-2</v>
      </c>
    </row>
    <row r="1618" spans="1:8" ht="13.5" x14ac:dyDescent="0.25">
      <c r="A1618" s="1"/>
      <c r="B1618" s="3">
        <v>44663</v>
      </c>
      <c r="C1618" s="4">
        <v>1.7</v>
      </c>
      <c r="D1618" s="4">
        <v>1.7</v>
      </c>
      <c r="E1618" s="4">
        <v>119</v>
      </c>
      <c r="F1618" s="4">
        <v>1.7</v>
      </c>
      <c r="G1618" s="4">
        <v>202.3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1.63</v>
      </c>
      <c r="D1619" s="4">
        <v>1.63</v>
      </c>
      <c r="E1619" s="4">
        <v>0</v>
      </c>
      <c r="F1619" s="4">
        <v>0</v>
      </c>
      <c r="G1619" s="4">
        <v>0</v>
      </c>
      <c r="H1619" s="5">
        <f t="shared" si="25"/>
        <v>-4.1176470588235335E-2</v>
      </c>
    </row>
    <row r="1620" spans="1:8" ht="13.5" x14ac:dyDescent="0.25">
      <c r="A1620" s="1"/>
      <c r="B1620" s="3">
        <v>44665</v>
      </c>
      <c r="C1620" s="4">
        <v>1.56</v>
      </c>
      <c r="D1620" s="4">
        <v>1.56</v>
      </c>
      <c r="E1620" s="4">
        <v>0</v>
      </c>
      <c r="F1620" s="4">
        <v>0</v>
      </c>
      <c r="G1620" s="4">
        <v>0</v>
      </c>
      <c r="H1620" s="5">
        <f t="shared" si="25"/>
        <v>-4.2944785276073524E-2</v>
      </c>
    </row>
    <row r="1621" spans="1:8" ht="13.5" x14ac:dyDescent="0.25">
      <c r="A1621" s="1"/>
      <c r="B1621" s="3">
        <v>44666</v>
      </c>
      <c r="C1621" s="4">
        <v>1.63</v>
      </c>
      <c r="D1621" s="4">
        <v>1.63</v>
      </c>
      <c r="E1621" s="4">
        <v>580</v>
      </c>
      <c r="F1621" s="4">
        <v>1.63</v>
      </c>
      <c r="G1621" s="4">
        <v>945.4</v>
      </c>
      <c r="H1621" s="5">
        <f t="shared" si="25"/>
        <v>4.4871794871794768E-2</v>
      </c>
    </row>
    <row r="1622" spans="1:8" ht="13.5" x14ac:dyDescent="0.25">
      <c r="A1622" s="1"/>
      <c r="B1622" s="3">
        <v>44669</v>
      </c>
      <c r="C1622" s="4">
        <v>1.7</v>
      </c>
      <c r="D1622" s="4">
        <v>1.7</v>
      </c>
      <c r="E1622" s="4">
        <v>7560</v>
      </c>
      <c r="F1622" s="4">
        <v>1.7</v>
      </c>
      <c r="G1622" s="4">
        <v>12852</v>
      </c>
      <c r="H1622" s="5">
        <f t="shared" si="25"/>
        <v>4.2944785276073663E-2</v>
      </c>
    </row>
    <row r="1623" spans="1:8" ht="13.5" x14ac:dyDescent="0.25">
      <c r="A1623" s="1"/>
      <c r="B1623" s="3">
        <v>44670</v>
      </c>
      <c r="C1623" s="4">
        <v>1.63</v>
      </c>
      <c r="D1623" s="4">
        <v>1.63</v>
      </c>
      <c r="E1623" s="4">
        <v>0</v>
      </c>
      <c r="F1623" s="4">
        <v>0</v>
      </c>
      <c r="G1623" s="4">
        <v>0</v>
      </c>
      <c r="H1623" s="5">
        <f t="shared" si="25"/>
        <v>-4.1176470588235335E-2</v>
      </c>
    </row>
    <row r="1624" spans="1:8" ht="13.5" x14ac:dyDescent="0.25">
      <c r="A1624" s="1"/>
      <c r="B1624" s="3">
        <v>44671</v>
      </c>
      <c r="C1624" s="4">
        <v>1.7</v>
      </c>
      <c r="D1624" s="4">
        <v>1.7</v>
      </c>
      <c r="E1624" s="4">
        <v>0</v>
      </c>
      <c r="F1624" s="4">
        <v>0</v>
      </c>
      <c r="G1624" s="4">
        <v>0</v>
      </c>
      <c r="H1624" s="5">
        <f t="shared" si="25"/>
        <v>4.2944785276073663E-2</v>
      </c>
    </row>
    <row r="1625" spans="1:8" ht="13.5" x14ac:dyDescent="0.25">
      <c r="A1625" s="1"/>
      <c r="B1625" s="3">
        <v>44672</v>
      </c>
      <c r="C1625" s="4">
        <v>1.63</v>
      </c>
      <c r="D1625" s="4">
        <v>1.63</v>
      </c>
      <c r="E1625" s="4">
        <v>0</v>
      </c>
      <c r="F1625" s="4">
        <v>0</v>
      </c>
      <c r="G1625" s="4">
        <v>0</v>
      </c>
      <c r="H1625" s="5">
        <f t="shared" si="25"/>
        <v>-4.1176470588235335E-2</v>
      </c>
    </row>
    <row r="1626" spans="1:8" ht="13.5" x14ac:dyDescent="0.25">
      <c r="A1626" s="1"/>
      <c r="B1626" s="3">
        <v>44673</v>
      </c>
      <c r="C1626" s="4">
        <v>1.56</v>
      </c>
      <c r="D1626" s="4">
        <v>1.56</v>
      </c>
      <c r="E1626" s="4">
        <v>109</v>
      </c>
      <c r="F1626" s="4">
        <v>1.659</v>
      </c>
      <c r="G1626" s="4">
        <v>180.83099999999999</v>
      </c>
      <c r="H1626" s="5">
        <f t="shared" si="25"/>
        <v>-4.2944785276073524E-2</v>
      </c>
    </row>
    <row r="1627" spans="1:8" ht="13.5" x14ac:dyDescent="0.25">
      <c r="A1627" s="1"/>
      <c r="B1627" s="3">
        <v>44676</v>
      </c>
      <c r="C1627" s="4">
        <v>1.53</v>
      </c>
      <c r="D1627" s="4">
        <v>1.53</v>
      </c>
      <c r="E1627" s="4">
        <v>107</v>
      </c>
      <c r="F1627" s="4">
        <v>1.532</v>
      </c>
      <c r="G1627" s="4">
        <v>163.92400000000001</v>
      </c>
      <c r="H1627" s="5">
        <f t="shared" si="25"/>
        <v>-1.9230769230769246E-2</v>
      </c>
    </row>
    <row r="1628" spans="1:8" ht="13.5" x14ac:dyDescent="0.25">
      <c r="A1628" s="1"/>
      <c r="B1628" s="3">
        <v>44677</v>
      </c>
      <c r="C1628" s="4">
        <v>1.56</v>
      </c>
      <c r="D1628" s="4">
        <v>1.56</v>
      </c>
      <c r="E1628" s="4">
        <v>2186</v>
      </c>
      <c r="F1628" s="4">
        <v>1.5429999999999999</v>
      </c>
      <c r="G1628" s="4">
        <v>3372.998</v>
      </c>
      <c r="H1628" s="5">
        <f t="shared" si="25"/>
        <v>1.9607843137254919E-2</v>
      </c>
    </row>
    <row r="1629" spans="1:8" ht="13.5" x14ac:dyDescent="0.25">
      <c r="A1629" s="1"/>
      <c r="B1629" s="3">
        <v>44678</v>
      </c>
      <c r="C1629" s="4">
        <v>1.63</v>
      </c>
      <c r="D1629" s="4">
        <v>1.63</v>
      </c>
      <c r="E1629" s="4">
        <v>1042</v>
      </c>
      <c r="F1629" s="4">
        <v>1.63</v>
      </c>
      <c r="G1629" s="4">
        <v>1698.46</v>
      </c>
      <c r="H1629" s="5">
        <f t="shared" si="25"/>
        <v>4.4871794871794768E-2</v>
      </c>
    </row>
    <row r="1630" spans="1:8" ht="13.5" x14ac:dyDescent="0.25">
      <c r="A1630" s="1"/>
      <c r="B1630" s="3">
        <v>44679</v>
      </c>
      <c r="C1630" s="4">
        <v>1.7</v>
      </c>
      <c r="D1630" s="4">
        <v>1.7</v>
      </c>
      <c r="E1630" s="4">
        <v>588</v>
      </c>
      <c r="F1630" s="4">
        <v>1.7</v>
      </c>
      <c r="G1630" s="4">
        <v>999.6</v>
      </c>
      <c r="H1630" s="5">
        <f t="shared" si="25"/>
        <v>4.2944785276073663E-2</v>
      </c>
    </row>
    <row r="1631" spans="1:8" ht="13.5" x14ac:dyDescent="0.25">
      <c r="A1631" s="1"/>
      <c r="B1631" s="3">
        <v>44680</v>
      </c>
      <c r="C1631" s="4">
        <v>1.76</v>
      </c>
      <c r="D1631" s="4">
        <v>1.76</v>
      </c>
      <c r="E1631" s="4">
        <v>129</v>
      </c>
      <c r="F1631" s="4">
        <v>1.76</v>
      </c>
      <c r="G1631" s="4">
        <v>227.04</v>
      </c>
      <c r="H1631" s="5">
        <f t="shared" si="25"/>
        <v>3.5294117647058858E-2</v>
      </c>
    </row>
    <row r="1632" spans="1:8" ht="13.5" x14ac:dyDescent="0.25">
      <c r="A1632" s="1"/>
      <c r="B1632" s="3">
        <v>44685</v>
      </c>
      <c r="C1632" s="4">
        <v>1.8</v>
      </c>
      <c r="D1632" s="4">
        <v>1.8</v>
      </c>
      <c r="E1632" s="4">
        <v>1371</v>
      </c>
      <c r="F1632" s="4">
        <v>1.8</v>
      </c>
      <c r="G1632" s="4">
        <v>2467.8000000000002</v>
      </c>
      <c r="H1632" s="5">
        <f t="shared" si="25"/>
        <v>2.2727272727272749E-2</v>
      </c>
    </row>
    <row r="1633" spans="1:8" ht="13.5" x14ac:dyDescent="0.25">
      <c r="A1633" s="1"/>
      <c r="B1633" s="3">
        <v>44686</v>
      </c>
      <c r="C1633" s="4">
        <v>1.8</v>
      </c>
      <c r="D1633" s="4">
        <v>1.8</v>
      </c>
      <c r="E1633" s="4">
        <v>3701</v>
      </c>
      <c r="F1633" s="4">
        <v>1.8</v>
      </c>
      <c r="G1633" s="4">
        <v>6661.8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1.72</v>
      </c>
      <c r="D1634" s="4">
        <v>1.72</v>
      </c>
      <c r="E1634" s="4">
        <v>1072</v>
      </c>
      <c r="F1634" s="4">
        <v>1.72</v>
      </c>
      <c r="G1634" s="4">
        <v>1843.84</v>
      </c>
      <c r="H1634" s="5">
        <f t="shared" si="25"/>
        <v>-4.4444444444444481E-2</v>
      </c>
    </row>
    <row r="1635" spans="1:8" ht="13.5" x14ac:dyDescent="0.25">
      <c r="A1635" s="1"/>
      <c r="B1635" s="3">
        <v>44690</v>
      </c>
      <c r="C1635" s="4">
        <v>1.65</v>
      </c>
      <c r="D1635" s="4">
        <v>1.65</v>
      </c>
      <c r="E1635" s="4">
        <v>2073</v>
      </c>
      <c r="F1635" s="4">
        <v>1.6519999999999999</v>
      </c>
      <c r="G1635" s="4">
        <v>3424.596</v>
      </c>
      <c r="H1635" s="5">
        <f t="shared" si="25"/>
        <v>-4.0697674418604689E-2</v>
      </c>
    </row>
    <row r="1636" spans="1:8" ht="13.5" x14ac:dyDescent="0.25">
      <c r="A1636" s="1"/>
      <c r="B1636" s="3">
        <v>44691</v>
      </c>
      <c r="C1636" s="4">
        <v>1.58</v>
      </c>
      <c r="D1636" s="4">
        <v>1.58</v>
      </c>
      <c r="E1636" s="4">
        <v>1217</v>
      </c>
      <c r="F1636" s="4">
        <v>1.58</v>
      </c>
      <c r="G1636" s="4">
        <v>1922.86</v>
      </c>
      <c r="H1636" s="5">
        <f t="shared" si="25"/>
        <v>-4.242424242424233E-2</v>
      </c>
    </row>
    <row r="1637" spans="1:8" ht="13.5" x14ac:dyDescent="0.25">
      <c r="A1637" s="1"/>
      <c r="B1637" s="3">
        <v>44692</v>
      </c>
      <c r="C1637" s="4">
        <v>1.51</v>
      </c>
      <c r="D1637" s="4">
        <v>1.51</v>
      </c>
      <c r="E1637" s="4">
        <v>3064</v>
      </c>
      <c r="F1637" s="4">
        <v>1.5109999999999999</v>
      </c>
      <c r="G1637" s="4">
        <v>4629.7039999999997</v>
      </c>
      <c r="H1637" s="5">
        <f t="shared" si="25"/>
        <v>-4.4303797468354465E-2</v>
      </c>
    </row>
    <row r="1638" spans="1:8" ht="13.5" x14ac:dyDescent="0.25">
      <c r="A1638" s="1"/>
      <c r="B1638" s="3">
        <v>44693</v>
      </c>
      <c r="C1638" s="4">
        <v>1.57</v>
      </c>
      <c r="D1638" s="4">
        <v>1.57</v>
      </c>
      <c r="E1638" s="4">
        <v>1890</v>
      </c>
      <c r="F1638" s="4">
        <v>1.51</v>
      </c>
      <c r="G1638" s="4">
        <v>2853.9</v>
      </c>
      <c r="H1638" s="5">
        <f t="shared" si="25"/>
        <v>3.9735099337748381E-2</v>
      </c>
    </row>
    <row r="1639" spans="1:8" ht="13.5" x14ac:dyDescent="0.25">
      <c r="A1639" s="1"/>
      <c r="B1639" s="3">
        <v>44694</v>
      </c>
      <c r="C1639" s="4">
        <v>1.64</v>
      </c>
      <c r="D1639" s="4">
        <v>1.64</v>
      </c>
      <c r="E1639" s="4">
        <v>0</v>
      </c>
      <c r="F1639" s="4">
        <v>0</v>
      </c>
      <c r="G1639" s="4">
        <v>0</v>
      </c>
      <c r="H1639" s="5">
        <f t="shared" si="25"/>
        <v>4.458598726114639E-2</v>
      </c>
    </row>
    <row r="1640" spans="1:8" ht="13.5" x14ac:dyDescent="0.25">
      <c r="A1640" s="1"/>
      <c r="B1640" s="3">
        <v>44697</v>
      </c>
      <c r="C1640" s="4">
        <v>1.57</v>
      </c>
      <c r="D1640" s="4">
        <v>1.57</v>
      </c>
      <c r="E1640" s="4">
        <v>1</v>
      </c>
      <c r="F1640" s="4">
        <v>1.66</v>
      </c>
      <c r="G1640" s="4">
        <v>1.66</v>
      </c>
      <c r="H1640" s="5">
        <f t="shared" si="25"/>
        <v>-4.2682926829268199E-2</v>
      </c>
    </row>
    <row r="1641" spans="1:8" ht="13.5" x14ac:dyDescent="0.25">
      <c r="A1641" s="1"/>
      <c r="B1641" s="3">
        <v>44698</v>
      </c>
      <c r="C1641" s="4">
        <v>1.5</v>
      </c>
      <c r="D1641" s="4">
        <v>1.5</v>
      </c>
      <c r="E1641" s="4">
        <v>0</v>
      </c>
      <c r="F1641" s="4">
        <v>0</v>
      </c>
      <c r="G1641" s="4">
        <v>0</v>
      </c>
      <c r="H1641" s="5">
        <f t="shared" si="25"/>
        <v>-4.4585987261146535E-2</v>
      </c>
    </row>
    <row r="1642" spans="1:8" ht="13.5" x14ac:dyDescent="0.25">
      <c r="A1642" s="1"/>
      <c r="B1642" s="3">
        <v>44699</v>
      </c>
      <c r="C1642" s="4">
        <v>1.44</v>
      </c>
      <c r="D1642" s="4">
        <v>1.44</v>
      </c>
      <c r="E1642" s="4">
        <v>0</v>
      </c>
      <c r="F1642" s="4">
        <v>0</v>
      </c>
      <c r="G1642" s="4">
        <v>0</v>
      </c>
      <c r="H1642" s="5">
        <f t="shared" si="25"/>
        <v>-4.0000000000000036E-2</v>
      </c>
    </row>
    <row r="1643" spans="1:8" ht="13.5" x14ac:dyDescent="0.25">
      <c r="A1643" s="1"/>
      <c r="B1643" s="3">
        <v>44700</v>
      </c>
      <c r="C1643" s="4">
        <v>1.5</v>
      </c>
      <c r="D1643" s="4">
        <v>1.5</v>
      </c>
      <c r="E1643" s="4">
        <v>1002</v>
      </c>
      <c r="F1643" s="4">
        <v>1.5</v>
      </c>
      <c r="G1643" s="4">
        <v>1503</v>
      </c>
      <c r="H1643" s="5">
        <f t="shared" si="25"/>
        <v>4.1666666666666706E-2</v>
      </c>
    </row>
    <row r="1644" spans="1:8" ht="13.5" x14ac:dyDescent="0.25">
      <c r="A1644" s="1"/>
      <c r="B1644" s="3">
        <v>44701</v>
      </c>
      <c r="C1644" s="4">
        <v>1.5</v>
      </c>
      <c r="D1644" s="4">
        <v>1.5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1.5</v>
      </c>
      <c r="D1645" s="4">
        <v>1.5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1.5</v>
      </c>
      <c r="D1646" s="4">
        <v>1.5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1.5</v>
      </c>
      <c r="D1647" s="4">
        <v>1.5</v>
      </c>
      <c r="E1647" s="4">
        <v>500</v>
      </c>
      <c r="F1647" s="4">
        <v>1.5</v>
      </c>
      <c r="G1647" s="4">
        <v>750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1.44</v>
      </c>
      <c r="D1648" s="4">
        <v>1.44</v>
      </c>
      <c r="E1648" s="4">
        <v>5653</v>
      </c>
      <c r="F1648" s="4">
        <v>1.4450000000000001</v>
      </c>
      <c r="G1648" s="4">
        <v>8168.585</v>
      </c>
      <c r="H1648" s="5">
        <f t="shared" si="25"/>
        <v>-4.0000000000000036E-2</v>
      </c>
    </row>
    <row r="1649" spans="1:8" ht="13.5" x14ac:dyDescent="0.25">
      <c r="A1649" s="1"/>
      <c r="B1649" s="3">
        <v>44708</v>
      </c>
      <c r="C1649" s="4">
        <v>1.5</v>
      </c>
      <c r="D1649" s="4">
        <v>1.5</v>
      </c>
      <c r="E1649" s="4">
        <v>2</v>
      </c>
      <c r="F1649" s="4">
        <v>1.5</v>
      </c>
      <c r="G1649" s="4">
        <v>3</v>
      </c>
      <c r="H1649" s="5">
        <f t="shared" si="25"/>
        <v>4.1666666666666706E-2</v>
      </c>
    </row>
    <row r="1650" spans="1:8" ht="13.5" x14ac:dyDescent="0.25">
      <c r="A1650" s="1"/>
      <c r="B1650" s="3">
        <v>44711</v>
      </c>
      <c r="C1650" s="4">
        <v>1.56</v>
      </c>
      <c r="D1650" s="4">
        <v>1.56</v>
      </c>
      <c r="E1650" s="4">
        <v>2</v>
      </c>
      <c r="F1650" s="4">
        <v>1.56</v>
      </c>
      <c r="G1650" s="4">
        <v>3.12</v>
      </c>
      <c r="H1650" s="5">
        <f t="shared" si="25"/>
        <v>4.0000000000000036E-2</v>
      </c>
    </row>
    <row r="1651" spans="1:8" ht="13.5" x14ac:dyDescent="0.25">
      <c r="A1651" s="1"/>
      <c r="B1651" s="3">
        <v>44712</v>
      </c>
      <c r="C1651" s="4">
        <v>1.49</v>
      </c>
      <c r="D1651" s="4">
        <v>1.49</v>
      </c>
      <c r="E1651" s="4">
        <v>625</v>
      </c>
      <c r="F1651" s="4">
        <v>1.49</v>
      </c>
      <c r="G1651" s="4">
        <v>931.25</v>
      </c>
      <c r="H1651" s="5">
        <f t="shared" si="25"/>
        <v>-4.4871794871794907E-2</v>
      </c>
    </row>
    <row r="1652" spans="1:8" ht="13.5" x14ac:dyDescent="0.25">
      <c r="A1652" s="1"/>
      <c r="B1652" s="3">
        <v>44713</v>
      </c>
      <c r="C1652" s="4">
        <v>1.54</v>
      </c>
      <c r="D1652" s="4">
        <v>1.54</v>
      </c>
      <c r="E1652" s="4">
        <v>3969</v>
      </c>
      <c r="F1652" s="4">
        <v>1.54</v>
      </c>
      <c r="G1652" s="4">
        <v>6112.26</v>
      </c>
      <c r="H1652" s="5">
        <f t="shared" si="25"/>
        <v>3.35570469798658E-2</v>
      </c>
    </row>
    <row r="1653" spans="1:8" ht="13.5" x14ac:dyDescent="0.25">
      <c r="A1653" s="1"/>
      <c r="B1653" s="3">
        <v>44714</v>
      </c>
      <c r="C1653" s="4">
        <v>1.54</v>
      </c>
      <c r="D1653" s="4">
        <v>1.54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1.56</v>
      </c>
      <c r="D1654" s="4">
        <v>1.56</v>
      </c>
      <c r="E1654" s="4">
        <v>48</v>
      </c>
      <c r="F1654" s="4">
        <v>1.56</v>
      </c>
      <c r="G1654" s="4">
        <v>74.88</v>
      </c>
      <c r="H1654" s="5">
        <f t="shared" si="25"/>
        <v>1.2987012987012998E-2</v>
      </c>
    </row>
    <row r="1655" spans="1:8" ht="13.5" x14ac:dyDescent="0.25">
      <c r="A1655" s="1"/>
      <c r="B1655" s="3">
        <v>44718</v>
      </c>
      <c r="C1655" s="4">
        <v>1.49</v>
      </c>
      <c r="D1655" s="4">
        <v>1.49</v>
      </c>
      <c r="E1655" s="4">
        <v>300</v>
      </c>
      <c r="F1655" s="4">
        <v>1.496</v>
      </c>
      <c r="G1655" s="4">
        <v>448.8</v>
      </c>
      <c r="H1655" s="5">
        <f t="shared" si="25"/>
        <v>-4.4871794871794907E-2</v>
      </c>
    </row>
    <row r="1656" spans="1:8" ht="13.5" x14ac:dyDescent="0.25">
      <c r="A1656" s="1"/>
      <c r="B1656" s="3">
        <v>44719</v>
      </c>
      <c r="C1656" s="4">
        <v>1.53</v>
      </c>
      <c r="D1656" s="4">
        <v>1.53</v>
      </c>
      <c r="E1656" s="4">
        <v>17</v>
      </c>
      <c r="F1656" s="4">
        <v>1.53</v>
      </c>
      <c r="G1656" s="4">
        <v>26.01</v>
      </c>
      <c r="H1656" s="5">
        <f t="shared" si="25"/>
        <v>2.6845637583892641E-2</v>
      </c>
    </row>
    <row r="1657" spans="1:8" ht="13.5" x14ac:dyDescent="0.25">
      <c r="A1657" s="1"/>
      <c r="B1657" s="3">
        <v>44720</v>
      </c>
      <c r="C1657" s="4">
        <v>1.47</v>
      </c>
      <c r="D1657" s="4">
        <v>1.47</v>
      </c>
      <c r="E1657" s="4">
        <v>14</v>
      </c>
      <c r="F1657" s="4">
        <v>1.58</v>
      </c>
      <c r="G1657" s="4">
        <v>22.12</v>
      </c>
      <c r="H1657" s="5">
        <f t="shared" si="25"/>
        <v>-3.9215686274509838E-2</v>
      </c>
    </row>
    <row r="1658" spans="1:8" ht="13.5" x14ac:dyDescent="0.25">
      <c r="A1658" s="1"/>
      <c r="B1658" s="3">
        <v>44721</v>
      </c>
      <c r="C1658" s="4">
        <v>1.41</v>
      </c>
      <c r="D1658" s="4">
        <v>1.41</v>
      </c>
      <c r="E1658" s="4">
        <v>310</v>
      </c>
      <c r="F1658" s="4">
        <v>1.44</v>
      </c>
      <c r="G1658" s="4">
        <v>446.4</v>
      </c>
      <c r="H1658" s="5">
        <f t="shared" si="25"/>
        <v>-4.0816326530612283E-2</v>
      </c>
    </row>
    <row r="1659" spans="1:8" ht="13.5" x14ac:dyDescent="0.25">
      <c r="A1659" s="1"/>
      <c r="B1659" s="3">
        <v>44722</v>
      </c>
      <c r="C1659" s="4">
        <v>1.43</v>
      </c>
      <c r="D1659" s="4">
        <v>1.43</v>
      </c>
      <c r="E1659" s="4">
        <v>552</v>
      </c>
      <c r="F1659" s="4">
        <v>1.43</v>
      </c>
      <c r="G1659" s="4">
        <v>789.36</v>
      </c>
      <c r="H1659" s="5">
        <f t="shared" si="25"/>
        <v>1.4184397163120581E-2</v>
      </c>
    </row>
    <row r="1660" spans="1:8" ht="13.5" x14ac:dyDescent="0.25">
      <c r="A1660" s="1"/>
      <c r="B1660" s="3">
        <v>44725</v>
      </c>
      <c r="C1660" s="4">
        <v>1.43</v>
      </c>
      <c r="D1660" s="4">
        <v>1.43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1.43</v>
      </c>
      <c r="D1661" s="4">
        <v>1.43</v>
      </c>
      <c r="E1661" s="4">
        <v>94</v>
      </c>
      <c r="F1661" s="4">
        <v>1.43</v>
      </c>
      <c r="G1661" s="4">
        <v>134.41999999999999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1.43</v>
      </c>
      <c r="D1662" s="4">
        <v>1.43</v>
      </c>
      <c r="E1662" s="4">
        <v>50</v>
      </c>
      <c r="F1662" s="4">
        <v>1.43</v>
      </c>
      <c r="G1662" s="4">
        <v>71.5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1.49</v>
      </c>
      <c r="D1663" s="4">
        <v>1.49</v>
      </c>
      <c r="E1663" s="4">
        <v>0</v>
      </c>
      <c r="F1663" s="4">
        <v>0</v>
      </c>
      <c r="G1663" s="4">
        <v>0</v>
      </c>
      <c r="H1663" s="5">
        <f t="shared" si="25"/>
        <v>4.1958041958041994E-2</v>
      </c>
    </row>
    <row r="1664" spans="1:8" ht="13.5" x14ac:dyDescent="0.25">
      <c r="A1664" s="1"/>
      <c r="B1664" s="3">
        <v>44729</v>
      </c>
      <c r="C1664" s="4">
        <v>1.55</v>
      </c>
      <c r="D1664" s="4">
        <v>1.55</v>
      </c>
      <c r="E1664" s="4">
        <v>0</v>
      </c>
      <c r="F1664" s="4">
        <v>0</v>
      </c>
      <c r="G1664" s="4">
        <v>0</v>
      </c>
      <c r="H1664" s="5">
        <f t="shared" si="25"/>
        <v>4.0268456375838965E-2</v>
      </c>
    </row>
    <row r="1665" spans="1:8" ht="13.5" x14ac:dyDescent="0.25">
      <c r="A1665" s="1"/>
      <c r="B1665" s="3">
        <v>44732</v>
      </c>
      <c r="C1665" s="4">
        <v>1.56</v>
      </c>
      <c r="D1665" s="4">
        <v>1.56</v>
      </c>
      <c r="E1665" s="4">
        <v>2060</v>
      </c>
      <c r="F1665" s="4">
        <v>1.56</v>
      </c>
      <c r="G1665" s="4">
        <v>3213.6</v>
      </c>
      <c r="H1665" s="5">
        <f t="shared" si="25"/>
        <v>6.4516129032258117E-3</v>
      </c>
    </row>
    <row r="1666" spans="1:8" ht="13.5" x14ac:dyDescent="0.25">
      <c r="A1666" s="1"/>
      <c r="B1666" s="3">
        <v>44733</v>
      </c>
      <c r="C1666" s="4">
        <v>1.63</v>
      </c>
      <c r="D1666" s="4">
        <v>1.63</v>
      </c>
      <c r="E1666" s="4">
        <v>5</v>
      </c>
      <c r="F1666" s="4">
        <v>1.63</v>
      </c>
      <c r="G1666" s="4">
        <v>8.15</v>
      </c>
      <c r="H1666" s="5">
        <f t="shared" si="25"/>
        <v>4.4871794871794768E-2</v>
      </c>
    </row>
    <row r="1667" spans="1:8" ht="13.5" x14ac:dyDescent="0.25">
      <c r="A1667" s="1"/>
      <c r="B1667" s="3">
        <v>44734</v>
      </c>
      <c r="C1667" s="4">
        <v>1.66</v>
      </c>
      <c r="D1667" s="4">
        <v>1.66</v>
      </c>
      <c r="E1667" s="4">
        <v>10</v>
      </c>
      <c r="F1667" s="4">
        <v>1.66</v>
      </c>
      <c r="G1667" s="4">
        <v>16.600000000000001</v>
      </c>
      <c r="H1667" s="5">
        <f t="shared" si="25"/>
        <v>1.8404907975460141E-2</v>
      </c>
    </row>
    <row r="1668" spans="1:8" ht="13.5" x14ac:dyDescent="0.25">
      <c r="A1668" s="1"/>
      <c r="B1668" s="3">
        <v>44735</v>
      </c>
      <c r="C1668" s="4">
        <v>1.7</v>
      </c>
      <c r="D1668" s="4">
        <v>1.7</v>
      </c>
      <c r="E1668" s="4">
        <v>4</v>
      </c>
      <c r="F1668" s="4">
        <v>1.7</v>
      </c>
      <c r="G1668" s="4">
        <v>6.8</v>
      </c>
      <c r="H1668" s="5">
        <f t="shared" si="25"/>
        <v>2.4096385542168697E-2</v>
      </c>
    </row>
    <row r="1669" spans="1:8" ht="13.5" x14ac:dyDescent="0.25">
      <c r="A1669" s="1"/>
      <c r="B1669" s="3">
        <v>44736</v>
      </c>
      <c r="C1669" s="4">
        <v>1.7</v>
      </c>
      <c r="D1669" s="4">
        <v>1.7</v>
      </c>
      <c r="E1669" s="4">
        <v>1</v>
      </c>
      <c r="F1669" s="4">
        <v>1.7</v>
      </c>
      <c r="G1669" s="4">
        <v>1.7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1.7</v>
      </c>
      <c r="D1670" s="4">
        <v>1.7</v>
      </c>
      <c r="E1670" s="4">
        <v>2</v>
      </c>
      <c r="F1670" s="4">
        <v>1.7</v>
      </c>
      <c r="G1670" s="4">
        <v>3.4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1.7</v>
      </c>
      <c r="D1671" s="4">
        <v>1.7</v>
      </c>
      <c r="E1671" s="4">
        <v>1</v>
      </c>
      <c r="F1671" s="4">
        <v>1.7</v>
      </c>
      <c r="G1671" s="4">
        <v>1.7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1.7</v>
      </c>
      <c r="D1672" s="4">
        <v>1.7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1.63</v>
      </c>
      <c r="D1673" s="4">
        <v>1.63</v>
      </c>
      <c r="E1673" s="4">
        <v>1</v>
      </c>
      <c r="F1673" s="4">
        <v>1.63</v>
      </c>
      <c r="G1673" s="4">
        <v>1.63</v>
      </c>
      <c r="H1673" s="5">
        <f t="shared" si="26"/>
        <v>-4.1176470588235335E-2</v>
      </c>
    </row>
    <row r="1674" spans="1:8" ht="13.5" x14ac:dyDescent="0.25">
      <c r="A1674" s="1"/>
      <c r="B1674" s="3">
        <v>44743</v>
      </c>
      <c r="C1674" s="4">
        <v>1.62</v>
      </c>
      <c r="D1674" s="4">
        <v>1.62</v>
      </c>
      <c r="E1674" s="4">
        <v>81</v>
      </c>
      <c r="F1674" s="4">
        <v>1.62</v>
      </c>
      <c r="G1674" s="4">
        <v>131.22</v>
      </c>
      <c r="H1674" s="5">
        <f t="shared" si="26"/>
        <v>-6.1349693251532443E-3</v>
      </c>
    </row>
    <row r="1675" spans="1:8" ht="13.5" x14ac:dyDescent="0.25">
      <c r="A1675" s="1"/>
      <c r="B1675" s="3">
        <v>44746</v>
      </c>
      <c r="C1675" s="4">
        <v>1.61</v>
      </c>
      <c r="D1675" s="4">
        <v>1.61</v>
      </c>
      <c r="E1675" s="4">
        <v>10</v>
      </c>
      <c r="F1675" s="4">
        <v>1.61</v>
      </c>
      <c r="G1675" s="4">
        <v>16.100000000000001</v>
      </c>
      <c r="H1675" s="5">
        <f t="shared" si="26"/>
        <v>-6.1728395061728444E-3</v>
      </c>
    </row>
    <row r="1676" spans="1:8" ht="13.5" x14ac:dyDescent="0.25">
      <c r="A1676" s="1"/>
      <c r="B1676" s="3">
        <v>44747</v>
      </c>
      <c r="C1676" s="4">
        <v>1.62</v>
      </c>
      <c r="D1676" s="4">
        <v>1.62</v>
      </c>
      <c r="E1676" s="4">
        <v>1</v>
      </c>
      <c r="F1676" s="4">
        <v>1.62</v>
      </c>
      <c r="G1676" s="4">
        <v>1.62</v>
      </c>
      <c r="H1676" s="5">
        <f t="shared" si="26"/>
        <v>6.2111801242236073E-3</v>
      </c>
    </row>
    <row r="1677" spans="1:8" ht="13.5" x14ac:dyDescent="0.25">
      <c r="A1677" s="1"/>
      <c r="B1677" s="3">
        <v>44748</v>
      </c>
      <c r="C1677" s="4">
        <v>1.58</v>
      </c>
      <c r="D1677" s="4">
        <v>1.58</v>
      </c>
      <c r="E1677" s="4">
        <v>70</v>
      </c>
      <c r="F1677" s="4">
        <v>1.583</v>
      </c>
      <c r="G1677" s="4">
        <v>110.81</v>
      </c>
      <c r="H1677" s="5">
        <f t="shared" si="26"/>
        <v>-2.4691358024691377E-2</v>
      </c>
    </row>
    <row r="1678" spans="1:8" ht="13.5" x14ac:dyDescent="0.25">
      <c r="A1678" s="1"/>
      <c r="B1678" s="3">
        <v>44749</v>
      </c>
      <c r="C1678" s="4">
        <v>1.65</v>
      </c>
      <c r="D1678" s="4">
        <v>1.65</v>
      </c>
      <c r="E1678" s="4">
        <v>2</v>
      </c>
      <c r="F1678" s="4">
        <v>1.65</v>
      </c>
      <c r="G1678" s="4">
        <v>3.3</v>
      </c>
      <c r="H1678" s="5">
        <f t="shared" si="26"/>
        <v>4.4303797468354326E-2</v>
      </c>
    </row>
    <row r="1679" spans="1:8" ht="13.5" x14ac:dyDescent="0.25">
      <c r="A1679" s="1"/>
      <c r="B1679" s="3">
        <v>44750</v>
      </c>
      <c r="C1679" s="4">
        <v>1.72</v>
      </c>
      <c r="D1679" s="4">
        <v>1.72</v>
      </c>
      <c r="E1679" s="4">
        <v>4</v>
      </c>
      <c r="F1679" s="4">
        <v>1.72</v>
      </c>
      <c r="G1679" s="4">
        <v>6.88</v>
      </c>
      <c r="H1679" s="5">
        <f t="shared" si="26"/>
        <v>4.2424242424242462E-2</v>
      </c>
    </row>
    <row r="1680" spans="1:8" ht="13.5" x14ac:dyDescent="0.25">
      <c r="A1680" s="1"/>
      <c r="B1680" s="3">
        <v>44753</v>
      </c>
      <c r="C1680" s="4">
        <v>1.71</v>
      </c>
      <c r="D1680" s="4">
        <v>1.71</v>
      </c>
      <c r="E1680" s="4">
        <v>54</v>
      </c>
      <c r="F1680" s="4">
        <v>1.7110000000000001</v>
      </c>
      <c r="G1680" s="4">
        <v>92.394000000000005</v>
      </c>
      <c r="H1680" s="5">
        <f t="shared" si="26"/>
        <v>-5.8139534883720981E-3</v>
      </c>
    </row>
    <row r="1681" spans="1:8" ht="13.5" x14ac:dyDescent="0.25">
      <c r="A1681" s="1"/>
      <c r="B1681" s="3">
        <v>44754</v>
      </c>
      <c r="C1681" s="4">
        <v>1.71</v>
      </c>
      <c r="D1681" s="4">
        <v>1.71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1.71</v>
      </c>
      <c r="D1682" s="4">
        <v>1.71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1.64</v>
      </c>
      <c r="D1683" s="4">
        <v>1.64</v>
      </c>
      <c r="E1683" s="4">
        <v>1880</v>
      </c>
      <c r="F1683" s="4">
        <v>1.64</v>
      </c>
      <c r="G1683" s="4">
        <v>3083.2</v>
      </c>
      <c r="H1683" s="5">
        <f t="shared" si="26"/>
        <v>-4.0935672514619922E-2</v>
      </c>
    </row>
    <row r="1684" spans="1:8" ht="13.5" x14ac:dyDescent="0.25">
      <c r="A1684" s="1"/>
      <c r="B1684" s="3">
        <v>44757</v>
      </c>
      <c r="C1684" s="4">
        <v>1.58</v>
      </c>
      <c r="D1684" s="4">
        <v>1.58</v>
      </c>
      <c r="E1684" s="4">
        <v>450</v>
      </c>
      <c r="F1684" s="4">
        <v>1.58</v>
      </c>
      <c r="G1684" s="4">
        <v>711</v>
      </c>
      <c r="H1684" s="5">
        <f t="shared" si="26"/>
        <v>-3.6585365853658437E-2</v>
      </c>
    </row>
    <row r="1685" spans="1:8" ht="13.5" x14ac:dyDescent="0.25">
      <c r="A1685" s="1"/>
      <c r="B1685" s="3">
        <v>44760</v>
      </c>
      <c r="C1685" s="4">
        <v>1.53</v>
      </c>
      <c r="D1685" s="4">
        <v>1.53</v>
      </c>
      <c r="E1685" s="4">
        <v>416</v>
      </c>
      <c r="F1685" s="4">
        <v>1.534</v>
      </c>
      <c r="G1685" s="4">
        <v>638.14400000000001</v>
      </c>
      <c r="H1685" s="5">
        <f t="shared" si="26"/>
        <v>-3.1645569620253194E-2</v>
      </c>
    </row>
    <row r="1686" spans="1:8" ht="13.5" x14ac:dyDescent="0.25">
      <c r="A1686" s="1"/>
      <c r="B1686" s="3">
        <v>44761</v>
      </c>
      <c r="C1686" s="4">
        <v>1.52</v>
      </c>
      <c r="D1686" s="4">
        <v>1.52</v>
      </c>
      <c r="E1686" s="4">
        <v>110</v>
      </c>
      <c r="F1686" s="4">
        <v>1.52</v>
      </c>
      <c r="G1686" s="4">
        <v>167.2</v>
      </c>
      <c r="H1686" s="5">
        <f t="shared" si="26"/>
        <v>-6.5359477124183061E-3</v>
      </c>
    </row>
    <row r="1687" spans="1:8" ht="13.5" x14ac:dyDescent="0.25">
      <c r="A1687" s="1"/>
      <c r="B1687" s="3">
        <v>44762</v>
      </c>
      <c r="C1687" s="4">
        <v>1.58</v>
      </c>
      <c r="D1687" s="4">
        <v>1.58</v>
      </c>
      <c r="E1687" s="4">
        <v>1</v>
      </c>
      <c r="F1687" s="4">
        <v>1.58</v>
      </c>
      <c r="G1687" s="4">
        <v>1.58</v>
      </c>
      <c r="H1687" s="5">
        <f t="shared" si="26"/>
        <v>3.9473684210526348E-2</v>
      </c>
    </row>
    <row r="1688" spans="1:8" ht="13.5" x14ac:dyDescent="0.25">
      <c r="A1688" s="1"/>
      <c r="B1688" s="3">
        <v>44763</v>
      </c>
      <c r="C1688" s="4">
        <v>1.64</v>
      </c>
      <c r="D1688" s="4">
        <v>1.64</v>
      </c>
      <c r="E1688" s="4">
        <v>1</v>
      </c>
      <c r="F1688" s="4">
        <v>1.64</v>
      </c>
      <c r="G1688" s="4">
        <v>1.64</v>
      </c>
      <c r="H1688" s="5">
        <f t="shared" si="26"/>
        <v>3.7974683544303688E-2</v>
      </c>
    </row>
    <row r="1689" spans="1:8" ht="13.5" x14ac:dyDescent="0.25">
      <c r="A1689" s="1"/>
      <c r="B1689" s="3">
        <v>44764</v>
      </c>
      <c r="C1689" s="4">
        <v>1.6</v>
      </c>
      <c r="D1689" s="4">
        <v>1.6</v>
      </c>
      <c r="E1689" s="4">
        <v>358</v>
      </c>
      <c r="F1689" s="4">
        <v>1.6</v>
      </c>
      <c r="G1689" s="4">
        <v>572.79999999999995</v>
      </c>
      <c r="H1689" s="5">
        <f t="shared" si="26"/>
        <v>-2.4390243902438911E-2</v>
      </c>
    </row>
    <row r="1690" spans="1:8" ht="13.5" x14ac:dyDescent="0.25">
      <c r="A1690" s="1"/>
      <c r="B1690" s="3">
        <v>44768</v>
      </c>
      <c r="C1690" s="4">
        <v>1.59</v>
      </c>
      <c r="D1690" s="4">
        <v>1.59</v>
      </c>
      <c r="E1690" s="4">
        <v>3</v>
      </c>
      <c r="F1690" s="4">
        <v>1.59</v>
      </c>
      <c r="G1690" s="4">
        <v>4.7699999999999996</v>
      </c>
      <c r="H1690" s="5">
        <f t="shared" si="26"/>
        <v>-6.2500000000000056E-3</v>
      </c>
    </row>
    <row r="1691" spans="1:8" ht="13.5" x14ac:dyDescent="0.25">
      <c r="A1691" s="1"/>
      <c r="B1691" s="3">
        <v>44769</v>
      </c>
      <c r="C1691" s="4">
        <v>1.52</v>
      </c>
      <c r="D1691" s="4">
        <v>1.52</v>
      </c>
      <c r="E1691" s="4">
        <v>1</v>
      </c>
      <c r="F1691" s="4">
        <v>1.52</v>
      </c>
      <c r="G1691" s="4">
        <v>1.52</v>
      </c>
      <c r="H1691" s="5">
        <f t="shared" si="26"/>
        <v>-4.4025157232704441E-2</v>
      </c>
    </row>
    <row r="1692" spans="1:8" ht="13.5" x14ac:dyDescent="0.25">
      <c r="A1692" s="1"/>
      <c r="B1692" s="3">
        <v>44770</v>
      </c>
      <c r="C1692" s="4">
        <v>1.52</v>
      </c>
      <c r="D1692" s="4">
        <v>1.52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1.46</v>
      </c>
      <c r="D1693" s="4">
        <v>1.46</v>
      </c>
      <c r="E1693" s="4">
        <v>0</v>
      </c>
      <c r="F1693" s="4">
        <v>0</v>
      </c>
      <c r="G1693" s="4">
        <v>0</v>
      </c>
      <c r="H1693" s="5">
        <f t="shared" si="26"/>
        <v>-3.9473684210526348E-2</v>
      </c>
    </row>
    <row r="1694" spans="1:8" ht="13.5" x14ac:dyDescent="0.25">
      <c r="A1694" s="1"/>
      <c r="B1694" s="3">
        <v>44774</v>
      </c>
      <c r="C1694" s="4">
        <v>1.4</v>
      </c>
      <c r="D1694" s="4">
        <v>1.4</v>
      </c>
      <c r="E1694" s="4">
        <v>1221</v>
      </c>
      <c r="F1694" s="4">
        <v>1.4</v>
      </c>
      <c r="G1694" s="4">
        <v>1709.4</v>
      </c>
      <c r="H1694" s="5">
        <f t="shared" si="26"/>
        <v>-4.1095890410958943E-2</v>
      </c>
    </row>
    <row r="1695" spans="1:8" ht="13.5" x14ac:dyDescent="0.25">
      <c r="A1695" s="1"/>
      <c r="B1695" s="3">
        <v>44775</v>
      </c>
      <c r="C1695" s="4">
        <v>1.34</v>
      </c>
      <c r="D1695" s="4">
        <v>1.34</v>
      </c>
      <c r="E1695" s="4">
        <v>1304</v>
      </c>
      <c r="F1695" s="4">
        <v>1.34</v>
      </c>
      <c r="G1695" s="4">
        <v>1747.36</v>
      </c>
      <c r="H1695" s="5">
        <f t="shared" si="26"/>
        <v>-4.285714285714274E-2</v>
      </c>
    </row>
    <row r="1696" spans="1:8" ht="13.5" x14ac:dyDescent="0.25">
      <c r="A1696" s="1"/>
      <c r="B1696" s="3">
        <v>44776</v>
      </c>
      <c r="C1696" s="4">
        <v>1.28</v>
      </c>
      <c r="D1696" s="4">
        <v>1.28</v>
      </c>
      <c r="E1696" s="4">
        <v>3898</v>
      </c>
      <c r="F1696" s="4">
        <v>1.28</v>
      </c>
      <c r="G1696" s="4">
        <v>4989.4399999999996</v>
      </c>
      <c r="H1696" s="5">
        <f t="shared" si="26"/>
        <v>-4.4776119402985114E-2</v>
      </c>
    </row>
    <row r="1697" spans="1:8" ht="13.5" x14ac:dyDescent="0.25">
      <c r="A1697" s="1"/>
      <c r="B1697" s="3">
        <v>44777</v>
      </c>
      <c r="C1697" s="4">
        <v>1.23</v>
      </c>
      <c r="D1697" s="4">
        <v>1.23</v>
      </c>
      <c r="E1697" s="4">
        <v>362</v>
      </c>
      <c r="F1697" s="4">
        <v>1.23</v>
      </c>
      <c r="G1697" s="4">
        <v>445.26</v>
      </c>
      <c r="H1697" s="5">
        <f t="shared" si="26"/>
        <v>-3.9062500000000035E-2</v>
      </c>
    </row>
    <row r="1698" spans="1:8" ht="13.5" x14ac:dyDescent="0.25">
      <c r="A1698" s="1"/>
      <c r="B1698" s="3">
        <v>44778</v>
      </c>
      <c r="C1698" s="4">
        <v>1.28</v>
      </c>
      <c r="D1698" s="4">
        <v>1.28</v>
      </c>
      <c r="E1698" s="4">
        <v>1</v>
      </c>
      <c r="F1698" s="4">
        <v>1.28</v>
      </c>
      <c r="G1698" s="4">
        <v>1.28</v>
      </c>
      <c r="H1698" s="5">
        <f t="shared" si="26"/>
        <v>4.0650406504065074E-2</v>
      </c>
    </row>
    <row r="1699" spans="1:8" ht="13.5" x14ac:dyDescent="0.25">
      <c r="A1699" s="1"/>
      <c r="B1699" s="3">
        <v>44781</v>
      </c>
      <c r="C1699" s="4">
        <v>1.3</v>
      </c>
      <c r="D1699" s="4">
        <v>1.3</v>
      </c>
      <c r="E1699" s="4">
        <v>1</v>
      </c>
      <c r="F1699" s="4">
        <v>1.3</v>
      </c>
      <c r="G1699" s="4">
        <v>1.3</v>
      </c>
      <c r="H1699" s="5">
        <f t="shared" si="26"/>
        <v>1.5625000000000014E-2</v>
      </c>
    </row>
    <row r="1700" spans="1:8" ht="13.5" x14ac:dyDescent="0.25">
      <c r="A1700" s="1"/>
      <c r="B1700" s="3">
        <v>44782</v>
      </c>
      <c r="C1700" s="4">
        <v>1.31</v>
      </c>
      <c r="D1700" s="4">
        <v>1.31</v>
      </c>
      <c r="E1700" s="4">
        <v>33</v>
      </c>
      <c r="F1700" s="4">
        <v>1.304</v>
      </c>
      <c r="G1700" s="4">
        <v>43.031999999999996</v>
      </c>
      <c r="H1700" s="5">
        <f t="shared" si="26"/>
        <v>7.6923076923076988E-3</v>
      </c>
    </row>
    <row r="1701" spans="1:8" ht="13.5" x14ac:dyDescent="0.25">
      <c r="A1701" s="1"/>
      <c r="B1701" s="3">
        <v>44783</v>
      </c>
      <c r="C1701" s="4">
        <v>1.31</v>
      </c>
      <c r="D1701" s="4">
        <v>1.31</v>
      </c>
      <c r="E1701" s="4">
        <v>103</v>
      </c>
      <c r="F1701" s="4">
        <v>1.31</v>
      </c>
      <c r="G1701" s="4">
        <v>134.93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1.31</v>
      </c>
      <c r="D1702" s="4">
        <v>1.31</v>
      </c>
      <c r="E1702" s="4">
        <v>15</v>
      </c>
      <c r="F1702" s="4">
        <v>1.31</v>
      </c>
      <c r="G1702" s="4">
        <v>19.649999999999999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1.31</v>
      </c>
      <c r="D1703" s="4">
        <v>1.31</v>
      </c>
      <c r="E1703" s="4">
        <v>1</v>
      </c>
      <c r="F1703" s="4">
        <v>1.31</v>
      </c>
      <c r="G1703" s="4">
        <v>1.31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1.31</v>
      </c>
      <c r="D1704" s="4">
        <v>1.31</v>
      </c>
      <c r="E1704" s="4">
        <v>21</v>
      </c>
      <c r="F1704" s="4">
        <v>1.31</v>
      </c>
      <c r="G1704" s="4">
        <v>27.51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1.31</v>
      </c>
      <c r="D1705" s="4">
        <v>1.31</v>
      </c>
      <c r="E1705" s="4">
        <v>15</v>
      </c>
      <c r="F1705" s="4">
        <v>1.31</v>
      </c>
      <c r="G1705" s="4">
        <v>19.649999999999999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1.28</v>
      </c>
      <c r="D1706" s="4">
        <v>1.28</v>
      </c>
      <c r="E1706" s="4">
        <v>539</v>
      </c>
      <c r="F1706" s="4">
        <v>1.28</v>
      </c>
      <c r="G1706" s="4">
        <v>689.92</v>
      </c>
      <c r="H1706" s="5">
        <f t="shared" si="26"/>
        <v>-2.2900763358778647E-2</v>
      </c>
    </row>
    <row r="1707" spans="1:8" ht="13.5" x14ac:dyDescent="0.25">
      <c r="A1707" s="1"/>
      <c r="B1707" s="3">
        <v>44791</v>
      </c>
      <c r="C1707" s="4">
        <v>1.23</v>
      </c>
      <c r="D1707" s="4">
        <v>1.23</v>
      </c>
      <c r="E1707" s="4">
        <v>4881</v>
      </c>
      <c r="F1707" s="4">
        <v>1.23</v>
      </c>
      <c r="G1707" s="4">
        <v>6003.63</v>
      </c>
      <c r="H1707" s="5">
        <f t="shared" si="26"/>
        <v>-3.9062500000000035E-2</v>
      </c>
    </row>
    <row r="1708" spans="1:8" ht="13.5" x14ac:dyDescent="0.25">
      <c r="A1708" s="1"/>
      <c r="B1708" s="3">
        <v>44792</v>
      </c>
      <c r="C1708" s="4">
        <v>1.23</v>
      </c>
      <c r="D1708" s="4">
        <v>1.23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1.25</v>
      </c>
      <c r="D1709" s="4">
        <v>1.25</v>
      </c>
      <c r="E1709" s="4">
        <v>700</v>
      </c>
      <c r="F1709" s="4">
        <v>1.25</v>
      </c>
      <c r="G1709" s="4">
        <v>875</v>
      </c>
      <c r="H1709" s="5">
        <f t="shared" si="26"/>
        <v>1.6260162601626032E-2</v>
      </c>
    </row>
    <row r="1710" spans="1:8" ht="13.5" x14ac:dyDescent="0.25">
      <c r="A1710" s="1"/>
      <c r="B1710" s="3">
        <v>44796</v>
      </c>
      <c r="C1710" s="4">
        <v>1.26</v>
      </c>
      <c r="D1710" s="4">
        <v>1.26</v>
      </c>
      <c r="E1710" s="4">
        <v>1894</v>
      </c>
      <c r="F1710" s="4">
        <v>1.26</v>
      </c>
      <c r="G1710" s="4">
        <v>2386.44</v>
      </c>
      <c r="H1710" s="5">
        <f t="shared" si="26"/>
        <v>8.0000000000000071E-3</v>
      </c>
    </row>
    <row r="1711" spans="1:8" ht="13.5" x14ac:dyDescent="0.25">
      <c r="A1711" s="1"/>
      <c r="B1711" s="3">
        <v>44797</v>
      </c>
      <c r="C1711" s="4">
        <v>1.26</v>
      </c>
      <c r="D1711" s="4">
        <v>1.26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1.3</v>
      </c>
      <c r="D1712" s="4">
        <v>1.3</v>
      </c>
      <c r="E1712" s="4">
        <v>31</v>
      </c>
      <c r="F1712" s="4">
        <v>1.3</v>
      </c>
      <c r="G1712" s="4">
        <v>40.299999999999997</v>
      </c>
      <c r="H1712" s="5">
        <f t="shared" si="26"/>
        <v>3.1746031746031772E-2</v>
      </c>
    </row>
    <row r="1713" spans="1:8" ht="13.5" x14ac:dyDescent="0.25">
      <c r="A1713" s="1"/>
      <c r="B1713" s="3">
        <v>44799</v>
      </c>
      <c r="C1713" s="4">
        <v>1.29</v>
      </c>
      <c r="D1713" s="4">
        <v>1.29</v>
      </c>
      <c r="E1713" s="4">
        <v>311</v>
      </c>
      <c r="F1713" s="4">
        <v>1.2929999999999999</v>
      </c>
      <c r="G1713" s="4">
        <v>402.12299999999999</v>
      </c>
      <c r="H1713" s="5">
        <f t="shared" si="26"/>
        <v>-7.6923076923076988E-3</v>
      </c>
    </row>
    <row r="1714" spans="1:8" ht="13.5" x14ac:dyDescent="0.25">
      <c r="A1714" s="1"/>
      <c r="B1714" s="3">
        <v>44802</v>
      </c>
      <c r="C1714" s="4">
        <v>1.29</v>
      </c>
      <c r="D1714" s="4">
        <v>1.29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1.29</v>
      </c>
      <c r="D1715" s="4">
        <v>1.29</v>
      </c>
      <c r="E1715" s="4">
        <v>100</v>
      </c>
      <c r="F1715" s="4">
        <v>1.29</v>
      </c>
      <c r="G1715" s="4">
        <v>129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1.25</v>
      </c>
      <c r="D1716" s="4">
        <v>1.25</v>
      </c>
      <c r="E1716" s="4">
        <v>620</v>
      </c>
      <c r="F1716" s="4">
        <v>1.248</v>
      </c>
      <c r="G1716" s="4">
        <v>773.76</v>
      </c>
      <c r="H1716" s="5">
        <f t="shared" si="26"/>
        <v>-3.1007751937984523E-2</v>
      </c>
    </row>
    <row r="1717" spans="1:8" ht="13.5" x14ac:dyDescent="0.25">
      <c r="A1717" s="1"/>
      <c r="B1717" s="3">
        <v>44805</v>
      </c>
      <c r="C1717" s="4">
        <v>1.25</v>
      </c>
      <c r="D1717" s="4">
        <v>1.25</v>
      </c>
      <c r="E1717" s="4">
        <v>286</v>
      </c>
      <c r="F1717" s="4">
        <v>1.25</v>
      </c>
      <c r="G1717" s="4">
        <v>357.5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1.3</v>
      </c>
      <c r="D1718" s="4">
        <v>1.3</v>
      </c>
      <c r="E1718" s="4">
        <v>40</v>
      </c>
      <c r="F1718" s="4">
        <v>1.3</v>
      </c>
      <c r="G1718" s="4">
        <v>52</v>
      </c>
      <c r="H1718" s="5">
        <f t="shared" si="26"/>
        <v>4.0000000000000036E-2</v>
      </c>
    </row>
    <row r="1719" spans="1:8" ht="13.5" x14ac:dyDescent="0.25">
      <c r="A1719" s="1"/>
      <c r="B1719" s="3">
        <v>44809</v>
      </c>
      <c r="C1719" s="4">
        <v>1.35</v>
      </c>
      <c r="D1719" s="4">
        <v>1.35</v>
      </c>
      <c r="E1719" s="4">
        <v>59</v>
      </c>
      <c r="F1719" s="4">
        <v>1.35</v>
      </c>
      <c r="G1719" s="4">
        <v>79.650000000000006</v>
      </c>
      <c r="H1719" s="5">
        <f t="shared" si="26"/>
        <v>3.8461538461538491E-2</v>
      </c>
    </row>
    <row r="1720" spans="1:8" ht="13.5" x14ac:dyDescent="0.25">
      <c r="A1720" s="1"/>
      <c r="B1720" s="3">
        <v>44810</v>
      </c>
      <c r="C1720" s="4">
        <v>1.38</v>
      </c>
      <c r="D1720" s="4">
        <v>1.38</v>
      </c>
      <c r="E1720" s="4">
        <v>23</v>
      </c>
      <c r="F1720" s="4">
        <v>1.38</v>
      </c>
      <c r="G1720" s="4">
        <v>31.74</v>
      </c>
      <c r="H1720" s="5">
        <f t="shared" si="26"/>
        <v>2.2222222222222077E-2</v>
      </c>
    </row>
    <row r="1721" spans="1:8" ht="13.5" x14ac:dyDescent="0.25">
      <c r="A1721" s="1"/>
      <c r="B1721" s="3">
        <v>44811</v>
      </c>
      <c r="C1721" s="4">
        <v>1.38</v>
      </c>
      <c r="D1721" s="4">
        <v>1.38</v>
      </c>
      <c r="E1721" s="4">
        <v>508</v>
      </c>
      <c r="F1721" s="4">
        <v>1.38</v>
      </c>
      <c r="G1721" s="4">
        <v>701.04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1.39</v>
      </c>
      <c r="D1722" s="4">
        <v>1.39</v>
      </c>
      <c r="E1722" s="4">
        <v>619</v>
      </c>
      <c r="F1722" s="4">
        <v>1.39</v>
      </c>
      <c r="G1722" s="4">
        <v>860.41</v>
      </c>
      <c r="H1722" s="5">
        <f t="shared" si="26"/>
        <v>7.2463768115942099E-3</v>
      </c>
    </row>
    <row r="1723" spans="1:8" ht="13.5" x14ac:dyDescent="0.25">
      <c r="A1723" s="1"/>
      <c r="B1723" s="3">
        <v>44813</v>
      </c>
      <c r="C1723" s="4">
        <v>1.4</v>
      </c>
      <c r="D1723" s="4">
        <v>1.4</v>
      </c>
      <c r="E1723" s="4">
        <v>20</v>
      </c>
      <c r="F1723" s="4">
        <v>1.4</v>
      </c>
      <c r="G1723" s="4">
        <v>28</v>
      </c>
      <c r="H1723" s="5">
        <f t="shared" si="26"/>
        <v>7.1942446043165541E-3</v>
      </c>
    </row>
    <row r="1724" spans="1:8" ht="13.5" x14ac:dyDescent="0.25">
      <c r="A1724" s="1"/>
      <c r="B1724" s="3">
        <v>44816</v>
      </c>
      <c r="C1724" s="4">
        <v>1.34</v>
      </c>
      <c r="D1724" s="4">
        <v>1.34</v>
      </c>
      <c r="E1724" s="4">
        <v>0</v>
      </c>
      <c r="F1724" s="4">
        <v>0</v>
      </c>
      <c r="G1724" s="4">
        <v>0</v>
      </c>
      <c r="H1724" s="5">
        <f t="shared" si="26"/>
        <v>-4.285714285714274E-2</v>
      </c>
    </row>
    <row r="1725" spans="1:8" ht="13.5" x14ac:dyDescent="0.25">
      <c r="A1725" s="1"/>
      <c r="B1725" s="3">
        <v>44817</v>
      </c>
      <c r="C1725" s="4">
        <v>1.34</v>
      </c>
      <c r="D1725" s="4">
        <v>1.34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1.3</v>
      </c>
      <c r="D1726" s="4">
        <v>1.3</v>
      </c>
      <c r="E1726" s="4">
        <v>10</v>
      </c>
      <c r="F1726" s="4">
        <v>1.3</v>
      </c>
      <c r="G1726" s="4">
        <v>13</v>
      </c>
      <c r="H1726" s="5">
        <f t="shared" si="26"/>
        <v>-2.985074626865674E-2</v>
      </c>
    </row>
    <row r="1727" spans="1:8" ht="13.5" x14ac:dyDescent="0.25">
      <c r="A1727" s="1"/>
      <c r="B1727" s="3">
        <v>44819</v>
      </c>
      <c r="C1727" s="4">
        <v>1.3</v>
      </c>
      <c r="D1727" s="4">
        <v>1.3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1.3</v>
      </c>
      <c r="D1728" s="4">
        <v>1.3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1.3</v>
      </c>
      <c r="D1729" s="4">
        <v>1.3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1.35</v>
      </c>
      <c r="D1730" s="4">
        <v>1.35</v>
      </c>
      <c r="E1730" s="4">
        <v>585</v>
      </c>
      <c r="F1730" s="4">
        <v>1.333</v>
      </c>
      <c r="G1730" s="4">
        <v>779.80499999999995</v>
      </c>
      <c r="H1730" s="5">
        <f t="shared" si="26"/>
        <v>3.8461538461538491E-2</v>
      </c>
    </row>
    <row r="1731" spans="1:8" ht="13.5" x14ac:dyDescent="0.25">
      <c r="A1731" s="1"/>
      <c r="B1731" s="3">
        <v>44825</v>
      </c>
      <c r="C1731" s="4">
        <v>1.29</v>
      </c>
      <c r="D1731" s="4">
        <v>1.29</v>
      </c>
      <c r="E1731" s="4">
        <v>0</v>
      </c>
      <c r="F1731" s="4">
        <v>0</v>
      </c>
      <c r="G1731" s="4">
        <v>0</v>
      </c>
      <c r="H1731" s="5">
        <f t="shared" si="26"/>
        <v>-4.4444444444444481E-2</v>
      </c>
    </row>
    <row r="1732" spans="1:8" ht="13.5" x14ac:dyDescent="0.25">
      <c r="A1732" s="1"/>
      <c r="B1732" s="3">
        <v>44826</v>
      </c>
      <c r="C1732" s="4">
        <v>1.24</v>
      </c>
      <c r="D1732" s="4">
        <v>1.24</v>
      </c>
      <c r="E1732" s="4">
        <v>553</v>
      </c>
      <c r="F1732" s="4">
        <v>1.24</v>
      </c>
      <c r="G1732" s="4">
        <v>685.72</v>
      </c>
      <c r="H1732" s="5">
        <f t="shared" si="26"/>
        <v>-3.8759689922480654E-2</v>
      </c>
    </row>
    <row r="1733" spans="1:8" ht="13.5" x14ac:dyDescent="0.25">
      <c r="A1733" s="1"/>
      <c r="B1733" s="3">
        <v>44827</v>
      </c>
      <c r="C1733" s="4">
        <v>1.24</v>
      </c>
      <c r="D1733" s="4">
        <v>1.24</v>
      </c>
      <c r="E1733" s="4">
        <v>797</v>
      </c>
      <c r="F1733" s="4">
        <v>1.2370000000000001</v>
      </c>
      <c r="G1733" s="4">
        <v>985.88900000000001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1.24</v>
      </c>
      <c r="D1734" s="4">
        <v>1.24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1.24</v>
      </c>
      <c r="D1735" s="4">
        <v>1.24</v>
      </c>
      <c r="E1735" s="4">
        <v>50</v>
      </c>
      <c r="F1735" s="4">
        <v>1.24</v>
      </c>
      <c r="G1735" s="4">
        <v>62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1.24</v>
      </c>
      <c r="D1736" s="4">
        <v>1.24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1.24</v>
      </c>
      <c r="D1737" s="4">
        <v>1.24</v>
      </c>
      <c r="E1737" s="4">
        <v>1836</v>
      </c>
      <c r="F1737" s="4">
        <v>1.24</v>
      </c>
      <c r="G1737" s="4">
        <v>2276.64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1.29</v>
      </c>
      <c r="D1738" s="4">
        <v>1.29</v>
      </c>
      <c r="E1738" s="4">
        <v>0</v>
      </c>
      <c r="F1738" s="4">
        <v>0</v>
      </c>
      <c r="G1738" s="4">
        <v>0</v>
      </c>
      <c r="H1738" s="5">
        <f t="shared" si="27"/>
        <v>4.0322580645161324E-2</v>
      </c>
    </row>
    <row r="1739" spans="1:8" ht="13.5" x14ac:dyDescent="0.25">
      <c r="A1739" s="1"/>
      <c r="B1739" s="3">
        <v>44837</v>
      </c>
      <c r="C1739" s="4">
        <v>1.33</v>
      </c>
      <c r="D1739" s="4">
        <v>1.33</v>
      </c>
      <c r="E1739" s="4">
        <v>20</v>
      </c>
      <c r="F1739" s="4">
        <v>1.33</v>
      </c>
      <c r="G1739" s="4">
        <v>26.6</v>
      </c>
      <c r="H1739" s="5">
        <f t="shared" si="27"/>
        <v>3.1007751937984523E-2</v>
      </c>
    </row>
    <row r="1740" spans="1:8" ht="13.5" x14ac:dyDescent="0.25">
      <c r="A1740" s="1"/>
      <c r="B1740" s="3">
        <v>44838</v>
      </c>
      <c r="C1740" s="4">
        <v>1.36</v>
      </c>
      <c r="D1740" s="4">
        <v>1.36</v>
      </c>
      <c r="E1740" s="4">
        <v>100</v>
      </c>
      <c r="F1740" s="4">
        <v>1.36</v>
      </c>
      <c r="G1740" s="4">
        <v>136</v>
      </c>
      <c r="H1740" s="5">
        <f t="shared" si="27"/>
        <v>2.2556390977443629E-2</v>
      </c>
    </row>
    <row r="1741" spans="1:8" ht="13.5" x14ac:dyDescent="0.25">
      <c r="A1741" s="1"/>
      <c r="B1741" s="3">
        <v>44839</v>
      </c>
      <c r="C1741" s="4">
        <v>1.38</v>
      </c>
      <c r="D1741" s="4">
        <v>1.38</v>
      </c>
      <c r="E1741" s="4">
        <v>550</v>
      </c>
      <c r="F1741" s="4">
        <v>1.38</v>
      </c>
      <c r="G1741" s="4">
        <v>759</v>
      </c>
      <c r="H1741" s="5">
        <f t="shared" si="27"/>
        <v>1.4705882352941025E-2</v>
      </c>
    </row>
    <row r="1742" spans="1:8" ht="13.5" x14ac:dyDescent="0.25">
      <c r="A1742" s="1"/>
      <c r="B1742" s="3">
        <v>44840</v>
      </c>
      <c r="C1742" s="4">
        <v>1.37</v>
      </c>
      <c r="D1742" s="4">
        <v>1.37</v>
      </c>
      <c r="E1742" s="4">
        <v>600</v>
      </c>
      <c r="F1742" s="4">
        <v>1.37</v>
      </c>
      <c r="G1742" s="4">
        <v>822</v>
      </c>
      <c r="H1742" s="5">
        <f t="shared" si="27"/>
        <v>-7.2463768115940486E-3</v>
      </c>
    </row>
    <row r="1743" spans="1:8" ht="13.5" x14ac:dyDescent="0.25">
      <c r="A1743" s="1"/>
      <c r="B1743" s="3">
        <v>44841</v>
      </c>
      <c r="C1743" s="4">
        <v>1.31</v>
      </c>
      <c r="D1743" s="4">
        <v>1.31</v>
      </c>
      <c r="E1743" s="4">
        <v>0</v>
      </c>
      <c r="F1743" s="4">
        <v>0</v>
      </c>
      <c r="G1743" s="4">
        <v>0</v>
      </c>
      <c r="H1743" s="5">
        <f t="shared" si="27"/>
        <v>-4.3795620437956241E-2</v>
      </c>
    </row>
    <row r="1744" spans="1:8" ht="13.5" x14ac:dyDescent="0.25">
      <c r="A1744" s="1"/>
      <c r="B1744" s="3">
        <v>44844</v>
      </c>
      <c r="C1744" s="4">
        <v>1.26</v>
      </c>
      <c r="D1744" s="4">
        <v>1.26</v>
      </c>
      <c r="E1744" s="4">
        <v>0</v>
      </c>
      <c r="F1744" s="4">
        <v>0</v>
      </c>
      <c r="G1744" s="4">
        <v>0</v>
      </c>
      <c r="H1744" s="5">
        <f t="shared" si="27"/>
        <v>-3.8167938931297746E-2</v>
      </c>
    </row>
    <row r="1745" spans="1:8" ht="13.5" x14ac:dyDescent="0.25">
      <c r="A1745" s="1"/>
      <c r="B1745" s="3">
        <v>44845</v>
      </c>
      <c r="C1745" s="4">
        <v>1.24</v>
      </c>
      <c r="D1745" s="4">
        <v>1.24</v>
      </c>
      <c r="E1745" s="4">
        <v>2634</v>
      </c>
      <c r="F1745" s="4">
        <v>1.24</v>
      </c>
      <c r="G1745" s="4">
        <v>3266.16</v>
      </c>
      <c r="H1745" s="5">
        <f t="shared" si="27"/>
        <v>-1.5873015873015886E-2</v>
      </c>
    </row>
    <row r="1746" spans="1:8" ht="13.5" x14ac:dyDescent="0.25">
      <c r="A1746" s="1"/>
      <c r="B1746" s="3">
        <v>44846</v>
      </c>
      <c r="C1746" s="4">
        <v>1.24</v>
      </c>
      <c r="D1746" s="4">
        <v>1.24</v>
      </c>
      <c r="E1746" s="4">
        <v>1185</v>
      </c>
      <c r="F1746" s="4">
        <v>1.24</v>
      </c>
      <c r="G1746" s="4">
        <v>1469.4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1.29</v>
      </c>
      <c r="D1747" s="4">
        <v>1.29</v>
      </c>
      <c r="E1747" s="4">
        <v>0</v>
      </c>
      <c r="F1747" s="4">
        <v>0</v>
      </c>
      <c r="G1747" s="4">
        <v>0</v>
      </c>
      <c r="H1747" s="5">
        <f t="shared" si="27"/>
        <v>4.0322580645161324E-2</v>
      </c>
    </row>
    <row r="1748" spans="1:8" ht="13.5" x14ac:dyDescent="0.25">
      <c r="A1748" s="1"/>
      <c r="B1748" s="3">
        <v>44848</v>
      </c>
      <c r="C1748" s="4">
        <v>1.29</v>
      </c>
      <c r="D1748" s="4">
        <v>1.29</v>
      </c>
      <c r="E1748" s="4">
        <v>1858</v>
      </c>
      <c r="F1748" s="4">
        <v>1.288</v>
      </c>
      <c r="G1748" s="4">
        <v>2393.1039999999998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1.34</v>
      </c>
      <c r="D1749" s="4">
        <v>1.34</v>
      </c>
      <c r="E1749" s="4">
        <v>40</v>
      </c>
      <c r="F1749" s="4">
        <v>1.34</v>
      </c>
      <c r="G1749" s="4">
        <v>53.6</v>
      </c>
      <c r="H1749" s="5">
        <f t="shared" si="27"/>
        <v>3.8759689922480654E-2</v>
      </c>
    </row>
    <row r="1750" spans="1:8" ht="13.5" x14ac:dyDescent="0.25">
      <c r="A1750" s="1"/>
      <c r="B1750" s="3">
        <v>44852</v>
      </c>
      <c r="C1750" s="4">
        <v>1.34</v>
      </c>
      <c r="D1750" s="4">
        <v>1.34</v>
      </c>
      <c r="E1750" s="4">
        <v>534</v>
      </c>
      <c r="F1750" s="4">
        <v>1.34</v>
      </c>
      <c r="G1750" s="4">
        <v>715.56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1.31</v>
      </c>
      <c r="D1751" s="4">
        <v>1.31</v>
      </c>
      <c r="E1751" s="4">
        <v>1284</v>
      </c>
      <c r="F1751" s="4">
        <v>1.3220000000000001</v>
      </c>
      <c r="G1751" s="4">
        <v>1697.4480000000001</v>
      </c>
      <c r="H1751" s="5">
        <f t="shared" si="27"/>
        <v>-2.2388059701492557E-2</v>
      </c>
    </row>
    <row r="1752" spans="1:8" ht="13.5" x14ac:dyDescent="0.25">
      <c r="A1752" s="1"/>
      <c r="B1752" s="3">
        <v>44854</v>
      </c>
      <c r="C1752" s="4">
        <v>1.31</v>
      </c>
      <c r="D1752" s="4">
        <v>1.31</v>
      </c>
      <c r="E1752" s="4">
        <v>0</v>
      </c>
      <c r="F1752" s="4">
        <v>0</v>
      </c>
      <c r="G1752" s="4">
        <v>0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1.28</v>
      </c>
      <c r="D1753" s="4">
        <v>1.28</v>
      </c>
      <c r="E1753" s="4">
        <v>202</v>
      </c>
      <c r="F1753" s="4">
        <v>1.28</v>
      </c>
      <c r="G1753" s="4">
        <v>258.56</v>
      </c>
      <c r="H1753" s="5">
        <f t="shared" si="27"/>
        <v>-2.2900763358778647E-2</v>
      </c>
    </row>
    <row r="1754" spans="1:8" ht="13.5" x14ac:dyDescent="0.25">
      <c r="A1754" s="1"/>
      <c r="B1754" s="3">
        <v>44858</v>
      </c>
      <c r="C1754" s="4">
        <v>1.24</v>
      </c>
      <c r="D1754" s="4">
        <v>1.24</v>
      </c>
      <c r="E1754" s="4">
        <v>998</v>
      </c>
      <c r="F1754" s="4">
        <v>1.24</v>
      </c>
      <c r="G1754" s="4">
        <v>1237.52</v>
      </c>
      <c r="H1754" s="5">
        <f t="shared" si="27"/>
        <v>-3.1250000000000028E-2</v>
      </c>
    </row>
    <row r="1755" spans="1:8" ht="13.5" x14ac:dyDescent="0.25">
      <c r="A1755" s="1"/>
      <c r="B1755" s="3">
        <v>44859</v>
      </c>
      <c r="C1755" s="4">
        <v>1.24</v>
      </c>
      <c r="D1755" s="4">
        <v>1.24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1.24</v>
      </c>
      <c r="D1756" s="4">
        <v>1.24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1.24</v>
      </c>
      <c r="D1757" s="4">
        <v>1.24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1.24</v>
      </c>
      <c r="D1758" s="4">
        <v>1.24</v>
      </c>
      <c r="E1758" s="4">
        <v>19</v>
      </c>
      <c r="F1758" s="4">
        <v>1.24</v>
      </c>
      <c r="G1758" s="4">
        <v>23.56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1.24</v>
      </c>
      <c r="D1759" s="4">
        <v>1.24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1.24</v>
      </c>
      <c r="D1760" s="4">
        <v>1.24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1.24</v>
      </c>
      <c r="D1761" s="4">
        <v>1.24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1.24</v>
      </c>
      <c r="D1762" s="4">
        <v>1.24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1.2</v>
      </c>
      <c r="D1763" s="4">
        <v>1.2</v>
      </c>
      <c r="E1763" s="4">
        <v>246</v>
      </c>
      <c r="F1763" s="4">
        <v>1.2</v>
      </c>
      <c r="G1763" s="4">
        <v>295.2</v>
      </c>
      <c r="H1763" s="5">
        <f t="shared" si="27"/>
        <v>-3.2258064516129059E-2</v>
      </c>
    </row>
    <row r="1764" spans="1:8" ht="13.5" x14ac:dyDescent="0.25">
      <c r="A1764" s="1"/>
      <c r="B1764" s="3">
        <v>44872</v>
      </c>
      <c r="C1764" s="4">
        <v>1.2</v>
      </c>
      <c r="D1764" s="4">
        <v>1.2</v>
      </c>
      <c r="E1764" s="4">
        <v>100</v>
      </c>
      <c r="F1764" s="4">
        <v>1.2</v>
      </c>
      <c r="G1764" s="4">
        <v>120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1.2</v>
      </c>
      <c r="D1765" s="4">
        <v>1.2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1.2</v>
      </c>
      <c r="D1766" s="4">
        <v>1.2</v>
      </c>
      <c r="E1766" s="4">
        <v>2517</v>
      </c>
      <c r="F1766" s="4">
        <v>1.2</v>
      </c>
      <c r="G1766" s="4">
        <v>3020.4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1.2</v>
      </c>
      <c r="D1767" s="4">
        <v>1.2</v>
      </c>
      <c r="E1767" s="4">
        <v>722</v>
      </c>
      <c r="F1767" s="4">
        <v>1.2</v>
      </c>
      <c r="G1767" s="4">
        <v>866.4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1.2</v>
      </c>
      <c r="D1768" s="4">
        <v>1.2</v>
      </c>
      <c r="E1768" s="4">
        <v>6760</v>
      </c>
      <c r="F1768" s="4">
        <v>1.2</v>
      </c>
      <c r="G1768" s="4">
        <v>8112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1.2</v>
      </c>
      <c r="D1769" s="4">
        <v>1.2</v>
      </c>
      <c r="E1769" s="4">
        <v>30</v>
      </c>
      <c r="F1769" s="4">
        <v>1.2</v>
      </c>
      <c r="G1769" s="4">
        <v>36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1.2</v>
      </c>
      <c r="D1770" s="4">
        <v>1.2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1.2</v>
      </c>
      <c r="D1771" s="4">
        <v>1.2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1.2</v>
      </c>
      <c r="D1772" s="4">
        <v>1.2</v>
      </c>
      <c r="E1772" s="4">
        <v>269</v>
      </c>
      <c r="F1772" s="4">
        <v>1.2</v>
      </c>
      <c r="G1772" s="4">
        <v>322.8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1.18</v>
      </c>
      <c r="D1773" s="4">
        <v>1.18</v>
      </c>
      <c r="E1773" s="4">
        <v>541</v>
      </c>
      <c r="F1773" s="4">
        <v>1.18</v>
      </c>
      <c r="G1773" s="4">
        <v>638.38</v>
      </c>
      <c r="H1773" s="5">
        <f t="shared" si="27"/>
        <v>-1.6666666666666684E-2</v>
      </c>
    </row>
    <row r="1774" spans="1:8" ht="13.5" x14ac:dyDescent="0.25">
      <c r="A1774" s="1"/>
      <c r="B1774" s="3">
        <v>44886</v>
      </c>
      <c r="C1774" s="4">
        <v>1.23</v>
      </c>
      <c r="D1774" s="4">
        <v>1.23</v>
      </c>
      <c r="E1774" s="4">
        <v>0</v>
      </c>
      <c r="F1774" s="4">
        <v>0</v>
      </c>
      <c r="G1774" s="4">
        <v>0</v>
      </c>
      <c r="H1774" s="5">
        <f t="shared" si="27"/>
        <v>4.2372881355932243E-2</v>
      </c>
    </row>
    <row r="1775" spans="1:8" ht="13.5" x14ac:dyDescent="0.25">
      <c r="A1775" s="1"/>
      <c r="B1775" s="3">
        <v>44887</v>
      </c>
      <c r="C1775" s="4">
        <v>1.28</v>
      </c>
      <c r="D1775" s="4">
        <v>1.28</v>
      </c>
      <c r="E1775" s="4">
        <v>221</v>
      </c>
      <c r="F1775" s="4">
        <v>1.2629999999999999</v>
      </c>
      <c r="G1775" s="4">
        <v>279.12299999999999</v>
      </c>
      <c r="H1775" s="5">
        <f t="shared" si="27"/>
        <v>4.0650406504065074E-2</v>
      </c>
    </row>
    <row r="1776" spans="1:8" ht="13.5" x14ac:dyDescent="0.25">
      <c r="A1776" s="1"/>
      <c r="B1776" s="3">
        <v>44888</v>
      </c>
      <c r="C1776" s="4">
        <v>1.28</v>
      </c>
      <c r="D1776" s="4">
        <v>1.28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1.33</v>
      </c>
      <c r="D1777" s="4">
        <v>1.33</v>
      </c>
      <c r="E1777" s="4">
        <v>147</v>
      </c>
      <c r="F1777" s="4">
        <v>1.33</v>
      </c>
      <c r="G1777" s="4">
        <v>195.51</v>
      </c>
      <c r="H1777" s="5">
        <f t="shared" si="27"/>
        <v>3.9062500000000035E-2</v>
      </c>
    </row>
    <row r="1778" spans="1:8" ht="13.5" x14ac:dyDescent="0.25">
      <c r="A1778" s="1"/>
      <c r="B1778" s="3">
        <v>44890</v>
      </c>
      <c r="C1778" s="4">
        <v>1.35</v>
      </c>
      <c r="D1778" s="4">
        <v>1.35</v>
      </c>
      <c r="E1778" s="4">
        <v>850</v>
      </c>
      <c r="F1778" s="4">
        <v>1.35</v>
      </c>
      <c r="G1778" s="4">
        <v>1147.5</v>
      </c>
      <c r="H1778" s="5">
        <f t="shared" si="27"/>
        <v>1.5037593984962419E-2</v>
      </c>
    </row>
    <row r="1779" spans="1:8" ht="13.5" x14ac:dyDescent="0.25">
      <c r="A1779" s="1"/>
      <c r="B1779" s="3">
        <v>44893</v>
      </c>
      <c r="C1779" s="4">
        <v>1.35</v>
      </c>
      <c r="D1779" s="4">
        <v>1.35</v>
      </c>
      <c r="E1779" s="4">
        <v>124</v>
      </c>
      <c r="F1779" s="4">
        <v>1.35</v>
      </c>
      <c r="G1779" s="4">
        <v>167.4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1.35</v>
      </c>
      <c r="D1780" s="4">
        <v>1.35</v>
      </c>
      <c r="E1780" s="4">
        <v>604</v>
      </c>
      <c r="F1780" s="4">
        <v>1.35</v>
      </c>
      <c r="G1780" s="4">
        <v>815.4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1.4</v>
      </c>
      <c r="D1781" s="4">
        <v>1.4</v>
      </c>
      <c r="E1781" s="4">
        <v>1278</v>
      </c>
      <c r="F1781" s="4">
        <v>1.383</v>
      </c>
      <c r="G1781" s="4">
        <v>1767.4739999999999</v>
      </c>
      <c r="H1781" s="5">
        <f t="shared" si="27"/>
        <v>3.7037037037036903E-2</v>
      </c>
    </row>
    <row r="1782" spans="1:8" ht="13.5" x14ac:dyDescent="0.25">
      <c r="A1782" s="1"/>
      <c r="B1782" s="3">
        <v>44896</v>
      </c>
      <c r="C1782" s="4">
        <v>1.44</v>
      </c>
      <c r="D1782" s="4">
        <v>1.44</v>
      </c>
      <c r="E1782" s="4">
        <v>4950</v>
      </c>
      <c r="F1782" s="4">
        <v>1.431</v>
      </c>
      <c r="G1782" s="4">
        <v>7083.45</v>
      </c>
      <c r="H1782" s="5">
        <f t="shared" si="27"/>
        <v>2.8571428571428598E-2</v>
      </c>
    </row>
    <row r="1783" spans="1:8" ht="13.5" x14ac:dyDescent="0.25">
      <c r="A1783" s="1"/>
      <c r="B1783" s="3">
        <v>44897</v>
      </c>
      <c r="C1783" s="4">
        <v>1.48</v>
      </c>
      <c r="D1783" s="4">
        <v>1.48</v>
      </c>
      <c r="E1783" s="4">
        <v>841</v>
      </c>
      <c r="F1783" s="4">
        <v>1.48</v>
      </c>
      <c r="G1783" s="4">
        <v>1244.68</v>
      </c>
      <c r="H1783" s="5">
        <f t="shared" si="27"/>
        <v>2.7777777777777804E-2</v>
      </c>
    </row>
    <row r="1784" spans="1:8" ht="13.5" x14ac:dyDescent="0.25">
      <c r="A1784" s="1"/>
      <c r="B1784" s="3">
        <v>44900</v>
      </c>
      <c r="C1784" s="4">
        <v>1.49</v>
      </c>
      <c r="D1784" s="4">
        <v>1.49</v>
      </c>
      <c r="E1784" s="4">
        <v>728</v>
      </c>
      <c r="F1784" s="4">
        <v>1.49</v>
      </c>
      <c r="G1784" s="4">
        <v>1084.72</v>
      </c>
      <c r="H1784" s="5">
        <f t="shared" si="27"/>
        <v>6.7567567567567632E-3</v>
      </c>
    </row>
    <row r="1785" spans="1:8" ht="13.5" x14ac:dyDescent="0.25">
      <c r="A1785" s="1"/>
      <c r="B1785" s="3">
        <v>44901</v>
      </c>
      <c r="C1785" s="4">
        <v>1.49</v>
      </c>
      <c r="D1785" s="4">
        <v>1.49</v>
      </c>
      <c r="E1785" s="4">
        <v>1209</v>
      </c>
      <c r="F1785" s="4">
        <v>1.49</v>
      </c>
      <c r="G1785" s="4">
        <v>1801.41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1.54</v>
      </c>
      <c r="D1786" s="4">
        <v>1.54</v>
      </c>
      <c r="E1786" s="4">
        <v>2447</v>
      </c>
      <c r="F1786" s="4">
        <v>1.5109999999999999</v>
      </c>
      <c r="G1786" s="4">
        <v>3697.4169999999999</v>
      </c>
      <c r="H1786" s="5">
        <f t="shared" si="27"/>
        <v>3.35570469798658E-2</v>
      </c>
    </row>
    <row r="1787" spans="1:8" ht="13.5" x14ac:dyDescent="0.25">
      <c r="A1787" s="1"/>
      <c r="B1787" s="3">
        <v>44903</v>
      </c>
      <c r="C1787" s="4">
        <v>1.49</v>
      </c>
      <c r="D1787" s="4">
        <v>1.49</v>
      </c>
      <c r="E1787" s="4">
        <v>3670</v>
      </c>
      <c r="F1787" s="4">
        <v>1.49</v>
      </c>
      <c r="G1787" s="4">
        <v>5468.3</v>
      </c>
      <c r="H1787" s="5">
        <f t="shared" si="27"/>
        <v>-3.2467532467532492E-2</v>
      </c>
    </row>
    <row r="1788" spans="1:8" ht="13.5" x14ac:dyDescent="0.25">
      <c r="A1788" s="1"/>
      <c r="B1788" s="3">
        <v>44904</v>
      </c>
      <c r="C1788" s="4">
        <v>1.55</v>
      </c>
      <c r="D1788" s="4">
        <v>1.55</v>
      </c>
      <c r="E1788" s="4">
        <v>810</v>
      </c>
      <c r="F1788" s="4">
        <v>1.5489999999999999</v>
      </c>
      <c r="G1788" s="4">
        <v>1254.69</v>
      </c>
      <c r="H1788" s="5">
        <f t="shared" si="27"/>
        <v>4.0268456375838965E-2</v>
      </c>
    </row>
    <row r="1789" spans="1:8" ht="13.5" x14ac:dyDescent="0.25">
      <c r="A1789" s="1"/>
      <c r="B1789" s="3">
        <v>44907</v>
      </c>
      <c r="C1789" s="4">
        <v>1.6</v>
      </c>
      <c r="D1789" s="4">
        <v>1.6</v>
      </c>
      <c r="E1789" s="4">
        <v>412</v>
      </c>
      <c r="F1789" s="4">
        <v>1.6</v>
      </c>
      <c r="G1789" s="4">
        <v>659.2</v>
      </c>
      <c r="H1789" s="5">
        <f t="shared" si="27"/>
        <v>3.2258064516129059E-2</v>
      </c>
    </row>
    <row r="1790" spans="1:8" ht="13.5" x14ac:dyDescent="0.25">
      <c r="A1790" s="1"/>
      <c r="B1790" s="3">
        <v>44908</v>
      </c>
      <c r="C1790" s="4">
        <v>1.67</v>
      </c>
      <c r="D1790" s="4">
        <v>1.67</v>
      </c>
      <c r="E1790" s="4">
        <v>40</v>
      </c>
      <c r="F1790" s="4">
        <v>1.67</v>
      </c>
      <c r="G1790" s="4">
        <v>66.8</v>
      </c>
      <c r="H1790" s="5">
        <f t="shared" si="27"/>
        <v>4.37499999999999E-2</v>
      </c>
    </row>
    <row r="1791" spans="1:8" ht="13.5" x14ac:dyDescent="0.25">
      <c r="A1791" s="1"/>
      <c r="B1791" s="3">
        <v>44909</v>
      </c>
      <c r="C1791" s="4">
        <v>1.68</v>
      </c>
      <c r="D1791" s="4">
        <v>1.68</v>
      </c>
      <c r="E1791" s="4">
        <v>85</v>
      </c>
      <c r="F1791" s="4">
        <v>1.6779999999999999</v>
      </c>
      <c r="G1791" s="4">
        <v>142.63</v>
      </c>
      <c r="H1791" s="5">
        <f t="shared" si="27"/>
        <v>5.988023952095814E-3</v>
      </c>
    </row>
    <row r="1792" spans="1:8" ht="13.5" x14ac:dyDescent="0.25">
      <c r="A1792" s="1"/>
      <c r="B1792" s="3">
        <v>44910</v>
      </c>
      <c r="C1792" s="4">
        <v>1.68</v>
      </c>
      <c r="D1792" s="4">
        <v>1.68</v>
      </c>
      <c r="E1792" s="4">
        <v>324</v>
      </c>
      <c r="F1792" s="4">
        <v>1.68</v>
      </c>
      <c r="G1792" s="4">
        <v>544.32000000000005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1.7</v>
      </c>
      <c r="D1793" s="4">
        <v>1.7</v>
      </c>
      <c r="E1793" s="4">
        <v>6800</v>
      </c>
      <c r="F1793" s="4">
        <v>1.7</v>
      </c>
      <c r="G1793" s="4">
        <v>11560</v>
      </c>
      <c r="H1793" s="5">
        <f t="shared" si="27"/>
        <v>1.1904761904761916E-2</v>
      </c>
    </row>
    <row r="1794" spans="1:8" ht="13.5" x14ac:dyDescent="0.25">
      <c r="A1794" s="1"/>
      <c r="B1794" s="3">
        <v>44914</v>
      </c>
      <c r="C1794" s="4">
        <v>1.74</v>
      </c>
      <c r="D1794" s="4">
        <v>1.74</v>
      </c>
      <c r="E1794" s="4">
        <v>500</v>
      </c>
      <c r="F1794" s="4">
        <v>1.74</v>
      </c>
      <c r="G1794" s="4">
        <v>870</v>
      </c>
      <c r="H1794" s="5">
        <f t="shared" si="27"/>
        <v>2.3529411764705903E-2</v>
      </c>
    </row>
    <row r="1795" spans="1:8" ht="13.5" x14ac:dyDescent="0.25">
      <c r="A1795" s="1"/>
      <c r="B1795" s="3">
        <v>44915</v>
      </c>
      <c r="C1795" s="4">
        <v>1.75</v>
      </c>
      <c r="D1795" s="4">
        <v>1.75</v>
      </c>
      <c r="E1795" s="4">
        <v>1500</v>
      </c>
      <c r="F1795" s="4">
        <v>1.75</v>
      </c>
      <c r="G1795" s="4">
        <v>2625</v>
      </c>
      <c r="H1795" s="5">
        <f t="shared" si="27"/>
        <v>5.7471264367816143E-3</v>
      </c>
    </row>
    <row r="1796" spans="1:8" ht="13.5" x14ac:dyDescent="0.25">
      <c r="A1796" s="1"/>
      <c r="B1796" s="3">
        <v>44916</v>
      </c>
      <c r="C1796" s="4">
        <v>1.75</v>
      </c>
      <c r="D1796" s="4">
        <v>1.75</v>
      </c>
      <c r="E1796" s="4">
        <v>1000</v>
      </c>
      <c r="F1796" s="4">
        <v>1.75</v>
      </c>
      <c r="G1796" s="4">
        <v>1750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1.78</v>
      </c>
      <c r="D1797" s="4">
        <v>1.78</v>
      </c>
      <c r="E1797" s="4">
        <v>2088</v>
      </c>
      <c r="F1797" s="4">
        <v>1.78</v>
      </c>
      <c r="G1797" s="4">
        <v>3716.64</v>
      </c>
      <c r="H1797" s="5">
        <f t="shared" si="27"/>
        <v>1.7142857142857158E-2</v>
      </c>
    </row>
    <row r="1798" spans="1:8" ht="13.5" x14ac:dyDescent="0.25">
      <c r="A1798" s="1"/>
      <c r="B1798" s="3">
        <v>44918</v>
      </c>
      <c r="C1798" s="4">
        <v>1.78</v>
      </c>
      <c r="D1798" s="4">
        <v>1.78</v>
      </c>
      <c r="E1798" s="4">
        <v>500</v>
      </c>
      <c r="F1798" s="4">
        <v>1.78</v>
      </c>
      <c r="G1798" s="4">
        <v>890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1.78</v>
      </c>
      <c r="D1799" s="4">
        <v>1.78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1.75</v>
      </c>
      <c r="D1800" s="4">
        <v>1.75</v>
      </c>
      <c r="E1800" s="4">
        <v>3620</v>
      </c>
      <c r="F1800" s="4">
        <v>1.75</v>
      </c>
      <c r="G1800" s="4">
        <v>6335</v>
      </c>
      <c r="H1800" s="5">
        <f t="shared" si="28"/>
        <v>-1.6853932584269676E-2</v>
      </c>
    </row>
    <row r="1801" spans="1:8" ht="13.5" x14ac:dyDescent="0.25">
      <c r="A1801" s="1"/>
      <c r="B1801" s="3">
        <v>44923</v>
      </c>
      <c r="C1801" s="4">
        <v>1.75</v>
      </c>
      <c r="D1801" s="4">
        <v>1.75</v>
      </c>
      <c r="E1801" s="4">
        <v>5000</v>
      </c>
      <c r="F1801" s="4">
        <v>1.75</v>
      </c>
      <c r="G1801" s="4">
        <v>8750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1.75</v>
      </c>
      <c r="D1802" s="4">
        <v>1.75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1.75</v>
      </c>
      <c r="D1803" s="4">
        <v>1.75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1.75</v>
      </c>
      <c r="D1804" s="4">
        <v>1.75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1.68</v>
      </c>
      <c r="D1805" s="4">
        <v>1.68</v>
      </c>
      <c r="E1805" s="4">
        <v>0</v>
      </c>
      <c r="F1805" s="4">
        <v>0</v>
      </c>
      <c r="G1805" s="4">
        <v>0</v>
      </c>
      <c r="H1805" s="5">
        <f t="shared" si="28"/>
        <v>-4.0000000000000036E-2</v>
      </c>
    </row>
    <row r="1806" spans="1:8" ht="13.5" x14ac:dyDescent="0.25">
      <c r="A1806" s="1"/>
      <c r="B1806" s="3">
        <v>44930</v>
      </c>
      <c r="C1806" s="4">
        <v>1.61</v>
      </c>
      <c r="D1806" s="4">
        <v>1.61</v>
      </c>
      <c r="E1806" s="4">
        <v>0</v>
      </c>
      <c r="F1806" s="4">
        <v>0</v>
      </c>
      <c r="G1806" s="4">
        <v>0</v>
      </c>
      <c r="H1806" s="5">
        <f t="shared" si="28"/>
        <v>-4.1666666666666574E-2</v>
      </c>
    </row>
    <row r="1807" spans="1:8" ht="13.5" x14ac:dyDescent="0.25">
      <c r="A1807" s="1"/>
      <c r="B1807" s="3">
        <v>44931</v>
      </c>
      <c r="C1807" s="4">
        <v>1.54</v>
      </c>
      <c r="D1807" s="4">
        <v>1.54</v>
      </c>
      <c r="E1807" s="4">
        <v>400</v>
      </c>
      <c r="F1807" s="4">
        <v>1.54</v>
      </c>
      <c r="G1807" s="4">
        <v>616</v>
      </c>
      <c r="H1807" s="5">
        <f t="shared" si="28"/>
        <v>-4.3478260869565251E-2</v>
      </c>
    </row>
    <row r="1808" spans="1:8" ht="13.5" x14ac:dyDescent="0.25">
      <c r="A1808" s="1"/>
      <c r="B1808" s="3">
        <v>44932</v>
      </c>
      <c r="C1808" s="4">
        <v>1.51</v>
      </c>
      <c r="D1808" s="4">
        <v>1.51</v>
      </c>
      <c r="E1808" s="4">
        <v>7700</v>
      </c>
      <c r="F1808" s="4">
        <v>1.51</v>
      </c>
      <c r="G1808" s="4">
        <v>11627</v>
      </c>
      <c r="H1808" s="5">
        <f t="shared" si="28"/>
        <v>-1.9480519480519497E-2</v>
      </c>
    </row>
    <row r="1809" spans="1:8" ht="13.5" x14ac:dyDescent="0.25">
      <c r="A1809" s="1"/>
      <c r="B1809" s="3">
        <v>44935</v>
      </c>
      <c r="C1809" s="4">
        <v>1.45</v>
      </c>
      <c r="D1809" s="4">
        <v>1.45</v>
      </c>
      <c r="E1809" s="4">
        <v>0</v>
      </c>
      <c r="F1809" s="4">
        <v>0</v>
      </c>
      <c r="G1809" s="4">
        <v>0</v>
      </c>
      <c r="H1809" s="5">
        <f t="shared" si="28"/>
        <v>-3.9735099337748381E-2</v>
      </c>
    </row>
    <row r="1810" spans="1:8" ht="13.5" x14ac:dyDescent="0.25">
      <c r="A1810" s="1"/>
      <c r="B1810" s="3">
        <v>44936</v>
      </c>
      <c r="C1810" s="4">
        <v>1.39</v>
      </c>
      <c r="D1810" s="4">
        <v>1.39</v>
      </c>
      <c r="E1810" s="4">
        <v>229</v>
      </c>
      <c r="F1810" s="4">
        <v>1.44</v>
      </c>
      <c r="G1810" s="4">
        <v>329.76</v>
      </c>
      <c r="H1810" s="5">
        <f t="shared" si="28"/>
        <v>-4.1379310344827627E-2</v>
      </c>
    </row>
    <row r="1811" spans="1:8" ht="13.5" x14ac:dyDescent="0.25">
      <c r="A1811" s="1"/>
      <c r="B1811" s="3">
        <v>44937</v>
      </c>
      <c r="C1811" s="4">
        <v>1.33</v>
      </c>
      <c r="D1811" s="4">
        <v>1.33</v>
      </c>
      <c r="E1811" s="4">
        <v>3835</v>
      </c>
      <c r="F1811" s="4">
        <v>1.33</v>
      </c>
      <c r="G1811" s="4">
        <v>5100.55</v>
      </c>
      <c r="H1811" s="5">
        <f t="shared" si="28"/>
        <v>-4.3165467625899165E-2</v>
      </c>
    </row>
    <row r="1812" spans="1:8" ht="13.5" x14ac:dyDescent="0.25">
      <c r="A1812" s="1"/>
      <c r="B1812" s="3">
        <v>44938</v>
      </c>
      <c r="C1812" s="4">
        <v>1.38</v>
      </c>
      <c r="D1812" s="4">
        <v>1.38</v>
      </c>
      <c r="E1812" s="4">
        <v>67923</v>
      </c>
      <c r="F1812" s="4">
        <v>1.337</v>
      </c>
      <c r="G1812" s="4">
        <v>90813.051000000007</v>
      </c>
      <c r="H1812" s="5">
        <f t="shared" si="28"/>
        <v>3.7593984962405881E-2</v>
      </c>
    </row>
    <row r="1813" spans="1:8" ht="13.5" x14ac:dyDescent="0.25">
      <c r="A1813" s="1"/>
      <c r="B1813" s="3">
        <v>44939</v>
      </c>
      <c r="C1813" s="4">
        <v>1.43</v>
      </c>
      <c r="D1813" s="4">
        <v>1.43</v>
      </c>
      <c r="E1813" s="4">
        <v>18687</v>
      </c>
      <c r="F1813" s="4">
        <v>1.43</v>
      </c>
      <c r="G1813" s="4">
        <v>26722.41</v>
      </c>
      <c r="H1813" s="5">
        <f t="shared" si="28"/>
        <v>3.623188405797105E-2</v>
      </c>
    </row>
    <row r="1814" spans="1:8" ht="13.5" x14ac:dyDescent="0.25">
      <c r="A1814" s="1"/>
      <c r="B1814" s="3">
        <v>44942</v>
      </c>
      <c r="C1814" s="4">
        <v>1.43</v>
      </c>
      <c r="D1814" s="4">
        <v>1.43</v>
      </c>
      <c r="E1814" s="4">
        <v>250</v>
      </c>
      <c r="F1814" s="4">
        <v>1.43</v>
      </c>
      <c r="G1814" s="4">
        <v>357.5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1.43</v>
      </c>
      <c r="D1815" s="4">
        <v>1.43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1.43</v>
      </c>
      <c r="D1816" s="4">
        <v>1.43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1.43</v>
      </c>
      <c r="D1817" s="4">
        <v>1.43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1.43</v>
      </c>
      <c r="D1818" s="4">
        <v>1.43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1.37</v>
      </c>
      <c r="D1819" s="4">
        <v>1.37</v>
      </c>
      <c r="E1819" s="4">
        <v>0</v>
      </c>
      <c r="F1819" s="4">
        <v>0</v>
      </c>
      <c r="G1819" s="4">
        <v>0</v>
      </c>
      <c r="H1819" s="5">
        <f t="shared" si="28"/>
        <v>-4.1958041958041842E-2</v>
      </c>
    </row>
    <row r="1820" spans="1:8" ht="13.5" x14ac:dyDescent="0.25">
      <c r="A1820" s="1"/>
      <c r="B1820" s="3">
        <v>44950</v>
      </c>
      <c r="C1820" s="4">
        <v>1.31</v>
      </c>
      <c r="D1820" s="4">
        <v>1.31</v>
      </c>
      <c r="E1820" s="4">
        <v>1364</v>
      </c>
      <c r="F1820" s="4">
        <v>1.31</v>
      </c>
      <c r="G1820" s="4">
        <v>1786.84</v>
      </c>
      <c r="H1820" s="5">
        <f t="shared" si="28"/>
        <v>-4.3795620437956241E-2</v>
      </c>
    </row>
    <row r="1821" spans="1:8" ht="13.5" x14ac:dyDescent="0.25">
      <c r="A1821" s="1"/>
      <c r="B1821" s="3">
        <v>44951</v>
      </c>
      <c r="C1821" s="4">
        <v>1.31</v>
      </c>
      <c r="D1821" s="4">
        <v>1.31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1.31</v>
      </c>
      <c r="D1822" s="4">
        <v>1.31</v>
      </c>
      <c r="E1822" s="4">
        <v>158</v>
      </c>
      <c r="F1822" s="4">
        <v>1.276</v>
      </c>
      <c r="G1822" s="4">
        <v>201.608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1.31</v>
      </c>
      <c r="D1823" s="4">
        <v>1.31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1.31</v>
      </c>
      <c r="D1824" s="4">
        <v>1.31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1.31</v>
      </c>
      <c r="D1825" s="4">
        <v>1.31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1.26</v>
      </c>
      <c r="D1826" s="4">
        <v>1.26</v>
      </c>
      <c r="E1826" s="4">
        <v>16</v>
      </c>
      <c r="F1826" s="4">
        <v>1.26</v>
      </c>
      <c r="G1826" s="4">
        <v>20.16</v>
      </c>
      <c r="H1826" s="5">
        <f t="shared" si="28"/>
        <v>-3.8167938931297746E-2</v>
      </c>
    </row>
    <row r="1827" spans="1:8" ht="13.5" x14ac:dyDescent="0.25">
      <c r="A1827" s="1"/>
      <c r="B1827" s="3">
        <v>44959</v>
      </c>
      <c r="C1827" s="4">
        <v>1.27</v>
      </c>
      <c r="D1827" s="4">
        <v>1.27</v>
      </c>
      <c r="E1827" s="4">
        <v>2825</v>
      </c>
      <c r="F1827" s="4">
        <v>1.27</v>
      </c>
      <c r="G1827" s="4">
        <v>3587.75</v>
      </c>
      <c r="H1827" s="5">
        <f t="shared" si="28"/>
        <v>7.936507936507943E-3</v>
      </c>
    </row>
    <row r="1828" spans="1:8" ht="13.5" x14ac:dyDescent="0.25">
      <c r="A1828" s="1"/>
      <c r="B1828" s="3">
        <v>44960</v>
      </c>
      <c r="C1828" s="4">
        <v>1.29</v>
      </c>
      <c r="D1828" s="4">
        <v>1.29</v>
      </c>
      <c r="E1828" s="4">
        <v>2000</v>
      </c>
      <c r="F1828" s="4">
        <v>1.29</v>
      </c>
      <c r="G1828" s="4">
        <v>2580</v>
      </c>
      <c r="H1828" s="5">
        <f t="shared" si="28"/>
        <v>1.5748031496063006E-2</v>
      </c>
    </row>
    <row r="1829" spans="1:8" ht="13.5" x14ac:dyDescent="0.25">
      <c r="A1829" s="1"/>
      <c r="B1829" s="3">
        <v>44963</v>
      </c>
      <c r="C1829" s="4">
        <v>1.29</v>
      </c>
      <c r="D1829" s="4">
        <v>1.29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1.3</v>
      </c>
      <c r="D1830" s="4">
        <v>1.3</v>
      </c>
      <c r="E1830" s="4">
        <v>342</v>
      </c>
      <c r="F1830" s="4">
        <v>1.3</v>
      </c>
      <c r="G1830" s="4">
        <v>444.6</v>
      </c>
      <c r="H1830" s="5">
        <f t="shared" si="28"/>
        <v>7.7519379844961309E-3</v>
      </c>
    </row>
    <row r="1831" spans="1:8" ht="13.5" x14ac:dyDescent="0.25">
      <c r="A1831" s="1"/>
      <c r="B1831" s="3">
        <v>44965</v>
      </c>
      <c r="C1831" s="4">
        <v>1.3</v>
      </c>
      <c r="D1831" s="4">
        <v>1.3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1.29</v>
      </c>
      <c r="D1832" s="4">
        <v>1.29</v>
      </c>
      <c r="E1832" s="4">
        <v>2550</v>
      </c>
      <c r="F1832" s="4">
        <v>1.29</v>
      </c>
      <c r="G1832" s="4">
        <v>3289.5</v>
      </c>
      <c r="H1832" s="5">
        <f t="shared" si="28"/>
        <v>-7.6923076923076988E-3</v>
      </c>
    </row>
    <row r="1833" spans="1:8" ht="13.5" x14ac:dyDescent="0.25">
      <c r="A1833" s="1"/>
      <c r="B1833" s="3">
        <v>44967</v>
      </c>
      <c r="C1833" s="4">
        <v>1.29</v>
      </c>
      <c r="D1833" s="4">
        <v>1.29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1.29</v>
      </c>
      <c r="D1834" s="4">
        <v>1.29</v>
      </c>
      <c r="E1834" s="4">
        <v>50</v>
      </c>
      <c r="F1834" s="4">
        <v>1.29</v>
      </c>
      <c r="G1834" s="4">
        <v>64.5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1.29</v>
      </c>
      <c r="D1835" s="4">
        <v>1.29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1.24</v>
      </c>
      <c r="D1836" s="4">
        <v>1.24</v>
      </c>
      <c r="E1836" s="4">
        <v>2662</v>
      </c>
      <c r="F1836" s="4">
        <v>1.24</v>
      </c>
      <c r="G1836" s="4">
        <v>3300.88</v>
      </c>
      <c r="H1836" s="5">
        <f t="shared" si="28"/>
        <v>-3.8759689922480654E-2</v>
      </c>
    </row>
    <row r="1837" spans="1:8" ht="13.5" x14ac:dyDescent="0.25">
      <c r="A1837" s="1"/>
      <c r="B1837" s="3">
        <v>44973</v>
      </c>
      <c r="C1837" s="4">
        <v>1.24</v>
      </c>
      <c r="D1837" s="4">
        <v>1.24</v>
      </c>
      <c r="E1837" s="4">
        <v>39</v>
      </c>
      <c r="F1837" s="4">
        <v>1.24</v>
      </c>
      <c r="G1837" s="4">
        <v>48.36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1.24</v>
      </c>
      <c r="D1838" s="4">
        <v>1.24</v>
      </c>
      <c r="E1838" s="4">
        <v>510</v>
      </c>
      <c r="F1838" s="4">
        <v>1.24</v>
      </c>
      <c r="G1838" s="4">
        <v>632.4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1.24</v>
      </c>
      <c r="D1839" s="4">
        <v>1.24</v>
      </c>
      <c r="E1839" s="4">
        <v>24</v>
      </c>
      <c r="F1839" s="4">
        <v>1.24</v>
      </c>
      <c r="G1839" s="4">
        <v>29.76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1.24</v>
      </c>
      <c r="D1840" s="4">
        <v>1.24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1.24</v>
      </c>
      <c r="D1841" s="4">
        <v>1.24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1.24</v>
      </c>
      <c r="D1842" s="4">
        <v>1.24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1.2</v>
      </c>
      <c r="D1843" s="4">
        <v>1.2</v>
      </c>
      <c r="E1843" s="4">
        <v>2</v>
      </c>
      <c r="F1843" s="4">
        <v>1.2</v>
      </c>
      <c r="G1843" s="4">
        <v>2.4</v>
      </c>
      <c r="H1843" s="5">
        <f t="shared" si="28"/>
        <v>-3.2258064516129059E-2</v>
      </c>
    </row>
    <row r="1844" spans="1:8" ht="13.5" x14ac:dyDescent="0.25">
      <c r="A1844" s="1"/>
      <c r="B1844" s="3">
        <v>44984</v>
      </c>
      <c r="C1844" s="4">
        <v>1.2</v>
      </c>
      <c r="D1844" s="4">
        <v>1.2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1.1499999999999999</v>
      </c>
      <c r="D1845" s="4">
        <v>1.1499999999999999</v>
      </c>
      <c r="E1845" s="4">
        <v>600</v>
      </c>
      <c r="F1845" s="4">
        <v>1.1499999999999999</v>
      </c>
      <c r="G1845" s="4">
        <v>690</v>
      </c>
      <c r="H1845" s="5">
        <f t="shared" si="28"/>
        <v>-4.1666666666666706E-2</v>
      </c>
    </row>
    <row r="1846" spans="1:8" ht="13.5" x14ac:dyDescent="0.25">
      <c r="A1846" s="1"/>
      <c r="B1846" s="3">
        <v>44986</v>
      </c>
      <c r="C1846" s="4">
        <v>1.19</v>
      </c>
      <c r="D1846" s="4">
        <v>1.19</v>
      </c>
      <c r="E1846" s="4">
        <v>20</v>
      </c>
      <c r="F1846" s="4">
        <v>1.19</v>
      </c>
      <c r="G1846" s="4">
        <v>23.8</v>
      </c>
      <c r="H1846" s="5">
        <f t="shared" si="28"/>
        <v>3.4782608695652209E-2</v>
      </c>
    </row>
    <row r="1847" spans="1:8" ht="13.5" x14ac:dyDescent="0.25">
      <c r="A1847" s="1"/>
      <c r="B1847" s="3">
        <v>44987</v>
      </c>
      <c r="C1847" s="4">
        <v>1.19</v>
      </c>
      <c r="D1847" s="4">
        <v>1.19</v>
      </c>
      <c r="E1847" s="4">
        <v>30</v>
      </c>
      <c r="F1847" s="4">
        <v>1.19</v>
      </c>
      <c r="G1847" s="4">
        <v>35.700000000000003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1.19</v>
      </c>
      <c r="D1848" s="4">
        <v>1.19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1.19</v>
      </c>
      <c r="D1849" s="4">
        <v>1.19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1.19</v>
      </c>
      <c r="D1850" s="4">
        <v>1.19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1.19</v>
      </c>
      <c r="D1851" s="4">
        <v>1.19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1.19</v>
      </c>
      <c r="D1852" s="4">
        <v>1.19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1.19</v>
      </c>
      <c r="D1853" s="4">
        <v>1.19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1.19</v>
      </c>
      <c r="D1854" s="4">
        <v>1.19</v>
      </c>
      <c r="E1854" s="4">
        <v>2019</v>
      </c>
      <c r="F1854" s="4">
        <v>1.19</v>
      </c>
      <c r="G1854" s="4">
        <v>2402.61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1.19</v>
      </c>
      <c r="D1855" s="4">
        <v>1.19</v>
      </c>
      <c r="E1855" s="4">
        <v>1575</v>
      </c>
      <c r="F1855" s="4">
        <v>1.19</v>
      </c>
      <c r="G1855" s="4">
        <v>1874.25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1.19</v>
      </c>
      <c r="D1856" s="4">
        <v>1.19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1.1499999999999999</v>
      </c>
      <c r="D1857" s="4">
        <v>1.1499999999999999</v>
      </c>
      <c r="E1857" s="4">
        <v>6255</v>
      </c>
      <c r="F1857" s="4">
        <v>1.155</v>
      </c>
      <c r="G1857" s="4">
        <v>7224.5249999999996</v>
      </c>
      <c r="H1857" s="5">
        <f t="shared" si="28"/>
        <v>-3.3613445378151294E-2</v>
      </c>
    </row>
    <row r="1858" spans="1:8" ht="13.5" x14ac:dyDescent="0.25">
      <c r="A1858" s="1"/>
      <c r="B1858" s="3">
        <v>45002</v>
      </c>
      <c r="C1858" s="4">
        <v>1.1200000000000001</v>
      </c>
      <c r="D1858" s="4">
        <v>1.1200000000000001</v>
      </c>
      <c r="E1858" s="4">
        <v>1145</v>
      </c>
      <c r="F1858" s="4">
        <v>1.1200000000000001</v>
      </c>
      <c r="G1858" s="4">
        <v>1282.4000000000001</v>
      </c>
      <c r="H1858" s="5">
        <f t="shared" si="28"/>
        <v>-2.6086956521738962E-2</v>
      </c>
    </row>
    <row r="1859" spans="1:8" ht="13.5" x14ac:dyDescent="0.25">
      <c r="A1859" s="1"/>
      <c r="B1859" s="3">
        <v>45006</v>
      </c>
      <c r="C1859" s="4">
        <v>1.1000000000000001</v>
      </c>
      <c r="D1859" s="4">
        <v>1.1000000000000001</v>
      </c>
      <c r="E1859" s="4">
        <v>300</v>
      </c>
      <c r="F1859" s="4">
        <v>1.1000000000000001</v>
      </c>
      <c r="G1859" s="4">
        <v>330</v>
      </c>
      <c r="H1859" s="5">
        <f t="shared" si="28"/>
        <v>-1.785714285714287E-2</v>
      </c>
    </row>
    <row r="1860" spans="1:8" ht="13.5" x14ac:dyDescent="0.25">
      <c r="A1860" s="1"/>
      <c r="B1860" s="3">
        <v>45007</v>
      </c>
      <c r="C1860" s="4">
        <v>1.1200000000000001</v>
      </c>
      <c r="D1860" s="4">
        <v>1.1200000000000001</v>
      </c>
      <c r="E1860" s="4">
        <v>1475</v>
      </c>
      <c r="F1860" s="4">
        <v>1.1200000000000001</v>
      </c>
      <c r="G1860" s="4">
        <v>1652</v>
      </c>
      <c r="H1860" s="5">
        <f t="shared" si="28"/>
        <v>1.8181818181818195E-2</v>
      </c>
    </row>
    <row r="1861" spans="1:8" ht="13.5" x14ac:dyDescent="0.25">
      <c r="A1861" s="1"/>
      <c r="B1861" s="3">
        <v>45008</v>
      </c>
      <c r="C1861" s="4">
        <v>1.1200000000000001</v>
      </c>
      <c r="D1861" s="4">
        <v>1.1200000000000001</v>
      </c>
      <c r="E1861" s="4">
        <v>1020</v>
      </c>
      <c r="F1861" s="4">
        <v>1.1200000000000001</v>
      </c>
      <c r="G1861" s="4">
        <v>1142.4000000000001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1.1200000000000001</v>
      </c>
      <c r="D1862" s="4">
        <v>1.1200000000000001</v>
      </c>
      <c r="E1862" s="4">
        <v>1010</v>
      </c>
      <c r="F1862" s="4">
        <v>1.1200000000000001</v>
      </c>
      <c r="G1862" s="4">
        <v>1131.2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1.1200000000000001</v>
      </c>
      <c r="D1863" s="4">
        <v>1.1200000000000001</v>
      </c>
      <c r="E1863" s="4">
        <v>5850</v>
      </c>
      <c r="F1863" s="4">
        <v>1.1200000000000001</v>
      </c>
      <c r="G1863" s="4">
        <v>6552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1.1200000000000001</v>
      </c>
      <c r="D1864" s="4">
        <v>1.1200000000000001</v>
      </c>
      <c r="E1864" s="4">
        <v>4838</v>
      </c>
      <c r="F1864" s="4">
        <v>1.1200000000000001</v>
      </c>
      <c r="G1864" s="4">
        <v>5418.56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1.1200000000000001</v>
      </c>
      <c r="D1865" s="4">
        <v>1.1200000000000001</v>
      </c>
      <c r="E1865" s="4">
        <v>2500</v>
      </c>
      <c r="F1865" s="4">
        <v>1.1200000000000001</v>
      </c>
      <c r="G1865" s="4">
        <v>2800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1.1200000000000001</v>
      </c>
      <c r="D1866" s="4">
        <v>1.1200000000000001</v>
      </c>
      <c r="E1866" s="4">
        <v>5500</v>
      </c>
      <c r="F1866" s="4">
        <v>1.1200000000000001</v>
      </c>
      <c r="G1866" s="4">
        <v>6160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1.1000000000000001</v>
      </c>
      <c r="D1867" s="4">
        <v>1.1000000000000001</v>
      </c>
      <c r="E1867" s="4">
        <v>4357</v>
      </c>
      <c r="F1867" s="4">
        <v>1.1000000000000001</v>
      </c>
      <c r="G1867" s="4">
        <v>4792.7</v>
      </c>
      <c r="H1867" s="5">
        <f t="shared" si="29"/>
        <v>-1.785714285714287E-2</v>
      </c>
    </row>
    <row r="1868" spans="1:8" ht="13.5" x14ac:dyDescent="0.25">
      <c r="A1868" s="1"/>
      <c r="B1868" s="3">
        <v>45019</v>
      </c>
      <c r="C1868" s="4">
        <v>1.1000000000000001</v>
      </c>
      <c r="D1868" s="4">
        <v>1.1000000000000001</v>
      </c>
      <c r="E1868" s="4">
        <v>1025</v>
      </c>
      <c r="F1868" s="4">
        <v>1.1000000000000001</v>
      </c>
      <c r="G1868" s="4">
        <v>1127.5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1.06</v>
      </c>
      <c r="D1869" s="4">
        <v>1.06</v>
      </c>
      <c r="E1869" s="4">
        <v>7367</v>
      </c>
      <c r="F1869" s="4">
        <v>1.06</v>
      </c>
      <c r="G1869" s="4">
        <v>7809.02</v>
      </c>
      <c r="H1869" s="5">
        <f t="shared" si="29"/>
        <v>-3.636363636363639E-2</v>
      </c>
    </row>
    <row r="1870" spans="1:8" ht="13.5" x14ac:dyDescent="0.25">
      <c r="A1870" s="1"/>
      <c r="B1870" s="3">
        <v>45021</v>
      </c>
      <c r="C1870" s="4">
        <v>1.02</v>
      </c>
      <c r="D1870" s="4">
        <v>1.02</v>
      </c>
      <c r="E1870" s="4">
        <v>7428</v>
      </c>
      <c r="F1870" s="4">
        <v>1.02</v>
      </c>
      <c r="G1870" s="4">
        <v>7576.56</v>
      </c>
      <c r="H1870" s="5">
        <f t="shared" si="29"/>
        <v>-3.7735849056603807E-2</v>
      </c>
    </row>
    <row r="1871" spans="1:8" ht="13.5" x14ac:dyDescent="0.25">
      <c r="A1871" s="1"/>
      <c r="B1871" s="3">
        <v>45022</v>
      </c>
      <c r="C1871" s="4">
        <v>0.98</v>
      </c>
      <c r="D1871" s="4">
        <v>0.98</v>
      </c>
      <c r="E1871" s="4">
        <v>1593</v>
      </c>
      <c r="F1871" s="4">
        <v>0.98</v>
      </c>
      <c r="G1871" s="4">
        <v>1561.14</v>
      </c>
      <c r="H1871" s="5">
        <f t="shared" si="29"/>
        <v>-3.9215686274509838E-2</v>
      </c>
    </row>
    <row r="1872" spans="1:8" ht="13.5" x14ac:dyDescent="0.25">
      <c r="A1872" s="1"/>
      <c r="B1872" s="3">
        <v>45023</v>
      </c>
      <c r="C1872" s="4">
        <v>0.98</v>
      </c>
      <c r="D1872" s="4">
        <v>0.98</v>
      </c>
      <c r="E1872" s="4">
        <v>6641</v>
      </c>
      <c r="F1872" s="4">
        <v>0.98</v>
      </c>
      <c r="G1872" s="4">
        <v>6508.18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0.94</v>
      </c>
      <c r="D1873" s="4">
        <v>0.94</v>
      </c>
      <c r="E1873" s="4">
        <v>7000</v>
      </c>
      <c r="F1873" s="4">
        <v>0.95699999999999996</v>
      </c>
      <c r="G1873" s="4">
        <v>6699</v>
      </c>
      <c r="H1873" s="5">
        <f t="shared" si="29"/>
        <v>-4.0816326530612283E-2</v>
      </c>
    </row>
    <row r="1874" spans="1:8" ht="13.5" x14ac:dyDescent="0.25">
      <c r="A1874" s="1"/>
      <c r="B1874" s="3">
        <v>45027</v>
      </c>
      <c r="C1874" s="4">
        <v>0.9</v>
      </c>
      <c r="D1874" s="4">
        <v>0.9</v>
      </c>
      <c r="E1874" s="4">
        <v>0</v>
      </c>
      <c r="F1874" s="4">
        <v>0</v>
      </c>
      <c r="G1874" s="4">
        <v>0</v>
      </c>
      <c r="H1874" s="5">
        <f t="shared" si="29"/>
        <v>-4.2553191489361625E-2</v>
      </c>
    </row>
    <row r="1875" spans="1:8" ht="13.5" x14ac:dyDescent="0.25">
      <c r="A1875" s="1"/>
      <c r="B1875" s="3">
        <v>45028</v>
      </c>
      <c r="C1875" s="4">
        <v>0.86</v>
      </c>
      <c r="D1875" s="4">
        <v>0.86</v>
      </c>
      <c r="E1875" s="4">
        <v>5</v>
      </c>
      <c r="F1875" s="4">
        <v>0.89</v>
      </c>
      <c r="G1875" s="4">
        <v>4.45</v>
      </c>
      <c r="H1875" s="5">
        <f t="shared" si="29"/>
        <v>-4.4444444444444481E-2</v>
      </c>
    </row>
    <row r="1876" spans="1:8" ht="13.5" x14ac:dyDescent="0.25">
      <c r="A1876" s="1"/>
      <c r="B1876" s="3">
        <v>45029</v>
      </c>
      <c r="C1876" s="4">
        <v>0.83</v>
      </c>
      <c r="D1876" s="4">
        <v>0.83</v>
      </c>
      <c r="E1876" s="4">
        <v>34000</v>
      </c>
      <c r="F1876" s="4">
        <v>0.83</v>
      </c>
      <c r="G1876" s="4">
        <v>28220</v>
      </c>
      <c r="H1876" s="5">
        <f t="shared" si="29"/>
        <v>-3.4883720930232592E-2</v>
      </c>
    </row>
    <row r="1877" spans="1:8" ht="13.5" x14ac:dyDescent="0.25">
      <c r="A1877" s="1"/>
      <c r="B1877" s="3">
        <v>45030</v>
      </c>
      <c r="C1877" s="4">
        <v>0.83</v>
      </c>
      <c r="D1877" s="4">
        <v>0.83</v>
      </c>
      <c r="E1877" s="4">
        <v>4117</v>
      </c>
      <c r="F1877" s="4">
        <v>0.83</v>
      </c>
      <c r="G1877" s="4">
        <v>3417.11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0.8</v>
      </c>
      <c r="D1878" s="4">
        <v>0.8</v>
      </c>
      <c r="E1878" s="4">
        <v>1006</v>
      </c>
      <c r="F1878" s="4">
        <v>0.8</v>
      </c>
      <c r="G1878" s="4">
        <v>804.8</v>
      </c>
      <c r="H1878" s="5">
        <f t="shared" si="29"/>
        <v>-3.6144578313252913E-2</v>
      </c>
    </row>
    <row r="1879" spans="1:8" ht="13.5" x14ac:dyDescent="0.25">
      <c r="A1879" s="1"/>
      <c r="B1879" s="3">
        <v>45034</v>
      </c>
      <c r="C1879" s="4">
        <v>0.77</v>
      </c>
      <c r="D1879" s="4">
        <v>0.77</v>
      </c>
      <c r="E1879" s="4">
        <v>6850</v>
      </c>
      <c r="F1879" s="4">
        <v>0.77</v>
      </c>
      <c r="G1879" s="4">
        <v>5274.5</v>
      </c>
      <c r="H1879" s="5">
        <f t="shared" si="29"/>
        <v>-3.7500000000000033E-2</v>
      </c>
    </row>
    <row r="1880" spans="1:8" ht="13.5" x14ac:dyDescent="0.25">
      <c r="A1880" s="1"/>
      <c r="B1880" s="3">
        <v>45035</v>
      </c>
      <c r="C1880" s="4">
        <v>0.74</v>
      </c>
      <c r="D1880" s="4">
        <v>0.74</v>
      </c>
      <c r="E1880" s="4">
        <v>170</v>
      </c>
      <c r="F1880" s="4">
        <v>0.75</v>
      </c>
      <c r="G1880" s="4">
        <v>127.5</v>
      </c>
      <c r="H1880" s="5">
        <f t="shared" si="29"/>
        <v>-3.8961038961038995E-2</v>
      </c>
    </row>
    <row r="1881" spans="1:8" ht="13.5" x14ac:dyDescent="0.25">
      <c r="A1881" s="1"/>
      <c r="B1881" s="3">
        <v>45036</v>
      </c>
      <c r="C1881" s="4">
        <v>0.71</v>
      </c>
      <c r="D1881" s="4">
        <v>0.71</v>
      </c>
      <c r="E1881" s="4">
        <v>17255</v>
      </c>
      <c r="F1881" s="4">
        <v>0.71</v>
      </c>
      <c r="G1881" s="4">
        <v>12251.05</v>
      </c>
      <c r="H1881" s="5">
        <f t="shared" si="29"/>
        <v>-4.0540540540540577E-2</v>
      </c>
    </row>
    <row r="1882" spans="1:8" ht="13.5" x14ac:dyDescent="0.25">
      <c r="A1882" s="1"/>
      <c r="B1882" s="3">
        <v>45040</v>
      </c>
      <c r="C1882" s="4">
        <v>0.74</v>
      </c>
      <c r="D1882" s="4">
        <v>0.74</v>
      </c>
      <c r="E1882" s="4">
        <v>470</v>
      </c>
      <c r="F1882" s="4">
        <v>0.74</v>
      </c>
      <c r="G1882" s="4">
        <v>347.8</v>
      </c>
      <c r="H1882" s="5">
        <f t="shared" si="29"/>
        <v>4.2253521126760604E-2</v>
      </c>
    </row>
    <row r="1883" spans="1:8" ht="13.5" x14ac:dyDescent="0.25">
      <c r="A1883" s="1"/>
      <c r="B1883" s="3">
        <v>45041</v>
      </c>
      <c r="C1883" s="4">
        <v>0.75</v>
      </c>
      <c r="D1883" s="4">
        <v>0.75</v>
      </c>
      <c r="E1883" s="4">
        <v>7216</v>
      </c>
      <c r="F1883" s="4">
        <v>0.749</v>
      </c>
      <c r="G1883" s="4">
        <v>5404.7839999999997</v>
      </c>
      <c r="H1883" s="5">
        <f t="shared" si="29"/>
        <v>1.3513513513513526E-2</v>
      </c>
    </row>
    <row r="1884" spans="1:8" ht="13.5" x14ac:dyDescent="0.25">
      <c r="A1884" s="1"/>
      <c r="B1884" s="3">
        <v>45042</v>
      </c>
      <c r="C1884" s="4">
        <v>0.75</v>
      </c>
      <c r="D1884" s="4">
        <v>0.75</v>
      </c>
      <c r="E1884" s="4">
        <v>1277</v>
      </c>
      <c r="F1884" s="4">
        <v>0.75</v>
      </c>
      <c r="G1884" s="4">
        <v>957.75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0.78</v>
      </c>
      <c r="D1885" s="4">
        <v>0.78</v>
      </c>
      <c r="E1885" s="4">
        <v>100</v>
      </c>
      <c r="F1885" s="4">
        <v>0.78</v>
      </c>
      <c r="G1885" s="4">
        <v>78</v>
      </c>
      <c r="H1885" s="5">
        <f t="shared" si="29"/>
        <v>4.0000000000000036E-2</v>
      </c>
    </row>
    <row r="1886" spans="1:8" ht="13.5" x14ac:dyDescent="0.25">
      <c r="A1886" s="1"/>
      <c r="B1886" s="3">
        <v>45044</v>
      </c>
      <c r="C1886" s="4">
        <v>0.81</v>
      </c>
      <c r="D1886" s="4">
        <v>0.81</v>
      </c>
      <c r="E1886" s="4">
        <v>40</v>
      </c>
      <c r="F1886" s="4">
        <v>0.81</v>
      </c>
      <c r="G1886" s="4">
        <v>32.4</v>
      </c>
      <c r="H1886" s="5">
        <f t="shared" si="29"/>
        <v>3.8461538461538491E-2</v>
      </c>
    </row>
    <row r="1887" spans="1:8" ht="13.5" x14ac:dyDescent="0.25">
      <c r="A1887" s="1"/>
      <c r="B1887" s="3">
        <v>45048</v>
      </c>
      <c r="C1887" s="4">
        <v>0.84</v>
      </c>
      <c r="D1887" s="4">
        <v>0.84</v>
      </c>
      <c r="E1887" s="4">
        <v>2</v>
      </c>
      <c r="F1887" s="4">
        <v>0.84</v>
      </c>
      <c r="G1887" s="4">
        <v>1.68</v>
      </c>
      <c r="H1887" s="5">
        <f t="shared" si="29"/>
        <v>3.7037037037036931E-2</v>
      </c>
    </row>
    <row r="1888" spans="1:8" ht="13.5" x14ac:dyDescent="0.25">
      <c r="A1888" s="1"/>
      <c r="B1888" s="3">
        <v>45049</v>
      </c>
      <c r="C1888" s="4">
        <v>0.84</v>
      </c>
      <c r="D1888" s="4">
        <v>0.84</v>
      </c>
      <c r="E1888" s="4">
        <v>52926</v>
      </c>
      <c r="F1888" s="4">
        <v>0.84</v>
      </c>
      <c r="G1888" s="4">
        <v>44457.84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0.87</v>
      </c>
      <c r="D1889" s="4">
        <v>0.87</v>
      </c>
      <c r="E1889" s="4">
        <v>0</v>
      </c>
      <c r="F1889" s="4">
        <v>0</v>
      </c>
      <c r="G1889" s="4">
        <v>0</v>
      </c>
      <c r="H1889" s="5">
        <f t="shared" si="29"/>
        <v>3.5714285714285747E-2</v>
      </c>
    </row>
    <row r="1890" spans="1:8" ht="13.5" x14ac:dyDescent="0.25">
      <c r="A1890" s="1"/>
      <c r="B1890" s="3">
        <v>45051</v>
      </c>
      <c r="C1890" s="4">
        <v>0.88</v>
      </c>
      <c r="D1890" s="4">
        <v>0.88</v>
      </c>
      <c r="E1890" s="4">
        <v>557</v>
      </c>
      <c r="F1890" s="4">
        <v>0.877</v>
      </c>
      <c r="G1890" s="4">
        <v>488.48899999999998</v>
      </c>
      <c r="H1890" s="5">
        <f t="shared" si="29"/>
        <v>1.1494252873563229E-2</v>
      </c>
    </row>
    <row r="1891" spans="1:8" ht="13.5" x14ac:dyDescent="0.25">
      <c r="A1891" s="1"/>
      <c r="B1891" s="3">
        <v>45054</v>
      </c>
      <c r="C1891" s="4">
        <v>0.91</v>
      </c>
      <c r="D1891" s="4">
        <v>0.91</v>
      </c>
      <c r="E1891" s="4">
        <v>1393</v>
      </c>
      <c r="F1891" s="4">
        <v>0.90300000000000002</v>
      </c>
      <c r="G1891" s="4">
        <v>1257.8789999999999</v>
      </c>
      <c r="H1891" s="5">
        <f t="shared" si="29"/>
        <v>3.4090909090909123E-2</v>
      </c>
    </row>
    <row r="1892" spans="1:8" ht="13.5" x14ac:dyDescent="0.25">
      <c r="A1892" s="1"/>
      <c r="B1892" s="3">
        <v>45055</v>
      </c>
      <c r="C1892" s="4">
        <v>0.95</v>
      </c>
      <c r="D1892" s="4">
        <v>0.95</v>
      </c>
      <c r="E1892" s="4">
        <v>2745</v>
      </c>
      <c r="F1892" s="4">
        <v>0.95</v>
      </c>
      <c r="G1892" s="4">
        <v>2607.75</v>
      </c>
      <c r="H1892" s="5">
        <f t="shared" si="29"/>
        <v>4.3956043956043869E-2</v>
      </c>
    </row>
    <row r="1893" spans="1:8" ht="13.5" x14ac:dyDescent="0.25">
      <c r="A1893" s="1"/>
      <c r="B1893" s="3">
        <v>45056</v>
      </c>
      <c r="C1893" s="4">
        <v>0.95</v>
      </c>
      <c r="D1893" s="4">
        <v>0.95</v>
      </c>
      <c r="E1893" s="4">
        <v>4538</v>
      </c>
      <c r="F1893" s="4">
        <v>0.95</v>
      </c>
      <c r="G1893" s="4">
        <v>4311.1000000000004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0.96</v>
      </c>
      <c r="D1894" s="4">
        <v>0.96</v>
      </c>
      <c r="E1894" s="4">
        <v>4500</v>
      </c>
      <c r="F1894" s="4">
        <v>0.96</v>
      </c>
      <c r="G1894" s="4">
        <v>4320</v>
      </c>
      <c r="H1894" s="5">
        <f t="shared" si="29"/>
        <v>1.0526315789473694E-2</v>
      </c>
    </row>
    <row r="1895" spans="1:8" ht="13.5" x14ac:dyDescent="0.25">
      <c r="A1895" s="1"/>
      <c r="B1895" s="3">
        <v>45058</v>
      </c>
      <c r="C1895" s="4">
        <v>0.99</v>
      </c>
      <c r="D1895" s="4">
        <v>0.99</v>
      </c>
      <c r="E1895" s="4">
        <v>485</v>
      </c>
      <c r="F1895" s="4">
        <v>0.99</v>
      </c>
      <c r="G1895" s="4">
        <v>480.15</v>
      </c>
      <c r="H1895" s="5">
        <f t="shared" si="29"/>
        <v>3.1250000000000028E-2</v>
      </c>
    </row>
    <row r="1896" spans="1:8" ht="13.5" x14ac:dyDescent="0.25">
      <c r="A1896" s="1"/>
      <c r="B1896" s="3">
        <v>45061</v>
      </c>
      <c r="C1896" s="4">
        <v>1</v>
      </c>
      <c r="D1896" s="4">
        <v>1</v>
      </c>
      <c r="E1896" s="4">
        <v>1693</v>
      </c>
      <c r="F1896" s="4">
        <v>0.999</v>
      </c>
      <c r="G1896" s="4">
        <v>1691.307</v>
      </c>
      <c r="H1896" s="5">
        <f t="shared" si="29"/>
        <v>1.0101010101010111E-2</v>
      </c>
    </row>
    <row r="1897" spans="1:8" ht="13.5" x14ac:dyDescent="0.25">
      <c r="A1897" s="1"/>
      <c r="B1897" s="3">
        <v>45062</v>
      </c>
      <c r="C1897" s="4">
        <v>1.04</v>
      </c>
      <c r="D1897" s="4">
        <v>1.04</v>
      </c>
      <c r="E1897" s="4">
        <v>865</v>
      </c>
      <c r="F1897" s="4">
        <v>1.038</v>
      </c>
      <c r="G1897" s="4">
        <v>897.87</v>
      </c>
      <c r="H1897" s="5">
        <f t="shared" si="29"/>
        <v>4.0000000000000036E-2</v>
      </c>
    </row>
    <row r="1898" spans="1:8" ht="13.5" x14ac:dyDescent="0.25">
      <c r="A1898" s="1"/>
      <c r="B1898" s="3">
        <v>45063</v>
      </c>
      <c r="C1898" s="4">
        <v>1.06</v>
      </c>
      <c r="D1898" s="4">
        <v>1.06</v>
      </c>
      <c r="E1898" s="4">
        <v>421</v>
      </c>
      <c r="F1898" s="4">
        <v>1.06</v>
      </c>
      <c r="G1898" s="4">
        <v>446.26</v>
      </c>
      <c r="H1898" s="5">
        <f t="shared" si="29"/>
        <v>1.9230769230769246E-2</v>
      </c>
    </row>
    <row r="1899" spans="1:8" ht="13.5" x14ac:dyDescent="0.25">
      <c r="A1899" s="1"/>
      <c r="B1899" s="3">
        <v>45064</v>
      </c>
      <c r="C1899" s="4">
        <v>1.07</v>
      </c>
      <c r="D1899" s="4">
        <v>1.07</v>
      </c>
      <c r="E1899" s="4">
        <v>1200</v>
      </c>
      <c r="F1899" s="4">
        <v>1.07</v>
      </c>
      <c r="G1899" s="4">
        <v>1284</v>
      </c>
      <c r="H1899" s="5">
        <f t="shared" si="29"/>
        <v>9.4339622641509517E-3</v>
      </c>
    </row>
    <row r="1900" spans="1:8" ht="13.5" x14ac:dyDescent="0.25">
      <c r="A1900" s="1"/>
      <c r="B1900" s="3">
        <v>45065</v>
      </c>
      <c r="C1900" s="4">
        <v>1.07</v>
      </c>
      <c r="D1900" s="4">
        <v>1.07</v>
      </c>
      <c r="E1900" s="4">
        <v>0</v>
      </c>
      <c r="F1900" s="4">
        <v>0</v>
      </c>
      <c r="G1900" s="4">
        <v>0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1.07</v>
      </c>
      <c r="D1901" s="4">
        <v>1.07</v>
      </c>
      <c r="E1901" s="4">
        <v>0</v>
      </c>
      <c r="F1901" s="4">
        <v>0</v>
      </c>
      <c r="G1901" s="4">
        <v>0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1.07</v>
      </c>
      <c r="D1902" s="4">
        <v>1.07</v>
      </c>
      <c r="E1902" s="4">
        <v>0</v>
      </c>
      <c r="F1902" s="4">
        <v>0</v>
      </c>
      <c r="G1902" s="4">
        <v>0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1.06</v>
      </c>
      <c r="D1903" s="4">
        <v>1.06</v>
      </c>
      <c r="E1903" s="4">
        <v>133</v>
      </c>
      <c r="F1903" s="4">
        <v>1.06</v>
      </c>
      <c r="G1903" s="4">
        <v>140.97999999999999</v>
      </c>
      <c r="H1903" s="5">
        <f t="shared" si="29"/>
        <v>-9.3457943925233725E-3</v>
      </c>
    </row>
    <row r="1904" spans="1:8" ht="13.5" x14ac:dyDescent="0.25">
      <c r="A1904" s="1"/>
      <c r="B1904" s="3">
        <v>45071</v>
      </c>
      <c r="C1904" s="4">
        <v>1.05</v>
      </c>
      <c r="D1904" s="4">
        <v>1.05</v>
      </c>
      <c r="E1904" s="4">
        <v>1549</v>
      </c>
      <c r="F1904" s="4">
        <v>1.05</v>
      </c>
      <c r="G1904" s="4">
        <v>1626.45</v>
      </c>
      <c r="H1904" s="5">
        <f t="shared" si="29"/>
        <v>-9.4339622641509517E-3</v>
      </c>
    </row>
    <row r="1905" spans="1:8" ht="13.5" x14ac:dyDescent="0.25">
      <c r="A1905" s="1"/>
      <c r="B1905" s="3">
        <v>45072</v>
      </c>
      <c r="C1905" s="4">
        <v>1.05</v>
      </c>
      <c r="D1905" s="4">
        <v>1.05</v>
      </c>
      <c r="E1905" s="4">
        <v>14</v>
      </c>
      <c r="F1905" s="4">
        <v>1.05</v>
      </c>
      <c r="G1905" s="4">
        <v>14.7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1.01</v>
      </c>
      <c r="D1906" s="4">
        <v>1.01</v>
      </c>
      <c r="E1906" s="4">
        <v>1500</v>
      </c>
      <c r="F1906" s="4">
        <v>1.01</v>
      </c>
      <c r="G1906" s="4">
        <v>1515</v>
      </c>
      <c r="H1906" s="5">
        <f t="shared" si="29"/>
        <v>-3.8095238095238126E-2</v>
      </c>
    </row>
    <row r="1907" spans="1:8" ht="13.5" x14ac:dyDescent="0.25">
      <c r="A1907" s="1"/>
      <c r="B1907" s="3">
        <v>45076</v>
      </c>
      <c r="C1907" s="4">
        <v>1.05</v>
      </c>
      <c r="D1907" s="4">
        <v>1.05</v>
      </c>
      <c r="E1907" s="4">
        <v>1000</v>
      </c>
      <c r="F1907" s="4">
        <v>1.01</v>
      </c>
      <c r="G1907" s="4">
        <v>1010</v>
      </c>
      <c r="H1907" s="5">
        <f t="shared" si="29"/>
        <v>3.9603960396039639E-2</v>
      </c>
    </row>
    <row r="1908" spans="1:8" ht="13.5" x14ac:dyDescent="0.25">
      <c r="A1908" s="1"/>
      <c r="B1908" s="3">
        <v>45077</v>
      </c>
      <c r="C1908" s="4">
        <v>1.01</v>
      </c>
      <c r="D1908" s="4">
        <v>1.01</v>
      </c>
      <c r="E1908" s="4">
        <v>1403</v>
      </c>
      <c r="F1908" s="4">
        <v>1.01</v>
      </c>
      <c r="G1908" s="4">
        <v>1417.03</v>
      </c>
      <c r="H1908" s="5">
        <f t="shared" si="29"/>
        <v>-3.8095238095238126E-2</v>
      </c>
    </row>
    <row r="1909" spans="1:8" ht="13.5" x14ac:dyDescent="0.25">
      <c r="A1909" s="1"/>
      <c r="B1909" s="3">
        <v>45078</v>
      </c>
      <c r="C1909" s="4">
        <v>1.01</v>
      </c>
      <c r="D1909" s="4">
        <v>1.01</v>
      </c>
      <c r="E1909" s="4">
        <v>500</v>
      </c>
      <c r="F1909" s="4">
        <v>1.004</v>
      </c>
      <c r="G1909" s="4">
        <v>502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1.01</v>
      </c>
      <c r="D1910" s="4">
        <v>1.01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1.02</v>
      </c>
      <c r="D1911" s="4">
        <v>1.02</v>
      </c>
      <c r="E1911" s="4">
        <v>13</v>
      </c>
      <c r="F1911" s="4">
        <v>1.02</v>
      </c>
      <c r="G1911" s="4">
        <v>13.26</v>
      </c>
      <c r="H1911" s="5">
        <f t="shared" si="29"/>
        <v>9.9009900990099098E-3</v>
      </c>
    </row>
    <row r="1912" spans="1:8" ht="13.5" x14ac:dyDescent="0.25">
      <c r="A1912" s="1"/>
      <c r="B1912" s="3">
        <v>45083</v>
      </c>
      <c r="C1912" s="4">
        <v>1.04</v>
      </c>
      <c r="D1912" s="4">
        <v>1.04</v>
      </c>
      <c r="E1912" s="4">
        <v>264</v>
      </c>
      <c r="F1912" s="4">
        <v>1.04</v>
      </c>
      <c r="G1912" s="4">
        <v>274.56</v>
      </c>
      <c r="H1912" s="5">
        <f t="shared" si="29"/>
        <v>1.9607843137254919E-2</v>
      </c>
    </row>
    <row r="1913" spans="1:8" ht="13.5" x14ac:dyDescent="0.25">
      <c r="A1913" s="1"/>
      <c r="B1913" s="3">
        <v>45084</v>
      </c>
      <c r="C1913" s="4">
        <v>1.04</v>
      </c>
      <c r="D1913" s="4">
        <v>1.04</v>
      </c>
      <c r="E1913" s="4">
        <v>448</v>
      </c>
      <c r="F1913" s="4">
        <v>1.04</v>
      </c>
      <c r="G1913" s="4">
        <v>465.92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1.05</v>
      </c>
      <c r="D1914" s="4">
        <v>1.05</v>
      </c>
      <c r="E1914" s="4">
        <v>1190</v>
      </c>
      <c r="F1914" s="4">
        <v>1.05</v>
      </c>
      <c r="G1914" s="4">
        <v>1249.5</v>
      </c>
      <c r="H1914" s="5">
        <f t="shared" si="29"/>
        <v>9.6153846153846229E-3</v>
      </c>
    </row>
    <row r="1915" spans="1:8" ht="13.5" x14ac:dyDescent="0.25">
      <c r="A1915" s="1"/>
      <c r="B1915" s="3">
        <v>45086</v>
      </c>
      <c r="C1915" s="4">
        <v>1.05</v>
      </c>
      <c r="D1915" s="4">
        <v>1.05</v>
      </c>
      <c r="E1915" s="4">
        <v>3020</v>
      </c>
      <c r="F1915" s="4">
        <v>1.05</v>
      </c>
      <c r="G1915" s="4">
        <v>3171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1.05</v>
      </c>
      <c r="D1916" s="4">
        <v>1.05</v>
      </c>
      <c r="E1916" s="4">
        <v>1134</v>
      </c>
      <c r="F1916" s="4">
        <v>1.05</v>
      </c>
      <c r="G1916" s="4">
        <v>1190.7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1.06</v>
      </c>
      <c r="D1917" s="4">
        <v>1.06</v>
      </c>
      <c r="E1917" s="4">
        <v>376</v>
      </c>
      <c r="F1917" s="4">
        <v>1.06</v>
      </c>
      <c r="G1917" s="4">
        <v>398.56</v>
      </c>
      <c r="H1917" s="5">
        <f t="shared" si="29"/>
        <v>9.5238095238095316E-3</v>
      </c>
    </row>
    <row r="1918" spans="1:8" ht="13.5" x14ac:dyDescent="0.25">
      <c r="A1918" s="1"/>
      <c r="B1918" s="3">
        <v>45091</v>
      </c>
      <c r="C1918" s="4">
        <v>1.06</v>
      </c>
      <c r="D1918" s="4">
        <v>1.06</v>
      </c>
      <c r="E1918" s="4">
        <v>170</v>
      </c>
      <c r="F1918" s="4">
        <v>1.06</v>
      </c>
      <c r="G1918" s="4">
        <v>180.2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1.06</v>
      </c>
      <c r="D1919" s="4">
        <v>1.06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1.07</v>
      </c>
      <c r="D1920" s="4">
        <v>1.07</v>
      </c>
      <c r="E1920" s="4">
        <v>30</v>
      </c>
      <c r="F1920" s="4">
        <v>1.07</v>
      </c>
      <c r="G1920" s="4">
        <v>32.1</v>
      </c>
      <c r="H1920" s="5">
        <f t="shared" si="29"/>
        <v>9.4339622641509517E-3</v>
      </c>
    </row>
    <row r="1921" spans="1:8" ht="13.5" x14ac:dyDescent="0.25">
      <c r="A1921" s="1"/>
      <c r="B1921" s="3">
        <v>45096</v>
      </c>
      <c r="C1921" s="4">
        <v>1.07</v>
      </c>
      <c r="D1921" s="4">
        <v>1.07</v>
      </c>
      <c r="E1921" s="4">
        <v>1252</v>
      </c>
      <c r="F1921" s="4">
        <v>1.07</v>
      </c>
      <c r="G1921" s="4">
        <v>1339.64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1.08</v>
      </c>
      <c r="D1922" s="4">
        <v>1.08</v>
      </c>
      <c r="E1922" s="4">
        <v>111</v>
      </c>
      <c r="F1922" s="4">
        <v>1.08</v>
      </c>
      <c r="G1922" s="4">
        <v>119.88</v>
      </c>
      <c r="H1922" s="5">
        <f t="shared" si="29"/>
        <v>9.3457943925233725E-3</v>
      </c>
    </row>
    <row r="1923" spans="1:8" ht="13.5" x14ac:dyDescent="0.25">
      <c r="A1923" s="1"/>
      <c r="B1923" s="3">
        <v>45098</v>
      </c>
      <c r="C1923" s="4">
        <v>1.0900000000000001</v>
      </c>
      <c r="D1923" s="4">
        <v>1.0900000000000001</v>
      </c>
      <c r="E1923" s="4">
        <v>13</v>
      </c>
      <c r="F1923" s="4">
        <v>1.0900000000000001</v>
      </c>
      <c r="G1923" s="4">
        <v>14.17</v>
      </c>
      <c r="H1923" s="5">
        <f t="shared" si="29"/>
        <v>9.2592592592592674E-3</v>
      </c>
    </row>
    <row r="1924" spans="1:8" ht="13.5" x14ac:dyDescent="0.25">
      <c r="A1924" s="1"/>
      <c r="B1924" s="3">
        <v>45099</v>
      </c>
      <c r="C1924" s="4">
        <v>1.0900000000000001</v>
      </c>
      <c r="D1924" s="4">
        <v>1.0900000000000001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1.0900000000000001</v>
      </c>
      <c r="D1925" s="4">
        <v>1.0900000000000001</v>
      </c>
      <c r="E1925" s="4">
        <v>0</v>
      </c>
      <c r="F1925" s="4">
        <v>0</v>
      </c>
      <c r="G1925" s="4">
        <v>0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1.0900000000000001</v>
      </c>
      <c r="D1926" s="4">
        <v>1.0900000000000001</v>
      </c>
      <c r="E1926" s="4">
        <v>30</v>
      </c>
      <c r="F1926" s="4">
        <v>1.0900000000000001</v>
      </c>
      <c r="G1926" s="4">
        <v>32.700000000000003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1.07</v>
      </c>
      <c r="D1927" s="4">
        <v>1.07</v>
      </c>
      <c r="E1927" s="4">
        <v>4</v>
      </c>
      <c r="F1927" s="4">
        <v>1.07</v>
      </c>
      <c r="G1927" s="4">
        <v>4.28</v>
      </c>
      <c r="H1927" s="5">
        <f t="shared" ref="H1927:H1990" si="30">(D1927-D1926)/D1926</f>
        <v>-1.8348623853211024E-2</v>
      </c>
    </row>
    <row r="1928" spans="1:8" ht="13.5" x14ac:dyDescent="0.25">
      <c r="A1928" s="1"/>
      <c r="B1928" s="3">
        <v>45107</v>
      </c>
      <c r="C1928" s="4">
        <v>1.07</v>
      </c>
      <c r="D1928" s="4">
        <v>1.07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1.0900000000000001</v>
      </c>
      <c r="D1929" s="4">
        <v>1.0900000000000001</v>
      </c>
      <c r="E1929" s="4">
        <v>692</v>
      </c>
      <c r="F1929" s="4">
        <v>1.0760000000000001</v>
      </c>
      <c r="G1929" s="4">
        <v>744.59199999999998</v>
      </c>
      <c r="H1929" s="5">
        <f t="shared" si="30"/>
        <v>1.8691588785046745E-2</v>
      </c>
    </row>
    <row r="1930" spans="1:8" ht="13.5" x14ac:dyDescent="0.25">
      <c r="A1930" s="1"/>
      <c r="B1930" s="3">
        <v>45111</v>
      </c>
      <c r="C1930" s="4">
        <v>1.07</v>
      </c>
      <c r="D1930" s="4">
        <v>1.07</v>
      </c>
      <c r="E1930" s="4">
        <v>1307</v>
      </c>
      <c r="F1930" s="4">
        <v>1.07</v>
      </c>
      <c r="G1930" s="4">
        <v>1398.49</v>
      </c>
      <c r="H1930" s="5">
        <f t="shared" si="30"/>
        <v>-1.8348623853211024E-2</v>
      </c>
    </row>
    <row r="1931" spans="1:8" ht="13.5" x14ac:dyDescent="0.25">
      <c r="A1931" s="1"/>
      <c r="B1931" s="3">
        <v>45112</v>
      </c>
      <c r="C1931" s="4">
        <v>1.08</v>
      </c>
      <c r="D1931" s="4">
        <v>1.08</v>
      </c>
      <c r="E1931" s="4">
        <v>420</v>
      </c>
      <c r="F1931" s="4">
        <v>1.073</v>
      </c>
      <c r="G1931" s="4">
        <v>450.66</v>
      </c>
      <c r="H1931" s="5">
        <f t="shared" si="30"/>
        <v>9.3457943925233725E-3</v>
      </c>
    </row>
    <row r="1932" spans="1:8" ht="13.5" x14ac:dyDescent="0.25">
      <c r="A1932" s="1"/>
      <c r="B1932" s="3">
        <v>45113</v>
      </c>
      <c r="C1932" s="4">
        <v>1.08</v>
      </c>
      <c r="D1932" s="4">
        <v>1.08</v>
      </c>
      <c r="E1932" s="4">
        <v>778</v>
      </c>
      <c r="F1932" s="4">
        <v>1.08</v>
      </c>
      <c r="G1932" s="4">
        <v>840.24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1.08</v>
      </c>
      <c r="D1933" s="4">
        <v>1.08</v>
      </c>
      <c r="E1933" s="4">
        <v>7</v>
      </c>
      <c r="F1933" s="4">
        <v>1.08</v>
      </c>
      <c r="G1933" s="4">
        <v>7.56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1.08</v>
      </c>
      <c r="D1934" s="4">
        <v>1.08</v>
      </c>
      <c r="E1934" s="4">
        <v>4</v>
      </c>
      <c r="F1934" s="4">
        <v>1.08</v>
      </c>
      <c r="G1934" s="4">
        <v>4.32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1.08</v>
      </c>
      <c r="D1935" s="4">
        <v>1.08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1.08</v>
      </c>
      <c r="D1936" s="4">
        <v>1.08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1.08</v>
      </c>
      <c r="D1937" s="4">
        <v>1.08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1.08</v>
      </c>
      <c r="D1938" s="4">
        <v>1.08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1.08</v>
      </c>
      <c r="D1939" s="4">
        <v>1.08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1.08</v>
      </c>
      <c r="D1940" s="4">
        <v>1.08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1.08</v>
      </c>
      <c r="D1941" s="4">
        <v>1.08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1.07</v>
      </c>
      <c r="D1942" s="4">
        <v>1.07</v>
      </c>
      <c r="E1942" s="4">
        <v>30</v>
      </c>
      <c r="F1942" s="4">
        <v>1.07</v>
      </c>
      <c r="G1942" s="4">
        <v>32.1</v>
      </c>
      <c r="H1942" s="5">
        <f t="shared" si="30"/>
        <v>-9.2592592592592674E-3</v>
      </c>
    </row>
    <row r="1943" spans="1:8" ht="13.5" x14ac:dyDescent="0.25">
      <c r="A1943" s="1"/>
      <c r="B1943" s="3">
        <v>45131</v>
      </c>
      <c r="C1943" s="4">
        <v>1.07</v>
      </c>
      <c r="D1943" s="4">
        <v>1.07</v>
      </c>
      <c r="E1943" s="4">
        <v>45</v>
      </c>
      <c r="F1943" s="4">
        <v>1.07</v>
      </c>
      <c r="G1943" s="4">
        <v>48.15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1.07</v>
      </c>
      <c r="D1944" s="4">
        <v>1.07</v>
      </c>
      <c r="E1944" s="4">
        <v>300</v>
      </c>
      <c r="F1944" s="4">
        <v>1.07</v>
      </c>
      <c r="G1944" s="4">
        <v>321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1.07</v>
      </c>
      <c r="D1945" s="4">
        <v>1.07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1.07</v>
      </c>
      <c r="D1946" s="4">
        <v>1.07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1.07</v>
      </c>
      <c r="D1947" s="4">
        <v>1.07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1.05</v>
      </c>
      <c r="D1948" s="4">
        <v>1.05</v>
      </c>
      <c r="E1948" s="4">
        <v>207</v>
      </c>
      <c r="F1948" s="4">
        <v>1.05</v>
      </c>
      <c r="G1948" s="4">
        <v>217.35</v>
      </c>
      <c r="H1948" s="5">
        <f t="shared" si="30"/>
        <v>-1.8691588785046745E-2</v>
      </c>
    </row>
    <row r="1949" spans="1:8" ht="13.5" x14ac:dyDescent="0.25">
      <c r="A1949" s="1"/>
      <c r="B1949" s="3">
        <v>45140</v>
      </c>
      <c r="C1949" s="4">
        <v>1.05</v>
      </c>
      <c r="D1949" s="4">
        <v>1.05</v>
      </c>
      <c r="E1949" s="4">
        <v>0</v>
      </c>
      <c r="F1949" s="4">
        <v>0</v>
      </c>
      <c r="G1949" s="4">
        <v>0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1.05</v>
      </c>
      <c r="D1950" s="4">
        <v>1.05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1.05</v>
      </c>
      <c r="D1951" s="4">
        <v>1.05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1.05</v>
      </c>
      <c r="D1952" s="4">
        <v>1.05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1.05</v>
      </c>
      <c r="D1953" s="4">
        <v>1.05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1.05</v>
      </c>
      <c r="D1954" s="4">
        <v>1.05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1.05</v>
      </c>
      <c r="D1955" s="4">
        <v>1.05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1.05</v>
      </c>
      <c r="D1956" s="4">
        <v>1.05</v>
      </c>
      <c r="E1956" s="4">
        <v>3</v>
      </c>
      <c r="F1956" s="4">
        <v>1.05</v>
      </c>
      <c r="G1956" s="4">
        <v>3.15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1.05</v>
      </c>
      <c r="D1957" s="4">
        <v>1.05</v>
      </c>
      <c r="E1957" s="4">
        <v>14</v>
      </c>
      <c r="F1957" s="4">
        <v>1.05</v>
      </c>
      <c r="G1957" s="4">
        <v>14.7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1.04</v>
      </c>
      <c r="D1958" s="4">
        <v>1.04</v>
      </c>
      <c r="E1958" s="4">
        <v>3</v>
      </c>
      <c r="F1958" s="4">
        <v>1.04</v>
      </c>
      <c r="G1958" s="4">
        <v>3.12</v>
      </c>
      <c r="H1958" s="5">
        <f t="shared" si="30"/>
        <v>-9.5238095238095316E-3</v>
      </c>
    </row>
    <row r="1959" spans="1:8" ht="13.5" x14ac:dyDescent="0.25">
      <c r="A1959" s="1"/>
      <c r="B1959" s="3">
        <v>45154</v>
      </c>
      <c r="C1959" s="4">
        <v>1.04</v>
      </c>
      <c r="D1959" s="4">
        <v>1.04</v>
      </c>
      <c r="E1959" s="4">
        <v>565</v>
      </c>
      <c r="F1959" s="4">
        <v>1.04</v>
      </c>
      <c r="G1959" s="4">
        <v>587.6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1.05</v>
      </c>
      <c r="D1960" s="4">
        <v>1.05</v>
      </c>
      <c r="E1960" s="4">
        <v>107</v>
      </c>
      <c r="F1960" s="4">
        <v>1.05</v>
      </c>
      <c r="G1960" s="4">
        <v>112.35</v>
      </c>
      <c r="H1960" s="5">
        <f t="shared" si="30"/>
        <v>9.6153846153846229E-3</v>
      </c>
    </row>
    <row r="1961" spans="1:8" ht="13.5" x14ac:dyDescent="0.25">
      <c r="A1961" s="1"/>
      <c r="B1961" s="3">
        <v>45156</v>
      </c>
      <c r="C1961" s="4">
        <v>1.05</v>
      </c>
      <c r="D1961" s="4">
        <v>1.05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1.05</v>
      </c>
      <c r="D1962" s="4">
        <v>1.05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1.05</v>
      </c>
      <c r="D1963" s="4">
        <v>1.05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1.01</v>
      </c>
      <c r="D1964" s="4">
        <v>1.01</v>
      </c>
      <c r="E1964" s="4">
        <v>65</v>
      </c>
      <c r="F1964" s="4">
        <v>1.01</v>
      </c>
      <c r="G1964" s="4">
        <v>65.650000000000006</v>
      </c>
      <c r="H1964" s="5">
        <f t="shared" si="30"/>
        <v>-3.8095238095238126E-2</v>
      </c>
    </row>
    <row r="1965" spans="1:8" ht="13.5" x14ac:dyDescent="0.25">
      <c r="A1965" s="1"/>
      <c r="B1965" s="3">
        <v>45162</v>
      </c>
      <c r="C1965" s="4">
        <v>1.01</v>
      </c>
      <c r="D1965" s="4">
        <v>1.01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1.01</v>
      </c>
      <c r="D1966" s="4">
        <v>1.01</v>
      </c>
      <c r="E1966" s="4">
        <v>150</v>
      </c>
      <c r="F1966" s="4">
        <v>1.01</v>
      </c>
      <c r="G1966" s="4">
        <v>151.5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1.01</v>
      </c>
      <c r="D1967" s="4">
        <v>1.01</v>
      </c>
      <c r="E1967" s="4">
        <v>180</v>
      </c>
      <c r="F1967" s="4">
        <v>1.01</v>
      </c>
      <c r="G1967" s="4">
        <v>181.8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0.97</v>
      </c>
      <c r="D1968" s="4">
        <v>0.97</v>
      </c>
      <c r="E1968" s="4">
        <v>0</v>
      </c>
      <c r="F1968" s="4">
        <v>0</v>
      </c>
      <c r="G1968" s="4">
        <v>0</v>
      </c>
      <c r="H1968" s="5">
        <f t="shared" si="30"/>
        <v>-3.9603960396039639E-2</v>
      </c>
    </row>
    <row r="1969" spans="1:8" ht="13.5" x14ac:dyDescent="0.25">
      <c r="A1969" s="1"/>
      <c r="B1969" s="3">
        <v>45168</v>
      </c>
      <c r="C1969" s="4">
        <v>0.97</v>
      </c>
      <c r="D1969" s="4">
        <v>0.97</v>
      </c>
      <c r="E1969" s="4">
        <v>725</v>
      </c>
      <c r="F1969" s="4">
        <v>0.97</v>
      </c>
      <c r="G1969" s="4">
        <v>703.25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0.93</v>
      </c>
      <c r="D1970" s="4">
        <v>0.93</v>
      </c>
      <c r="E1970" s="4">
        <v>2117</v>
      </c>
      <c r="F1970" s="4">
        <v>0.93</v>
      </c>
      <c r="G1970" s="4">
        <v>1968.81</v>
      </c>
      <c r="H1970" s="5">
        <f t="shared" si="30"/>
        <v>-4.1237113402061779E-2</v>
      </c>
    </row>
    <row r="1971" spans="1:8" ht="13.5" x14ac:dyDescent="0.25">
      <c r="A1971" s="1"/>
      <c r="B1971" s="3">
        <v>45170</v>
      </c>
      <c r="C1971" s="4">
        <v>0.93</v>
      </c>
      <c r="D1971" s="4">
        <v>0.93</v>
      </c>
      <c r="E1971" s="4">
        <v>2510</v>
      </c>
      <c r="F1971" s="4">
        <v>0.93</v>
      </c>
      <c r="G1971" s="4">
        <v>2334.3000000000002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0.89</v>
      </c>
      <c r="D1972" s="4">
        <v>0.89</v>
      </c>
      <c r="E1972" s="4">
        <v>908</v>
      </c>
      <c r="F1972" s="4">
        <v>0.89</v>
      </c>
      <c r="G1972" s="4">
        <v>808.12</v>
      </c>
      <c r="H1972" s="5">
        <f t="shared" si="30"/>
        <v>-4.3010752688172081E-2</v>
      </c>
    </row>
    <row r="1973" spans="1:8" ht="13.5" x14ac:dyDescent="0.25">
      <c r="A1973" s="1"/>
      <c r="B1973" s="3">
        <v>45174</v>
      </c>
      <c r="C1973" s="4">
        <v>0.89</v>
      </c>
      <c r="D1973" s="4">
        <v>0.89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0.89</v>
      </c>
      <c r="D1974" s="4">
        <v>0.89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0.9</v>
      </c>
      <c r="D1975" s="4">
        <v>0.9</v>
      </c>
      <c r="E1975" s="4">
        <v>600</v>
      </c>
      <c r="F1975" s="4">
        <v>0.9</v>
      </c>
      <c r="G1975" s="4">
        <v>540</v>
      </c>
      <c r="H1975" s="5">
        <f t="shared" si="30"/>
        <v>1.1235955056179785E-2</v>
      </c>
    </row>
    <row r="1976" spans="1:8" ht="13.5" x14ac:dyDescent="0.25">
      <c r="A1976" s="1"/>
      <c r="B1976" s="3">
        <v>45177</v>
      </c>
      <c r="C1976" s="4">
        <v>0.9</v>
      </c>
      <c r="D1976" s="4">
        <v>0.9</v>
      </c>
      <c r="E1976" s="4">
        <v>0</v>
      </c>
      <c r="F1976" s="4">
        <v>0</v>
      </c>
      <c r="G1976" s="4">
        <v>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0.9</v>
      </c>
      <c r="D1977" s="4">
        <v>0.9</v>
      </c>
      <c r="E1977" s="4">
        <v>3691</v>
      </c>
      <c r="F1977" s="4">
        <v>0.9</v>
      </c>
      <c r="G1977" s="4">
        <v>3321.9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0.9</v>
      </c>
      <c r="D1978" s="4">
        <v>0.9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0.9</v>
      </c>
      <c r="D1979" s="4">
        <v>0.9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0.9</v>
      </c>
      <c r="D1980" s="4">
        <v>0.9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0.94</v>
      </c>
      <c r="D1981" s="4">
        <v>0.94</v>
      </c>
      <c r="E1981" s="4">
        <v>158</v>
      </c>
      <c r="F1981" s="4">
        <v>0.94</v>
      </c>
      <c r="G1981" s="4">
        <v>148.52000000000001</v>
      </c>
      <c r="H1981" s="5">
        <f t="shared" si="30"/>
        <v>4.4444444444444363E-2</v>
      </c>
    </row>
    <row r="1982" spans="1:8" ht="13.5" x14ac:dyDescent="0.25">
      <c r="A1982" s="1"/>
      <c r="B1982" s="3">
        <v>45187</v>
      </c>
      <c r="C1982" s="4">
        <v>0.94</v>
      </c>
      <c r="D1982" s="4">
        <v>0.94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0.94</v>
      </c>
      <c r="D1983" s="4">
        <v>0.94</v>
      </c>
      <c r="E1983" s="4">
        <v>9</v>
      </c>
      <c r="F1983" s="4">
        <v>0.94</v>
      </c>
      <c r="G1983" s="4">
        <v>8.4600000000000009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0.94</v>
      </c>
      <c r="D1984" s="4">
        <v>0.94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0.92</v>
      </c>
      <c r="D1985" s="4">
        <v>0.92</v>
      </c>
      <c r="E1985" s="4">
        <v>10</v>
      </c>
      <c r="F1985" s="4">
        <v>0.92</v>
      </c>
      <c r="G1985" s="4">
        <v>9.1999999999999993</v>
      </c>
      <c r="H1985" s="5">
        <f t="shared" si="30"/>
        <v>-2.1276595744680753E-2</v>
      </c>
    </row>
    <row r="1986" spans="1:8" ht="13.5" x14ac:dyDescent="0.25">
      <c r="A1986" s="1"/>
      <c r="B1986" s="3">
        <v>45191</v>
      </c>
      <c r="C1986" s="4">
        <v>0.89</v>
      </c>
      <c r="D1986" s="4">
        <v>0.89</v>
      </c>
      <c r="E1986" s="4">
        <v>2000</v>
      </c>
      <c r="F1986" s="4">
        <v>0.89</v>
      </c>
      <c r="G1986" s="4">
        <v>1780</v>
      </c>
      <c r="H1986" s="5">
        <f t="shared" si="30"/>
        <v>-3.260869565217394E-2</v>
      </c>
    </row>
    <row r="1987" spans="1:8" ht="13.5" x14ac:dyDescent="0.25">
      <c r="A1987" s="1"/>
      <c r="B1987" s="3">
        <v>45194</v>
      </c>
      <c r="C1987" s="4">
        <v>0.86</v>
      </c>
      <c r="D1987" s="4">
        <v>0.86</v>
      </c>
      <c r="E1987" s="4">
        <v>31</v>
      </c>
      <c r="F1987" s="4">
        <v>0.86</v>
      </c>
      <c r="G1987" s="4">
        <v>26.66</v>
      </c>
      <c r="H1987" s="5">
        <f t="shared" si="30"/>
        <v>-3.3707865168539353E-2</v>
      </c>
    </row>
    <row r="1988" spans="1:8" ht="13.5" x14ac:dyDescent="0.25">
      <c r="A1988" s="1"/>
      <c r="B1988" s="3">
        <v>45195</v>
      </c>
      <c r="C1988" s="4">
        <v>0.89</v>
      </c>
      <c r="D1988" s="4">
        <v>0.89</v>
      </c>
      <c r="E1988" s="4">
        <v>2000</v>
      </c>
      <c r="F1988" s="4">
        <v>0.89</v>
      </c>
      <c r="G1988" s="4">
        <v>1780</v>
      </c>
      <c r="H1988" s="5">
        <f t="shared" si="30"/>
        <v>3.4883720930232592E-2</v>
      </c>
    </row>
    <row r="1989" spans="1:8" ht="13.5" x14ac:dyDescent="0.25">
      <c r="A1989" s="1"/>
      <c r="B1989" s="3">
        <v>45197</v>
      </c>
      <c r="C1989" s="4">
        <v>0.89</v>
      </c>
      <c r="D1989" s="4">
        <v>0.89</v>
      </c>
      <c r="E1989" s="4">
        <v>25</v>
      </c>
      <c r="F1989" s="4">
        <v>0.89</v>
      </c>
      <c r="G1989" s="4">
        <v>22.25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0.89</v>
      </c>
      <c r="D1990" s="4">
        <v>0.89</v>
      </c>
      <c r="E1990" s="4">
        <v>44</v>
      </c>
      <c r="F1990" s="4">
        <v>0.89</v>
      </c>
      <c r="G1990" s="4">
        <v>39.159999999999997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0.89</v>
      </c>
      <c r="D1991" s="4">
        <v>0.89</v>
      </c>
      <c r="E1991" s="4">
        <v>25</v>
      </c>
      <c r="F1991" s="4">
        <v>0.89</v>
      </c>
      <c r="G1991" s="4">
        <v>22.25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0.89</v>
      </c>
      <c r="D1992" s="4">
        <v>0.89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0.89</v>
      </c>
      <c r="D1993" s="4">
        <v>0.89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0.89</v>
      </c>
      <c r="D1994" s="4">
        <v>0.89</v>
      </c>
      <c r="E1994" s="4">
        <v>0</v>
      </c>
      <c r="F1994" s="4">
        <v>0</v>
      </c>
      <c r="G1994" s="4">
        <v>0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0.89</v>
      </c>
      <c r="D1995" s="4">
        <v>0.89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0.89</v>
      </c>
      <c r="D1996" s="4">
        <v>0.89</v>
      </c>
      <c r="E1996" s="4">
        <v>200</v>
      </c>
      <c r="F1996" s="4">
        <v>0.89</v>
      </c>
      <c r="G1996" s="4">
        <v>178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0.89</v>
      </c>
      <c r="D1997" s="4">
        <v>0.89</v>
      </c>
      <c r="E1997" s="4">
        <v>84</v>
      </c>
      <c r="F1997" s="4">
        <v>0.89500000000000002</v>
      </c>
      <c r="G1997" s="4">
        <v>75.180000000000007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0.89</v>
      </c>
      <c r="D1998" s="4">
        <v>0.89</v>
      </c>
      <c r="E1998" s="4">
        <v>5</v>
      </c>
      <c r="F1998" s="4">
        <v>0.89</v>
      </c>
      <c r="G1998" s="4">
        <v>4.45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0.89</v>
      </c>
      <c r="D1999" s="4">
        <v>0.89</v>
      </c>
      <c r="E1999" s="4">
        <v>13</v>
      </c>
      <c r="F1999" s="4">
        <v>0.89</v>
      </c>
      <c r="G1999" s="4">
        <v>11.57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0.89</v>
      </c>
      <c r="D2000" s="4">
        <v>0.89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0.89</v>
      </c>
      <c r="D2001" s="4">
        <v>0.89</v>
      </c>
      <c r="E2001" s="4">
        <v>11</v>
      </c>
      <c r="F2001" s="4">
        <v>0.89</v>
      </c>
      <c r="G2001" s="4">
        <v>9.7899999999999991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0.89</v>
      </c>
      <c r="D2002" s="4">
        <v>0.89</v>
      </c>
      <c r="E2002" s="4">
        <v>0</v>
      </c>
      <c r="F2002" s="4">
        <v>0</v>
      </c>
      <c r="G2002" s="4">
        <v>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0.89</v>
      </c>
      <c r="D2003" s="4">
        <v>0.89</v>
      </c>
      <c r="E2003" s="4">
        <v>11</v>
      </c>
      <c r="F2003" s="4">
        <v>0.89</v>
      </c>
      <c r="G2003" s="4">
        <v>9.7899999999999991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0.89</v>
      </c>
      <c r="D2004" s="4">
        <v>0.89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0.85</v>
      </c>
      <c r="D2005" s="4">
        <v>0.85</v>
      </c>
      <c r="E2005" s="4">
        <v>1299</v>
      </c>
      <c r="F2005" s="4">
        <v>0.85</v>
      </c>
      <c r="G2005" s="4">
        <v>1104.1500000000001</v>
      </c>
      <c r="H2005" s="5">
        <f t="shared" si="31"/>
        <v>-4.4943820224719142E-2</v>
      </c>
    </row>
    <row r="2006" spans="1:8" ht="13.5" x14ac:dyDescent="0.25">
      <c r="A2006" s="1"/>
      <c r="B2006" s="3">
        <v>45222</v>
      </c>
      <c r="C2006" s="4">
        <v>0.85</v>
      </c>
      <c r="D2006" s="4">
        <v>0.85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0.85</v>
      </c>
      <c r="D2007" s="4">
        <v>0.85</v>
      </c>
      <c r="E2007" s="4">
        <v>2634</v>
      </c>
      <c r="F2007" s="4">
        <v>0.85</v>
      </c>
      <c r="G2007" s="4">
        <v>2238.9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0.85</v>
      </c>
      <c r="D2008" s="4">
        <v>0.85</v>
      </c>
      <c r="E2008" s="4">
        <v>17</v>
      </c>
      <c r="F2008" s="4">
        <v>0.85</v>
      </c>
      <c r="G2008" s="4">
        <v>14.45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0.85</v>
      </c>
      <c r="D2009" s="4">
        <v>0.85</v>
      </c>
      <c r="E2009" s="4">
        <v>3879</v>
      </c>
      <c r="F2009" s="4">
        <v>0.85</v>
      </c>
      <c r="G2009" s="4">
        <v>3297.15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0.88</v>
      </c>
      <c r="D2010" s="4">
        <v>0.88</v>
      </c>
      <c r="E2010" s="4">
        <v>64</v>
      </c>
      <c r="F2010" s="4">
        <v>0.88</v>
      </c>
      <c r="G2010" s="4">
        <v>56.32</v>
      </c>
      <c r="H2010" s="5">
        <f t="shared" si="31"/>
        <v>3.5294117647058858E-2</v>
      </c>
    </row>
    <row r="2011" spans="1:8" ht="13.5" x14ac:dyDescent="0.25">
      <c r="A2011" s="1"/>
      <c r="B2011" s="3">
        <v>45229</v>
      </c>
      <c r="C2011" s="4">
        <v>0.88</v>
      </c>
      <c r="D2011" s="4">
        <v>0.88</v>
      </c>
      <c r="E2011" s="4">
        <v>0</v>
      </c>
      <c r="F2011" s="4">
        <v>0</v>
      </c>
      <c r="G2011" s="4">
        <v>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0.88</v>
      </c>
      <c r="D2012" s="4">
        <v>0.88</v>
      </c>
      <c r="E2012" s="4">
        <v>75</v>
      </c>
      <c r="F2012" s="4">
        <v>0.88</v>
      </c>
      <c r="G2012" s="4">
        <v>66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0.88</v>
      </c>
      <c r="D2013" s="4">
        <v>0.88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0.88</v>
      </c>
      <c r="D2014" s="4">
        <v>0.88</v>
      </c>
      <c r="E2014" s="4">
        <v>2</v>
      </c>
      <c r="F2014" s="4">
        <v>0.88</v>
      </c>
      <c r="G2014" s="4">
        <v>1.76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0.85</v>
      </c>
      <c r="D2015" s="4">
        <v>0.85</v>
      </c>
      <c r="E2015" s="4">
        <v>856</v>
      </c>
      <c r="F2015" s="4">
        <v>0.85</v>
      </c>
      <c r="G2015" s="4">
        <v>727.6</v>
      </c>
      <c r="H2015" s="5">
        <f t="shared" si="31"/>
        <v>-3.4090909090909123E-2</v>
      </c>
    </row>
    <row r="2016" spans="1:8" ht="13.5" x14ac:dyDescent="0.25">
      <c r="A2016" s="1"/>
      <c r="B2016" s="3">
        <v>45236</v>
      </c>
      <c r="C2016" s="4">
        <v>0.85</v>
      </c>
      <c r="D2016" s="4">
        <v>0.85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0.84</v>
      </c>
      <c r="D2017" s="4">
        <v>0.84</v>
      </c>
      <c r="E2017" s="4">
        <v>246</v>
      </c>
      <c r="F2017" s="4">
        <v>0.84199999999999997</v>
      </c>
      <c r="G2017" s="4">
        <v>207.13200000000001</v>
      </c>
      <c r="H2017" s="5">
        <f t="shared" si="31"/>
        <v>-1.1764705882352951E-2</v>
      </c>
    </row>
    <row r="2018" spans="1:8" ht="13.5" x14ac:dyDescent="0.25">
      <c r="A2018" s="1"/>
      <c r="B2018" s="3">
        <v>45238</v>
      </c>
      <c r="C2018" s="4">
        <v>0.84</v>
      </c>
      <c r="D2018" s="4">
        <v>0.84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0.84</v>
      </c>
      <c r="D2019" s="4">
        <v>0.84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0.84</v>
      </c>
      <c r="D2020" s="4">
        <v>0.84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0.84</v>
      </c>
      <c r="D2021" s="4">
        <v>0.84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0.87</v>
      </c>
      <c r="D2022" s="4">
        <v>0.87</v>
      </c>
      <c r="E2022" s="4">
        <v>2</v>
      </c>
      <c r="F2022" s="4">
        <v>0.87</v>
      </c>
      <c r="G2022" s="4">
        <v>1.74</v>
      </c>
      <c r="H2022" s="5">
        <f t="shared" si="31"/>
        <v>3.5714285714285747E-2</v>
      </c>
    </row>
    <row r="2023" spans="1:8" ht="13.5" x14ac:dyDescent="0.25">
      <c r="A2023" s="1"/>
      <c r="B2023" s="3">
        <v>45245</v>
      </c>
      <c r="C2023" s="4">
        <v>0.87</v>
      </c>
      <c r="D2023" s="4">
        <v>0.87</v>
      </c>
      <c r="E2023" s="4">
        <v>0</v>
      </c>
      <c r="F2023" s="4">
        <v>0</v>
      </c>
      <c r="G2023" s="4">
        <v>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0.87</v>
      </c>
      <c r="D2024" s="4">
        <v>0.87</v>
      </c>
      <c r="E2024" s="4">
        <v>11</v>
      </c>
      <c r="F2024" s="4">
        <v>0.87</v>
      </c>
      <c r="G2024" s="4">
        <v>9.57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0.89</v>
      </c>
      <c r="D2025" s="4">
        <v>0.89</v>
      </c>
      <c r="E2025" s="4">
        <v>937</v>
      </c>
      <c r="F2025" s="4">
        <v>0.87</v>
      </c>
      <c r="G2025" s="4">
        <v>815.19</v>
      </c>
      <c r="H2025" s="5">
        <f t="shared" si="31"/>
        <v>2.2988505747126457E-2</v>
      </c>
    </row>
    <row r="2026" spans="1:8" ht="13.5" x14ac:dyDescent="0.25">
      <c r="A2026" s="1"/>
      <c r="B2026" s="3">
        <v>45250</v>
      </c>
      <c r="C2026" s="4">
        <v>0.89</v>
      </c>
      <c r="D2026" s="4">
        <v>0.89</v>
      </c>
      <c r="E2026" s="4">
        <v>135</v>
      </c>
      <c r="F2026" s="4">
        <v>0.89</v>
      </c>
      <c r="G2026" s="4">
        <v>120.15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0.89</v>
      </c>
      <c r="D2027" s="4">
        <v>0.89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0.89</v>
      </c>
      <c r="D2028" s="4">
        <v>0.89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0.89</v>
      </c>
      <c r="D2029" s="4">
        <v>0.89</v>
      </c>
      <c r="E2029" s="4">
        <v>5</v>
      </c>
      <c r="F2029" s="4">
        <v>0.89</v>
      </c>
      <c r="G2029" s="4">
        <v>4.45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0.89</v>
      </c>
      <c r="D2030" s="4">
        <v>0.89</v>
      </c>
      <c r="E2030" s="4">
        <v>0</v>
      </c>
      <c r="F2030" s="4">
        <v>0</v>
      </c>
      <c r="G2030" s="4">
        <v>0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0.88</v>
      </c>
      <c r="D2031" s="4">
        <v>0.88</v>
      </c>
      <c r="E2031" s="4">
        <v>148</v>
      </c>
      <c r="F2031" s="4">
        <v>0.88</v>
      </c>
      <c r="G2031" s="4">
        <v>130.24</v>
      </c>
      <c r="H2031" s="5">
        <f t="shared" si="31"/>
        <v>-1.1235955056179785E-2</v>
      </c>
    </row>
    <row r="2032" spans="1:8" ht="13.5" x14ac:dyDescent="0.25">
      <c r="A2032" s="1"/>
      <c r="B2032" s="3">
        <v>45258</v>
      </c>
      <c r="C2032" s="4">
        <v>0.88</v>
      </c>
      <c r="D2032" s="4">
        <v>0.88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0.88</v>
      </c>
      <c r="D2033" s="4">
        <v>0.88</v>
      </c>
      <c r="E2033" s="4">
        <v>0</v>
      </c>
      <c r="F2033" s="4">
        <v>0</v>
      </c>
      <c r="G2033" s="4">
        <v>0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0.88</v>
      </c>
      <c r="D2034" s="4">
        <v>0.88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0.88</v>
      </c>
      <c r="D2035" s="4">
        <v>0.88</v>
      </c>
      <c r="E2035" s="4">
        <v>6</v>
      </c>
      <c r="F2035" s="4">
        <v>0.88</v>
      </c>
      <c r="G2035" s="4">
        <v>5.28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0.88</v>
      </c>
      <c r="D2036" s="4">
        <v>0.88</v>
      </c>
      <c r="E2036" s="4">
        <v>1673</v>
      </c>
      <c r="F2036" s="4">
        <v>0.88</v>
      </c>
      <c r="G2036" s="4">
        <v>1472.24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0.88</v>
      </c>
      <c r="D2037" s="4">
        <v>0.88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0.85</v>
      </c>
      <c r="D2038" s="4">
        <v>0.85</v>
      </c>
      <c r="E2038" s="4">
        <v>100</v>
      </c>
      <c r="F2038" s="4">
        <v>0.85</v>
      </c>
      <c r="G2038" s="4">
        <v>85</v>
      </c>
      <c r="H2038" s="5">
        <f t="shared" si="31"/>
        <v>-3.4090909090909123E-2</v>
      </c>
    </row>
    <row r="2039" spans="1:8" ht="13.5" x14ac:dyDescent="0.25">
      <c r="A2039" s="1"/>
      <c r="B2039" s="3">
        <v>45267</v>
      </c>
      <c r="C2039" s="4">
        <v>0.85</v>
      </c>
      <c r="D2039" s="4">
        <v>0.85</v>
      </c>
      <c r="E2039" s="4">
        <v>60</v>
      </c>
      <c r="F2039" s="4">
        <v>0.85</v>
      </c>
      <c r="G2039" s="4">
        <v>51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0.85</v>
      </c>
      <c r="D2040" s="4">
        <v>0.85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0.85</v>
      </c>
      <c r="D2041" s="4">
        <v>0.85</v>
      </c>
      <c r="E2041" s="4">
        <v>297</v>
      </c>
      <c r="F2041" s="4">
        <v>0.85</v>
      </c>
      <c r="G2041" s="4">
        <v>252.45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0.85</v>
      </c>
      <c r="D2042" s="4">
        <v>0.85</v>
      </c>
      <c r="E2042" s="4">
        <v>376</v>
      </c>
      <c r="F2042" s="4">
        <v>0.85</v>
      </c>
      <c r="G2042" s="4">
        <v>319.60000000000002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0.85</v>
      </c>
      <c r="D2043" s="4">
        <v>0.85</v>
      </c>
      <c r="E2043" s="4">
        <v>15</v>
      </c>
      <c r="F2043" s="4">
        <v>0.85</v>
      </c>
      <c r="G2043" s="4">
        <v>12.75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0.85</v>
      </c>
      <c r="D2044" s="4">
        <v>0.85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0.85</v>
      </c>
      <c r="D2045" s="4">
        <v>0.85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0.88</v>
      </c>
      <c r="D2046" s="4">
        <v>0.88</v>
      </c>
      <c r="E2046" s="4">
        <v>0</v>
      </c>
      <c r="F2046" s="4">
        <v>0</v>
      </c>
      <c r="G2046" s="4">
        <v>0</v>
      </c>
      <c r="H2046" s="5">
        <f t="shared" si="31"/>
        <v>3.5294117647058858E-2</v>
      </c>
    </row>
    <row r="2047" spans="1:8" ht="13.5" x14ac:dyDescent="0.25">
      <c r="A2047" s="1"/>
      <c r="B2047" s="3">
        <v>45279</v>
      </c>
      <c r="C2047" s="4">
        <v>0.9</v>
      </c>
      <c r="D2047" s="4">
        <v>0.9</v>
      </c>
      <c r="E2047" s="4">
        <v>204</v>
      </c>
      <c r="F2047" s="4">
        <v>0.89600000000000002</v>
      </c>
      <c r="G2047" s="4">
        <v>182.78399999999999</v>
      </c>
      <c r="H2047" s="5">
        <f t="shared" si="31"/>
        <v>2.2727272727272749E-2</v>
      </c>
    </row>
    <row r="2048" spans="1:8" ht="13.5" x14ac:dyDescent="0.25">
      <c r="A2048" s="1"/>
      <c r="B2048" s="3">
        <v>45280</v>
      </c>
      <c r="C2048" s="4">
        <v>0.9</v>
      </c>
      <c r="D2048" s="4">
        <v>0.9</v>
      </c>
      <c r="E2048" s="4">
        <v>0</v>
      </c>
      <c r="F2048" s="4">
        <v>0</v>
      </c>
      <c r="G2048" s="4">
        <v>0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0.9</v>
      </c>
      <c r="D2049" s="4">
        <v>0.9</v>
      </c>
      <c r="E2049" s="4">
        <v>134</v>
      </c>
      <c r="F2049" s="4">
        <v>0.9</v>
      </c>
      <c r="G2049" s="4">
        <v>120.6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0.9</v>
      </c>
      <c r="D2050" s="4">
        <v>0.9</v>
      </c>
      <c r="E2050" s="4">
        <v>20</v>
      </c>
      <c r="F2050" s="4">
        <v>0.9</v>
      </c>
      <c r="G2050" s="4">
        <v>18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0.9</v>
      </c>
      <c r="D2051" s="4">
        <v>0.9</v>
      </c>
      <c r="E2051" s="4">
        <v>0</v>
      </c>
      <c r="F2051" s="4">
        <v>0</v>
      </c>
      <c r="G2051" s="4">
        <v>0</v>
      </c>
      <c r="H2051" s="5">
        <f t="shared" si="31"/>
        <v>0</v>
      </c>
    </row>
    <row r="2052" spans="1:8" ht="13.5" x14ac:dyDescent="0.25">
      <c r="A2052" s="1"/>
      <c r="B2052" s="3">
        <v>45286</v>
      </c>
      <c r="C2052" s="4">
        <v>0.9</v>
      </c>
      <c r="D2052" s="4">
        <v>0.9</v>
      </c>
      <c r="E2052" s="4">
        <v>0</v>
      </c>
      <c r="F2052" s="4">
        <v>0</v>
      </c>
      <c r="G2052" s="4">
        <v>0</v>
      </c>
      <c r="H2052" s="5">
        <f t="shared" si="31"/>
        <v>0</v>
      </c>
    </row>
    <row r="2053" spans="1:8" ht="13.5" x14ac:dyDescent="0.25">
      <c r="A2053" s="1"/>
      <c r="B2053" s="3">
        <v>45287</v>
      </c>
      <c r="C2053" s="4">
        <v>0.9</v>
      </c>
      <c r="D2053" s="4">
        <v>0.9</v>
      </c>
      <c r="E2053" s="4">
        <v>934</v>
      </c>
      <c r="F2053" s="4">
        <v>0.9</v>
      </c>
      <c r="G2053" s="4">
        <v>840.6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0.9</v>
      </c>
      <c r="D2054" s="4">
        <v>0.9</v>
      </c>
      <c r="E2054" s="4">
        <v>266</v>
      </c>
      <c r="F2054" s="4">
        <v>0.9</v>
      </c>
      <c r="G2054" s="4">
        <v>239.4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0.94</v>
      </c>
      <c r="D2055" s="4">
        <v>0.94</v>
      </c>
      <c r="E2055" s="4">
        <v>13</v>
      </c>
      <c r="F2055" s="4">
        <v>0.94</v>
      </c>
      <c r="G2055" s="4">
        <v>12.22</v>
      </c>
      <c r="H2055" s="5">
        <f t="shared" ref="H2055:H2118" si="32">(D2055-D2054)/D2054</f>
        <v>4.4444444444444363E-2</v>
      </c>
    </row>
    <row r="2056" spans="1:8" ht="13.5" x14ac:dyDescent="0.25">
      <c r="A2056" s="1"/>
      <c r="B2056" s="3">
        <v>45293</v>
      </c>
      <c r="C2056" s="4">
        <v>0.9</v>
      </c>
      <c r="D2056" s="4">
        <v>0.9</v>
      </c>
      <c r="E2056" s="4">
        <v>700</v>
      </c>
      <c r="F2056" s="4">
        <v>0.9</v>
      </c>
      <c r="G2056" s="4">
        <v>630</v>
      </c>
      <c r="H2056" s="5">
        <f t="shared" si="32"/>
        <v>-4.2553191489361625E-2</v>
      </c>
    </row>
    <row r="2057" spans="1:8" ht="13.5" x14ac:dyDescent="0.25">
      <c r="A2057" s="1"/>
      <c r="B2057" s="3">
        <v>45294</v>
      </c>
      <c r="C2057" s="4">
        <v>0.9</v>
      </c>
      <c r="D2057" s="4">
        <v>0.9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0.89</v>
      </c>
      <c r="D2058" s="4">
        <v>0.89</v>
      </c>
      <c r="E2058" s="4">
        <v>2228</v>
      </c>
      <c r="F2058" s="4">
        <v>0.89</v>
      </c>
      <c r="G2058" s="4">
        <v>1982.92</v>
      </c>
      <c r="H2058" s="5">
        <f t="shared" si="32"/>
        <v>-1.111111111111112E-2</v>
      </c>
    </row>
    <row r="2059" spans="1:8" ht="13.5" x14ac:dyDescent="0.25">
      <c r="A2059" s="1"/>
      <c r="B2059" s="3">
        <v>45296</v>
      </c>
      <c r="C2059" s="4">
        <v>0.89</v>
      </c>
      <c r="D2059" s="4">
        <v>0.89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0.89</v>
      </c>
      <c r="D2060" s="4">
        <v>0.89</v>
      </c>
      <c r="E2060" s="4">
        <v>12651</v>
      </c>
      <c r="F2060" s="4">
        <v>0.89</v>
      </c>
      <c r="G2060" s="4">
        <v>11259.39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0.85</v>
      </c>
      <c r="D2061" s="4">
        <v>0.85</v>
      </c>
      <c r="E2061" s="4">
        <v>703</v>
      </c>
      <c r="F2061" s="4">
        <v>0.85</v>
      </c>
      <c r="G2061" s="4">
        <v>597.54999999999995</v>
      </c>
      <c r="H2061" s="5">
        <f t="shared" si="32"/>
        <v>-4.4943820224719142E-2</v>
      </c>
    </row>
    <row r="2062" spans="1:8" ht="13.5" x14ac:dyDescent="0.25">
      <c r="A2062" s="1"/>
      <c r="B2062" s="3">
        <v>45301</v>
      </c>
      <c r="C2062" s="4">
        <v>0.85</v>
      </c>
      <c r="D2062" s="4">
        <v>0.85</v>
      </c>
      <c r="E2062" s="4">
        <v>297</v>
      </c>
      <c r="F2062" s="4">
        <v>0.85</v>
      </c>
      <c r="G2062" s="4">
        <v>252.45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0.85</v>
      </c>
      <c r="D2063" s="4">
        <v>0.85</v>
      </c>
      <c r="E2063" s="4">
        <v>292</v>
      </c>
      <c r="F2063" s="4">
        <v>0.85</v>
      </c>
      <c r="G2063" s="4">
        <v>248.2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0.85</v>
      </c>
      <c r="D2064" s="4">
        <v>0.85</v>
      </c>
      <c r="E2064" s="4">
        <v>1620</v>
      </c>
      <c r="F2064" s="4">
        <v>0.85</v>
      </c>
      <c r="G2064" s="4">
        <v>1377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0.85</v>
      </c>
      <c r="D2065" s="4">
        <v>0.85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0.85</v>
      </c>
      <c r="D2066" s="4">
        <v>0.85</v>
      </c>
      <c r="E2066" s="4">
        <v>12020</v>
      </c>
      <c r="F2066" s="4">
        <v>0.85</v>
      </c>
      <c r="G2066" s="4">
        <v>10217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0.85</v>
      </c>
      <c r="D2067" s="4">
        <v>0.85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0.85</v>
      </c>
      <c r="D2068" s="4">
        <v>0.85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0.82</v>
      </c>
      <c r="D2069" s="4">
        <v>0.82</v>
      </c>
      <c r="E2069" s="4">
        <v>0</v>
      </c>
      <c r="F2069" s="4">
        <v>0</v>
      </c>
      <c r="G2069" s="4">
        <v>0</v>
      </c>
      <c r="H2069" s="5">
        <f t="shared" si="32"/>
        <v>-3.5294117647058858E-2</v>
      </c>
    </row>
    <row r="2070" spans="1:8" ht="13.5" x14ac:dyDescent="0.25">
      <c r="A2070" s="1"/>
      <c r="B2070" s="3">
        <v>45313</v>
      </c>
      <c r="C2070" s="4">
        <v>0.79</v>
      </c>
      <c r="D2070" s="4">
        <v>0.79</v>
      </c>
      <c r="E2070" s="4">
        <v>133</v>
      </c>
      <c r="F2070" s="4">
        <v>0.79</v>
      </c>
      <c r="G2070" s="4">
        <v>105.07</v>
      </c>
      <c r="H2070" s="5">
        <f t="shared" si="32"/>
        <v>-3.6585365853658437E-2</v>
      </c>
    </row>
    <row r="2071" spans="1:8" ht="13.5" x14ac:dyDescent="0.25">
      <c r="A2071" s="1"/>
      <c r="B2071" s="3">
        <v>45314</v>
      </c>
      <c r="C2071" s="4">
        <v>0.76</v>
      </c>
      <c r="D2071" s="4">
        <v>0.76</v>
      </c>
      <c r="E2071" s="4">
        <v>0</v>
      </c>
      <c r="F2071" s="4">
        <v>0</v>
      </c>
      <c r="G2071" s="4">
        <v>0</v>
      </c>
      <c r="H2071" s="5">
        <f t="shared" si="32"/>
        <v>-3.7974683544303826E-2</v>
      </c>
    </row>
    <row r="2072" spans="1:8" ht="13.5" x14ac:dyDescent="0.25">
      <c r="A2072" s="1"/>
      <c r="B2072" s="3">
        <v>45315</v>
      </c>
      <c r="C2072" s="4">
        <v>0.76</v>
      </c>
      <c r="D2072" s="4">
        <v>0.76</v>
      </c>
      <c r="E2072" s="4">
        <v>301</v>
      </c>
      <c r="F2072" s="4">
        <v>0.76</v>
      </c>
      <c r="G2072" s="4">
        <v>228.76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0.76</v>
      </c>
      <c r="D2073" s="4">
        <v>0.76</v>
      </c>
      <c r="E2073" s="4">
        <v>22948</v>
      </c>
      <c r="F2073" s="4">
        <v>0.76</v>
      </c>
      <c r="G2073" s="4">
        <v>17440.48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0.76</v>
      </c>
      <c r="D2074" s="4">
        <v>0.76</v>
      </c>
      <c r="E2074" s="4">
        <v>229</v>
      </c>
      <c r="F2074" s="4">
        <v>0.76</v>
      </c>
      <c r="G2074" s="4">
        <v>174.04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0.76</v>
      </c>
      <c r="D2075" s="4">
        <v>0.76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0.76</v>
      </c>
      <c r="D2076" s="4">
        <v>0.76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0.75</v>
      </c>
      <c r="D2077" s="4">
        <v>0.75</v>
      </c>
      <c r="E2077" s="4">
        <v>40</v>
      </c>
      <c r="F2077" s="4">
        <v>0.75</v>
      </c>
      <c r="G2077" s="4">
        <v>30</v>
      </c>
      <c r="H2077" s="5">
        <f t="shared" si="32"/>
        <v>-1.3157894736842117E-2</v>
      </c>
    </row>
    <row r="2078" spans="1:8" ht="13.5" x14ac:dyDescent="0.25">
      <c r="A2078" s="1"/>
      <c r="B2078" s="3">
        <v>45323</v>
      </c>
      <c r="C2078" s="4">
        <v>0.75</v>
      </c>
      <c r="D2078" s="4">
        <v>0.75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0.75</v>
      </c>
      <c r="D2079" s="4">
        <v>0.75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0.75</v>
      </c>
      <c r="D2080" s="4">
        <v>0.75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0.76</v>
      </c>
      <c r="D2081" s="4">
        <v>0.76</v>
      </c>
      <c r="E2081" s="4">
        <v>5</v>
      </c>
      <c r="F2081" s="4">
        <v>0.76</v>
      </c>
      <c r="G2081" s="4">
        <v>3.8</v>
      </c>
      <c r="H2081" s="5">
        <f t="shared" si="32"/>
        <v>1.3333333333333345E-2</v>
      </c>
    </row>
    <row r="2082" spans="1:8" ht="13.5" x14ac:dyDescent="0.25">
      <c r="A2082" s="1"/>
      <c r="B2082" s="3">
        <v>45329</v>
      </c>
      <c r="C2082" s="4">
        <v>0.76</v>
      </c>
      <c r="D2082" s="4">
        <v>0.76</v>
      </c>
      <c r="E2082" s="4">
        <v>122</v>
      </c>
      <c r="F2082" s="4">
        <v>0.76</v>
      </c>
      <c r="G2082" s="4">
        <v>92.72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0.76</v>
      </c>
      <c r="D2083" s="4">
        <v>0.76</v>
      </c>
      <c r="E2083" s="4">
        <v>283</v>
      </c>
      <c r="F2083" s="4">
        <v>0.76</v>
      </c>
      <c r="G2083" s="4">
        <v>215.08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0.76</v>
      </c>
      <c r="D2084" s="4">
        <v>0.76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0.76</v>
      </c>
      <c r="D2085" s="4">
        <v>0.76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0.73</v>
      </c>
      <c r="D2086" s="4">
        <v>0.73</v>
      </c>
      <c r="E2086" s="4">
        <v>6000</v>
      </c>
      <c r="F2086" s="4">
        <v>0.73</v>
      </c>
      <c r="G2086" s="4">
        <v>4380</v>
      </c>
      <c r="H2086" s="5">
        <f t="shared" si="32"/>
        <v>-3.9473684210526348E-2</v>
      </c>
    </row>
    <row r="2087" spans="1:8" ht="13.5" x14ac:dyDescent="0.25">
      <c r="A2087" s="1"/>
      <c r="B2087" s="3">
        <v>45336</v>
      </c>
      <c r="C2087" s="4">
        <v>0.73</v>
      </c>
      <c r="D2087" s="4">
        <v>0.73</v>
      </c>
      <c r="E2087" s="4">
        <v>0</v>
      </c>
      <c r="F2087" s="4">
        <v>0</v>
      </c>
      <c r="G2087" s="4">
        <v>0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0.73</v>
      </c>
      <c r="D2088" s="4">
        <v>0.73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0.73</v>
      </c>
      <c r="D2089" s="4">
        <v>0.73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0.73</v>
      </c>
      <c r="D2090" s="4">
        <v>0.73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0.7</v>
      </c>
      <c r="D2091" s="4">
        <v>0.7</v>
      </c>
      <c r="E2091" s="4">
        <v>6000</v>
      </c>
      <c r="F2091" s="4">
        <v>0.7</v>
      </c>
      <c r="G2091" s="4">
        <v>4200</v>
      </c>
      <c r="H2091" s="5">
        <f t="shared" si="32"/>
        <v>-4.1095890410958943E-2</v>
      </c>
    </row>
    <row r="2092" spans="1:8" ht="13.5" x14ac:dyDescent="0.25">
      <c r="A2092" s="1"/>
      <c r="B2092" s="3">
        <v>45343</v>
      </c>
      <c r="C2092" s="4">
        <v>0.69</v>
      </c>
      <c r="D2092" s="4">
        <v>0.69</v>
      </c>
      <c r="E2092" s="4">
        <v>800</v>
      </c>
      <c r="F2092" s="4">
        <v>0.69</v>
      </c>
      <c r="G2092" s="4">
        <v>552</v>
      </c>
      <c r="H2092" s="5">
        <f t="shared" si="32"/>
        <v>-1.4285714285714299E-2</v>
      </c>
    </row>
    <row r="2093" spans="1:8" ht="13.5" x14ac:dyDescent="0.25">
      <c r="A2093" s="1"/>
      <c r="B2093" s="3">
        <v>45344</v>
      </c>
      <c r="C2093" s="4">
        <v>0.66</v>
      </c>
      <c r="D2093" s="4">
        <v>0.66</v>
      </c>
      <c r="E2093" s="4">
        <v>9041</v>
      </c>
      <c r="F2093" s="4">
        <v>0.66</v>
      </c>
      <c r="G2093" s="4">
        <v>5967.06</v>
      </c>
      <c r="H2093" s="5">
        <f t="shared" si="32"/>
        <v>-4.3478260869565098E-2</v>
      </c>
    </row>
    <row r="2094" spans="1:8" ht="13.5" x14ac:dyDescent="0.25">
      <c r="A2094" s="1"/>
      <c r="B2094" s="3">
        <v>45345</v>
      </c>
      <c r="C2094" s="4">
        <v>0.64</v>
      </c>
      <c r="D2094" s="4">
        <v>0.64</v>
      </c>
      <c r="E2094" s="4">
        <v>1100</v>
      </c>
      <c r="F2094" s="4">
        <v>0.64</v>
      </c>
      <c r="G2094" s="4">
        <v>704</v>
      </c>
      <c r="H2094" s="5">
        <f t="shared" si="32"/>
        <v>-3.0303030303030328E-2</v>
      </c>
    </row>
    <row r="2095" spans="1:8" ht="13.5" x14ac:dyDescent="0.25">
      <c r="A2095" s="1"/>
      <c r="B2095" s="3">
        <v>45348</v>
      </c>
      <c r="C2095" s="4">
        <v>0.62</v>
      </c>
      <c r="D2095" s="4">
        <v>0.62</v>
      </c>
      <c r="E2095" s="4">
        <v>0</v>
      </c>
      <c r="F2095" s="4">
        <v>0</v>
      </c>
      <c r="G2095" s="4">
        <v>0</v>
      </c>
      <c r="H2095" s="5">
        <f t="shared" si="32"/>
        <v>-3.1250000000000028E-2</v>
      </c>
    </row>
    <row r="2096" spans="1:8" ht="13.5" x14ac:dyDescent="0.25">
      <c r="A2096" s="1"/>
      <c r="B2096" s="3">
        <v>45349</v>
      </c>
      <c r="C2096" s="4">
        <v>0.6</v>
      </c>
      <c r="D2096" s="4">
        <v>0.6</v>
      </c>
      <c r="E2096" s="4">
        <v>39541</v>
      </c>
      <c r="F2096" s="4">
        <v>0.6</v>
      </c>
      <c r="G2096" s="4">
        <v>23724.6</v>
      </c>
      <c r="H2096" s="5">
        <f t="shared" si="32"/>
        <v>-3.2258064516129059E-2</v>
      </c>
    </row>
    <row r="2097" spans="1:8" ht="13.5" x14ac:dyDescent="0.25">
      <c r="A2097" s="1"/>
      <c r="B2097" s="3">
        <v>45350</v>
      </c>
      <c r="C2097" s="4">
        <v>0.62</v>
      </c>
      <c r="D2097" s="4">
        <v>0.62</v>
      </c>
      <c r="E2097" s="4">
        <v>0</v>
      </c>
      <c r="F2097" s="4">
        <v>0</v>
      </c>
      <c r="G2097" s="4">
        <v>0</v>
      </c>
      <c r="H2097" s="5">
        <f t="shared" si="32"/>
        <v>3.3333333333333368E-2</v>
      </c>
    </row>
    <row r="2098" spans="1:8" ht="13.5" x14ac:dyDescent="0.25">
      <c r="A2098" s="1"/>
      <c r="B2098" s="3">
        <v>45351</v>
      </c>
      <c r="C2098" s="4">
        <v>0.64</v>
      </c>
      <c r="D2098" s="4">
        <v>0.64</v>
      </c>
      <c r="E2098" s="4">
        <v>0</v>
      </c>
      <c r="F2098" s="4">
        <v>0</v>
      </c>
      <c r="G2098" s="4">
        <v>0</v>
      </c>
      <c r="H2098" s="5">
        <f t="shared" si="32"/>
        <v>3.2258064516129059E-2</v>
      </c>
    </row>
    <row r="2099" spans="1:8" ht="13.5" x14ac:dyDescent="0.25">
      <c r="A2099" s="1"/>
      <c r="B2099" s="3">
        <v>45352</v>
      </c>
      <c r="C2099" s="4">
        <v>0.66</v>
      </c>
      <c r="D2099" s="4">
        <v>0.66</v>
      </c>
      <c r="E2099" s="4">
        <v>0</v>
      </c>
      <c r="F2099" s="4">
        <v>0</v>
      </c>
      <c r="G2099" s="4">
        <v>0</v>
      </c>
      <c r="H2099" s="5">
        <f t="shared" si="32"/>
        <v>3.1250000000000028E-2</v>
      </c>
    </row>
    <row r="2100" spans="1:8" ht="13.5" x14ac:dyDescent="0.25">
      <c r="A2100" s="1"/>
      <c r="B2100" s="3">
        <v>45355</v>
      </c>
      <c r="C2100" s="4">
        <v>0.68</v>
      </c>
      <c r="D2100" s="4">
        <v>0.68</v>
      </c>
      <c r="E2100" s="4">
        <v>97</v>
      </c>
      <c r="F2100" s="4">
        <v>0.68</v>
      </c>
      <c r="G2100" s="4">
        <v>65.959999999999994</v>
      </c>
      <c r="H2100" s="5">
        <f t="shared" si="32"/>
        <v>3.0303030303030328E-2</v>
      </c>
    </row>
    <row r="2101" spans="1:8" ht="13.5" x14ac:dyDescent="0.25">
      <c r="A2101" s="1"/>
      <c r="B2101" s="3">
        <v>45356</v>
      </c>
      <c r="C2101" s="4">
        <v>0.67</v>
      </c>
      <c r="D2101" s="4">
        <v>0.67</v>
      </c>
      <c r="E2101" s="4">
        <v>38</v>
      </c>
      <c r="F2101" s="4">
        <v>0.67</v>
      </c>
      <c r="G2101" s="4">
        <v>25.46</v>
      </c>
      <c r="H2101" s="5">
        <f t="shared" si="32"/>
        <v>-1.4705882352941188E-2</v>
      </c>
    </row>
    <row r="2102" spans="1:8" ht="13.5" x14ac:dyDescent="0.25">
      <c r="A2102" s="1"/>
      <c r="B2102" s="3">
        <v>45357</v>
      </c>
      <c r="C2102" s="4">
        <v>0.69</v>
      </c>
      <c r="D2102" s="4">
        <v>0.69</v>
      </c>
      <c r="E2102" s="4">
        <v>1000</v>
      </c>
      <c r="F2102" s="4">
        <v>0.69</v>
      </c>
      <c r="G2102" s="4">
        <v>690</v>
      </c>
      <c r="H2102" s="5">
        <f t="shared" si="32"/>
        <v>2.9850746268656577E-2</v>
      </c>
    </row>
    <row r="2103" spans="1:8" ht="13.5" x14ac:dyDescent="0.25">
      <c r="A2103" s="1"/>
      <c r="B2103" s="3">
        <v>45358</v>
      </c>
      <c r="C2103" s="4">
        <v>0.72</v>
      </c>
      <c r="D2103" s="4">
        <v>0.72</v>
      </c>
      <c r="E2103" s="4">
        <v>5</v>
      </c>
      <c r="F2103" s="4">
        <v>0.72</v>
      </c>
      <c r="G2103" s="4">
        <v>3.6</v>
      </c>
      <c r="H2103" s="5">
        <f t="shared" si="32"/>
        <v>4.3478260869565258E-2</v>
      </c>
    </row>
    <row r="2104" spans="1:8" ht="13.5" x14ac:dyDescent="0.25">
      <c r="A2104" s="1"/>
      <c r="B2104" s="3">
        <v>45359</v>
      </c>
      <c r="C2104" s="4">
        <v>0.71</v>
      </c>
      <c r="D2104" s="4">
        <v>0.71</v>
      </c>
      <c r="E2104" s="4">
        <v>3</v>
      </c>
      <c r="F2104" s="4">
        <v>0.71</v>
      </c>
      <c r="G2104" s="4">
        <v>2.13</v>
      </c>
      <c r="H2104" s="5">
        <f t="shared" si="32"/>
        <v>-1.3888888888888902E-2</v>
      </c>
    </row>
    <row r="2105" spans="1:8" ht="13.5" x14ac:dyDescent="0.25">
      <c r="A2105" s="1"/>
      <c r="B2105" s="3">
        <v>45362</v>
      </c>
      <c r="C2105" s="4">
        <v>0.71</v>
      </c>
      <c r="D2105" s="4">
        <v>0.71</v>
      </c>
      <c r="E2105" s="4">
        <v>9</v>
      </c>
      <c r="F2105" s="4">
        <v>0.71</v>
      </c>
      <c r="G2105" s="4">
        <v>6.39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0.7</v>
      </c>
      <c r="D2106" s="4">
        <v>0.7</v>
      </c>
      <c r="E2106" s="4">
        <v>50</v>
      </c>
      <c r="F2106" s="4">
        <v>0.7</v>
      </c>
      <c r="G2106" s="4">
        <v>35</v>
      </c>
      <c r="H2106" s="5">
        <f t="shared" si="32"/>
        <v>-1.4084507042253534E-2</v>
      </c>
    </row>
    <row r="2107" spans="1:8" ht="13.5" x14ac:dyDescent="0.25">
      <c r="A2107" s="1"/>
      <c r="B2107" s="3">
        <v>45364</v>
      </c>
      <c r="C2107" s="4">
        <v>0.7</v>
      </c>
      <c r="D2107" s="4">
        <v>0.7</v>
      </c>
      <c r="E2107" s="4">
        <v>30</v>
      </c>
      <c r="F2107" s="4">
        <v>0.7</v>
      </c>
      <c r="G2107" s="4">
        <v>21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0.68</v>
      </c>
      <c r="D2108" s="4">
        <v>0.68</v>
      </c>
      <c r="E2108" s="4">
        <v>1012</v>
      </c>
      <c r="F2108" s="4">
        <v>0.68</v>
      </c>
      <c r="G2108" s="4">
        <v>688.16</v>
      </c>
      <c r="H2108" s="5">
        <f t="shared" si="32"/>
        <v>-2.8571428571428439E-2</v>
      </c>
    </row>
    <row r="2109" spans="1:8" ht="13.5" x14ac:dyDescent="0.25">
      <c r="A2109" s="1"/>
      <c r="B2109" s="3">
        <v>45366</v>
      </c>
      <c r="C2109" s="4">
        <v>0.65</v>
      </c>
      <c r="D2109" s="4">
        <v>0.65</v>
      </c>
      <c r="E2109" s="4">
        <v>6208</v>
      </c>
      <c r="F2109" s="4">
        <v>0.69799999999999995</v>
      </c>
      <c r="G2109" s="4">
        <v>4333.1840000000002</v>
      </c>
      <c r="H2109" s="5">
        <f t="shared" si="32"/>
        <v>-4.4117647058823567E-2</v>
      </c>
    </row>
    <row r="2110" spans="1:8" ht="13.5" x14ac:dyDescent="0.25">
      <c r="A2110" s="1"/>
      <c r="B2110" s="3">
        <v>45369</v>
      </c>
      <c r="C2110" s="4">
        <v>0.65</v>
      </c>
      <c r="D2110" s="4">
        <v>0.65</v>
      </c>
      <c r="E2110" s="4">
        <v>1021</v>
      </c>
      <c r="F2110" s="4">
        <v>0.65</v>
      </c>
      <c r="G2110" s="4">
        <v>663.65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0.65</v>
      </c>
      <c r="D2111" s="4">
        <v>0.65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0.65</v>
      </c>
      <c r="D2112" s="4">
        <v>0.65</v>
      </c>
      <c r="E2112" s="4">
        <v>211</v>
      </c>
      <c r="F2112" s="4">
        <v>0.65</v>
      </c>
      <c r="G2112" s="4">
        <v>137.15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0.63</v>
      </c>
      <c r="D2113" s="4">
        <v>0.63</v>
      </c>
      <c r="E2113" s="4">
        <v>22</v>
      </c>
      <c r="F2113" s="4">
        <v>0.63</v>
      </c>
      <c r="G2113" s="4">
        <v>13.86</v>
      </c>
      <c r="H2113" s="5">
        <f t="shared" si="32"/>
        <v>-3.0769230769230795E-2</v>
      </c>
    </row>
    <row r="2114" spans="1:8" ht="13.5" x14ac:dyDescent="0.25">
      <c r="A2114" s="1"/>
      <c r="B2114" s="3">
        <v>45376</v>
      </c>
      <c r="C2114" s="4">
        <v>0.62</v>
      </c>
      <c r="D2114" s="4">
        <v>0.62</v>
      </c>
      <c r="E2114" s="4">
        <v>767</v>
      </c>
      <c r="F2114" s="4">
        <v>0.62</v>
      </c>
      <c r="G2114" s="4">
        <v>475.54</v>
      </c>
      <c r="H2114" s="5">
        <f t="shared" si="32"/>
        <v>-1.5873015873015886E-2</v>
      </c>
    </row>
    <row r="2115" spans="1:8" ht="13.5" x14ac:dyDescent="0.25">
      <c r="A2115" s="1"/>
      <c r="B2115" s="3">
        <v>45377</v>
      </c>
      <c r="C2115" s="4">
        <v>0.61</v>
      </c>
      <c r="D2115" s="4">
        <v>0.61</v>
      </c>
      <c r="E2115" s="4">
        <v>2000</v>
      </c>
      <c r="F2115" s="4">
        <v>0.61</v>
      </c>
      <c r="G2115" s="4">
        <v>1220</v>
      </c>
      <c r="H2115" s="5">
        <f t="shared" si="32"/>
        <v>-1.612903225806453E-2</v>
      </c>
    </row>
    <row r="2116" spans="1:8" ht="13.5" x14ac:dyDescent="0.25">
      <c r="A2116" s="1"/>
      <c r="B2116" s="3">
        <v>45378</v>
      </c>
      <c r="C2116" s="4">
        <v>0.59</v>
      </c>
      <c r="D2116" s="4">
        <v>0.59</v>
      </c>
      <c r="E2116" s="4">
        <v>2605</v>
      </c>
      <c r="F2116" s="4">
        <v>0.59599999999999997</v>
      </c>
      <c r="G2116" s="4">
        <v>1552.58</v>
      </c>
      <c r="H2116" s="5">
        <f t="shared" si="32"/>
        <v>-3.2786885245901669E-2</v>
      </c>
    </row>
    <row r="2117" spans="1:8" ht="13.5" x14ac:dyDescent="0.25">
      <c r="A2117" s="1"/>
      <c r="B2117" s="3">
        <v>45379</v>
      </c>
      <c r="C2117" s="4">
        <v>0.57999999999999996</v>
      </c>
      <c r="D2117" s="4">
        <v>0.57999999999999996</v>
      </c>
      <c r="E2117" s="4">
        <v>450</v>
      </c>
      <c r="F2117" s="4">
        <v>0.57999999999999996</v>
      </c>
      <c r="G2117" s="4">
        <v>261</v>
      </c>
      <c r="H2117" s="5">
        <f t="shared" si="32"/>
        <v>-1.6949152542372899E-2</v>
      </c>
    </row>
    <row r="2118" spans="1:8" ht="13.5" x14ac:dyDescent="0.25">
      <c r="A2118" s="1"/>
      <c r="B2118" s="3">
        <v>45380</v>
      </c>
      <c r="C2118" s="4">
        <v>0.56999999999999995</v>
      </c>
      <c r="D2118" s="4">
        <v>0.56999999999999995</v>
      </c>
      <c r="E2118" s="4">
        <v>752</v>
      </c>
      <c r="F2118" s="4">
        <v>0.56999999999999995</v>
      </c>
      <c r="G2118" s="4">
        <v>428.64</v>
      </c>
      <c r="H2118" s="5">
        <f t="shared" si="32"/>
        <v>-1.7241379310344845E-2</v>
      </c>
    </row>
    <row r="2119" spans="1:8" ht="13.5" x14ac:dyDescent="0.25">
      <c r="A2119" s="1"/>
      <c r="B2119" s="3">
        <v>45383</v>
      </c>
      <c r="C2119" s="4">
        <v>0.55000000000000004</v>
      </c>
      <c r="D2119" s="4">
        <v>0.55000000000000004</v>
      </c>
      <c r="E2119" s="4">
        <v>440</v>
      </c>
      <c r="F2119" s="4">
        <v>0.55000000000000004</v>
      </c>
      <c r="G2119" s="4">
        <v>242</v>
      </c>
      <c r="H2119" s="5">
        <f t="shared" ref="H2119:H2182" si="33">(D2119-D2118)/D2118</f>
        <v>-3.5087719298245452E-2</v>
      </c>
    </row>
    <row r="2120" spans="1:8" ht="13.5" x14ac:dyDescent="0.25">
      <c r="A2120" s="1"/>
      <c r="B2120" s="3">
        <v>45384</v>
      </c>
      <c r="C2120" s="4">
        <v>0.54</v>
      </c>
      <c r="D2120" s="4">
        <v>0.54</v>
      </c>
      <c r="E2120" s="4">
        <v>1343</v>
      </c>
      <c r="F2120" s="4">
        <v>0.54</v>
      </c>
      <c r="G2120" s="4">
        <v>725.22</v>
      </c>
      <c r="H2120" s="5">
        <f t="shared" si="33"/>
        <v>-1.8181818181818195E-2</v>
      </c>
    </row>
    <row r="2121" spans="1:8" ht="13.5" x14ac:dyDescent="0.25">
      <c r="A2121" s="1"/>
      <c r="B2121" s="3">
        <v>45385</v>
      </c>
      <c r="C2121" s="4">
        <v>0.54</v>
      </c>
      <c r="D2121" s="4">
        <v>0.54</v>
      </c>
      <c r="E2121" s="4">
        <v>1500</v>
      </c>
      <c r="F2121" s="4">
        <v>0.54</v>
      </c>
      <c r="G2121" s="4">
        <v>810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0.53</v>
      </c>
      <c r="D2122" s="4">
        <v>0.53</v>
      </c>
      <c r="E2122" s="4">
        <v>2000</v>
      </c>
      <c r="F2122" s="4">
        <v>0.53</v>
      </c>
      <c r="G2122" s="4">
        <v>1060</v>
      </c>
      <c r="H2122" s="5">
        <f t="shared" si="33"/>
        <v>-1.8518518518518535E-2</v>
      </c>
    </row>
    <row r="2123" spans="1:8" ht="13.5" x14ac:dyDescent="0.25">
      <c r="A2123" s="1"/>
      <c r="B2123" s="3">
        <v>45387</v>
      </c>
      <c r="C2123" s="4">
        <v>0.51</v>
      </c>
      <c r="D2123" s="4">
        <v>0.51</v>
      </c>
      <c r="E2123" s="4">
        <v>0</v>
      </c>
      <c r="F2123" s="4">
        <v>0</v>
      </c>
      <c r="G2123" s="4">
        <v>0</v>
      </c>
      <c r="H2123" s="5">
        <f t="shared" si="33"/>
        <v>-3.7735849056603807E-2</v>
      </c>
    </row>
    <row r="2124" spans="1:8" ht="13.5" x14ac:dyDescent="0.25">
      <c r="A2124" s="1"/>
      <c r="B2124" s="3">
        <v>45390</v>
      </c>
      <c r="C2124" s="4">
        <v>0.5</v>
      </c>
      <c r="D2124" s="4">
        <v>0.5</v>
      </c>
      <c r="E2124" s="4">
        <v>830</v>
      </c>
      <c r="F2124" s="4">
        <v>0.5</v>
      </c>
      <c r="G2124" s="4">
        <v>415</v>
      </c>
      <c r="H2124" s="5">
        <f t="shared" si="33"/>
        <v>-1.9607843137254919E-2</v>
      </c>
    </row>
    <row r="2125" spans="1:8" ht="13.5" x14ac:dyDescent="0.25">
      <c r="A2125" s="1"/>
      <c r="B2125" s="3">
        <v>45394</v>
      </c>
      <c r="C2125" s="4">
        <v>0.48</v>
      </c>
      <c r="D2125" s="4">
        <v>0.48</v>
      </c>
      <c r="E2125" s="4">
        <v>2350</v>
      </c>
      <c r="F2125" s="4">
        <v>0.48099999999999998</v>
      </c>
      <c r="G2125" s="4">
        <v>1130.3499999999999</v>
      </c>
      <c r="H2125" s="5">
        <f t="shared" si="33"/>
        <v>-4.0000000000000036E-2</v>
      </c>
    </row>
    <row r="2126" spans="1:8" ht="13.5" x14ac:dyDescent="0.25">
      <c r="A2126" s="1"/>
      <c r="B2126" s="3">
        <v>45397</v>
      </c>
      <c r="C2126" s="4">
        <v>0.5</v>
      </c>
      <c r="D2126" s="4">
        <v>0.5</v>
      </c>
      <c r="E2126" s="4">
        <v>1336</v>
      </c>
      <c r="F2126" s="4">
        <v>0.49</v>
      </c>
      <c r="G2126" s="4">
        <v>654.64</v>
      </c>
      <c r="H2126" s="5">
        <f t="shared" si="33"/>
        <v>4.1666666666666706E-2</v>
      </c>
    </row>
    <row r="2127" spans="1:8" ht="13.5" x14ac:dyDescent="0.25">
      <c r="A2127" s="1"/>
      <c r="B2127" s="3">
        <v>45398</v>
      </c>
      <c r="C2127" s="4">
        <v>0.52</v>
      </c>
      <c r="D2127" s="4">
        <v>0.52</v>
      </c>
      <c r="E2127" s="4">
        <v>0</v>
      </c>
      <c r="F2127" s="4">
        <v>0</v>
      </c>
      <c r="G2127" s="4">
        <v>0</v>
      </c>
      <c r="H2127" s="5">
        <f t="shared" si="33"/>
        <v>4.0000000000000036E-2</v>
      </c>
    </row>
    <row r="2128" spans="1:8" ht="13.5" x14ac:dyDescent="0.25">
      <c r="A2128" s="1"/>
      <c r="B2128" s="3">
        <v>45399</v>
      </c>
      <c r="C2128" s="4">
        <v>0.54</v>
      </c>
      <c r="D2128" s="4">
        <v>0.54</v>
      </c>
      <c r="E2128" s="4">
        <v>15</v>
      </c>
      <c r="F2128" s="4">
        <v>0.54</v>
      </c>
      <c r="G2128" s="4">
        <v>8.1</v>
      </c>
      <c r="H2128" s="5">
        <f t="shared" si="33"/>
        <v>3.8461538461538491E-2</v>
      </c>
    </row>
    <row r="2129" spans="1:8" ht="13.5" x14ac:dyDescent="0.25">
      <c r="A2129" s="1"/>
      <c r="B2129" s="3">
        <v>45400</v>
      </c>
      <c r="C2129" s="4">
        <v>0.56000000000000005</v>
      </c>
      <c r="D2129" s="4">
        <v>0.56000000000000005</v>
      </c>
      <c r="E2129" s="4">
        <v>0</v>
      </c>
      <c r="F2129" s="4">
        <v>0</v>
      </c>
      <c r="G2129" s="4">
        <v>0</v>
      </c>
      <c r="H2129" s="5">
        <f t="shared" si="33"/>
        <v>3.703703703703707E-2</v>
      </c>
    </row>
    <row r="2130" spans="1:8" ht="13.5" x14ac:dyDescent="0.25">
      <c r="A2130" s="1"/>
      <c r="B2130" s="3">
        <v>45401</v>
      </c>
      <c r="C2130" s="4">
        <v>0.57999999999999996</v>
      </c>
      <c r="D2130" s="4">
        <v>0.57999999999999996</v>
      </c>
      <c r="E2130" s="4">
        <v>69</v>
      </c>
      <c r="F2130" s="4">
        <v>0.57999999999999996</v>
      </c>
      <c r="G2130" s="4">
        <v>40.020000000000003</v>
      </c>
      <c r="H2130" s="5">
        <f t="shared" si="33"/>
        <v>3.5714285714285546E-2</v>
      </c>
    </row>
    <row r="2131" spans="1:8" ht="13.5" x14ac:dyDescent="0.25">
      <c r="A2131" s="1"/>
      <c r="B2131" s="3">
        <v>45404</v>
      </c>
      <c r="C2131" s="4">
        <v>0.59</v>
      </c>
      <c r="D2131" s="4">
        <v>0.59</v>
      </c>
      <c r="E2131" s="4">
        <v>1839</v>
      </c>
      <c r="F2131" s="4">
        <v>0.59</v>
      </c>
      <c r="G2131" s="4">
        <v>1085.01</v>
      </c>
      <c r="H2131" s="5">
        <f t="shared" si="33"/>
        <v>1.7241379310344845E-2</v>
      </c>
    </row>
    <row r="2132" spans="1:8" ht="13.5" x14ac:dyDescent="0.25">
      <c r="A2132" s="1"/>
      <c r="B2132" s="3">
        <v>45405</v>
      </c>
      <c r="C2132" s="4">
        <v>0.61</v>
      </c>
      <c r="D2132" s="4">
        <v>0.61</v>
      </c>
      <c r="E2132" s="4">
        <v>0</v>
      </c>
      <c r="F2132" s="4">
        <v>0</v>
      </c>
      <c r="G2132" s="4">
        <v>0</v>
      </c>
      <c r="H2132" s="5">
        <f t="shared" si="33"/>
        <v>3.3898305084745797E-2</v>
      </c>
    </row>
    <row r="2133" spans="1:8" ht="13.5" x14ac:dyDescent="0.25">
      <c r="A2133" s="1"/>
      <c r="B2133" s="3">
        <v>45406</v>
      </c>
      <c r="C2133" s="4">
        <v>0.59</v>
      </c>
      <c r="D2133" s="4">
        <v>0.59</v>
      </c>
      <c r="E2133" s="4">
        <v>3442</v>
      </c>
      <c r="F2133" s="4">
        <v>0.59</v>
      </c>
      <c r="G2133" s="4">
        <v>2030.78</v>
      </c>
      <c r="H2133" s="5">
        <f t="shared" si="33"/>
        <v>-3.2786885245901669E-2</v>
      </c>
    </row>
    <row r="2134" spans="1:8" ht="13.5" x14ac:dyDescent="0.25">
      <c r="A2134" s="1"/>
      <c r="B2134" s="3">
        <v>45407</v>
      </c>
      <c r="C2134" s="4">
        <v>0.61</v>
      </c>
      <c r="D2134" s="4">
        <v>0.61</v>
      </c>
      <c r="E2134" s="4">
        <v>250</v>
      </c>
      <c r="F2134" s="4">
        <v>0.61</v>
      </c>
      <c r="G2134" s="4">
        <v>152.5</v>
      </c>
      <c r="H2134" s="5">
        <f t="shared" si="33"/>
        <v>3.3898305084745797E-2</v>
      </c>
    </row>
    <row r="2135" spans="1:8" ht="13.5" x14ac:dyDescent="0.25">
      <c r="A2135" s="1"/>
      <c r="B2135" s="3">
        <v>45408</v>
      </c>
      <c r="C2135" s="4">
        <v>0.63</v>
      </c>
      <c r="D2135" s="4">
        <v>0.63</v>
      </c>
      <c r="E2135" s="4">
        <v>211</v>
      </c>
      <c r="F2135" s="4">
        <v>0.63</v>
      </c>
      <c r="G2135" s="4">
        <v>132.93</v>
      </c>
      <c r="H2135" s="5">
        <f t="shared" si="33"/>
        <v>3.2786885245901669E-2</v>
      </c>
    </row>
    <row r="2136" spans="1:8" ht="13.5" x14ac:dyDescent="0.25">
      <c r="A2136" s="1"/>
      <c r="B2136" s="3">
        <v>45411</v>
      </c>
      <c r="C2136" s="4">
        <v>0.65</v>
      </c>
      <c r="D2136" s="4">
        <v>0.65</v>
      </c>
      <c r="E2136" s="4">
        <v>250</v>
      </c>
      <c r="F2136" s="4">
        <v>0.65</v>
      </c>
      <c r="G2136" s="4">
        <v>162.5</v>
      </c>
      <c r="H2136" s="5">
        <f t="shared" si="33"/>
        <v>3.1746031746031772E-2</v>
      </c>
    </row>
    <row r="2137" spans="1:8" ht="13.5" x14ac:dyDescent="0.25">
      <c r="A2137" s="1"/>
      <c r="B2137" s="3">
        <v>45412</v>
      </c>
      <c r="C2137" s="4">
        <v>0.67</v>
      </c>
      <c r="D2137" s="4">
        <v>0.67</v>
      </c>
      <c r="E2137" s="4">
        <v>0</v>
      </c>
      <c r="F2137" s="4">
        <v>0</v>
      </c>
      <c r="G2137" s="4">
        <v>0</v>
      </c>
      <c r="H2137" s="5">
        <f t="shared" si="33"/>
        <v>3.0769230769230795E-2</v>
      </c>
    </row>
    <row r="2138" spans="1:8" ht="13.5" x14ac:dyDescent="0.25">
      <c r="A2138" s="1"/>
      <c r="B2138" s="3">
        <v>45414</v>
      </c>
      <c r="C2138" s="4">
        <v>0.7</v>
      </c>
      <c r="D2138" s="4">
        <v>0.7</v>
      </c>
      <c r="E2138" s="4">
        <v>308</v>
      </c>
      <c r="F2138" s="4">
        <v>0.69599999999999995</v>
      </c>
      <c r="G2138" s="4">
        <v>214.36799999999999</v>
      </c>
      <c r="H2138" s="5">
        <f t="shared" si="33"/>
        <v>4.4776119402984947E-2</v>
      </c>
    </row>
    <row r="2139" spans="1:8" ht="13.5" x14ac:dyDescent="0.25">
      <c r="A2139" s="1"/>
      <c r="B2139" s="3">
        <v>45415</v>
      </c>
      <c r="C2139" s="4">
        <v>0.7</v>
      </c>
      <c r="D2139" s="4">
        <v>0.7</v>
      </c>
      <c r="E2139" s="4">
        <v>846</v>
      </c>
      <c r="F2139" s="4">
        <v>0.68500000000000005</v>
      </c>
      <c r="G2139" s="4">
        <v>579.51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0.67</v>
      </c>
      <c r="D2140" s="4">
        <v>0.67</v>
      </c>
      <c r="E2140" s="4">
        <v>1000</v>
      </c>
      <c r="F2140" s="4">
        <v>0.67</v>
      </c>
      <c r="G2140" s="4">
        <v>670</v>
      </c>
      <c r="H2140" s="5">
        <f t="shared" si="33"/>
        <v>-4.285714285714274E-2</v>
      </c>
    </row>
    <row r="2141" spans="1:8" ht="13.5" x14ac:dyDescent="0.25">
      <c r="A2141" s="1"/>
      <c r="B2141" s="3">
        <v>45419</v>
      </c>
      <c r="C2141" s="4">
        <v>0.64</v>
      </c>
      <c r="D2141" s="4">
        <v>0.64</v>
      </c>
      <c r="E2141" s="4">
        <v>407</v>
      </c>
      <c r="F2141" s="4">
        <v>0.67</v>
      </c>
      <c r="G2141" s="4">
        <v>272.69</v>
      </c>
      <c r="H2141" s="5">
        <f t="shared" si="33"/>
        <v>-4.4776119402985114E-2</v>
      </c>
    </row>
    <row r="2142" spans="1:8" ht="13.5" x14ac:dyDescent="0.25">
      <c r="A2142" s="1"/>
      <c r="B2142" s="3">
        <v>45420</v>
      </c>
      <c r="C2142" s="4">
        <v>0.66</v>
      </c>
      <c r="D2142" s="4">
        <v>0.66</v>
      </c>
      <c r="E2142" s="4">
        <v>2860</v>
      </c>
      <c r="F2142" s="4">
        <v>0.66</v>
      </c>
      <c r="G2142" s="4">
        <v>1887.6</v>
      </c>
      <c r="H2142" s="5">
        <f t="shared" si="33"/>
        <v>3.1250000000000028E-2</v>
      </c>
    </row>
    <row r="2143" spans="1:8" ht="13.5" x14ac:dyDescent="0.25">
      <c r="A2143" s="1"/>
      <c r="B2143" s="3">
        <v>45421</v>
      </c>
      <c r="C2143" s="4">
        <v>0.64</v>
      </c>
      <c r="D2143" s="4">
        <v>0.64</v>
      </c>
      <c r="E2143" s="4">
        <v>11090</v>
      </c>
      <c r="F2143" s="4">
        <v>0.65800000000000003</v>
      </c>
      <c r="G2143" s="4">
        <v>7297.22</v>
      </c>
      <c r="H2143" s="5">
        <f t="shared" si="33"/>
        <v>-3.0303030303030328E-2</v>
      </c>
    </row>
    <row r="2144" spans="1:8" ht="13.5" x14ac:dyDescent="0.25">
      <c r="A2144" s="1"/>
      <c r="B2144" s="3">
        <v>45422</v>
      </c>
      <c r="C2144" s="4">
        <v>0.62</v>
      </c>
      <c r="D2144" s="4">
        <v>0.62</v>
      </c>
      <c r="E2144" s="4">
        <v>280</v>
      </c>
      <c r="F2144" s="4">
        <v>0.62</v>
      </c>
      <c r="G2144" s="4">
        <v>173.6</v>
      </c>
      <c r="H2144" s="5">
        <f t="shared" si="33"/>
        <v>-3.1250000000000028E-2</v>
      </c>
    </row>
    <row r="2145" spans="1:8" ht="13.5" x14ac:dyDescent="0.25">
      <c r="A2145" s="1"/>
      <c r="B2145" s="3">
        <v>45425</v>
      </c>
      <c r="C2145" s="4">
        <v>0.61</v>
      </c>
      <c r="D2145" s="4">
        <v>0.61</v>
      </c>
      <c r="E2145" s="4">
        <v>344</v>
      </c>
      <c r="F2145" s="4">
        <v>0.61899999999999999</v>
      </c>
      <c r="G2145" s="4">
        <v>212.93600000000001</v>
      </c>
      <c r="H2145" s="5">
        <f t="shared" si="33"/>
        <v>-1.612903225806453E-2</v>
      </c>
    </row>
    <row r="2146" spans="1:8" ht="13.5" x14ac:dyDescent="0.25">
      <c r="A2146" s="1"/>
      <c r="B2146" s="3">
        <v>45426</v>
      </c>
      <c r="C2146" s="4">
        <v>0.59</v>
      </c>
      <c r="D2146" s="4">
        <v>0.59</v>
      </c>
      <c r="E2146" s="4">
        <v>2307</v>
      </c>
      <c r="F2146" s="4">
        <v>0.59</v>
      </c>
      <c r="G2146" s="4">
        <v>1361.13</v>
      </c>
      <c r="H2146" s="5">
        <f t="shared" si="33"/>
        <v>-3.2786885245901669E-2</v>
      </c>
    </row>
    <row r="2147" spans="1:8" ht="13.5" x14ac:dyDescent="0.25">
      <c r="A2147" s="1"/>
      <c r="B2147" s="3">
        <v>45427</v>
      </c>
      <c r="C2147" s="4">
        <v>0.61</v>
      </c>
      <c r="D2147" s="4">
        <v>0.61</v>
      </c>
      <c r="E2147" s="4">
        <v>0</v>
      </c>
      <c r="F2147" s="4">
        <v>0</v>
      </c>
      <c r="G2147" s="4">
        <v>0</v>
      </c>
      <c r="H2147" s="5">
        <f t="shared" si="33"/>
        <v>3.3898305084745797E-2</v>
      </c>
    </row>
    <row r="2148" spans="1:8" ht="13.5" x14ac:dyDescent="0.25">
      <c r="A2148" s="1"/>
      <c r="B2148" s="3">
        <v>45428</v>
      </c>
      <c r="C2148" s="4">
        <v>0.59</v>
      </c>
      <c r="D2148" s="4">
        <v>0.59</v>
      </c>
      <c r="E2148" s="4">
        <v>500</v>
      </c>
      <c r="F2148" s="4">
        <v>0.59</v>
      </c>
      <c r="G2148" s="4">
        <v>295</v>
      </c>
      <c r="H2148" s="5">
        <f t="shared" si="33"/>
        <v>-3.2786885245901669E-2</v>
      </c>
    </row>
    <row r="2149" spans="1:8" ht="13.5" x14ac:dyDescent="0.25">
      <c r="A2149" s="1"/>
      <c r="B2149" s="3">
        <v>45429</v>
      </c>
      <c r="C2149" s="4">
        <v>0.61</v>
      </c>
      <c r="D2149" s="4">
        <v>0.61</v>
      </c>
      <c r="E2149" s="4">
        <v>10</v>
      </c>
      <c r="F2149" s="4">
        <v>0.61</v>
      </c>
      <c r="G2149" s="4">
        <v>6.1</v>
      </c>
      <c r="H2149" s="5">
        <f t="shared" si="33"/>
        <v>3.3898305084745797E-2</v>
      </c>
    </row>
    <row r="2150" spans="1:8" ht="13.5" x14ac:dyDescent="0.25">
      <c r="A2150" s="1"/>
      <c r="B2150" s="3">
        <v>45432</v>
      </c>
      <c r="C2150" s="4">
        <v>0.63</v>
      </c>
      <c r="D2150" s="4">
        <v>0.63</v>
      </c>
      <c r="E2150" s="4">
        <v>50</v>
      </c>
      <c r="F2150" s="4">
        <v>0.63</v>
      </c>
      <c r="G2150" s="4">
        <v>31.5</v>
      </c>
      <c r="H2150" s="5">
        <f t="shared" si="33"/>
        <v>3.2786885245901669E-2</v>
      </c>
    </row>
    <row r="2151" spans="1:8" ht="13.5" x14ac:dyDescent="0.25">
      <c r="A2151" s="1"/>
      <c r="B2151" s="3">
        <v>45433</v>
      </c>
      <c r="C2151" s="4">
        <v>0.64</v>
      </c>
      <c r="D2151" s="4">
        <v>0.64</v>
      </c>
      <c r="E2151" s="4">
        <v>1</v>
      </c>
      <c r="F2151" s="4">
        <v>0.64</v>
      </c>
      <c r="G2151" s="4">
        <v>0.64</v>
      </c>
      <c r="H2151" s="5">
        <f t="shared" si="33"/>
        <v>1.5873015873015886E-2</v>
      </c>
    </row>
    <row r="2152" spans="1:8" ht="13.5" x14ac:dyDescent="0.25">
      <c r="A2152" s="1"/>
      <c r="B2152" s="3">
        <v>45434</v>
      </c>
      <c r="C2152" s="4">
        <v>0.64</v>
      </c>
      <c r="D2152" s="4">
        <v>0.64</v>
      </c>
      <c r="E2152" s="4">
        <v>0</v>
      </c>
      <c r="F2152" s="4">
        <v>0</v>
      </c>
      <c r="G2152" s="4">
        <v>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0.66</v>
      </c>
      <c r="D2153" s="4">
        <v>0.66</v>
      </c>
      <c r="E2153" s="4">
        <v>10</v>
      </c>
      <c r="F2153" s="4">
        <v>0.66</v>
      </c>
      <c r="G2153" s="4">
        <v>6.6</v>
      </c>
      <c r="H2153" s="5">
        <f t="shared" si="33"/>
        <v>3.1250000000000028E-2</v>
      </c>
    </row>
    <row r="2154" spans="1:8" ht="13.5" x14ac:dyDescent="0.25">
      <c r="A2154" s="1"/>
      <c r="B2154" s="3">
        <v>45436</v>
      </c>
      <c r="C2154" s="4">
        <v>0.66</v>
      </c>
      <c r="D2154" s="4">
        <v>0.66</v>
      </c>
      <c r="E2154" s="4">
        <v>0</v>
      </c>
      <c r="F2154" s="4">
        <v>0</v>
      </c>
      <c r="G2154" s="4">
        <v>0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0.68</v>
      </c>
      <c r="D2155" s="4">
        <v>0.68</v>
      </c>
      <c r="E2155" s="4">
        <v>94</v>
      </c>
      <c r="F2155" s="4">
        <v>0.68</v>
      </c>
      <c r="G2155" s="4">
        <v>63.92</v>
      </c>
      <c r="H2155" s="5">
        <f t="shared" si="33"/>
        <v>3.0303030303030328E-2</v>
      </c>
    </row>
    <row r="2156" spans="1:8" ht="13.5" x14ac:dyDescent="0.25">
      <c r="A2156" s="1"/>
      <c r="B2156" s="3">
        <v>45440</v>
      </c>
      <c r="C2156" s="4">
        <v>0.68</v>
      </c>
      <c r="D2156" s="4">
        <v>0.68</v>
      </c>
      <c r="E2156" s="4">
        <v>400</v>
      </c>
      <c r="F2156" s="4">
        <v>0.68</v>
      </c>
      <c r="G2156" s="4">
        <v>272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0.68</v>
      </c>
      <c r="D2157" s="4">
        <v>0.68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0.67</v>
      </c>
      <c r="D2158" s="4">
        <v>0.67</v>
      </c>
      <c r="E2158" s="4">
        <v>0</v>
      </c>
      <c r="F2158" s="4">
        <v>0</v>
      </c>
      <c r="G2158" s="4">
        <v>0</v>
      </c>
      <c r="H2158" s="5">
        <f t="shared" si="33"/>
        <v>-1.4705882352941188E-2</v>
      </c>
    </row>
    <row r="2159" spans="1:8" ht="13.5" x14ac:dyDescent="0.25">
      <c r="A2159" s="1"/>
      <c r="B2159" s="3">
        <v>45443</v>
      </c>
      <c r="C2159" s="4">
        <v>0.68</v>
      </c>
      <c r="D2159" s="4">
        <v>0.68</v>
      </c>
      <c r="E2159" s="4">
        <v>250</v>
      </c>
      <c r="F2159" s="4">
        <v>0.68</v>
      </c>
      <c r="G2159" s="4">
        <v>170</v>
      </c>
      <c r="H2159" s="5">
        <f t="shared" si="33"/>
        <v>1.492537313432837E-2</v>
      </c>
    </row>
    <row r="2160" spans="1:8" ht="13.5" x14ac:dyDescent="0.25">
      <c r="A2160" s="1"/>
      <c r="B2160" s="3">
        <v>45446</v>
      </c>
      <c r="C2160" s="4">
        <v>0.69</v>
      </c>
      <c r="D2160" s="4">
        <v>0.69</v>
      </c>
      <c r="E2160" s="4">
        <v>1020</v>
      </c>
      <c r="F2160" s="4">
        <v>0.69</v>
      </c>
      <c r="G2160" s="4">
        <v>703.8</v>
      </c>
      <c r="H2160" s="5">
        <f t="shared" si="33"/>
        <v>1.4705882352941025E-2</v>
      </c>
    </row>
    <row r="2161" spans="1:8" ht="13.5" x14ac:dyDescent="0.25">
      <c r="A2161" s="1"/>
      <c r="B2161" s="3">
        <v>45447</v>
      </c>
      <c r="C2161" s="4">
        <v>0.69</v>
      </c>
      <c r="D2161" s="4">
        <v>0.69</v>
      </c>
      <c r="E2161" s="4">
        <v>548</v>
      </c>
      <c r="F2161" s="4">
        <v>0.69</v>
      </c>
      <c r="G2161" s="4">
        <v>378.12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0.66</v>
      </c>
      <c r="D2162" s="4">
        <v>0.66</v>
      </c>
      <c r="E2162" s="4">
        <v>1527</v>
      </c>
      <c r="F2162" s="4">
        <v>0.66</v>
      </c>
      <c r="G2162" s="4">
        <v>1007.82</v>
      </c>
      <c r="H2162" s="5">
        <f t="shared" si="33"/>
        <v>-4.3478260869565098E-2</v>
      </c>
    </row>
    <row r="2163" spans="1:8" ht="13.5" x14ac:dyDescent="0.25">
      <c r="A2163" s="1"/>
      <c r="B2163" s="3">
        <v>45449</v>
      </c>
      <c r="C2163" s="4">
        <v>0.64</v>
      </c>
      <c r="D2163" s="4">
        <v>0.64</v>
      </c>
      <c r="E2163" s="4">
        <v>0</v>
      </c>
      <c r="F2163" s="4">
        <v>0</v>
      </c>
      <c r="G2163" s="4">
        <v>0</v>
      </c>
      <c r="H2163" s="5">
        <f t="shared" si="33"/>
        <v>-3.0303030303030328E-2</v>
      </c>
    </row>
    <row r="2164" spans="1:8" ht="13.5" x14ac:dyDescent="0.25">
      <c r="A2164" s="1"/>
      <c r="B2164" s="3">
        <v>45450</v>
      </c>
      <c r="C2164" s="4">
        <v>0.62</v>
      </c>
      <c r="D2164" s="4">
        <v>0.62</v>
      </c>
      <c r="E2164" s="4">
        <v>1251</v>
      </c>
      <c r="F2164" s="4">
        <v>0.62</v>
      </c>
      <c r="G2164" s="4">
        <v>775.62</v>
      </c>
      <c r="H2164" s="5">
        <f t="shared" si="33"/>
        <v>-3.1250000000000028E-2</v>
      </c>
    </row>
    <row r="2165" spans="1:8" ht="13.5" x14ac:dyDescent="0.25">
      <c r="A2165" s="1"/>
      <c r="B2165" s="3">
        <v>45453</v>
      </c>
      <c r="C2165" s="4">
        <v>0.62</v>
      </c>
      <c r="D2165" s="4">
        <v>0.62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0.6</v>
      </c>
      <c r="D2166" s="4">
        <v>0.6</v>
      </c>
      <c r="E2166" s="4">
        <v>0</v>
      </c>
      <c r="F2166" s="4">
        <v>0</v>
      </c>
      <c r="G2166" s="4">
        <v>0</v>
      </c>
      <c r="H2166" s="5">
        <f t="shared" si="33"/>
        <v>-3.2258064516129059E-2</v>
      </c>
    </row>
    <row r="2167" spans="1:8" ht="13.5" x14ac:dyDescent="0.25">
      <c r="A2167" s="1"/>
      <c r="B2167" s="3">
        <v>45455</v>
      </c>
      <c r="C2167" s="4">
        <v>0.57999999999999996</v>
      </c>
      <c r="D2167" s="4">
        <v>0.57999999999999996</v>
      </c>
      <c r="E2167" s="4">
        <v>3947</v>
      </c>
      <c r="F2167" s="4">
        <v>0.57999999999999996</v>
      </c>
      <c r="G2167" s="4">
        <v>2289.2600000000002</v>
      </c>
      <c r="H2167" s="5">
        <f t="shared" si="33"/>
        <v>-3.3333333333333368E-2</v>
      </c>
    </row>
    <row r="2168" spans="1:8" ht="13.5" x14ac:dyDescent="0.25">
      <c r="A2168" s="1"/>
      <c r="B2168" s="3">
        <v>45456</v>
      </c>
      <c r="C2168" s="4">
        <v>0.56999999999999995</v>
      </c>
      <c r="D2168" s="4">
        <v>0.56999999999999995</v>
      </c>
      <c r="E2168" s="4">
        <v>1500</v>
      </c>
      <c r="F2168" s="4">
        <v>0.56999999999999995</v>
      </c>
      <c r="G2168" s="4">
        <v>855</v>
      </c>
      <c r="H2168" s="5">
        <f t="shared" si="33"/>
        <v>-1.7241379310344845E-2</v>
      </c>
    </row>
    <row r="2169" spans="1:8" ht="13.5" x14ac:dyDescent="0.25">
      <c r="A2169" s="1"/>
      <c r="B2169" s="3">
        <v>45457</v>
      </c>
      <c r="C2169" s="4">
        <v>0.59</v>
      </c>
      <c r="D2169" s="4">
        <v>0.59</v>
      </c>
      <c r="E2169" s="4">
        <v>772</v>
      </c>
      <c r="F2169" s="4">
        <v>0.57099999999999995</v>
      </c>
      <c r="G2169" s="4">
        <v>440.81200000000001</v>
      </c>
      <c r="H2169" s="5">
        <f t="shared" si="33"/>
        <v>3.5087719298245647E-2</v>
      </c>
    </row>
    <row r="2170" spans="1:8" ht="13.5" x14ac:dyDescent="0.25">
      <c r="A2170" s="1"/>
      <c r="B2170" s="3">
        <v>45461</v>
      </c>
      <c r="C2170" s="4">
        <v>0.56999999999999995</v>
      </c>
      <c r="D2170" s="4">
        <v>0.56999999999999995</v>
      </c>
      <c r="E2170" s="4">
        <v>360</v>
      </c>
      <c r="F2170" s="4">
        <v>0.56999999999999995</v>
      </c>
      <c r="G2170" s="4">
        <v>205.2</v>
      </c>
      <c r="H2170" s="5">
        <f t="shared" si="33"/>
        <v>-3.3898305084745797E-2</v>
      </c>
    </row>
    <row r="2171" spans="1:8" ht="13.5" x14ac:dyDescent="0.25">
      <c r="A2171" s="1"/>
      <c r="B2171" s="3">
        <v>45462</v>
      </c>
      <c r="C2171" s="4">
        <v>0.59</v>
      </c>
      <c r="D2171" s="4">
        <v>0.59</v>
      </c>
      <c r="E2171" s="4">
        <v>10</v>
      </c>
      <c r="F2171" s="4">
        <v>0.59</v>
      </c>
      <c r="G2171" s="4">
        <v>5.9</v>
      </c>
      <c r="H2171" s="5">
        <f t="shared" si="33"/>
        <v>3.5087719298245647E-2</v>
      </c>
    </row>
    <row r="2172" spans="1:8" ht="13.5" x14ac:dyDescent="0.25">
      <c r="A2172" s="1"/>
      <c r="B2172" s="3">
        <v>45463</v>
      </c>
      <c r="C2172" s="4">
        <v>0.59</v>
      </c>
      <c r="D2172" s="4">
        <v>0.59</v>
      </c>
      <c r="E2172" s="4">
        <v>31</v>
      </c>
      <c r="F2172" s="4">
        <v>0.59</v>
      </c>
      <c r="G2172" s="4">
        <v>18.29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0.59</v>
      </c>
      <c r="D2173" s="4">
        <v>0.59</v>
      </c>
      <c r="E2173" s="4">
        <v>137</v>
      </c>
      <c r="F2173" s="4">
        <v>0.59</v>
      </c>
      <c r="G2173" s="4">
        <v>80.83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0.59</v>
      </c>
      <c r="D2174" s="4">
        <v>0.59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0.59</v>
      </c>
      <c r="D2175" s="4">
        <v>0.59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0.61</v>
      </c>
      <c r="D2176" s="4">
        <v>0.61</v>
      </c>
      <c r="E2176" s="4">
        <v>70</v>
      </c>
      <c r="F2176" s="4">
        <v>0.61</v>
      </c>
      <c r="G2176" s="4">
        <v>42.7</v>
      </c>
      <c r="H2176" s="5">
        <f t="shared" si="33"/>
        <v>3.3898305084745797E-2</v>
      </c>
    </row>
    <row r="2177" spans="1:8" ht="13.5" x14ac:dyDescent="0.25">
      <c r="A2177" s="1"/>
      <c r="B2177" s="3">
        <v>45470</v>
      </c>
      <c r="C2177" s="4">
        <v>0.62</v>
      </c>
      <c r="D2177" s="4">
        <v>0.62</v>
      </c>
      <c r="E2177" s="4">
        <v>90</v>
      </c>
      <c r="F2177" s="4">
        <v>0.62</v>
      </c>
      <c r="G2177" s="4">
        <v>55.8</v>
      </c>
      <c r="H2177" s="5">
        <f t="shared" si="33"/>
        <v>1.6393442622950834E-2</v>
      </c>
    </row>
    <row r="2178" spans="1:8" ht="13.5" x14ac:dyDescent="0.25">
      <c r="A2178" s="1"/>
      <c r="B2178" s="3">
        <v>45471</v>
      </c>
      <c r="C2178" s="4">
        <v>0.62</v>
      </c>
      <c r="D2178" s="4">
        <v>0.62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0.62</v>
      </c>
      <c r="D2179" s="4">
        <v>0.62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0.64</v>
      </c>
      <c r="D2180" s="4">
        <v>0.64</v>
      </c>
      <c r="E2180" s="4">
        <v>1</v>
      </c>
      <c r="F2180" s="4">
        <v>0.64</v>
      </c>
      <c r="G2180" s="4">
        <v>0.64</v>
      </c>
      <c r="H2180" s="5">
        <f t="shared" si="33"/>
        <v>3.2258064516129059E-2</v>
      </c>
    </row>
    <row r="2181" spans="1:8" ht="13.5" x14ac:dyDescent="0.25">
      <c r="A2181" s="1"/>
      <c r="B2181" s="3">
        <v>45476</v>
      </c>
      <c r="C2181" s="4">
        <v>0.65</v>
      </c>
      <c r="D2181" s="4">
        <v>0.65</v>
      </c>
      <c r="E2181" s="4">
        <v>7</v>
      </c>
      <c r="F2181" s="4">
        <v>0.65</v>
      </c>
      <c r="G2181" s="4">
        <v>4.55</v>
      </c>
      <c r="H2181" s="5">
        <f t="shared" si="33"/>
        <v>1.5625000000000014E-2</v>
      </c>
    </row>
    <row r="2182" spans="1:8" ht="13.5" x14ac:dyDescent="0.25">
      <c r="A2182" s="1"/>
      <c r="B2182" s="3">
        <v>45477</v>
      </c>
      <c r="C2182" s="4">
        <v>0.63</v>
      </c>
      <c r="D2182" s="4">
        <v>0.63</v>
      </c>
      <c r="E2182" s="4">
        <v>12</v>
      </c>
      <c r="F2182" s="4">
        <v>0.63</v>
      </c>
      <c r="G2182" s="4">
        <v>7.56</v>
      </c>
      <c r="H2182" s="5">
        <f t="shared" si="33"/>
        <v>-3.0769230769230795E-2</v>
      </c>
    </row>
    <row r="2183" spans="1:8" ht="13.5" x14ac:dyDescent="0.25">
      <c r="A2183" s="1"/>
      <c r="B2183" s="3">
        <v>45478</v>
      </c>
      <c r="C2183" s="4">
        <v>0.65</v>
      </c>
      <c r="D2183" s="4">
        <v>0.65</v>
      </c>
      <c r="E2183" s="4">
        <v>16</v>
      </c>
      <c r="F2183" s="4">
        <v>0.65</v>
      </c>
      <c r="G2183" s="4">
        <v>10.4</v>
      </c>
      <c r="H2183" s="5">
        <f t="shared" ref="H2183:H2246" si="34">(D2183-D2182)/D2182</f>
        <v>3.1746031746031772E-2</v>
      </c>
    </row>
    <row r="2184" spans="1:8" ht="13.5" x14ac:dyDescent="0.25">
      <c r="A2184" s="1"/>
      <c r="B2184" s="3">
        <v>45481</v>
      </c>
      <c r="C2184" s="4">
        <v>0.65</v>
      </c>
      <c r="D2184" s="4">
        <v>0.65</v>
      </c>
      <c r="E2184" s="4">
        <v>319</v>
      </c>
      <c r="F2184" s="4">
        <v>0.65</v>
      </c>
      <c r="G2184" s="4">
        <v>207.35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0.65</v>
      </c>
      <c r="D2185" s="4">
        <v>0.65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0.65</v>
      </c>
      <c r="D2186" s="4">
        <v>0.65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0.65</v>
      </c>
      <c r="D2187" s="4">
        <v>0.65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0.65</v>
      </c>
      <c r="D2188" s="4">
        <v>0.65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0.66</v>
      </c>
      <c r="D2189" s="4">
        <v>0.66</v>
      </c>
      <c r="E2189" s="4">
        <v>50</v>
      </c>
      <c r="F2189" s="4">
        <v>0.66</v>
      </c>
      <c r="G2189" s="4">
        <v>33</v>
      </c>
      <c r="H2189" s="5">
        <f t="shared" si="34"/>
        <v>1.5384615384615398E-2</v>
      </c>
    </row>
    <row r="2190" spans="1:8" ht="13.5" x14ac:dyDescent="0.25">
      <c r="A2190" s="1"/>
      <c r="B2190" s="3">
        <v>45489</v>
      </c>
      <c r="C2190" s="4">
        <v>0.67</v>
      </c>
      <c r="D2190" s="4">
        <v>0.67</v>
      </c>
      <c r="E2190" s="4">
        <v>545</v>
      </c>
      <c r="F2190" s="4">
        <v>0.67</v>
      </c>
      <c r="G2190" s="4">
        <v>365.15</v>
      </c>
      <c r="H2190" s="5">
        <f t="shared" si="34"/>
        <v>1.5151515151515164E-2</v>
      </c>
    </row>
    <row r="2191" spans="1:8" ht="13.5" x14ac:dyDescent="0.25">
      <c r="A2191" s="1"/>
      <c r="B2191" s="3">
        <v>45490</v>
      </c>
      <c r="C2191" s="4">
        <v>0.65</v>
      </c>
      <c r="D2191" s="4">
        <v>0.65</v>
      </c>
      <c r="E2191" s="4">
        <v>419</v>
      </c>
      <c r="F2191" s="4">
        <v>0.65300000000000002</v>
      </c>
      <c r="G2191" s="4">
        <v>273.60700000000003</v>
      </c>
      <c r="H2191" s="5">
        <f t="shared" si="34"/>
        <v>-2.985074626865674E-2</v>
      </c>
    </row>
    <row r="2192" spans="1:8" ht="13.5" x14ac:dyDescent="0.25">
      <c r="A2192" s="1"/>
      <c r="B2192" s="3">
        <v>45491</v>
      </c>
      <c r="C2192" s="4">
        <v>0.65</v>
      </c>
      <c r="D2192" s="4">
        <v>0.65</v>
      </c>
      <c r="E2192" s="4">
        <v>1222</v>
      </c>
      <c r="F2192" s="4">
        <v>0.65</v>
      </c>
      <c r="G2192" s="4">
        <v>794.3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0.65</v>
      </c>
      <c r="D2193" s="4">
        <v>0.65</v>
      </c>
      <c r="E2193" s="4">
        <v>120</v>
      </c>
      <c r="F2193" s="4">
        <v>0.65</v>
      </c>
      <c r="G2193" s="4">
        <v>78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0.65</v>
      </c>
      <c r="D2194" s="4">
        <v>0.65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0.65</v>
      </c>
      <c r="D2195" s="4">
        <v>0.65</v>
      </c>
      <c r="E2195" s="4">
        <v>20</v>
      </c>
      <c r="F2195" s="4">
        <v>0.65</v>
      </c>
      <c r="G2195" s="4">
        <v>13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0.65</v>
      </c>
      <c r="D2196" s="4">
        <v>0.65</v>
      </c>
      <c r="E2196" s="4">
        <v>11</v>
      </c>
      <c r="F2196" s="4">
        <v>0.65</v>
      </c>
      <c r="G2196" s="4">
        <v>7.15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0.67</v>
      </c>
      <c r="D2197" s="4">
        <v>0.67</v>
      </c>
      <c r="E2197" s="4">
        <v>0</v>
      </c>
      <c r="F2197" s="4">
        <v>0</v>
      </c>
      <c r="G2197" s="4">
        <v>0</v>
      </c>
      <c r="H2197" s="5">
        <f t="shared" si="34"/>
        <v>3.0769230769230795E-2</v>
      </c>
    </row>
    <row r="2198" spans="1:8" ht="13.5" x14ac:dyDescent="0.25">
      <c r="A2198" s="1"/>
      <c r="B2198" s="3">
        <v>45502</v>
      </c>
      <c r="C2198" s="4">
        <v>0.67</v>
      </c>
      <c r="D2198" s="4">
        <v>0.67</v>
      </c>
      <c r="E2198" s="4">
        <v>27</v>
      </c>
      <c r="F2198" s="4">
        <v>0.67</v>
      </c>
      <c r="G2198" s="4">
        <v>18.09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0.67</v>
      </c>
      <c r="D2199" s="4">
        <v>0.67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0.67</v>
      </c>
      <c r="D2200" s="4">
        <v>0.67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0.67</v>
      </c>
      <c r="D2201" s="4">
        <v>0.67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0.67</v>
      </c>
      <c r="D2202" s="4">
        <v>0.67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0.67</v>
      </c>
      <c r="D2203" s="4">
        <v>0.67</v>
      </c>
      <c r="E2203" s="4">
        <v>451</v>
      </c>
      <c r="F2203" s="4">
        <v>0.67</v>
      </c>
      <c r="G2203" s="4">
        <v>302.17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0.67</v>
      </c>
      <c r="D2204" s="4">
        <v>0.67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0.67</v>
      </c>
      <c r="D2205" s="4">
        <v>0.67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0.67</v>
      </c>
      <c r="D2206" s="4">
        <v>0.67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0.67</v>
      </c>
      <c r="D2207" s="4">
        <v>0.67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0.67</v>
      </c>
      <c r="D2208" s="4">
        <v>0.67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0.67</v>
      </c>
      <c r="D2209" s="4">
        <v>0.67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0.67</v>
      </c>
      <c r="D2210" s="4">
        <v>0.67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0.67</v>
      </c>
      <c r="D2211" s="4">
        <v>0.67</v>
      </c>
      <c r="E2211" s="4">
        <v>0</v>
      </c>
      <c r="F2211" s="4">
        <v>0</v>
      </c>
      <c r="G2211" s="4">
        <v>0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0.67</v>
      </c>
      <c r="D2212" s="4">
        <v>0.67</v>
      </c>
      <c r="E2212" s="4">
        <v>55</v>
      </c>
      <c r="F2212" s="4">
        <v>0.67</v>
      </c>
      <c r="G2212" s="4">
        <v>36.85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0.64</v>
      </c>
      <c r="D2213" s="4">
        <v>0.64</v>
      </c>
      <c r="E2213" s="4">
        <v>0</v>
      </c>
      <c r="F2213" s="4">
        <v>0</v>
      </c>
      <c r="G2213" s="4">
        <v>0</v>
      </c>
      <c r="H2213" s="5">
        <f t="shared" si="34"/>
        <v>-4.4776119402985114E-2</v>
      </c>
    </row>
    <row r="2214" spans="1:8" ht="13.5" x14ac:dyDescent="0.25">
      <c r="A2214" s="1"/>
      <c r="B2214" s="3">
        <v>45525</v>
      </c>
      <c r="C2214" s="4">
        <v>0.62</v>
      </c>
      <c r="D2214" s="4">
        <v>0.62</v>
      </c>
      <c r="E2214" s="4">
        <v>0</v>
      </c>
      <c r="F2214" s="4">
        <v>0</v>
      </c>
      <c r="G2214" s="4">
        <v>0</v>
      </c>
      <c r="H2214" s="5">
        <f t="shared" si="34"/>
        <v>-3.1250000000000028E-2</v>
      </c>
    </row>
    <row r="2215" spans="1:8" ht="13.5" x14ac:dyDescent="0.25">
      <c r="A2215" s="1"/>
      <c r="B2215" s="3">
        <v>45526</v>
      </c>
      <c r="C2215" s="4">
        <v>0.6</v>
      </c>
      <c r="D2215" s="4">
        <v>0.6</v>
      </c>
      <c r="E2215" s="4">
        <v>0</v>
      </c>
      <c r="F2215" s="4">
        <v>0</v>
      </c>
      <c r="G2215" s="4">
        <v>0</v>
      </c>
      <c r="H2215" s="5">
        <f t="shared" si="34"/>
        <v>-3.2258064516129059E-2</v>
      </c>
    </row>
    <row r="2216" spans="1:8" ht="13.5" x14ac:dyDescent="0.25">
      <c r="A2216" s="1"/>
      <c r="B2216" s="3">
        <v>45527</v>
      </c>
      <c r="C2216" s="4">
        <v>0.57999999999999996</v>
      </c>
      <c r="D2216" s="4">
        <v>0.57999999999999996</v>
      </c>
      <c r="E2216" s="4">
        <v>0</v>
      </c>
      <c r="F2216" s="4">
        <v>0</v>
      </c>
      <c r="G2216" s="4">
        <v>0</v>
      </c>
      <c r="H2216" s="5">
        <f t="shared" si="34"/>
        <v>-3.3333333333333368E-2</v>
      </c>
    </row>
    <row r="2217" spans="1:8" ht="13.5" x14ac:dyDescent="0.25">
      <c r="A2217" s="1"/>
      <c r="B2217" s="3">
        <v>45530</v>
      </c>
      <c r="C2217" s="4">
        <v>0.56000000000000005</v>
      </c>
      <c r="D2217" s="4">
        <v>0.56000000000000005</v>
      </c>
      <c r="E2217" s="4">
        <v>0</v>
      </c>
      <c r="F2217" s="4">
        <v>0</v>
      </c>
      <c r="G2217" s="4">
        <v>0</v>
      </c>
      <c r="H2217" s="5">
        <f t="shared" si="34"/>
        <v>-3.4482758620689495E-2</v>
      </c>
    </row>
    <row r="2218" spans="1:8" ht="13.5" x14ac:dyDescent="0.25">
      <c r="A2218" s="1"/>
      <c r="B2218" s="3">
        <v>45531</v>
      </c>
      <c r="C2218" s="4">
        <v>0.54</v>
      </c>
      <c r="D2218" s="4">
        <v>0.54</v>
      </c>
      <c r="E2218" s="4">
        <v>0</v>
      </c>
      <c r="F2218" s="4">
        <v>0</v>
      </c>
      <c r="G2218" s="4">
        <v>0</v>
      </c>
      <c r="H2218" s="5">
        <f t="shared" si="34"/>
        <v>-3.571428571428574E-2</v>
      </c>
    </row>
    <row r="2219" spans="1:8" ht="13.5" x14ac:dyDescent="0.25">
      <c r="A2219" s="1"/>
      <c r="B2219" s="3">
        <v>45532</v>
      </c>
      <c r="C2219" s="4">
        <v>0.53</v>
      </c>
      <c r="D2219" s="4">
        <v>0.53</v>
      </c>
      <c r="E2219" s="4">
        <v>2689</v>
      </c>
      <c r="F2219" s="4">
        <v>0.53</v>
      </c>
      <c r="G2219" s="4">
        <v>1425.17</v>
      </c>
      <c r="H2219" s="5">
        <f t="shared" si="34"/>
        <v>-1.8518518518518535E-2</v>
      </c>
    </row>
    <row r="2220" spans="1:8" ht="13.5" x14ac:dyDescent="0.25">
      <c r="A2220" s="1"/>
      <c r="B2220" s="3">
        <v>45533</v>
      </c>
      <c r="C2220" s="4">
        <v>0.55000000000000004</v>
      </c>
      <c r="D2220" s="4">
        <v>0.55000000000000004</v>
      </c>
      <c r="E2220" s="4">
        <v>0</v>
      </c>
      <c r="F2220" s="4">
        <v>0</v>
      </c>
      <c r="G2220" s="4">
        <v>0</v>
      </c>
      <c r="H2220" s="5">
        <f t="shared" si="34"/>
        <v>3.7735849056603807E-2</v>
      </c>
    </row>
    <row r="2221" spans="1:8" ht="13.5" x14ac:dyDescent="0.25">
      <c r="A2221" s="1"/>
      <c r="B2221" s="3">
        <v>45534</v>
      </c>
      <c r="C2221" s="4">
        <v>0.56999999999999995</v>
      </c>
      <c r="D2221" s="4">
        <v>0.56999999999999995</v>
      </c>
      <c r="E2221" s="4">
        <v>0</v>
      </c>
      <c r="F2221" s="4">
        <v>0</v>
      </c>
      <c r="G2221" s="4">
        <v>0</v>
      </c>
      <c r="H2221" s="5">
        <f t="shared" si="34"/>
        <v>3.6363636363636188E-2</v>
      </c>
    </row>
    <row r="2222" spans="1:8" ht="13.5" x14ac:dyDescent="0.25">
      <c r="A2222" s="1"/>
      <c r="B2222" s="3">
        <v>45537</v>
      </c>
      <c r="C2222" s="4">
        <v>0.59</v>
      </c>
      <c r="D2222" s="4">
        <v>0.59</v>
      </c>
      <c r="E2222" s="4">
        <v>56</v>
      </c>
      <c r="F2222" s="4">
        <v>0.59</v>
      </c>
      <c r="G2222" s="4">
        <v>33.04</v>
      </c>
      <c r="H2222" s="5">
        <f t="shared" si="34"/>
        <v>3.5087719298245647E-2</v>
      </c>
    </row>
    <row r="2223" spans="1:8" ht="13.5" x14ac:dyDescent="0.25">
      <c r="A2223" s="1"/>
      <c r="B2223" s="3">
        <v>45538</v>
      </c>
      <c r="C2223" s="4">
        <v>0.61</v>
      </c>
      <c r="D2223" s="4">
        <v>0.61</v>
      </c>
      <c r="E2223" s="4">
        <v>141</v>
      </c>
      <c r="F2223" s="4">
        <v>0.61</v>
      </c>
      <c r="G2223" s="4">
        <v>86.01</v>
      </c>
      <c r="H2223" s="5">
        <f t="shared" si="34"/>
        <v>3.3898305084745797E-2</v>
      </c>
    </row>
    <row r="2224" spans="1:8" ht="13.5" x14ac:dyDescent="0.25">
      <c r="A2224" s="1"/>
      <c r="B2224" s="3">
        <v>45539</v>
      </c>
      <c r="C2224" s="4">
        <v>0.6</v>
      </c>
      <c r="D2224" s="4">
        <v>0.6</v>
      </c>
      <c r="E2224" s="4">
        <v>2911</v>
      </c>
      <c r="F2224" s="4">
        <v>0.6</v>
      </c>
      <c r="G2224" s="4">
        <v>1746.6</v>
      </c>
      <c r="H2224" s="5">
        <f t="shared" si="34"/>
        <v>-1.6393442622950834E-2</v>
      </c>
    </row>
    <row r="2225" spans="1:8" ht="13.5" x14ac:dyDescent="0.25">
      <c r="A2225" s="1"/>
      <c r="B2225" s="3">
        <v>45540</v>
      </c>
      <c r="C2225" s="4">
        <v>0.6</v>
      </c>
      <c r="D2225" s="4">
        <v>0.6</v>
      </c>
      <c r="E2225" s="4">
        <v>25</v>
      </c>
      <c r="F2225" s="4">
        <v>0.6</v>
      </c>
      <c r="G2225" s="4">
        <v>15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0.6</v>
      </c>
      <c r="D2226" s="4">
        <v>0.6</v>
      </c>
      <c r="E2226" s="4">
        <v>143</v>
      </c>
      <c r="F2226" s="4">
        <v>0.6</v>
      </c>
      <c r="G2226" s="4">
        <v>85.8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0.6</v>
      </c>
      <c r="D2227" s="4">
        <v>0.6</v>
      </c>
      <c r="E2227" s="4">
        <v>2596</v>
      </c>
      <c r="F2227" s="4">
        <v>0.6</v>
      </c>
      <c r="G2227" s="4">
        <v>1557.6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0.62</v>
      </c>
      <c r="D2228" s="4">
        <v>0.62</v>
      </c>
      <c r="E2228" s="4">
        <v>33</v>
      </c>
      <c r="F2228" s="4">
        <v>0.62</v>
      </c>
      <c r="G2228" s="4">
        <v>20.46</v>
      </c>
      <c r="H2228" s="5">
        <f t="shared" si="34"/>
        <v>3.3333333333333368E-2</v>
      </c>
    </row>
    <row r="2229" spans="1:8" ht="13.5" x14ac:dyDescent="0.25">
      <c r="A2229" s="1"/>
      <c r="B2229" s="3">
        <v>45546</v>
      </c>
      <c r="C2229" s="4">
        <v>0.62</v>
      </c>
      <c r="D2229" s="4">
        <v>0.62</v>
      </c>
      <c r="E2229" s="4">
        <v>9</v>
      </c>
      <c r="F2229" s="4">
        <v>0.62</v>
      </c>
      <c r="G2229" s="4">
        <v>5.58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0.62</v>
      </c>
      <c r="D2230" s="4">
        <v>0.62</v>
      </c>
      <c r="E2230" s="4">
        <v>2186</v>
      </c>
      <c r="F2230" s="4">
        <v>0.62</v>
      </c>
      <c r="G2230" s="4">
        <v>1355.32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0.62</v>
      </c>
      <c r="D2231" s="4">
        <v>0.62</v>
      </c>
      <c r="E2231" s="4">
        <v>1007</v>
      </c>
      <c r="F2231" s="4">
        <v>0.62</v>
      </c>
      <c r="G2231" s="4">
        <v>624.34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0.6</v>
      </c>
      <c r="D2232" s="4">
        <v>0.6</v>
      </c>
      <c r="E2232" s="4">
        <v>0</v>
      </c>
      <c r="F2232" s="4">
        <v>0</v>
      </c>
      <c r="G2232" s="4">
        <v>0</v>
      </c>
      <c r="H2232" s="5">
        <f t="shared" si="34"/>
        <v>-3.2258064516129059E-2</v>
      </c>
    </row>
    <row r="2233" spans="1:8" ht="13.5" x14ac:dyDescent="0.25">
      <c r="A2233" s="1"/>
      <c r="B2233" s="3">
        <v>45552</v>
      </c>
      <c r="C2233" s="4">
        <v>0.57999999999999996</v>
      </c>
      <c r="D2233" s="4">
        <v>0.57999999999999996</v>
      </c>
      <c r="E2233" s="4">
        <v>643</v>
      </c>
      <c r="F2233" s="4">
        <v>0.57999999999999996</v>
      </c>
      <c r="G2233" s="4">
        <v>372.94</v>
      </c>
      <c r="H2233" s="5">
        <f t="shared" si="34"/>
        <v>-3.3333333333333368E-2</v>
      </c>
    </row>
    <row r="2234" spans="1:8" ht="13.5" x14ac:dyDescent="0.25">
      <c r="A2234" s="1"/>
      <c r="B2234" s="3">
        <v>45553</v>
      </c>
      <c r="C2234" s="4">
        <v>0.57999999999999996</v>
      </c>
      <c r="D2234" s="4">
        <v>0.57999999999999996</v>
      </c>
      <c r="E2234" s="4">
        <v>358</v>
      </c>
      <c r="F2234" s="4">
        <v>0.57999999999999996</v>
      </c>
      <c r="G2234" s="4">
        <v>207.64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0.6</v>
      </c>
      <c r="D2235" s="4">
        <v>0.6</v>
      </c>
      <c r="E2235" s="4">
        <v>605</v>
      </c>
      <c r="F2235" s="4">
        <v>0.58399999999999996</v>
      </c>
      <c r="G2235" s="4">
        <v>353.32</v>
      </c>
      <c r="H2235" s="5">
        <f t="shared" si="34"/>
        <v>3.4482758620689689E-2</v>
      </c>
    </row>
    <row r="2236" spans="1:8" ht="13.5" x14ac:dyDescent="0.25">
      <c r="A2236" s="1"/>
      <c r="B2236" s="3">
        <v>45555</v>
      </c>
      <c r="C2236" s="4">
        <v>0.62</v>
      </c>
      <c r="D2236" s="4">
        <v>0.62</v>
      </c>
      <c r="E2236" s="4">
        <v>144</v>
      </c>
      <c r="F2236" s="4">
        <v>0.61</v>
      </c>
      <c r="G2236" s="4">
        <v>87.84</v>
      </c>
      <c r="H2236" s="5">
        <f t="shared" si="34"/>
        <v>3.3333333333333368E-2</v>
      </c>
    </row>
    <row r="2237" spans="1:8" ht="13.5" x14ac:dyDescent="0.25">
      <c r="A2237" s="1"/>
      <c r="B2237" s="3">
        <v>45558</v>
      </c>
      <c r="C2237" s="4">
        <v>0.63</v>
      </c>
      <c r="D2237" s="4">
        <v>0.63</v>
      </c>
      <c r="E2237" s="4">
        <v>567</v>
      </c>
      <c r="F2237" s="4">
        <v>0.63</v>
      </c>
      <c r="G2237" s="4">
        <v>357.21</v>
      </c>
      <c r="H2237" s="5">
        <f t="shared" si="34"/>
        <v>1.612903225806453E-2</v>
      </c>
    </row>
    <row r="2238" spans="1:8" ht="13.5" x14ac:dyDescent="0.25">
      <c r="A2238" s="1"/>
      <c r="B2238" s="3">
        <v>45559</v>
      </c>
      <c r="C2238" s="4">
        <v>0.63</v>
      </c>
      <c r="D2238" s="4">
        <v>0.63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0.63</v>
      </c>
      <c r="D2239" s="4">
        <v>0.63</v>
      </c>
      <c r="E2239" s="4">
        <v>18</v>
      </c>
      <c r="F2239" s="4">
        <v>0.63</v>
      </c>
      <c r="G2239" s="4">
        <v>11.34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0.62</v>
      </c>
      <c r="D2240" s="4">
        <v>0.62</v>
      </c>
      <c r="E2240" s="4">
        <v>27</v>
      </c>
      <c r="F2240" s="4">
        <v>0.62</v>
      </c>
      <c r="G2240" s="4">
        <v>16.739999999999998</v>
      </c>
      <c r="H2240" s="5">
        <f t="shared" si="34"/>
        <v>-1.5873015873015886E-2</v>
      </c>
    </row>
    <row r="2241" spans="1:8" ht="13.5" x14ac:dyDescent="0.25">
      <c r="A2241" s="1"/>
      <c r="B2241" s="3">
        <v>45562</v>
      </c>
      <c r="C2241" s="4">
        <v>0.6</v>
      </c>
      <c r="D2241" s="4">
        <v>0.6</v>
      </c>
      <c r="E2241" s="4">
        <v>40</v>
      </c>
      <c r="F2241" s="4">
        <v>0.6</v>
      </c>
      <c r="G2241" s="4">
        <v>24</v>
      </c>
      <c r="H2241" s="5">
        <f t="shared" si="34"/>
        <v>-3.2258064516129059E-2</v>
      </c>
    </row>
    <row r="2242" spans="1:8" ht="13.5" x14ac:dyDescent="0.25">
      <c r="A2242" s="1"/>
      <c r="B2242" s="3">
        <v>45565</v>
      </c>
      <c r="C2242" s="4">
        <v>0.6</v>
      </c>
      <c r="D2242" s="4">
        <v>0.6</v>
      </c>
      <c r="E2242" s="4">
        <v>7</v>
      </c>
      <c r="F2242" s="4">
        <v>0.6</v>
      </c>
      <c r="G2242" s="4">
        <v>4.2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0.59</v>
      </c>
      <c r="D2243" s="4">
        <v>0.59</v>
      </c>
      <c r="E2243" s="4">
        <v>237</v>
      </c>
      <c r="F2243" s="4">
        <v>0.59</v>
      </c>
      <c r="G2243" s="4">
        <v>139.83000000000001</v>
      </c>
      <c r="H2243" s="5">
        <f t="shared" si="34"/>
        <v>-1.6666666666666684E-2</v>
      </c>
    </row>
    <row r="2244" spans="1:8" ht="13.5" x14ac:dyDescent="0.25">
      <c r="A2244" s="1"/>
      <c r="B2244" s="3">
        <v>45567</v>
      </c>
      <c r="C2244" s="4">
        <v>0.59</v>
      </c>
      <c r="D2244" s="4">
        <v>0.59</v>
      </c>
      <c r="E2244" s="4">
        <v>0</v>
      </c>
      <c r="F2244" s="4">
        <v>0</v>
      </c>
      <c r="G2244" s="4">
        <v>0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0.56999999999999995</v>
      </c>
      <c r="D2245" s="4">
        <v>0.56999999999999995</v>
      </c>
      <c r="E2245" s="4">
        <v>383</v>
      </c>
      <c r="F2245" s="4">
        <v>0.56999999999999995</v>
      </c>
      <c r="G2245" s="4">
        <v>218.31</v>
      </c>
      <c r="H2245" s="5">
        <f t="shared" si="34"/>
        <v>-3.3898305084745797E-2</v>
      </c>
    </row>
    <row r="2246" spans="1:8" ht="13.5" x14ac:dyDescent="0.25">
      <c r="A2246" s="1"/>
      <c r="B2246" s="3">
        <v>45569</v>
      </c>
      <c r="C2246" s="4">
        <v>0.55000000000000004</v>
      </c>
      <c r="D2246" s="4">
        <v>0.55000000000000004</v>
      </c>
      <c r="E2246" s="4">
        <v>727</v>
      </c>
      <c r="F2246" s="4">
        <v>0.55000000000000004</v>
      </c>
      <c r="G2246" s="4">
        <v>399.85</v>
      </c>
      <c r="H2246" s="5">
        <f t="shared" si="34"/>
        <v>-3.5087719298245452E-2</v>
      </c>
    </row>
    <row r="2247" spans="1:8" ht="13.5" x14ac:dyDescent="0.25">
      <c r="A2247" s="1"/>
      <c r="B2247" s="3">
        <v>45572</v>
      </c>
      <c r="C2247" s="4">
        <v>0.55000000000000004</v>
      </c>
      <c r="D2247" s="4">
        <v>0.55000000000000004</v>
      </c>
      <c r="E2247" s="4">
        <v>843</v>
      </c>
      <c r="F2247" s="4">
        <v>0.55000000000000004</v>
      </c>
      <c r="G2247" s="4">
        <v>463.65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0.56999999999999995</v>
      </c>
      <c r="D2248" s="4">
        <v>0.56999999999999995</v>
      </c>
      <c r="E2248" s="4">
        <v>0</v>
      </c>
      <c r="F2248" s="4">
        <v>0</v>
      </c>
      <c r="G2248" s="4">
        <v>0</v>
      </c>
      <c r="H2248" s="5">
        <f t="shared" si="35"/>
        <v>3.6363636363636188E-2</v>
      </c>
    </row>
    <row r="2249" spans="1:8" ht="13.5" x14ac:dyDescent="0.25">
      <c r="A2249" s="1"/>
      <c r="B2249" s="3">
        <v>45574</v>
      </c>
      <c r="C2249" s="4">
        <v>0.59</v>
      </c>
      <c r="D2249" s="4">
        <v>0.59</v>
      </c>
      <c r="E2249" s="4">
        <v>0</v>
      </c>
      <c r="F2249" s="4">
        <v>0</v>
      </c>
      <c r="G2249" s="4">
        <v>0</v>
      </c>
      <c r="H2249" s="5">
        <f t="shared" si="35"/>
        <v>3.5087719298245647E-2</v>
      </c>
    </row>
    <row r="2250" spans="1:8" ht="13.5" x14ac:dyDescent="0.25">
      <c r="A2250" s="1"/>
      <c r="B2250" s="3">
        <v>45575</v>
      </c>
      <c r="C2250" s="4">
        <v>0.61</v>
      </c>
      <c r="D2250" s="4">
        <v>0.61</v>
      </c>
      <c r="E2250" s="4">
        <v>10000</v>
      </c>
      <c r="F2250" s="4">
        <v>0.61</v>
      </c>
      <c r="G2250" s="4">
        <v>6100</v>
      </c>
      <c r="H2250" s="5">
        <f t="shared" si="35"/>
        <v>3.3898305084745797E-2</v>
      </c>
    </row>
    <row r="2251" spans="1:8" ht="13.5" x14ac:dyDescent="0.25">
      <c r="A2251" s="1"/>
      <c r="B2251" s="3">
        <v>45576</v>
      </c>
      <c r="C2251" s="4">
        <v>0.59</v>
      </c>
      <c r="D2251" s="4">
        <v>0.59</v>
      </c>
      <c r="E2251" s="4">
        <v>1413</v>
      </c>
      <c r="F2251" s="4">
        <v>0.59</v>
      </c>
      <c r="G2251" s="4">
        <v>833.67</v>
      </c>
      <c r="H2251" s="5">
        <f t="shared" si="35"/>
        <v>-3.2786885245901669E-2</v>
      </c>
    </row>
    <row r="2252" spans="1:8" ht="13.5" x14ac:dyDescent="0.25">
      <c r="A2252" s="1"/>
      <c r="B2252" s="3">
        <v>45579</v>
      </c>
      <c r="C2252" s="4">
        <v>0.59</v>
      </c>
      <c r="D2252" s="4">
        <v>0.59</v>
      </c>
      <c r="E2252" s="4">
        <v>2847</v>
      </c>
      <c r="F2252" s="4">
        <v>0.59</v>
      </c>
      <c r="G2252" s="4">
        <v>1679.73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0.57999999999999996</v>
      </c>
      <c r="D2253" s="4">
        <v>0.57999999999999996</v>
      </c>
      <c r="E2253" s="4">
        <v>50</v>
      </c>
      <c r="F2253" s="4">
        <v>0.57999999999999996</v>
      </c>
      <c r="G2253" s="4">
        <v>29</v>
      </c>
      <c r="H2253" s="5">
        <f t="shared" si="35"/>
        <v>-1.6949152542372899E-2</v>
      </c>
    </row>
    <row r="2254" spans="1:8" ht="13.5" x14ac:dyDescent="0.25">
      <c r="A2254" s="1"/>
      <c r="B2254" s="3">
        <v>45582</v>
      </c>
      <c r="C2254" s="4">
        <v>0.56000000000000005</v>
      </c>
      <c r="D2254" s="4">
        <v>0.56000000000000005</v>
      </c>
      <c r="E2254" s="4">
        <v>456</v>
      </c>
      <c r="F2254" s="4">
        <v>0.56000000000000005</v>
      </c>
      <c r="G2254" s="4">
        <v>255.36</v>
      </c>
      <c r="H2254" s="5">
        <f t="shared" si="35"/>
        <v>-3.4482758620689495E-2</v>
      </c>
    </row>
    <row r="2255" spans="1:8" ht="13.5" x14ac:dyDescent="0.25">
      <c r="A2255" s="1"/>
      <c r="B2255" s="3">
        <v>45583</v>
      </c>
      <c r="C2255" s="4">
        <v>0.54</v>
      </c>
      <c r="D2255" s="4">
        <v>0.54</v>
      </c>
      <c r="E2255" s="4">
        <v>858</v>
      </c>
      <c r="F2255" s="4">
        <v>0.54</v>
      </c>
      <c r="G2255" s="4">
        <v>463.32</v>
      </c>
      <c r="H2255" s="5">
        <f t="shared" si="35"/>
        <v>-3.571428571428574E-2</v>
      </c>
    </row>
    <row r="2256" spans="1:8" ht="13.5" x14ac:dyDescent="0.25">
      <c r="A2256" s="1"/>
      <c r="B2256" s="3">
        <v>45586</v>
      </c>
      <c r="C2256" s="4">
        <v>0.53</v>
      </c>
      <c r="D2256" s="4">
        <v>0.53</v>
      </c>
      <c r="E2256" s="4">
        <v>4437</v>
      </c>
      <c r="F2256" s="4">
        <v>0.53</v>
      </c>
      <c r="G2256" s="4">
        <v>2351.61</v>
      </c>
      <c r="H2256" s="5">
        <f t="shared" si="35"/>
        <v>-1.8518518518518535E-2</v>
      </c>
    </row>
    <row r="2257" spans="1:8" ht="13.5" x14ac:dyDescent="0.25">
      <c r="A2257" s="1"/>
      <c r="B2257" s="3">
        <v>45587</v>
      </c>
      <c r="C2257" s="4">
        <v>0.51</v>
      </c>
      <c r="D2257" s="4">
        <v>0.51</v>
      </c>
      <c r="E2257" s="4">
        <v>356</v>
      </c>
      <c r="F2257" s="4">
        <v>0.51</v>
      </c>
      <c r="G2257" s="4">
        <v>181.56</v>
      </c>
      <c r="H2257" s="5">
        <f t="shared" si="35"/>
        <v>-3.7735849056603807E-2</v>
      </c>
    </row>
    <row r="2258" spans="1:8" ht="13.5" x14ac:dyDescent="0.25">
      <c r="A2258" s="1"/>
      <c r="B2258" s="3">
        <v>45588</v>
      </c>
      <c r="C2258" s="4">
        <v>0.49</v>
      </c>
      <c r="D2258" s="4">
        <v>0.49</v>
      </c>
      <c r="E2258" s="4">
        <v>1304</v>
      </c>
      <c r="F2258" s="4">
        <v>0.49</v>
      </c>
      <c r="G2258" s="4">
        <v>638.96</v>
      </c>
      <c r="H2258" s="5">
        <f t="shared" si="35"/>
        <v>-3.9215686274509838E-2</v>
      </c>
    </row>
    <row r="2259" spans="1:8" ht="13.5" x14ac:dyDescent="0.25">
      <c r="A2259" s="1"/>
      <c r="B2259" s="3">
        <v>45589</v>
      </c>
      <c r="C2259" s="4">
        <v>0.5</v>
      </c>
      <c r="D2259" s="4">
        <v>0.5</v>
      </c>
      <c r="E2259" s="4">
        <v>134</v>
      </c>
      <c r="F2259" s="4">
        <v>0.49</v>
      </c>
      <c r="G2259" s="4">
        <v>65.66</v>
      </c>
      <c r="H2259" s="5">
        <f t="shared" si="35"/>
        <v>2.0408163265306142E-2</v>
      </c>
    </row>
    <row r="2260" spans="1:8" ht="13.5" x14ac:dyDescent="0.25">
      <c r="A2260" s="1"/>
      <c r="B2260" s="3">
        <v>45590</v>
      </c>
      <c r="C2260" s="4">
        <v>0.5</v>
      </c>
      <c r="D2260" s="4">
        <v>0.5</v>
      </c>
      <c r="E2260" s="4">
        <v>68</v>
      </c>
      <c r="F2260" s="4">
        <v>0.5</v>
      </c>
      <c r="G2260" s="4">
        <v>34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0.5</v>
      </c>
      <c r="D2261" s="4">
        <v>0.5</v>
      </c>
      <c r="E2261" s="4">
        <v>228</v>
      </c>
      <c r="F2261" s="4">
        <v>0.5</v>
      </c>
      <c r="G2261" s="4">
        <v>114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0.5</v>
      </c>
      <c r="D2262" s="4">
        <v>0.5</v>
      </c>
      <c r="E2262" s="4">
        <v>552</v>
      </c>
      <c r="F2262" s="4">
        <v>0.5</v>
      </c>
      <c r="G2262" s="4">
        <v>276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0.51</v>
      </c>
      <c r="D2263" s="4">
        <v>0.51</v>
      </c>
      <c r="E2263" s="4">
        <v>427</v>
      </c>
      <c r="F2263" s="4">
        <v>0.51</v>
      </c>
      <c r="G2263" s="4">
        <v>217.77</v>
      </c>
      <c r="H2263" s="5">
        <f t="shared" si="35"/>
        <v>2.0000000000000018E-2</v>
      </c>
    </row>
    <row r="2264" spans="1:8" ht="13.5" x14ac:dyDescent="0.25">
      <c r="A2264" s="1"/>
      <c r="B2264" s="3">
        <v>45596</v>
      </c>
      <c r="C2264" s="4">
        <v>0.51</v>
      </c>
      <c r="D2264" s="4">
        <v>0.51</v>
      </c>
      <c r="E2264" s="4">
        <v>651</v>
      </c>
      <c r="F2264" s="4">
        <v>0.51</v>
      </c>
      <c r="G2264" s="4">
        <v>332.01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0.52</v>
      </c>
      <c r="D2265" s="4">
        <v>0.52</v>
      </c>
      <c r="E2265" s="4">
        <v>20</v>
      </c>
      <c r="F2265" s="4">
        <v>0.52</v>
      </c>
      <c r="G2265" s="4">
        <v>10.4</v>
      </c>
      <c r="H2265" s="5">
        <f t="shared" si="35"/>
        <v>1.9607843137254919E-2</v>
      </c>
    </row>
    <row r="2266" spans="1:8" ht="13.5" x14ac:dyDescent="0.25">
      <c r="A2266" s="1"/>
      <c r="B2266" s="3">
        <v>45600</v>
      </c>
      <c r="C2266" s="4">
        <v>0.5</v>
      </c>
      <c r="D2266" s="4">
        <v>0.5</v>
      </c>
      <c r="E2266" s="4">
        <v>200</v>
      </c>
      <c r="F2266" s="4">
        <v>0.5</v>
      </c>
      <c r="G2266" s="4">
        <v>100</v>
      </c>
      <c r="H2266" s="5">
        <f t="shared" si="35"/>
        <v>-3.8461538461538491E-2</v>
      </c>
    </row>
    <row r="2267" spans="1:8" ht="13.5" x14ac:dyDescent="0.25">
      <c r="A2267" s="1"/>
      <c r="B2267" s="3">
        <v>45601</v>
      </c>
      <c r="C2267" s="4">
        <v>0.48</v>
      </c>
      <c r="D2267" s="4">
        <v>0.48</v>
      </c>
      <c r="E2267" s="4">
        <v>0</v>
      </c>
      <c r="F2267" s="4">
        <v>0</v>
      </c>
      <c r="G2267" s="4">
        <v>0</v>
      </c>
      <c r="H2267" s="5">
        <f t="shared" si="35"/>
        <v>-4.0000000000000036E-2</v>
      </c>
    </row>
    <row r="2268" spans="1:8" ht="13.5" x14ac:dyDescent="0.25">
      <c r="A2268" s="1"/>
      <c r="B2268" s="3">
        <v>45602</v>
      </c>
      <c r="C2268" s="4">
        <v>0.46</v>
      </c>
      <c r="D2268" s="4">
        <v>0.46</v>
      </c>
      <c r="E2268" s="4">
        <v>0</v>
      </c>
      <c r="F2268" s="4">
        <v>0</v>
      </c>
      <c r="G2268" s="4">
        <v>0</v>
      </c>
      <c r="H2268" s="5">
        <f t="shared" si="35"/>
        <v>-4.1666666666666588E-2</v>
      </c>
    </row>
    <row r="2269" spans="1:8" ht="13.5" x14ac:dyDescent="0.25">
      <c r="A2269" s="1"/>
      <c r="B2269" s="3">
        <v>45603</v>
      </c>
      <c r="C2269" s="4">
        <v>0.44</v>
      </c>
      <c r="D2269" s="4">
        <v>0.44</v>
      </c>
      <c r="E2269" s="4">
        <v>16666</v>
      </c>
      <c r="F2269" s="4">
        <v>0.44</v>
      </c>
      <c r="G2269" s="4">
        <v>7333.04</v>
      </c>
      <c r="H2269" s="5">
        <f t="shared" si="35"/>
        <v>-4.3478260869565251E-2</v>
      </c>
    </row>
    <row r="2270" spans="1:8" ht="13.5" x14ac:dyDescent="0.25">
      <c r="A2270" s="1"/>
      <c r="B2270" s="3">
        <v>45604</v>
      </c>
      <c r="C2270" s="4">
        <v>0.45</v>
      </c>
      <c r="D2270" s="4">
        <v>0.45</v>
      </c>
      <c r="E2270" s="4">
        <v>150</v>
      </c>
      <c r="F2270" s="4">
        <v>0.45</v>
      </c>
      <c r="G2270" s="4">
        <v>67.5</v>
      </c>
      <c r="H2270" s="5">
        <f t="shared" si="35"/>
        <v>2.2727272727272749E-2</v>
      </c>
    </row>
    <row r="2271" spans="1:8" ht="13.5" x14ac:dyDescent="0.25">
      <c r="A2271" s="1"/>
      <c r="B2271" s="3">
        <v>45607</v>
      </c>
      <c r="C2271" s="4">
        <v>0.44</v>
      </c>
      <c r="D2271" s="4">
        <v>0.44</v>
      </c>
      <c r="E2271" s="4">
        <v>630</v>
      </c>
      <c r="F2271" s="4">
        <v>0.44</v>
      </c>
      <c r="G2271" s="4">
        <v>277.2</v>
      </c>
      <c r="H2271" s="5">
        <f t="shared" si="35"/>
        <v>-2.222222222222224E-2</v>
      </c>
    </row>
    <row r="2272" spans="1:8" ht="13.5" x14ac:dyDescent="0.25">
      <c r="A2272" s="1"/>
      <c r="B2272" s="3">
        <v>45608</v>
      </c>
      <c r="C2272" s="4">
        <v>0.45</v>
      </c>
      <c r="D2272" s="4">
        <v>0.45</v>
      </c>
      <c r="E2272" s="4">
        <v>0</v>
      </c>
      <c r="F2272" s="4">
        <v>0</v>
      </c>
      <c r="G2272" s="4">
        <v>0</v>
      </c>
      <c r="H2272" s="5">
        <f t="shared" si="35"/>
        <v>2.2727272727272749E-2</v>
      </c>
    </row>
    <row r="2273" spans="1:8" ht="13.5" x14ac:dyDescent="0.25">
      <c r="A2273" s="1"/>
      <c r="B2273" s="3">
        <v>45609</v>
      </c>
      <c r="C2273" s="4">
        <v>0.47</v>
      </c>
      <c r="D2273" s="4">
        <v>0.47</v>
      </c>
      <c r="E2273" s="4">
        <v>85</v>
      </c>
      <c r="F2273" s="4">
        <v>0.45800000000000002</v>
      </c>
      <c r="G2273" s="4">
        <v>38.93</v>
      </c>
      <c r="H2273" s="5">
        <f t="shared" si="35"/>
        <v>4.4444444444444363E-2</v>
      </c>
    </row>
    <row r="2274" spans="1:8" ht="13.5" x14ac:dyDescent="0.25">
      <c r="A2274" s="1"/>
      <c r="B2274" s="3">
        <v>45610</v>
      </c>
      <c r="C2274" s="4">
        <v>0.49</v>
      </c>
      <c r="D2274" s="4">
        <v>0.49</v>
      </c>
      <c r="E2274" s="4">
        <v>80</v>
      </c>
      <c r="F2274" s="4">
        <v>0.49</v>
      </c>
      <c r="G2274" s="4">
        <v>39.200000000000003</v>
      </c>
      <c r="H2274" s="5">
        <f t="shared" si="35"/>
        <v>4.2553191489361743E-2</v>
      </c>
    </row>
    <row r="2275" spans="1:8" ht="13.5" x14ac:dyDescent="0.25">
      <c r="A2275" s="1"/>
      <c r="B2275" s="3">
        <v>45611</v>
      </c>
      <c r="C2275" s="4">
        <v>0.49</v>
      </c>
      <c r="D2275" s="4">
        <v>0.49</v>
      </c>
      <c r="E2275" s="4">
        <v>855</v>
      </c>
      <c r="F2275" s="4">
        <v>0.49</v>
      </c>
      <c r="G2275" s="4">
        <v>418.95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0.48</v>
      </c>
      <c r="D2276" s="4">
        <v>0.48</v>
      </c>
      <c r="E2276" s="4">
        <v>975</v>
      </c>
      <c r="F2276" s="4">
        <v>0.48699999999999999</v>
      </c>
      <c r="G2276" s="4">
        <v>474.82499999999999</v>
      </c>
      <c r="H2276" s="5">
        <f t="shared" si="35"/>
        <v>-2.0408163265306142E-2</v>
      </c>
    </row>
    <row r="2277" spans="1:8" ht="13.5" x14ac:dyDescent="0.25">
      <c r="A2277" s="1"/>
      <c r="B2277" s="3">
        <v>45615</v>
      </c>
      <c r="C2277" s="4">
        <v>0.48</v>
      </c>
      <c r="D2277" s="4">
        <v>0.48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0.48</v>
      </c>
      <c r="D2278" s="4">
        <v>0.48</v>
      </c>
      <c r="E2278" s="4">
        <v>964</v>
      </c>
      <c r="F2278" s="4">
        <v>0.48</v>
      </c>
      <c r="G2278" s="4">
        <v>462.72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0.48</v>
      </c>
      <c r="D2279" s="4">
        <v>0.48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0.48</v>
      </c>
      <c r="D2280" s="4">
        <v>0.48</v>
      </c>
      <c r="E2280" s="4">
        <v>200</v>
      </c>
      <c r="F2280" s="4">
        <v>0.48</v>
      </c>
      <c r="G2280" s="4">
        <v>96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0.48</v>
      </c>
      <c r="D2281" s="4">
        <v>0.48</v>
      </c>
      <c r="E2281" s="4">
        <v>200</v>
      </c>
      <c r="F2281" s="4">
        <v>0.48</v>
      </c>
      <c r="G2281" s="4">
        <v>96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0.46</v>
      </c>
      <c r="D2282" s="4">
        <v>0.46</v>
      </c>
      <c r="E2282" s="4">
        <v>452</v>
      </c>
      <c r="F2282" s="4">
        <v>0.48</v>
      </c>
      <c r="G2282" s="4">
        <v>216.96</v>
      </c>
      <c r="H2282" s="5">
        <f t="shared" si="35"/>
        <v>-4.1666666666666588E-2</v>
      </c>
    </row>
    <row r="2283" spans="1:8" ht="13.5" x14ac:dyDescent="0.25">
      <c r="A2283" s="1"/>
      <c r="B2283" s="3">
        <v>45623</v>
      </c>
      <c r="C2283" s="4">
        <v>0.44</v>
      </c>
      <c r="D2283" s="4">
        <v>0.44</v>
      </c>
      <c r="E2283" s="4">
        <v>5490</v>
      </c>
      <c r="F2283" s="4">
        <v>0.44</v>
      </c>
      <c r="G2283" s="4">
        <v>2415.6</v>
      </c>
      <c r="H2283" s="5">
        <f t="shared" si="35"/>
        <v>-4.3478260869565251E-2</v>
      </c>
    </row>
    <row r="2284" spans="1:8" ht="13.5" x14ac:dyDescent="0.25">
      <c r="A2284" s="1"/>
      <c r="B2284" s="3">
        <v>45624</v>
      </c>
      <c r="C2284" s="4">
        <v>0.45</v>
      </c>
      <c r="D2284" s="4">
        <v>0.45</v>
      </c>
      <c r="E2284" s="4">
        <v>1000</v>
      </c>
      <c r="F2284" s="4">
        <v>0.45</v>
      </c>
      <c r="G2284" s="4">
        <v>450</v>
      </c>
      <c r="H2284" s="5">
        <f t="shared" si="35"/>
        <v>2.2727272727272749E-2</v>
      </c>
    </row>
    <row r="2285" spans="1:8" ht="13.5" x14ac:dyDescent="0.25">
      <c r="A2285" s="1"/>
      <c r="B2285" s="3">
        <v>45625</v>
      </c>
      <c r="C2285" s="4">
        <v>0.47</v>
      </c>
      <c r="D2285" s="4">
        <v>0.47</v>
      </c>
      <c r="E2285" s="4">
        <v>15</v>
      </c>
      <c r="F2285" s="4">
        <v>0.47</v>
      </c>
      <c r="G2285" s="4">
        <v>7.05</v>
      </c>
      <c r="H2285" s="5">
        <f t="shared" si="35"/>
        <v>4.4444444444444363E-2</v>
      </c>
    </row>
    <row r="2286" spans="1:8" ht="13.5" x14ac:dyDescent="0.25">
      <c r="A2286" s="1"/>
      <c r="B2286" s="3">
        <v>45628</v>
      </c>
      <c r="C2286" s="4">
        <v>0.48</v>
      </c>
      <c r="D2286" s="4">
        <v>0.48</v>
      </c>
      <c r="E2286" s="4">
        <v>109</v>
      </c>
      <c r="F2286" s="4">
        <v>0.48</v>
      </c>
      <c r="G2286" s="4">
        <v>52.32</v>
      </c>
      <c r="H2286" s="5">
        <f t="shared" si="35"/>
        <v>2.1276595744680871E-2</v>
      </c>
    </row>
    <row r="2287" spans="1:8" ht="13.5" x14ac:dyDescent="0.25">
      <c r="A2287" s="1"/>
      <c r="B2287" s="3">
        <v>45629</v>
      </c>
      <c r="C2287" s="4">
        <v>0.49</v>
      </c>
      <c r="D2287" s="4">
        <v>0.49</v>
      </c>
      <c r="E2287" s="4">
        <v>6293</v>
      </c>
      <c r="F2287" s="4">
        <v>0.49</v>
      </c>
      <c r="G2287" s="4">
        <v>3083.57</v>
      </c>
      <c r="H2287" s="5">
        <f t="shared" si="35"/>
        <v>2.0833333333333353E-2</v>
      </c>
    </row>
    <row r="2288" spans="1:8" ht="13.5" x14ac:dyDescent="0.25">
      <c r="A2288" s="1"/>
      <c r="B2288" s="3">
        <v>45630</v>
      </c>
      <c r="C2288" s="4">
        <v>0.49</v>
      </c>
      <c r="D2288" s="4">
        <v>0.49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0.47</v>
      </c>
      <c r="D2289" s="4">
        <v>0.47</v>
      </c>
      <c r="E2289" s="4">
        <v>782</v>
      </c>
      <c r="F2289" s="4">
        <v>0.47</v>
      </c>
      <c r="G2289" s="4">
        <v>367.54</v>
      </c>
      <c r="H2289" s="5">
        <f t="shared" si="35"/>
        <v>-4.0816326530612283E-2</v>
      </c>
    </row>
    <row r="2290" spans="1:8" ht="13.5" x14ac:dyDescent="0.25">
      <c r="A2290" s="1"/>
      <c r="B2290" s="3">
        <v>45632</v>
      </c>
      <c r="C2290" s="4">
        <v>0.45</v>
      </c>
      <c r="D2290" s="4">
        <v>0.45</v>
      </c>
      <c r="E2290" s="4">
        <v>1972</v>
      </c>
      <c r="F2290" s="4">
        <v>0.45</v>
      </c>
      <c r="G2290" s="4">
        <v>887.4</v>
      </c>
      <c r="H2290" s="5">
        <f t="shared" si="35"/>
        <v>-4.2553191489361625E-2</v>
      </c>
    </row>
    <row r="2291" spans="1:8" ht="13.5" x14ac:dyDescent="0.25">
      <c r="A2291" s="1"/>
      <c r="B2291" s="3">
        <v>45635</v>
      </c>
      <c r="C2291" s="4">
        <v>0.46</v>
      </c>
      <c r="D2291" s="4">
        <v>0.46</v>
      </c>
      <c r="E2291" s="4">
        <v>836</v>
      </c>
      <c r="F2291" s="4">
        <v>0.46</v>
      </c>
      <c r="G2291" s="4">
        <v>384.56</v>
      </c>
      <c r="H2291" s="5">
        <f t="shared" si="35"/>
        <v>2.222222222222224E-2</v>
      </c>
    </row>
    <row r="2292" spans="1:8" ht="13.5" x14ac:dyDescent="0.25">
      <c r="A2292" s="1"/>
      <c r="B2292" s="3">
        <v>45636</v>
      </c>
      <c r="C2292" s="4">
        <v>0.44</v>
      </c>
      <c r="D2292" s="4">
        <v>0.44</v>
      </c>
      <c r="E2292" s="4">
        <v>1431</v>
      </c>
      <c r="F2292" s="4">
        <v>0.44</v>
      </c>
      <c r="G2292" s="4">
        <v>629.64</v>
      </c>
      <c r="H2292" s="5">
        <f t="shared" si="35"/>
        <v>-4.3478260869565251E-2</v>
      </c>
    </row>
    <row r="2293" spans="1:8" ht="13.5" x14ac:dyDescent="0.25">
      <c r="A2293" s="1"/>
      <c r="B2293" s="3">
        <v>45637</v>
      </c>
      <c r="C2293" s="4">
        <v>0.45</v>
      </c>
      <c r="D2293" s="4">
        <v>0.45</v>
      </c>
      <c r="E2293" s="4">
        <v>250</v>
      </c>
      <c r="F2293" s="4">
        <v>0.45</v>
      </c>
      <c r="G2293" s="4">
        <v>112.5</v>
      </c>
      <c r="H2293" s="5">
        <f t="shared" si="35"/>
        <v>2.2727272727272749E-2</v>
      </c>
    </row>
    <row r="2294" spans="1:8" ht="13.5" x14ac:dyDescent="0.25">
      <c r="A2294" s="1"/>
      <c r="B2294" s="3">
        <v>45638</v>
      </c>
      <c r="C2294" s="4">
        <v>0.44</v>
      </c>
      <c r="D2294" s="4">
        <v>0.44</v>
      </c>
      <c r="E2294" s="4">
        <v>1663</v>
      </c>
      <c r="F2294" s="4">
        <v>0.44</v>
      </c>
      <c r="G2294" s="4">
        <v>731.72</v>
      </c>
      <c r="H2294" s="5">
        <f t="shared" si="35"/>
        <v>-2.222222222222224E-2</v>
      </c>
    </row>
    <row r="2295" spans="1:8" ht="13.5" x14ac:dyDescent="0.25">
      <c r="A2295" s="1"/>
      <c r="B2295" s="3">
        <v>45639</v>
      </c>
      <c r="C2295" s="4">
        <v>0.45</v>
      </c>
      <c r="D2295" s="4">
        <v>0.45</v>
      </c>
      <c r="E2295" s="4">
        <v>250</v>
      </c>
      <c r="F2295" s="4">
        <v>0.45</v>
      </c>
      <c r="G2295" s="4">
        <v>112.5</v>
      </c>
      <c r="H2295" s="5">
        <f t="shared" si="35"/>
        <v>2.2727272727272749E-2</v>
      </c>
    </row>
    <row r="2296" spans="1:8" ht="13.5" x14ac:dyDescent="0.25">
      <c r="A2296" s="1"/>
      <c r="B2296" s="3">
        <v>45642</v>
      </c>
      <c r="C2296" s="4">
        <v>0.45</v>
      </c>
      <c r="D2296" s="4">
        <v>0.45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0.44</v>
      </c>
      <c r="D2297" s="4">
        <v>0.44</v>
      </c>
      <c r="E2297" s="4">
        <v>750</v>
      </c>
      <c r="F2297" s="4">
        <v>0.44</v>
      </c>
      <c r="G2297" s="4">
        <v>330</v>
      </c>
      <c r="H2297" s="5">
        <f t="shared" si="35"/>
        <v>-2.222222222222224E-2</v>
      </c>
    </row>
    <row r="2298" spans="1:8" ht="13.5" x14ac:dyDescent="0.25">
      <c r="A2298" s="1"/>
      <c r="B2298" s="3">
        <v>45645</v>
      </c>
      <c r="C2298" s="4">
        <v>0.43</v>
      </c>
      <c r="D2298" s="4">
        <v>0.43</v>
      </c>
      <c r="E2298" s="4">
        <v>1650</v>
      </c>
      <c r="F2298" s="4">
        <v>0.43</v>
      </c>
      <c r="G2298" s="4">
        <v>709.5</v>
      </c>
      <c r="H2298" s="5">
        <f t="shared" si="35"/>
        <v>-2.2727272727272749E-2</v>
      </c>
    </row>
    <row r="2299" spans="1:8" ht="13.5" x14ac:dyDescent="0.25">
      <c r="A2299" s="1"/>
      <c r="B2299" s="3">
        <v>45646</v>
      </c>
      <c r="C2299" s="4">
        <v>0.43</v>
      </c>
      <c r="D2299" s="4">
        <v>0.43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0.43</v>
      </c>
      <c r="D2300" s="4">
        <v>0.43</v>
      </c>
      <c r="E2300" s="4">
        <v>140</v>
      </c>
      <c r="F2300" s="4">
        <v>0.43</v>
      </c>
      <c r="G2300" s="4">
        <v>60.2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0.43</v>
      </c>
      <c r="D2301" s="4">
        <v>0.43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0.43</v>
      </c>
      <c r="D2302" s="4">
        <v>0.43</v>
      </c>
      <c r="E2302" s="4">
        <v>849</v>
      </c>
      <c r="F2302" s="4">
        <v>0.43</v>
      </c>
      <c r="G2302" s="4">
        <v>365.07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0.43</v>
      </c>
      <c r="D2303" s="4">
        <v>0.43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0.43</v>
      </c>
      <c r="D2304" s="4">
        <v>0.43</v>
      </c>
      <c r="E2304" s="4">
        <v>910</v>
      </c>
      <c r="F2304" s="4">
        <v>0.43</v>
      </c>
      <c r="G2304" s="4">
        <v>391.3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0.42</v>
      </c>
      <c r="D2305" s="4">
        <v>0.42</v>
      </c>
      <c r="E2305" s="4">
        <v>800</v>
      </c>
      <c r="F2305" s="4">
        <v>0.42</v>
      </c>
      <c r="G2305" s="4">
        <v>336</v>
      </c>
      <c r="H2305" s="5">
        <f t="shared" si="35"/>
        <v>-2.3255813953488393E-2</v>
      </c>
    </row>
    <row r="2306" spans="1:8" ht="13.5" x14ac:dyDescent="0.25">
      <c r="A2306" s="1"/>
      <c r="B2306" s="3">
        <v>45657</v>
      </c>
      <c r="C2306" s="4">
        <v>0.42</v>
      </c>
      <c r="D2306" s="4">
        <v>0.42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0.42</v>
      </c>
      <c r="D2307" s="4">
        <v>0.42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0.42</v>
      </c>
      <c r="D2308" s="4">
        <v>0.42</v>
      </c>
      <c r="E2308" s="4">
        <v>5241</v>
      </c>
      <c r="F2308" s="4">
        <v>0.42</v>
      </c>
      <c r="G2308" s="4">
        <v>2201.2199999999998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0.42</v>
      </c>
      <c r="D2309" s="4">
        <v>0.42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0.42</v>
      </c>
      <c r="D2310" s="4">
        <v>0.42</v>
      </c>
      <c r="E2310" s="4">
        <v>2400</v>
      </c>
      <c r="F2310" s="4">
        <v>0.42</v>
      </c>
      <c r="G2310" s="4">
        <v>1008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0.42</v>
      </c>
      <c r="D2311" s="4">
        <v>0.42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0.42</v>
      </c>
      <c r="D2312" s="4">
        <v>0.42</v>
      </c>
      <c r="E2312" s="4">
        <v>0</v>
      </c>
      <c r="F2312" s="4">
        <v>0</v>
      </c>
      <c r="G2312" s="4">
        <v>0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0.41</v>
      </c>
      <c r="D2313" s="4">
        <v>0.41</v>
      </c>
      <c r="E2313" s="4">
        <v>0</v>
      </c>
      <c r="F2313" s="4">
        <v>0</v>
      </c>
      <c r="G2313" s="4">
        <v>0</v>
      </c>
      <c r="H2313" s="5">
        <f t="shared" si="36"/>
        <v>-2.3809523809523832E-2</v>
      </c>
    </row>
    <row r="2314" spans="1:8" ht="13.5" x14ac:dyDescent="0.25">
      <c r="A2314" s="1"/>
      <c r="B2314" s="3">
        <v>45670</v>
      </c>
      <c r="C2314" s="4">
        <v>0.4</v>
      </c>
      <c r="D2314" s="4">
        <v>0.4</v>
      </c>
      <c r="E2314" s="4">
        <v>550</v>
      </c>
      <c r="F2314" s="4">
        <v>0.4</v>
      </c>
      <c r="G2314" s="4">
        <v>220</v>
      </c>
      <c r="H2314" s="5">
        <f t="shared" si="36"/>
        <v>-2.4390243902438911E-2</v>
      </c>
    </row>
    <row r="2315" spans="1:8" ht="13.5" x14ac:dyDescent="0.25">
      <c r="A2315" s="1"/>
      <c r="B2315" s="3">
        <v>45671</v>
      </c>
      <c r="C2315" s="4">
        <v>0.4</v>
      </c>
      <c r="D2315" s="4">
        <v>0.4</v>
      </c>
      <c r="E2315" s="4">
        <v>5950</v>
      </c>
      <c r="F2315" s="4">
        <v>0.4</v>
      </c>
      <c r="G2315" s="4">
        <v>2380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0.4</v>
      </c>
      <c r="D2316" s="4">
        <v>0.4</v>
      </c>
      <c r="E2316" s="4">
        <v>50</v>
      </c>
      <c r="F2316" s="4">
        <v>0.4</v>
      </c>
      <c r="G2316" s="4">
        <v>20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0.4</v>
      </c>
      <c r="D2317" s="4">
        <v>0.4</v>
      </c>
      <c r="E2317" s="4">
        <v>170</v>
      </c>
      <c r="F2317" s="4">
        <v>0.4</v>
      </c>
      <c r="G2317" s="4">
        <v>68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0.4</v>
      </c>
      <c r="D2318" s="4">
        <v>0.4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0.4</v>
      </c>
      <c r="D2319" s="4">
        <v>0.4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0.39</v>
      </c>
      <c r="D2320" s="4">
        <v>0.39</v>
      </c>
      <c r="E2320" s="4">
        <v>0</v>
      </c>
      <c r="F2320" s="4">
        <v>0</v>
      </c>
      <c r="G2320" s="4">
        <v>0</v>
      </c>
      <c r="H2320" s="5">
        <f t="shared" si="36"/>
        <v>-2.5000000000000022E-2</v>
      </c>
    </row>
    <row r="2321" spans="1:8" ht="13.5" x14ac:dyDescent="0.25">
      <c r="A2321" s="1"/>
      <c r="B2321" s="3">
        <v>45679</v>
      </c>
      <c r="C2321" s="4">
        <v>0.38</v>
      </c>
      <c r="D2321" s="4">
        <v>0.38</v>
      </c>
      <c r="E2321" s="4">
        <v>0</v>
      </c>
      <c r="F2321" s="4">
        <v>0</v>
      </c>
      <c r="G2321" s="4">
        <v>0</v>
      </c>
      <c r="H2321" s="5">
        <f t="shared" si="36"/>
        <v>-2.5641025641025664E-2</v>
      </c>
    </row>
    <row r="2322" spans="1:8" ht="13.5" x14ac:dyDescent="0.25">
      <c r="A2322" s="1"/>
      <c r="B2322" s="3">
        <v>45680</v>
      </c>
      <c r="C2322" s="4">
        <v>0.37</v>
      </c>
      <c r="D2322" s="4">
        <v>0.37</v>
      </c>
      <c r="E2322" s="4">
        <v>2000</v>
      </c>
      <c r="F2322" s="4">
        <v>0.37</v>
      </c>
      <c r="G2322" s="4">
        <v>740</v>
      </c>
      <c r="H2322" s="5">
        <f t="shared" si="36"/>
        <v>-2.6315789473684233E-2</v>
      </c>
    </row>
    <row r="2323" spans="1:8" ht="13.5" x14ac:dyDescent="0.25">
      <c r="A2323" s="1"/>
      <c r="B2323" s="3">
        <v>45681</v>
      </c>
      <c r="C2323" s="4">
        <v>0.38</v>
      </c>
      <c r="D2323" s="4">
        <v>0.38</v>
      </c>
      <c r="E2323" s="4">
        <v>0</v>
      </c>
      <c r="F2323" s="4">
        <v>0</v>
      </c>
      <c r="G2323" s="4">
        <v>0</v>
      </c>
      <c r="H2323" s="5">
        <f t="shared" si="36"/>
        <v>2.7027027027027053E-2</v>
      </c>
    </row>
    <row r="2324" spans="1:8" ht="13.5" x14ac:dyDescent="0.25">
      <c r="A2324" s="1"/>
      <c r="B2324" s="3">
        <v>45684</v>
      </c>
      <c r="C2324" s="4">
        <v>0.39</v>
      </c>
      <c r="D2324" s="4">
        <v>0.39</v>
      </c>
      <c r="E2324" s="4">
        <v>0</v>
      </c>
      <c r="F2324" s="4">
        <v>0</v>
      </c>
      <c r="G2324" s="4">
        <v>0</v>
      </c>
      <c r="H2324" s="5">
        <f t="shared" si="36"/>
        <v>2.6315789473684233E-2</v>
      </c>
    </row>
    <row r="2325" spans="1:8" ht="13.5" x14ac:dyDescent="0.25">
      <c r="A2325" s="1"/>
      <c r="B2325" s="3">
        <v>45685</v>
      </c>
      <c r="C2325" s="4">
        <v>0.4</v>
      </c>
      <c r="D2325" s="4">
        <v>0.4</v>
      </c>
      <c r="E2325" s="4">
        <v>0</v>
      </c>
      <c r="F2325" s="4">
        <v>0</v>
      </c>
      <c r="G2325" s="4">
        <v>0</v>
      </c>
      <c r="H2325" s="5">
        <f t="shared" si="36"/>
        <v>2.5641025641025664E-2</v>
      </c>
    </row>
    <row r="2326" spans="1:8" ht="13.5" x14ac:dyDescent="0.25">
      <c r="A2326" s="1"/>
      <c r="B2326" s="3">
        <v>45686</v>
      </c>
      <c r="C2326" s="4">
        <v>0.41</v>
      </c>
      <c r="D2326" s="4">
        <v>0.41</v>
      </c>
      <c r="E2326" s="4">
        <v>554</v>
      </c>
      <c r="F2326" s="4">
        <v>0.41</v>
      </c>
      <c r="G2326" s="4">
        <v>227.14</v>
      </c>
      <c r="H2326" s="5">
        <f t="shared" si="36"/>
        <v>2.4999999999999883E-2</v>
      </c>
    </row>
    <row r="2327" spans="1:8" ht="13.5" x14ac:dyDescent="0.25">
      <c r="A2327" s="1"/>
      <c r="B2327" s="3">
        <v>45687</v>
      </c>
      <c r="C2327" s="4">
        <v>0.41</v>
      </c>
      <c r="D2327" s="4">
        <v>0.41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0.42</v>
      </c>
      <c r="D2328" s="4">
        <v>0.42</v>
      </c>
      <c r="E2328" s="4">
        <v>0</v>
      </c>
      <c r="F2328" s="4">
        <v>0</v>
      </c>
      <c r="G2328" s="4">
        <v>0</v>
      </c>
      <c r="H2328" s="5">
        <f t="shared" si="36"/>
        <v>2.4390243902439046E-2</v>
      </c>
    </row>
    <row r="2329" spans="1:8" ht="13.5" x14ac:dyDescent="0.25">
      <c r="A2329" s="1"/>
      <c r="B2329" s="3">
        <v>45691</v>
      </c>
      <c r="C2329" s="4">
        <v>0.43</v>
      </c>
      <c r="D2329" s="4">
        <v>0.43</v>
      </c>
      <c r="E2329" s="4">
        <v>0</v>
      </c>
      <c r="F2329" s="4">
        <v>0</v>
      </c>
      <c r="G2329" s="4">
        <v>0</v>
      </c>
      <c r="H2329" s="5">
        <f t="shared" si="36"/>
        <v>2.3809523809523832E-2</v>
      </c>
    </row>
    <row r="2330" spans="1:8" ht="13.5" x14ac:dyDescent="0.25">
      <c r="A2330" s="1"/>
      <c r="B2330" s="3">
        <v>45692</v>
      </c>
      <c r="C2330" s="4">
        <v>0.44</v>
      </c>
      <c r="D2330" s="4">
        <v>0.44</v>
      </c>
      <c r="E2330" s="4">
        <v>0</v>
      </c>
      <c r="F2330" s="4">
        <v>0</v>
      </c>
      <c r="G2330" s="4">
        <v>0</v>
      </c>
      <c r="H2330" s="5">
        <f t="shared" si="36"/>
        <v>2.3255813953488393E-2</v>
      </c>
    </row>
    <row r="2331" spans="1:8" ht="13.5" x14ac:dyDescent="0.25">
      <c r="A2331" s="1"/>
      <c r="B2331" s="3">
        <v>45693</v>
      </c>
      <c r="C2331" s="4">
        <v>0.43</v>
      </c>
      <c r="D2331" s="4">
        <v>0.43</v>
      </c>
      <c r="E2331" s="4">
        <v>0</v>
      </c>
      <c r="F2331" s="4">
        <v>0</v>
      </c>
      <c r="G2331" s="4">
        <v>0</v>
      </c>
      <c r="H2331" s="5">
        <f t="shared" si="36"/>
        <v>-2.2727272727272749E-2</v>
      </c>
    </row>
    <row r="2332" spans="1:8" ht="13.5" x14ac:dyDescent="0.25">
      <c r="A2332" s="1"/>
      <c r="B2332" s="3">
        <v>45694</v>
      </c>
      <c r="C2332" s="4">
        <v>0.42</v>
      </c>
      <c r="D2332" s="4">
        <v>0.42</v>
      </c>
      <c r="E2332" s="4">
        <v>0</v>
      </c>
      <c r="F2332" s="4">
        <v>0</v>
      </c>
      <c r="G2332" s="4">
        <v>0</v>
      </c>
      <c r="H2332" s="5">
        <f t="shared" si="36"/>
        <v>-2.3255813953488393E-2</v>
      </c>
    </row>
    <row r="2333" spans="1:8" ht="13.5" x14ac:dyDescent="0.25">
      <c r="A2333" s="1"/>
      <c r="B2333" s="3">
        <v>45695</v>
      </c>
      <c r="C2333" s="4">
        <v>0.41</v>
      </c>
      <c r="D2333" s="4">
        <v>0.41</v>
      </c>
      <c r="E2333" s="4">
        <v>17880</v>
      </c>
      <c r="F2333" s="4">
        <v>0.41</v>
      </c>
      <c r="G2333" s="4">
        <v>7330.8</v>
      </c>
      <c r="H2333" s="5">
        <f t="shared" si="36"/>
        <v>-2.3809523809523832E-2</v>
      </c>
    </row>
    <row r="2334" spans="1:8" ht="13.5" x14ac:dyDescent="0.25">
      <c r="A2334" s="1"/>
      <c r="B2334" s="3">
        <v>45698</v>
      </c>
      <c r="C2334" s="4">
        <v>0.42</v>
      </c>
      <c r="D2334" s="4">
        <v>0.42</v>
      </c>
      <c r="E2334" s="4">
        <v>0</v>
      </c>
      <c r="F2334" s="4">
        <v>0</v>
      </c>
      <c r="G2334" s="4">
        <v>0</v>
      </c>
      <c r="H2334" s="5">
        <f t="shared" si="36"/>
        <v>2.4390243902439046E-2</v>
      </c>
    </row>
    <row r="2335" spans="1:8" ht="13.5" x14ac:dyDescent="0.25">
      <c r="A2335" s="1"/>
      <c r="B2335" s="3">
        <v>45699</v>
      </c>
      <c r="C2335" s="4">
        <v>0.42</v>
      </c>
      <c r="D2335" s="4">
        <v>0.42</v>
      </c>
      <c r="E2335" s="4">
        <v>250</v>
      </c>
      <c r="F2335" s="4">
        <v>0.42</v>
      </c>
      <c r="G2335" s="4">
        <v>105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0.43</v>
      </c>
      <c r="D2336" s="4">
        <v>0.43</v>
      </c>
      <c r="E2336" s="4">
        <v>56</v>
      </c>
      <c r="F2336" s="4">
        <v>0.43</v>
      </c>
      <c r="G2336" s="4">
        <v>24.08</v>
      </c>
      <c r="H2336" s="5">
        <f t="shared" si="36"/>
        <v>2.3809523809523832E-2</v>
      </c>
    </row>
    <row r="2337" spans="1:8" ht="13.5" x14ac:dyDescent="0.25">
      <c r="A2337" s="1"/>
      <c r="B2337" s="3">
        <v>45701</v>
      </c>
      <c r="C2337" s="4">
        <v>0.42</v>
      </c>
      <c r="D2337" s="4">
        <v>0.42</v>
      </c>
      <c r="E2337" s="4">
        <v>0</v>
      </c>
      <c r="F2337" s="4">
        <v>0</v>
      </c>
      <c r="G2337" s="4">
        <v>0</v>
      </c>
      <c r="H2337" s="5">
        <f t="shared" si="36"/>
        <v>-2.3255813953488393E-2</v>
      </c>
    </row>
    <row r="2338" spans="1:8" ht="13.5" x14ac:dyDescent="0.25">
      <c r="A2338" s="1"/>
      <c r="B2338" s="3">
        <v>45702</v>
      </c>
      <c r="C2338" s="4">
        <v>0.41</v>
      </c>
      <c r="D2338" s="4">
        <v>0.41</v>
      </c>
      <c r="E2338" s="4">
        <v>0</v>
      </c>
      <c r="F2338" s="4">
        <v>0</v>
      </c>
      <c r="G2338" s="4">
        <v>0</v>
      </c>
      <c r="H2338" s="5">
        <f t="shared" si="36"/>
        <v>-2.3809523809523832E-2</v>
      </c>
    </row>
    <row r="2339" spans="1:8" ht="13.5" x14ac:dyDescent="0.25">
      <c r="A2339" s="1"/>
      <c r="B2339" s="3">
        <v>45705</v>
      </c>
      <c r="C2339" s="4">
        <v>0.4</v>
      </c>
      <c r="D2339" s="4">
        <v>0.4</v>
      </c>
      <c r="E2339" s="4">
        <v>0</v>
      </c>
      <c r="F2339" s="4">
        <v>0</v>
      </c>
      <c r="G2339" s="4">
        <v>0</v>
      </c>
      <c r="H2339" s="5">
        <f t="shared" si="36"/>
        <v>-2.4390243902438911E-2</v>
      </c>
    </row>
    <row r="2340" spans="1:8" ht="13.5" x14ac:dyDescent="0.25">
      <c r="A2340" s="1"/>
      <c r="B2340" s="3">
        <v>45706</v>
      </c>
      <c r="C2340" s="4">
        <v>0.39</v>
      </c>
      <c r="D2340" s="4">
        <v>0.39</v>
      </c>
      <c r="E2340" s="4">
        <v>0</v>
      </c>
      <c r="F2340" s="4">
        <v>0</v>
      </c>
      <c r="G2340" s="4">
        <v>0</v>
      </c>
      <c r="H2340" s="5">
        <f t="shared" si="36"/>
        <v>-2.5000000000000022E-2</v>
      </c>
    </row>
    <row r="2341" spans="1:8" ht="13.5" x14ac:dyDescent="0.25">
      <c r="A2341" s="1"/>
      <c r="B2341" s="3">
        <v>45707</v>
      </c>
      <c r="C2341" s="4">
        <v>0.38</v>
      </c>
      <c r="D2341" s="4">
        <v>0.38</v>
      </c>
      <c r="E2341" s="4">
        <v>3659</v>
      </c>
      <c r="F2341" s="4">
        <v>0.38</v>
      </c>
      <c r="G2341" s="4">
        <v>1390.42</v>
      </c>
      <c r="H2341" s="5">
        <f t="shared" si="36"/>
        <v>-2.5641025641025664E-2</v>
      </c>
    </row>
    <row r="2342" spans="1:8" ht="13.5" x14ac:dyDescent="0.25">
      <c r="A2342" s="1"/>
      <c r="B2342" s="3">
        <v>45708</v>
      </c>
      <c r="C2342" s="4">
        <v>0.39</v>
      </c>
      <c r="D2342" s="4">
        <v>0.39</v>
      </c>
      <c r="E2342" s="4">
        <v>0</v>
      </c>
      <c r="F2342" s="4">
        <v>0</v>
      </c>
      <c r="G2342" s="4">
        <v>0</v>
      </c>
      <c r="H2342" s="5">
        <f t="shared" si="36"/>
        <v>2.6315789473684233E-2</v>
      </c>
    </row>
    <row r="2343" spans="1:8" ht="13.5" x14ac:dyDescent="0.25">
      <c r="A2343" s="1"/>
      <c r="B2343" s="3">
        <v>45709</v>
      </c>
      <c r="C2343" s="4">
        <v>0.4</v>
      </c>
      <c r="D2343" s="4">
        <v>0.4</v>
      </c>
      <c r="E2343" s="4">
        <v>0</v>
      </c>
      <c r="F2343" s="4">
        <v>0</v>
      </c>
      <c r="G2343" s="4">
        <v>0</v>
      </c>
      <c r="H2343" s="5">
        <f t="shared" si="36"/>
        <v>2.5641025641025664E-2</v>
      </c>
    </row>
    <row r="2344" spans="1:8" ht="13.5" x14ac:dyDescent="0.25">
      <c r="A2344" s="1"/>
      <c r="B2344" s="3">
        <v>45712</v>
      </c>
      <c r="C2344" s="4">
        <v>0.39</v>
      </c>
      <c r="D2344" s="4">
        <v>0.39</v>
      </c>
      <c r="E2344" s="4">
        <v>2000</v>
      </c>
      <c r="F2344" s="4">
        <v>0.39</v>
      </c>
      <c r="G2344" s="4">
        <v>780</v>
      </c>
      <c r="H2344" s="5">
        <f t="shared" si="36"/>
        <v>-2.5000000000000022E-2</v>
      </c>
    </row>
    <row r="2345" spans="1:8" ht="13.5" x14ac:dyDescent="0.25">
      <c r="A2345" s="1"/>
      <c r="B2345" s="3">
        <v>45713</v>
      </c>
      <c r="C2345" s="4">
        <v>0.4</v>
      </c>
      <c r="D2345" s="4">
        <v>0.4</v>
      </c>
      <c r="E2345" s="4">
        <v>0</v>
      </c>
      <c r="F2345" s="4">
        <v>0</v>
      </c>
      <c r="G2345" s="4">
        <v>0</v>
      </c>
      <c r="H2345" s="5">
        <f t="shared" si="36"/>
        <v>2.5641025641025664E-2</v>
      </c>
    </row>
    <row r="2346" spans="1:8" ht="13.5" x14ac:dyDescent="0.25">
      <c r="A2346" s="1"/>
      <c r="B2346" s="3">
        <v>45714</v>
      </c>
      <c r="C2346" s="4">
        <v>0.41</v>
      </c>
      <c r="D2346" s="4">
        <v>0.41</v>
      </c>
      <c r="E2346" s="4">
        <v>0</v>
      </c>
      <c r="F2346" s="4">
        <v>0</v>
      </c>
      <c r="G2346" s="4">
        <v>0</v>
      </c>
      <c r="H2346" s="5">
        <f t="shared" si="36"/>
        <v>2.4999999999999883E-2</v>
      </c>
    </row>
    <row r="2347" spans="1:8" ht="13.5" x14ac:dyDescent="0.25">
      <c r="A2347" s="1"/>
      <c r="B2347" s="3">
        <v>45715</v>
      </c>
      <c r="C2347" s="4">
        <v>0.4</v>
      </c>
      <c r="D2347" s="4">
        <v>0.4</v>
      </c>
      <c r="E2347" s="4">
        <v>21</v>
      </c>
      <c r="F2347" s="4">
        <v>0.4</v>
      </c>
      <c r="G2347" s="4">
        <v>8.4</v>
      </c>
      <c r="H2347" s="5">
        <f t="shared" si="36"/>
        <v>-2.4390243902438911E-2</v>
      </c>
    </row>
    <row r="2348" spans="1:8" ht="13.5" x14ac:dyDescent="0.25">
      <c r="A2348" s="1"/>
      <c r="B2348" s="3">
        <v>45716</v>
      </c>
      <c r="C2348" s="4">
        <v>0.39</v>
      </c>
      <c r="D2348" s="4">
        <v>0.39</v>
      </c>
      <c r="E2348" s="4">
        <v>400</v>
      </c>
      <c r="F2348" s="4">
        <v>0.39</v>
      </c>
      <c r="G2348" s="4">
        <v>156</v>
      </c>
      <c r="H2348" s="5">
        <f t="shared" si="36"/>
        <v>-2.5000000000000022E-2</v>
      </c>
    </row>
    <row r="2349" spans="1:8" ht="13.5" x14ac:dyDescent="0.25">
      <c r="A2349" s="1"/>
      <c r="B2349" s="3">
        <v>45719</v>
      </c>
      <c r="C2349" s="4">
        <v>0.39</v>
      </c>
      <c r="D2349" s="4">
        <v>0.39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0.38</v>
      </c>
      <c r="D2350" s="4">
        <v>0.38</v>
      </c>
      <c r="E2350" s="4">
        <v>162</v>
      </c>
      <c r="F2350" s="4">
        <v>0.38</v>
      </c>
      <c r="G2350" s="4">
        <v>61.56</v>
      </c>
      <c r="H2350" s="5">
        <f t="shared" si="36"/>
        <v>-2.5641025641025664E-2</v>
      </c>
    </row>
    <row r="2351" spans="1:8" ht="13.5" x14ac:dyDescent="0.25">
      <c r="A2351" s="1"/>
      <c r="B2351" s="3">
        <v>45721</v>
      </c>
      <c r="C2351" s="4">
        <v>0.38</v>
      </c>
      <c r="D2351" s="4">
        <v>0.38</v>
      </c>
      <c r="E2351" s="4">
        <v>987</v>
      </c>
      <c r="F2351" s="4">
        <v>0.38</v>
      </c>
      <c r="G2351" s="4">
        <v>375.06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0.39</v>
      </c>
      <c r="D2352" s="4">
        <v>0.39</v>
      </c>
      <c r="E2352" s="4">
        <v>0</v>
      </c>
      <c r="F2352" s="4">
        <v>0</v>
      </c>
      <c r="G2352" s="4">
        <v>0</v>
      </c>
      <c r="H2352" s="5">
        <f t="shared" si="36"/>
        <v>2.6315789473684233E-2</v>
      </c>
    </row>
    <row r="2353" spans="1:8" ht="13.5" x14ac:dyDescent="0.25">
      <c r="A2353" s="1"/>
      <c r="B2353" s="3">
        <v>45723</v>
      </c>
      <c r="C2353" s="4">
        <v>0.39</v>
      </c>
      <c r="D2353" s="4">
        <v>0.39</v>
      </c>
      <c r="E2353" s="4">
        <v>371</v>
      </c>
      <c r="F2353" s="4">
        <v>0.39</v>
      </c>
      <c r="G2353" s="4">
        <v>144.69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0.4</v>
      </c>
      <c r="D2354" s="4">
        <v>0.4</v>
      </c>
      <c r="E2354" s="4">
        <v>0</v>
      </c>
      <c r="F2354" s="4">
        <v>0</v>
      </c>
      <c r="G2354" s="4">
        <v>0</v>
      </c>
      <c r="H2354" s="5">
        <f t="shared" si="36"/>
        <v>2.5641025641025664E-2</v>
      </c>
    </row>
    <row r="2355" spans="1:8" ht="13.5" x14ac:dyDescent="0.25">
      <c r="A2355" s="1"/>
      <c r="B2355" s="3">
        <v>45727</v>
      </c>
      <c r="C2355" s="4">
        <v>0.39</v>
      </c>
      <c r="D2355" s="4">
        <v>0.39</v>
      </c>
      <c r="E2355" s="4">
        <v>1000</v>
      </c>
      <c r="F2355" s="4">
        <v>0.39</v>
      </c>
      <c r="G2355" s="4">
        <v>390</v>
      </c>
      <c r="H2355" s="5">
        <f t="shared" si="36"/>
        <v>-2.5000000000000022E-2</v>
      </c>
    </row>
    <row r="2356" spans="1:8" ht="13.5" x14ac:dyDescent="0.25">
      <c r="A2356" s="1"/>
      <c r="B2356" s="3">
        <v>45728</v>
      </c>
      <c r="C2356" s="4">
        <v>0.4</v>
      </c>
      <c r="D2356" s="4">
        <v>0.4</v>
      </c>
      <c r="E2356" s="4">
        <v>0</v>
      </c>
      <c r="F2356" s="4">
        <v>0</v>
      </c>
      <c r="G2356" s="4">
        <v>0</v>
      </c>
      <c r="H2356" s="5">
        <f t="shared" si="36"/>
        <v>2.5641025641025664E-2</v>
      </c>
    </row>
    <row r="2357" spans="1:8" ht="13.5" x14ac:dyDescent="0.25">
      <c r="A2357" s="1"/>
      <c r="B2357" s="3">
        <v>45729</v>
      </c>
      <c r="C2357" s="4">
        <v>0.39</v>
      </c>
      <c r="D2357" s="4">
        <v>0.39</v>
      </c>
      <c r="E2357" s="4">
        <v>1380</v>
      </c>
      <c r="F2357" s="4">
        <v>0.39</v>
      </c>
      <c r="G2357" s="4">
        <v>538.20000000000005</v>
      </c>
      <c r="H2357" s="5">
        <f t="shared" si="36"/>
        <v>-2.5000000000000022E-2</v>
      </c>
    </row>
    <row r="2358" spans="1:8" ht="13.5" x14ac:dyDescent="0.25">
      <c r="A2358" s="1"/>
      <c r="B2358" s="3">
        <v>45730</v>
      </c>
      <c r="C2358" s="4">
        <v>0.38</v>
      </c>
      <c r="D2358" s="4">
        <v>0.38</v>
      </c>
      <c r="E2358" s="4">
        <v>1050</v>
      </c>
      <c r="F2358" s="4">
        <v>0.38</v>
      </c>
      <c r="G2358" s="4">
        <v>399</v>
      </c>
      <c r="H2358" s="5">
        <f t="shared" si="36"/>
        <v>-2.5641025641025664E-2</v>
      </c>
    </row>
    <row r="2359" spans="1:8" ht="13.5" x14ac:dyDescent="0.25">
      <c r="A2359" s="1"/>
      <c r="B2359" s="3">
        <v>45733</v>
      </c>
      <c r="C2359" s="4">
        <v>0.37</v>
      </c>
      <c r="D2359" s="4">
        <v>0.37</v>
      </c>
      <c r="E2359" s="4">
        <v>871</v>
      </c>
      <c r="F2359" s="4">
        <v>0.37</v>
      </c>
      <c r="G2359" s="4">
        <v>322.27</v>
      </c>
      <c r="H2359" s="5">
        <f t="shared" si="36"/>
        <v>-2.6315789473684233E-2</v>
      </c>
    </row>
    <row r="2360" spans="1:8" ht="13.5" x14ac:dyDescent="0.25">
      <c r="A2360" s="1"/>
      <c r="B2360" s="3">
        <v>45734</v>
      </c>
      <c r="C2360" s="4">
        <v>0.37</v>
      </c>
      <c r="D2360" s="4">
        <v>0.37</v>
      </c>
      <c r="E2360" s="4">
        <v>1440</v>
      </c>
      <c r="F2360" s="4">
        <v>0.37</v>
      </c>
      <c r="G2360" s="4">
        <v>532.79999999999995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0.36</v>
      </c>
      <c r="D2361" s="4">
        <v>0.36</v>
      </c>
      <c r="E2361" s="4">
        <v>520</v>
      </c>
      <c r="F2361" s="4">
        <v>0.36</v>
      </c>
      <c r="G2361" s="4">
        <v>187.2</v>
      </c>
      <c r="H2361" s="5">
        <f t="shared" si="36"/>
        <v>-2.7027027027027053E-2</v>
      </c>
    </row>
    <row r="2362" spans="1:8" ht="13.5" x14ac:dyDescent="0.25">
      <c r="A2362" s="1"/>
      <c r="B2362" s="3">
        <v>45737</v>
      </c>
      <c r="C2362" s="4">
        <v>0.37</v>
      </c>
      <c r="D2362" s="4">
        <v>0.37</v>
      </c>
      <c r="E2362" s="4">
        <v>0</v>
      </c>
      <c r="F2362" s="4">
        <v>0</v>
      </c>
      <c r="G2362" s="4">
        <v>0</v>
      </c>
      <c r="H2362" s="5">
        <f t="shared" si="36"/>
        <v>2.7777777777777804E-2</v>
      </c>
    </row>
    <row r="2363" spans="1:8" ht="13.5" x14ac:dyDescent="0.25">
      <c r="A2363" s="1"/>
      <c r="B2363" s="3">
        <v>45740</v>
      </c>
      <c r="C2363" s="4">
        <v>0.38</v>
      </c>
      <c r="D2363" s="4">
        <v>0.38</v>
      </c>
      <c r="E2363" s="4">
        <v>0</v>
      </c>
      <c r="F2363" s="4">
        <v>0</v>
      </c>
      <c r="G2363" s="4">
        <v>0</v>
      </c>
      <c r="H2363" s="5">
        <f t="shared" si="36"/>
        <v>2.7027027027027053E-2</v>
      </c>
    </row>
    <row r="2364" spans="1:8" ht="13.5" x14ac:dyDescent="0.25">
      <c r="A2364" s="1"/>
      <c r="B2364" s="3">
        <v>45741</v>
      </c>
      <c r="C2364" s="4">
        <v>0.37</v>
      </c>
      <c r="D2364" s="4">
        <v>0.37</v>
      </c>
      <c r="E2364" s="4">
        <v>1752</v>
      </c>
      <c r="F2364" s="4">
        <v>0.37</v>
      </c>
      <c r="G2364" s="4">
        <v>648.24</v>
      </c>
      <c r="H2364" s="5">
        <f t="shared" si="36"/>
        <v>-2.6315789473684233E-2</v>
      </c>
    </row>
    <row r="2365" spans="1:8" ht="13.5" x14ac:dyDescent="0.25">
      <c r="A2365" s="1"/>
      <c r="B2365" s="3">
        <v>45742</v>
      </c>
      <c r="C2365" s="4">
        <v>0.38</v>
      </c>
      <c r="D2365" s="4">
        <v>0.38</v>
      </c>
      <c r="E2365" s="4">
        <v>0</v>
      </c>
      <c r="F2365" s="4">
        <v>0</v>
      </c>
      <c r="G2365" s="4">
        <v>0</v>
      </c>
      <c r="H2365" s="5">
        <f t="shared" si="36"/>
        <v>2.7027027027027053E-2</v>
      </c>
    </row>
    <row r="2366" spans="1:8" ht="13.5" x14ac:dyDescent="0.25">
      <c r="A2366" s="1"/>
      <c r="B2366" s="3">
        <v>45743</v>
      </c>
      <c r="C2366" s="4">
        <v>0.39</v>
      </c>
      <c r="D2366" s="4">
        <v>0.39</v>
      </c>
      <c r="E2366" s="4">
        <v>0</v>
      </c>
      <c r="F2366" s="4">
        <v>0</v>
      </c>
      <c r="G2366" s="4">
        <v>0</v>
      </c>
      <c r="H2366" s="5">
        <f t="shared" si="36"/>
        <v>2.6315789473684233E-2</v>
      </c>
    </row>
    <row r="2367" spans="1:8" ht="13.5" x14ac:dyDescent="0.25">
      <c r="A2367" s="1"/>
      <c r="B2367" s="3">
        <v>45744</v>
      </c>
      <c r="C2367" s="4">
        <v>0.39</v>
      </c>
      <c r="D2367" s="4">
        <v>0.39</v>
      </c>
      <c r="E2367" s="4">
        <v>2000</v>
      </c>
      <c r="F2367" s="4">
        <v>0.39</v>
      </c>
      <c r="G2367" s="4">
        <v>780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0.4</v>
      </c>
      <c r="D2368" s="4">
        <v>0.4</v>
      </c>
      <c r="E2368" s="4">
        <v>705</v>
      </c>
      <c r="F2368" s="4">
        <v>0.4</v>
      </c>
      <c r="G2368" s="4">
        <v>282</v>
      </c>
      <c r="H2368" s="5">
        <f t="shared" si="36"/>
        <v>2.5641025641025664E-2</v>
      </c>
    </row>
    <row r="2369" spans="1:8" ht="13.5" x14ac:dyDescent="0.25">
      <c r="A2369" s="1"/>
      <c r="B2369" s="3">
        <v>45750</v>
      </c>
      <c r="C2369" s="4">
        <v>0.41</v>
      </c>
      <c r="D2369" s="4">
        <v>0.41</v>
      </c>
      <c r="E2369" s="4">
        <v>25</v>
      </c>
      <c r="F2369" s="4">
        <v>0.41</v>
      </c>
      <c r="G2369" s="4">
        <v>10.25</v>
      </c>
      <c r="H2369" s="5">
        <f t="shared" si="36"/>
        <v>2.4999999999999883E-2</v>
      </c>
    </row>
    <row r="2370" spans="1:8" ht="13.5" x14ac:dyDescent="0.25">
      <c r="A2370" s="1"/>
      <c r="B2370" s="3">
        <v>45751</v>
      </c>
      <c r="C2370" s="4">
        <v>0.42</v>
      </c>
      <c r="D2370" s="4">
        <v>0.42</v>
      </c>
      <c r="E2370" s="4">
        <v>2414</v>
      </c>
      <c r="F2370" s="4">
        <v>0.42</v>
      </c>
      <c r="G2370" s="4">
        <v>1013.88</v>
      </c>
      <c r="H2370" s="5">
        <f t="shared" si="36"/>
        <v>2.4390243902439046E-2</v>
      </c>
    </row>
    <row r="2371" spans="1:8" ht="13.5" x14ac:dyDescent="0.25">
      <c r="A2371" s="1"/>
      <c r="B2371" s="3">
        <v>45754</v>
      </c>
      <c r="C2371" s="4">
        <v>0.43</v>
      </c>
      <c r="D2371" s="4">
        <v>0.43</v>
      </c>
      <c r="E2371" s="4">
        <v>3152</v>
      </c>
      <c r="F2371" s="4">
        <v>0.43</v>
      </c>
      <c r="G2371" s="4">
        <v>1355.36</v>
      </c>
      <c r="H2371" s="5">
        <f t="shared" si="36"/>
        <v>2.3809523809523832E-2</v>
      </c>
    </row>
    <row r="2372" spans="1:8" ht="13.5" x14ac:dyDescent="0.25">
      <c r="A2372" s="1"/>
      <c r="B2372" s="3">
        <v>45755</v>
      </c>
      <c r="C2372" s="4">
        <v>0.44</v>
      </c>
      <c r="D2372" s="4">
        <v>0.44</v>
      </c>
      <c r="E2372" s="4">
        <v>1341</v>
      </c>
      <c r="F2372" s="4">
        <v>0.44</v>
      </c>
      <c r="G2372" s="4">
        <v>590.04</v>
      </c>
      <c r="H2372" s="5">
        <f t="shared" si="36"/>
        <v>2.3255813953488393E-2</v>
      </c>
    </row>
    <row r="2373" spans="1:8" ht="13.5" x14ac:dyDescent="0.25">
      <c r="A2373" s="1"/>
      <c r="B2373" s="3">
        <v>45757</v>
      </c>
      <c r="C2373" s="4">
        <v>0.45</v>
      </c>
      <c r="D2373" s="4">
        <v>0.45</v>
      </c>
      <c r="E2373" s="4">
        <v>1033</v>
      </c>
      <c r="F2373" s="4">
        <v>0.45</v>
      </c>
      <c r="G2373" s="4">
        <v>464.85</v>
      </c>
      <c r="H2373" s="5">
        <f t="shared" si="36"/>
        <v>2.2727272727272749E-2</v>
      </c>
    </row>
    <row r="2374" spans="1:8" ht="13.5" x14ac:dyDescent="0.25">
      <c r="A2374" s="1"/>
      <c r="B2374" s="3">
        <v>45758</v>
      </c>
      <c r="C2374" s="4">
        <v>0.47</v>
      </c>
      <c r="D2374" s="4">
        <v>0.47</v>
      </c>
      <c r="E2374" s="4">
        <v>0</v>
      </c>
      <c r="F2374" s="4">
        <v>0</v>
      </c>
      <c r="G2374" s="4">
        <v>0</v>
      </c>
      <c r="H2374" s="5">
        <f t="shared" si="36"/>
        <v>4.4444444444444363E-2</v>
      </c>
    </row>
    <row r="2375" spans="1:8" ht="13.5" x14ac:dyDescent="0.25">
      <c r="A2375" s="1"/>
      <c r="B2375" s="3">
        <v>45761</v>
      </c>
      <c r="C2375" s="4">
        <v>0.47</v>
      </c>
      <c r="D2375" s="4">
        <v>0.47</v>
      </c>
      <c r="E2375" s="4">
        <v>2210</v>
      </c>
      <c r="F2375" s="4">
        <v>0.47</v>
      </c>
      <c r="G2375" s="4">
        <v>1038.7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0.47</v>
      </c>
      <c r="D2376" s="4">
        <v>0.47</v>
      </c>
      <c r="E2376" s="4">
        <v>12380</v>
      </c>
      <c r="F2376" s="4">
        <v>0.47</v>
      </c>
      <c r="G2376" s="4">
        <v>5818.6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0.49</v>
      </c>
      <c r="D2377" s="4">
        <v>0.49</v>
      </c>
      <c r="E2377" s="4">
        <v>0</v>
      </c>
      <c r="F2377" s="4">
        <v>0</v>
      </c>
      <c r="G2377" s="4">
        <v>0</v>
      </c>
      <c r="H2377" s="5">
        <f t="shared" si="37"/>
        <v>4.2553191489361743E-2</v>
      </c>
    </row>
    <row r="2378" spans="1:8" ht="13.5" x14ac:dyDescent="0.25">
      <c r="A2378" s="1"/>
      <c r="B2378" s="3">
        <v>45764</v>
      </c>
      <c r="C2378" s="4">
        <v>0.47</v>
      </c>
      <c r="D2378" s="4">
        <v>0.47</v>
      </c>
      <c r="E2378" s="4">
        <v>5761</v>
      </c>
      <c r="F2378" s="4">
        <v>0.47</v>
      </c>
      <c r="G2378" s="4">
        <v>2707.67</v>
      </c>
      <c r="H2378" s="5">
        <f t="shared" si="37"/>
        <v>-4.0816326530612283E-2</v>
      </c>
    </row>
    <row r="2379" spans="1:8" ht="13.5" x14ac:dyDescent="0.25">
      <c r="A2379" s="1"/>
      <c r="B2379" s="3">
        <v>45765</v>
      </c>
      <c r="C2379" s="4">
        <v>0.49</v>
      </c>
      <c r="D2379" s="4">
        <v>0.49</v>
      </c>
      <c r="E2379" s="4">
        <v>0</v>
      </c>
      <c r="F2379" s="4">
        <v>0</v>
      </c>
      <c r="G2379" s="4">
        <v>0</v>
      </c>
      <c r="H2379" s="5">
        <f t="shared" si="37"/>
        <v>4.2553191489361743E-2</v>
      </c>
    </row>
    <row r="2380" spans="1:8" ht="13.5" x14ac:dyDescent="0.25">
      <c r="A2380" s="1"/>
      <c r="B2380" s="3">
        <v>45768</v>
      </c>
      <c r="C2380" s="4">
        <v>0.51</v>
      </c>
      <c r="D2380" s="4">
        <v>0.51</v>
      </c>
      <c r="E2380" s="4">
        <v>0</v>
      </c>
      <c r="F2380" s="4">
        <v>0</v>
      </c>
      <c r="G2380" s="4">
        <v>0</v>
      </c>
      <c r="H2380" s="5">
        <f t="shared" si="37"/>
        <v>4.0816326530612283E-2</v>
      </c>
    </row>
    <row r="2381" spans="1:8" ht="13.5" x14ac:dyDescent="0.25">
      <c r="A2381" s="1"/>
      <c r="B2381" s="3">
        <v>45769</v>
      </c>
      <c r="C2381" s="4">
        <v>0.49</v>
      </c>
      <c r="D2381" s="4">
        <v>0.49</v>
      </c>
      <c r="E2381" s="4">
        <v>2990</v>
      </c>
      <c r="F2381" s="4">
        <v>0.49</v>
      </c>
      <c r="G2381" s="4">
        <v>1465.1</v>
      </c>
      <c r="H2381" s="5">
        <f t="shared" si="37"/>
        <v>-3.9215686274509838E-2</v>
      </c>
    </row>
    <row r="2382" spans="1:8" ht="13.5" x14ac:dyDescent="0.25">
      <c r="A2382" s="1"/>
      <c r="B2382" s="3">
        <v>45770</v>
      </c>
      <c r="C2382" s="4">
        <v>0.5</v>
      </c>
      <c r="D2382" s="4">
        <v>0.5</v>
      </c>
      <c r="E2382" s="4">
        <v>9175</v>
      </c>
      <c r="F2382" s="4">
        <v>0.5</v>
      </c>
      <c r="G2382" s="4">
        <v>4587.5</v>
      </c>
      <c r="H2382" s="5">
        <f t="shared" si="37"/>
        <v>2.0408163265306142E-2</v>
      </c>
    </row>
    <row r="2383" spans="1:8" ht="13.5" x14ac:dyDescent="0.25">
      <c r="A2383" s="1"/>
      <c r="B2383" s="3">
        <v>45771</v>
      </c>
      <c r="C2383" s="4">
        <v>0.52</v>
      </c>
      <c r="D2383" s="4">
        <v>0.52</v>
      </c>
      <c r="E2383" s="4">
        <v>13832</v>
      </c>
      <c r="F2383" s="4">
        <v>0.52</v>
      </c>
      <c r="G2383" s="4">
        <v>7192.64</v>
      </c>
      <c r="H2383" s="5">
        <f t="shared" si="37"/>
        <v>4.0000000000000036E-2</v>
      </c>
    </row>
    <row r="2384" spans="1:8" ht="13.5" x14ac:dyDescent="0.25">
      <c r="A2384" s="1"/>
      <c r="B2384" s="3">
        <v>45772</v>
      </c>
      <c r="C2384" s="4">
        <v>0.54</v>
      </c>
      <c r="D2384" s="4">
        <v>0.54</v>
      </c>
      <c r="E2384" s="4">
        <v>0</v>
      </c>
      <c r="F2384" s="4">
        <v>0</v>
      </c>
      <c r="G2384" s="4">
        <v>0</v>
      </c>
      <c r="H2384" s="5">
        <f t="shared" si="37"/>
        <v>3.8461538461538491E-2</v>
      </c>
    </row>
    <row r="2385" spans="1:8" ht="13.5" x14ac:dyDescent="0.25">
      <c r="A2385" s="1"/>
      <c r="B2385" s="3">
        <v>45775</v>
      </c>
      <c r="C2385" s="4">
        <v>0.56000000000000005</v>
      </c>
      <c r="D2385" s="4">
        <v>0.56000000000000005</v>
      </c>
      <c r="E2385" s="4">
        <v>11775</v>
      </c>
      <c r="F2385" s="4">
        <v>0.56000000000000005</v>
      </c>
      <c r="G2385" s="4">
        <v>6594</v>
      </c>
      <c r="H2385" s="5">
        <f t="shared" si="37"/>
        <v>3.703703703703707E-2</v>
      </c>
    </row>
    <row r="2386" spans="1:8" ht="13.5" x14ac:dyDescent="0.25">
      <c r="A2386" s="1"/>
      <c r="B2386" s="3">
        <v>45776</v>
      </c>
      <c r="C2386" s="4">
        <v>0.57999999999999996</v>
      </c>
      <c r="D2386" s="4">
        <v>0.57999999999999996</v>
      </c>
      <c r="E2386" s="4">
        <v>0</v>
      </c>
      <c r="F2386" s="4">
        <v>0</v>
      </c>
      <c r="G2386" s="4">
        <v>0</v>
      </c>
      <c r="H2386" s="5">
        <f t="shared" si="37"/>
        <v>3.5714285714285546E-2</v>
      </c>
    </row>
    <row r="2387" spans="1:8" ht="13.5" x14ac:dyDescent="0.25">
      <c r="A2387" s="1"/>
      <c r="B2387" s="3">
        <v>45777</v>
      </c>
      <c r="C2387" s="4">
        <v>0.6</v>
      </c>
      <c r="D2387" s="4">
        <v>0.6</v>
      </c>
      <c r="E2387" s="4">
        <v>0</v>
      </c>
      <c r="F2387" s="4">
        <v>0</v>
      </c>
      <c r="G2387" s="4">
        <v>0</v>
      </c>
      <c r="H2387" s="5">
        <f t="shared" si="37"/>
        <v>3.4482758620689689E-2</v>
      </c>
    </row>
    <row r="2388" spans="1:8" ht="13.5" x14ac:dyDescent="0.25">
      <c r="A2388" s="1"/>
      <c r="B2388" s="3">
        <v>45779</v>
      </c>
      <c r="C2388" s="4">
        <v>0.6</v>
      </c>
      <c r="D2388" s="4">
        <v>0.6</v>
      </c>
      <c r="E2388" s="4">
        <v>4083</v>
      </c>
      <c r="F2388" s="4">
        <v>0.6</v>
      </c>
      <c r="G2388" s="4">
        <v>2449.8000000000002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0.62</v>
      </c>
      <c r="D2389" s="4">
        <v>0.62</v>
      </c>
      <c r="E2389" s="4">
        <v>4090</v>
      </c>
      <c r="F2389" s="4">
        <v>0.62</v>
      </c>
      <c r="G2389" s="4">
        <v>2535.8000000000002</v>
      </c>
      <c r="H2389" s="5">
        <f t="shared" si="37"/>
        <v>3.3333333333333368E-2</v>
      </c>
    </row>
    <row r="2390" spans="1:8" ht="13.5" x14ac:dyDescent="0.25">
      <c r="A2390" s="1"/>
      <c r="B2390" s="3">
        <v>45783</v>
      </c>
      <c r="C2390" s="4">
        <v>0.62</v>
      </c>
      <c r="D2390" s="4">
        <v>0.62</v>
      </c>
      <c r="E2390" s="4">
        <v>1000</v>
      </c>
      <c r="F2390" s="4">
        <v>0.62</v>
      </c>
      <c r="G2390" s="4">
        <v>620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0.64</v>
      </c>
      <c r="D2391" s="4">
        <v>0.64</v>
      </c>
      <c r="E2391" s="4">
        <v>7520</v>
      </c>
      <c r="F2391" s="4">
        <v>0.64</v>
      </c>
      <c r="G2391" s="4">
        <v>4812.8</v>
      </c>
      <c r="H2391" s="5">
        <f t="shared" si="37"/>
        <v>3.2258064516129059E-2</v>
      </c>
    </row>
    <row r="2392" spans="1:8" ht="13.5" x14ac:dyDescent="0.25">
      <c r="A2392" s="1"/>
      <c r="B2392" s="3">
        <v>45785</v>
      </c>
      <c r="C2392" s="4">
        <v>0.64</v>
      </c>
      <c r="D2392" s="4">
        <v>0.64</v>
      </c>
      <c r="E2392" s="4">
        <v>2261</v>
      </c>
      <c r="F2392" s="4">
        <v>0.64</v>
      </c>
      <c r="G2392" s="4">
        <v>1447.04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0.62</v>
      </c>
      <c r="D2393" s="4">
        <v>0.62</v>
      </c>
      <c r="E2393" s="4">
        <v>0</v>
      </c>
      <c r="F2393" s="4">
        <v>0</v>
      </c>
      <c r="G2393" s="4">
        <v>0</v>
      </c>
      <c r="H2393" s="5">
        <f t="shared" si="37"/>
        <v>-3.1250000000000028E-2</v>
      </c>
    </row>
    <row r="2394" spans="1:8" ht="13.5" x14ac:dyDescent="0.25">
      <c r="A2394" s="1"/>
      <c r="B2394" s="3">
        <v>45789</v>
      </c>
      <c r="C2394" s="4">
        <v>0.6</v>
      </c>
      <c r="D2394" s="4">
        <v>0.6</v>
      </c>
      <c r="E2394" s="4">
        <v>50</v>
      </c>
      <c r="F2394" s="4">
        <v>0.6</v>
      </c>
      <c r="G2394" s="4">
        <v>30</v>
      </c>
      <c r="H2394" s="5">
        <f t="shared" si="37"/>
        <v>-3.2258064516129059E-2</v>
      </c>
    </row>
    <row r="2395" spans="1:8" ht="13.5" x14ac:dyDescent="0.25">
      <c r="A2395" s="1"/>
      <c r="B2395" s="3">
        <v>45790</v>
      </c>
      <c r="C2395" s="4">
        <v>0.57999999999999996</v>
      </c>
      <c r="D2395" s="4">
        <v>0.57999999999999996</v>
      </c>
      <c r="E2395" s="4">
        <v>2830</v>
      </c>
      <c r="F2395" s="4">
        <v>0.57999999999999996</v>
      </c>
      <c r="G2395" s="4">
        <v>1641.4</v>
      </c>
      <c r="H2395" s="5">
        <f t="shared" si="37"/>
        <v>-3.3333333333333368E-2</v>
      </c>
    </row>
    <row r="2396" spans="1:8" ht="13.5" x14ac:dyDescent="0.25">
      <c r="A2396" s="1"/>
      <c r="B2396" s="3">
        <v>45791</v>
      </c>
      <c r="C2396" s="4">
        <v>0.56000000000000005</v>
      </c>
      <c r="D2396" s="4">
        <v>0.56000000000000005</v>
      </c>
      <c r="E2396" s="4">
        <v>0</v>
      </c>
      <c r="F2396" s="4">
        <v>0</v>
      </c>
      <c r="G2396" s="4">
        <v>0</v>
      </c>
      <c r="H2396" s="5">
        <f t="shared" si="37"/>
        <v>-3.4482758620689495E-2</v>
      </c>
    </row>
    <row r="2397" spans="1:8" ht="13.5" x14ac:dyDescent="0.25">
      <c r="A2397" s="1"/>
      <c r="B2397" s="3">
        <v>45792</v>
      </c>
      <c r="C2397" s="4">
        <v>0.54</v>
      </c>
      <c r="D2397" s="4">
        <v>0.54</v>
      </c>
      <c r="E2397" s="4">
        <v>0</v>
      </c>
      <c r="F2397" s="4">
        <v>0</v>
      </c>
      <c r="G2397" s="4">
        <v>0</v>
      </c>
      <c r="H2397" s="5">
        <f t="shared" si="37"/>
        <v>-3.571428571428574E-2</v>
      </c>
    </row>
    <row r="2398" spans="1:8" ht="13.5" x14ac:dyDescent="0.25">
      <c r="A2398" s="1"/>
      <c r="B2398" s="3">
        <v>45793</v>
      </c>
      <c r="C2398" s="4">
        <v>0.52</v>
      </c>
      <c r="D2398" s="4">
        <v>0.52</v>
      </c>
      <c r="E2398" s="4">
        <v>0</v>
      </c>
      <c r="F2398" s="4">
        <v>0</v>
      </c>
      <c r="G2398" s="4">
        <v>0</v>
      </c>
      <c r="H2398" s="5">
        <f t="shared" si="37"/>
        <v>-3.703703703703707E-2</v>
      </c>
    </row>
    <row r="2399" spans="1:8" ht="13.5" x14ac:dyDescent="0.25">
      <c r="A2399" s="1"/>
      <c r="B2399" s="3">
        <v>45796</v>
      </c>
      <c r="C2399" s="4">
        <v>0.5</v>
      </c>
      <c r="D2399" s="4">
        <v>0.5</v>
      </c>
      <c r="E2399" s="4">
        <v>0</v>
      </c>
      <c r="F2399" s="4">
        <v>0</v>
      </c>
      <c r="G2399" s="4">
        <v>0</v>
      </c>
      <c r="H2399" s="5">
        <f t="shared" si="37"/>
        <v>-3.8461538461538491E-2</v>
      </c>
    </row>
    <row r="2400" spans="1:8" ht="13.5" x14ac:dyDescent="0.25">
      <c r="A2400" s="1"/>
      <c r="B2400" s="3">
        <v>45797</v>
      </c>
      <c r="C2400" s="4">
        <v>0.48</v>
      </c>
      <c r="D2400" s="4">
        <v>0.48</v>
      </c>
      <c r="E2400" s="4">
        <v>7111</v>
      </c>
      <c r="F2400" s="4">
        <v>0.48</v>
      </c>
      <c r="G2400" s="4">
        <v>3413.28</v>
      </c>
      <c r="H2400" s="5">
        <f t="shared" si="37"/>
        <v>-4.0000000000000036E-2</v>
      </c>
    </row>
    <row r="2401" spans="1:8" ht="13.5" x14ac:dyDescent="0.25">
      <c r="A2401" s="1"/>
      <c r="B2401" s="3">
        <v>45798</v>
      </c>
      <c r="C2401" s="4">
        <v>0.5</v>
      </c>
      <c r="D2401" s="4">
        <v>0.5</v>
      </c>
      <c r="E2401" s="4">
        <v>301</v>
      </c>
      <c r="F2401" s="4">
        <v>0.5</v>
      </c>
      <c r="G2401" s="4">
        <v>150.5</v>
      </c>
      <c r="H2401" s="5">
        <f t="shared" si="37"/>
        <v>4.1666666666666706E-2</v>
      </c>
    </row>
    <row r="2402" spans="1:8" ht="13.5" x14ac:dyDescent="0.25">
      <c r="A2402" s="1"/>
      <c r="B2402" s="3">
        <v>45799</v>
      </c>
      <c r="C2402" s="4">
        <v>0.52</v>
      </c>
      <c r="D2402" s="4">
        <v>0.52</v>
      </c>
      <c r="E2402" s="4">
        <v>1200</v>
      </c>
      <c r="F2402" s="4">
        <v>0.52</v>
      </c>
      <c r="G2402" s="4">
        <v>624</v>
      </c>
      <c r="H2402" s="5">
        <f t="shared" si="37"/>
        <v>4.0000000000000036E-2</v>
      </c>
    </row>
    <row r="2403" spans="1:8" ht="13.5" x14ac:dyDescent="0.25">
      <c r="A2403" s="1"/>
      <c r="B2403" s="3">
        <v>45800</v>
      </c>
      <c r="C2403" s="4">
        <v>0.52</v>
      </c>
      <c r="D2403" s="4">
        <v>0.52</v>
      </c>
      <c r="E2403" s="4">
        <v>500</v>
      </c>
      <c r="F2403" s="4">
        <v>0.52</v>
      </c>
      <c r="G2403" s="4">
        <v>260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0.54</v>
      </c>
      <c r="D2404" s="4">
        <v>0.54</v>
      </c>
      <c r="E2404" s="4">
        <v>0</v>
      </c>
      <c r="F2404" s="4">
        <v>0</v>
      </c>
      <c r="G2404" s="4">
        <v>0</v>
      </c>
      <c r="H2404" s="5">
        <f t="shared" si="37"/>
        <v>3.8461538461538491E-2</v>
      </c>
    </row>
    <row r="2405" spans="1:8" ht="13.5" x14ac:dyDescent="0.25">
      <c r="A2405" s="1"/>
      <c r="B2405" s="3">
        <v>45804</v>
      </c>
      <c r="C2405" s="4">
        <v>0.53</v>
      </c>
      <c r="D2405" s="4">
        <v>0.53</v>
      </c>
      <c r="E2405" s="4">
        <v>3209</v>
      </c>
      <c r="F2405" s="4">
        <v>0.53</v>
      </c>
      <c r="G2405" s="4">
        <v>1700.77</v>
      </c>
      <c r="H2405" s="5">
        <f t="shared" si="37"/>
        <v>-1.8518518518518535E-2</v>
      </c>
    </row>
    <row r="2406" spans="1:8" ht="13.5" x14ac:dyDescent="0.25">
      <c r="A2406" s="1"/>
      <c r="B2406" s="3">
        <v>45805</v>
      </c>
      <c r="C2406" s="4">
        <v>0.52</v>
      </c>
      <c r="D2406" s="4">
        <v>0.52</v>
      </c>
      <c r="E2406" s="4">
        <v>6800</v>
      </c>
      <c r="F2406" s="4">
        <v>0.52</v>
      </c>
      <c r="G2406" s="4">
        <v>3536</v>
      </c>
      <c r="H2406" s="5">
        <f t="shared" si="37"/>
        <v>-1.8867924528301903E-2</v>
      </c>
    </row>
    <row r="2407" spans="1:8" ht="13.5" x14ac:dyDescent="0.25">
      <c r="A2407" s="1"/>
      <c r="B2407" s="3">
        <v>45806</v>
      </c>
      <c r="C2407" s="4">
        <v>0.54</v>
      </c>
      <c r="D2407" s="4">
        <v>0.54</v>
      </c>
      <c r="E2407" s="4">
        <v>933</v>
      </c>
      <c r="F2407" s="4">
        <v>0.54</v>
      </c>
      <c r="G2407" s="4">
        <v>503.82</v>
      </c>
      <c r="H2407" s="5">
        <f t="shared" si="37"/>
        <v>3.8461538461538491E-2</v>
      </c>
    </row>
    <row r="2408" spans="1:8" ht="13.5" x14ac:dyDescent="0.25">
      <c r="A2408" s="1"/>
      <c r="B2408" s="3">
        <v>45807</v>
      </c>
      <c r="C2408" s="4">
        <v>0.56000000000000005</v>
      </c>
      <c r="D2408" s="4">
        <v>0.56000000000000005</v>
      </c>
      <c r="E2408" s="4">
        <v>4092</v>
      </c>
      <c r="F2408" s="4">
        <v>0.56000000000000005</v>
      </c>
      <c r="G2408" s="4">
        <v>2291.52</v>
      </c>
      <c r="H2408" s="5">
        <f t="shared" si="37"/>
        <v>3.703703703703707E-2</v>
      </c>
    </row>
    <row r="2409" spans="1:8" ht="13.5" x14ac:dyDescent="0.25">
      <c r="A2409" s="1"/>
      <c r="B2409" s="3">
        <v>45810</v>
      </c>
      <c r="C2409" s="4">
        <v>0.57999999999999996</v>
      </c>
      <c r="D2409" s="4">
        <v>0.57999999999999996</v>
      </c>
      <c r="E2409" s="4">
        <v>586</v>
      </c>
      <c r="F2409" s="4">
        <v>0.57999999999999996</v>
      </c>
      <c r="G2409" s="4">
        <v>339.88</v>
      </c>
      <c r="H2409" s="5">
        <f t="shared" si="37"/>
        <v>3.5714285714285546E-2</v>
      </c>
    </row>
    <row r="2410" spans="1:8" ht="13.5" x14ac:dyDescent="0.25">
      <c r="A2410" s="1"/>
      <c r="B2410" s="3">
        <v>45811</v>
      </c>
      <c r="C2410" s="4">
        <v>0.57999999999999996</v>
      </c>
      <c r="D2410" s="4">
        <v>0.57999999999999996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0.6</v>
      </c>
      <c r="D2411" s="4">
        <v>0.6</v>
      </c>
      <c r="E2411" s="4">
        <v>3361</v>
      </c>
      <c r="F2411" s="4">
        <v>0.6</v>
      </c>
      <c r="G2411" s="4">
        <v>2016.6</v>
      </c>
      <c r="H2411" s="5">
        <f t="shared" si="37"/>
        <v>3.4482758620689689E-2</v>
      </c>
    </row>
    <row r="2412" spans="1:8" ht="13.5" x14ac:dyDescent="0.25">
      <c r="A2412" s="1"/>
      <c r="B2412" s="3">
        <v>45813</v>
      </c>
      <c r="C2412" s="4">
        <v>0.61</v>
      </c>
      <c r="D2412" s="4">
        <v>0.61</v>
      </c>
      <c r="E2412" s="4">
        <v>1</v>
      </c>
      <c r="F2412" s="4">
        <v>0.61</v>
      </c>
      <c r="G2412" s="4">
        <v>0.61</v>
      </c>
      <c r="H2412" s="5">
        <f t="shared" si="37"/>
        <v>1.6666666666666684E-2</v>
      </c>
    </row>
    <row r="2413" spans="1:8" ht="13.5" x14ac:dyDescent="0.25">
      <c r="A2413" s="1"/>
      <c r="B2413" s="3">
        <v>45817</v>
      </c>
      <c r="C2413" s="4">
        <v>0.62</v>
      </c>
      <c r="D2413" s="4">
        <v>0.62</v>
      </c>
      <c r="E2413" s="4">
        <v>1</v>
      </c>
      <c r="F2413" s="4">
        <v>0.62</v>
      </c>
      <c r="G2413" s="4">
        <v>0.62</v>
      </c>
      <c r="H2413" s="5">
        <f t="shared" si="37"/>
        <v>1.6393442622950834E-2</v>
      </c>
    </row>
    <row r="2414" spans="1:8" ht="13.5" x14ac:dyDescent="0.25">
      <c r="A2414" s="1"/>
      <c r="B2414" s="3">
        <v>45818</v>
      </c>
      <c r="C2414" s="4">
        <v>0.64</v>
      </c>
      <c r="D2414" s="4">
        <v>0.64</v>
      </c>
      <c r="E2414" s="4">
        <v>0</v>
      </c>
      <c r="F2414" s="4">
        <v>0</v>
      </c>
      <c r="G2414" s="4">
        <v>0</v>
      </c>
      <c r="H2414" s="5">
        <f t="shared" si="37"/>
        <v>3.2258064516129059E-2</v>
      </c>
    </row>
    <row r="2415" spans="1:8" ht="13.5" x14ac:dyDescent="0.25">
      <c r="A2415" s="1"/>
      <c r="B2415" s="3">
        <v>45819</v>
      </c>
      <c r="C2415" s="4">
        <v>0.63</v>
      </c>
      <c r="D2415" s="4">
        <v>0.63</v>
      </c>
      <c r="E2415" s="4">
        <v>564</v>
      </c>
      <c r="F2415" s="4">
        <v>0.63</v>
      </c>
      <c r="G2415" s="4">
        <v>355.32</v>
      </c>
      <c r="H2415" s="5">
        <f t="shared" si="37"/>
        <v>-1.5625000000000014E-2</v>
      </c>
    </row>
    <row r="2416" spans="1:8" ht="13.5" x14ac:dyDescent="0.25">
      <c r="A2416" s="1"/>
      <c r="B2416" s="3">
        <v>45820</v>
      </c>
      <c r="C2416" s="4">
        <v>0.65</v>
      </c>
      <c r="D2416" s="4">
        <v>0.65</v>
      </c>
      <c r="E2416" s="4">
        <v>0</v>
      </c>
      <c r="F2416" s="4">
        <v>0</v>
      </c>
      <c r="G2416" s="4">
        <v>0</v>
      </c>
      <c r="H2416" s="5">
        <f t="shared" si="37"/>
        <v>3.1746031746031772E-2</v>
      </c>
    </row>
    <row r="2417" spans="1:8" ht="13.5" x14ac:dyDescent="0.25">
      <c r="A2417" s="1"/>
      <c r="B2417" s="3">
        <v>45821</v>
      </c>
      <c r="C2417" s="4">
        <v>0.63</v>
      </c>
      <c r="D2417" s="4">
        <v>0.63</v>
      </c>
      <c r="E2417" s="4">
        <v>20</v>
      </c>
      <c r="F2417" s="4">
        <v>0.63</v>
      </c>
      <c r="G2417" s="4">
        <v>12.6</v>
      </c>
      <c r="H2417" s="5">
        <f t="shared" si="37"/>
        <v>-3.0769230769230795E-2</v>
      </c>
    </row>
    <row r="2418" spans="1:8" ht="13.5" x14ac:dyDescent="0.25">
      <c r="A2418" s="1"/>
      <c r="B2418" s="3">
        <v>45824</v>
      </c>
      <c r="C2418" s="4">
        <v>0.63</v>
      </c>
      <c r="D2418" s="4">
        <v>0.63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0.61</v>
      </c>
      <c r="D2419" s="4">
        <v>0.61</v>
      </c>
      <c r="E2419" s="4">
        <v>1047</v>
      </c>
      <c r="F2419" s="4">
        <v>0.61</v>
      </c>
      <c r="G2419" s="4">
        <v>638.66999999999996</v>
      </c>
      <c r="H2419" s="5">
        <f t="shared" si="37"/>
        <v>-3.1746031746031772E-2</v>
      </c>
    </row>
    <row r="2420" spans="1:8" ht="13.5" x14ac:dyDescent="0.25">
      <c r="A2420" s="1"/>
      <c r="B2420" s="3">
        <v>45826</v>
      </c>
      <c r="C2420" s="4">
        <v>0.59</v>
      </c>
      <c r="D2420" s="4">
        <v>0.59</v>
      </c>
      <c r="E2420" s="4">
        <v>1300</v>
      </c>
      <c r="F2420" s="4">
        <v>0.59</v>
      </c>
      <c r="G2420" s="4">
        <v>767</v>
      </c>
      <c r="H2420" s="5">
        <f t="shared" si="37"/>
        <v>-3.2786885245901669E-2</v>
      </c>
    </row>
    <row r="2421" spans="1:8" ht="13.5" x14ac:dyDescent="0.25">
      <c r="A2421" s="1"/>
      <c r="B2421" s="3">
        <v>45827</v>
      </c>
      <c r="C2421" s="4">
        <v>0.61</v>
      </c>
      <c r="D2421" s="4">
        <v>0.61</v>
      </c>
      <c r="E2421" s="4">
        <v>0</v>
      </c>
      <c r="F2421" s="4">
        <v>0</v>
      </c>
      <c r="G2421" s="4">
        <v>0</v>
      </c>
      <c r="H2421" s="5">
        <f t="shared" si="37"/>
        <v>3.3898305084745797E-2</v>
      </c>
    </row>
    <row r="2422" spans="1:8" ht="13.5" x14ac:dyDescent="0.25">
      <c r="A2422" s="1"/>
      <c r="B2422" s="3">
        <v>45828</v>
      </c>
      <c r="C2422" s="4">
        <v>0.63</v>
      </c>
      <c r="D2422" s="4">
        <v>0.63</v>
      </c>
      <c r="E2422" s="4">
        <v>1500</v>
      </c>
      <c r="F2422" s="4">
        <v>0.63</v>
      </c>
      <c r="G2422" s="4">
        <v>945</v>
      </c>
      <c r="H2422" s="5">
        <f t="shared" si="37"/>
        <v>3.2786885245901669E-2</v>
      </c>
    </row>
    <row r="2423" spans="1:8" ht="13.5" x14ac:dyDescent="0.25">
      <c r="A2423" s="1"/>
      <c r="B2423" s="3">
        <v>45831</v>
      </c>
      <c r="C2423" s="4">
        <v>0.61</v>
      </c>
      <c r="D2423" s="4">
        <v>0.61</v>
      </c>
      <c r="E2423" s="4">
        <v>0</v>
      </c>
      <c r="F2423" s="4">
        <v>0</v>
      </c>
      <c r="G2423" s="4">
        <v>0</v>
      </c>
      <c r="H2423" s="5">
        <f t="shared" si="37"/>
        <v>-3.1746031746031772E-2</v>
      </c>
    </row>
    <row r="2424" spans="1:8" ht="13.5" x14ac:dyDescent="0.25">
      <c r="A2424" s="1"/>
      <c r="B2424" s="3">
        <v>45832</v>
      </c>
      <c r="C2424" s="4">
        <v>0.61</v>
      </c>
      <c r="D2424" s="4">
        <v>0.61</v>
      </c>
      <c r="E2424" s="4">
        <v>1</v>
      </c>
      <c r="F2424" s="4">
        <v>0.61</v>
      </c>
      <c r="G2424" s="4">
        <v>0.61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0.59</v>
      </c>
      <c r="D2425" s="4">
        <v>0.59</v>
      </c>
      <c r="E2425" s="4">
        <v>600</v>
      </c>
      <c r="F2425" s="4">
        <v>0.59</v>
      </c>
      <c r="G2425" s="4">
        <v>354</v>
      </c>
      <c r="H2425" s="5">
        <f t="shared" si="37"/>
        <v>-3.2786885245901669E-2</v>
      </c>
    </row>
    <row r="2426" spans="1:8" ht="13.5" x14ac:dyDescent="0.25">
      <c r="A2426" s="1"/>
      <c r="B2426" s="3">
        <v>45835</v>
      </c>
      <c r="C2426" s="4">
        <v>0.59</v>
      </c>
      <c r="D2426" s="4">
        <v>0.59</v>
      </c>
      <c r="E2426" s="4">
        <v>0</v>
      </c>
      <c r="F2426" s="4">
        <v>0</v>
      </c>
      <c r="G2426" s="4">
        <v>0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0.56999999999999995</v>
      </c>
      <c r="D2427" s="4">
        <v>0.56999999999999995</v>
      </c>
      <c r="E2427" s="4">
        <v>295</v>
      </c>
      <c r="F2427" s="4">
        <v>0.56999999999999995</v>
      </c>
      <c r="G2427" s="4">
        <v>168.15</v>
      </c>
      <c r="H2427" s="5">
        <f t="shared" si="37"/>
        <v>-3.3898305084745797E-2</v>
      </c>
    </row>
    <row r="2428" spans="1:8" ht="13.5" x14ac:dyDescent="0.25">
      <c r="A2428" s="1"/>
      <c r="B2428" s="3">
        <v>45839</v>
      </c>
      <c r="C2428" s="4">
        <v>0.56999999999999995</v>
      </c>
      <c r="D2428" s="4">
        <v>0.56999999999999995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0.55000000000000004</v>
      </c>
      <c r="D2429" s="4">
        <v>0.55000000000000004</v>
      </c>
      <c r="E2429" s="4">
        <v>0</v>
      </c>
      <c r="F2429" s="4">
        <v>0</v>
      </c>
      <c r="G2429" s="4">
        <v>0</v>
      </c>
      <c r="H2429" s="5">
        <f t="shared" si="37"/>
        <v>-3.5087719298245452E-2</v>
      </c>
    </row>
    <row r="2430" spans="1:8" ht="13.5" x14ac:dyDescent="0.25">
      <c r="A2430" s="1"/>
      <c r="B2430" s="3">
        <v>45841</v>
      </c>
      <c r="C2430" s="4">
        <v>0.53</v>
      </c>
      <c r="D2430" s="4">
        <v>0.53</v>
      </c>
      <c r="E2430" s="4">
        <v>0</v>
      </c>
      <c r="F2430" s="4">
        <v>0</v>
      </c>
      <c r="G2430" s="4">
        <v>0</v>
      </c>
      <c r="H2430" s="5">
        <f t="shared" si="37"/>
        <v>-3.636363636363639E-2</v>
      </c>
    </row>
    <row r="2431" spans="1:8" ht="13.5" x14ac:dyDescent="0.25">
      <c r="A2431" s="1"/>
      <c r="B2431" s="3">
        <v>45842</v>
      </c>
      <c r="C2431" s="4">
        <v>0.51</v>
      </c>
      <c r="D2431" s="4">
        <v>0.51</v>
      </c>
      <c r="E2431" s="4">
        <v>0</v>
      </c>
      <c r="F2431" s="4">
        <v>0</v>
      </c>
      <c r="G2431" s="4">
        <v>0</v>
      </c>
      <c r="H2431" s="5">
        <f t="shared" si="37"/>
        <v>-3.7735849056603807E-2</v>
      </c>
    </row>
    <row r="2432" spans="1:8" ht="13.5" x14ac:dyDescent="0.25">
      <c r="A2432" s="1"/>
      <c r="B2432" s="3">
        <v>45845</v>
      </c>
      <c r="C2432" s="4">
        <v>0.49</v>
      </c>
      <c r="D2432" s="4">
        <v>0.49</v>
      </c>
      <c r="E2432" s="4">
        <v>0</v>
      </c>
      <c r="F2432" s="4">
        <v>0</v>
      </c>
      <c r="G2432" s="4">
        <v>0</v>
      </c>
      <c r="H2432" s="5">
        <f t="shared" si="37"/>
        <v>-3.9215686274509838E-2</v>
      </c>
    </row>
    <row r="2433" spans="1:8" ht="13.5" x14ac:dyDescent="0.25">
      <c r="A2433" s="1"/>
      <c r="B2433" s="3">
        <v>45846</v>
      </c>
      <c r="C2433" s="4">
        <v>0.47</v>
      </c>
      <c r="D2433" s="4">
        <v>0.47</v>
      </c>
      <c r="E2433" s="4">
        <v>0</v>
      </c>
      <c r="F2433" s="4">
        <v>0</v>
      </c>
      <c r="G2433" s="4">
        <v>0</v>
      </c>
      <c r="H2433" s="5">
        <f t="shared" si="37"/>
        <v>-4.0816326530612283E-2</v>
      </c>
    </row>
    <row r="2434" spans="1:8" ht="13.5" x14ac:dyDescent="0.25">
      <c r="A2434" s="1"/>
      <c r="B2434" s="3">
        <v>45847</v>
      </c>
      <c r="C2434" s="4">
        <v>0.45</v>
      </c>
      <c r="D2434" s="4">
        <v>0.45</v>
      </c>
      <c r="E2434" s="4">
        <v>11538</v>
      </c>
      <c r="F2434" s="4">
        <v>0.45</v>
      </c>
      <c r="G2434" s="4">
        <v>5192.1000000000004</v>
      </c>
      <c r="H2434" s="5">
        <f t="shared" si="37"/>
        <v>-4.2553191489361625E-2</v>
      </c>
    </row>
    <row r="2435" spans="1:8" ht="13.5" x14ac:dyDescent="0.25">
      <c r="A2435" s="1"/>
      <c r="B2435" s="3">
        <v>45848</v>
      </c>
      <c r="C2435" s="4">
        <v>0.47</v>
      </c>
      <c r="D2435" s="4">
        <v>0.47</v>
      </c>
      <c r="E2435" s="4">
        <v>0</v>
      </c>
      <c r="F2435" s="4">
        <v>0</v>
      </c>
      <c r="G2435" s="4">
        <v>0</v>
      </c>
      <c r="H2435" s="5">
        <f t="shared" si="37"/>
        <v>4.4444444444444363E-2</v>
      </c>
    </row>
    <row r="2436" spans="1:8" ht="13.5" x14ac:dyDescent="0.25">
      <c r="A2436" s="1"/>
      <c r="B2436" s="3">
        <v>45849</v>
      </c>
      <c r="C2436" s="4">
        <v>0.49</v>
      </c>
      <c r="D2436" s="4">
        <v>0.49</v>
      </c>
      <c r="E2436" s="4">
        <v>0</v>
      </c>
      <c r="F2436" s="4">
        <v>0</v>
      </c>
      <c r="G2436" s="4">
        <v>0</v>
      </c>
      <c r="H2436" s="5">
        <f t="shared" si="37"/>
        <v>4.2553191489361743E-2</v>
      </c>
    </row>
    <row r="2437" spans="1:8" ht="13.5" x14ac:dyDescent="0.25">
      <c r="A2437" s="1"/>
      <c r="B2437" s="3">
        <v>45852</v>
      </c>
      <c r="C2437" s="4">
        <v>0.51</v>
      </c>
      <c r="D2437" s="4">
        <v>0.51</v>
      </c>
      <c r="E2437" s="4">
        <v>0</v>
      </c>
      <c r="F2437" s="4">
        <v>0</v>
      </c>
      <c r="G2437" s="4">
        <v>0</v>
      </c>
      <c r="H2437" s="5">
        <f t="shared" si="37"/>
        <v>4.0816326530612283E-2</v>
      </c>
    </row>
    <row r="2438" spans="1:8" ht="13.5" x14ac:dyDescent="0.25">
      <c r="A2438" s="1"/>
      <c r="B2438" s="3">
        <v>45853</v>
      </c>
      <c r="C2438" s="4">
        <v>0.53</v>
      </c>
      <c r="D2438" s="4">
        <v>0.53</v>
      </c>
      <c r="E2438" s="4">
        <v>0</v>
      </c>
      <c r="F2438" s="4">
        <v>0</v>
      </c>
      <c r="G2438" s="4">
        <v>0</v>
      </c>
      <c r="H2438" s="5">
        <f t="shared" si="37"/>
        <v>3.9215686274509838E-2</v>
      </c>
    </row>
    <row r="2439" spans="1:8" ht="13.5" x14ac:dyDescent="0.25">
      <c r="A2439" s="1"/>
      <c r="B2439" s="3">
        <v>45854</v>
      </c>
      <c r="C2439" s="4">
        <v>0.55000000000000004</v>
      </c>
      <c r="D2439" s="4">
        <v>0.55000000000000004</v>
      </c>
      <c r="E2439" s="4">
        <v>0</v>
      </c>
      <c r="F2439" s="4">
        <v>0</v>
      </c>
      <c r="G2439" s="4">
        <v>0</v>
      </c>
      <c r="H2439" s="5">
        <f t="shared" ref="H2439:H2502" si="38">(D2439-D2438)/D2438</f>
        <v>3.7735849056603807E-2</v>
      </c>
    </row>
    <row r="2440" spans="1:8" ht="13.5" x14ac:dyDescent="0.25">
      <c r="A2440" s="1"/>
      <c r="B2440" s="3">
        <v>45855</v>
      </c>
      <c r="C2440" s="4">
        <v>0.53</v>
      </c>
      <c r="D2440" s="4">
        <v>0.53</v>
      </c>
      <c r="E2440" s="4">
        <v>0</v>
      </c>
      <c r="F2440" s="4">
        <v>0</v>
      </c>
      <c r="G2440" s="4">
        <v>0</v>
      </c>
      <c r="H2440" s="5">
        <f t="shared" si="38"/>
        <v>-3.636363636363639E-2</v>
      </c>
    </row>
    <row r="2441" spans="1:8" ht="13.5" x14ac:dyDescent="0.25">
      <c r="A2441" s="1"/>
      <c r="B2441" s="3">
        <v>45856</v>
      </c>
      <c r="C2441" s="4">
        <v>0.51</v>
      </c>
      <c r="D2441" s="4">
        <v>0.51</v>
      </c>
      <c r="E2441" s="4">
        <v>1184</v>
      </c>
      <c r="F2441" s="4">
        <v>0.51</v>
      </c>
      <c r="G2441" s="4">
        <v>603.84</v>
      </c>
      <c r="H2441" s="5">
        <f t="shared" si="38"/>
        <v>-3.7735849056603807E-2</v>
      </c>
    </row>
    <row r="2442" spans="1:8" ht="13.5" x14ac:dyDescent="0.25">
      <c r="A2442" s="1"/>
      <c r="B2442" s="3">
        <v>45859</v>
      </c>
      <c r="C2442" s="4">
        <v>0.51</v>
      </c>
      <c r="D2442" s="4">
        <v>0.51</v>
      </c>
      <c r="E2442" s="4">
        <v>3700</v>
      </c>
      <c r="F2442" s="4">
        <v>0.51</v>
      </c>
      <c r="G2442" s="4">
        <v>1887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0.51</v>
      </c>
      <c r="D2443" s="4">
        <v>0.51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0.49</v>
      </c>
      <c r="D2444" s="4">
        <v>0.49</v>
      </c>
      <c r="E2444" s="4">
        <v>1000</v>
      </c>
      <c r="F2444" s="4">
        <v>0.49</v>
      </c>
      <c r="G2444" s="4">
        <v>490</v>
      </c>
      <c r="H2444" s="5">
        <f t="shared" si="38"/>
        <v>-3.9215686274509838E-2</v>
      </c>
    </row>
    <row r="2445" spans="1:8" ht="13.5" x14ac:dyDescent="0.25">
      <c r="A2445" s="1"/>
      <c r="B2445" s="3">
        <v>45862</v>
      </c>
      <c r="C2445" s="4">
        <v>0.49</v>
      </c>
      <c r="D2445" s="4">
        <v>0.49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0.47</v>
      </c>
      <c r="D2446" s="4">
        <v>0.47</v>
      </c>
      <c r="E2446" s="4">
        <v>0</v>
      </c>
      <c r="F2446" s="4">
        <v>0</v>
      </c>
      <c r="G2446" s="4">
        <v>0</v>
      </c>
      <c r="H2446" s="5">
        <f t="shared" si="38"/>
        <v>-4.0816326530612283E-2</v>
      </c>
    </row>
    <row r="2447" spans="1:8" ht="13.5" x14ac:dyDescent="0.25">
      <c r="A2447" s="1"/>
      <c r="B2447" s="3">
        <v>45867</v>
      </c>
      <c r="C2447" s="4">
        <v>0.49</v>
      </c>
      <c r="D2447" s="4">
        <v>0.49</v>
      </c>
      <c r="E2447" s="4">
        <v>0</v>
      </c>
      <c r="F2447" s="4">
        <v>0</v>
      </c>
      <c r="G2447" s="4">
        <v>0</v>
      </c>
      <c r="H2447" s="5">
        <f t="shared" si="38"/>
        <v>4.2553191489361743E-2</v>
      </c>
    </row>
    <row r="2448" spans="1:8" ht="13.5" x14ac:dyDescent="0.25">
      <c r="A2448" s="1"/>
      <c r="B2448" s="3">
        <v>45868</v>
      </c>
      <c r="C2448" s="4">
        <v>0.47</v>
      </c>
      <c r="D2448" s="4">
        <v>0.47</v>
      </c>
      <c r="E2448" s="4">
        <v>1786</v>
      </c>
      <c r="F2448" s="4">
        <v>0.47</v>
      </c>
      <c r="G2448" s="4">
        <v>839.42</v>
      </c>
      <c r="H2448" s="5">
        <f t="shared" si="38"/>
        <v>-4.0816326530612283E-2</v>
      </c>
    </row>
    <row r="2449" spans="1:8" ht="13.5" x14ac:dyDescent="0.25">
      <c r="A2449" s="1"/>
      <c r="B2449" s="3">
        <v>45869</v>
      </c>
      <c r="C2449" s="4">
        <v>0.49</v>
      </c>
      <c r="D2449" s="4">
        <v>0.49</v>
      </c>
      <c r="E2449" s="4">
        <v>314</v>
      </c>
      <c r="F2449" s="4">
        <v>0.49</v>
      </c>
      <c r="G2449" s="4">
        <v>153.86000000000001</v>
      </c>
      <c r="H2449" s="5">
        <f t="shared" si="38"/>
        <v>4.2553191489361743E-2</v>
      </c>
    </row>
    <row r="2450" spans="1:8" ht="13.5" x14ac:dyDescent="0.25">
      <c r="A2450" s="1"/>
      <c r="B2450" s="3">
        <v>45870</v>
      </c>
      <c r="C2450" s="4">
        <v>0.51</v>
      </c>
      <c r="D2450" s="4">
        <v>0.51</v>
      </c>
      <c r="E2450" s="4">
        <v>825</v>
      </c>
      <c r="F2450" s="4">
        <v>0.51</v>
      </c>
      <c r="G2450" s="4">
        <v>420.75</v>
      </c>
      <c r="H2450" s="5">
        <f t="shared" si="38"/>
        <v>4.0816326530612283E-2</v>
      </c>
    </row>
    <row r="2451" spans="1:8" ht="13.5" x14ac:dyDescent="0.25">
      <c r="A2451" s="1"/>
      <c r="B2451" s="3">
        <v>45873</v>
      </c>
      <c r="C2451" s="4">
        <v>0.51</v>
      </c>
      <c r="D2451" s="4">
        <v>0.51</v>
      </c>
      <c r="E2451" s="4">
        <v>800</v>
      </c>
      <c r="F2451" s="4">
        <v>0.51</v>
      </c>
      <c r="G2451" s="4">
        <v>408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0.51</v>
      </c>
      <c r="D2452" s="4">
        <v>0.51</v>
      </c>
      <c r="E2452" s="4">
        <v>890</v>
      </c>
      <c r="F2452" s="4">
        <v>0.51</v>
      </c>
      <c r="G2452" s="4">
        <v>453.9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0.49</v>
      </c>
      <c r="D2453" s="4">
        <v>0.49</v>
      </c>
      <c r="E2453" s="4">
        <v>0</v>
      </c>
      <c r="F2453" s="4">
        <v>0</v>
      </c>
      <c r="G2453" s="4">
        <v>0</v>
      </c>
      <c r="H2453" s="5">
        <f t="shared" si="38"/>
        <v>-3.9215686274509838E-2</v>
      </c>
    </row>
    <row r="2454" spans="1:8" ht="13.5" x14ac:dyDescent="0.25">
      <c r="A2454" s="1"/>
      <c r="B2454" s="3">
        <v>45876</v>
      </c>
      <c r="C2454" s="4">
        <v>0.47</v>
      </c>
      <c r="D2454" s="4">
        <v>0.47</v>
      </c>
      <c r="E2454" s="4">
        <v>120</v>
      </c>
      <c r="F2454" s="4">
        <v>0.47</v>
      </c>
      <c r="G2454" s="4">
        <v>56.4</v>
      </c>
      <c r="H2454" s="5">
        <f t="shared" si="38"/>
        <v>-4.0816326530612283E-2</v>
      </c>
    </row>
    <row r="2455" spans="1:8" ht="13.5" x14ac:dyDescent="0.25">
      <c r="A2455" s="1"/>
      <c r="B2455" s="3">
        <v>45877</v>
      </c>
      <c r="C2455" s="4">
        <v>0.49</v>
      </c>
      <c r="D2455" s="4">
        <v>0.49</v>
      </c>
      <c r="E2455" s="4">
        <v>0</v>
      </c>
      <c r="F2455" s="4">
        <v>0</v>
      </c>
      <c r="G2455" s="4">
        <v>0</v>
      </c>
      <c r="H2455" s="5">
        <f t="shared" si="38"/>
        <v>4.2553191489361743E-2</v>
      </c>
    </row>
    <row r="2456" spans="1:8" ht="13.5" x14ac:dyDescent="0.25">
      <c r="A2456" s="1"/>
      <c r="B2456" s="3">
        <v>45880</v>
      </c>
      <c r="C2456" s="4">
        <v>0.51</v>
      </c>
      <c r="D2456" s="4">
        <v>0.51</v>
      </c>
      <c r="E2456" s="4">
        <v>200</v>
      </c>
      <c r="F2456" s="4">
        <v>0.51</v>
      </c>
      <c r="G2456" s="4">
        <v>102</v>
      </c>
      <c r="H2456" s="5">
        <f t="shared" si="38"/>
        <v>4.0816326530612283E-2</v>
      </c>
    </row>
    <row r="2457" spans="1:8" ht="13.5" x14ac:dyDescent="0.25">
      <c r="A2457" s="1"/>
      <c r="B2457" s="3">
        <v>45881</v>
      </c>
      <c r="C2457" s="4">
        <v>0.51</v>
      </c>
      <c r="D2457" s="4">
        <v>0.51</v>
      </c>
      <c r="E2457" s="4">
        <v>290</v>
      </c>
      <c r="F2457" s="4">
        <v>0.51</v>
      </c>
      <c r="G2457" s="4">
        <v>147.9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0.49</v>
      </c>
      <c r="D2458" s="4">
        <v>0.49</v>
      </c>
      <c r="E2458" s="4">
        <v>600</v>
      </c>
      <c r="F2458" s="4">
        <v>0.49</v>
      </c>
      <c r="G2458" s="4">
        <v>294</v>
      </c>
      <c r="H2458" s="5">
        <f t="shared" si="38"/>
        <v>-3.9215686274509838E-2</v>
      </c>
    </row>
    <row r="2459" spans="1:8" ht="13.5" x14ac:dyDescent="0.25">
      <c r="A2459" s="1"/>
      <c r="B2459" s="3">
        <v>45884</v>
      </c>
      <c r="C2459" s="4">
        <v>0.47</v>
      </c>
      <c r="D2459" s="4">
        <v>0.47</v>
      </c>
      <c r="E2459" s="4">
        <v>86</v>
      </c>
      <c r="F2459" s="4">
        <v>0.47</v>
      </c>
      <c r="G2459" s="4">
        <v>40.42</v>
      </c>
      <c r="H2459" s="5">
        <f t="shared" si="38"/>
        <v>-4.0816326530612283E-2</v>
      </c>
    </row>
    <row r="2460" spans="1:8" ht="13.5" x14ac:dyDescent="0.25">
      <c r="A2460" s="1"/>
      <c r="B2460" s="3">
        <v>45887</v>
      </c>
      <c r="C2460" s="4">
        <v>0.49</v>
      </c>
      <c r="D2460" s="4">
        <v>0.49</v>
      </c>
      <c r="E2460" s="4">
        <v>709</v>
      </c>
      <c r="F2460" s="4">
        <v>0.49</v>
      </c>
      <c r="G2460" s="4">
        <v>347.41</v>
      </c>
      <c r="H2460" s="5">
        <f t="shared" si="38"/>
        <v>4.2553191489361743E-2</v>
      </c>
    </row>
    <row r="2461" spans="1:8" ht="13.5" x14ac:dyDescent="0.25">
      <c r="A2461" s="1"/>
      <c r="B2461" s="3">
        <v>45888</v>
      </c>
      <c r="C2461" s="4">
        <v>0.51</v>
      </c>
      <c r="D2461" s="4">
        <v>0.51</v>
      </c>
      <c r="E2461" s="4">
        <v>620</v>
      </c>
      <c r="F2461" s="4">
        <v>0.51</v>
      </c>
      <c r="G2461" s="4">
        <v>316.2</v>
      </c>
      <c r="H2461" s="5">
        <f t="shared" si="38"/>
        <v>4.0816326530612283E-2</v>
      </c>
    </row>
    <row r="2462" spans="1:8" ht="13.5" x14ac:dyDescent="0.25">
      <c r="A2462" s="1"/>
      <c r="B2462" s="3">
        <v>45889</v>
      </c>
      <c r="C2462" s="4">
        <v>0.51</v>
      </c>
      <c r="D2462" s="4">
        <v>0.51</v>
      </c>
      <c r="E2462" s="4">
        <v>4506</v>
      </c>
      <c r="F2462" s="4">
        <v>0.51</v>
      </c>
      <c r="G2462" s="4">
        <v>2298.06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0.51</v>
      </c>
      <c r="D2463" s="4">
        <v>0.51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0.51</v>
      </c>
      <c r="D2464" s="4">
        <v>0.51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0.49</v>
      </c>
      <c r="D2465" s="4">
        <v>0.49</v>
      </c>
      <c r="E2465" s="4">
        <v>0</v>
      </c>
      <c r="F2465" s="4">
        <v>0</v>
      </c>
      <c r="G2465" s="4">
        <v>0</v>
      </c>
      <c r="H2465" s="5">
        <f t="shared" si="38"/>
        <v>-3.9215686274509838E-2</v>
      </c>
    </row>
    <row r="2466" spans="1:8" ht="13.5" x14ac:dyDescent="0.25">
      <c r="A2466" s="1"/>
      <c r="B2466" s="3">
        <v>45895</v>
      </c>
      <c r="C2466" s="4">
        <v>0.49</v>
      </c>
      <c r="D2466" s="4">
        <v>0.49</v>
      </c>
      <c r="E2466" s="4">
        <v>38</v>
      </c>
      <c r="F2466" s="4">
        <v>0.49</v>
      </c>
      <c r="G2466" s="4">
        <v>18.62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0.49</v>
      </c>
      <c r="D2467" s="4">
        <v>0.49</v>
      </c>
      <c r="E2467" s="4">
        <v>1200</v>
      </c>
      <c r="F2467" s="4">
        <v>0.49</v>
      </c>
      <c r="G2467" s="4">
        <v>588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0.49</v>
      </c>
      <c r="D2468" s="4">
        <v>0.49</v>
      </c>
      <c r="E2468" s="4">
        <v>2100</v>
      </c>
      <c r="F2468" s="4">
        <v>0.49</v>
      </c>
      <c r="G2468" s="4">
        <v>1029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0.51</v>
      </c>
      <c r="D2469" s="4">
        <v>0.51</v>
      </c>
      <c r="E2469" s="4">
        <v>350</v>
      </c>
      <c r="F2469" s="4">
        <v>0.51</v>
      </c>
      <c r="G2469" s="4">
        <v>178.5</v>
      </c>
      <c r="H2469" s="5">
        <f t="shared" si="38"/>
        <v>4.0816326530612283E-2</v>
      </c>
    </row>
    <row r="2470" spans="1:8" ht="13.5" x14ac:dyDescent="0.25">
      <c r="A2470" s="1"/>
      <c r="B2470" s="3">
        <v>45901</v>
      </c>
      <c r="C2470" s="4">
        <v>0.49</v>
      </c>
      <c r="D2470" s="4">
        <v>0.49</v>
      </c>
      <c r="E2470" s="4">
        <v>1000</v>
      </c>
      <c r="F2470" s="4">
        <v>0.49</v>
      </c>
      <c r="G2470" s="4">
        <v>490</v>
      </c>
      <c r="H2470" s="5">
        <f t="shared" si="38"/>
        <v>-3.9215686274509838E-2</v>
      </c>
    </row>
    <row r="2471" spans="1:8" ht="13.5" x14ac:dyDescent="0.25">
      <c r="A2471" s="1"/>
      <c r="B2471" s="3">
        <v>45902</v>
      </c>
      <c r="C2471" s="4">
        <v>0.47</v>
      </c>
      <c r="D2471" s="4">
        <v>0.47</v>
      </c>
      <c r="E2471" s="4">
        <v>666</v>
      </c>
      <c r="F2471" s="4">
        <v>0.47</v>
      </c>
      <c r="G2471" s="4">
        <v>313.02</v>
      </c>
      <c r="H2471" s="5">
        <f t="shared" si="38"/>
        <v>-4.0816326530612283E-2</v>
      </c>
    </row>
    <row r="2472" spans="1:8" ht="13.5" x14ac:dyDescent="0.25">
      <c r="A2472" s="1"/>
      <c r="B2472" s="3">
        <v>45903</v>
      </c>
      <c r="C2472" s="4">
        <v>0.49</v>
      </c>
      <c r="D2472" s="4">
        <v>0.49</v>
      </c>
      <c r="E2472" s="4">
        <v>0</v>
      </c>
      <c r="F2472" s="4">
        <v>0</v>
      </c>
      <c r="G2472" s="4">
        <v>0</v>
      </c>
      <c r="H2472" s="5">
        <f t="shared" si="38"/>
        <v>4.2553191489361743E-2</v>
      </c>
    </row>
    <row r="2473" spans="1:8" ht="13.5" x14ac:dyDescent="0.25">
      <c r="A2473" s="1"/>
      <c r="B2473" s="3">
        <v>45905</v>
      </c>
      <c r="C2473" s="4">
        <v>0.51</v>
      </c>
      <c r="D2473" s="4">
        <v>0.51</v>
      </c>
      <c r="E2473" s="4">
        <v>220</v>
      </c>
      <c r="F2473" s="4">
        <v>0.51</v>
      </c>
      <c r="G2473" s="4">
        <v>112.2</v>
      </c>
      <c r="H2473" s="5">
        <f t="shared" si="38"/>
        <v>4.0816326530612283E-2</v>
      </c>
    </row>
    <row r="2474" spans="1:8" ht="13.5" x14ac:dyDescent="0.25">
      <c r="A2474" s="1"/>
      <c r="B2474" s="3">
        <v>45908</v>
      </c>
      <c r="C2474" s="4">
        <v>0.51</v>
      </c>
      <c r="D2474" s="4">
        <v>0.51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0.51</v>
      </c>
      <c r="D2475" s="4">
        <v>0.51</v>
      </c>
      <c r="E2475" s="4">
        <v>0</v>
      </c>
      <c r="F2475" s="4">
        <v>0</v>
      </c>
      <c r="G2475" s="4">
        <v>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0.51</v>
      </c>
      <c r="D2476" s="4">
        <v>0.51</v>
      </c>
      <c r="E2476" s="4">
        <v>1680</v>
      </c>
      <c r="F2476" s="4">
        <v>0.51</v>
      </c>
      <c r="G2476" s="4">
        <v>856.8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0.51</v>
      </c>
      <c r="D2477" s="4">
        <v>0.51</v>
      </c>
      <c r="E2477" s="4">
        <v>0</v>
      </c>
      <c r="F2477" s="4">
        <v>0</v>
      </c>
      <c r="G2477" s="4">
        <v>0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0.51</v>
      </c>
      <c r="D2478" s="4">
        <v>0.51</v>
      </c>
      <c r="E2478" s="4">
        <v>0</v>
      </c>
      <c r="F2478" s="4">
        <v>0</v>
      </c>
      <c r="G2478" s="4">
        <v>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0.51</v>
      </c>
      <c r="D2479" s="4">
        <v>0.51</v>
      </c>
      <c r="E2479" s="4">
        <v>0</v>
      </c>
      <c r="F2479" s="4">
        <v>0</v>
      </c>
      <c r="G2479" s="4">
        <v>0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0.51</v>
      </c>
      <c r="D2480" s="4">
        <v>0.51</v>
      </c>
      <c r="E2480" s="4">
        <v>0</v>
      </c>
      <c r="F2480" s="4">
        <v>0</v>
      </c>
      <c r="G2480" s="4">
        <v>0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0.5</v>
      </c>
      <c r="D2481" s="4">
        <v>0.5</v>
      </c>
      <c r="E2481" s="4">
        <v>105</v>
      </c>
      <c r="F2481" s="4">
        <v>0.5</v>
      </c>
      <c r="G2481" s="4">
        <v>52.5</v>
      </c>
      <c r="H2481" s="5">
        <f t="shared" si="38"/>
        <v>-1.9607843137254919E-2</v>
      </c>
    </row>
    <row r="2482" spans="1:8" ht="13.5" x14ac:dyDescent="0.25">
      <c r="A2482" s="1"/>
      <c r="B2482" s="3">
        <v>45918</v>
      </c>
      <c r="C2482" s="4">
        <v>0.48</v>
      </c>
      <c r="D2482" s="4">
        <v>0.48</v>
      </c>
      <c r="E2482" s="4">
        <v>1900</v>
      </c>
      <c r="F2482" s="4">
        <v>0.48</v>
      </c>
      <c r="G2482" s="4">
        <v>912</v>
      </c>
      <c r="H2482" s="5">
        <f t="shared" si="38"/>
        <v>-4.0000000000000036E-2</v>
      </c>
    </row>
    <row r="2483" spans="1:8" ht="13.5" x14ac:dyDescent="0.25">
      <c r="A2483" s="1"/>
      <c r="B2483" s="3">
        <v>45919</v>
      </c>
      <c r="C2483" s="4">
        <v>0.48</v>
      </c>
      <c r="D2483" s="4">
        <v>0.48</v>
      </c>
      <c r="E2483" s="4">
        <v>8</v>
      </c>
      <c r="F2483" s="4">
        <v>0.48</v>
      </c>
      <c r="G2483" s="4">
        <v>3.84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0.48</v>
      </c>
      <c r="D2484" s="4">
        <v>0.48</v>
      </c>
      <c r="E2484" s="4">
        <v>1900</v>
      </c>
      <c r="F2484" s="4">
        <v>0.48</v>
      </c>
      <c r="G2484" s="4">
        <v>912</v>
      </c>
      <c r="H2484" s="5">
        <f t="shared" si="38"/>
        <v>0</v>
      </c>
    </row>
    <row r="2485" spans="1:8" ht="13.5" x14ac:dyDescent="0.25">
      <c r="A2485" s="1"/>
      <c r="B2485" s="3">
        <v>45923</v>
      </c>
      <c r="C2485" s="4">
        <v>0.47</v>
      </c>
      <c r="D2485" s="4">
        <v>0.47</v>
      </c>
      <c r="E2485" s="4">
        <v>1000</v>
      </c>
      <c r="F2485" s="4">
        <v>0.47</v>
      </c>
      <c r="G2485" s="4">
        <v>470</v>
      </c>
      <c r="H2485" s="5">
        <f t="shared" si="38"/>
        <v>-2.0833333333333353E-2</v>
      </c>
    </row>
    <row r="2486" spans="1:8" ht="13.5" x14ac:dyDescent="0.25">
      <c r="A2486" s="1"/>
      <c r="B2486" s="3">
        <v>45924</v>
      </c>
      <c r="C2486" s="4">
        <v>0.49</v>
      </c>
      <c r="D2486" s="4">
        <v>0.49</v>
      </c>
      <c r="E2486" s="4">
        <v>0</v>
      </c>
      <c r="F2486" s="4">
        <v>0</v>
      </c>
      <c r="G2486" s="4">
        <v>0</v>
      </c>
      <c r="H2486" s="5">
        <f t="shared" si="38"/>
        <v>4.2553191489361743E-2</v>
      </c>
    </row>
    <row r="2487" spans="1:8" ht="13.5" x14ac:dyDescent="0.25">
      <c r="A2487" s="1"/>
      <c r="B2487" s="3">
        <v>45925</v>
      </c>
      <c r="C2487" s="4">
        <v>0.49</v>
      </c>
      <c r="D2487" s="4">
        <v>0.49</v>
      </c>
      <c r="E2487" s="4">
        <v>200</v>
      </c>
      <c r="F2487" s="4">
        <v>0.49</v>
      </c>
      <c r="G2487" s="4">
        <v>98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0.5</v>
      </c>
      <c r="D2488" s="4">
        <v>0.5</v>
      </c>
      <c r="E2488" s="4">
        <v>260</v>
      </c>
      <c r="F2488" s="4">
        <v>0.5</v>
      </c>
      <c r="G2488" s="4">
        <v>130</v>
      </c>
      <c r="H2488" s="5">
        <f t="shared" si="38"/>
        <v>2.0408163265306142E-2</v>
      </c>
    </row>
    <row r="2489" spans="1:8" ht="13.5" x14ac:dyDescent="0.25">
      <c r="A2489" s="1"/>
      <c r="B2489" s="3">
        <v>45929</v>
      </c>
      <c r="C2489" s="4">
        <v>0.48</v>
      </c>
      <c r="D2489" s="4">
        <v>0.48</v>
      </c>
      <c r="E2489" s="4">
        <v>1940</v>
      </c>
      <c r="F2489" s="4">
        <v>0.48</v>
      </c>
      <c r="G2489" s="4">
        <v>931.2</v>
      </c>
      <c r="H2489" s="5">
        <f t="shared" si="38"/>
        <v>-4.0000000000000036E-2</v>
      </c>
    </row>
    <row r="2490" spans="1:8" ht="13.5" x14ac:dyDescent="0.25">
      <c r="A2490" s="1"/>
      <c r="B2490" s="3">
        <v>45930</v>
      </c>
      <c r="C2490" s="4">
        <v>0.5</v>
      </c>
      <c r="D2490" s="4">
        <v>0.5</v>
      </c>
      <c r="E2490" s="4">
        <v>100</v>
      </c>
      <c r="F2490" s="4">
        <v>0.5</v>
      </c>
      <c r="G2490" s="4">
        <v>50</v>
      </c>
      <c r="H2490" s="5">
        <f t="shared" si="38"/>
        <v>4.1666666666666706E-2</v>
      </c>
    </row>
    <row r="2491" spans="1:8" ht="13.5" x14ac:dyDescent="0.25">
      <c r="A2491" s="1"/>
      <c r="B2491" s="3">
        <v>45931</v>
      </c>
      <c r="C2491" s="4">
        <v>0.5</v>
      </c>
      <c r="D2491" s="4">
        <v>0.5</v>
      </c>
      <c r="E2491" s="4">
        <v>1000</v>
      </c>
      <c r="F2491" s="4">
        <v>0.5</v>
      </c>
      <c r="G2491" s="4">
        <v>500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0.49</v>
      </c>
      <c r="D2492" s="4">
        <v>0.49</v>
      </c>
      <c r="E2492" s="4">
        <v>1605</v>
      </c>
      <c r="F2492" s="4">
        <v>0.49</v>
      </c>
      <c r="G2492" s="4">
        <v>786.45</v>
      </c>
      <c r="H2492" s="5">
        <f t="shared" si="38"/>
        <v>-2.0000000000000018E-2</v>
      </c>
    </row>
    <row r="2493" spans="1:8" ht="13.5" x14ac:dyDescent="0.25">
      <c r="A2493" s="1"/>
      <c r="B2493" s="3">
        <v>45933</v>
      </c>
      <c r="C2493" s="4">
        <v>0.49</v>
      </c>
      <c r="D2493" s="4">
        <v>0.49</v>
      </c>
      <c r="E2493" s="4">
        <v>28</v>
      </c>
      <c r="F2493" s="4">
        <v>0.49</v>
      </c>
      <c r="G2493" s="4">
        <v>13.72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0.47</v>
      </c>
      <c r="D2494" s="4">
        <v>0.47</v>
      </c>
      <c r="E2494" s="4">
        <v>2500</v>
      </c>
      <c r="F2494" s="4">
        <v>0.47</v>
      </c>
      <c r="G2494" s="4">
        <v>1175</v>
      </c>
      <c r="H2494" s="5">
        <f t="shared" si="38"/>
        <v>-4.0816326530612283E-2</v>
      </c>
    </row>
    <row r="2495" spans="1:8" ht="13.5" x14ac:dyDescent="0.25">
      <c r="A2495" s="1"/>
      <c r="B2495" s="3">
        <v>45937</v>
      </c>
      <c r="C2495" s="4">
        <v>0.46</v>
      </c>
      <c r="D2495" s="4">
        <v>0.46</v>
      </c>
      <c r="E2495" s="4">
        <v>612</v>
      </c>
      <c r="F2495" s="4">
        <v>0.46</v>
      </c>
      <c r="G2495" s="4">
        <v>281.52</v>
      </c>
      <c r="H2495" s="5">
        <f t="shared" si="38"/>
        <v>-2.1276595744680753E-2</v>
      </c>
    </row>
    <row r="2496" spans="1:8" ht="13.5" x14ac:dyDescent="0.25">
      <c r="A2496" s="1"/>
      <c r="B2496" s="3">
        <v>45938</v>
      </c>
      <c r="C2496" s="4">
        <v>0.48</v>
      </c>
      <c r="D2496" s="4">
        <v>0.48</v>
      </c>
      <c r="E2496" s="4">
        <v>0</v>
      </c>
      <c r="F2496" s="4">
        <v>0</v>
      </c>
      <c r="G2496" s="4">
        <v>0</v>
      </c>
      <c r="H2496" s="5">
        <f t="shared" si="38"/>
        <v>4.3478260869565133E-2</v>
      </c>
    </row>
    <row r="2497" spans="1:11" ht="13.5" x14ac:dyDescent="0.25">
      <c r="A2497" s="1"/>
      <c r="B2497" s="3">
        <v>45939</v>
      </c>
      <c r="C2497" s="4">
        <v>0.46</v>
      </c>
      <c r="D2497" s="4">
        <v>0.46</v>
      </c>
      <c r="E2497" s="4">
        <v>398</v>
      </c>
      <c r="F2497" s="4">
        <v>0.46</v>
      </c>
      <c r="G2497" s="4">
        <v>183.08</v>
      </c>
      <c r="H2497" s="5">
        <f t="shared" si="38"/>
        <v>-4.1666666666666588E-2</v>
      </c>
    </row>
    <row r="2498" spans="1:11" ht="13.5" x14ac:dyDescent="0.25">
      <c r="A2498" s="1"/>
      <c r="B2498" s="3">
        <v>45940</v>
      </c>
      <c r="C2498" s="4">
        <v>0.48</v>
      </c>
      <c r="D2498" s="4">
        <v>0.48</v>
      </c>
      <c r="E2498" s="4">
        <v>0</v>
      </c>
      <c r="F2498" s="4">
        <v>0</v>
      </c>
      <c r="G2498" s="4">
        <v>0</v>
      </c>
      <c r="H2498" s="5">
        <f t="shared" si="38"/>
        <v>4.3478260869565133E-2</v>
      </c>
    </row>
    <row r="2499" spans="1:11" ht="13.5" x14ac:dyDescent="0.25">
      <c r="A2499" s="1"/>
      <c r="B2499" s="3">
        <v>45943</v>
      </c>
      <c r="C2499" s="4">
        <v>0.48</v>
      </c>
      <c r="D2499" s="4">
        <v>0.48</v>
      </c>
      <c r="E2499" s="4">
        <v>0</v>
      </c>
      <c r="F2499" s="4">
        <v>0</v>
      </c>
      <c r="G2499" s="4">
        <v>0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0.48</v>
      </c>
      <c r="D2500" s="4">
        <v>0.48</v>
      </c>
      <c r="E2500" s="4">
        <v>0</v>
      </c>
      <c r="F2500" s="4">
        <v>0</v>
      </c>
      <c r="G2500" s="4">
        <v>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0.47</v>
      </c>
      <c r="D2501" s="4">
        <v>0.47</v>
      </c>
      <c r="E2501" s="4">
        <v>100</v>
      </c>
      <c r="F2501" s="4">
        <v>0.47</v>
      </c>
      <c r="G2501" s="4">
        <v>47</v>
      </c>
      <c r="H2501" s="5">
        <f t="shared" si="38"/>
        <v>-2.0833333333333353E-2</v>
      </c>
    </row>
    <row r="2502" spans="1:11" ht="13.5" x14ac:dyDescent="0.25">
      <c r="A2502" s="1"/>
      <c r="B2502" s="3">
        <v>45947</v>
      </c>
      <c r="C2502" s="4">
        <v>0.47</v>
      </c>
      <c r="D2502" s="4">
        <v>0.47</v>
      </c>
      <c r="E2502" s="4">
        <v>25</v>
      </c>
      <c r="F2502" s="4">
        <v>0.47</v>
      </c>
      <c r="G2502" s="4">
        <v>11.75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0.47</v>
      </c>
      <c r="D2503" s="4">
        <v>0.47</v>
      </c>
      <c r="E2503" s="4">
        <v>2000</v>
      </c>
      <c r="F2503" s="4">
        <v>0.47</v>
      </c>
      <c r="G2503" s="4">
        <v>940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0.47</v>
      </c>
      <c r="D2504" s="4">
        <v>0.47</v>
      </c>
      <c r="E2504" s="4">
        <v>20</v>
      </c>
      <c r="F2504" s="4">
        <v>0.47</v>
      </c>
      <c r="G2504" s="4">
        <v>9.4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0.47</v>
      </c>
      <c r="D2505" s="4">
        <v>0.47</v>
      </c>
      <c r="E2505" s="4">
        <v>1</v>
      </c>
      <c r="F2505" s="4">
        <v>0.47</v>
      </c>
      <c r="G2505" s="4">
        <v>0.47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0.46</v>
      </c>
      <c r="D2506" s="4">
        <v>0.46</v>
      </c>
      <c r="E2506" s="4">
        <v>3344</v>
      </c>
      <c r="F2506" s="4">
        <v>0.46</v>
      </c>
      <c r="G2506" s="4">
        <v>1538.24</v>
      </c>
      <c r="H2506" s="5">
        <f t="shared" si="39"/>
        <v>-2.1276595744680753E-2</v>
      </c>
    </row>
    <row r="2507" spans="1:11" ht="13.5" x14ac:dyDescent="0.25">
      <c r="A2507" s="1"/>
      <c r="B2507" s="3">
        <v>45954</v>
      </c>
      <c r="C2507" s="4">
        <v>0.48</v>
      </c>
      <c r="D2507" s="4">
        <v>0.48</v>
      </c>
      <c r="E2507" s="4">
        <v>0</v>
      </c>
      <c r="F2507" s="4">
        <v>0</v>
      </c>
      <c r="G2507" s="4">
        <v>0</v>
      </c>
      <c r="H2507" s="5">
        <f t="shared" si="39"/>
        <v>4.3478260869565133E-2</v>
      </c>
    </row>
    <row r="2508" spans="1:11" ht="13.5" x14ac:dyDescent="0.25">
      <c r="A2508" s="1"/>
      <c r="B2508" s="3">
        <v>45957</v>
      </c>
      <c r="C2508" s="4">
        <v>0.48</v>
      </c>
      <c r="D2508" s="4">
        <v>0.48</v>
      </c>
      <c r="E2508" s="4">
        <v>700</v>
      </c>
      <c r="F2508" s="4">
        <v>0.48</v>
      </c>
      <c r="G2508" s="4">
        <v>336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0.5</v>
      </c>
      <c r="D2509" s="4">
        <v>0.5</v>
      </c>
      <c r="E2509" s="4">
        <v>0</v>
      </c>
      <c r="F2509" s="4">
        <v>0</v>
      </c>
      <c r="G2509" s="4">
        <v>0</v>
      </c>
      <c r="H2509" s="5">
        <f t="shared" si="39"/>
        <v>4.1666666666666706E-2</v>
      </c>
    </row>
    <row r="2510" spans="1:11" ht="13.5" x14ac:dyDescent="0.25">
      <c r="A2510" s="1"/>
      <c r="B2510" s="3">
        <v>45959</v>
      </c>
      <c r="C2510" s="4">
        <v>0.49</v>
      </c>
      <c r="D2510" s="4">
        <v>0.49</v>
      </c>
      <c r="E2510" s="4">
        <v>200</v>
      </c>
      <c r="F2510" s="4">
        <v>0.49</v>
      </c>
      <c r="G2510" s="4">
        <v>98</v>
      </c>
      <c r="H2510" s="5">
        <f t="shared" si="39"/>
        <v>-2.0000000000000018E-2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0.51</v>
      </c>
      <c r="D2511" s="4">
        <v>0.51</v>
      </c>
      <c r="E2511" s="4">
        <v>0</v>
      </c>
      <c r="F2511" s="4">
        <v>0</v>
      </c>
      <c r="G2511" s="4">
        <v>0</v>
      </c>
      <c r="H2511" s="5">
        <f t="shared" si="39"/>
        <v>4.0816326530612283E-2</v>
      </c>
      <c r="I2511" s="8">
        <v>44047290</v>
      </c>
      <c r="J2511" s="9">
        <f>I2511*D2511</f>
        <v>22464117.900000002</v>
      </c>
      <c r="K2511" s="10">
        <f>SUM(E2307:E2511)/205</f>
        <v>1127.4682926829269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ACB20-64B2-4EF4-BE6F-9A5810F1A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63EBA-8B56-4282-AAF2-6694D1F0E275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825c0b43-6af9-4148-8ec1-c9594105943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D348874-B34F-4BFB-A8C1-783F153FA1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2025-11-04T19:42:14Z</dcterms:created>
  <dcterms:modified xsi:type="dcterms:W3CDTF">2025-11-05T05:36:51Z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