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5F3ADF83-E5F2-448C-A37D-BA4402642473}" xr6:coauthVersionLast="47" xr6:coauthVersionMax="47" xr10:uidLastSave="{00000000-0000-0000-0000-000000000000}"/>
  <bookViews>
    <workbookView xWindow="28680" yWindow="-120" windowWidth="24240" windowHeight="13020" xr2:uid="{E1931B43-E3D6-441B-B929-0341CD70FE06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<sst xmlns="http://schemas.openxmlformats.org/spreadsheetml/2006/main" count="16" uniqueCount="16">
  <si>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CELLCOM,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</si>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</sst>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7FD3-CE64-47D8-AA3A-72AF5E97F9C0}">
  <dimension ref="A1:K2511"/>
  <sheetViews>
    <sheetView showGridLines="0" tabSelected="1" topLeftCell="A2491" workbookViewId="0">
      <selection activeCell="K2499" sqref="K2499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8.77</v>
      </c>
      <c r="D5" s="4">
        <v>8.0136000000000003</v>
      </c>
      <c r="E5" s="4">
        <v>2881</v>
      </c>
      <c r="F5" s="4"/>
      <c r="G5" s="4"/>
      <c r="H5" s="1"/>
    </row>
    <row r="6" spans="1:11" ht="13.5" x14ac:dyDescent="0.25">
      <c r="A6" s="1"/>
      <c r="B6" s="3">
        <v>42311</v>
      </c>
      <c r="C6" s="4">
        <v>8.6</v>
      </c>
      <c r="D6" s="4">
        <v>7.8582999999999998</v>
      </c>
      <c r="E6" s="4">
        <v>13453</v>
      </c>
      <c r="F6" s="4"/>
      <c r="G6" s="4"/>
      <c r="H6" s="5">
        <f>(D6-D5)/D5</f>
        <v>-1.9379554756913303E-2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8.65</v>
      </c>
      <c r="D7" s="4">
        <v>7.9039999999999999</v>
      </c>
      <c r="E7" s="4">
        <v>9279</v>
      </c>
      <c r="F7" s="4"/>
      <c r="G7" s="4"/>
      <c r="H7" s="5">
        <f t="shared" ref="H7:H70" si="0">(D7-D6)/D6</f>
        <v>5.8155071707621337E-3</v>
      </c>
    </row>
    <row r="8" spans="1:11" ht="13.5" x14ac:dyDescent="0.25">
      <c r="A8" s="1"/>
      <c r="B8" s="3">
        <v>42313</v>
      </c>
      <c r="C8" s="4">
        <v>8.6</v>
      </c>
      <c r="D8" s="4">
        <v>7.8582999999999998</v>
      </c>
      <c r="E8" s="4">
        <v>10380</v>
      </c>
      <c r="F8" s="4"/>
      <c r="G8" s="4"/>
      <c r="H8" s="5">
        <f t="shared" si="0"/>
        <v>-5.781882591093127E-3</v>
      </c>
      <c r="J8" t="s">
        <v>9</v>
      </c>
      <c r="K8" s="6">
        <f>AVERAGE(H6:H2511)</f>
        <v>-3.2385862101897957E-4</v>
      </c>
    </row>
    <row r="9" spans="1:11" ht="13.5" x14ac:dyDescent="0.25">
      <c r="A9" s="1"/>
      <c r="B9" s="3">
        <v>42314</v>
      </c>
      <c r="C9" s="4">
        <v>8.6</v>
      </c>
      <c r="D9" s="4">
        <v>7.8582999999999998</v>
      </c>
      <c r="E9" s="4">
        <v>10091</v>
      </c>
      <c r="F9" s="4"/>
      <c r="G9" s="4"/>
      <c r="H9" s="5">
        <f t="shared" si="0"/>
        <v>0</v>
      </c>
      <c r="J9" t="s">
        <v>10</v>
      </c>
      <c r="K9" s="6">
        <f>K8*K6</f>
        <v>-8.1612372496782853E-2</v>
      </c>
    </row>
    <row r="10" spans="1:11" ht="13.5" x14ac:dyDescent="0.25">
      <c r="A10" s="1"/>
      <c r="B10" s="3">
        <v>42317</v>
      </c>
      <c r="C10" s="4">
        <v>8.36</v>
      </c>
      <c r="D10" s="4">
        <v>7.6390000000000002</v>
      </c>
      <c r="E10" s="4">
        <v>2195</v>
      </c>
      <c r="F10" s="4"/>
      <c r="G10" s="4"/>
      <c r="H10" s="5">
        <f t="shared" si="0"/>
        <v>-2.790679918048428E-2</v>
      </c>
      <c r="J10" t="s">
        <v>11</v>
      </c>
      <c r="K10" s="6">
        <f>STDEV(H6:H2511)</f>
        <v>2.239933643418697E-2</v>
      </c>
    </row>
    <row r="11" spans="1:11" ht="13.5" x14ac:dyDescent="0.25">
      <c r="A11" s="1"/>
      <c r="B11" s="3">
        <v>42318</v>
      </c>
      <c r="C11" s="4">
        <v>8.4499999999999993</v>
      </c>
      <c r="D11" s="4">
        <v>7.7211999999999996</v>
      </c>
      <c r="E11" s="4">
        <v>5468</v>
      </c>
      <c r="F11" s="4"/>
      <c r="G11" s="4"/>
      <c r="H11" s="5">
        <f t="shared" si="0"/>
        <v>1.0760570755334388E-2</v>
      </c>
      <c r="J11" t="s">
        <v>12</v>
      </c>
      <c r="K11" s="6">
        <f>K10*SQRT(K6)</f>
        <v>0.35557844242636216</v>
      </c>
    </row>
    <row r="12" spans="1:11" ht="13.5" x14ac:dyDescent="0.25">
      <c r="A12" s="1"/>
      <c r="B12" s="3">
        <v>42319</v>
      </c>
      <c r="C12" s="4">
        <v>8.59</v>
      </c>
      <c r="D12" s="4">
        <v>7.8491999999999997</v>
      </c>
      <c r="E12" s="4">
        <v>1230</v>
      </c>
      <c r="F12" s="4"/>
      <c r="G12" s="4"/>
      <c r="H12" s="5">
        <f t="shared" si="0"/>
        <v>1.6577734030979657E-2</v>
      </c>
    </row>
    <row r="13" spans="1:11" ht="13.5" x14ac:dyDescent="0.25">
      <c r="A13" s="1"/>
      <c r="B13" s="3">
        <v>42320</v>
      </c>
      <c r="C13" s="4">
        <v>8.59</v>
      </c>
      <c r="D13" s="4">
        <v>7.8491999999999997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8.4</v>
      </c>
      <c r="D14" s="4">
        <v>7.6755000000000004</v>
      </c>
      <c r="E14" s="4">
        <v>5050</v>
      </c>
      <c r="F14" s="4"/>
      <c r="G14" s="4"/>
      <c r="H14" s="5">
        <f t="shared" si="0"/>
        <v>-2.2129643785353832E-2</v>
      </c>
    </row>
    <row r="15" spans="1:11" ht="13.5" x14ac:dyDescent="0.25">
      <c r="A15" s="1"/>
      <c r="B15" s="3">
        <v>42324</v>
      </c>
      <c r="C15" s="4">
        <v>8.5</v>
      </c>
      <c r="D15" s="4">
        <v>7.7668999999999997</v>
      </c>
      <c r="E15" s="4">
        <v>10625</v>
      </c>
      <c r="F15" s="4"/>
      <c r="G15" s="4"/>
      <c r="H15" s="5">
        <f t="shared" si="0"/>
        <v>1.1908019021562017E-2</v>
      </c>
    </row>
    <row r="16" spans="1:11" ht="13.5" x14ac:dyDescent="0.25">
      <c r="A16" s="1"/>
      <c r="B16" s="3">
        <v>42325</v>
      </c>
      <c r="C16" s="4">
        <v>8.5</v>
      </c>
      <c r="D16" s="4">
        <v>7.7668999999999997</v>
      </c>
      <c r="E16" s="4">
        <v>8208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8.4600000000000009</v>
      </c>
      <c r="D17" s="4">
        <v>7.7304000000000004</v>
      </c>
      <c r="E17" s="4">
        <v>500</v>
      </c>
      <c r="F17" s="4"/>
      <c r="G17" s="4"/>
      <c r="H17" s="5">
        <f t="shared" si="0"/>
        <v>-4.6994296308693704E-3</v>
      </c>
    </row>
    <row r="18" spans="1:8" ht="13.5" x14ac:dyDescent="0.25">
      <c r="A18" s="1"/>
      <c r="B18" s="3">
        <v>42327</v>
      </c>
      <c r="C18" s="4">
        <v>8.5500000000000007</v>
      </c>
      <c r="D18" s="4">
        <v>7.8125999999999998</v>
      </c>
      <c r="E18" s="4">
        <v>1384</v>
      </c>
      <c r="F18" s="4"/>
      <c r="G18" s="4"/>
      <c r="H18" s="5">
        <f t="shared" si="0"/>
        <v>1.0633343682086228E-2</v>
      </c>
    </row>
    <row r="19" spans="1:8" ht="13.5" x14ac:dyDescent="0.25">
      <c r="A19" s="1"/>
      <c r="B19" s="3">
        <v>42328</v>
      </c>
      <c r="C19" s="4">
        <v>8.4499999999999993</v>
      </c>
      <c r="D19" s="4">
        <v>7.7211999999999996</v>
      </c>
      <c r="E19" s="4">
        <v>1356</v>
      </c>
      <c r="F19" s="4"/>
      <c r="G19" s="4"/>
      <c r="H19" s="5">
        <f t="shared" si="0"/>
        <v>-1.1699050252156791E-2</v>
      </c>
    </row>
    <row r="20" spans="1:8" ht="13.5" x14ac:dyDescent="0.25">
      <c r="A20" s="1"/>
      <c r="B20" s="3">
        <v>42331</v>
      </c>
      <c r="C20" s="4">
        <v>8.4</v>
      </c>
      <c r="D20" s="4">
        <v>7.6755000000000004</v>
      </c>
      <c r="E20" s="4">
        <v>1910</v>
      </c>
      <c r="F20" s="4"/>
      <c r="G20" s="4"/>
      <c r="H20" s="5">
        <f t="shared" si="0"/>
        <v>-5.9187691032480949E-3</v>
      </c>
    </row>
    <row r="21" spans="1:8" ht="13.5" x14ac:dyDescent="0.25">
      <c r="A21" s="1"/>
      <c r="B21" s="3">
        <v>42332</v>
      </c>
      <c r="C21" s="4">
        <v>8.4499999999999993</v>
      </c>
      <c r="D21" s="4">
        <v>7.7211999999999996</v>
      </c>
      <c r="E21" s="4">
        <v>2001</v>
      </c>
      <c r="F21" s="4"/>
      <c r="G21" s="4"/>
      <c r="H21" s="5">
        <f t="shared" si="0"/>
        <v>5.9540095107809502E-3</v>
      </c>
    </row>
    <row r="22" spans="1:8" ht="13.5" x14ac:dyDescent="0.25">
      <c r="A22" s="1"/>
      <c r="B22" s="3">
        <v>42333</v>
      </c>
      <c r="C22" s="4">
        <v>8.4499999999999993</v>
      </c>
      <c r="D22" s="4">
        <v>7.7211999999999996</v>
      </c>
      <c r="E22" s="4">
        <v>666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8.4499999999999993</v>
      </c>
      <c r="D23" s="4">
        <v>7.7211999999999996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8.44</v>
      </c>
      <c r="D24" s="4">
        <v>7.7121000000000004</v>
      </c>
      <c r="E24" s="4">
        <v>4163</v>
      </c>
      <c r="F24" s="4"/>
      <c r="G24" s="4"/>
      <c r="H24" s="5">
        <f t="shared" si="0"/>
        <v>-1.1785732787648578E-3</v>
      </c>
    </row>
    <row r="25" spans="1:8" ht="13.5" x14ac:dyDescent="0.25">
      <c r="A25" s="1"/>
      <c r="B25" s="3">
        <v>42338</v>
      </c>
      <c r="C25" s="4">
        <v>8.44</v>
      </c>
      <c r="D25" s="4">
        <v>7.7121000000000004</v>
      </c>
      <c r="E25" s="4">
        <v>1833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8.3000000000000007</v>
      </c>
      <c r="D26" s="4">
        <v>7.5842000000000001</v>
      </c>
      <c r="E26" s="4">
        <v>3105</v>
      </c>
      <c r="F26" s="4"/>
      <c r="G26" s="4"/>
      <c r="H26" s="5">
        <f t="shared" si="0"/>
        <v>-1.6584328522711109E-2</v>
      </c>
    </row>
    <row r="27" spans="1:8" ht="13.5" x14ac:dyDescent="0.25">
      <c r="A27" s="1"/>
      <c r="B27" s="3">
        <v>42340</v>
      </c>
      <c r="C27" s="4">
        <v>8.3000000000000007</v>
      </c>
      <c r="D27" s="4">
        <v>7.5842000000000001</v>
      </c>
      <c r="E27" s="4">
        <v>619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8.42</v>
      </c>
      <c r="D28" s="4">
        <v>7.6938000000000004</v>
      </c>
      <c r="E28" s="4">
        <v>7100</v>
      </c>
      <c r="F28" s="4"/>
      <c r="G28" s="4"/>
      <c r="H28" s="5">
        <f t="shared" si="0"/>
        <v>1.4451095698953134E-2</v>
      </c>
    </row>
    <row r="29" spans="1:8" ht="13.5" x14ac:dyDescent="0.25">
      <c r="A29" s="1"/>
      <c r="B29" s="3">
        <v>42342</v>
      </c>
      <c r="C29" s="4">
        <v>8.64</v>
      </c>
      <c r="D29" s="4">
        <v>7.8948</v>
      </c>
      <c r="E29" s="4">
        <v>5979</v>
      </c>
      <c r="F29" s="4"/>
      <c r="G29" s="4"/>
      <c r="H29" s="5">
        <f t="shared" si="0"/>
        <v>2.6124931763237883E-2</v>
      </c>
    </row>
    <row r="30" spans="1:8" ht="13.5" x14ac:dyDescent="0.25">
      <c r="A30" s="1"/>
      <c r="B30" s="3">
        <v>42345</v>
      </c>
      <c r="C30" s="4">
        <v>8.64</v>
      </c>
      <c r="D30" s="4">
        <v>7.8948</v>
      </c>
      <c r="E30" s="4">
        <v>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8.4</v>
      </c>
      <c r="D31" s="4">
        <v>7.6755000000000004</v>
      </c>
      <c r="E31" s="4">
        <v>7667</v>
      </c>
      <c r="F31" s="4"/>
      <c r="G31" s="4"/>
      <c r="H31" s="5">
        <f t="shared" si="0"/>
        <v>-2.7777777777777728E-2</v>
      </c>
    </row>
    <row r="32" spans="1:8" ht="13.5" x14ac:dyDescent="0.25">
      <c r="A32" s="1"/>
      <c r="B32" s="3">
        <v>42347</v>
      </c>
      <c r="C32" s="4">
        <v>8.31</v>
      </c>
      <c r="D32" s="4">
        <v>7.5933000000000002</v>
      </c>
      <c r="E32" s="4">
        <v>945</v>
      </c>
      <c r="F32" s="4"/>
      <c r="G32" s="4"/>
      <c r="H32" s="5">
        <f t="shared" si="0"/>
        <v>-1.0709400039085437E-2</v>
      </c>
    </row>
    <row r="33" spans="1:8" ht="13.5" x14ac:dyDescent="0.25">
      <c r="A33" s="1"/>
      <c r="B33" s="3">
        <v>42348</v>
      </c>
      <c r="C33" s="4">
        <v>8.5500000000000007</v>
      </c>
      <c r="D33" s="4">
        <v>7.8125999999999998</v>
      </c>
      <c r="E33" s="4">
        <v>1110</v>
      </c>
      <c r="F33" s="4"/>
      <c r="G33" s="4"/>
      <c r="H33" s="5">
        <f t="shared" si="0"/>
        <v>2.8880723795977982E-2</v>
      </c>
    </row>
    <row r="34" spans="1:8" ht="13.5" x14ac:dyDescent="0.25">
      <c r="A34" s="1"/>
      <c r="B34" s="3">
        <v>42349</v>
      </c>
      <c r="C34" s="4">
        <v>8.5500000000000007</v>
      </c>
      <c r="D34" s="4">
        <v>7.8125999999999998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8.5</v>
      </c>
      <c r="D35" s="4">
        <v>7.7668999999999997</v>
      </c>
      <c r="E35" s="4">
        <v>1065</v>
      </c>
      <c r="F35" s="4"/>
      <c r="G35" s="4"/>
      <c r="H35" s="5">
        <f t="shared" si="0"/>
        <v>-5.8495251260783955E-3</v>
      </c>
    </row>
    <row r="36" spans="1:8" ht="13.5" x14ac:dyDescent="0.25">
      <c r="A36" s="1"/>
      <c r="B36" s="3">
        <v>42353</v>
      </c>
      <c r="C36" s="4">
        <v>8.5</v>
      </c>
      <c r="D36" s="4">
        <v>7.7668999999999997</v>
      </c>
      <c r="E36" s="4">
        <v>2567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42354</v>
      </c>
      <c r="C37" s="4">
        <v>8.5</v>
      </c>
      <c r="D37" s="4">
        <v>7.7668999999999997</v>
      </c>
      <c r="E37" s="4">
        <v>0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42355</v>
      </c>
      <c r="C38" s="4">
        <v>8.5</v>
      </c>
      <c r="D38" s="4">
        <v>7.7668999999999997</v>
      </c>
      <c r="E38" s="4">
        <v>0</v>
      </c>
      <c r="F38" s="4"/>
      <c r="G38" s="4"/>
      <c r="H38" s="5">
        <f t="shared" si="0"/>
        <v>0</v>
      </c>
    </row>
    <row r="39" spans="1:8" ht="13.5" x14ac:dyDescent="0.25">
      <c r="A39" s="1"/>
      <c r="B39" s="3">
        <v>42356</v>
      </c>
      <c r="C39" s="4">
        <v>8.6</v>
      </c>
      <c r="D39" s="4">
        <v>7.8582999999999998</v>
      </c>
      <c r="E39" s="4">
        <v>7695</v>
      </c>
      <c r="F39" s="4"/>
      <c r="G39" s="4"/>
      <c r="H39" s="5">
        <f t="shared" si="0"/>
        <v>1.1767886801684089E-2</v>
      </c>
    </row>
    <row r="40" spans="1:8" ht="13.5" x14ac:dyDescent="0.25">
      <c r="A40" s="1"/>
      <c r="B40" s="3">
        <v>42359</v>
      </c>
      <c r="C40" s="4">
        <v>8.6</v>
      </c>
      <c r="D40" s="4">
        <v>7.8582999999999998</v>
      </c>
      <c r="E40" s="4">
        <v>22654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8.59</v>
      </c>
      <c r="D41" s="4">
        <v>7.8491999999999997</v>
      </c>
      <c r="E41" s="4">
        <v>5030</v>
      </c>
      <c r="F41" s="4"/>
      <c r="G41" s="4"/>
      <c r="H41" s="5">
        <f t="shared" si="0"/>
        <v>-1.1580112747031938E-3</v>
      </c>
    </row>
    <row r="42" spans="1:8" ht="13.5" x14ac:dyDescent="0.25">
      <c r="A42" s="1"/>
      <c r="B42" s="3">
        <v>42361</v>
      </c>
      <c r="C42" s="4">
        <v>8.5</v>
      </c>
      <c r="D42" s="4">
        <v>7.7668999999999997</v>
      </c>
      <c r="E42" s="4">
        <v>3050</v>
      </c>
      <c r="F42" s="4"/>
      <c r="G42" s="4"/>
      <c r="H42" s="5">
        <f t="shared" si="0"/>
        <v>-1.0485144982928202E-2</v>
      </c>
    </row>
    <row r="43" spans="1:8" ht="13.5" x14ac:dyDescent="0.25">
      <c r="A43" s="1"/>
      <c r="B43" s="3">
        <v>42363</v>
      </c>
      <c r="C43" s="4">
        <v>8.35</v>
      </c>
      <c r="D43" s="4">
        <v>7.6298000000000004</v>
      </c>
      <c r="E43" s="4">
        <v>4487</v>
      </c>
      <c r="F43" s="4"/>
      <c r="G43" s="4"/>
      <c r="H43" s="5">
        <f t="shared" si="0"/>
        <v>-1.7651830202526021E-2</v>
      </c>
    </row>
    <row r="44" spans="1:8" ht="13.5" x14ac:dyDescent="0.25">
      <c r="A44" s="1"/>
      <c r="B44" s="3">
        <v>42366</v>
      </c>
      <c r="C44" s="4">
        <v>8.35</v>
      </c>
      <c r="D44" s="4">
        <v>7.6298000000000004</v>
      </c>
      <c r="E44" s="4">
        <v>2458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8.48</v>
      </c>
      <c r="D45" s="4">
        <v>7.7485999999999997</v>
      </c>
      <c r="E45" s="4">
        <v>32</v>
      </c>
      <c r="F45" s="4"/>
      <c r="G45" s="4"/>
      <c r="H45" s="5">
        <f t="shared" si="0"/>
        <v>1.5570526095048278E-2</v>
      </c>
    </row>
    <row r="46" spans="1:8" ht="13.5" x14ac:dyDescent="0.25">
      <c r="A46" s="1"/>
      <c r="B46" s="3">
        <v>42368</v>
      </c>
      <c r="C46" s="4">
        <v>8.4700000000000006</v>
      </c>
      <c r="D46" s="4">
        <v>7.7394999999999996</v>
      </c>
      <c r="E46" s="4">
        <v>2012</v>
      </c>
      <c r="F46" s="4"/>
      <c r="G46" s="4"/>
      <c r="H46" s="5">
        <f t="shared" si="0"/>
        <v>-1.1744056990940438E-3</v>
      </c>
    </row>
    <row r="47" spans="1:8" ht="13.5" x14ac:dyDescent="0.25">
      <c r="A47" s="1"/>
      <c r="B47" s="3">
        <v>42369</v>
      </c>
      <c r="C47" s="4">
        <v>8.4600000000000009</v>
      </c>
      <c r="D47" s="4">
        <v>7.7304000000000004</v>
      </c>
      <c r="E47" s="4">
        <v>5984</v>
      </c>
      <c r="F47" s="4"/>
      <c r="G47" s="4"/>
      <c r="H47" s="5">
        <f t="shared" si="0"/>
        <v>-1.1757865495186019E-3</v>
      </c>
    </row>
    <row r="48" spans="1:8" ht="13.5" x14ac:dyDescent="0.25">
      <c r="A48" s="1"/>
      <c r="B48" s="3">
        <v>42373</v>
      </c>
      <c r="C48" s="4">
        <v>8.49</v>
      </c>
      <c r="D48" s="4">
        <v>7.7577999999999996</v>
      </c>
      <c r="E48" s="4">
        <v>675</v>
      </c>
      <c r="F48" s="4"/>
      <c r="G48" s="4"/>
      <c r="H48" s="5">
        <f t="shared" si="0"/>
        <v>3.5444478940286663E-3</v>
      </c>
    </row>
    <row r="49" spans="1:8" ht="13.5" x14ac:dyDescent="0.25">
      <c r="A49" s="1"/>
      <c r="B49" s="3">
        <v>42374</v>
      </c>
      <c r="C49" s="4">
        <v>8.3000000000000007</v>
      </c>
      <c r="D49" s="4">
        <v>7.5842000000000001</v>
      </c>
      <c r="E49" s="4">
        <v>24000</v>
      </c>
      <c r="F49" s="4"/>
      <c r="G49" s="4"/>
      <c r="H49" s="5">
        <f t="shared" si="0"/>
        <v>-2.2377478151022138E-2</v>
      </c>
    </row>
    <row r="50" spans="1:8" ht="13.5" x14ac:dyDescent="0.25">
      <c r="A50" s="1"/>
      <c r="B50" s="3">
        <v>42375</v>
      </c>
      <c r="C50" s="4">
        <v>8.25</v>
      </c>
      <c r="D50" s="4">
        <v>7.5385</v>
      </c>
      <c r="E50" s="4">
        <v>14637</v>
      </c>
      <c r="F50" s="4"/>
      <c r="G50" s="4"/>
      <c r="H50" s="5">
        <f t="shared" si="0"/>
        <v>-6.0256849766620177E-3</v>
      </c>
    </row>
    <row r="51" spans="1:8" ht="13.5" x14ac:dyDescent="0.25">
      <c r="A51" s="1"/>
      <c r="B51" s="3">
        <v>42376</v>
      </c>
      <c r="C51" s="4">
        <v>8.4</v>
      </c>
      <c r="D51" s="4">
        <v>7.6755000000000004</v>
      </c>
      <c r="E51" s="4">
        <v>7259</v>
      </c>
      <c r="F51" s="4"/>
      <c r="G51" s="4"/>
      <c r="H51" s="5">
        <f t="shared" si="0"/>
        <v>1.817337666644564E-2</v>
      </c>
    </row>
    <row r="52" spans="1:8" ht="13.5" x14ac:dyDescent="0.25">
      <c r="A52" s="1"/>
      <c r="B52" s="3">
        <v>42377</v>
      </c>
      <c r="C52" s="4">
        <v>8.3000000000000007</v>
      </c>
      <c r="D52" s="4">
        <v>7.5842000000000001</v>
      </c>
      <c r="E52" s="4">
        <v>14682</v>
      </c>
      <c r="F52" s="4"/>
      <c r="G52" s="4"/>
      <c r="H52" s="5">
        <f t="shared" si="0"/>
        <v>-1.1894990554361329E-2</v>
      </c>
    </row>
    <row r="53" spans="1:8" ht="13.5" x14ac:dyDescent="0.25">
      <c r="A53" s="1"/>
      <c r="B53" s="3">
        <v>42380</v>
      </c>
      <c r="C53" s="4">
        <v>8.11</v>
      </c>
      <c r="D53" s="4">
        <v>7.4104999999999999</v>
      </c>
      <c r="E53" s="4">
        <v>17156</v>
      </c>
      <c r="F53" s="4"/>
      <c r="G53" s="4"/>
      <c r="H53" s="5">
        <f t="shared" si="0"/>
        <v>-2.2902877033833521E-2</v>
      </c>
    </row>
    <row r="54" spans="1:8" ht="13.5" x14ac:dyDescent="0.25">
      <c r="A54" s="1"/>
      <c r="B54" s="3">
        <v>42381</v>
      </c>
      <c r="C54" s="4">
        <v>8.1999999999999993</v>
      </c>
      <c r="D54" s="4">
        <v>7.4927999999999999</v>
      </c>
      <c r="E54" s="4">
        <v>9643</v>
      </c>
      <c r="F54" s="4"/>
      <c r="G54" s="4"/>
      <c r="H54" s="5">
        <f t="shared" si="0"/>
        <v>1.1105863302071391E-2</v>
      </c>
    </row>
    <row r="55" spans="1:8" ht="13.5" x14ac:dyDescent="0.25">
      <c r="A55" s="1"/>
      <c r="B55" s="3">
        <v>42382</v>
      </c>
      <c r="C55" s="4">
        <v>8.14</v>
      </c>
      <c r="D55" s="4">
        <v>7.4379999999999997</v>
      </c>
      <c r="E55" s="4">
        <v>2620</v>
      </c>
      <c r="F55" s="4"/>
      <c r="G55" s="4"/>
      <c r="H55" s="5">
        <f t="shared" si="0"/>
        <v>-7.3136878069613737E-3</v>
      </c>
    </row>
    <row r="56" spans="1:8" ht="13.5" x14ac:dyDescent="0.25">
      <c r="A56" s="1"/>
      <c r="B56" s="3">
        <v>42384</v>
      </c>
      <c r="C56" s="4">
        <v>8.1999999999999993</v>
      </c>
      <c r="D56" s="4">
        <v>7.4927999999999999</v>
      </c>
      <c r="E56" s="4">
        <v>7493</v>
      </c>
      <c r="F56" s="4"/>
      <c r="G56" s="4"/>
      <c r="H56" s="5">
        <f t="shared" si="0"/>
        <v>7.3675719279376424E-3</v>
      </c>
    </row>
    <row r="57" spans="1:8" ht="13.5" x14ac:dyDescent="0.25">
      <c r="A57" s="1"/>
      <c r="B57" s="3">
        <v>42387</v>
      </c>
      <c r="C57" s="4">
        <v>8.25</v>
      </c>
      <c r="D57" s="4">
        <v>7.5385</v>
      </c>
      <c r="E57" s="4">
        <v>66</v>
      </c>
      <c r="F57" s="4"/>
      <c r="G57" s="4"/>
      <c r="H57" s="5">
        <f t="shared" si="0"/>
        <v>6.099188554345515E-3</v>
      </c>
    </row>
    <row r="58" spans="1:8" ht="13.5" x14ac:dyDescent="0.25">
      <c r="A58" s="1"/>
      <c r="B58" s="3">
        <v>42388</v>
      </c>
      <c r="C58" s="4">
        <v>8.3699999999999992</v>
      </c>
      <c r="D58" s="4">
        <v>7.6481000000000003</v>
      </c>
      <c r="E58" s="4">
        <v>3256</v>
      </c>
      <c r="F58" s="4"/>
      <c r="G58" s="4"/>
      <c r="H58" s="5">
        <f t="shared" si="0"/>
        <v>1.4538701333156512E-2</v>
      </c>
    </row>
    <row r="59" spans="1:8" ht="13.5" x14ac:dyDescent="0.25">
      <c r="A59" s="1"/>
      <c r="B59" s="3">
        <v>42389</v>
      </c>
      <c r="C59" s="4">
        <v>8.1999999999999993</v>
      </c>
      <c r="D59" s="4">
        <v>7.4927999999999999</v>
      </c>
      <c r="E59" s="4">
        <v>3223</v>
      </c>
      <c r="F59" s="4"/>
      <c r="G59" s="4"/>
      <c r="H59" s="5">
        <f t="shared" si="0"/>
        <v>-2.0305696839738031E-2</v>
      </c>
    </row>
    <row r="60" spans="1:8" ht="13.5" x14ac:dyDescent="0.25">
      <c r="A60" s="1"/>
      <c r="B60" s="3">
        <v>42390</v>
      </c>
      <c r="C60" s="4">
        <v>8.1999999999999993</v>
      </c>
      <c r="D60" s="4">
        <v>7.4927999999999999</v>
      </c>
      <c r="E60" s="4">
        <v>2405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8.19</v>
      </c>
      <c r="D61" s="4">
        <v>7.4836</v>
      </c>
      <c r="E61" s="4">
        <v>208</v>
      </c>
      <c r="F61" s="4"/>
      <c r="G61" s="4"/>
      <c r="H61" s="5">
        <f t="shared" si="0"/>
        <v>-1.2278453982489689E-3</v>
      </c>
    </row>
    <row r="62" spans="1:8" ht="13.5" x14ac:dyDescent="0.25">
      <c r="A62" s="1"/>
      <c r="B62" s="3">
        <v>42394</v>
      </c>
      <c r="C62" s="4">
        <v>8.0299999999999994</v>
      </c>
      <c r="D62" s="4">
        <v>7.3373999999999997</v>
      </c>
      <c r="E62" s="4">
        <v>540</v>
      </c>
      <c r="F62" s="4"/>
      <c r="G62" s="4"/>
      <c r="H62" s="5">
        <f t="shared" si="0"/>
        <v>-1.9536052167406105E-2</v>
      </c>
    </row>
    <row r="63" spans="1:8" ht="13.5" x14ac:dyDescent="0.25">
      <c r="A63" s="1"/>
      <c r="B63" s="3">
        <v>42395</v>
      </c>
      <c r="C63" s="4">
        <v>8.1999999999999993</v>
      </c>
      <c r="D63" s="4">
        <v>7.4927999999999999</v>
      </c>
      <c r="E63" s="4">
        <v>1941</v>
      </c>
      <c r="F63" s="4"/>
      <c r="G63" s="4"/>
      <c r="H63" s="5">
        <f t="shared" si="0"/>
        <v>2.1179164281625671E-2</v>
      </c>
    </row>
    <row r="64" spans="1:8" ht="13.5" x14ac:dyDescent="0.25">
      <c r="A64" s="1"/>
      <c r="B64" s="3">
        <v>42396</v>
      </c>
      <c r="C64" s="4">
        <v>8.19</v>
      </c>
      <c r="D64" s="4">
        <v>7.4836</v>
      </c>
      <c r="E64" s="4">
        <v>5884</v>
      </c>
      <c r="F64" s="4"/>
      <c r="G64" s="4"/>
      <c r="H64" s="5">
        <f t="shared" si="0"/>
        <v>-1.2278453982489689E-3</v>
      </c>
    </row>
    <row r="65" spans="1:8" ht="13.5" x14ac:dyDescent="0.25">
      <c r="A65" s="1"/>
      <c r="B65" s="3">
        <v>42397</v>
      </c>
      <c r="C65" s="4">
        <v>8.2899999999999991</v>
      </c>
      <c r="D65" s="4">
        <v>7.5750000000000002</v>
      </c>
      <c r="E65" s="4">
        <v>251</v>
      </c>
      <c r="F65" s="4"/>
      <c r="G65" s="4"/>
      <c r="H65" s="5">
        <f t="shared" si="0"/>
        <v>1.221337324282433E-2</v>
      </c>
    </row>
    <row r="66" spans="1:8" ht="13.5" x14ac:dyDescent="0.25">
      <c r="A66" s="1"/>
      <c r="B66" s="3">
        <v>42398</v>
      </c>
      <c r="C66" s="4">
        <v>8.25</v>
      </c>
      <c r="D66" s="4">
        <v>7.5385</v>
      </c>
      <c r="E66" s="4">
        <v>4594</v>
      </c>
      <c r="F66" s="4"/>
      <c r="G66" s="4"/>
      <c r="H66" s="5">
        <f t="shared" si="0"/>
        <v>-4.8184818481848447E-3</v>
      </c>
    </row>
    <row r="67" spans="1:8" ht="13.5" x14ac:dyDescent="0.25">
      <c r="A67" s="1"/>
      <c r="B67" s="3">
        <v>42401</v>
      </c>
      <c r="C67" s="4">
        <v>8.33</v>
      </c>
      <c r="D67" s="4">
        <v>7.6116000000000001</v>
      </c>
      <c r="E67" s="4">
        <v>1</v>
      </c>
      <c r="F67" s="4"/>
      <c r="G67" s="4"/>
      <c r="H67" s="5">
        <f t="shared" si="0"/>
        <v>9.6968893015852171E-3</v>
      </c>
    </row>
    <row r="68" spans="1:8" ht="13.5" x14ac:dyDescent="0.25">
      <c r="A68" s="1"/>
      <c r="B68" s="3">
        <v>42402</v>
      </c>
      <c r="C68" s="4">
        <v>8.1999999999999993</v>
      </c>
      <c r="D68" s="4">
        <v>7.4927999999999999</v>
      </c>
      <c r="E68" s="4">
        <v>3866</v>
      </c>
      <c r="F68" s="4"/>
      <c r="G68" s="4"/>
      <c r="H68" s="5">
        <f t="shared" si="0"/>
        <v>-1.5607756582058993E-2</v>
      </c>
    </row>
    <row r="69" spans="1:8" ht="13.5" x14ac:dyDescent="0.25">
      <c r="A69" s="1"/>
      <c r="B69" s="3">
        <v>42403</v>
      </c>
      <c r="C69" s="4">
        <v>8.3000000000000007</v>
      </c>
      <c r="D69" s="4">
        <v>7.5842000000000001</v>
      </c>
      <c r="E69" s="4">
        <v>2730</v>
      </c>
      <c r="F69" s="4"/>
      <c r="G69" s="4"/>
      <c r="H69" s="5">
        <f t="shared" si="0"/>
        <v>1.219837710869103E-2</v>
      </c>
    </row>
    <row r="70" spans="1:8" ht="13.5" x14ac:dyDescent="0.25">
      <c r="A70" s="1"/>
      <c r="B70" s="3">
        <v>42404</v>
      </c>
      <c r="C70" s="4">
        <v>8.35</v>
      </c>
      <c r="D70" s="4">
        <v>7.6298000000000004</v>
      </c>
      <c r="E70" s="4">
        <v>2885</v>
      </c>
      <c r="F70" s="4"/>
      <c r="G70" s="4"/>
      <c r="H70" s="5">
        <f t="shared" si="0"/>
        <v>6.0124996703673833E-3</v>
      </c>
    </row>
    <row r="71" spans="1:8" ht="13.5" x14ac:dyDescent="0.25">
      <c r="A71" s="1"/>
      <c r="B71" s="3">
        <v>42405</v>
      </c>
      <c r="C71" s="4">
        <v>8.1</v>
      </c>
      <c r="D71" s="4">
        <v>7.4013999999999998</v>
      </c>
      <c r="E71" s="4">
        <v>2271</v>
      </c>
      <c r="F71" s="4"/>
      <c r="G71" s="4"/>
      <c r="H71" s="5">
        <f t="shared" ref="H71:H134" si="1">(D71-D70)/D70</f>
        <v>-2.9935253872971846E-2</v>
      </c>
    </row>
    <row r="72" spans="1:8" ht="13.5" x14ac:dyDescent="0.25">
      <c r="A72" s="1"/>
      <c r="B72" s="3">
        <v>42408</v>
      </c>
      <c r="C72" s="4">
        <v>8.15</v>
      </c>
      <c r="D72" s="4">
        <v>7.4470999999999998</v>
      </c>
      <c r="E72" s="4">
        <v>623</v>
      </c>
      <c r="F72" s="4"/>
      <c r="G72" s="4"/>
      <c r="H72" s="5">
        <f t="shared" si="1"/>
        <v>6.1745075256032745E-3</v>
      </c>
    </row>
    <row r="73" spans="1:8" ht="13.5" x14ac:dyDescent="0.25">
      <c r="A73" s="1"/>
      <c r="B73" s="3">
        <v>42409</v>
      </c>
      <c r="C73" s="4">
        <v>8.16</v>
      </c>
      <c r="D73" s="4">
        <v>7.4561999999999999</v>
      </c>
      <c r="E73" s="4">
        <v>256</v>
      </c>
      <c r="F73" s="4"/>
      <c r="G73" s="4"/>
      <c r="H73" s="5">
        <f t="shared" si="1"/>
        <v>1.2219521693008161E-3</v>
      </c>
    </row>
    <row r="74" spans="1:8" ht="13.5" x14ac:dyDescent="0.25">
      <c r="A74" s="1"/>
      <c r="B74" s="3">
        <v>42410</v>
      </c>
      <c r="C74" s="4">
        <v>8.1</v>
      </c>
      <c r="D74" s="4">
        <v>7.4013999999999998</v>
      </c>
      <c r="E74" s="4">
        <v>9575</v>
      </c>
      <c r="F74" s="4"/>
      <c r="G74" s="4"/>
      <c r="H74" s="5">
        <f t="shared" si="1"/>
        <v>-7.3495882621174569E-3</v>
      </c>
    </row>
    <row r="75" spans="1:8" ht="13.5" x14ac:dyDescent="0.25">
      <c r="A75" s="1"/>
      <c r="B75" s="3">
        <v>42411</v>
      </c>
      <c r="C75" s="4">
        <v>8.14</v>
      </c>
      <c r="D75" s="4">
        <v>7.4379999999999997</v>
      </c>
      <c r="E75" s="4">
        <v>10</v>
      </c>
      <c r="F75" s="4"/>
      <c r="G75" s="4"/>
      <c r="H75" s="5">
        <f t="shared" si="1"/>
        <v>4.9450104034371835E-3</v>
      </c>
    </row>
    <row r="76" spans="1:8" ht="13.5" x14ac:dyDescent="0.25">
      <c r="A76" s="1"/>
      <c r="B76" s="3">
        <v>42412</v>
      </c>
      <c r="C76" s="4">
        <v>8.19</v>
      </c>
      <c r="D76" s="4">
        <v>7.4836</v>
      </c>
      <c r="E76" s="4">
        <v>10</v>
      </c>
      <c r="F76" s="4"/>
      <c r="G76" s="4"/>
      <c r="H76" s="5">
        <f t="shared" si="1"/>
        <v>6.1306802904006865E-3</v>
      </c>
    </row>
    <row r="77" spans="1:8" ht="13.5" x14ac:dyDescent="0.25">
      <c r="A77" s="1"/>
      <c r="B77" s="3">
        <v>42415</v>
      </c>
      <c r="C77" s="4">
        <v>8.19</v>
      </c>
      <c r="D77" s="4">
        <v>7.4836</v>
      </c>
      <c r="E77" s="4">
        <v>0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8.1</v>
      </c>
      <c r="D78" s="4">
        <v>7.4013999999999998</v>
      </c>
      <c r="E78" s="4">
        <v>1929</v>
      </c>
      <c r="F78" s="4"/>
      <c r="G78" s="4"/>
      <c r="H78" s="5">
        <f t="shared" si="1"/>
        <v>-1.0984018386872664E-2</v>
      </c>
    </row>
    <row r="79" spans="1:8" ht="13.5" x14ac:dyDescent="0.25">
      <c r="A79" s="1"/>
      <c r="B79" s="3">
        <v>42417</v>
      </c>
      <c r="C79" s="4">
        <v>8</v>
      </c>
      <c r="D79" s="4">
        <v>7.31</v>
      </c>
      <c r="E79" s="4">
        <v>2704</v>
      </c>
      <c r="F79" s="4"/>
      <c r="G79" s="4"/>
      <c r="H79" s="5">
        <f t="shared" si="1"/>
        <v>-1.2349015051206549E-2</v>
      </c>
    </row>
    <row r="80" spans="1:8" ht="13.5" x14ac:dyDescent="0.25">
      <c r="A80" s="1"/>
      <c r="B80" s="3">
        <v>42418</v>
      </c>
      <c r="C80" s="4">
        <v>8.17</v>
      </c>
      <c r="D80" s="4">
        <v>7.4653999999999998</v>
      </c>
      <c r="E80" s="4">
        <v>1916</v>
      </c>
      <c r="F80" s="4"/>
      <c r="G80" s="4"/>
      <c r="H80" s="5">
        <f t="shared" si="1"/>
        <v>2.1258549931600576E-2</v>
      </c>
    </row>
    <row r="81" spans="1:8" ht="13.5" x14ac:dyDescent="0.25">
      <c r="A81" s="1"/>
      <c r="B81" s="3">
        <v>42419</v>
      </c>
      <c r="C81" s="4">
        <v>8.16</v>
      </c>
      <c r="D81" s="4">
        <v>7.4561999999999999</v>
      </c>
      <c r="E81" s="4">
        <v>2426</v>
      </c>
      <c r="F81" s="4"/>
      <c r="G81" s="4"/>
      <c r="H81" s="5">
        <f t="shared" si="1"/>
        <v>-1.2323519168430191E-3</v>
      </c>
    </row>
    <row r="82" spans="1:8" ht="13.5" x14ac:dyDescent="0.25">
      <c r="A82" s="1"/>
      <c r="B82" s="3">
        <v>42422</v>
      </c>
      <c r="C82" s="4">
        <v>8.0500000000000007</v>
      </c>
      <c r="D82" s="4">
        <v>7.3556999999999997</v>
      </c>
      <c r="E82" s="4">
        <v>1080</v>
      </c>
      <c r="F82" s="4"/>
      <c r="G82" s="4"/>
      <c r="H82" s="5">
        <f t="shared" si="1"/>
        <v>-1.3478715699686202E-2</v>
      </c>
    </row>
    <row r="83" spans="1:8" ht="13.5" x14ac:dyDescent="0.25">
      <c r="A83" s="1"/>
      <c r="B83" s="3">
        <v>42423</v>
      </c>
      <c r="C83" s="4">
        <v>8.15</v>
      </c>
      <c r="D83" s="4">
        <v>7.4470999999999998</v>
      </c>
      <c r="E83" s="4">
        <v>51</v>
      </c>
      <c r="F83" s="4"/>
      <c r="G83" s="4"/>
      <c r="H83" s="5">
        <f t="shared" si="1"/>
        <v>1.2425737863153765E-2</v>
      </c>
    </row>
    <row r="84" spans="1:8" ht="13.5" x14ac:dyDescent="0.25">
      <c r="A84" s="1"/>
      <c r="B84" s="3">
        <v>42424</v>
      </c>
      <c r="C84" s="4">
        <v>8.0299999999999994</v>
      </c>
      <c r="D84" s="4">
        <v>7.3373999999999997</v>
      </c>
      <c r="E84" s="4">
        <v>35</v>
      </c>
      <c r="F84" s="4"/>
      <c r="G84" s="4"/>
      <c r="H84" s="5">
        <f t="shared" si="1"/>
        <v>-1.4730566260692099E-2</v>
      </c>
    </row>
    <row r="85" spans="1:8" ht="13.5" x14ac:dyDescent="0.25">
      <c r="A85" s="1"/>
      <c r="B85" s="3">
        <v>42425</v>
      </c>
      <c r="C85" s="4">
        <v>8.0299999999999994</v>
      </c>
      <c r="D85" s="4">
        <v>7.3373999999999997</v>
      </c>
      <c r="E85" s="4">
        <v>0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8.1</v>
      </c>
      <c r="D86" s="4">
        <v>7.4013999999999998</v>
      </c>
      <c r="E86" s="4">
        <v>1370</v>
      </c>
      <c r="F86" s="4"/>
      <c r="G86" s="4"/>
      <c r="H86" s="5">
        <f t="shared" si="1"/>
        <v>8.722435740180454E-3</v>
      </c>
    </row>
    <row r="87" spans="1:8" ht="13.5" x14ac:dyDescent="0.25">
      <c r="A87" s="1"/>
      <c r="B87" s="3">
        <v>42429</v>
      </c>
      <c r="C87" s="4">
        <v>8</v>
      </c>
      <c r="D87" s="4">
        <v>7.31</v>
      </c>
      <c r="E87" s="4">
        <v>577</v>
      </c>
      <c r="F87" s="4"/>
      <c r="G87" s="4"/>
      <c r="H87" s="5">
        <f t="shared" si="1"/>
        <v>-1.2349015051206549E-2</v>
      </c>
    </row>
    <row r="88" spans="1:8" ht="13.5" x14ac:dyDescent="0.25">
      <c r="A88" s="1"/>
      <c r="B88" s="3">
        <v>42430</v>
      </c>
      <c r="C88" s="4">
        <v>8</v>
      </c>
      <c r="D88" s="4">
        <v>7.31</v>
      </c>
      <c r="E88" s="4">
        <v>200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7.9</v>
      </c>
      <c r="D89" s="4">
        <v>7.2187000000000001</v>
      </c>
      <c r="E89" s="4">
        <v>2280</v>
      </c>
      <c r="F89" s="4"/>
      <c r="G89" s="4"/>
      <c r="H89" s="5">
        <f t="shared" si="1"/>
        <v>-1.2489740082079275E-2</v>
      </c>
    </row>
    <row r="90" spans="1:8" ht="13.5" x14ac:dyDescent="0.25">
      <c r="A90" s="1"/>
      <c r="B90" s="3">
        <v>42432</v>
      </c>
      <c r="C90" s="4">
        <v>8</v>
      </c>
      <c r="D90" s="4">
        <v>7.31</v>
      </c>
      <c r="E90" s="4">
        <v>1234</v>
      </c>
      <c r="F90" s="4"/>
      <c r="G90" s="4"/>
      <c r="H90" s="5">
        <f t="shared" si="1"/>
        <v>1.2647706650781926E-2</v>
      </c>
    </row>
    <row r="91" spans="1:8" ht="13.5" x14ac:dyDescent="0.25">
      <c r="A91" s="1"/>
      <c r="B91" s="3">
        <v>42433</v>
      </c>
      <c r="C91" s="4">
        <v>7.8</v>
      </c>
      <c r="D91" s="4">
        <v>7.1273</v>
      </c>
      <c r="E91" s="4">
        <v>23</v>
      </c>
      <c r="F91" s="4"/>
      <c r="G91" s="4"/>
      <c r="H91" s="5">
        <f t="shared" si="1"/>
        <v>-2.4993160054719514E-2</v>
      </c>
    </row>
    <row r="92" spans="1:8" ht="13.5" x14ac:dyDescent="0.25">
      <c r="A92" s="1"/>
      <c r="B92" s="3">
        <v>42436</v>
      </c>
      <c r="C92" s="4">
        <v>7.8</v>
      </c>
      <c r="D92" s="4">
        <v>7.1273</v>
      </c>
      <c r="E92" s="4">
        <v>884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7.9</v>
      </c>
      <c r="D93" s="4">
        <v>7.2187000000000001</v>
      </c>
      <c r="E93" s="4">
        <v>5642</v>
      </c>
      <c r="F93" s="4"/>
      <c r="G93" s="4"/>
      <c r="H93" s="5">
        <f t="shared" si="1"/>
        <v>1.2823930520674048E-2</v>
      </c>
    </row>
    <row r="94" spans="1:8" ht="13.5" x14ac:dyDescent="0.25">
      <c r="A94" s="1"/>
      <c r="B94" s="3">
        <v>42438</v>
      </c>
      <c r="C94" s="4">
        <v>8.09</v>
      </c>
      <c r="D94" s="4">
        <v>7.3922999999999996</v>
      </c>
      <c r="E94" s="4">
        <v>769</v>
      </c>
      <c r="F94" s="4"/>
      <c r="G94" s="4"/>
      <c r="H94" s="5">
        <f t="shared" si="1"/>
        <v>2.4048651419230543E-2</v>
      </c>
    </row>
    <row r="95" spans="1:8" ht="13.5" x14ac:dyDescent="0.25">
      <c r="A95" s="1"/>
      <c r="B95" s="3">
        <v>42439</v>
      </c>
      <c r="C95" s="4">
        <v>7.92</v>
      </c>
      <c r="D95" s="4">
        <v>7.2369000000000003</v>
      </c>
      <c r="E95" s="4">
        <v>2089</v>
      </c>
      <c r="F95" s="4"/>
      <c r="G95" s="4"/>
      <c r="H95" s="5">
        <f t="shared" si="1"/>
        <v>-2.1021874112251846E-2</v>
      </c>
    </row>
    <row r="96" spans="1:8" ht="13.5" x14ac:dyDescent="0.25">
      <c r="A96" s="1"/>
      <c r="B96" s="3">
        <v>42440</v>
      </c>
      <c r="C96" s="4">
        <v>8.15</v>
      </c>
      <c r="D96" s="4">
        <v>7.4470999999999998</v>
      </c>
      <c r="E96" s="4">
        <v>932</v>
      </c>
      <c r="F96" s="4"/>
      <c r="G96" s="4"/>
      <c r="H96" s="5">
        <f t="shared" si="1"/>
        <v>2.9045585817131573E-2</v>
      </c>
    </row>
    <row r="97" spans="1:8" ht="13.5" x14ac:dyDescent="0.25">
      <c r="A97" s="1"/>
      <c r="B97" s="3">
        <v>42443</v>
      </c>
      <c r="C97" s="4">
        <v>8.18</v>
      </c>
      <c r="D97" s="4">
        <v>7.4744999999999999</v>
      </c>
      <c r="E97" s="4">
        <v>850</v>
      </c>
      <c r="F97" s="4"/>
      <c r="G97" s="4"/>
      <c r="H97" s="5">
        <f t="shared" si="1"/>
        <v>3.6792845537189094E-3</v>
      </c>
    </row>
    <row r="98" spans="1:8" ht="13.5" x14ac:dyDescent="0.25">
      <c r="A98" s="1"/>
      <c r="B98" s="3">
        <v>42444</v>
      </c>
      <c r="C98" s="4">
        <v>8.39</v>
      </c>
      <c r="D98" s="4">
        <v>7.6664000000000003</v>
      </c>
      <c r="E98" s="4">
        <v>14381</v>
      </c>
      <c r="F98" s="4"/>
      <c r="G98" s="4"/>
      <c r="H98" s="5">
        <f t="shared" si="1"/>
        <v>2.5673958124289305E-2</v>
      </c>
    </row>
    <row r="99" spans="1:8" ht="13.5" x14ac:dyDescent="0.25">
      <c r="A99" s="1"/>
      <c r="B99" s="3">
        <v>42445</v>
      </c>
      <c r="C99" s="4">
        <v>8.6</v>
      </c>
      <c r="D99" s="4">
        <v>7.8582999999999998</v>
      </c>
      <c r="E99" s="4">
        <v>44381</v>
      </c>
      <c r="F99" s="4"/>
      <c r="G99" s="4"/>
      <c r="H99" s="5">
        <f t="shared" si="1"/>
        <v>2.5031305436710779E-2</v>
      </c>
    </row>
    <row r="100" spans="1:8" ht="13.5" x14ac:dyDescent="0.25">
      <c r="A100" s="1"/>
      <c r="B100" s="3">
        <v>42446</v>
      </c>
      <c r="C100" s="4">
        <v>8.8000000000000007</v>
      </c>
      <c r="D100" s="4">
        <v>8.0410000000000004</v>
      </c>
      <c r="E100" s="4">
        <v>14315</v>
      </c>
      <c r="F100" s="4"/>
      <c r="G100" s="4"/>
      <c r="H100" s="5">
        <f t="shared" si="1"/>
        <v>2.3249303284425451E-2</v>
      </c>
    </row>
    <row r="101" spans="1:8" ht="13.5" x14ac:dyDescent="0.25">
      <c r="A101" s="1"/>
      <c r="B101" s="3">
        <v>42447</v>
      </c>
      <c r="C101" s="4">
        <v>8.89</v>
      </c>
      <c r="D101" s="4">
        <v>8.1233000000000004</v>
      </c>
      <c r="E101" s="4">
        <v>2592</v>
      </c>
      <c r="F101" s="4"/>
      <c r="G101" s="4"/>
      <c r="H101" s="5">
        <f t="shared" si="1"/>
        <v>1.0235045392364138E-2</v>
      </c>
    </row>
    <row r="102" spans="1:8" ht="13.5" x14ac:dyDescent="0.25">
      <c r="A102" s="1"/>
      <c r="B102" s="3">
        <v>42450</v>
      </c>
      <c r="C102" s="4">
        <v>8.6999999999999993</v>
      </c>
      <c r="D102" s="4">
        <v>7.9497</v>
      </c>
      <c r="E102" s="4">
        <v>5204</v>
      </c>
      <c r="F102" s="4"/>
      <c r="G102" s="4"/>
      <c r="H102" s="5">
        <f t="shared" si="1"/>
        <v>-2.1370625238511493E-2</v>
      </c>
    </row>
    <row r="103" spans="1:8" ht="13.5" x14ac:dyDescent="0.25">
      <c r="A103" s="1"/>
      <c r="B103" s="3">
        <v>42451</v>
      </c>
      <c r="C103" s="4">
        <v>8.5500000000000007</v>
      </c>
      <c r="D103" s="4">
        <v>7.8125999999999998</v>
      </c>
      <c r="E103" s="4">
        <v>8190</v>
      </c>
      <c r="F103" s="4"/>
      <c r="G103" s="4"/>
      <c r="H103" s="5">
        <f t="shared" si="1"/>
        <v>-1.7245933808823003E-2</v>
      </c>
    </row>
    <row r="104" spans="1:8" ht="13.5" x14ac:dyDescent="0.25">
      <c r="A104" s="1"/>
      <c r="B104" s="3">
        <v>42452</v>
      </c>
      <c r="C104" s="4">
        <v>8.5</v>
      </c>
      <c r="D104" s="4">
        <v>7.7668999999999997</v>
      </c>
      <c r="E104" s="4">
        <v>1342</v>
      </c>
      <c r="F104" s="4"/>
      <c r="G104" s="4"/>
      <c r="H104" s="5">
        <f t="shared" si="1"/>
        <v>-5.8495251260783955E-3</v>
      </c>
    </row>
    <row r="105" spans="1:8" ht="13.5" x14ac:dyDescent="0.25">
      <c r="A105" s="1"/>
      <c r="B105" s="3">
        <v>42453</v>
      </c>
      <c r="C105" s="4">
        <v>8.4499999999999993</v>
      </c>
      <c r="D105" s="4">
        <v>7.7211999999999996</v>
      </c>
      <c r="E105" s="4">
        <v>2381</v>
      </c>
      <c r="F105" s="4"/>
      <c r="G105" s="4"/>
      <c r="H105" s="5">
        <f t="shared" si="1"/>
        <v>-5.8839434008420444E-3</v>
      </c>
    </row>
    <row r="106" spans="1:8" ht="13.5" x14ac:dyDescent="0.25">
      <c r="A106" s="1"/>
      <c r="B106" s="3">
        <v>42454</v>
      </c>
      <c r="C106" s="4">
        <v>8.4</v>
      </c>
      <c r="D106" s="4">
        <v>7.6755000000000004</v>
      </c>
      <c r="E106" s="4">
        <v>220</v>
      </c>
      <c r="F106" s="4"/>
      <c r="G106" s="4"/>
      <c r="H106" s="5">
        <f t="shared" si="1"/>
        <v>-5.9187691032480949E-3</v>
      </c>
    </row>
    <row r="107" spans="1:8" ht="13.5" x14ac:dyDescent="0.25">
      <c r="A107" s="1"/>
      <c r="B107" s="3">
        <v>42457</v>
      </c>
      <c r="C107" s="4">
        <v>8.4</v>
      </c>
      <c r="D107" s="4">
        <v>7.6755000000000004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8.4</v>
      </c>
      <c r="D108" s="4">
        <v>7.6755000000000004</v>
      </c>
      <c r="E108" s="4">
        <v>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8.4</v>
      </c>
      <c r="D109" s="4">
        <v>7.6755000000000004</v>
      </c>
      <c r="E109" s="4">
        <v>1000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8.39</v>
      </c>
      <c r="D110" s="4">
        <v>7.6664000000000003</v>
      </c>
      <c r="E110" s="4">
        <v>4791</v>
      </c>
      <c r="F110" s="4"/>
      <c r="G110" s="4"/>
      <c r="H110" s="5">
        <f t="shared" si="1"/>
        <v>-1.1855905152758919E-3</v>
      </c>
    </row>
    <row r="111" spans="1:8" ht="13.5" x14ac:dyDescent="0.25">
      <c r="A111" s="1"/>
      <c r="B111" s="3">
        <v>42461</v>
      </c>
      <c r="C111" s="4">
        <v>8.39</v>
      </c>
      <c r="D111" s="4">
        <v>7.6664000000000003</v>
      </c>
      <c r="E111" s="4">
        <v>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8.39</v>
      </c>
      <c r="D112" s="4">
        <v>7.6664000000000003</v>
      </c>
      <c r="E112" s="4">
        <v>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8.06</v>
      </c>
      <c r="D113" s="4">
        <v>7.3648999999999996</v>
      </c>
      <c r="E113" s="4">
        <v>889</v>
      </c>
      <c r="F113" s="4"/>
      <c r="G113" s="4"/>
      <c r="H113" s="5">
        <f t="shared" si="1"/>
        <v>-3.9327454867995507E-2</v>
      </c>
    </row>
    <row r="114" spans="1:8" ht="13.5" x14ac:dyDescent="0.25">
      <c r="A114" s="1"/>
      <c r="B114" s="3">
        <v>42466</v>
      </c>
      <c r="C114" s="4">
        <v>8.06</v>
      </c>
      <c r="D114" s="4">
        <v>7.3648999999999996</v>
      </c>
      <c r="E114" s="4">
        <v>910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8.3000000000000007</v>
      </c>
      <c r="D115" s="4">
        <v>7.5842000000000001</v>
      </c>
      <c r="E115" s="4">
        <v>367</v>
      </c>
      <c r="F115" s="4"/>
      <c r="G115" s="4"/>
      <c r="H115" s="5">
        <f t="shared" si="1"/>
        <v>2.9776371709052465E-2</v>
      </c>
    </row>
    <row r="116" spans="1:8" ht="13.5" x14ac:dyDescent="0.25">
      <c r="A116" s="1"/>
      <c r="B116" s="3">
        <v>42468</v>
      </c>
      <c r="C116" s="4">
        <v>8.3000000000000007</v>
      </c>
      <c r="D116" s="4">
        <v>7.5842000000000001</v>
      </c>
      <c r="E116" s="4">
        <v>1805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8.5399999999999991</v>
      </c>
      <c r="D117" s="4">
        <v>7.8034999999999997</v>
      </c>
      <c r="E117" s="4">
        <v>10809</v>
      </c>
      <c r="F117" s="4"/>
      <c r="G117" s="4"/>
      <c r="H117" s="5">
        <f t="shared" si="1"/>
        <v>2.8915376704200788E-2</v>
      </c>
    </row>
    <row r="118" spans="1:8" ht="13.5" x14ac:dyDescent="0.25">
      <c r="A118" s="1"/>
      <c r="B118" s="3">
        <v>42472</v>
      </c>
      <c r="C118" s="4">
        <v>8.7799999999999994</v>
      </c>
      <c r="D118" s="4">
        <v>8.0228000000000002</v>
      </c>
      <c r="E118" s="4">
        <v>29545</v>
      </c>
      <c r="F118" s="4"/>
      <c r="G118" s="4"/>
      <c r="H118" s="5">
        <f t="shared" si="1"/>
        <v>2.8102774396104375E-2</v>
      </c>
    </row>
    <row r="119" spans="1:8" ht="13.5" x14ac:dyDescent="0.25">
      <c r="A119" s="1"/>
      <c r="B119" s="3">
        <v>42473</v>
      </c>
      <c r="C119" s="4">
        <v>8.85</v>
      </c>
      <c r="D119" s="4">
        <v>8.0867000000000004</v>
      </c>
      <c r="E119" s="4">
        <v>4615</v>
      </c>
      <c r="F119" s="4"/>
      <c r="G119" s="4"/>
      <c r="H119" s="5">
        <f t="shared" si="1"/>
        <v>7.9648003190906282E-3</v>
      </c>
    </row>
    <row r="120" spans="1:8" ht="13.5" x14ac:dyDescent="0.25">
      <c r="A120" s="1"/>
      <c r="B120" s="3">
        <v>42474</v>
      </c>
      <c r="C120" s="4">
        <v>8.65</v>
      </c>
      <c r="D120" s="4">
        <v>7.9039999999999999</v>
      </c>
      <c r="E120" s="4">
        <v>2846</v>
      </c>
      <c r="F120" s="4"/>
      <c r="G120" s="4"/>
      <c r="H120" s="5">
        <f t="shared" si="1"/>
        <v>-2.2592652132513946E-2</v>
      </c>
    </row>
    <row r="121" spans="1:8" ht="13.5" x14ac:dyDescent="0.25">
      <c r="A121" s="1"/>
      <c r="B121" s="3">
        <v>42475</v>
      </c>
      <c r="C121" s="4">
        <v>8.82</v>
      </c>
      <c r="D121" s="4">
        <v>8.0593000000000004</v>
      </c>
      <c r="E121" s="4">
        <v>2564</v>
      </c>
      <c r="F121" s="4"/>
      <c r="G121" s="4"/>
      <c r="H121" s="5">
        <f t="shared" si="1"/>
        <v>1.9648279352226777E-2</v>
      </c>
    </row>
    <row r="122" spans="1:8" ht="13.5" x14ac:dyDescent="0.25">
      <c r="A122" s="1"/>
      <c r="B122" s="3">
        <v>42478</v>
      </c>
      <c r="C122" s="4">
        <v>8.56</v>
      </c>
      <c r="D122" s="4">
        <v>7.8216999999999999</v>
      </c>
      <c r="E122" s="4">
        <v>3871</v>
      </c>
      <c r="F122" s="4"/>
      <c r="G122" s="4"/>
      <c r="H122" s="5">
        <f t="shared" si="1"/>
        <v>-2.9481468613899529E-2</v>
      </c>
    </row>
    <row r="123" spans="1:8" ht="13.5" x14ac:dyDescent="0.25">
      <c r="A123" s="1"/>
      <c r="B123" s="3">
        <v>42479</v>
      </c>
      <c r="C123" s="4">
        <v>8.6</v>
      </c>
      <c r="D123" s="4">
        <v>7.8582999999999998</v>
      </c>
      <c r="E123" s="4">
        <v>1580</v>
      </c>
      <c r="F123" s="4"/>
      <c r="G123" s="4"/>
      <c r="H123" s="5">
        <f t="shared" si="1"/>
        <v>4.6792896684863857E-3</v>
      </c>
    </row>
    <row r="124" spans="1:8" ht="13.5" x14ac:dyDescent="0.25">
      <c r="A124" s="1"/>
      <c r="B124" s="3">
        <v>42480</v>
      </c>
      <c r="C124" s="4">
        <v>8.6</v>
      </c>
      <c r="D124" s="4">
        <v>7.8582999999999998</v>
      </c>
      <c r="E124" s="4">
        <v>627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8.09</v>
      </c>
      <c r="D125" s="4">
        <v>7.3922999999999996</v>
      </c>
      <c r="E125" s="4">
        <v>53807</v>
      </c>
      <c r="F125" s="4"/>
      <c r="G125" s="4"/>
      <c r="H125" s="5">
        <f t="shared" si="1"/>
        <v>-5.9300357583701335E-2</v>
      </c>
    </row>
    <row r="126" spans="1:8" ht="13.5" x14ac:dyDescent="0.25">
      <c r="A126" s="1"/>
      <c r="B126" s="3">
        <v>42482</v>
      </c>
      <c r="C126" s="4">
        <v>8.09</v>
      </c>
      <c r="D126" s="4">
        <v>7.3922999999999996</v>
      </c>
      <c r="E126" s="4">
        <v>14075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8.3000000000000007</v>
      </c>
      <c r="D127" s="4">
        <v>7.5842000000000001</v>
      </c>
      <c r="E127" s="4">
        <v>2920</v>
      </c>
      <c r="F127" s="4"/>
      <c r="G127" s="4"/>
      <c r="H127" s="5">
        <f t="shared" si="1"/>
        <v>2.5959444286622623E-2</v>
      </c>
    </row>
    <row r="128" spans="1:8" ht="13.5" x14ac:dyDescent="0.25">
      <c r="A128" s="1"/>
      <c r="B128" s="3">
        <v>42486</v>
      </c>
      <c r="C128" s="4">
        <v>8.5</v>
      </c>
      <c r="D128" s="4">
        <v>7.7668999999999997</v>
      </c>
      <c r="E128" s="4">
        <v>9590</v>
      </c>
      <c r="F128" s="4"/>
      <c r="G128" s="4"/>
      <c r="H128" s="5">
        <f t="shared" si="1"/>
        <v>2.4089554600353318E-2</v>
      </c>
    </row>
    <row r="129" spans="1:8" ht="13.5" x14ac:dyDescent="0.25">
      <c r="A129" s="1"/>
      <c r="B129" s="3">
        <v>42487</v>
      </c>
      <c r="C129" s="4">
        <v>8.32</v>
      </c>
      <c r="D129" s="4">
        <v>7.6024000000000003</v>
      </c>
      <c r="E129" s="4">
        <v>4480</v>
      </c>
      <c r="F129" s="4"/>
      <c r="G129" s="4"/>
      <c r="H129" s="5">
        <f t="shared" si="1"/>
        <v>-2.1179621213096529E-2</v>
      </c>
    </row>
    <row r="130" spans="1:8" ht="13.5" x14ac:dyDescent="0.25">
      <c r="A130" s="1"/>
      <c r="B130" s="3">
        <v>42488</v>
      </c>
      <c r="C130" s="4">
        <v>8.3000000000000007</v>
      </c>
      <c r="D130" s="4">
        <v>7.5842000000000001</v>
      </c>
      <c r="E130" s="4">
        <v>8435</v>
      </c>
      <c r="F130" s="4"/>
      <c r="G130" s="4"/>
      <c r="H130" s="5">
        <f t="shared" si="1"/>
        <v>-2.3939808481532429E-3</v>
      </c>
    </row>
    <row r="131" spans="1:8" ht="13.5" x14ac:dyDescent="0.25">
      <c r="A131" s="1"/>
      <c r="B131" s="3">
        <v>42489</v>
      </c>
      <c r="C131" s="4">
        <v>8.4</v>
      </c>
      <c r="D131" s="4">
        <v>7.6755000000000004</v>
      </c>
      <c r="E131" s="4">
        <v>3132</v>
      </c>
      <c r="F131" s="4"/>
      <c r="G131" s="4"/>
      <c r="H131" s="5">
        <f t="shared" si="1"/>
        <v>1.2038184647029401E-2</v>
      </c>
    </row>
    <row r="132" spans="1:8" ht="13.5" x14ac:dyDescent="0.25">
      <c r="A132" s="1"/>
      <c r="B132" s="3">
        <v>42492</v>
      </c>
      <c r="C132" s="4">
        <v>8.31</v>
      </c>
      <c r="D132" s="4">
        <v>7.5933000000000002</v>
      </c>
      <c r="E132" s="4">
        <v>4137</v>
      </c>
      <c r="F132" s="4"/>
      <c r="G132" s="4"/>
      <c r="H132" s="5">
        <f t="shared" si="1"/>
        <v>-1.0709400039085437E-2</v>
      </c>
    </row>
    <row r="133" spans="1:8" ht="13.5" x14ac:dyDescent="0.25">
      <c r="A133" s="1"/>
      <c r="B133" s="3">
        <v>42493</v>
      </c>
      <c r="C133" s="4">
        <v>8.3000000000000007</v>
      </c>
      <c r="D133" s="4">
        <v>7.5842000000000001</v>
      </c>
      <c r="E133" s="4">
        <v>6963</v>
      </c>
      <c r="F133" s="4"/>
      <c r="G133" s="4"/>
      <c r="H133" s="5">
        <f t="shared" si="1"/>
        <v>-1.1984249272385008E-3</v>
      </c>
    </row>
    <row r="134" spans="1:8" ht="13.5" x14ac:dyDescent="0.25">
      <c r="A134" s="1"/>
      <c r="B134" s="3">
        <v>42494</v>
      </c>
      <c r="C134" s="4">
        <v>8.3000000000000007</v>
      </c>
      <c r="D134" s="4">
        <v>7.5842000000000001</v>
      </c>
      <c r="E134" s="4">
        <v>352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8.4</v>
      </c>
      <c r="D135" s="4">
        <v>7.6755000000000004</v>
      </c>
      <c r="E135" s="4">
        <v>2563</v>
      </c>
      <c r="F135" s="4"/>
      <c r="G135" s="4"/>
      <c r="H135" s="5">
        <f t="shared" ref="H135:H198" si="2">(D135-D134)/D134</f>
        <v>1.2038184647029401E-2</v>
      </c>
    </row>
    <row r="136" spans="1:8" ht="13.5" x14ac:dyDescent="0.25">
      <c r="A136" s="1"/>
      <c r="B136" s="3">
        <v>42496</v>
      </c>
      <c r="C136" s="4">
        <v>8.43</v>
      </c>
      <c r="D136" s="4">
        <v>7.7028999999999996</v>
      </c>
      <c r="E136" s="4">
        <v>2200</v>
      </c>
      <c r="F136" s="4"/>
      <c r="G136" s="4"/>
      <c r="H136" s="5">
        <f t="shared" si="2"/>
        <v>3.5698000130283633E-3</v>
      </c>
    </row>
    <row r="137" spans="1:8" ht="13.5" x14ac:dyDescent="0.25">
      <c r="A137" s="1"/>
      <c r="B137" s="3">
        <v>42499</v>
      </c>
      <c r="C137" s="4">
        <v>8.44</v>
      </c>
      <c r="D137" s="4">
        <v>7.7121000000000004</v>
      </c>
      <c r="E137" s="4">
        <v>2350</v>
      </c>
      <c r="F137" s="4"/>
      <c r="G137" s="4"/>
      <c r="H137" s="5">
        <f t="shared" si="2"/>
        <v>1.1943553726519575E-3</v>
      </c>
    </row>
    <row r="138" spans="1:8" ht="13.5" x14ac:dyDescent="0.25">
      <c r="A138" s="1"/>
      <c r="B138" s="3">
        <v>42500</v>
      </c>
      <c r="C138" s="4">
        <v>8.4</v>
      </c>
      <c r="D138" s="4">
        <v>7.6755000000000004</v>
      </c>
      <c r="E138" s="4">
        <v>3171</v>
      </c>
      <c r="F138" s="4"/>
      <c r="G138" s="4"/>
      <c r="H138" s="5">
        <f t="shared" si="2"/>
        <v>-4.7457890846851003E-3</v>
      </c>
    </row>
    <row r="139" spans="1:8" ht="13.5" x14ac:dyDescent="0.25">
      <c r="A139" s="1"/>
      <c r="B139" s="3">
        <v>42501</v>
      </c>
      <c r="C139" s="4">
        <v>8.4</v>
      </c>
      <c r="D139" s="4">
        <v>7.6755000000000004</v>
      </c>
      <c r="E139" s="4">
        <v>25526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42502</v>
      </c>
      <c r="C140" s="4">
        <v>8.35</v>
      </c>
      <c r="D140" s="4">
        <v>7.6298000000000004</v>
      </c>
      <c r="E140" s="4">
        <v>2914</v>
      </c>
      <c r="F140" s="4"/>
      <c r="G140" s="4"/>
      <c r="H140" s="5">
        <f t="shared" si="2"/>
        <v>-5.9540095107810656E-3</v>
      </c>
    </row>
    <row r="141" spans="1:8" ht="13.5" x14ac:dyDescent="0.25">
      <c r="A141" s="1"/>
      <c r="B141" s="3">
        <v>42503</v>
      </c>
      <c r="C141" s="4">
        <v>8.3800000000000008</v>
      </c>
      <c r="D141" s="4">
        <v>7.6573000000000002</v>
      </c>
      <c r="E141" s="4">
        <v>1470</v>
      </c>
      <c r="F141" s="4"/>
      <c r="G141" s="4"/>
      <c r="H141" s="5">
        <f t="shared" si="2"/>
        <v>3.604288447927843E-3</v>
      </c>
    </row>
    <row r="142" spans="1:8" ht="13.5" x14ac:dyDescent="0.25">
      <c r="A142" s="1"/>
      <c r="B142" s="3">
        <v>42506</v>
      </c>
      <c r="C142" s="4">
        <v>8.1999999999999993</v>
      </c>
      <c r="D142" s="4">
        <v>7.4927999999999999</v>
      </c>
      <c r="E142" s="4">
        <v>475</v>
      </c>
      <c r="F142" s="4"/>
      <c r="G142" s="4"/>
      <c r="H142" s="5">
        <f t="shared" si="2"/>
        <v>-2.1482768077520836E-2</v>
      </c>
    </row>
    <row r="143" spans="1:8" ht="13.5" x14ac:dyDescent="0.25">
      <c r="A143" s="1"/>
      <c r="B143" s="3">
        <v>42507</v>
      </c>
      <c r="C143" s="4">
        <v>8.14</v>
      </c>
      <c r="D143" s="4">
        <v>7.4379999999999997</v>
      </c>
      <c r="E143" s="4">
        <v>3996</v>
      </c>
      <c r="F143" s="4"/>
      <c r="G143" s="4"/>
      <c r="H143" s="5">
        <f t="shared" si="2"/>
        <v>-7.3136878069613737E-3</v>
      </c>
    </row>
    <row r="144" spans="1:8" ht="13.5" x14ac:dyDescent="0.25">
      <c r="A144" s="1"/>
      <c r="B144" s="3">
        <v>42508</v>
      </c>
      <c r="C144" s="4">
        <v>8.3699999999999992</v>
      </c>
      <c r="D144" s="4">
        <v>7.6481000000000003</v>
      </c>
      <c r="E144" s="4">
        <v>1675</v>
      </c>
      <c r="F144" s="4"/>
      <c r="G144" s="4"/>
      <c r="H144" s="5">
        <f t="shared" si="2"/>
        <v>2.8246840548534637E-2</v>
      </c>
    </row>
    <row r="145" spans="1:8" ht="13.5" x14ac:dyDescent="0.25">
      <c r="A145" s="1"/>
      <c r="B145" s="3">
        <v>42509</v>
      </c>
      <c r="C145" s="4">
        <v>8.0500000000000007</v>
      </c>
      <c r="D145" s="4">
        <v>7.3556999999999997</v>
      </c>
      <c r="E145" s="4">
        <v>2431</v>
      </c>
      <c r="F145" s="4"/>
      <c r="G145" s="4"/>
      <c r="H145" s="5">
        <f t="shared" si="2"/>
        <v>-3.8231717681515752E-2</v>
      </c>
    </row>
    <row r="146" spans="1:8" ht="13.5" x14ac:dyDescent="0.25">
      <c r="A146" s="1"/>
      <c r="B146" s="3">
        <v>42510</v>
      </c>
      <c r="C146" s="4">
        <v>8.23</v>
      </c>
      <c r="D146" s="4">
        <v>7.5202</v>
      </c>
      <c r="E146" s="4">
        <v>1718</v>
      </c>
      <c r="F146" s="4"/>
      <c r="G146" s="4"/>
      <c r="H146" s="5">
        <f t="shared" si="2"/>
        <v>2.236360917383802E-2</v>
      </c>
    </row>
    <row r="147" spans="1:8" ht="13.5" x14ac:dyDescent="0.25">
      <c r="A147" s="1"/>
      <c r="B147" s="3">
        <v>42513</v>
      </c>
      <c r="C147" s="4">
        <v>8.1999999999999993</v>
      </c>
      <c r="D147" s="4">
        <v>7.4927999999999999</v>
      </c>
      <c r="E147" s="4">
        <v>1372</v>
      </c>
      <c r="F147" s="4"/>
      <c r="G147" s="4"/>
      <c r="H147" s="5">
        <f t="shared" si="2"/>
        <v>-3.6435201191457795E-3</v>
      </c>
    </row>
    <row r="148" spans="1:8" ht="13.5" x14ac:dyDescent="0.25">
      <c r="A148" s="1"/>
      <c r="B148" s="3">
        <v>42514</v>
      </c>
      <c r="C148" s="4">
        <v>8.23</v>
      </c>
      <c r="D148" s="4">
        <v>7.5202</v>
      </c>
      <c r="E148" s="4">
        <v>4530</v>
      </c>
      <c r="F148" s="4"/>
      <c r="G148" s="4"/>
      <c r="H148" s="5">
        <f t="shared" si="2"/>
        <v>3.6568439034806869E-3</v>
      </c>
    </row>
    <row r="149" spans="1:8" ht="13.5" x14ac:dyDescent="0.25">
      <c r="A149" s="1"/>
      <c r="B149" s="3">
        <v>42515</v>
      </c>
      <c r="C149" s="4">
        <v>8.01</v>
      </c>
      <c r="D149" s="4">
        <v>7.3192000000000004</v>
      </c>
      <c r="E149" s="4">
        <v>1648</v>
      </c>
      <c r="F149" s="4"/>
      <c r="G149" s="4"/>
      <c r="H149" s="5">
        <f t="shared" si="2"/>
        <v>-2.6728012552857585E-2</v>
      </c>
    </row>
    <row r="150" spans="1:8" ht="13.5" x14ac:dyDescent="0.25">
      <c r="A150" s="1"/>
      <c r="B150" s="3">
        <v>42516</v>
      </c>
      <c r="C150" s="4">
        <v>8</v>
      </c>
      <c r="D150" s="4">
        <v>7.31</v>
      </c>
      <c r="E150" s="4">
        <v>4820</v>
      </c>
      <c r="F150" s="4"/>
      <c r="G150" s="4"/>
      <c r="H150" s="5">
        <f t="shared" si="2"/>
        <v>-1.2569679746421416E-3</v>
      </c>
    </row>
    <row r="151" spans="1:8" ht="13.5" x14ac:dyDescent="0.25">
      <c r="A151" s="1"/>
      <c r="B151" s="3">
        <v>42517</v>
      </c>
      <c r="C151" s="4">
        <v>8</v>
      </c>
      <c r="D151" s="4">
        <v>7.31</v>
      </c>
      <c r="E151" s="4">
        <v>668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7.98</v>
      </c>
      <c r="D152" s="4">
        <v>7.2918000000000003</v>
      </c>
      <c r="E152" s="4">
        <v>2342</v>
      </c>
      <c r="F152" s="4"/>
      <c r="G152" s="4"/>
      <c r="H152" s="5">
        <f t="shared" si="2"/>
        <v>-2.4897400820792517E-3</v>
      </c>
    </row>
    <row r="153" spans="1:8" ht="13.5" x14ac:dyDescent="0.25">
      <c r="A153" s="1"/>
      <c r="B153" s="3">
        <v>42521</v>
      </c>
      <c r="C153" s="4">
        <v>7.97</v>
      </c>
      <c r="D153" s="4">
        <v>7.2826000000000004</v>
      </c>
      <c r="E153" s="4">
        <v>3430</v>
      </c>
      <c r="F153" s="4"/>
      <c r="G153" s="4"/>
      <c r="H153" s="5">
        <f t="shared" si="2"/>
        <v>-1.261691214789198E-3</v>
      </c>
    </row>
    <row r="154" spans="1:8" ht="13.5" x14ac:dyDescent="0.25">
      <c r="A154" s="1"/>
      <c r="B154" s="3">
        <v>42522</v>
      </c>
      <c r="C154" s="4">
        <v>7.89</v>
      </c>
      <c r="D154" s="4">
        <v>7.2095000000000002</v>
      </c>
      <c r="E154" s="4">
        <v>6167</v>
      </c>
      <c r="F154" s="4"/>
      <c r="G154" s="4"/>
      <c r="H154" s="5">
        <f t="shared" si="2"/>
        <v>-1.0037623925521127E-2</v>
      </c>
    </row>
    <row r="155" spans="1:8" ht="13.5" x14ac:dyDescent="0.25">
      <c r="A155" s="1"/>
      <c r="B155" s="3">
        <v>42523</v>
      </c>
      <c r="C155" s="4">
        <v>7.88</v>
      </c>
      <c r="D155" s="4">
        <v>7.2004000000000001</v>
      </c>
      <c r="E155" s="4">
        <v>3302</v>
      </c>
      <c r="F155" s="4"/>
      <c r="G155" s="4"/>
      <c r="H155" s="5">
        <f t="shared" si="2"/>
        <v>-1.2622234551633411E-3</v>
      </c>
    </row>
    <row r="156" spans="1:8" ht="13.5" x14ac:dyDescent="0.25">
      <c r="A156" s="1"/>
      <c r="B156" s="3">
        <v>42524</v>
      </c>
      <c r="C156" s="4">
        <v>7.78</v>
      </c>
      <c r="D156" s="4">
        <v>7.109</v>
      </c>
      <c r="E156" s="4">
        <v>13548</v>
      </c>
      <c r="F156" s="4"/>
      <c r="G156" s="4"/>
      <c r="H156" s="5">
        <f t="shared" si="2"/>
        <v>-1.2693739236709092E-2</v>
      </c>
    </row>
    <row r="157" spans="1:8" ht="13.5" x14ac:dyDescent="0.25">
      <c r="A157" s="1"/>
      <c r="B157" s="3">
        <v>42527</v>
      </c>
      <c r="C157" s="4">
        <v>7.78</v>
      </c>
      <c r="D157" s="4">
        <v>7.109</v>
      </c>
      <c r="E157" s="4">
        <v>781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7.7</v>
      </c>
      <c r="D158" s="4">
        <v>7.0358999999999998</v>
      </c>
      <c r="E158" s="4">
        <v>8150</v>
      </c>
      <c r="F158" s="4"/>
      <c r="G158" s="4"/>
      <c r="H158" s="5">
        <f t="shared" si="2"/>
        <v>-1.0282740188493482E-2</v>
      </c>
    </row>
    <row r="159" spans="1:8" ht="13.5" x14ac:dyDescent="0.25">
      <c r="A159" s="1"/>
      <c r="B159" s="3">
        <v>42529</v>
      </c>
      <c r="C159" s="4">
        <v>7.65</v>
      </c>
      <c r="D159" s="4">
        <v>6.9901999999999997</v>
      </c>
      <c r="E159" s="4">
        <v>810</v>
      </c>
      <c r="F159" s="4"/>
      <c r="G159" s="4"/>
      <c r="H159" s="5">
        <f t="shared" si="2"/>
        <v>-6.4952600235932967E-3</v>
      </c>
    </row>
    <row r="160" spans="1:8" ht="13.5" x14ac:dyDescent="0.25">
      <c r="A160" s="1"/>
      <c r="B160" s="3">
        <v>42530</v>
      </c>
      <c r="C160" s="4">
        <v>7.68</v>
      </c>
      <c r="D160" s="4">
        <v>7.0175999999999998</v>
      </c>
      <c r="E160" s="4">
        <v>2160</v>
      </c>
      <c r="F160" s="4"/>
      <c r="G160" s="4"/>
      <c r="H160" s="5">
        <f t="shared" si="2"/>
        <v>3.9197733970415859E-3</v>
      </c>
    </row>
    <row r="161" spans="1:8" ht="13.5" x14ac:dyDescent="0.25">
      <c r="A161" s="1"/>
      <c r="B161" s="3">
        <v>42531</v>
      </c>
      <c r="C161" s="4">
        <v>7.64</v>
      </c>
      <c r="D161" s="4">
        <v>6.9810999999999996</v>
      </c>
      <c r="E161" s="4">
        <v>676</v>
      </c>
      <c r="F161" s="4"/>
      <c r="G161" s="4"/>
      <c r="H161" s="5">
        <f t="shared" si="2"/>
        <v>-5.2012083903329055E-3</v>
      </c>
    </row>
    <row r="162" spans="1:8" ht="13.5" x14ac:dyDescent="0.25">
      <c r="A162" s="1"/>
      <c r="B162" s="3">
        <v>42534</v>
      </c>
      <c r="C162" s="4">
        <v>7.7</v>
      </c>
      <c r="D162" s="4">
        <v>7.0358999999999998</v>
      </c>
      <c r="E162" s="4">
        <v>3550</v>
      </c>
      <c r="F162" s="4"/>
      <c r="G162" s="4"/>
      <c r="H162" s="5">
        <f t="shared" si="2"/>
        <v>7.849765796221252E-3</v>
      </c>
    </row>
    <row r="163" spans="1:8" ht="13.5" x14ac:dyDescent="0.25">
      <c r="A163" s="1"/>
      <c r="B163" s="3">
        <v>42535</v>
      </c>
      <c r="C163" s="4">
        <v>7.7</v>
      </c>
      <c r="D163" s="4">
        <v>7.0358999999999998</v>
      </c>
      <c r="E163" s="4">
        <v>1267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7.6</v>
      </c>
      <c r="D164" s="4">
        <v>7.1394000000000002</v>
      </c>
      <c r="E164" s="4">
        <v>110</v>
      </c>
      <c r="F164" s="4"/>
      <c r="G164" s="4"/>
      <c r="H164" s="5">
        <f t="shared" si="2"/>
        <v>1.4710271607043928E-2</v>
      </c>
    </row>
    <row r="165" spans="1:8" ht="13.5" x14ac:dyDescent="0.25">
      <c r="A165" s="1"/>
      <c r="B165" s="3">
        <v>42537</v>
      </c>
      <c r="C165" s="4">
        <v>7.8</v>
      </c>
      <c r="D165" s="4">
        <v>7.3273000000000001</v>
      </c>
      <c r="E165" s="4">
        <v>8390</v>
      </c>
      <c r="F165" s="4"/>
      <c r="G165" s="4"/>
      <c r="H165" s="5">
        <f t="shared" si="2"/>
        <v>2.6318738269322343E-2</v>
      </c>
    </row>
    <row r="166" spans="1:8" ht="13.5" x14ac:dyDescent="0.25">
      <c r="A166" s="1"/>
      <c r="B166" s="3">
        <v>42538</v>
      </c>
      <c r="C166" s="4">
        <v>8</v>
      </c>
      <c r="D166" s="4">
        <v>7.5152000000000001</v>
      </c>
      <c r="E166" s="4">
        <v>264</v>
      </c>
      <c r="F166" s="4"/>
      <c r="G166" s="4"/>
      <c r="H166" s="5">
        <f t="shared" si="2"/>
        <v>2.5643825147052796E-2</v>
      </c>
    </row>
    <row r="167" spans="1:8" ht="13.5" x14ac:dyDescent="0.25">
      <c r="A167" s="1"/>
      <c r="B167" s="3">
        <v>42541</v>
      </c>
      <c r="C167" s="4">
        <v>8</v>
      </c>
      <c r="D167" s="4">
        <v>7.5152000000000001</v>
      </c>
      <c r="E167" s="4">
        <v>4433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7.99</v>
      </c>
      <c r="D168" s="4">
        <v>7.5057999999999998</v>
      </c>
      <c r="E168" s="4">
        <v>153</v>
      </c>
      <c r="F168" s="4"/>
      <c r="G168" s="4"/>
      <c r="H168" s="5">
        <f t="shared" si="2"/>
        <v>-1.2507983819459625E-3</v>
      </c>
    </row>
    <row r="169" spans="1:8" ht="13.5" x14ac:dyDescent="0.25">
      <c r="A169" s="1"/>
      <c r="B169" s="3">
        <v>42543</v>
      </c>
      <c r="C169" s="4">
        <v>7.98</v>
      </c>
      <c r="D169" s="4">
        <v>7.4964000000000004</v>
      </c>
      <c r="E169" s="4">
        <v>328</v>
      </c>
      <c r="F169" s="4"/>
      <c r="G169" s="4"/>
      <c r="H169" s="5">
        <f t="shared" si="2"/>
        <v>-1.252364837858644E-3</v>
      </c>
    </row>
    <row r="170" spans="1:8" ht="13.5" x14ac:dyDescent="0.25">
      <c r="A170" s="1"/>
      <c r="B170" s="3">
        <v>42544</v>
      </c>
      <c r="C170" s="4">
        <v>7.95</v>
      </c>
      <c r="D170" s="4">
        <v>7.4682000000000004</v>
      </c>
      <c r="E170" s="4">
        <v>180</v>
      </c>
      <c r="F170" s="4"/>
      <c r="G170" s="4"/>
      <c r="H170" s="5">
        <f t="shared" si="2"/>
        <v>-3.761805666720026E-3</v>
      </c>
    </row>
    <row r="171" spans="1:8" ht="13.5" x14ac:dyDescent="0.25">
      <c r="A171" s="1"/>
      <c r="B171" s="3">
        <v>42545</v>
      </c>
      <c r="C171" s="4">
        <v>7.95</v>
      </c>
      <c r="D171" s="4">
        <v>7.4682000000000004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7.94</v>
      </c>
      <c r="D172" s="4">
        <v>7.4588000000000001</v>
      </c>
      <c r="E172" s="4">
        <v>1610</v>
      </c>
      <c r="F172" s="4"/>
      <c r="G172" s="4"/>
      <c r="H172" s="5">
        <f t="shared" si="2"/>
        <v>-1.2586700945341979E-3</v>
      </c>
    </row>
    <row r="173" spans="1:8" ht="13.5" x14ac:dyDescent="0.25">
      <c r="A173" s="1"/>
      <c r="B173" s="3">
        <v>42549</v>
      </c>
      <c r="C173" s="4">
        <v>7.72</v>
      </c>
      <c r="D173" s="4">
        <v>7.2522000000000002</v>
      </c>
      <c r="E173" s="4">
        <v>2658</v>
      </c>
      <c r="F173" s="4"/>
      <c r="G173" s="4"/>
      <c r="H173" s="5">
        <f t="shared" si="2"/>
        <v>-2.7698825548345563E-2</v>
      </c>
    </row>
    <row r="174" spans="1:8" ht="13.5" x14ac:dyDescent="0.25">
      <c r="A174" s="1"/>
      <c r="B174" s="3">
        <v>42550</v>
      </c>
      <c r="C174" s="4">
        <v>7.85</v>
      </c>
      <c r="D174" s="4">
        <v>7.3742999999999999</v>
      </c>
      <c r="E174" s="4">
        <v>1150</v>
      </c>
      <c r="F174" s="4"/>
      <c r="G174" s="4"/>
      <c r="H174" s="5">
        <f t="shared" si="2"/>
        <v>1.6836270373128105E-2</v>
      </c>
    </row>
    <row r="175" spans="1:8" ht="13.5" x14ac:dyDescent="0.25">
      <c r="A175" s="1"/>
      <c r="B175" s="3">
        <v>42551</v>
      </c>
      <c r="C175" s="4">
        <v>7.81</v>
      </c>
      <c r="D175" s="4">
        <v>7.3367000000000004</v>
      </c>
      <c r="E175" s="4">
        <v>2838</v>
      </c>
      <c r="F175" s="4"/>
      <c r="G175" s="4"/>
      <c r="H175" s="5">
        <f t="shared" si="2"/>
        <v>-5.0987890376034892E-3</v>
      </c>
    </row>
    <row r="176" spans="1:8" ht="13.5" x14ac:dyDescent="0.25">
      <c r="A176" s="1"/>
      <c r="B176" s="3">
        <v>42552</v>
      </c>
      <c r="C176" s="4">
        <v>7.7</v>
      </c>
      <c r="D176" s="4">
        <v>7.2333999999999996</v>
      </c>
      <c r="E176" s="4">
        <v>1153</v>
      </c>
      <c r="F176" s="4"/>
      <c r="G176" s="4"/>
      <c r="H176" s="5">
        <f t="shared" si="2"/>
        <v>-1.4079899682418639E-2</v>
      </c>
    </row>
    <row r="177" spans="1:8" ht="13.5" x14ac:dyDescent="0.25">
      <c r="A177" s="1"/>
      <c r="B177" s="3">
        <v>42555</v>
      </c>
      <c r="C177" s="4">
        <v>7.7</v>
      </c>
      <c r="D177" s="4">
        <v>7.2333999999999996</v>
      </c>
      <c r="E177" s="4">
        <v>180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7.7</v>
      </c>
      <c r="D178" s="4">
        <v>7.2333999999999996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7.75</v>
      </c>
      <c r="D179" s="4">
        <v>7.2804000000000002</v>
      </c>
      <c r="E179" s="4">
        <v>1000</v>
      </c>
      <c r="F179" s="4"/>
      <c r="G179" s="4"/>
      <c r="H179" s="5">
        <f t="shared" si="2"/>
        <v>6.4976359664888706E-3</v>
      </c>
    </row>
    <row r="180" spans="1:8" ht="13.5" x14ac:dyDescent="0.25">
      <c r="A180" s="1"/>
      <c r="B180" s="3">
        <v>42563</v>
      </c>
      <c r="C180" s="4">
        <v>7.75</v>
      </c>
      <c r="D180" s="4">
        <v>7.2804000000000002</v>
      </c>
      <c r="E180" s="4">
        <v>1017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7.74</v>
      </c>
      <c r="D181" s="4">
        <v>7.2709999999999999</v>
      </c>
      <c r="E181" s="4">
        <v>420</v>
      </c>
      <c r="F181" s="4"/>
      <c r="G181" s="4"/>
      <c r="H181" s="5">
        <f t="shared" si="2"/>
        <v>-1.2911378495687458E-3</v>
      </c>
    </row>
    <row r="182" spans="1:8" ht="13.5" x14ac:dyDescent="0.25">
      <c r="A182" s="1"/>
      <c r="B182" s="3">
        <v>42565</v>
      </c>
      <c r="C182" s="4">
        <v>7.74</v>
      </c>
      <c r="D182" s="4">
        <v>7.2709999999999999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7.73</v>
      </c>
      <c r="D183" s="4">
        <v>7.2615999999999996</v>
      </c>
      <c r="E183" s="4">
        <v>1260</v>
      </c>
      <c r="F183" s="4"/>
      <c r="G183" s="4"/>
      <c r="H183" s="5">
        <f t="shared" si="2"/>
        <v>-1.2928070416724381E-3</v>
      </c>
    </row>
    <row r="184" spans="1:8" ht="13.5" x14ac:dyDescent="0.25">
      <c r="A184" s="1"/>
      <c r="B184" s="3">
        <v>42569</v>
      </c>
      <c r="C184" s="4">
        <v>7.73</v>
      </c>
      <c r="D184" s="4">
        <v>7.2615999999999996</v>
      </c>
      <c r="E184" s="4">
        <v>330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7.72</v>
      </c>
      <c r="D185" s="4">
        <v>7.2522000000000002</v>
      </c>
      <c r="E185" s="4">
        <v>1855</v>
      </c>
      <c r="F185" s="4"/>
      <c r="G185" s="4"/>
      <c r="H185" s="5">
        <f t="shared" si="2"/>
        <v>-1.2944805552494503E-3</v>
      </c>
    </row>
    <row r="186" spans="1:8" ht="13.5" x14ac:dyDescent="0.25">
      <c r="A186" s="1"/>
      <c r="B186" s="3">
        <v>42571</v>
      </c>
      <c r="C186" s="4">
        <v>7.74</v>
      </c>
      <c r="D186" s="4">
        <v>7.2709999999999999</v>
      </c>
      <c r="E186" s="4">
        <v>865</v>
      </c>
      <c r="F186" s="4"/>
      <c r="G186" s="4"/>
      <c r="H186" s="5">
        <f t="shared" si="2"/>
        <v>2.5923168142080615E-3</v>
      </c>
    </row>
    <row r="187" spans="1:8" ht="13.5" x14ac:dyDescent="0.25">
      <c r="A187" s="1"/>
      <c r="B187" s="3">
        <v>42572</v>
      </c>
      <c r="C187" s="4">
        <v>7.71</v>
      </c>
      <c r="D187" s="4">
        <v>7.2427999999999999</v>
      </c>
      <c r="E187" s="4">
        <v>110</v>
      </c>
      <c r="F187" s="4"/>
      <c r="G187" s="4"/>
      <c r="H187" s="5">
        <f t="shared" si="2"/>
        <v>-3.8784211250171919E-3</v>
      </c>
    </row>
    <row r="188" spans="1:8" ht="13.5" x14ac:dyDescent="0.25">
      <c r="A188" s="1"/>
      <c r="B188" s="3">
        <v>42573</v>
      </c>
      <c r="C188" s="4">
        <v>7.71</v>
      </c>
      <c r="D188" s="4">
        <v>7.2427999999999999</v>
      </c>
      <c r="E188" s="4">
        <v>250</v>
      </c>
      <c r="F188" s="4"/>
      <c r="G188" s="4"/>
      <c r="H188" s="5">
        <f t="shared" si="2"/>
        <v>0</v>
      </c>
    </row>
    <row r="189" spans="1:8" ht="13.5" x14ac:dyDescent="0.25">
      <c r="A189" s="1"/>
      <c r="B189" s="3">
        <v>42577</v>
      </c>
      <c r="C189" s="4">
        <v>7.67</v>
      </c>
      <c r="D189" s="4">
        <v>7.2051999999999996</v>
      </c>
      <c r="E189" s="4">
        <v>451</v>
      </c>
      <c r="F189" s="4"/>
      <c r="G189" s="4"/>
      <c r="H189" s="5">
        <f t="shared" si="2"/>
        <v>-5.1913624565085737E-3</v>
      </c>
    </row>
    <row r="190" spans="1:8" ht="13.5" x14ac:dyDescent="0.25">
      <c r="A190" s="1"/>
      <c r="B190" s="3">
        <v>42578</v>
      </c>
      <c r="C190" s="4">
        <v>7.6</v>
      </c>
      <c r="D190" s="4">
        <v>7.1394000000000002</v>
      </c>
      <c r="E190" s="4">
        <v>200</v>
      </c>
      <c r="F190" s="4"/>
      <c r="G190" s="4"/>
      <c r="H190" s="5">
        <f t="shared" si="2"/>
        <v>-9.1322933436961389E-3</v>
      </c>
    </row>
    <row r="191" spans="1:8" ht="13.5" x14ac:dyDescent="0.25">
      <c r="A191" s="1"/>
      <c r="B191" s="3">
        <v>42579</v>
      </c>
      <c r="C191" s="4">
        <v>7.6</v>
      </c>
      <c r="D191" s="4">
        <v>7.1394000000000002</v>
      </c>
      <c r="E191" s="4">
        <v>351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7.6</v>
      </c>
      <c r="D192" s="4">
        <v>7.1394000000000002</v>
      </c>
      <c r="E192" s="4">
        <v>1260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7.6</v>
      </c>
      <c r="D193" s="4">
        <v>7.1394000000000002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7.4</v>
      </c>
      <c r="D194" s="4">
        <v>6.9516</v>
      </c>
      <c r="E194" s="4">
        <v>1484</v>
      </c>
      <c r="F194" s="4"/>
      <c r="G194" s="4"/>
      <c r="H194" s="5">
        <f t="shared" si="2"/>
        <v>-2.6304731490041207E-2</v>
      </c>
    </row>
    <row r="195" spans="1:8" ht="13.5" x14ac:dyDescent="0.25">
      <c r="A195" s="1"/>
      <c r="B195" s="3">
        <v>42585</v>
      </c>
      <c r="C195" s="4">
        <v>7.6</v>
      </c>
      <c r="D195" s="4">
        <v>7.1394000000000002</v>
      </c>
      <c r="E195" s="4">
        <v>500</v>
      </c>
      <c r="F195" s="4"/>
      <c r="G195" s="4"/>
      <c r="H195" s="5">
        <f t="shared" si="2"/>
        <v>2.7015363369584006E-2</v>
      </c>
    </row>
    <row r="196" spans="1:8" ht="13.5" x14ac:dyDescent="0.25">
      <c r="A196" s="1"/>
      <c r="B196" s="3">
        <v>42586</v>
      </c>
      <c r="C196" s="4">
        <v>7.58</v>
      </c>
      <c r="D196" s="4">
        <v>7.1207000000000003</v>
      </c>
      <c r="E196" s="4">
        <v>375</v>
      </c>
      <c r="F196" s="4"/>
      <c r="G196" s="4"/>
      <c r="H196" s="5">
        <f t="shared" si="2"/>
        <v>-2.6192677255791716E-3</v>
      </c>
    </row>
    <row r="197" spans="1:8" ht="13.5" x14ac:dyDescent="0.25">
      <c r="A197" s="1"/>
      <c r="B197" s="3">
        <v>42587</v>
      </c>
      <c r="C197" s="4">
        <v>7.55</v>
      </c>
      <c r="D197" s="4">
        <v>7.0925000000000002</v>
      </c>
      <c r="E197" s="4">
        <v>950</v>
      </c>
      <c r="F197" s="4"/>
      <c r="G197" s="4"/>
      <c r="H197" s="5">
        <f t="shared" si="2"/>
        <v>-3.9602848034603344E-3</v>
      </c>
    </row>
    <row r="198" spans="1:8" ht="13.5" x14ac:dyDescent="0.25">
      <c r="A198" s="1"/>
      <c r="B198" s="3">
        <v>42590</v>
      </c>
      <c r="C198" s="4">
        <v>7.5</v>
      </c>
      <c r="D198" s="4">
        <v>7.0454999999999997</v>
      </c>
      <c r="E198" s="4">
        <v>2770</v>
      </c>
      <c r="F198" s="4"/>
      <c r="G198" s="4"/>
      <c r="H198" s="5">
        <f t="shared" si="2"/>
        <v>-6.6267183644695936E-3</v>
      </c>
    </row>
    <row r="199" spans="1:8" ht="13.5" x14ac:dyDescent="0.25">
      <c r="A199" s="1"/>
      <c r="B199" s="3">
        <v>42591</v>
      </c>
      <c r="C199" s="4">
        <v>7.28</v>
      </c>
      <c r="D199" s="4">
        <v>6.8388</v>
      </c>
      <c r="E199" s="4">
        <v>3479</v>
      </c>
      <c r="F199" s="4"/>
      <c r="G199" s="4"/>
      <c r="H199" s="5">
        <f t="shared" ref="H199:H262" si="3">(D199-D198)/D198</f>
        <v>-2.9337875239514536E-2</v>
      </c>
    </row>
    <row r="200" spans="1:8" ht="13.5" x14ac:dyDescent="0.25">
      <c r="A200" s="1"/>
      <c r="B200" s="3">
        <v>42592</v>
      </c>
      <c r="C200" s="4">
        <v>7.28</v>
      </c>
      <c r="D200" s="4">
        <v>6.8388</v>
      </c>
      <c r="E200" s="4">
        <v>200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7.28</v>
      </c>
      <c r="D201" s="4">
        <v>6.8388</v>
      </c>
      <c r="E201" s="4">
        <v>200</v>
      </c>
      <c r="F201" s="4"/>
      <c r="G201" s="4"/>
      <c r="H201" s="5">
        <f t="shared" si="3"/>
        <v>0</v>
      </c>
    </row>
    <row r="202" spans="1:8" ht="13.5" x14ac:dyDescent="0.25">
      <c r="A202" s="1"/>
      <c r="B202" s="3">
        <v>42594</v>
      </c>
      <c r="C202" s="4">
        <v>7.2</v>
      </c>
      <c r="D202" s="4">
        <v>6.7637</v>
      </c>
      <c r="E202" s="4">
        <v>200</v>
      </c>
      <c r="F202" s="4"/>
      <c r="G202" s="4"/>
      <c r="H202" s="5">
        <f t="shared" si="3"/>
        <v>-1.0981458735450656E-2</v>
      </c>
    </row>
    <row r="203" spans="1:8" ht="13.5" x14ac:dyDescent="0.25">
      <c r="A203" s="1"/>
      <c r="B203" s="3">
        <v>42597</v>
      </c>
      <c r="C203" s="4">
        <v>7.2</v>
      </c>
      <c r="D203" s="4">
        <v>6.7637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7.2</v>
      </c>
      <c r="D204" s="4">
        <v>6.7637</v>
      </c>
      <c r="E204" s="4">
        <v>330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7.2</v>
      </c>
      <c r="D205" s="4">
        <v>6.7637</v>
      </c>
      <c r="E205" s="4">
        <v>130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7.2</v>
      </c>
      <c r="D206" s="4">
        <v>6.7637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7.2</v>
      </c>
      <c r="D207" s="4">
        <v>6.7637</v>
      </c>
      <c r="E207" s="4">
        <v>4320</v>
      </c>
      <c r="F207" s="4"/>
      <c r="G207" s="4"/>
      <c r="H207" s="5">
        <f t="shared" si="3"/>
        <v>0</v>
      </c>
    </row>
    <row r="208" spans="1:8" ht="13.5" x14ac:dyDescent="0.25">
      <c r="A208" s="1"/>
      <c r="B208" s="3">
        <v>42604</v>
      </c>
      <c r="C208" s="4">
        <v>7.19</v>
      </c>
      <c r="D208" s="4">
        <v>6.7542999999999997</v>
      </c>
      <c r="E208" s="4">
        <v>20</v>
      </c>
      <c r="F208" s="4"/>
      <c r="G208" s="4"/>
      <c r="H208" s="5">
        <f t="shared" si="3"/>
        <v>-1.3897718704259942E-3</v>
      </c>
    </row>
    <row r="209" spans="1:8" ht="13.5" x14ac:dyDescent="0.25">
      <c r="A209" s="1"/>
      <c r="B209" s="3">
        <v>42605</v>
      </c>
      <c r="C209" s="4">
        <v>7.19</v>
      </c>
      <c r="D209" s="4">
        <v>6.7542999999999997</v>
      </c>
      <c r="E209" s="4">
        <v>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6.98</v>
      </c>
      <c r="D210" s="4">
        <v>6.5570000000000004</v>
      </c>
      <c r="E210" s="4">
        <v>5460</v>
      </c>
      <c r="F210" s="4"/>
      <c r="G210" s="4"/>
      <c r="H210" s="5">
        <f t="shared" si="3"/>
        <v>-2.9211021127281786E-2</v>
      </c>
    </row>
    <row r="211" spans="1:8" ht="13.5" x14ac:dyDescent="0.25">
      <c r="A211" s="1"/>
      <c r="B211" s="3">
        <v>42607</v>
      </c>
      <c r="C211" s="4">
        <v>6.96</v>
      </c>
      <c r="D211" s="4">
        <v>6.5381999999999998</v>
      </c>
      <c r="E211" s="4">
        <v>1415</v>
      </c>
      <c r="F211" s="4"/>
      <c r="G211" s="4"/>
      <c r="H211" s="5">
        <f t="shared" si="3"/>
        <v>-2.8671648619796541E-3</v>
      </c>
    </row>
    <row r="212" spans="1:8" ht="13.5" x14ac:dyDescent="0.25">
      <c r="A212" s="1"/>
      <c r="B212" s="3">
        <v>42608</v>
      </c>
      <c r="C212" s="4">
        <v>6.98</v>
      </c>
      <c r="D212" s="4">
        <v>6.5570000000000004</v>
      </c>
      <c r="E212" s="4">
        <v>3801</v>
      </c>
      <c r="F212" s="4"/>
      <c r="G212" s="4"/>
      <c r="H212" s="5">
        <f t="shared" si="3"/>
        <v>2.8754091340125101E-3</v>
      </c>
    </row>
    <row r="213" spans="1:8" ht="13.5" x14ac:dyDescent="0.25">
      <c r="A213" s="1"/>
      <c r="B213" s="3">
        <v>42611</v>
      </c>
      <c r="C213" s="4">
        <v>7</v>
      </c>
      <c r="D213" s="4">
        <v>6.5758000000000001</v>
      </c>
      <c r="E213" s="4">
        <v>810</v>
      </c>
      <c r="F213" s="4"/>
      <c r="G213" s="4"/>
      <c r="H213" s="5">
        <f t="shared" si="3"/>
        <v>2.8671648619795187E-3</v>
      </c>
    </row>
    <row r="214" spans="1:8" ht="13.5" x14ac:dyDescent="0.25">
      <c r="A214" s="1"/>
      <c r="B214" s="3">
        <v>42612</v>
      </c>
      <c r="C214" s="4">
        <v>6.79</v>
      </c>
      <c r="D214" s="4">
        <v>6.3784999999999998</v>
      </c>
      <c r="E214" s="4">
        <v>4591</v>
      </c>
      <c r="F214" s="4"/>
      <c r="G214" s="4"/>
      <c r="H214" s="5">
        <f t="shared" si="3"/>
        <v>-3.000395389154175E-2</v>
      </c>
    </row>
    <row r="215" spans="1:8" ht="13.5" x14ac:dyDescent="0.25">
      <c r="A215" s="1"/>
      <c r="B215" s="3">
        <v>42613</v>
      </c>
      <c r="C215" s="4">
        <v>6.94</v>
      </c>
      <c r="D215" s="4">
        <v>6.5194000000000001</v>
      </c>
      <c r="E215" s="4">
        <v>70</v>
      </c>
      <c r="F215" s="4"/>
      <c r="G215" s="4"/>
      <c r="H215" s="5">
        <f t="shared" si="3"/>
        <v>2.2089833032844751E-2</v>
      </c>
    </row>
    <row r="216" spans="1:8" ht="13.5" x14ac:dyDescent="0.25">
      <c r="A216" s="1"/>
      <c r="B216" s="3">
        <v>42614</v>
      </c>
      <c r="C216" s="4">
        <v>6.78</v>
      </c>
      <c r="D216" s="4">
        <v>6.3691000000000004</v>
      </c>
      <c r="E216" s="4">
        <v>425</v>
      </c>
      <c r="F216" s="4"/>
      <c r="G216" s="4"/>
      <c r="H216" s="5">
        <f t="shared" si="3"/>
        <v>-2.305426879774207E-2</v>
      </c>
    </row>
    <row r="217" spans="1:8" ht="13.5" x14ac:dyDescent="0.25">
      <c r="A217" s="1"/>
      <c r="B217" s="3">
        <v>42615</v>
      </c>
      <c r="C217" s="4">
        <v>6.58</v>
      </c>
      <c r="D217" s="4">
        <v>6.1813000000000002</v>
      </c>
      <c r="E217" s="4">
        <v>720</v>
      </c>
      <c r="F217" s="4"/>
      <c r="G217" s="4"/>
      <c r="H217" s="5">
        <f t="shared" si="3"/>
        <v>-2.9486112637578336E-2</v>
      </c>
    </row>
    <row r="218" spans="1:8" ht="13.5" x14ac:dyDescent="0.25">
      <c r="A218" s="1"/>
      <c r="B218" s="3">
        <v>42618</v>
      </c>
      <c r="C218" s="4">
        <v>6.77</v>
      </c>
      <c r="D218" s="4">
        <v>6.3597000000000001</v>
      </c>
      <c r="E218" s="4">
        <v>1824</v>
      </c>
      <c r="F218" s="4"/>
      <c r="G218" s="4"/>
      <c r="H218" s="5">
        <f t="shared" si="3"/>
        <v>2.8861242780644829E-2</v>
      </c>
    </row>
    <row r="219" spans="1:8" ht="13.5" x14ac:dyDescent="0.25">
      <c r="A219" s="1"/>
      <c r="B219" s="3">
        <v>42619</v>
      </c>
      <c r="C219" s="4">
        <v>6.77</v>
      </c>
      <c r="D219" s="4">
        <v>6.3597000000000001</v>
      </c>
      <c r="E219" s="4">
        <v>304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6.89</v>
      </c>
      <c r="D220" s="4">
        <v>6.4725000000000001</v>
      </c>
      <c r="E220" s="4">
        <v>20</v>
      </c>
      <c r="F220" s="4"/>
      <c r="G220" s="4"/>
      <c r="H220" s="5">
        <f t="shared" si="3"/>
        <v>1.7736685692721355E-2</v>
      </c>
    </row>
    <row r="221" spans="1:8" ht="13.5" x14ac:dyDescent="0.25">
      <c r="A221" s="1"/>
      <c r="B221" s="3">
        <v>42621</v>
      </c>
      <c r="C221" s="4">
        <v>6.89</v>
      </c>
      <c r="D221" s="4">
        <v>6.4725000000000001</v>
      </c>
      <c r="E221" s="4">
        <v>15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6.89</v>
      </c>
      <c r="D222" s="4">
        <v>6.4725000000000001</v>
      </c>
      <c r="E222" s="4">
        <v>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6.93</v>
      </c>
      <c r="D223" s="4">
        <v>6.51</v>
      </c>
      <c r="E223" s="4">
        <v>713</v>
      </c>
      <c r="F223" s="4"/>
      <c r="G223" s="4"/>
      <c r="H223" s="5">
        <f t="shared" si="3"/>
        <v>5.7937427578214976E-3</v>
      </c>
    </row>
    <row r="224" spans="1:8" ht="13.5" x14ac:dyDescent="0.25">
      <c r="A224" s="1"/>
      <c r="B224" s="3">
        <v>42628</v>
      </c>
      <c r="C224" s="4">
        <v>6.77</v>
      </c>
      <c r="D224" s="4">
        <v>6.3597000000000001</v>
      </c>
      <c r="E224" s="4">
        <v>510</v>
      </c>
      <c r="F224" s="4"/>
      <c r="G224" s="4"/>
      <c r="H224" s="5">
        <f t="shared" si="3"/>
        <v>-2.3087557603686585E-2</v>
      </c>
    </row>
    <row r="225" spans="1:8" ht="13.5" x14ac:dyDescent="0.25">
      <c r="A225" s="1"/>
      <c r="B225" s="3">
        <v>42629</v>
      </c>
      <c r="C225" s="4">
        <v>6.86</v>
      </c>
      <c r="D225" s="4">
        <v>6.4443000000000001</v>
      </c>
      <c r="E225" s="4">
        <v>23298</v>
      </c>
      <c r="F225" s="4"/>
      <c r="G225" s="4"/>
      <c r="H225" s="5">
        <f t="shared" si="3"/>
        <v>1.3302514269541018E-2</v>
      </c>
    </row>
    <row r="226" spans="1:8" ht="13.5" x14ac:dyDescent="0.25">
      <c r="A226" s="1"/>
      <c r="B226" s="3">
        <v>42632</v>
      </c>
      <c r="C226" s="4">
        <v>6.66</v>
      </c>
      <c r="D226" s="4">
        <v>6.2564000000000002</v>
      </c>
      <c r="E226" s="4">
        <v>1134</v>
      </c>
      <c r="F226" s="4"/>
      <c r="G226" s="4"/>
      <c r="H226" s="5">
        <f t="shared" si="3"/>
        <v>-2.9157550083019096E-2</v>
      </c>
    </row>
    <row r="227" spans="1:8" ht="13.5" x14ac:dyDescent="0.25">
      <c r="A227" s="1"/>
      <c r="B227" s="3">
        <v>42633</v>
      </c>
      <c r="C227" s="4">
        <v>6.66</v>
      </c>
      <c r="D227" s="4">
        <v>6.2564000000000002</v>
      </c>
      <c r="E227" s="4">
        <v>2198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6.65</v>
      </c>
      <c r="D228" s="4">
        <v>6.2469999999999999</v>
      </c>
      <c r="E228" s="4">
        <v>198</v>
      </c>
      <c r="F228" s="4"/>
      <c r="G228" s="4"/>
      <c r="H228" s="5">
        <f t="shared" si="3"/>
        <v>-1.5024614794450957E-3</v>
      </c>
    </row>
    <row r="229" spans="1:8" ht="13.5" x14ac:dyDescent="0.25">
      <c r="A229" s="1"/>
      <c r="B229" s="3">
        <v>42635</v>
      </c>
      <c r="C229" s="4">
        <v>6.65</v>
      </c>
      <c r="D229" s="4">
        <v>6.2469999999999999</v>
      </c>
      <c r="E229" s="4">
        <v>1931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6.65</v>
      </c>
      <c r="D230" s="4">
        <v>6.2469999999999999</v>
      </c>
      <c r="E230" s="4">
        <v>100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6.6</v>
      </c>
      <c r="D231" s="4">
        <v>6.2</v>
      </c>
      <c r="E231" s="4">
        <v>4758</v>
      </c>
      <c r="F231" s="4"/>
      <c r="G231" s="4"/>
      <c r="H231" s="5">
        <f t="shared" si="3"/>
        <v>-7.5236113334400051E-3</v>
      </c>
    </row>
    <row r="232" spans="1:8" ht="13.5" x14ac:dyDescent="0.25">
      <c r="A232" s="1"/>
      <c r="B232" s="3">
        <v>42640</v>
      </c>
      <c r="C232" s="4">
        <v>6.6</v>
      </c>
      <c r="D232" s="4">
        <v>6.2</v>
      </c>
      <c r="E232" s="4">
        <v>455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6.49</v>
      </c>
      <c r="D233" s="4">
        <v>6.0967000000000002</v>
      </c>
      <c r="E233" s="4">
        <v>2161</v>
      </c>
      <c r="F233" s="4"/>
      <c r="G233" s="4"/>
      <c r="H233" s="5">
        <f t="shared" si="3"/>
        <v>-1.6661290322580635E-2</v>
      </c>
    </row>
    <row r="234" spans="1:8" ht="13.5" x14ac:dyDescent="0.25">
      <c r="A234" s="1"/>
      <c r="B234" s="3">
        <v>42642</v>
      </c>
      <c r="C234" s="4">
        <v>6.57</v>
      </c>
      <c r="D234" s="4">
        <v>6.1718999999999999</v>
      </c>
      <c r="E234" s="4">
        <v>10</v>
      </c>
      <c r="F234" s="4"/>
      <c r="G234" s="4"/>
      <c r="H234" s="5">
        <f t="shared" si="3"/>
        <v>1.2334541637279137E-2</v>
      </c>
    </row>
    <row r="235" spans="1:8" ht="13.5" x14ac:dyDescent="0.25">
      <c r="A235" s="1"/>
      <c r="B235" s="3">
        <v>42643</v>
      </c>
      <c r="C235" s="4">
        <v>6.39</v>
      </c>
      <c r="D235" s="4">
        <v>6.0027999999999997</v>
      </c>
      <c r="E235" s="4">
        <v>1550</v>
      </c>
      <c r="F235" s="4"/>
      <c r="G235" s="4"/>
      <c r="H235" s="5">
        <f t="shared" si="3"/>
        <v>-2.73983700319189E-2</v>
      </c>
    </row>
    <row r="236" spans="1:8" ht="13.5" x14ac:dyDescent="0.25">
      <c r="A236" s="1"/>
      <c r="B236" s="3">
        <v>42647</v>
      </c>
      <c r="C236" s="4">
        <v>6.39</v>
      </c>
      <c r="D236" s="4">
        <v>6.0027999999999997</v>
      </c>
      <c r="E236" s="4">
        <v>3470</v>
      </c>
      <c r="F236" s="4"/>
      <c r="G236" s="4"/>
      <c r="H236" s="5">
        <f t="shared" si="3"/>
        <v>0</v>
      </c>
    </row>
    <row r="237" spans="1:8" ht="13.5" x14ac:dyDescent="0.25">
      <c r="A237" s="1"/>
      <c r="B237" s="3">
        <v>42648</v>
      </c>
      <c r="C237" s="4">
        <v>6.47</v>
      </c>
      <c r="D237" s="4">
        <v>6.0778999999999996</v>
      </c>
      <c r="E237" s="4">
        <v>10845</v>
      </c>
      <c r="F237" s="4"/>
      <c r="G237" s="4"/>
      <c r="H237" s="5">
        <f t="shared" si="3"/>
        <v>1.2510828280135928E-2</v>
      </c>
    </row>
    <row r="238" spans="1:8" ht="13.5" x14ac:dyDescent="0.25">
      <c r="A238" s="1"/>
      <c r="B238" s="3">
        <v>42649</v>
      </c>
      <c r="C238" s="4">
        <v>6.42</v>
      </c>
      <c r="D238" s="4">
        <v>6.0308999999999999</v>
      </c>
      <c r="E238" s="4">
        <v>201</v>
      </c>
      <c r="F238" s="4"/>
      <c r="G238" s="4"/>
      <c r="H238" s="5">
        <f t="shared" si="3"/>
        <v>-7.7329340726237207E-3</v>
      </c>
    </row>
    <row r="239" spans="1:8" ht="13.5" x14ac:dyDescent="0.25">
      <c r="A239" s="1"/>
      <c r="B239" s="3">
        <v>42650</v>
      </c>
      <c r="C239" s="4">
        <v>6.55</v>
      </c>
      <c r="D239" s="4">
        <v>6.1531000000000002</v>
      </c>
      <c r="E239" s="4">
        <v>5637</v>
      </c>
      <c r="F239" s="4"/>
      <c r="G239" s="4"/>
      <c r="H239" s="5">
        <f t="shared" si="3"/>
        <v>2.0262315740602613E-2</v>
      </c>
    </row>
    <row r="240" spans="1:8" ht="13.5" x14ac:dyDescent="0.25">
      <c r="A240" s="1"/>
      <c r="B240" s="3">
        <v>42653</v>
      </c>
      <c r="C240" s="4">
        <v>6.42</v>
      </c>
      <c r="D240" s="4">
        <v>6.0308999999999999</v>
      </c>
      <c r="E240" s="4">
        <v>3627</v>
      </c>
      <c r="F240" s="4"/>
      <c r="G240" s="4"/>
      <c r="H240" s="5">
        <f t="shared" si="3"/>
        <v>-1.9859908013846728E-2</v>
      </c>
    </row>
    <row r="241" spans="1:8" ht="13.5" x14ac:dyDescent="0.25">
      <c r="A241" s="1"/>
      <c r="B241" s="3">
        <v>42654</v>
      </c>
      <c r="C241" s="4">
        <v>6.38</v>
      </c>
      <c r="D241" s="4">
        <v>5.9934000000000003</v>
      </c>
      <c r="E241" s="4">
        <v>121</v>
      </c>
      <c r="F241" s="4"/>
      <c r="G241" s="4"/>
      <c r="H241" s="5">
        <f t="shared" si="3"/>
        <v>-6.2179774163059649E-3</v>
      </c>
    </row>
    <row r="242" spans="1:8" ht="13.5" x14ac:dyDescent="0.25">
      <c r="A242" s="1"/>
      <c r="B242" s="3">
        <v>42655</v>
      </c>
      <c r="C242" s="4">
        <v>6.34</v>
      </c>
      <c r="D242" s="4">
        <v>5.9558</v>
      </c>
      <c r="E242" s="4">
        <v>840</v>
      </c>
      <c r="F242" s="4"/>
      <c r="G242" s="4"/>
      <c r="H242" s="5">
        <f t="shared" si="3"/>
        <v>-6.2735675910168352E-3</v>
      </c>
    </row>
    <row r="243" spans="1:8" ht="13.5" x14ac:dyDescent="0.25">
      <c r="A243" s="1"/>
      <c r="B243" s="3">
        <v>42656</v>
      </c>
      <c r="C243" s="4">
        <v>6.29</v>
      </c>
      <c r="D243" s="4">
        <v>5.9088000000000003</v>
      </c>
      <c r="E243" s="4">
        <v>2815</v>
      </c>
      <c r="F243" s="4"/>
      <c r="G243" s="4"/>
      <c r="H243" s="5">
        <f t="shared" si="3"/>
        <v>-7.8914671412740039E-3</v>
      </c>
    </row>
    <row r="244" spans="1:8" ht="13.5" x14ac:dyDescent="0.25">
      <c r="A244" s="1"/>
      <c r="B244" s="3">
        <v>42657</v>
      </c>
      <c r="C244" s="4">
        <v>6.29</v>
      </c>
      <c r="D244" s="4">
        <v>5.9088000000000003</v>
      </c>
      <c r="E244" s="4">
        <v>175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6.29</v>
      </c>
      <c r="D245" s="4">
        <v>5.9088000000000003</v>
      </c>
      <c r="E245" s="4">
        <v>0</v>
      </c>
      <c r="F245" s="4"/>
      <c r="G245" s="4"/>
      <c r="H245" s="5">
        <f t="shared" si="3"/>
        <v>0</v>
      </c>
    </row>
    <row r="246" spans="1:8" ht="13.5" x14ac:dyDescent="0.25">
      <c r="A246" s="1"/>
      <c r="B246" s="3">
        <v>42661</v>
      </c>
      <c r="C246" s="4">
        <v>6.24</v>
      </c>
      <c r="D246" s="4">
        <v>5.8619000000000003</v>
      </c>
      <c r="E246" s="4">
        <v>5977</v>
      </c>
      <c r="F246" s="4"/>
      <c r="G246" s="4"/>
      <c r="H246" s="5">
        <f t="shared" si="3"/>
        <v>-7.9373138369888876E-3</v>
      </c>
    </row>
    <row r="247" spans="1:8" ht="13.5" x14ac:dyDescent="0.25">
      <c r="A247" s="1"/>
      <c r="B247" s="3">
        <v>42662</v>
      </c>
      <c r="C247" s="4">
        <v>6.28</v>
      </c>
      <c r="D247" s="4">
        <v>5.8994</v>
      </c>
      <c r="E247" s="4">
        <v>10</v>
      </c>
      <c r="F247" s="4"/>
      <c r="G247" s="4"/>
      <c r="H247" s="5">
        <f t="shared" si="3"/>
        <v>6.3972432146573027E-3</v>
      </c>
    </row>
    <row r="248" spans="1:8" ht="13.5" x14ac:dyDescent="0.25">
      <c r="A248" s="1"/>
      <c r="B248" s="3">
        <v>42663</v>
      </c>
      <c r="C248" s="4">
        <v>6.25</v>
      </c>
      <c r="D248" s="4">
        <v>5.8712999999999997</v>
      </c>
      <c r="E248" s="4">
        <v>913</v>
      </c>
      <c r="F248" s="4"/>
      <c r="G248" s="4"/>
      <c r="H248" s="5">
        <f t="shared" si="3"/>
        <v>-4.76319625724654E-3</v>
      </c>
    </row>
    <row r="249" spans="1:8" ht="13.5" x14ac:dyDescent="0.25">
      <c r="A249" s="1"/>
      <c r="B249" s="3">
        <v>42664</v>
      </c>
      <c r="C249" s="4">
        <v>6.25</v>
      </c>
      <c r="D249" s="4">
        <v>5.8712999999999997</v>
      </c>
      <c r="E249" s="4">
        <v>935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6.07</v>
      </c>
      <c r="D250" s="4">
        <v>5.7022000000000004</v>
      </c>
      <c r="E250" s="4">
        <v>1713</v>
      </c>
      <c r="F250" s="4"/>
      <c r="G250" s="4"/>
      <c r="H250" s="5">
        <f t="shared" si="3"/>
        <v>-2.8801117299405477E-2</v>
      </c>
    </row>
    <row r="251" spans="1:8" ht="13.5" x14ac:dyDescent="0.25">
      <c r="A251" s="1"/>
      <c r="B251" s="3">
        <v>42668</v>
      </c>
      <c r="C251" s="4">
        <v>6.1</v>
      </c>
      <c r="D251" s="4">
        <v>5.7302999999999997</v>
      </c>
      <c r="E251" s="4">
        <v>3593</v>
      </c>
      <c r="F251" s="4"/>
      <c r="G251" s="4"/>
      <c r="H251" s="5">
        <f t="shared" si="3"/>
        <v>4.927922556206262E-3</v>
      </c>
    </row>
    <row r="252" spans="1:8" ht="13.5" x14ac:dyDescent="0.25">
      <c r="A252" s="1"/>
      <c r="B252" s="3">
        <v>42669</v>
      </c>
      <c r="C252" s="4">
        <v>6.05</v>
      </c>
      <c r="D252" s="4">
        <v>5.6833999999999998</v>
      </c>
      <c r="E252" s="4">
        <v>5111</v>
      </c>
      <c r="F252" s="4"/>
      <c r="G252" s="4"/>
      <c r="H252" s="5">
        <f t="shared" si="3"/>
        <v>-8.1845627628570825E-3</v>
      </c>
    </row>
    <row r="253" spans="1:8" ht="13.5" x14ac:dyDescent="0.25">
      <c r="A253" s="1"/>
      <c r="B253" s="3">
        <v>42670</v>
      </c>
      <c r="C253" s="4">
        <v>6</v>
      </c>
      <c r="D253" s="4">
        <v>5.6364000000000001</v>
      </c>
      <c r="E253" s="4">
        <v>11200</v>
      </c>
      <c r="F253" s="4"/>
      <c r="G253" s="4"/>
      <c r="H253" s="5">
        <f t="shared" si="3"/>
        <v>-8.2696977161557713E-3</v>
      </c>
    </row>
    <row r="254" spans="1:8" ht="13.5" x14ac:dyDescent="0.25">
      <c r="A254" s="1"/>
      <c r="B254" s="3">
        <v>42671</v>
      </c>
      <c r="C254" s="4">
        <v>6</v>
      </c>
      <c r="D254" s="4">
        <v>5.6364000000000001</v>
      </c>
      <c r="E254" s="4">
        <v>1768</v>
      </c>
      <c r="F254" s="4"/>
      <c r="G254" s="4"/>
      <c r="H254" s="5">
        <f t="shared" si="3"/>
        <v>0</v>
      </c>
    </row>
    <row r="255" spans="1:8" ht="13.5" x14ac:dyDescent="0.25">
      <c r="A255" s="1"/>
      <c r="B255" s="3">
        <v>42674</v>
      </c>
      <c r="C255" s="4">
        <v>6</v>
      </c>
      <c r="D255" s="4">
        <v>5.6364000000000001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6</v>
      </c>
      <c r="D256" s="4">
        <v>5.6364000000000001</v>
      </c>
      <c r="E256" s="4">
        <v>3765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6</v>
      </c>
      <c r="D257" s="4">
        <v>5.6364000000000001</v>
      </c>
      <c r="E257" s="4">
        <v>0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6</v>
      </c>
      <c r="D258" s="4">
        <v>5.6364000000000001</v>
      </c>
      <c r="E258" s="4">
        <v>0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5.99</v>
      </c>
      <c r="D259" s="4">
        <v>5.6269999999999998</v>
      </c>
      <c r="E259" s="4">
        <v>250</v>
      </c>
      <c r="F259" s="4"/>
      <c r="G259" s="4"/>
      <c r="H259" s="5">
        <f t="shared" si="3"/>
        <v>-1.6677311759279499E-3</v>
      </c>
    </row>
    <row r="260" spans="1:8" ht="13.5" x14ac:dyDescent="0.25">
      <c r="A260" s="1"/>
      <c r="B260" s="3">
        <v>42681</v>
      </c>
      <c r="C260" s="4">
        <v>5.99</v>
      </c>
      <c r="D260" s="4">
        <v>5.6269999999999998</v>
      </c>
      <c r="E260" s="4">
        <v>255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5.97</v>
      </c>
      <c r="D261" s="4">
        <v>5.6082000000000001</v>
      </c>
      <c r="E261" s="4">
        <v>200</v>
      </c>
      <c r="F261" s="4"/>
      <c r="G261" s="4"/>
      <c r="H261" s="5">
        <f t="shared" si="3"/>
        <v>-3.3410342989158887E-3</v>
      </c>
    </row>
    <row r="262" spans="1:8" ht="13.5" x14ac:dyDescent="0.25">
      <c r="A262" s="1"/>
      <c r="B262" s="3">
        <v>42683</v>
      </c>
      <c r="C262" s="4">
        <v>5.97</v>
      </c>
      <c r="D262" s="4">
        <v>5.6082000000000001</v>
      </c>
      <c r="E262" s="4">
        <v>0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5.97</v>
      </c>
      <c r="D263" s="4">
        <v>5.6082000000000001</v>
      </c>
      <c r="E263" s="4">
        <v>2100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5.97</v>
      </c>
      <c r="D264" s="4">
        <v>5.6082000000000001</v>
      </c>
      <c r="E264" s="4">
        <v>831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5.92</v>
      </c>
      <c r="D265" s="4">
        <v>5.5612000000000004</v>
      </c>
      <c r="E265" s="4">
        <v>9070</v>
      </c>
      <c r="F265" s="4"/>
      <c r="G265" s="4"/>
      <c r="H265" s="5">
        <f t="shared" si="4"/>
        <v>-8.3805855711279395E-3</v>
      </c>
    </row>
    <row r="266" spans="1:8" ht="13.5" x14ac:dyDescent="0.25">
      <c r="A266" s="1"/>
      <c r="B266" s="3">
        <v>42689</v>
      </c>
      <c r="C266" s="4">
        <v>5.99</v>
      </c>
      <c r="D266" s="4">
        <v>5.6269999999999998</v>
      </c>
      <c r="E266" s="4">
        <v>100</v>
      </c>
      <c r="F266" s="4"/>
      <c r="G266" s="4"/>
      <c r="H266" s="5">
        <f t="shared" si="4"/>
        <v>1.183197870963091E-2</v>
      </c>
    </row>
    <row r="267" spans="1:8" ht="13.5" x14ac:dyDescent="0.25">
      <c r="A267" s="1"/>
      <c r="B267" s="3">
        <v>42690</v>
      </c>
      <c r="C267" s="4">
        <v>5.99</v>
      </c>
      <c r="D267" s="4">
        <v>5.6269999999999998</v>
      </c>
      <c r="E267" s="4">
        <v>0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6.17</v>
      </c>
      <c r="D268" s="4">
        <v>5.7961</v>
      </c>
      <c r="E268" s="4">
        <v>12861</v>
      </c>
      <c r="F268" s="4"/>
      <c r="G268" s="4"/>
      <c r="H268" s="5">
        <f t="shared" si="4"/>
        <v>3.0051537231206727E-2</v>
      </c>
    </row>
    <row r="269" spans="1:8" ht="13.5" x14ac:dyDescent="0.25">
      <c r="A269" s="1"/>
      <c r="B269" s="3">
        <v>42692</v>
      </c>
      <c r="C269" s="4">
        <v>6.02</v>
      </c>
      <c r="D269" s="4">
        <v>5.6551999999999998</v>
      </c>
      <c r="E269" s="4">
        <v>976</v>
      </c>
      <c r="F269" s="4"/>
      <c r="G269" s="4"/>
      <c r="H269" s="5">
        <f t="shared" si="4"/>
        <v>-2.4309449457393807E-2</v>
      </c>
    </row>
    <row r="270" spans="1:8" ht="13.5" x14ac:dyDescent="0.25">
      <c r="A270" s="1"/>
      <c r="B270" s="3">
        <v>42695</v>
      </c>
      <c r="C270" s="4">
        <v>6.02</v>
      </c>
      <c r="D270" s="4">
        <v>5.6551999999999998</v>
      </c>
      <c r="E270" s="4">
        <v>0</v>
      </c>
      <c r="F270" s="4"/>
      <c r="G270" s="4"/>
      <c r="H270" s="5">
        <f t="shared" si="4"/>
        <v>0</v>
      </c>
    </row>
    <row r="271" spans="1:8" ht="13.5" x14ac:dyDescent="0.25">
      <c r="A271" s="1"/>
      <c r="B271" s="3">
        <v>42696</v>
      </c>
      <c r="C271" s="4">
        <v>6.25</v>
      </c>
      <c r="D271" s="4">
        <v>5.8712999999999997</v>
      </c>
      <c r="E271" s="4">
        <v>12136</v>
      </c>
      <c r="F271" s="4"/>
      <c r="G271" s="4"/>
      <c r="H271" s="5">
        <f t="shared" si="4"/>
        <v>3.8212618475031823E-2</v>
      </c>
    </row>
    <row r="272" spans="1:8" ht="13.5" x14ac:dyDescent="0.25">
      <c r="A272" s="1"/>
      <c r="B272" s="3">
        <v>42697</v>
      </c>
      <c r="C272" s="4">
        <v>6</v>
      </c>
      <c r="D272" s="4">
        <v>5.6364000000000001</v>
      </c>
      <c r="E272" s="4">
        <v>1565</v>
      </c>
      <c r="F272" s="4"/>
      <c r="G272" s="4"/>
      <c r="H272" s="5">
        <f t="shared" si="4"/>
        <v>-4.0008175361504209E-2</v>
      </c>
    </row>
    <row r="273" spans="1:8" ht="13.5" x14ac:dyDescent="0.25">
      <c r="A273" s="1"/>
      <c r="B273" s="3">
        <v>42698</v>
      </c>
      <c r="C273" s="4">
        <v>6.15</v>
      </c>
      <c r="D273" s="4">
        <v>5.7773000000000003</v>
      </c>
      <c r="E273" s="4">
        <v>1256</v>
      </c>
      <c r="F273" s="4"/>
      <c r="G273" s="4"/>
      <c r="H273" s="5">
        <f t="shared" si="4"/>
        <v>2.4998225817897991E-2</v>
      </c>
    </row>
    <row r="274" spans="1:8" ht="13.5" x14ac:dyDescent="0.25">
      <c r="A274" s="1"/>
      <c r="B274" s="3">
        <v>42699</v>
      </c>
      <c r="C274" s="4">
        <v>6.13</v>
      </c>
      <c r="D274" s="4">
        <v>5.7584999999999997</v>
      </c>
      <c r="E274" s="4">
        <v>373</v>
      </c>
      <c r="F274" s="4"/>
      <c r="G274" s="4"/>
      <c r="H274" s="5">
        <f t="shared" si="4"/>
        <v>-3.2541152441452914E-3</v>
      </c>
    </row>
    <row r="275" spans="1:8" ht="13.5" x14ac:dyDescent="0.25">
      <c r="A275" s="1"/>
      <c r="B275" s="3">
        <v>42702</v>
      </c>
      <c r="C275" s="4">
        <v>6.09</v>
      </c>
      <c r="D275" s="4">
        <v>5.7209000000000003</v>
      </c>
      <c r="E275" s="4">
        <v>688</v>
      </c>
      <c r="F275" s="4"/>
      <c r="G275" s="4"/>
      <c r="H275" s="5">
        <f t="shared" si="4"/>
        <v>-6.5294781627158833E-3</v>
      </c>
    </row>
    <row r="276" spans="1:8" ht="13.5" x14ac:dyDescent="0.25">
      <c r="A276" s="1"/>
      <c r="B276" s="3">
        <v>42703</v>
      </c>
      <c r="C276" s="4">
        <v>6.13</v>
      </c>
      <c r="D276" s="4">
        <v>5.7584999999999997</v>
      </c>
      <c r="E276" s="4">
        <v>2242</v>
      </c>
      <c r="F276" s="4"/>
      <c r="G276" s="4"/>
      <c r="H276" s="5">
        <f t="shared" si="4"/>
        <v>6.5723924557323865E-3</v>
      </c>
    </row>
    <row r="277" spans="1:8" ht="13.5" x14ac:dyDescent="0.25">
      <c r="A277" s="1"/>
      <c r="B277" s="3">
        <v>42704</v>
      </c>
      <c r="C277" s="4">
        <v>6.13</v>
      </c>
      <c r="D277" s="4">
        <v>5.7584999999999997</v>
      </c>
      <c r="E277" s="4">
        <v>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6.13</v>
      </c>
      <c r="D278" s="4">
        <v>5.7584999999999997</v>
      </c>
      <c r="E278" s="4">
        <v>0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6.1</v>
      </c>
      <c r="D279" s="4">
        <v>5.7302999999999997</v>
      </c>
      <c r="E279" s="4">
        <v>1020</v>
      </c>
      <c r="F279" s="4"/>
      <c r="G279" s="4"/>
      <c r="H279" s="5">
        <f t="shared" si="4"/>
        <v>-4.8971086220369895E-3</v>
      </c>
    </row>
    <row r="280" spans="1:8" ht="13.5" x14ac:dyDescent="0.25">
      <c r="A280" s="1"/>
      <c r="B280" s="3">
        <v>42709</v>
      </c>
      <c r="C280" s="4">
        <v>5.92</v>
      </c>
      <c r="D280" s="4">
        <v>5.5612000000000004</v>
      </c>
      <c r="E280" s="4">
        <v>350</v>
      </c>
      <c r="F280" s="4"/>
      <c r="G280" s="4"/>
      <c r="H280" s="5">
        <f t="shared" si="4"/>
        <v>-2.9509798788894013E-2</v>
      </c>
    </row>
    <row r="281" spans="1:8" ht="13.5" x14ac:dyDescent="0.25">
      <c r="A281" s="1"/>
      <c r="B281" s="3">
        <v>42710</v>
      </c>
      <c r="C281" s="4">
        <v>5.76</v>
      </c>
      <c r="D281" s="4">
        <v>5.4108999999999998</v>
      </c>
      <c r="E281" s="4">
        <v>590</v>
      </c>
      <c r="F281" s="4"/>
      <c r="G281" s="4"/>
      <c r="H281" s="5">
        <f t="shared" si="4"/>
        <v>-2.7026541034309237E-2</v>
      </c>
    </row>
    <row r="282" spans="1:8" ht="13.5" x14ac:dyDescent="0.25">
      <c r="A282" s="1"/>
      <c r="B282" s="3">
        <v>42711</v>
      </c>
      <c r="C282" s="4">
        <v>5.93</v>
      </c>
      <c r="D282" s="4">
        <v>5.5705999999999998</v>
      </c>
      <c r="E282" s="4">
        <v>2926</v>
      </c>
      <c r="F282" s="4"/>
      <c r="G282" s="4"/>
      <c r="H282" s="5">
        <f t="shared" si="4"/>
        <v>2.9514498512262278E-2</v>
      </c>
    </row>
    <row r="283" spans="1:8" ht="13.5" x14ac:dyDescent="0.25">
      <c r="A283" s="1"/>
      <c r="B283" s="3">
        <v>42712</v>
      </c>
      <c r="C283" s="4">
        <v>6.05</v>
      </c>
      <c r="D283" s="4">
        <v>5.6833999999999998</v>
      </c>
      <c r="E283" s="4">
        <v>561</v>
      </c>
      <c r="F283" s="4"/>
      <c r="G283" s="4"/>
      <c r="H283" s="5">
        <f t="shared" si="4"/>
        <v>2.0249165260474638E-2</v>
      </c>
    </row>
    <row r="284" spans="1:8" ht="13.5" x14ac:dyDescent="0.25">
      <c r="A284" s="1"/>
      <c r="B284" s="3">
        <v>42713</v>
      </c>
      <c r="C284" s="4">
        <v>6.04</v>
      </c>
      <c r="D284" s="4">
        <v>5.6740000000000004</v>
      </c>
      <c r="E284" s="4">
        <v>2457</v>
      </c>
      <c r="F284" s="4"/>
      <c r="G284" s="4"/>
      <c r="H284" s="5">
        <f t="shared" si="4"/>
        <v>-1.6539395432310605E-3</v>
      </c>
    </row>
    <row r="285" spans="1:8" ht="13.5" x14ac:dyDescent="0.25">
      <c r="A285" s="1"/>
      <c r="B285" s="3">
        <v>42717</v>
      </c>
      <c r="C285" s="4">
        <v>6.04</v>
      </c>
      <c r="D285" s="4">
        <v>5.6740000000000004</v>
      </c>
      <c r="E285" s="4">
        <v>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6.04</v>
      </c>
      <c r="D286" s="4">
        <v>5.6740000000000004</v>
      </c>
      <c r="E286" s="4">
        <v>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6.04</v>
      </c>
      <c r="D287" s="4">
        <v>5.6740000000000004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6.04</v>
      </c>
      <c r="D288" s="4">
        <v>5.6740000000000004</v>
      </c>
      <c r="E288" s="4">
        <v>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6</v>
      </c>
      <c r="D289" s="4">
        <v>5.6364000000000001</v>
      </c>
      <c r="E289" s="4">
        <v>1743</v>
      </c>
      <c r="F289" s="4"/>
      <c r="G289" s="4"/>
      <c r="H289" s="5">
        <f t="shared" si="4"/>
        <v>-6.6267183644695624E-3</v>
      </c>
    </row>
    <row r="290" spans="1:8" ht="13.5" x14ac:dyDescent="0.25">
      <c r="A290" s="1"/>
      <c r="B290" s="3">
        <v>42724</v>
      </c>
      <c r="C290" s="4">
        <v>6.18</v>
      </c>
      <c r="D290" s="4">
        <v>5.8055000000000003</v>
      </c>
      <c r="E290" s="4">
        <v>20831</v>
      </c>
      <c r="F290" s="4"/>
      <c r="G290" s="4"/>
      <c r="H290" s="5">
        <f t="shared" si="4"/>
        <v>3.0001419345681686E-2</v>
      </c>
    </row>
    <row r="291" spans="1:8" ht="13.5" x14ac:dyDescent="0.25">
      <c r="A291" s="1"/>
      <c r="B291" s="3">
        <v>42725</v>
      </c>
      <c r="C291" s="4">
        <v>6.23</v>
      </c>
      <c r="D291" s="4">
        <v>5.8525</v>
      </c>
      <c r="E291" s="4">
        <v>3501</v>
      </c>
      <c r="F291" s="4"/>
      <c r="G291" s="4"/>
      <c r="H291" s="5">
        <f t="shared" si="4"/>
        <v>8.0957712513994844E-3</v>
      </c>
    </row>
    <row r="292" spans="1:8" ht="13.5" x14ac:dyDescent="0.25">
      <c r="A292" s="1"/>
      <c r="B292" s="3">
        <v>42726</v>
      </c>
      <c r="C292" s="4">
        <v>6.3</v>
      </c>
      <c r="D292" s="4">
        <v>5.9181999999999997</v>
      </c>
      <c r="E292" s="4">
        <v>14161</v>
      </c>
      <c r="F292" s="4"/>
      <c r="G292" s="4"/>
      <c r="H292" s="5">
        <f t="shared" si="4"/>
        <v>1.122597180692006E-2</v>
      </c>
    </row>
    <row r="293" spans="1:8" ht="13.5" x14ac:dyDescent="0.25">
      <c r="A293" s="1"/>
      <c r="B293" s="3">
        <v>42727</v>
      </c>
      <c r="C293" s="4">
        <v>6.45</v>
      </c>
      <c r="D293" s="4">
        <v>6.0590999999999999</v>
      </c>
      <c r="E293" s="4">
        <v>1772</v>
      </c>
      <c r="F293" s="4"/>
      <c r="G293" s="4"/>
      <c r="H293" s="5">
        <f t="shared" si="4"/>
        <v>2.3807914568618881E-2</v>
      </c>
    </row>
    <row r="294" spans="1:8" ht="13.5" x14ac:dyDescent="0.25">
      <c r="A294" s="1"/>
      <c r="B294" s="3">
        <v>42730</v>
      </c>
      <c r="C294" s="4">
        <v>6.45</v>
      </c>
      <c r="D294" s="4">
        <v>6.0590999999999999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6.5</v>
      </c>
      <c r="D295" s="4">
        <v>6.1060999999999996</v>
      </c>
      <c r="E295" s="4">
        <v>15751</v>
      </c>
      <c r="F295" s="4"/>
      <c r="G295" s="4"/>
      <c r="H295" s="5">
        <f t="shared" si="4"/>
        <v>7.7569275965076838E-3</v>
      </c>
    </row>
    <row r="296" spans="1:8" ht="13.5" x14ac:dyDescent="0.25">
      <c r="A296" s="1"/>
      <c r="B296" s="3">
        <v>42732</v>
      </c>
      <c r="C296" s="4">
        <v>6.61</v>
      </c>
      <c r="D296" s="4">
        <v>6.2093999999999996</v>
      </c>
      <c r="E296" s="4">
        <v>4694</v>
      </c>
      <c r="F296" s="4"/>
      <c r="G296" s="4"/>
      <c r="H296" s="5">
        <f t="shared" si="4"/>
        <v>1.6917508720787403E-2</v>
      </c>
    </row>
    <row r="297" spans="1:8" ht="13.5" x14ac:dyDescent="0.25">
      <c r="A297" s="1"/>
      <c r="B297" s="3">
        <v>42733</v>
      </c>
      <c r="C297" s="4">
        <v>6.75</v>
      </c>
      <c r="D297" s="4">
        <v>6.3410000000000002</v>
      </c>
      <c r="E297" s="4">
        <v>2300</v>
      </c>
      <c r="F297" s="4"/>
      <c r="G297" s="4"/>
      <c r="H297" s="5">
        <f t="shared" si="4"/>
        <v>2.1193674106999166E-2</v>
      </c>
    </row>
    <row r="298" spans="1:8" ht="13.5" x14ac:dyDescent="0.25">
      <c r="A298" s="1"/>
      <c r="B298" s="3">
        <v>42734</v>
      </c>
      <c r="C298" s="4">
        <v>6.67</v>
      </c>
      <c r="D298" s="4">
        <v>6.2657999999999996</v>
      </c>
      <c r="E298" s="4">
        <v>580</v>
      </c>
      <c r="F298" s="4"/>
      <c r="G298" s="4"/>
      <c r="H298" s="5">
        <f t="shared" si="4"/>
        <v>-1.1859328181674908E-2</v>
      </c>
    </row>
    <row r="299" spans="1:8" ht="13.5" x14ac:dyDescent="0.25">
      <c r="A299" s="1"/>
      <c r="B299" s="3">
        <v>42737</v>
      </c>
      <c r="C299" s="4">
        <v>6.67</v>
      </c>
      <c r="D299" s="4">
        <v>6.2657999999999996</v>
      </c>
      <c r="E299" s="4">
        <v>0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42738</v>
      </c>
      <c r="C300" s="4">
        <v>6.65</v>
      </c>
      <c r="D300" s="4">
        <v>6.2469999999999999</v>
      </c>
      <c r="E300" s="4">
        <v>100</v>
      </c>
      <c r="F300" s="4"/>
      <c r="G300" s="4"/>
      <c r="H300" s="5">
        <f t="shared" si="4"/>
        <v>-3.0004149510038155E-3</v>
      </c>
    </row>
    <row r="301" spans="1:8" ht="13.5" x14ac:dyDescent="0.25">
      <c r="A301" s="1"/>
      <c r="B301" s="3">
        <v>42739</v>
      </c>
      <c r="C301" s="4">
        <v>6.65</v>
      </c>
      <c r="D301" s="4">
        <v>6.2469999999999999</v>
      </c>
      <c r="E301" s="4">
        <v>0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6.58</v>
      </c>
      <c r="D302" s="4">
        <v>6.1813000000000002</v>
      </c>
      <c r="E302" s="4">
        <v>126</v>
      </c>
      <c r="F302" s="4"/>
      <c r="G302" s="4"/>
      <c r="H302" s="5">
        <f t="shared" si="4"/>
        <v>-1.0517048183127846E-2</v>
      </c>
    </row>
    <row r="303" spans="1:8" ht="13.5" x14ac:dyDescent="0.25">
      <c r="A303" s="1"/>
      <c r="B303" s="3">
        <v>42741</v>
      </c>
      <c r="C303" s="4">
        <v>6.67</v>
      </c>
      <c r="D303" s="4">
        <v>6.2657999999999996</v>
      </c>
      <c r="E303" s="4">
        <v>3672</v>
      </c>
      <c r="F303" s="4"/>
      <c r="G303" s="4"/>
      <c r="H303" s="5">
        <f t="shared" si="4"/>
        <v>1.3670263536796361E-2</v>
      </c>
    </row>
    <row r="304" spans="1:8" ht="13.5" x14ac:dyDescent="0.25">
      <c r="A304" s="1"/>
      <c r="B304" s="3">
        <v>42744</v>
      </c>
      <c r="C304" s="4">
        <v>6.75</v>
      </c>
      <c r="D304" s="4">
        <v>6.3410000000000002</v>
      </c>
      <c r="E304" s="4">
        <v>65</v>
      </c>
      <c r="F304" s="4"/>
      <c r="G304" s="4"/>
      <c r="H304" s="5">
        <f t="shared" si="4"/>
        <v>1.2001659804015545E-2</v>
      </c>
    </row>
    <row r="305" spans="1:8" ht="13.5" x14ac:dyDescent="0.25">
      <c r="A305" s="1"/>
      <c r="B305" s="3">
        <v>42745</v>
      </c>
      <c r="C305" s="4">
        <v>6.75</v>
      </c>
      <c r="D305" s="4">
        <v>6.3410000000000002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6.75</v>
      </c>
      <c r="D306" s="4">
        <v>6.3410000000000002</v>
      </c>
      <c r="E306" s="4">
        <v>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6.55</v>
      </c>
      <c r="D307" s="4">
        <v>6.1531000000000002</v>
      </c>
      <c r="E307" s="4">
        <v>284</v>
      </c>
      <c r="F307" s="4"/>
      <c r="G307" s="4"/>
      <c r="H307" s="5">
        <f t="shared" si="4"/>
        <v>-2.9632550070966716E-2</v>
      </c>
    </row>
    <row r="308" spans="1:8" ht="13.5" x14ac:dyDescent="0.25">
      <c r="A308" s="1"/>
      <c r="B308" s="3">
        <v>42748</v>
      </c>
      <c r="C308" s="4">
        <v>6.37</v>
      </c>
      <c r="D308" s="4">
        <v>5.984</v>
      </c>
      <c r="E308" s="4">
        <v>200</v>
      </c>
      <c r="F308" s="4"/>
      <c r="G308" s="4"/>
      <c r="H308" s="5">
        <f t="shared" si="4"/>
        <v>-2.748208220246709E-2</v>
      </c>
    </row>
    <row r="309" spans="1:8" ht="13.5" x14ac:dyDescent="0.25">
      <c r="A309" s="1"/>
      <c r="B309" s="3">
        <v>42751</v>
      </c>
      <c r="C309" s="4">
        <v>6.55</v>
      </c>
      <c r="D309" s="4">
        <v>6.1531000000000002</v>
      </c>
      <c r="E309" s="4">
        <v>3</v>
      </c>
      <c r="F309" s="4"/>
      <c r="G309" s="4"/>
      <c r="H309" s="5">
        <f t="shared" si="4"/>
        <v>2.8258689839572235E-2</v>
      </c>
    </row>
    <row r="310" spans="1:8" ht="13.5" x14ac:dyDescent="0.25">
      <c r="A310" s="1"/>
      <c r="B310" s="3">
        <v>42752</v>
      </c>
      <c r="C310" s="4">
        <v>6.55</v>
      </c>
      <c r="D310" s="4">
        <v>6.1531000000000002</v>
      </c>
      <c r="E310" s="4">
        <v>0</v>
      </c>
      <c r="F310" s="4"/>
      <c r="G310" s="4"/>
      <c r="H310" s="5">
        <f t="shared" si="4"/>
        <v>0</v>
      </c>
    </row>
    <row r="311" spans="1:8" ht="13.5" x14ac:dyDescent="0.25">
      <c r="A311" s="1"/>
      <c r="B311" s="3">
        <v>42753</v>
      </c>
      <c r="C311" s="4">
        <v>6.48</v>
      </c>
      <c r="D311" s="4">
        <v>6.0872999999999999</v>
      </c>
      <c r="E311" s="4">
        <v>2805</v>
      </c>
      <c r="F311" s="4"/>
      <c r="G311" s="4"/>
      <c r="H311" s="5">
        <f t="shared" si="4"/>
        <v>-1.0693796622840568E-2</v>
      </c>
    </row>
    <row r="312" spans="1:8" ht="13.5" x14ac:dyDescent="0.25">
      <c r="A312" s="1"/>
      <c r="B312" s="3">
        <v>42754</v>
      </c>
      <c r="C312" s="4">
        <v>6.19</v>
      </c>
      <c r="D312" s="4">
        <v>5.8148999999999997</v>
      </c>
      <c r="E312" s="4">
        <v>1033</v>
      </c>
      <c r="F312" s="4"/>
      <c r="G312" s="4"/>
      <c r="H312" s="5">
        <f t="shared" si="4"/>
        <v>-4.474890345473366E-2</v>
      </c>
    </row>
    <row r="313" spans="1:8" ht="13.5" x14ac:dyDescent="0.25">
      <c r="A313" s="1"/>
      <c r="B313" s="3">
        <v>42755</v>
      </c>
      <c r="C313" s="4">
        <v>6.2</v>
      </c>
      <c r="D313" s="4">
        <v>5.8243</v>
      </c>
      <c r="E313" s="4">
        <v>2381</v>
      </c>
      <c r="F313" s="4"/>
      <c r="G313" s="4"/>
      <c r="H313" s="5">
        <f t="shared" si="4"/>
        <v>1.6165368278044847E-3</v>
      </c>
    </row>
    <row r="314" spans="1:8" ht="13.5" x14ac:dyDescent="0.25">
      <c r="A314" s="1"/>
      <c r="B314" s="3">
        <v>42758</v>
      </c>
      <c r="C314" s="4">
        <v>6.02</v>
      </c>
      <c r="D314" s="4">
        <v>5.6551999999999998</v>
      </c>
      <c r="E314" s="4">
        <v>1263</v>
      </c>
      <c r="F314" s="4"/>
      <c r="G314" s="4"/>
      <c r="H314" s="5">
        <f t="shared" si="4"/>
        <v>-2.9033531926583495E-2</v>
      </c>
    </row>
    <row r="315" spans="1:8" ht="13.5" x14ac:dyDescent="0.25">
      <c r="A315" s="1"/>
      <c r="B315" s="3">
        <v>42759</v>
      </c>
      <c r="C315" s="4">
        <v>6.02</v>
      </c>
      <c r="D315" s="4">
        <v>5.6551999999999998</v>
      </c>
      <c r="E315" s="4">
        <v>130</v>
      </c>
      <c r="F315" s="4"/>
      <c r="G315" s="4"/>
      <c r="H315" s="5">
        <f t="shared" si="4"/>
        <v>0</v>
      </c>
    </row>
    <row r="316" spans="1:8" ht="13.5" x14ac:dyDescent="0.25">
      <c r="A316" s="1"/>
      <c r="B316" s="3">
        <v>42760</v>
      </c>
      <c r="C316" s="4">
        <v>6.02</v>
      </c>
      <c r="D316" s="4">
        <v>5.6551999999999998</v>
      </c>
      <c r="E316" s="4">
        <v>610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6.02</v>
      </c>
      <c r="D317" s="4">
        <v>5.6551999999999998</v>
      </c>
      <c r="E317" s="4">
        <v>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6.01</v>
      </c>
      <c r="D318" s="4">
        <v>5.6458000000000004</v>
      </c>
      <c r="E318" s="4">
        <v>600</v>
      </c>
      <c r="F318" s="4"/>
      <c r="G318" s="4"/>
      <c r="H318" s="5">
        <f t="shared" si="4"/>
        <v>-1.6621870137217799E-3</v>
      </c>
    </row>
    <row r="319" spans="1:8" ht="13.5" x14ac:dyDescent="0.25">
      <c r="A319" s="1"/>
      <c r="B319" s="3">
        <v>42765</v>
      </c>
      <c r="C319" s="4">
        <v>6</v>
      </c>
      <c r="D319" s="4">
        <v>5.6364000000000001</v>
      </c>
      <c r="E319" s="4">
        <v>32</v>
      </c>
      <c r="F319" s="4"/>
      <c r="G319" s="4"/>
      <c r="H319" s="5">
        <f t="shared" si="4"/>
        <v>-1.6649544794360934E-3</v>
      </c>
    </row>
    <row r="320" spans="1:8" ht="13.5" x14ac:dyDescent="0.25">
      <c r="A320" s="1"/>
      <c r="B320" s="3">
        <v>42766</v>
      </c>
      <c r="C320" s="4">
        <v>6</v>
      </c>
      <c r="D320" s="4">
        <v>5.6364000000000001</v>
      </c>
      <c r="E320" s="4">
        <v>3101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6.01</v>
      </c>
      <c r="D321" s="4">
        <v>5.6458000000000004</v>
      </c>
      <c r="E321" s="4">
        <v>42</v>
      </c>
      <c r="F321" s="4"/>
      <c r="G321" s="4"/>
      <c r="H321" s="5">
        <f t="shared" si="4"/>
        <v>1.6677311759279499E-3</v>
      </c>
    </row>
    <row r="322" spans="1:8" ht="13.5" x14ac:dyDescent="0.25">
      <c r="A322" s="1"/>
      <c r="B322" s="3">
        <v>42768</v>
      </c>
      <c r="C322" s="4">
        <v>6.01</v>
      </c>
      <c r="D322" s="4">
        <v>5.6458000000000004</v>
      </c>
      <c r="E322" s="4">
        <v>0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6.01</v>
      </c>
      <c r="D323" s="4">
        <v>5.6458000000000004</v>
      </c>
      <c r="E323" s="4">
        <v>0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6.01</v>
      </c>
      <c r="D324" s="4">
        <v>5.6458000000000004</v>
      </c>
      <c r="E324" s="4">
        <v>440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6.01</v>
      </c>
      <c r="D325" s="4">
        <v>5.6458000000000004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6.01</v>
      </c>
      <c r="D326" s="4">
        <v>5.6458000000000004</v>
      </c>
      <c r="E326" s="4">
        <v>1298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6.01</v>
      </c>
      <c r="D327" s="4">
        <v>5.6458000000000004</v>
      </c>
      <c r="E327" s="4">
        <v>100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6.01</v>
      </c>
      <c r="D328" s="4">
        <v>5.6458000000000004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6.01</v>
      </c>
      <c r="D329" s="4">
        <v>5.6458000000000004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6.01</v>
      </c>
      <c r="D330" s="4">
        <v>5.6458000000000004</v>
      </c>
      <c r="E330" s="4">
        <v>0</v>
      </c>
      <c r="F330" s="4"/>
      <c r="G330" s="4"/>
      <c r="H330" s="5">
        <f t="shared" si="5"/>
        <v>0</v>
      </c>
    </row>
    <row r="331" spans="1:8" ht="13.5" x14ac:dyDescent="0.25">
      <c r="A331" s="1"/>
      <c r="B331" s="3">
        <v>42781</v>
      </c>
      <c r="C331" s="4">
        <v>6.01</v>
      </c>
      <c r="D331" s="4">
        <v>5.6458000000000004</v>
      </c>
      <c r="E331" s="4">
        <v>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6.01</v>
      </c>
      <c r="D332" s="4">
        <v>5.6458000000000004</v>
      </c>
      <c r="E332" s="4">
        <v>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6.01</v>
      </c>
      <c r="D333" s="4">
        <v>5.6458000000000004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6.01</v>
      </c>
      <c r="D334" s="4">
        <v>5.6458000000000004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6.01</v>
      </c>
      <c r="D335" s="4">
        <v>5.6458000000000004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6.01</v>
      </c>
      <c r="D336" s="4">
        <v>5.6458000000000004</v>
      </c>
      <c r="E336" s="4">
        <v>0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6.01</v>
      </c>
      <c r="D337" s="4">
        <v>5.6458000000000004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5.9</v>
      </c>
      <c r="D338" s="4">
        <v>5.5425000000000004</v>
      </c>
      <c r="E338" s="4">
        <v>490</v>
      </c>
      <c r="F338" s="4"/>
      <c r="G338" s="4"/>
      <c r="H338" s="5">
        <f t="shared" si="5"/>
        <v>-1.8296786992100311E-2</v>
      </c>
    </row>
    <row r="339" spans="1:8" ht="13.5" x14ac:dyDescent="0.25">
      <c r="A339" s="1"/>
      <c r="B339" s="3">
        <v>42793</v>
      </c>
      <c r="C339" s="4">
        <v>5.9</v>
      </c>
      <c r="D339" s="4">
        <v>5.5425000000000004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5.73</v>
      </c>
      <c r="D340" s="4">
        <v>5.3827999999999996</v>
      </c>
      <c r="E340" s="4">
        <v>1570</v>
      </c>
      <c r="F340" s="4"/>
      <c r="G340" s="4"/>
      <c r="H340" s="5">
        <f t="shared" si="5"/>
        <v>-2.8813712223725904E-2</v>
      </c>
    </row>
    <row r="341" spans="1:8" ht="13.5" x14ac:dyDescent="0.25">
      <c r="A341" s="1"/>
      <c r="B341" s="3">
        <v>42795</v>
      </c>
      <c r="C341" s="4">
        <v>5.73</v>
      </c>
      <c r="D341" s="4">
        <v>5.3827999999999996</v>
      </c>
      <c r="E341" s="4">
        <v>200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5.57</v>
      </c>
      <c r="D342" s="4">
        <v>5.2324999999999999</v>
      </c>
      <c r="E342" s="4">
        <v>1204</v>
      </c>
      <c r="F342" s="4"/>
      <c r="G342" s="4"/>
      <c r="H342" s="5">
        <f t="shared" si="5"/>
        <v>-2.7922270937058718E-2</v>
      </c>
    </row>
    <row r="343" spans="1:8" ht="13.5" x14ac:dyDescent="0.25">
      <c r="A343" s="1"/>
      <c r="B343" s="3">
        <v>42797</v>
      </c>
      <c r="C343" s="4">
        <v>5.41</v>
      </c>
      <c r="D343" s="4">
        <v>5.0822000000000003</v>
      </c>
      <c r="E343" s="4">
        <v>314</v>
      </c>
      <c r="F343" s="4"/>
      <c r="G343" s="4"/>
      <c r="H343" s="5">
        <f t="shared" si="5"/>
        <v>-2.8724319159101702E-2</v>
      </c>
    </row>
    <row r="344" spans="1:8" ht="13.5" x14ac:dyDescent="0.25">
      <c r="A344" s="1"/>
      <c r="B344" s="3">
        <v>42800</v>
      </c>
      <c r="C344" s="4">
        <v>5.57</v>
      </c>
      <c r="D344" s="4">
        <v>5.2324999999999999</v>
      </c>
      <c r="E344" s="4">
        <v>10</v>
      </c>
      <c r="F344" s="4"/>
      <c r="G344" s="4"/>
      <c r="H344" s="5">
        <f t="shared" si="5"/>
        <v>2.95738066191806E-2</v>
      </c>
    </row>
    <row r="345" spans="1:8" ht="13.5" x14ac:dyDescent="0.25">
      <c r="A345" s="1"/>
      <c r="B345" s="3">
        <v>42801</v>
      </c>
      <c r="C345" s="4">
        <v>5.57</v>
      </c>
      <c r="D345" s="4">
        <v>5.2324999999999999</v>
      </c>
      <c r="E345" s="4">
        <v>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5.57</v>
      </c>
      <c r="D346" s="4">
        <v>5.2324999999999999</v>
      </c>
      <c r="E346" s="4">
        <v>0</v>
      </c>
      <c r="F346" s="4"/>
      <c r="G346" s="4"/>
      <c r="H346" s="5">
        <f t="shared" si="5"/>
        <v>0</v>
      </c>
    </row>
    <row r="347" spans="1:8" ht="13.5" x14ac:dyDescent="0.25">
      <c r="A347" s="1"/>
      <c r="B347" s="3">
        <v>42803</v>
      </c>
      <c r="C347" s="4">
        <v>5.41</v>
      </c>
      <c r="D347" s="4">
        <v>5.0822000000000003</v>
      </c>
      <c r="E347" s="4">
        <v>557</v>
      </c>
      <c r="F347" s="4"/>
      <c r="G347" s="4"/>
      <c r="H347" s="5">
        <f t="shared" si="5"/>
        <v>-2.8724319159101702E-2</v>
      </c>
    </row>
    <row r="348" spans="1:8" ht="13.5" x14ac:dyDescent="0.25">
      <c r="A348" s="1"/>
      <c r="B348" s="3">
        <v>42804</v>
      </c>
      <c r="C348" s="4">
        <v>5.41</v>
      </c>
      <c r="D348" s="4">
        <v>5.0822000000000003</v>
      </c>
      <c r="E348" s="4">
        <v>29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5.41</v>
      </c>
      <c r="D349" s="4">
        <v>5.0822000000000003</v>
      </c>
      <c r="E349" s="4">
        <v>111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5.39</v>
      </c>
      <c r="D350" s="4">
        <v>5.0633999999999997</v>
      </c>
      <c r="E350" s="4">
        <v>360</v>
      </c>
      <c r="F350" s="4"/>
      <c r="G350" s="4"/>
      <c r="H350" s="5">
        <f t="shared" si="5"/>
        <v>-3.6991853921531214E-3</v>
      </c>
    </row>
    <row r="351" spans="1:8" ht="13.5" x14ac:dyDescent="0.25">
      <c r="A351" s="1"/>
      <c r="B351" s="3">
        <v>42809</v>
      </c>
      <c r="C351" s="4">
        <v>5.4</v>
      </c>
      <c r="D351" s="4">
        <v>5.0728</v>
      </c>
      <c r="E351" s="4">
        <v>9175</v>
      </c>
      <c r="F351" s="4"/>
      <c r="G351" s="4"/>
      <c r="H351" s="5">
        <f t="shared" si="5"/>
        <v>1.8564600861082075E-3</v>
      </c>
    </row>
    <row r="352" spans="1:8" ht="13.5" x14ac:dyDescent="0.25">
      <c r="A352" s="1"/>
      <c r="B352" s="3">
        <v>42810</v>
      </c>
      <c r="C352" s="4">
        <v>5.39</v>
      </c>
      <c r="D352" s="4">
        <v>5.0633999999999997</v>
      </c>
      <c r="E352" s="4">
        <v>5</v>
      </c>
      <c r="F352" s="4"/>
      <c r="G352" s="4"/>
      <c r="H352" s="5">
        <f t="shared" si="5"/>
        <v>-1.8530200283867484E-3</v>
      </c>
    </row>
    <row r="353" spans="1:8" ht="13.5" x14ac:dyDescent="0.25">
      <c r="A353" s="1"/>
      <c r="B353" s="3">
        <v>42811</v>
      </c>
      <c r="C353" s="4">
        <v>5.37</v>
      </c>
      <c r="D353" s="4">
        <v>5.0446</v>
      </c>
      <c r="E353" s="4">
        <v>8480</v>
      </c>
      <c r="F353" s="4"/>
      <c r="G353" s="4"/>
      <c r="H353" s="5">
        <f t="shared" si="5"/>
        <v>-3.7129201722162393E-3</v>
      </c>
    </row>
    <row r="354" spans="1:8" ht="13.5" x14ac:dyDescent="0.25">
      <c r="A354" s="1"/>
      <c r="B354" s="3">
        <v>42815</v>
      </c>
      <c r="C354" s="4">
        <v>5.37</v>
      </c>
      <c r="D354" s="4">
        <v>5.0446</v>
      </c>
      <c r="E354" s="4">
        <v>515</v>
      </c>
      <c r="F354" s="4"/>
      <c r="G354" s="4"/>
      <c r="H354" s="5">
        <f t="shared" si="5"/>
        <v>0</v>
      </c>
    </row>
    <row r="355" spans="1:8" ht="13.5" x14ac:dyDescent="0.25">
      <c r="A355" s="1"/>
      <c r="B355" s="3">
        <v>42816</v>
      </c>
      <c r="C355" s="4">
        <v>5.37</v>
      </c>
      <c r="D355" s="4">
        <v>5.0446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5.33</v>
      </c>
      <c r="D356" s="4">
        <v>5.0069999999999997</v>
      </c>
      <c r="E356" s="4">
        <v>1175</v>
      </c>
      <c r="F356" s="4"/>
      <c r="G356" s="4"/>
      <c r="H356" s="5">
        <f t="shared" si="5"/>
        <v>-7.4535146493280536E-3</v>
      </c>
    </row>
    <row r="357" spans="1:8" ht="13.5" x14ac:dyDescent="0.25">
      <c r="A357" s="1"/>
      <c r="B357" s="3">
        <v>42818</v>
      </c>
      <c r="C357" s="4">
        <v>5.35</v>
      </c>
      <c r="D357" s="4">
        <v>5.0258000000000003</v>
      </c>
      <c r="E357" s="4">
        <v>1145</v>
      </c>
      <c r="F357" s="4"/>
      <c r="G357" s="4"/>
      <c r="H357" s="5">
        <f t="shared" si="5"/>
        <v>3.754743359297103E-3</v>
      </c>
    </row>
    <row r="358" spans="1:8" ht="13.5" x14ac:dyDescent="0.25">
      <c r="A358" s="1"/>
      <c r="B358" s="3">
        <v>42821</v>
      </c>
      <c r="C358" s="4">
        <v>5.29</v>
      </c>
      <c r="D358" s="4">
        <v>4.9694000000000003</v>
      </c>
      <c r="E358" s="4">
        <v>60</v>
      </c>
      <c r="F358" s="4"/>
      <c r="G358" s="4"/>
      <c r="H358" s="5">
        <f t="shared" si="5"/>
        <v>-1.1222093994985874E-2</v>
      </c>
    </row>
    <row r="359" spans="1:8" ht="13.5" x14ac:dyDescent="0.25">
      <c r="A359" s="1"/>
      <c r="B359" s="3">
        <v>42822</v>
      </c>
      <c r="C359" s="4">
        <v>5.15</v>
      </c>
      <c r="D359" s="4">
        <v>4.8379000000000003</v>
      </c>
      <c r="E359" s="4">
        <v>74</v>
      </c>
      <c r="F359" s="4"/>
      <c r="G359" s="4"/>
      <c r="H359" s="5">
        <f t="shared" si="5"/>
        <v>-2.6461947116352063E-2</v>
      </c>
    </row>
    <row r="360" spans="1:8" ht="13.5" x14ac:dyDescent="0.25">
      <c r="A360" s="1"/>
      <c r="B360" s="3">
        <v>42823</v>
      </c>
      <c r="C360" s="4">
        <v>5.15</v>
      </c>
      <c r="D360" s="4">
        <v>4.8379000000000003</v>
      </c>
      <c r="E360" s="4">
        <v>25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5</v>
      </c>
      <c r="D361" s="4">
        <v>4.6970000000000001</v>
      </c>
      <c r="E361" s="4">
        <v>3677</v>
      </c>
      <c r="F361" s="4"/>
      <c r="G361" s="4"/>
      <c r="H361" s="5">
        <f t="shared" si="5"/>
        <v>-2.9124206783935229E-2</v>
      </c>
    </row>
    <row r="362" spans="1:8" ht="13.5" x14ac:dyDescent="0.25">
      <c r="A362" s="1"/>
      <c r="B362" s="3">
        <v>42825</v>
      </c>
      <c r="C362" s="4">
        <v>5.15</v>
      </c>
      <c r="D362" s="4">
        <v>4.8379000000000003</v>
      </c>
      <c r="E362" s="4">
        <v>5741</v>
      </c>
      <c r="F362" s="4"/>
      <c r="G362" s="4"/>
      <c r="H362" s="5">
        <f t="shared" si="5"/>
        <v>2.999787098147759E-2</v>
      </c>
    </row>
    <row r="363" spans="1:8" ht="13.5" x14ac:dyDescent="0.25">
      <c r="A363" s="1"/>
      <c r="B363" s="3">
        <v>42828</v>
      </c>
      <c r="C363" s="4">
        <v>5.15</v>
      </c>
      <c r="D363" s="4">
        <v>4.8379000000000003</v>
      </c>
      <c r="E363" s="4">
        <v>1595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5</v>
      </c>
      <c r="D364" s="4">
        <v>4.6970000000000001</v>
      </c>
      <c r="E364" s="4">
        <v>662</v>
      </c>
      <c r="F364" s="4"/>
      <c r="G364" s="4"/>
      <c r="H364" s="5">
        <f t="shared" si="5"/>
        <v>-2.9124206783935229E-2</v>
      </c>
    </row>
    <row r="365" spans="1:8" ht="13.5" x14ac:dyDescent="0.25">
      <c r="A365" s="1"/>
      <c r="B365" s="3">
        <v>42830</v>
      </c>
      <c r="C365" s="4">
        <v>5</v>
      </c>
      <c r="D365" s="4">
        <v>4.6970000000000001</v>
      </c>
      <c r="E365" s="4">
        <v>3401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5</v>
      </c>
      <c r="D366" s="4">
        <v>4.6970000000000001</v>
      </c>
      <c r="E366" s="4">
        <v>61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4.8499999999999996</v>
      </c>
      <c r="D367" s="4">
        <v>4.5560999999999998</v>
      </c>
      <c r="E367" s="4">
        <v>700</v>
      </c>
      <c r="F367" s="4"/>
      <c r="G367" s="4"/>
      <c r="H367" s="5">
        <f t="shared" si="5"/>
        <v>-2.999787098147759E-2</v>
      </c>
    </row>
    <row r="368" spans="1:8" ht="13.5" x14ac:dyDescent="0.25">
      <c r="A368" s="1"/>
      <c r="B368" s="3">
        <v>42835</v>
      </c>
      <c r="C368" s="4">
        <v>4.99</v>
      </c>
      <c r="D368" s="4">
        <v>4.6875999999999998</v>
      </c>
      <c r="E368" s="4">
        <v>500</v>
      </c>
      <c r="F368" s="4"/>
      <c r="G368" s="4"/>
      <c r="H368" s="5">
        <f t="shared" si="5"/>
        <v>2.8862404249248252E-2</v>
      </c>
    </row>
    <row r="369" spans="1:8" ht="13.5" x14ac:dyDescent="0.25">
      <c r="A369" s="1"/>
      <c r="B369" s="3">
        <v>42836</v>
      </c>
      <c r="C369" s="4">
        <v>4.99</v>
      </c>
      <c r="D369" s="4">
        <v>4.6875999999999998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4.8499999999999996</v>
      </c>
      <c r="D370" s="4">
        <v>4.5560999999999998</v>
      </c>
      <c r="E370" s="4">
        <v>205</v>
      </c>
      <c r="F370" s="4"/>
      <c r="G370" s="4"/>
      <c r="H370" s="5">
        <f t="shared" si="5"/>
        <v>-2.8052734874989323E-2</v>
      </c>
    </row>
    <row r="371" spans="1:8" ht="13.5" x14ac:dyDescent="0.25">
      <c r="A371" s="1"/>
      <c r="B371" s="3">
        <v>42838</v>
      </c>
      <c r="C371" s="4">
        <v>4.82</v>
      </c>
      <c r="D371" s="4">
        <v>4.5278999999999998</v>
      </c>
      <c r="E371" s="4">
        <v>350</v>
      </c>
      <c r="F371" s="4"/>
      <c r="G371" s="4"/>
      <c r="H371" s="5">
        <f t="shared" si="5"/>
        <v>-6.1895041812076125E-3</v>
      </c>
    </row>
    <row r="372" spans="1:8" ht="13.5" x14ac:dyDescent="0.25">
      <c r="A372" s="1"/>
      <c r="B372" s="3">
        <v>42839</v>
      </c>
      <c r="C372" s="4">
        <v>4.82</v>
      </c>
      <c r="D372" s="4">
        <v>4.5278999999999998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4.75</v>
      </c>
      <c r="D373" s="4">
        <v>4.4622000000000002</v>
      </c>
      <c r="E373" s="4">
        <v>3055</v>
      </c>
      <c r="F373" s="4"/>
      <c r="G373" s="4"/>
      <c r="H373" s="5">
        <f t="shared" si="5"/>
        <v>-1.4510037765851642E-2</v>
      </c>
    </row>
    <row r="374" spans="1:8" ht="13.5" x14ac:dyDescent="0.25">
      <c r="A374" s="1"/>
      <c r="B374" s="3">
        <v>42843</v>
      </c>
      <c r="C374" s="4">
        <v>4.75</v>
      </c>
      <c r="D374" s="4">
        <v>4.4622000000000002</v>
      </c>
      <c r="E374" s="4">
        <v>1120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4.75</v>
      </c>
      <c r="D375" s="4">
        <v>4.4622000000000002</v>
      </c>
      <c r="E375" s="4">
        <v>0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4.6100000000000003</v>
      </c>
      <c r="D376" s="4">
        <v>4.3305999999999996</v>
      </c>
      <c r="E376" s="4">
        <v>114</v>
      </c>
      <c r="F376" s="4"/>
      <c r="G376" s="4"/>
      <c r="H376" s="5">
        <f t="shared" si="5"/>
        <v>-2.9492178745910223E-2</v>
      </c>
    </row>
    <row r="377" spans="1:8" ht="13.5" x14ac:dyDescent="0.25">
      <c r="A377" s="1"/>
      <c r="B377" s="3">
        <v>42846</v>
      </c>
      <c r="C377" s="4">
        <v>4.38</v>
      </c>
      <c r="D377" s="4">
        <v>4.1146000000000003</v>
      </c>
      <c r="E377" s="4">
        <v>2894</v>
      </c>
      <c r="F377" s="4"/>
      <c r="G377" s="4"/>
      <c r="H377" s="5">
        <f t="shared" si="5"/>
        <v>-4.9877615111069903E-2</v>
      </c>
    </row>
    <row r="378" spans="1:8" ht="13.5" x14ac:dyDescent="0.25">
      <c r="A378" s="1"/>
      <c r="B378" s="3">
        <v>42849</v>
      </c>
      <c r="C378" s="4">
        <v>4.37</v>
      </c>
      <c r="D378" s="4">
        <v>4.1052</v>
      </c>
      <c r="E378" s="4">
        <v>664</v>
      </c>
      <c r="F378" s="4"/>
      <c r="G378" s="4"/>
      <c r="H378" s="5">
        <f t="shared" si="5"/>
        <v>-2.2845477081612541E-3</v>
      </c>
    </row>
    <row r="379" spans="1:8" ht="13.5" x14ac:dyDescent="0.25">
      <c r="A379" s="1"/>
      <c r="B379" s="3">
        <v>42850</v>
      </c>
      <c r="C379" s="4">
        <v>4.24</v>
      </c>
      <c r="D379" s="4">
        <v>3.9830999999999999</v>
      </c>
      <c r="E379" s="4">
        <v>1000</v>
      </c>
      <c r="F379" s="4"/>
      <c r="G379" s="4"/>
      <c r="H379" s="5">
        <f t="shared" si="5"/>
        <v>-2.9742765273311923E-2</v>
      </c>
    </row>
    <row r="380" spans="1:8" ht="13.5" x14ac:dyDescent="0.25">
      <c r="A380" s="1"/>
      <c r="B380" s="3">
        <v>42851</v>
      </c>
      <c r="C380" s="4">
        <v>4.12</v>
      </c>
      <c r="D380" s="4">
        <v>3.8702999999999999</v>
      </c>
      <c r="E380" s="4">
        <v>1990</v>
      </c>
      <c r="F380" s="4"/>
      <c r="G380" s="4"/>
      <c r="H380" s="5">
        <f t="shared" si="5"/>
        <v>-2.831965052346163E-2</v>
      </c>
    </row>
    <row r="381" spans="1:8" ht="13.5" x14ac:dyDescent="0.25">
      <c r="A381" s="1"/>
      <c r="B381" s="3">
        <v>42852</v>
      </c>
      <c r="C381" s="4">
        <v>4.1100000000000003</v>
      </c>
      <c r="D381" s="4">
        <v>3.8609</v>
      </c>
      <c r="E381" s="4">
        <v>70</v>
      </c>
      <c r="F381" s="4"/>
      <c r="G381" s="4"/>
      <c r="H381" s="5">
        <f t="shared" si="5"/>
        <v>-2.428752293103856E-3</v>
      </c>
    </row>
    <row r="382" spans="1:8" ht="13.5" x14ac:dyDescent="0.25">
      <c r="A382" s="1"/>
      <c r="B382" s="3">
        <v>42853</v>
      </c>
      <c r="C382" s="4">
        <v>3.93</v>
      </c>
      <c r="D382" s="4">
        <v>3.6918000000000002</v>
      </c>
      <c r="E382" s="4">
        <v>765</v>
      </c>
      <c r="F382" s="4"/>
      <c r="G382" s="4"/>
      <c r="H382" s="5">
        <f t="shared" si="5"/>
        <v>-4.3798078168302675E-2</v>
      </c>
    </row>
    <row r="383" spans="1:8" ht="13.5" x14ac:dyDescent="0.25">
      <c r="A383" s="1"/>
      <c r="B383" s="3">
        <v>42857</v>
      </c>
      <c r="C383" s="4">
        <v>4.04</v>
      </c>
      <c r="D383" s="4">
        <v>3.7951999999999999</v>
      </c>
      <c r="E383" s="4">
        <v>300</v>
      </c>
      <c r="F383" s="4"/>
      <c r="G383" s="4"/>
      <c r="H383" s="5">
        <f t="shared" si="5"/>
        <v>2.8008017769109841E-2</v>
      </c>
    </row>
    <row r="384" spans="1:8" ht="13.5" x14ac:dyDescent="0.25">
      <c r="A384" s="1"/>
      <c r="B384" s="3">
        <v>42858</v>
      </c>
      <c r="C384" s="4">
        <v>4.04</v>
      </c>
      <c r="D384" s="4">
        <v>3.7951999999999999</v>
      </c>
      <c r="E384" s="4">
        <v>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4.04</v>
      </c>
      <c r="D385" s="4">
        <v>3.7951999999999999</v>
      </c>
      <c r="E385" s="4">
        <v>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3.86</v>
      </c>
      <c r="D386" s="4">
        <v>3.6261000000000001</v>
      </c>
      <c r="E386" s="4">
        <v>689</v>
      </c>
      <c r="F386" s="4"/>
      <c r="G386" s="4"/>
      <c r="H386" s="5">
        <f t="shared" si="5"/>
        <v>-4.4556281618886966E-2</v>
      </c>
    </row>
    <row r="387" spans="1:8" ht="13.5" x14ac:dyDescent="0.25">
      <c r="A387" s="1"/>
      <c r="B387" s="3">
        <v>42863</v>
      </c>
      <c r="C387" s="4">
        <v>3.69</v>
      </c>
      <c r="D387" s="4">
        <v>3.4664000000000001</v>
      </c>
      <c r="E387" s="4">
        <v>0</v>
      </c>
      <c r="F387" s="4"/>
      <c r="G387" s="4"/>
      <c r="H387" s="5">
        <f t="shared" si="5"/>
        <v>-4.4041808003088705E-2</v>
      </c>
    </row>
    <row r="388" spans="1:8" ht="13.5" x14ac:dyDescent="0.25">
      <c r="A388" s="1"/>
      <c r="B388" s="3">
        <v>42864</v>
      </c>
      <c r="C388" s="4">
        <v>3.5</v>
      </c>
      <c r="D388" s="4">
        <v>3.2879</v>
      </c>
      <c r="E388" s="4">
        <v>440</v>
      </c>
      <c r="F388" s="4"/>
      <c r="G388" s="4"/>
      <c r="H388" s="5">
        <f t="shared" si="5"/>
        <v>-5.1494345718901484E-2</v>
      </c>
    </row>
    <row r="389" spans="1:8" ht="13.5" x14ac:dyDescent="0.25">
      <c r="A389" s="1"/>
      <c r="B389" s="3">
        <v>42865</v>
      </c>
      <c r="C389" s="4">
        <v>3.5</v>
      </c>
      <c r="D389" s="4">
        <v>3.2879</v>
      </c>
      <c r="E389" s="4">
        <v>1594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3.6</v>
      </c>
      <c r="D390" s="4">
        <v>3.3818000000000001</v>
      </c>
      <c r="E390" s="4">
        <v>6903</v>
      </c>
      <c r="F390" s="4"/>
      <c r="G390" s="4"/>
      <c r="H390" s="5">
        <f t="shared" si="5"/>
        <v>2.855926275130025E-2</v>
      </c>
    </row>
    <row r="391" spans="1:8" ht="13.5" x14ac:dyDescent="0.25">
      <c r="A391" s="1"/>
      <c r="B391" s="3">
        <v>42867</v>
      </c>
      <c r="C391" s="4">
        <v>3.68</v>
      </c>
      <c r="D391" s="4">
        <v>3.4569999999999999</v>
      </c>
      <c r="E391" s="4">
        <v>832</v>
      </c>
      <c r="F391" s="4"/>
      <c r="G391" s="4"/>
      <c r="H391" s="5">
        <f t="shared" ref="H391:H454" si="6">(D391-D390)/D390</f>
        <v>2.2236678691820836E-2</v>
      </c>
    </row>
    <row r="392" spans="1:8" ht="13.5" x14ac:dyDescent="0.25">
      <c r="A392" s="1"/>
      <c r="B392" s="3">
        <v>42870</v>
      </c>
      <c r="C392" s="4">
        <v>3.77</v>
      </c>
      <c r="D392" s="4">
        <v>3.5415000000000001</v>
      </c>
      <c r="E392" s="4">
        <v>10</v>
      </c>
      <c r="F392" s="4"/>
      <c r="G392" s="4"/>
      <c r="H392" s="5">
        <f t="shared" si="6"/>
        <v>2.4443158808215286E-2</v>
      </c>
    </row>
    <row r="393" spans="1:8" ht="13.5" x14ac:dyDescent="0.25">
      <c r="A393" s="1"/>
      <c r="B393" s="3">
        <v>42871</v>
      </c>
      <c r="C393" s="4">
        <v>3.7</v>
      </c>
      <c r="D393" s="4">
        <v>3.4758</v>
      </c>
      <c r="E393" s="4">
        <v>1052</v>
      </c>
      <c r="F393" s="4"/>
      <c r="G393" s="4"/>
      <c r="H393" s="5">
        <f t="shared" si="6"/>
        <v>-1.8551461245235094E-2</v>
      </c>
    </row>
    <row r="394" spans="1:8" ht="13.5" x14ac:dyDescent="0.25">
      <c r="A394" s="1"/>
      <c r="B394" s="3">
        <v>42872</v>
      </c>
      <c r="C394" s="4">
        <v>3.54</v>
      </c>
      <c r="D394" s="4">
        <v>3.3254999999999999</v>
      </c>
      <c r="E394" s="4">
        <v>486</v>
      </c>
      <c r="F394" s="4"/>
      <c r="G394" s="4"/>
      <c r="H394" s="5">
        <f t="shared" si="6"/>
        <v>-4.3241843604350107E-2</v>
      </c>
    </row>
    <row r="395" spans="1:8" ht="13.5" x14ac:dyDescent="0.25">
      <c r="A395" s="1"/>
      <c r="B395" s="3">
        <v>42873</v>
      </c>
      <c r="C395" s="4">
        <v>3.5</v>
      </c>
      <c r="D395" s="4">
        <v>3.2879</v>
      </c>
      <c r="E395" s="4">
        <v>85</v>
      </c>
      <c r="F395" s="4"/>
      <c r="G395" s="4"/>
      <c r="H395" s="5">
        <f t="shared" si="6"/>
        <v>-1.1306570440535214E-2</v>
      </c>
    </row>
    <row r="396" spans="1:8" ht="13.5" x14ac:dyDescent="0.25">
      <c r="A396" s="1"/>
      <c r="B396" s="3">
        <v>42874</v>
      </c>
      <c r="C396" s="4">
        <v>3.5</v>
      </c>
      <c r="D396" s="4">
        <v>3.2879</v>
      </c>
      <c r="E396" s="4">
        <v>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3.35</v>
      </c>
      <c r="D397" s="4">
        <v>3.1469999999999998</v>
      </c>
      <c r="E397" s="4">
        <v>7579</v>
      </c>
      <c r="F397" s="4"/>
      <c r="G397" s="4"/>
      <c r="H397" s="5">
        <f t="shared" si="6"/>
        <v>-4.2854101402110843E-2</v>
      </c>
    </row>
    <row r="398" spans="1:8" ht="13.5" x14ac:dyDescent="0.25">
      <c r="A398" s="1"/>
      <c r="B398" s="3">
        <v>42878</v>
      </c>
      <c r="C398" s="4">
        <v>3.35</v>
      </c>
      <c r="D398" s="4">
        <v>3.1469999999999998</v>
      </c>
      <c r="E398" s="4">
        <v>5239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3.5</v>
      </c>
      <c r="D399" s="4">
        <v>3.2879</v>
      </c>
      <c r="E399" s="4">
        <v>1758</v>
      </c>
      <c r="F399" s="4"/>
      <c r="G399" s="4"/>
      <c r="H399" s="5">
        <f t="shared" si="6"/>
        <v>4.4772799491579363E-2</v>
      </c>
    </row>
    <row r="400" spans="1:8" ht="13.5" x14ac:dyDescent="0.25">
      <c r="A400" s="1"/>
      <c r="B400" s="3">
        <v>42880</v>
      </c>
      <c r="C400" s="4">
        <v>3.4</v>
      </c>
      <c r="D400" s="4">
        <v>3.194</v>
      </c>
      <c r="E400" s="4">
        <v>680</v>
      </c>
      <c r="F400" s="4"/>
      <c r="G400" s="4"/>
      <c r="H400" s="5">
        <f t="shared" si="6"/>
        <v>-2.855926275130025E-2</v>
      </c>
    </row>
    <row r="401" spans="1:8" ht="13.5" x14ac:dyDescent="0.25">
      <c r="A401" s="1"/>
      <c r="B401" s="3">
        <v>42881</v>
      </c>
      <c r="C401" s="4">
        <v>3.4</v>
      </c>
      <c r="D401" s="4">
        <v>3.194</v>
      </c>
      <c r="E401" s="4">
        <v>130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3.39</v>
      </c>
      <c r="D402" s="4">
        <v>3.1846000000000001</v>
      </c>
      <c r="E402" s="4">
        <v>60</v>
      </c>
      <c r="F402" s="4"/>
      <c r="G402" s="4"/>
      <c r="H402" s="5">
        <f t="shared" si="6"/>
        <v>-2.9430181590481695E-3</v>
      </c>
    </row>
    <row r="403" spans="1:8" ht="13.5" x14ac:dyDescent="0.25">
      <c r="A403" s="1"/>
      <c r="B403" s="3">
        <v>42885</v>
      </c>
      <c r="C403" s="4">
        <v>3.48</v>
      </c>
      <c r="D403" s="4">
        <v>3.2690999999999999</v>
      </c>
      <c r="E403" s="4">
        <v>160</v>
      </c>
      <c r="F403" s="4"/>
      <c r="G403" s="4"/>
      <c r="H403" s="5">
        <f t="shared" si="6"/>
        <v>2.6533944608427996E-2</v>
      </c>
    </row>
    <row r="404" spans="1:8" ht="13.5" x14ac:dyDescent="0.25">
      <c r="A404" s="1"/>
      <c r="B404" s="3">
        <v>42886</v>
      </c>
      <c r="C404" s="4">
        <v>3.48</v>
      </c>
      <c r="D404" s="4">
        <v>3.2690999999999999</v>
      </c>
      <c r="E404" s="4">
        <v>0</v>
      </c>
      <c r="F404" s="4"/>
      <c r="G404" s="4"/>
      <c r="H404" s="5">
        <f t="shared" si="6"/>
        <v>0</v>
      </c>
    </row>
    <row r="405" spans="1:8" ht="13.5" x14ac:dyDescent="0.25">
      <c r="A405" s="1"/>
      <c r="B405" s="3">
        <v>42887</v>
      </c>
      <c r="C405" s="4">
        <v>3.48</v>
      </c>
      <c r="D405" s="4">
        <v>3.2690999999999999</v>
      </c>
      <c r="E405" s="4">
        <v>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3.48</v>
      </c>
      <c r="D406" s="4">
        <v>3.2690999999999999</v>
      </c>
      <c r="E406" s="4">
        <v>0</v>
      </c>
      <c r="F406" s="4"/>
      <c r="G406" s="4"/>
      <c r="H406" s="5">
        <f t="shared" si="6"/>
        <v>0</v>
      </c>
    </row>
    <row r="407" spans="1:8" ht="13.5" x14ac:dyDescent="0.25">
      <c r="A407" s="1"/>
      <c r="B407" s="3">
        <v>42891</v>
      </c>
      <c r="C407" s="4">
        <v>3.4</v>
      </c>
      <c r="D407" s="4">
        <v>3.194</v>
      </c>
      <c r="E407" s="4">
        <v>1800</v>
      </c>
      <c r="F407" s="4"/>
      <c r="G407" s="4"/>
      <c r="H407" s="5">
        <f t="shared" si="6"/>
        <v>-2.2972683613226866E-2</v>
      </c>
    </row>
    <row r="408" spans="1:8" ht="13.5" x14ac:dyDescent="0.25">
      <c r="A408" s="1"/>
      <c r="B408" s="3">
        <v>42892</v>
      </c>
      <c r="C408" s="4">
        <v>3.35</v>
      </c>
      <c r="D408" s="4">
        <v>3.1469999999999998</v>
      </c>
      <c r="E408" s="4">
        <v>50</v>
      </c>
      <c r="F408" s="4"/>
      <c r="G408" s="4"/>
      <c r="H408" s="5">
        <f t="shared" si="6"/>
        <v>-1.4715090795241125E-2</v>
      </c>
    </row>
    <row r="409" spans="1:8" ht="13.5" x14ac:dyDescent="0.25">
      <c r="A409" s="1"/>
      <c r="B409" s="3">
        <v>42893</v>
      </c>
      <c r="C409" s="4">
        <v>3.25</v>
      </c>
      <c r="D409" s="4">
        <v>3.0531000000000001</v>
      </c>
      <c r="E409" s="4">
        <v>1000</v>
      </c>
      <c r="F409" s="4"/>
      <c r="G409" s="4"/>
      <c r="H409" s="5">
        <f t="shared" si="6"/>
        <v>-2.9837940896091406E-2</v>
      </c>
    </row>
    <row r="410" spans="1:8" ht="13.5" x14ac:dyDescent="0.25">
      <c r="A410" s="1"/>
      <c r="B410" s="3">
        <v>42894</v>
      </c>
      <c r="C410" s="4">
        <v>3.16</v>
      </c>
      <c r="D410" s="4">
        <v>2.9685000000000001</v>
      </c>
      <c r="E410" s="4">
        <v>1</v>
      </c>
      <c r="F410" s="4"/>
      <c r="G410" s="4"/>
      <c r="H410" s="5">
        <f t="shared" si="6"/>
        <v>-2.7709541122138154E-2</v>
      </c>
    </row>
    <row r="411" spans="1:8" ht="13.5" x14ac:dyDescent="0.25">
      <c r="A411" s="1"/>
      <c r="B411" s="3">
        <v>42895</v>
      </c>
      <c r="C411" s="4">
        <v>3.16</v>
      </c>
      <c r="D411" s="4">
        <v>2.9685000000000001</v>
      </c>
      <c r="E411" s="4">
        <v>0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3.07</v>
      </c>
      <c r="D412" s="4">
        <v>2.8839999999999999</v>
      </c>
      <c r="E412" s="4">
        <v>110</v>
      </c>
      <c r="F412" s="4"/>
      <c r="G412" s="4"/>
      <c r="H412" s="5">
        <f t="shared" si="6"/>
        <v>-2.8465554994104848E-2</v>
      </c>
    </row>
    <row r="413" spans="1:8" ht="13.5" x14ac:dyDescent="0.25">
      <c r="A413" s="1"/>
      <c r="B413" s="3">
        <v>42899</v>
      </c>
      <c r="C413" s="4">
        <v>2.9</v>
      </c>
      <c r="D413" s="4">
        <v>2.7242999999999999</v>
      </c>
      <c r="E413" s="4">
        <v>19972</v>
      </c>
      <c r="F413" s="4"/>
      <c r="G413" s="4"/>
      <c r="H413" s="5">
        <f t="shared" si="6"/>
        <v>-5.5374479889042982E-2</v>
      </c>
    </row>
    <row r="414" spans="1:8" ht="13.5" x14ac:dyDescent="0.25">
      <c r="A414" s="1"/>
      <c r="B414" s="3">
        <v>42900</v>
      </c>
      <c r="C414" s="4">
        <v>3.06</v>
      </c>
      <c r="D414" s="4">
        <v>2.8746</v>
      </c>
      <c r="E414" s="4">
        <v>12510</v>
      </c>
      <c r="F414" s="4"/>
      <c r="G414" s="4"/>
      <c r="H414" s="5">
        <f t="shared" si="6"/>
        <v>5.5170135447637964E-2</v>
      </c>
    </row>
    <row r="415" spans="1:8" ht="13.5" x14ac:dyDescent="0.25">
      <c r="A415" s="1"/>
      <c r="B415" s="3">
        <v>42901</v>
      </c>
      <c r="C415" s="4">
        <v>3.2</v>
      </c>
      <c r="D415" s="4">
        <v>3.0061</v>
      </c>
      <c r="E415" s="4">
        <v>1355</v>
      </c>
      <c r="F415" s="4"/>
      <c r="G415" s="4"/>
      <c r="H415" s="5">
        <f t="shared" si="6"/>
        <v>4.5745495025394822E-2</v>
      </c>
    </row>
    <row r="416" spans="1:8" ht="13.5" x14ac:dyDescent="0.25">
      <c r="A416" s="1"/>
      <c r="B416" s="3">
        <v>42902</v>
      </c>
      <c r="C416" s="4">
        <v>3.19</v>
      </c>
      <c r="D416" s="4">
        <v>2.9967000000000001</v>
      </c>
      <c r="E416" s="4">
        <v>3498</v>
      </c>
      <c r="F416" s="4"/>
      <c r="G416" s="4"/>
      <c r="H416" s="5">
        <f t="shared" si="6"/>
        <v>-3.1269751505272124E-3</v>
      </c>
    </row>
    <row r="417" spans="1:8" ht="13.5" x14ac:dyDescent="0.25">
      <c r="A417" s="1"/>
      <c r="B417" s="3">
        <v>42905</v>
      </c>
      <c r="C417" s="4">
        <v>3.19</v>
      </c>
      <c r="D417" s="4">
        <v>2.9967000000000001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3.16</v>
      </c>
      <c r="D418" s="4">
        <v>2.9685000000000001</v>
      </c>
      <c r="E418" s="4">
        <v>668</v>
      </c>
      <c r="F418" s="4"/>
      <c r="G418" s="4"/>
      <c r="H418" s="5">
        <f t="shared" si="6"/>
        <v>-9.410351386525179E-3</v>
      </c>
    </row>
    <row r="419" spans="1:8" ht="13.5" x14ac:dyDescent="0.25">
      <c r="A419" s="1"/>
      <c r="B419" s="3">
        <v>42907</v>
      </c>
      <c r="C419" s="4">
        <v>3.16</v>
      </c>
      <c r="D419" s="4">
        <v>2.9685000000000001</v>
      </c>
      <c r="E419" s="4">
        <v>0</v>
      </c>
      <c r="F419" s="4"/>
      <c r="G419" s="4"/>
      <c r="H419" s="5">
        <f t="shared" si="6"/>
        <v>0</v>
      </c>
    </row>
    <row r="420" spans="1:8" ht="13.5" x14ac:dyDescent="0.25">
      <c r="A420" s="1"/>
      <c r="B420" s="3">
        <v>42908</v>
      </c>
      <c r="C420" s="4">
        <v>3.02</v>
      </c>
      <c r="D420" s="4">
        <v>2.8370000000000002</v>
      </c>
      <c r="E420" s="4">
        <v>811</v>
      </c>
      <c r="F420" s="4"/>
      <c r="G420" s="4"/>
      <c r="H420" s="5">
        <f t="shared" si="6"/>
        <v>-4.4298467239346453E-2</v>
      </c>
    </row>
    <row r="421" spans="1:8" ht="13.5" x14ac:dyDescent="0.25">
      <c r="A421" s="1"/>
      <c r="B421" s="3">
        <v>42909</v>
      </c>
      <c r="C421" s="4">
        <v>2.94</v>
      </c>
      <c r="D421" s="4">
        <v>2.7618</v>
      </c>
      <c r="E421" s="4">
        <v>2314</v>
      </c>
      <c r="F421" s="4"/>
      <c r="G421" s="4"/>
      <c r="H421" s="5">
        <f t="shared" si="6"/>
        <v>-2.6506873457878093E-2</v>
      </c>
    </row>
    <row r="422" spans="1:8" ht="13.5" x14ac:dyDescent="0.25">
      <c r="A422" s="1"/>
      <c r="B422" s="3">
        <v>42914</v>
      </c>
      <c r="C422" s="4">
        <v>2.98</v>
      </c>
      <c r="D422" s="4">
        <v>2.7993999999999999</v>
      </c>
      <c r="E422" s="4">
        <v>25</v>
      </c>
      <c r="F422" s="4"/>
      <c r="G422" s="4"/>
      <c r="H422" s="5">
        <f t="shared" si="6"/>
        <v>1.3614309508291641E-2</v>
      </c>
    </row>
    <row r="423" spans="1:8" ht="13.5" x14ac:dyDescent="0.25">
      <c r="A423" s="1"/>
      <c r="B423" s="3">
        <v>42915</v>
      </c>
      <c r="C423" s="4">
        <v>3.08</v>
      </c>
      <c r="D423" s="4">
        <v>2.8934000000000002</v>
      </c>
      <c r="E423" s="4">
        <v>5791</v>
      </c>
      <c r="F423" s="4"/>
      <c r="G423" s="4"/>
      <c r="H423" s="5">
        <f t="shared" si="6"/>
        <v>3.3578623990855296E-2</v>
      </c>
    </row>
    <row r="424" spans="1:8" ht="13.5" x14ac:dyDescent="0.25">
      <c r="A424" s="1"/>
      <c r="B424" s="3">
        <v>42916</v>
      </c>
      <c r="C424" s="4">
        <v>3.07</v>
      </c>
      <c r="D424" s="4">
        <v>2.8839999999999999</v>
      </c>
      <c r="E424" s="4">
        <v>5787</v>
      </c>
      <c r="F424" s="4"/>
      <c r="G424" s="4"/>
      <c r="H424" s="5">
        <f t="shared" si="6"/>
        <v>-3.2487730697450391E-3</v>
      </c>
    </row>
    <row r="425" spans="1:8" ht="13.5" x14ac:dyDescent="0.25">
      <c r="A425" s="1"/>
      <c r="B425" s="3">
        <v>42919</v>
      </c>
      <c r="C425" s="4">
        <v>2.98</v>
      </c>
      <c r="D425" s="4">
        <v>2.7993999999999999</v>
      </c>
      <c r="E425" s="4">
        <v>2645</v>
      </c>
      <c r="F425" s="4"/>
      <c r="G425" s="4"/>
      <c r="H425" s="5">
        <f t="shared" si="6"/>
        <v>-2.9334257975034677E-2</v>
      </c>
    </row>
    <row r="426" spans="1:8" ht="13.5" x14ac:dyDescent="0.25">
      <c r="A426" s="1"/>
      <c r="B426" s="3">
        <v>42920</v>
      </c>
      <c r="C426" s="4">
        <v>3.1</v>
      </c>
      <c r="D426" s="4">
        <v>2.9121000000000001</v>
      </c>
      <c r="E426" s="4">
        <v>2781</v>
      </c>
      <c r="F426" s="4"/>
      <c r="G426" s="4"/>
      <c r="H426" s="5">
        <f t="shared" si="6"/>
        <v>4.0258626848610507E-2</v>
      </c>
    </row>
    <row r="427" spans="1:8" ht="13.5" x14ac:dyDescent="0.25">
      <c r="A427" s="1"/>
      <c r="B427" s="3">
        <v>42921</v>
      </c>
      <c r="C427" s="4">
        <v>3.04</v>
      </c>
      <c r="D427" s="4">
        <v>2.8557999999999999</v>
      </c>
      <c r="E427" s="4">
        <v>1233</v>
      </c>
      <c r="F427" s="4"/>
      <c r="G427" s="4"/>
      <c r="H427" s="5">
        <f t="shared" si="6"/>
        <v>-1.9333127296452812E-2</v>
      </c>
    </row>
    <row r="428" spans="1:8" ht="13.5" x14ac:dyDescent="0.25">
      <c r="A428" s="1"/>
      <c r="B428" s="3">
        <v>42922</v>
      </c>
      <c r="C428" s="4">
        <v>3.14</v>
      </c>
      <c r="D428" s="4">
        <v>2.9497</v>
      </c>
      <c r="E428" s="4">
        <v>5536</v>
      </c>
      <c r="F428" s="4"/>
      <c r="G428" s="4"/>
      <c r="H428" s="5">
        <f t="shared" si="6"/>
        <v>3.2880453813292285E-2</v>
      </c>
    </row>
    <row r="429" spans="1:8" ht="13.5" x14ac:dyDescent="0.25">
      <c r="A429" s="1"/>
      <c r="B429" s="3">
        <v>42923</v>
      </c>
      <c r="C429" s="4">
        <v>3.13</v>
      </c>
      <c r="D429" s="4">
        <v>2.9403000000000001</v>
      </c>
      <c r="E429" s="4">
        <v>1589</v>
      </c>
      <c r="F429" s="4"/>
      <c r="G429" s="4"/>
      <c r="H429" s="5">
        <f t="shared" si="6"/>
        <v>-3.1867647557378216E-3</v>
      </c>
    </row>
    <row r="430" spans="1:8" ht="13.5" x14ac:dyDescent="0.25">
      <c r="A430" s="1"/>
      <c r="B430" s="3">
        <v>42926</v>
      </c>
      <c r="C430" s="4">
        <v>3.04</v>
      </c>
      <c r="D430" s="4">
        <v>2.8557999999999999</v>
      </c>
      <c r="E430" s="4">
        <v>1788</v>
      </c>
      <c r="F430" s="4"/>
      <c r="G430" s="4"/>
      <c r="H430" s="5">
        <f t="shared" si="6"/>
        <v>-2.8738564092099527E-2</v>
      </c>
    </row>
    <row r="431" spans="1:8" ht="13.5" x14ac:dyDescent="0.25">
      <c r="A431" s="1"/>
      <c r="B431" s="3">
        <v>42927</v>
      </c>
      <c r="C431" s="4">
        <v>3.14</v>
      </c>
      <c r="D431" s="4">
        <v>2.9497</v>
      </c>
      <c r="E431" s="4">
        <v>1597</v>
      </c>
      <c r="F431" s="4"/>
      <c r="G431" s="4"/>
      <c r="H431" s="5">
        <f t="shared" si="6"/>
        <v>3.2880453813292285E-2</v>
      </c>
    </row>
    <row r="432" spans="1:8" ht="13.5" x14ac:dyDescent="0.25">
      <c r="A432" s="1"/>
      <c r="B432" s="3">
        <v>42928</v>
      </c>
      <c r="C432" s="4">
        <v>3.33</v>
      </c>
      <c r="D432" s="4">
        <v>3.1282000000000001</v>
      </c>
      <c r="E432" s="4">
        <v>18453</v>
      </c>
      <c r="F432" s="4"/>
      <c r="G432" s="4"/>
      <c r="H432" s="5">
        <f t="shared" si="6"/>
        <v>6.0514628606298984E-2</v>
      </c>
    </row>
    <row r="433" spans="1:8" ht="13.5" x14ac:dyDescent="0.25">
      <c r="A433" s="1"/>
      <c r="B433" s="3">
        <v>42929</v>
      </c>
      <c r="C433" s="4">
        <v>3.53</v>
      </c>
      <c r="D433" s="4">
        <v>3.3161</v>
      </c>
      <c r="E433" s="4">
        <v>4852</v>
      </c>
      <c r="F433" s="4"/>
      <c r="G433" s="4"/>
      <c r="H433" s="5">
        <f t="shared" si="6"/>
        <v>6.0066491912281805E-2</v>
      </c>
    </row>
    <row r="434" spans="1:8" ht="13.5" x14ac:dyDescent="0.25">
      <c r="A434" s="1"/>
      <c r="B434" s="3">
        <v>42930</v>
      </c>
      <c r="C434" s="4">
        <v>3.65</v>
      </c>
      <c r="D434" s="4">
        <v>3.4287999999999998</v>
      </c>
      <c r="E434" s="4">
        <v>11548</v>
      </c>
      <c r="F434" s="4"/>
      <c r="G434" s="4"/>
      <c r="H434" s="5">
        <f t="shared" si="6"/>
        <v>3.3985706100539727E-2</v>
      </c>
    </row>
    <row r="435" spans="1:8" ht="13.5" x14ac:dyDescent="0.25">
      <c r="A435" s="1"/>
      <c r="B435" s="3">
        <v>42933</v>
      </c>
      <c r="C435" s="4">
        <v>3.85</v>
      </c>
      <c r="D435" s="4">
        <v>3.6166999999999998</v>
      </c>
      <c r="E435" s="4">
        <v>3743</v>
      </c>
      <c r="F435" s="4"/>
      <c r="G435" s="4"/>
      <c r="H435" s="5">
        <f t="shared" si="6"/>
        <v>5.4800513299113382E-2</v>
      </c>
    </row>
    <row r="436" spans="1:8" ht="13.5" x14ac:dyDescent="0.25">
      <c r="A436" s="1"/>
      <c r="B436" s="3">
        <v>42934</v>
      </c>
      <c r="C436" s="4">
        <v>3.85</v>
      </c>
      <c r="D436" s="4">
        <v>3.6166999999999998</v>
      </c>
      <c r="E436" s="4">
        <v>1109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3.89</v>
      </c>
      <c r="D437" s="4">
        <v>3.6543000000000001</v>
      </c>
      <c r="E437" s="4">
        <v>1668</v>
      </c>
      <c r="F437" s="4"/>
      <c r="G437" s="4"/>
      <c r="H437" s="5">
        <f t="shared" si="6"/>
        <v>1.0396217546382144E-2</v>
      </c>
    </row>
    <row r="438" spans="1:8" ht="13.5" x14ac:dyDescent="0.25">
      <c r="A438" s="1"/>
      <c r="B438" s="3">
        <v>42936</v>
      </c>
      <c r="C438" s="4">
        <v>3.85</v>
      </c>
      <c r="D438" s="4">
        <v>3.6166999999999998</v>
      </c>
      <c r="E438" s="4">
        <v>907</v>
      </c>
      <c r="F438" s="4"/>
      <c r="G438" s="4"/>
      <c r="H438" s="5">
        <f t="shared" si="6"/>
        <v>-1.028924828284495E-2</v>
      </c>
    </row>
    <row r="439" spans="1:8" ht="13.5" x14ac:dyDescent="0.25">
      <c r="A439" s="1"/>
      <c r="B439" s="3">
        <v>42937</v>
      </c>
      <c r="C439" s="4">
        <v>3.79</v>
      </c>
      <c r="D439" s="4">
        <v>3.5602999999999998</v>
      </c>
      <c r="E439" s="4">
        <v>1244</v>
      </c>
      <c r="F439" s="4"/>
      <c r="G439" s="4"/>
      <c r="H439" s="5">
        <f t="shared" si="6"/>
        <v>-1.5594326319573094E-2</v>
      </c>
    </row>
    <row r="440" spans="1:8" ht="13.5" x14ac:dyDescent="0.25">
      <c r="A440" s="1"/>
      <c r="B440" s="3">
        <v>42940</v>
      </c>
      <c r="C440" s="4">
        <v>3.8</v>
      </c>
      <c r="D440" s="4">
        <v>3.5697000000000001</v>
      </c>
      <c r="E440" s="4">
        <v>1096</v>
      </c>
      <c r="F440" s="4"/>
      <c r="G440" s="4"/>
      <c r="H440" s="5">
        <f t="shared" si="6"/>
        <v>2.6402269471674572E-3</v>
      </c>
    </row>
    <row r="441" spans="1:8" ht="13.5" x14ac:dyDescent="0.25">
      <c r="A441" s="1"/>
      <c r="B441" s="3">
        <v>42942</v>
      </c>
      <c r="C441" s="4">
        <v>3.85</v>
      </c>
      <c r="D441" s="4">
        <v>3.6166999999999998</v>
      </c>
      <c r="E441" s="4">
        <v>2866</v>
      </c>
      <c r="F441" s="4"/>
      <c r="G441" s="4"/>
      <c r="H441" s="5">
        <f t="shared" si="6"/>
        <v>1.3166372524301679E-2</v>
      </c>
    </row>
    <row r="442" spans="1:8" ht="13.5" x14ac:dyDescent="0.25">
      <c r="A442" s="1"/>
      <c r="B442" s="3">
        <v>42943</v>
      </c>
      <c r="C442" s="4">
        <v>3.85</v>
      </c>
      <c r="D442" s="4">
        <v>3.6166999999999998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3.83</v>
      </c>
      <c r="D443" s="4">
        <v>3.5979000000000001</v>
      </c>
      <c r="E443" s="4">
        <v>1129</v>
      </c>
      <c r="F443" s="4"/>
      <c r="G443" s="4"/>
      <c r="H443" s="5">
        <f t="shared" si="6"/>
        <v>-5.1981087731909495E-3</v>
      </c>
    </row>
    <row r="444" spans="1:8" ht="13.5" x14ac:dyDescent="0.25">
      <c r="A444" s="1"/>
      <c r="B444" s="3">
        <v>42947</v>
      </c>
      <c r="C444" s="4">
        <v>3.8</v>
      </c>
      <c r="D444" s="4">
        <v>3.5697000000000001</v>
      </c>
      <c r="E444" s="4">
        <v>430</v>
      </c>
      <c r="F444" s="4"/>
      <c r="G444" s="4"/>
      <c r="H444" s="5">
        <f t="shared" si="6"/>
        <v>-7.8379054448428249E-3</v>
      </c>
    </row>
    <row r="445" spans="1:8" ht="13.5" x14ac:dyDescent="0.25">
      <c r="A445" s="1"/>
      <c r="B445" s="3">
        <v>42948</v>
      </c>
      <c r="C445" s="4">
        <v>3.8</v>
      </c>
      <c r="D445" s="4">
        <v>3.5697000000000001</v>
      </c>
      <c r="E445" s="4">
        <v>0</v>
      </c>
      <c r="F445" s="4"/>
      <c r="G445" s="4"/>
      <c r="H445" s="5">
        <f t="shared" si="6"/>
        <v>0</v>
      </c>
    </row>
    <row r="446" spans="1:8" ht="13.5" x14ac:dyDescent="0.25">
      <c r="A446" s="1"/>
      <c r="B446" s="3">
        <v>42949</v>
      </c>
      <c r="C446" s="4">
        <v>3.75</v>
      </c>
      <c r="D446" s="4">
        <v>3.5228000000000002</v>
      </c>
      <c r="E446" s="4">
        <v>1626</v>
      </c>
      <c r="F446" s="4"/>
      <c r="G446" s="4"/>
      <c r="H446" s="5">
        <f t="shared" si="6"/>
        <v>-1.3138358965739401E-2</v>
      </c>
    </row>
    <row r="447" spans="1:8" ht="13.5" x14ac:dyDescent="0.25">
      <c r="A447" s="1"/>
      <c r="B447" s="3">
        <v>42950</v>
      </c>
      <c r="C447" s="4">
        <v>3.75</v>
      </c>
      <c r="D447" s="4">
        <v>3.5228000000000002</v>
      </c>
      <c r="E447" s="4">
        <v>294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3.75</v>
      </c>
      <c r="D448" s="4">
        <v>3.5228000000000002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3.75</v>
      </c>
      <c r="D449" s="4">
        <v>3.5228000000000002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3.75</v>
      </c>
      <c r="D450" s="4">
        <v>3.5228000000000002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3.64</v>
      </c>
      <c r="D451" s="4">
        <v>3.4194</v>
      </c>
      <c r="E451" s="4">
        <v>50</v>
      </c>
      <c r="F451" s="4"/>
      <c r="G451" s="4"/>
      <c r="H451" s="5">
        <f t="shared" si="6"/>
        <v>-2.9351652094924536E-2</v>
      </c>
    </row>
    <row r="452" spans="1:8" ht="13.5" x14ac:dyDescent="0.25">
      <c r="A452" s="1"/>
      <c r="B452" s="3">
        <v>42957</v>
      </c>
      <c r="C452" s="4">
        <v>3.73</v>
      </c>
      <c r="D452" s="4">
        <v>3.504</v>
      </c>
      <c r="E452" s="4">
        <v>1740</v>
      </c>
      <c r="F452" s="4"/>
      <c r="G452" s="4"/>
      <c r="H452" s="5">
        <f t="shared" si="6"/>
        <v>2.47411826636252E-2</v>
      </c>
    </row>
    <row r="453" spans="1:8" ht="13.5" x14ac:dyDescent="0.25">
      <c r="A453" s="1"/>
      <c r="B453" s="3">
        <v>42958</v>
      </c>
      <c r="C453" s="4">
        <v>3.7</v>
      </c>
      <c r="D453" s="4">
        <v>3.4758</v>
      </c>
      <c r="E453" s="4">
        <v>26</v>
      </c>
      <c r="F453" s="4"/>
      <c r="G453" s="4"/>
      <c r="H453" s="5">
        <f t="shared" si="6"/>
        <v>-8.0479452054794537E-3</v>
      </c>
    </row>
    <row r="454" spans="1:8" ht="13.5" x14ac:dyDescent="0.25">
      <c r="A454" s="1"/>
      <c r="B454" s="3">
        <v>42961</v>
      </c>
      <c r="C454" s="4">
        <v>3.7</v>
      </c>
      <c r="D454" s="4">
        <v>3.4758</v>
      </c>
      <c r="E454" s="4">
        <v>1841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3.5</v>
      </c>
      <c r="D455" s="4">
        <v>3.5</v>
      </c>
      <c r="E455" s="4">
        <v>2698</v>
      </c>
      <c r="F455" s="4"/>
      <c r="G455" s="4"/>
      <c r="H455" s="5">
        <f t="shared" ref="H455:H518" si="7">(D455-D454)/D454</f>
        <v>6.9624259163358071E-3</v>
      </c>
    </row>
    <row r="456" spans="1:8" ht="13.5" x14ac:dyDescent="0.25">
      <c r="A456" s="1"/>
      <c r="B456" s="3">
        <v>42963</v>
      </c>
      <c r="C456" s="4">
        <v>3.52</v>
      </c>
      <c r="D456" s="4">
        <v>3.52</v>
      </c>
      <c r="E456" s="4">
        <v>1050</v>
      </c>
      <c r="F456" s="4"/>
      <c r="G456" s="4"/>
      <c r="H456" s="5">
        <f t="shared" si="7"/>
        <v>5.7142857142857195E-3</v>
      </c>
    </row>
    <row r="457" spans="1:8" ht="13.5" x14ac:dyDescent="0.25">
      <c r="A457" s="1"/>
      <c r="B457" s="3">
        <v>42964</v>
      </c>
      <c r="C457" s="4">
        <v>3.48</v>
      </c>
      <c r="D457" s="4">
        <v>3.48</v>
      </c>
      <c r="E457" s="4">
        <v>2024</v>
      </c>
      <c r="F457" s="4"/>
      <c r="G457" s="4"/>
      <c r="H457" s="5">
        <f t="shared" si="7"/>
        <v>-1.1363636363636374E-2</v>
      </c>
    </row>
    <row r="458" spans="1:8" ht="13.5" x14ac:dyDescent="0.25">
      <c r="A458" s="1"/>
      <c r="B458" s="3">
        <v>42965</v>
      </c>
      <c r="C458" s="4">
        <v>3.44</v>
      </c>
      <c r="D458" s="4">
        <v>3.44</v>
      </c>
      <c r="E458" s="4">
        <v>1946</v>
      </c>
      <c r="F458" s="4"/>
      <c r="G458" s="4"/>
      <c r="H458" s="5">
        <f t="shared" si="7"/>
        <v>-1.1494252873563229E-2</v>
      </c>
    </row>
    <row r="459" spans="1:8" ht="13.5" x14ac:dyDescent="0.25">
      <c r="A459" s="1"/>
      <c r="B459" s="3">
        <v>42968</v>
      </c>
      <c r="C459" s="4">
        <v>3.44</v>
      </c>
      <c r="D459" s="4">
        <v>3.44</v>
      </c>
      <c r="E459" s="4">
        <v>1835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3.43</v>
      </c>
      <c r="D460" s="4">
        <v>3.43</v>
      </c>
      <c r="E460" s="4">
        <v>250</v>
      </c>
      <c r="F460" s="4"/>
      <c r="G460" s="4"/>
      <c r="H460" s="5">
        <f t="shared" si="7"/>
        <v>-2.9069767441859845E-3</v>
      </c>
    </row>
    <row r="461" spans="1:8" ht="13.5" x14ac:dyDescent="0.25">
      <c r="A461" s="1"/>
      <c r="B461" s="3">
        <v>42970</v>
      </c>
      <c r="C461" s="4">
        <v>3.4</v>
      </c>
      <c r="D461" s="4">
        <v>3.4</v>
      </c>
      <c r="E461" s="4">
        <v>2570</v>
      </c>
      <c r="F461" s="4"/>
      <c r="G461" s="4"/>
      <c r="H461" s="5">
        <f t="shared" si="7"/>
        <v>-8.7463556851312668E-3</v>
      </c>
    </row>
    <row r="462" spans="1:8" ht="13.5" x14ac:dyDescent="0.25">
      <c r="A462" s="1"/>
      <c r="B462" s="3">
        <v>42971</v>
      </c>
      <c r="C462" s="4">
        <v>3.3</v>
      </c>
      <c r="D462" s="4">
        <v>3.3</v>
      </c>
      <c r="E462" s="4">
        <v>2768</v>
      </c>
      <c r="F462" s="4"/>
      <c r="G462" s="4"/>
      <c r="H462" s="5">
        <f t="shared" si="7"/>
        <v>-2.941176470588238E-2</v>
      </c>
    </row>
    <row r="463" spans="1:8" ht="13.5" x14ac:dyDescent="0.25">
      <c r="A463" s="1"/>
      <c r="B463" s="3">
        <v>42972</v>
      </c>
      <c r="C463" s="4">
        <v>3.3</v>
      </c>
      <c r="D463" s="4">
        <v>3.3</v>
      </c>
      <c r="E463" s="4">
        <v>0</v>
      </c>
      <c r="F463" s="4"/>
      <c r="G463" s="4"/>
      <c r="H463" s="5">
        <f t="shared" si="7"/>
        <v>0</v>
      </c>
    </row>
    <row r="464" spans="1:8" ht="13.5" x14ac:dyDescent="0.25">
      <c r="A464" s="1"/>
      <c r="B464" s="3">
        <v>42975</v>
      </c>
      <c r="C464" s="4">
        <v>3.3</v>
      </c>
      <c r="D464" s="4">
        <v>3.3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3.29</v>
      </c>
      <c r="D465" s="4">
        <v>3.29</v>
      </c>
      <c r="E465" s="4">
        <v>1041</v>
      </c>
      <c r="F465" s="4"/>
      <c r="G465" s="4"/>
      <c r="H465" s="5">
        <f t="shared" si="7"/>
        <v>-3.0303030303029657E-3</v>
      </c>
    </row>
    <row r="466" spans="1:8" ht="13.5" x14ac:dyDescent="0.25">
      <c r="A466" s="1"/>
      <c r="B466" s="3">
        <v>42977</v>
      </c>
      <c r="C466" s="4">
        <v>3.29</v>
      </c>
      <c r="D466" s="4">
        <v>3.29</v>
      </c>
      <c r="E466" s="4">
        <v>262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3.29</v>
      </c>
      <c r="D467" s="4">
        <v>3.29</v>
      </c>
      <c r="E467" s="4">
        <v>0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3.29</v>
      </c>
      <c r="D468" s="4">
        <v>3.29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3.29</v>
      </c>
      <c r="D469" s="4">
        <v>3.29</v>
      </c>
      <c r="E469" s="4">
        <v>234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3.36</v>
      </c>
      <c r="D470" s="4">
        <v>3.36</v>
      </c>
      <c r="E470" s="4">
        <v>3041</v>
      </c>
      <c r="F470" s="4"/>
      <c r="G470" s="4"/>
      <c r="H470" s="5">
        <f t="shared" si="7"/>
        <v>2.1276595744680802E-2</v>
      </c>
    </row>
    <row r="471" spans="1:8" ht="13.5" x14ac:dyDescent="0.25">
      <c r="A471" s="1"/>
      <c r="B471" s="3">
        <v>42985</v>
      </c>
      <c r="C471" s="4">
        <v>3.28</v>
      </c>
      <c r="D471" s="4">
        <v>3.28</v>
      </c>
      <c r="E471" s="4">
        <v>2241</v>
      </c>
      <c r="F471" s="4"/>
      <c r="G471" s="4"/>
      <c r="H471" s="5">
        <f t="shared" si="7"/>
        <v>-2.3809523809523832E-2</v>
      </c>
    </row>
    <row r="472" spans="1:8" ht="13.5" x14ac:dyDescent="0.25">
      <c r="A472" s="1"/>
      <c r="B472" s="3">
        <v>42986</v>
      </c>
      <c r="C472" s="4">
        <v>3.22</v>
      </c>
      <c r="D472" s="4">
        <v>3.22</v>
      </c>
      <c r="E472" s="4">
        <v>886</v>
      </c>
      <c r="F472" s="4"/>
      <c r="G472" s="4"/>
      <c r="H472" s="5">
        <f t="shared" si="7"/>
        <v>-1.8292682926829149E-2</v>
      </c>
    </row>
    <row r="473" spans="1:8" ht="13.5" x14ac:dyDescent="0.25">
      <c r="A473" s="1"/>
      <c r="B473" s="3">
        <v>42989</v>
      </c>
      <c r="C473" s="4">
        <v>3.22</v>
      </c>
      <c r="D473" s="4">
        <v>3.22</v>
      </c>
      <c r="E473" s="4">
        <v>0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3.22</v>
      </c>
      <c r="D474" s="4">
        <v>3.22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3.22</v>
      </c>
      <c r="D475" s="4">
        <v>3.22</v>
      </c>
      <c r="E475" s="4">
        <v>1501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3.22</v>
      </c>
      <c r="D476" s="4">
        <v>3.22</v>
      </c>
      <c r="E476" s="4">
        <v>262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3.22</v>
      </c>
      <c r="D477" s="4">
        <v>3.22</v>
      </c>
      <c r="E477" s="4">
        <v>132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3.22</v>
      </c>
      <c r="D478" s="4">
        <v>3.22</v>
      </c>
      <c r="E478" s="4">
        <v>231</v>
      </c>
      <c r="F478" s="4"/>
      <c r="G478" s="4"/>
      <c r="H478" s="5">
        <f t="shared" si="7"/>
        <v>0</v>
      </c>
    </row>
    <row r="479" spans="1:8" ht="13.5" x14ac:dyDescent="0.25">
      <c r="A479" s="1"/>
      <c r="B479" s="3">
        <v>42997</v>
      </c>
      <c r="C479" s="4">
        <v>3.22</v>
      </c>
      <c r="D479" s="4">
        <v>3.22</v>
      </c>
      <c r="E479" s="4">
        <v>233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3.22</v>
      </c>
      <c r="D480" s="4">
        <v>3.22</v>
      </c>
      <c r="E480" s="4">
        <v>235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3.22</v>
      </c>
      <c r="D481" s="4">
        <v>3.22</v>
      </c>
      <c r="E481" s="4">
        <v>359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3.22</v>
      </c>
      <c r="D482" s="4">
        <v>3.22</v>
      </c>
      <c r="E482" s="4">
        <v>240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3.22</v>
      </c>
      <c r="D483" s="4">
        <v>3.22</v>
      </c>
      <c r="E483" s="4">
        <v>220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3.22</v>
      </c>
      <c r="D484" s="4">
        <v>3.22</v>
      </c>
      <c r="E484" s="4">
        <v>227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3.22</v>
      </c>
      <c r="D485" s="4">
        <v>3.22</v>
      </c>
      <c r="E485" s="4">
        <v>352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3.22</v>
      </c>
      <c r="D486" s="4">
        <v>3.22</v>
      </c>
      <c r="E486" s="4">
        <v>196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3.22</v>
      </c>
      <c r="D487" s="4">
        <v>3.22</v>
      </c>
      <c r="E487" s="4">
        <v>799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3.22</v>
      </c>
      <c r="D488" s="4">
        <v>3.22</v>
      </c>
      <c r="E488" s="4">
        <v>3478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3.22</v>
      </c>
      <c r="D489" s="4">
        <v>3.22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3.2</v>
      </c>
      <c r="D490" s="4">
        <v>3.2</v>
      </c>
      <c r="E490" s="4">
        <v>4</v>
      </c>
      <c r="F490" s="4"/>
      <c r="G490" s="4"/>
      <c r="H490" s="5">
        <f t="shared" si="7"/>
        <v>-6.2111801242236073E-3</v>
      </c>
    </row>
    <row r="491" spans="1:8" ht="13.5" x14ac:dyDescent="0.25">
      <c r="A491" s="1"/>
      <c r="B491" s="3">
        <v>43014</v>
      </c>
      <c r="C491" s="4">
        <v>3.2</v>
      </c>
      <c r="D491" s="4">
        <v>3.2</v>
      </c>
      <c r="E491" s="4">
        <v>320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3.2</v>
      </c>
      <c r="D492" s="4">
        <v>3.2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3.2</v>
      </c>
      <c r="D493" s="4">
        <v>3.2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3.2</v>
      </c>
      <c r="D494" s="4">
        <v>3.2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3.2</v>
      </c>
      <c r="D495" s="4">
        <v>3.2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3.2</v>
      </c>
      <c r="D496" s="4">
        <v>3.2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3.2</v>
      </c>
      <c r="D497" s="4">
        <v>3.2</v>
      </c>
      <c r="E497" s="4">
        <v>0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3.18</v>
      </c>
      <c r="D498" s="4">
        <v>3.18</v>
      </c>
      <c r="E498" s="4">
        <v>602</v>
      </c>
      <c r="F498" s="4"/>
      <c r="G498" s="4"/>
      <c r="H498" s="5">
        <f t="shared" si="7"/>
        <v>-6.2500000000000056E-3</v>
      </c>
    </row>
    <row r="499" spans="1:8" ht="13.5" x14ac:dyDescent="0.25">
      <c r="A499" s="1"/>
      <c r="B499" s="3">
        <v>43026</v>
      </c>
      <c r="C499" s="4">
        <v>3.18</v>
      </c>
      <c r="D499" s="4">
        <v>3.18</v>
      </c>
      <c r="E499" s="4">
        <v>132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3.16</v>
      </c>
      <c r="D500" s="4">
        <v>3.16</v>
      </c>
      <c r="E500" s="4">
        <v>182</v>
      </c>
      <c r="F500" s="4"/>
      <c r="G500" s="4"/>
      <c r="H500" s="5">
        <f t="shared" si="7"/>
        <v>-6.2893081761006345E-3</v>
      </c>
    </row>
    <row r="501" spans="1:8" ht="13.5" x14ac:dyDescent="0.25">
      <c r="A501" s="1"/>
      <c r="B501" s="3">
        <v>43028</v>
      </c>
      <c r="C501" s="4">
        <v>3.07</v>
      </c>
      <c r="D501" s="4">
        <v>3.07</v>
      </c>
      <c r="E501" s="4">
        <v>600</v>
      </c>
      <c r="F501" s="4"/>
      <c r="G501" s="4"/>
      <c r="H501" s="5">
        <f t="shared" si="7"/>
        <v>-2.8481012658227941E-2</v>
      </c>
    </row>
    <row r="502" spans="1:8" ht="13.5" x14ac:dyDescent="0.25">
      <c r="A502" s="1"/>
      <c r="B502" s="3">
        <v>43031</v>
      </c>
      <c r="C502" s="4">
        <v>3.07</v>
      </c>
      <c r="D502" s="4">
        <v>3.07</v>
      </c>
      <c r="E502" s="4">
        <v>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2.98</v>
      </c>
      <c r="D503" s="4">
        <v>2.98</v>
      </c>
      <c r="E503" s="4">
        <v>95</v>
      </c>
      <c r="F503" s="4"/>
      <c r="G503" s="4"/>
      <c r="H503" s="5">
        <f t="shared" si="7"/>
        <v>-2.9315960912052071E-2</v>
      </c>
    </row>
    <row r="504" spans="1:8" ht="13.5" x14ac:dyDescent="0.25">
      <c r="A504" s="1"/>
      <c r="B504" s="3">
        <v>43033</v>
      </c>
      <c r="C504" s="4">
        <v>2.9</v>
      </c>
      <c r="D504" s="4">
        <v>2.9</v>
      </c>
      <c r="E504" s="4">
        <v>134</v>
      </c>
      <c r="F504" s="4"/>
      <c r="G504" s="4"/>
      <c r="H504" s="5">
        <f t="shared" si="7"/>
        <v>-2.6845637583892641E-2</v>
      </c>
    </row>
    <row r="505" spans="1:8" ht="13.5" x14ac:dyDescent="0.25">
      <c r="A505" s="1"/>
      <c r="B505" s="3">
        <v>43034</v>
      </c>
      <c r="C505" s="4">
        <v>2.9</v>
      </c>
      <c r="D505" s="4">
        <v>2.9</v>
      </c>
      <c r="E505" s="4">
        <v>332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2.9</v>
      </c>
      <c r="D506" s="4">
        <v>2.9</v>
      </c>
      <c r="E506" s="4">
        <v>29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2.9</v>
      </c>
      <c r="D507" s="4">
        <v>2.9</v>
      </c>
      <c r="E507" s="4">
        <v>100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2.9</v>
      </c>
      <c r="D508" s="4">
        <v>2.9</v>
      </c>
      <c r="E508" s="4">
        <v>0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2.82</v>
      </c>
      <c r="D509" s="4">
        <v>2.82</v>
      </c>
      <c r="E509" s="4">
        <v>110</v>
      </c>
      <c r="F509" s="4"/>
      <c r="G509" s="4"/>
      <c r="H509" s="5">
        <f t="shared" si="7"/>
        <v>-2.7586206896551748E-2</v>
      </c>
    </row>
    <row r="510" spans="1:8" ht="13.5" x14ac:dyDescent="0.25">
      <c r="A510" s="1"/>
      <c r="B510" s="3">
        <v>43041</v>
      </c>
      <c r="C510" s="4">
        <v>2.7</v>
      </c>
      <c r="D510" s="4">
        <v>2.7</v>
      </c>
      <c r="E510" s="4">
        <v>167</v>
      </c>
      <c r="F510" s="4"/>
      <c r="G510" s="4"/>
      <c r="H510" s="5">
        <f t="shared" si="7"/>
        <v>-4.2553191489361583E-2</v>
      </c>
    </row>
    <row r="511" spans="1:8" ht="13.5" x14ac:dyDescent="0.25">
      <c r="A511" s="1"/>
      <c r="B511" s="3">
        <v>43042</v>
      </c>
      <c r="C511" s="4">
        <v>2.62</v>
      </c>
      <c r="D511" s="4">
        <v>2.62</v>
      </c>
      <c r="E511" s="4">
        <v>1134</v>
      </c>
      <c r="F511" s="4"/>
      <c r="G511" s="4"/>
      <c r="H511" s="5">
        <f t="shared" si="7"/>
        <v>-2.9629629629629655E-2</v>
      </c>
    </row>
    <row r="512" spans="1:8" ht="13.5" x14ac:dyDescent="0.25">
      <c r="A512" s="1"/>
      <c r="B512" s="3">
        <v>43045</v>
      </c>
      <c r="C512" s="4">
        <v>2.5499999999999998</v>
      </c>
      <c r="D512" s="4">
        <v>2.5499999999999998</v>
      </c>
      <c r="E512" s="4">
        <v>530</v>
      </c>
      <c r="F512" s="4"/>
      <c r="G512" s="4"/>
      <c r="H512" s="5">
        <f t="shared" si="7"/>
        <v>-2.6717557251908504E-2</v>
      </c>
    </row>
    <row r="513" spans="1:8" ht="13.5" x14ac:dyDescent="0.25">
      <c r="A513" s="1"/>
      <c r="B513" s="3">
        <v>43046</v>
      </c>
      <c r="C513" s="4">
        <v>2.5499999999999998</v>
      </c>
      <c r="D513" s="4">
        <v>2.5499999999999998</v>
      </c>
      <c r="E513" s="4">
        <v>50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2.5499999999999998</v>
      </c>
      <c r="D514" s="4">
        <v>2.5499999999999998</v>
      </c>
      <c r="E514" s="4">
        <v>2672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2.54</v>
      </c>
      <c r="D515" s="4">
        <v>2.54</v>
      </c>
      <c r="E515" s="4">
        <v>100</v>
      </c>
      <c r="F515" s="4"/>
      <c r="G515" s="4"/>
      <c r="H515" s="5">
        <f t="shared" si="7"/>
        <v>-3.9215686274508971E-3</v>
      </c>
    </row>
    <row r="516" spans="1:8" ht="13.5" x14ac:dyDescent="0.25">
      <c r="A516" s="1"/>
      <c r="B516" s="3">
        <v>43049</v>
      </c>
      <c r="C516" s="4">
        <v>2.5499999999999998</v>
      </c>
      <c r="D516" s="4">
        <v>2.5499999999999998</v>
      </c>
      <c r="E516" s="4">
        <v>98</v>
      </c>
      <c r="F516" s="4"/>
      <c r="G516" s="4"/>
      <c r="H516" s="5">
        <f t="shared" si="7"/>
        <v>3.9370078740156638E-3</v>
      </c>
    </row>
    <row r="517" spans="1:8" ht="13.5" x14ac:dyDescent="0.25">
      <c r="A517" s="1"/>
      <c r="B517" s="3">
        <v>43052</v>
      </c>
      <c r="C517" s="4">
        <v>2.48</v>
      </c>
      <c r="D517" s="4">
        <v>2.48</v>
      </c>
      <c r="E517" s="4">
        <v>50</v>
      </c>
      <c r="F517" s="4"/>
      <c r="G517" s="4"/>
      <c r="H517" s="5">
        <f t="shared" si="7"/>
        <v>-2.7450980392156803E-2</v>
      </c>
    </row>
    <row r="518" spans="1:8" ht="13.5" x14ac:dyDescent="0.25">
      <c r="A518" s="1"/>
      <c r="B518" s="3">
        <v>43053</v>
      </c>
      <c r="C518" s="4">
        <v>2.48</v>
      </c>
      <c r="D518" s="4">
        <v>2.48</v>
      </c>
      <c r="E518" s="4">
        <v>141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2.34</v>
      </c>
      <c r="D519" s="4">
        <v>2.34</v>
      </c>
      <c r="E519" s="4">
        <v>296</v>
      </c>
      <c r="F519" s="4"/>
      <c r="G519" s="4"/>
      <c r="H519" s="5">
        <f t="shared" ref="H519:H582" si="8">(D519-D518)/D518</f>
        <v>-5.645161290322586E-2</v>
      </c>
    </row>
    <row r="520" spans="1:8" ht="13.5" x14ac:dyDescent="0.25">
      <c r="A520" s="1"/>
      <c r="B520" s="3">
        <v>43055</v>
      </c>
      <c r="C520" s="4">
        <v>2.27</v>
      </c>
      <c r="D520" s="4">
        <v>2.27</v>
      </c>
      <c r="E520" s="4">
        <v>483</v>
      </c>
      <c r="F520" s="4"/>
      <c r="G520" s="4"/>
      <c r="H520" s="5">
        <f t="shared" si="8"/>
        <v>-2.9914529914529846E-2</v>
      </c>
    </row>
    <row r="521" spans="1:8" ht="13.5" x14ac:dyDescent="0.25">
      <c r="A521" s="1"/>
      <c r="B521" s="3">
        <v>43056</v>
      </c>
      <c r="C521" s="4">
        <v>2.27</v>
      </c>
      <c r="D521" s="4">
        <v>2.27</v>
      </c>
      <c r="E521" s="4">
        <v>120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2.2400000000000002</v>
      </c>
      <c r="D522" s="4">
        <v>2.2400000000000002</v>
      </c>
      <c r="E522" s="4">
        <v>26</v>
      </c>
      <c r="F522" s="4"/>
      <c r="G522" s="4"/>
      <c r="H522" s="5">
        <f t="shared" si="8"/>
        <v>-1.3215859030836918E-2</v>
      </c>
    </row>
    <row r="523" spans="1:8" ht="13.5" x14ac:dyDescent="0.25">
      <c r="A523" s="1"/>
      <c r="B523" s="3">
        <v>43060</v>
      </c>
      <c r="C523" s="4">
        <v>2.2400000000000002</v>
      </c>
      <c r="D523" s="4">
        <v>2.2400000000000002</v>
      </c>
      <c r="E523" s="4">
        <v>51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2.2000000000000002</v>
      </c>
      <c r="D524" s="4">
        <v>2.2000000000000002</v>
      </c>
      <c r="E524" s="4">
        <v>319</v>
      </c>
      <c r="F524" s="4"/>
      <c r="G524" s="4"/>
      <c r="H524" s="5">
        <f t="shared" si="8"/>
        <v>-1.785714285714287E-2</v>
      </c>
    </row>
    <row r="525" spans="1:8" ht="13.5" x14ac:dyDescent="0.25">
      <c r="A525" s="1"/>
      <c r="B525" s="3">
        <v>43062</v>
      </c>
      <c r="C525" s="4">
        <v>2.19</v>
      </c>
      <c r="D525" s="4">
        <v>2.19</v>
      </c>
      <c r="E525" s="4">
        <v>784</v>
      </c>
      <c r="F525" s="4"/>
      <c r="G525" s="4"/>
      <c r="H525" s="5">
        <f t="shared" si="8"/>
        <v>-4.5454545454546502E-3</v>
      </c>
    </row>
    <row r="526" spans="1:8" ht="13.5" x14ac:dyDescent="0.25">
      <c r="A526" s="1"/>
      <c r="B526" s="3">
        <v>43063</v>
      </c>
      <c r="C526" s="4">
        <v>2.19</v>
      </c>
      <c r="D526" s="4">
        <v>2.19</v>
      </c>
      <c r="E526" s="4">
        <v>948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2.2000000000000002</v>
      </c>
      <c r="D527" s="4">
        <v>2.2000000000000002</v>
      </c>
      <c r="E527" s="4">
        <v>499</v>
      </c>
      <c r="F527" s="4"/>
      <c r="G527" s="4"/>
      <c r="H527" s="5">
        <f t="shared" si="8"/>
        <v>4.566210045662206E-3</v>
      </c>
    </row>
    <row r="528" spans="1:8" ht="13.5" x14ac:dyDescent="0.25">
      <c r="A528" s="1"/>
      <c r="B528" s="3">
        <v>43067</v>
      </c>
      <c r="C528" s="4">
        <v>2.2000000000000002</v>
      </c>
      <c r="D528" s="4">
        <v>2.2000000000000002</v>
      </c>
      <c r="E528" s="4">
        <v>10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2.2000000000000002</v>
      </c>
      <c r="D529" s="4">
        <v>2.2000000000000002</v>
      </c>
      <c r="E529" s="4">
        <v>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2.2000000000000002</v>
      </c>
      <c r="D530" s="4">
        <v>2.2000000000000002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2.2000000000000002</v>
      </c>
      <c r="D531" s="4">
        <v>2.2000000000000002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2.11</v>
      </c>
      <c r="D532" s="4">
        <v>2.11</v>
      </c>
      <c r="E532" s="4">
        <v>0</v>
      </c>
      <c r="F532" s="4"/>
      <c r="G532" s="4"/>
      <c r="H532" s="5">
        <f t="shared" si="8"/>
        <v>-4.0909090909091041E-2</v>
      </c>
    </row>
    <row r="533" spans="1:8" ht="13.5" x14ac:dyDescent="0.25">
      <c r="A533" s="1"/>
      <c r="B533" s="3">
        <v>43075</v>
      </c>
      <c r="C533" s="4">
        <v>2.0499999999999998</v>
      </c>
      <c r="D533" s="4">
        <v>2.0499999999999998</v>
      </c>
      <c r="E533" s="4">
        <v>1776</v>
      </c>
      <c r="F533" s="4"/>
      <c r="G533" s="4"/>
      <c r="H533" s="5">
        <f t="shared" si="8"/>
        <v>-2.8436018957345998E-2</v>
      </c>
    </row>
    <row r="534" spans="1:8" ht="13.5" x14ac:dyDescent="0.25">
      <c r="A534" s="1"/>
      <c r="B534" s="3">
        <v>43076</v>
      </c>
      <c r="C534" s="4">
        <v>2.09</v>
      </c>
      <c r="D534" s="4">
        <v>2.09</v>
      </c>
      <c r="E534" s="4">
        <v>1395</v>
      </c>
      <c r="F534" s="4"/>
      <c r="G534" s="4"/>
      <c r="H534" s="5">
        <f t="shared" si="8"/>
        <v>1.9512195121951237E-2</v>
      </c>
    </row>
    <row r="535" spans="1:8" ht="13.5" x14ac:dyDescent="0.25">
      <c r="A535" s="1"/>
      <c r="B535" s="3">
        <v>43077</v>
      </c>
      <c r="C535" s="4">
        <v>2.08</v>
      </c>
      <c r="D535" s="4">
        <v>2.08</v>
      </c>
      <c r="E535" s="4">
        <v>324</v>
      </c>
      <c r="F535" s="4"/>
      <c r="G535" s="4"/>
      <c r="H535" s="5">
        <f t="shared" si="8"/>
        <v>-4.7846889952152093E-3</v>
      </c>
    </row>
    <row r="536" spans="1:8" ht="13.5" x14ac:dyDescent="0.25">
      <c r="A536" s="1"/>
      <c r="B536" s="3">
        <v>43080</v>
      </c>
      <c r="C536" s="4">
        <v>2.08</v>
      </c>
      <c r="D536" s="4">
        <v>2.08</v>
      </c>
      <c r="E536" s="4">
        <v>32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2.02</v>
      </c>
      <c r="D537" s="4">
        <v>2.02</v>
      </c>
      <c r="E537" s="4">
        <v>148</v>
      </c>
      <c r="F537" s="4"/>
      <c r="G537" s="4"/>
      <c r="H537" s="5">
        <f t="shared" si="8"/>
        <v>-2.8846153846153872E-2</v>
      </c>
    </row>
    <row r="538" spans="1:8" ht="13.5" x14ac:dyDescent="0.25">
      <c r="A538" s="1"/>
      <c r="B538" s="3">
        <v>43082</v>
      </c>
      <c r="C538" s="4">
        <v>2</v>
      </c>
      <c r="D538" s="4">
        <v>2</v>
      </c>
      <c r="E538" s="4">
        <v>55</v>
      </c>
      <c r="F538" s="4"/>
      <c r="G538" s="4"/>
      <c r="H538" s="5">
        <f t="shared" si="8"/>
        <v>-9.9009900990099098E-3</v>
      </c>
    </row>
    <row r="539" spans="1:8" ht="13.5" x14ac:dyDescent="0.25">
      <c r="A539" s="1"/>
      <c r="B539" s="3">
        <v>43083</v>
      </c>
      <c r="C539" s="4">
        <v>2</v>
      </c>
      <c r="D539" s="4">
        <v>2</v>
      </c>
      <c r="E539" s="4">
        <v>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2.06</v>
      </c>
      <c r="D540" s="4">
        <v>2.06</v>
      </c>
      <c r="E540" s="4">
        <v>70</v>
      </c>
      <c r="F540" s="4"/>
      <c r="G540" s="4"/>
      <c r="H540" s="5">
        <f t="shared" si="8"/>
        <v>3.0000000000000027E-2</v>
      </c>
    </row>
    <row r="541" spans="1:8" ht="13.5" x14ac:dyDescent="0.25">
      <c r="A541" s="1"/>
      <c r="B541" s="3">
        <v>43087</v>
      </c>
      <c r="C541" s="4">
        <v>2</v>
      </c>
      <c r="D541" s="4">
        <v>2</v>
      </c>
      <c r="E541" s="4">
        <v>1020</v>
      </c>
      <c r="F541" s="4"/>
      <c r="G541" s="4"/>
      <c r="H541" s="5">
        <f t="shared" si="8"/>
        <v>-2.9126213592233035E-2</v>
      </c>
    </row>
    <row r="542" spans="1:8" ht="13.5" x14ac:dyDescent="0.25">
      <c r="A542" s="1"/>
      <c r="B542" s="3">
        <v>43088</v>
      </c>
      <c r="C542" s="4">
        <v>2</v>
      </c>
      <c r="D542" s="4">
        <v>2</v>
      </c>
      <c r="E542" s="4">
        <v>1214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2</v>
      </c>
      <c r="D543" s="4">
        <v>2</v>
      </c>
      <c r="E543" s="4">
        <v>361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2</v>
      </c>
      <c r="D544" s="4">
        <v>2</v>
      </c>
      <c r="E544" s="4">
        <v>262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1.97</v>
      </c>
      <c r="D545" s="4">
        <v>1.97</v>
      </c>
      <c r="E545" s="4">
        <v>1391</v>
      </c>
      <c r="F545" s="4"/>
      <c r="G545" s="4"/>
      <c r="H545" s="5">
        <f t="shared" si="8"/>
        <v>-1.5000000000000013E-2</v>
      </c>
    </row>
    <row r="546" spans="1:8" ht="13.5" x14ac:dyDescent="0.25">
      <c r="A546" s="1"/>
      <c r="B546" s="3">
        <v>43094</v>
      </c>
      <c r="C546" s="4">
        <v>1.95</v>
      </c>
      <c r="D546" s="4">
        <v>1.95</v>
      </c>
      <c r="E546" s="4">
        <v>524</v>
      </c>
      <c r="F546" s="4"/>
      <c r="G546" s="4"/>
      <c r="H546" s="5">
        <f t="shared" si="8"/>
        <v>-1.01522842639594E-2</v>
      </c>
    </row>
    <row r="547" spans="1:8" ht="13.5" x14ac:dyDescent="0.25">
      <c r="A547" s="1"/>
      <c r="B547" s="3">
        <v>43095</v>
      </c>
      <c r="C547" s="4">
        <v>1.9</v>
      </c>
      <c r="D547" s="4">
        <v>1.9</v>
      </c>
      <c r="E547" s="4">
        <v>2641</v>
      </c>
      <c r="F547" s="4"/>
      <c r="G547" s="4"/>
      <c r="H547" s="5">
        <f t="shared" si="8"/>
        <v>-2.5641025641025664E-2</v>
      </c>
    </row>
    <row r="548" spans="1:8" ht="13.5" x14ac:dyDescent="0.25">
      <c r="A548" s="1"/>
      <c r="B548" s="3">
        <v>43096</v>
      </c>
      <c r="C548" s="4">
        <v>1.94</v>
      </c>
      <c r="D548" s="4">
        <v>1.94</v>
      </c>
      <c r="E548" s="4">
        <v>427</v>
      </c>
      <c r="F548" s="4"/>
      <c r="G548" s="4"/>
      <c r="H548" s="5">
        <f t="shared" si="8"/>
        <v>2.1052631578947389E-2</v>
      </c>
    </row>
    <row r="549" spans="1:8" ht="13.5" x14ac:dyDescent="0.25">
      <c r="A549" s="1"/>
      <c r="B549" s="3">
        <v>43097</v>
      </c>
      <c r="C549" s="4">
        <v>1.9</v>
      </c>
      <c r="D549" s="4">
        <v>1.9</v>
      </c>
      <c r="E549" s="4">
        <v>1855</v>
      </c>
      <c r="F549" s="4"/>
      <c r="G549" s="4"/>
      <c r="H549" s="5">
        <f t="shared" si="8"/>
        <v>-2.0618556701030948E-2</v>
      </c>
    </row>
    <row r="550" spans="1:8" ht="13.5" x14ac:dyDescent="0.25">
      <c r="A550" s="1"/>
      <c r="B550" s="3">
        <v>43098</v>
      </c>
      <c r="C550" s="4">
        <v>1.89</v>
      </c>
      <c r="D550" s="4">
        <v>1.89</v>
      </c>
      <c r="E550" s="4">
        <v>2959</v>
      </c>
      <c r="F550" s="4"/>
      <c r="G550" s="4"/>
      <c r="H550" s="5">
        <f t="shared" si="8"/>
        <v>-5.2631578947368472E-3</v>
      </c>
    </row>
    <row r="551" spans="1:8" ht="13.5" x14ac:dyDescent="0.25">
      <c r="A551" s="1"/>
      <c r="B551" s="3">
        <v>43102</v>
      </c>
      <c r="C551" s="4">
        <v>1.89</v>
      </c>
      <c r="D551" s="4">
        <v>1.89</v>
      </c>
      <c r="E551" s="4">
        <v>160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1.9</v>
      </c>
      <c r="D552" s="4">
        <v>1.9</v>
      </c>
      <c r="E552" s="4">
        <v>20</v>
      </c>
      <c r="F552" s="4"/>
      <c r="G552" s="4"/>
      <c r="H552" s="5">
        <f t="shared" si="8"/>
        <v>5.2910052910052959E-3</v>
      </c>
    </row>
    <row r="553" spans="1:8" ht="13.5" x14ac:dyDescent="0.25">
      <c r="A553" s="1"/>
      <c r="B553" s="3">
        <v>43104</v>
      </c>
      <c r="C553" s="4">
        <v>1.89</v>
      </c>
      <c r="D553" s="4">
        <v>1.89</v>
      </c>
      <c r="E553" s="4">
        <v>1153</v>
      </c>
      <c r="F553" s="4"/>
      <c r="G553" s="4"/>
      <c r="H553" s="5">
        <f t="shared" si="8"/>
        <v>-5.2631578947368472E-3</v>
      </c>
    </row>
    <row r="554" spans="1:8" ht="13.5" x14ac:dyDescent="0.25">
      <c r="A554" s="1"/>
      <c r="B554" s="3">
        <v>43105</v>
      </c>
      <c r="C554" s="4">
        <v>1.84</v>
      </c>
      <c r="D554" s="4">
        <v>1.84</v>
      </c>
      <c r="E554" s="4">
        <v>111</v>
      </c>
      <c r="F554" s="4"/>
      <c r="G554" s="4"/>
      <c r="H554" s="5">
        <f t="shared" si="8"/>
        <v>-2.6455026455026363E-2</v>
      </c>
    </row>
    <row r="555" spans="1:8" ht="13.5" x14ac:dyDescent="0.25">
      <c r="A555" s="1"/>
      <c r="B555" s="3">
        <v>43108</v>
      </c>
      <c r="C555" s="4">
        <v>1.86</v>
      </c>
      <c r="D555" s="4">
        <v>1.86</v>
      </c>
      <c r="E555" s="4">
        <v>2217</v>
      </c>
      <c r="F555" s="4"/>
      <c r="G555" s="4"/>
      <c r="H555" s="5">
        <f t="shared" si="8"/>
        <v>1.0869565217391313E-2</v>
      </c>
    </row>
    <row r="556" spans="1:8" ht="13.5" x14ac:dyDescent="0.25">
      <c r="A556" s="1"/>
      <c r="B556" s="3">
        <v>43109</v>
      </c>
      <c r="C556" s="4">
        <v>1.81</v>
      </c>
      <c r="D556" s="4">
        <v>1.81</v>
      </c>
      <c r="E556" s="4">
        <v>90</v>
      </c>
      <c r="F556" s="4"/>
      <c r="G556" s="4"/>
      <c r="H556" s="5">
        <f t="shared" si="8"/>
        <v>-2.6881720430107548E-2</v>
      </c>
    </row>
    <row r="557" spans="1:8" ht="13.5" x14ac:dyDescent="0.25">
      <c r="A557" s="1"/>
      <c r="B557" s="3">
        <v>43110</v>
      </c>
      <c r="C557" s="4">
        <v>1.78</v>
      </c>
      <c r="D557" s="4">
        <v>1.78</v>
      </c>
      <c r="E557" s="4">
        <v>220</v>
      </c>
      <c r="F557" s="4"/>
      <c r="G557" s="4"/>
      <c r="H557" s="5">
        <f t="shared" si="8"/>
        <v>-1.6574585635359129E-2</v>
      </c>
    </row>
    <row r="558" spans="1:8" ht="13.5" x14ac:dyDescent="0.25">
      <c r="A558" s="1"/>
      <c r="B558" s="3">
        <v>43111</v>
      </c>
      <c r="C558" s="4">
        <v>1.73</v>
      </c>
      <c r="D558" s="4">
        <v>1.73</v>
      </c>
      <c r="E558" s="4">
        <v>1313</v>
      </c>
      <c r="F558" s="4"/>
      <c r="G558" s="4"/>
      <c r="H558" s="5">
        <f t="shared" si="8"/>
        <v>-2.8089887640449462E-2</v>
      </c>
    </row>
    <row r="559" spans="1:8" ht="13.5" x14ac:dyDescent="0.25">
      <c r="A559" s="1"/>
      <c r="B559" s="3">
        <v>43112</v>
      </c>
      <c r="C559" s="4">
        <v>1.79</v>
      </c>
      <c r="D559" s="4">
        <v>1.79</v>
      </c>
      <c r="E559" s="4">
        <v>660</v>
      </c>
      <c r="F559" s="4"/>
      <c r="G559" s="4"/>
      <c r="H559" s="5">
        <f t="shared" si="8"/>
        <v>3.4682080924855523E-2</v>
      </c>
    </row>
    <row r="560" spans="1:8" ht="13.5" x14ac:dyDescent="0.25">
      <c r="A560" s="1"/>
      <c r="B560" s="3">
        <v>43115</v>
      </c>
      <c r="C560" s="4">
        <v>1.8</v>
      </c>
      <c r="D560" s="4">
        <v>1.8</v>
      </c>
      <c r="E560" s="4">
        <v>20</v>
      </c>
      <c r="F560" s="4"/>
      <c r="G560" s="4"/>
      <c r="H560" s="5">
        <f t="shared" si="8"/>
        <v>5.5865921787709542E-3</v>
      </c>
    </row>
    <row r="561" spans="1:8" ht="13.5" x14ac:dyDescent="0.25">
      <c r="A561" s="1"/>
      <c r="B561" s="3">
        <v>43116</v>
      </c>
      <c r="C561" s="4">
        <v>1.77</v>
      </c>
      <c r="D561" s="4">
        <v>1.77</v>
      </c>
      <c r="E561" s="4">
        <v>52</v>
      </c>
      <c r="F561" s="4"/>
      <c r="G561" s="4"/>
      <c r="H561" s="5">
        <f t="shared" si="8"/>
        <v>-1.666666666666668E-2</v>
      </c>
    </row>
    <row r="562" spans="1:8" ht="13.5" x14ac:dyDescent="0.25">
      <c r="A562" s="1"/>
      <c r="B562" s="3">
        <v>43117</v>
      </c>
      <c r="C562" s="4">
        <v>1.78</v>
      </c>
      <c r="D562" s="4">
        <v>1.78</v>
      </c>
      <c r="E562" s="4">
        <v>1021</v>
      </c>
      <c r="F562" s="4"/>
      <c r="G562" s="4"/>
      <c r="H562" s="5">
        <f t="shared" si="8"/>
        <v>5.649717514124299E-3</v>
      </c>
    </row>
    <row r="563" spans="1:8" ht="13.5" x14ac:dyDescent="0.25">
      <c r="A563" s="1"/>
      <c r="B563" s="3">
        <v>43118</v>
      </c>
      <c r="C563" s="4">
        <v>1.73</v>
      </c>
      <c r="D563" s="4">
        <v>1.73</v>
      </c>
      <c r="E563" s="4">
        <v>245</v>
      </c>
      <c r="F563" s="4"/>
      <c r="G563" s="4"/>
      <c r="H563" s="5">
        <f t="shared" si="8"/>
        <v>-2.8089887640449462E-2</v>
      </c>
    </row>
    <row r="564" spans="1:8" ht="13.5" x14ac:dyDescent="0.25">
      <c r="A564" s="1"/>
      <c r="B564" s="3">
        <v>43119</v>
      </c>
      <c r="C564" s="4">
        <v>1.7</v>
      </c>
      <c r="D564" s="4">
        <v>1.7</v>
      </c>
      <c r="E564" s="4">
        <v>1890</v>
      </c>
      <c r="F564" s="4"/>
      <c r="G564" s="4"/>
      <c r="H564" s="5">
        <f t="shared" si="8"/>
        <v>-1.7341040462427761E-2</v>
      </c>
    </row>
    <row r="565" spans="1:8" ht="13.5" x14ac:dyDescent="0.25">
      <c r="A565" s="1"/>
      <c r="B565" s="3">
        <v>43122</v>
      </c>
      <c r="C565" s="4">
        <v>1.7</v>
      </c>
      <c r="D565" s="4">
        <v>1.7</v>
      </c>
      <c r="E565" s="4">
        <v>655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1.69</v>
      </c>
      <c r="D566" s="4">
        <v>1.69</v>
      </c>
      <c r="E566" s="4">
        <v>679</v>
      </c>
      <c r="F566" s="4"/>
      <c r="G566" s="4"/>
      <c r="H566" s="5">
        <f t="shared" si="8"/>
        <v>-5.8823529411764757E-3</v>
      </c>
    </row>
    <row r="567" spans="1:8" ht="13.5" x14ac:dyDescent="0.25">
      <c r="A567" s="1"/>
      <c r="B567" s="3">
        <v>43124</v>
      </c>
      <c r="C567" s="4">
        <v>1.64</v>
      </c>
      <c r="D567" s="4">
        <v>1.64</v>
      </c>
      <c r="E567" s="4">
        <v>220</v>
      </c>
      <c r="F567" s="4"/>
      <c r="G567" s="4"/>
      <c r="H567" s="5">
        <f t="shared" si="8"/>
        <v>-2.9585798816568074E-2</v>
      </c>
    </row>
    <row r="568" spans="1:8" ht="13.5" x14ac:dyDescent="0.25">
      <c r="A568" s="1"/>
      <c r="B568" s="3">
        <v>43125</v>
      </c>
      <c r="C568" s="4">
        <v>1.7</v>
      </c>
      <c r="D568" s="4">
        <v>1.7</v>
      </c>
      <c r="E568" s="4">
        <v>336</v>
      </c>
      <c r="F568" s="4"/>
      <c r="G568" s="4"/>
      <c r="H568" s="5">
        <f t="shared" si="8"/>
        <v>3.6585365853658569E-2</v>
      </c>
    </row>
    <row r="569" spans="1:8" ht="13.5" x14ac:dyDescent="0.25">
      <c r="A569" s="1"/>
      <c r="B569" s="3">
        <v>43126</v>
      </c>
      <c r="C569" s="4">
        <v>1.7</v>
      </c>
      <c r="D569" s="4">
        <v>1.7</v>
      </c>
      <c r="E569" s="4">
        <v>20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1.7</v>
      </c>
      <c r="D570" s="4">
        <v>1.7</v>
      </c>
      <c r="E570" s="4">
        <v>0</v>
      </c>
      <c r="F570" s="4"/>
      <c r="G570" s="4"/>
      <c r="H570" s="5">
        <f t="shared" si="8"/>
        <v>0</v>
      </c>
    </row>
    <row r="571" spans="1:8" ht="13.5" x14ac:dyDescent="0.25">
      <c r="A571" s="1"/>
      <c r="B571" s="3">
        <v>43130</v>
      </c>
      <c r="C571" s="4">
        <v>1.65</v>
      </c>
      <c r="D571" s="4">
        <v>1.65</v>
      </c>
      <c r="E571" s="4">
        <v>150</v>
      </c>
      <c r="F571" s="4"/>
      <c r="G571" s="4"/>
      <c r="H571" s="5">
        <f t="shared" si="8"/>
        <v>-2.941176470588238E-2</v>
      </c>
    </row>
    <row r="572" spans="1:8" ht="13.5" x14ac:dyDescent="0.25">
      <c r="A572" s="1"/>
      <c r="B572" s="3">
        <v>43131</v>
      </c>
      <c r="C572" s="4">
        <v>1.64</v>
      </c>
      <c r="D572" s="4">
        <v>1.64</v>
      </c>
      <c r="E572" s="4">
        <v>425</v>
      </c>
      <c r="F572" s="4"/>
      <c r="G572" s="4"/>
      <c r="H572" s="5">
        <f t="shared" si="8"/>
        <v>-6.0606060606060667E-3</v>
      </c>
    </row>
    <row r="573" spans="1:8" ht="13.5" x14ac:dyDescent="0.25">
      <c r="A573" s="1"/>
      <c r="B573" s="3">
        <v>43132</v>
      </c>
      <c r="C573" s="4">
        <v>1.6</v>
      </c>
      <c r="D573" s="4">
        <v>1.6</v>
      </c>
      <c r="E573" s="4">
        <v>369</v>
      </c>
      <c r="F573" s="4"/>
      <c r="G573" s="4"/>
      <c r="H573" s="5">
        <f t="shared" si="8"/>
        <v>-2.4390243902438911E-2</v>
      </c>
    </row>
    <row r="574" spans="1:8" ht="13.5" x14ac:dyDescent="0.25">
      <c r="A574" s="1"/>
      <c r="B574" s="3">
        <v>43133</v>
      </c>
      <c r="C574" s="4">
        <v>1.56</v>
      </c>
      <c r="D574" s="4">
        <v>1.56</v>
      </c>
      <c r="E574" s="4">
        <v>5752</v>
      </c>
      <c r="F574" s="4"/>
      <c r="G574" s="4"/>
      <c r="H574" s="5">
        <f t="shared" si="8"/>
        <v>-2.5000000000000022E-2</v>
      </c>
    </row>
    <row r="575" spans="1:8" ht="13.5" x14ac:dyDescent="0.25">
      <c r="A575" s="1"/>
      <c r="B575" s="3">
        <v>43136</v>
      </c>
      <c r="C575" s="4">
        <v>1.52</v>
      </c>
      <c r="D575" s="4">
        <v>1.52</v>
      </c>
      <c r="E575" s="4">
        <v>14706</v>
      </c>
      <c r="F575" s="4"/>
      <c r="G575" s="4"/>
      <c r="H575" s="5">
        <f t="shared" si="8"/>
        <v>-2.5641025641025664E-2</v>
      </c>
    </row>
    <row r="576" spans="1:8" ht="13.5" x14ac:dyDescent="0.25">
      <c r="A576" s="1"/>
      <c r="B576" s="3">
        <v>43137</v>
      </c>
      <c r="C576" s="4">
        <v>1.5</v>
      </c>
      <c r="D576" s="4">
        <v>1.5</v>
      </c>
      <c r="E576" s="4">
        <v>439</v>
      </c>
      <c r="F576" s="4"/>
      <c r="G576" s="4"/>
      <c r="H576" s="5">
        <f t="shared" si="8"/>
        <v>-1.3157894736842117E-2</v>
      </c>
    </row>
    <row r="577" spans="1:8" ht="13.5" x14ac:dyDescent="0.25">
      <c r="A577" s="1"/>
      <c r="B577" s="3">
        <v>43138</v>
      </c>
      <c r="C577" s="4">
        <v>1.46</v>
      </c>
      <c r="D577" s="4">
        <v>1.46</v>
      </c>
      <c r="E577" s="4">
        <v>236</v>
      </c>
      <c r="F577" s="4"/>
      <c r="G577" s="4"/>
      <c r="H577" s="5">
        <f t="shared" si="8"/>
        <v>-2.6666666666666689E-2</v>
      </c>
    </row>
    <row r="578" spans="1:8" ht="13.5" x14ac:dyDescent="0.25">
      <c r="A578" s="1"/>
      <c r="B578" s="3">
        <v>43139</v>
      </c>
      <c r="C578" s="4">
        <v>1.45</v>
      </c>
      <c r="D578" s="4">
        <v>1.45</v>
      </c>
      <c r="E578" s="4">
        <v>600</v>
      </c>
      <c r="F578" s="4"/>
      <c r="G578" s="4"/>
      <c r="H578" s="5">
        <f t="shared" si="8"/>
        <v>-6.8493150684931572E-3</v>
      </c>
    </row>
    <row r="579" spans="1:8" ht="13.5" x14ac:dyDescent="0.25">
      <c r="A579" s="1"/>
      <c r="B579" s="3">
        <v>43140</v>
      </c>
      <c r="C579" s="4">
        <v>1.44</v>
      </c>
      <c r="D579" s="4">
        <v>1.44</v>
      </c>
      <c r="E579" s="4">
        <v>521</v>
      </c>
      <c r="F579" s="4"/>
      <c r="G579" s="4"/>
      <c r="H579" s="5">
        <f t="shared" si="8"/>
        <v>-6.896551724137937E-3</v>
      </c>
    </row>
    <row r="580" spans="1:8" ht="13.5" x14ac:dyDescent="0.25">
      <c r="A580" s="1"/>
      <c r="B580" s="3">
        <v>43143</v>
      </c>
      <c r="C580" s="4">
        <v>1.49</v>
      </c>
      <c r="D580" s="4">
        <v>1.49</v>
      </c>
      <c r="E580" s="4">
        <v>1350</v>
      </c>
      <c r="F580" s="4"/>
      <c r="G580" s="4"/>
      <c r="H580" s="5">
        <f t="shared" si="8"/>
        <v>3.4722222222222252E-2</v>
      </c>
    </row>
    <row r="581" spans="1:8" ht="13.5" x14ac:dyDescent="0.25">
      <c r="A581" s="1"/>
      <c r="B581" s="3">
        <v>43144</v>
      </c>
      <c r="C581" s="4">
        <v>1.45</v>
      </c>
      <c r="D581" s="4">
        <v>1.45</v>
      </c>
      <c r="E581" s="4">
        <v>541</v>
      </c>
      <c r="F581" s="4"/>
      <c r="G581" s="4"/>
      <c r="H581" s="5">
        <f t="shared" si="8"/>
        <v>-2.6845637583892641E-2</v>
      </c>
    </row>
    <row r="582" spans="1:8" ht="13.5" x14ac:dyDescent="0.25">
      <c r="A582" s="1"/>
      <c r="B582" s="3">
        <v>43145</v>
      </c>
      <c r="C582" s="4">
        <v>1.45</v>
      </c>
      <c r="D582" s="4">
        <v>1.45</v>
      </c>
      <c r="E582" s="4">
        <v>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1.45</v>
      </c>
      <c r="D583" s="4">
        <v>1.45</v>
      </c>
      <c r="E583" s="4">
        <v>0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1.45</v>
      </c>
      <c r="D584" s="4">
        <v>1.45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1.45</v>
      </c>
      <c r="D585" s="4">
        <v>1.45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1.44</v>
      </c>
      <c r="D586" s="4">
        <v>1.44</v>
      </c>
      <c r="E586" s="4">
        <v>150</v>
      </c>
      <c r="F586" s="4"/>
      <c r="G586" s="4"/>
      <c r="H586" s="5">
        <f t="shared" si="9"/>
        <v>-6.896551724137937E-3</v>
      </c>
    </row>
    <row r="587" spans="1:8" ht="13.5" x14ac:dyDescent="0.25">
      <c r="A587" s="1"/>
      <c r="B587" s="3">
        <v>43152</v>
      </c>
      <c r="C587" s="4">
        <v>1.52</v>
      </c>
      <c r="D587" s="4">
        <v>1.52</v>
      </c>
      <c r="E587" s="4">
        <v>15665</v>
      </c>
      <c r="F587" s="4"/>
      <c r="G587" s="4"/>
      <c r="H587" s="5">
        <f t="shared" si="9"/>
        <v>5.5555555555555608E-2</v>
      </c>
    </row>
    <row r="588" spans="1:8" ht="13.5" x14ac:dyDescent="0.25">
      <c r="A588" s="1"/>
      <c r="B588" s="3">
        <v>43153</v>
      </c>
      <c r="C588" s="4">
        <v>1.61</v>
      </c>
      <c r="D588" s="4">
        <v>1.61</v>
      </c>
      <c r="E588" s="4">
        <v>14405</v>
      </c>
      <c r="F588" s="4"/>
      <c r="G588" s="4"/>
      <c r="H588" s="5">
        <f t="shared" si="9"/>
        <v>5.9210526315789526E-2</v>
      </c>
    </row>
    <row r="589" spans="1:8" ht="13.5" x14ac:dyDescent="0.25">
      <c r="A589" s="1"/>
      <c r="B589" s="3">
        <v>43154</v>
      </c>
      <c r="C589" s="4">
        <v>1.56</v>
      </c>
      <c r="D589" s="4">
        <v>1.56</v>
      </c>
      <c r="E589" s="4">
        <v>10529</v>
      </c>
      <c r="F589" s="4"/>
      <c r="G589" s="4"/>
      <c r="H589" s="5">
        <f t="shared" si="9"/>
        <v>-3.105590062111804E-2</v>
      </c>
    </row>
    <row r="590" spans="1:8" ht="13.5" x14ac:dyDescent="0.25">
      <c r="A590" s="1"/>
      <c r="B590" s="3">
        <v>43157</v>
      </c>
      <c r="C590" s="4">
        <v>1.6</v>
      </c>
      <c r="D590" s="4">
        <v>1.6</v>
      </c>
      <c r="E590" s="4">
        <v>13046</v>
      </c>
      <c r="F590" s="4"/>
      <c r="G590" s="4"/>
      <c r="H590" s="5">
        <f t="shared" si="9"/>
        <v>2.5641025641025664E-2</v>
      </c>
    </row>
    <row r="591" spans="1:8" ht="13.5" x14ac:dyDescent="0.25">
      <c r="A591" s="1"/>
      <c r="B591" s="3">
        <v>43158</v>
      </c>
      <c r="C591" s="4">
        <v>1.67</v>
      </c>
      <c r="D591" s="4">
        <v>1.67</v>
      </c>
      <c r="E591" s="4">
        <v>1259</v>
      </c>
      <c r="F591" s="4"/>
      <c r="G591" s="4"/>
      <c r="H591" s="5">
        <f t="shared" si="9"/>
        <v>4.37499999999999E-2</v>
      </c>
    </row>
    <row r="592" spans="1:8" ht="13.5" x14ac:dyDescent="0.25">
      <c r="A592" s="1"/>
      <c r="B592" s="3">
        <v>43159</v>
      </c>
      <c r="C592" s="4">
        <v>1.77</v>
      </c>
      <c r="D592" s="4">
        <v>1.77</v>
      </c>
      <c r="E592" s="4">
        <v>5373</v>
      </c>
      <c r="F592" s="4"/>
      <c r="G592" s="4"/>
      <c r="H592" s="5">
        <f t="shared" si="9"/>
        <v>5.988023952095814E-2</v>
      </c>
    </row>
    <row r="593" spans="1:8" ht="13.5" x14ac:dyDescent="0.25">
      <c r="A593" s="1"/>
      <c r="B593" s="3">
        <v>43160</v>
      </c>
      <c r="C593" s="4">
        <v>1.87</v>
      </c>
      <c r="D593" s="4">
        <v>1.87</v>
      </c>
      <c r="E593" s="4">
        <v>8552</v>
      </c>
      <c r="F593" s="4"/>
      <c r="G593" s="4"/>
      <c r="H593" s="5">
        <f t="shared" si="9"/>
        <v>5.6497175141242986E-2</v>
      </c>
    </row>
    <row r="594" spans="1:8" ht="13.5" x14ac:dyDescent="0.25">
      <c r="A594" s="1"/>
      <c r="B594" s="3">
        <v>43161</v>
      </c>
      <c r="C594" s="4">
        <v>1.95</v>
      </c>
      <c r="D594" s="4">
        <v>1.95</v>
      </c>
      <c r="E594" s="4">
        <v>4759</v>
      </c>
      <c r="F594" s="4"/>
      <c r="G594" s="4"/>
      <c r="H594" s="5">
        <f t="shared" si="9"/>
        <v>4.2780748663101519E-2</v>
      </c>
    </row>
    <row r="595" spans="1:8" ht="13.5" x14ac:dyDescent="0.25">
      <c r="A595" s="1"/>
      <c r="B595" s="3">
        <v>43164</v>
      </c>
      <c r="C595" s="4">
        <v>2.06</v>
      </c>
      <c r="D595" s="4">
        <v>2.06</v>
      </c>
      <c r="E595" s="4">
        <v>1886</v>
      </c>
      <c r="F595" s="4"/>
      <c r="G595" s="4"/>
      <c r="H595" s="5">
        <f t="shared" si="9"/>
        <v>5.641025641025646E-2</v>
      </c>
    </row>
    <row r="596" spans="1:8" ht="13.5" x14ac:dyDescent="0.25">
      <c r="A596" s="1"/>
      <c r="B596" s="3">
        <v>43165</v>
      </c>
      <c r="C596" s="4">
        <v>2.1800000000000002</v>
      </c>
      <c r="D596" s="4">
        <v>2.1800000000000002</v>
      </c>
      <c r="E596" s="4">
        <v>20238</v>
      </c>
      <c r="F596" s="4"/>
      <c r="G596" s="4"/>
      <c r="H596" s="5">
        <f t="shared" si="9"/>
        <v>5.825242718446607E-2</v>
      </c>
    </row>
    <row r="597" spans="1:8" ht="13.5" x14ac:dyDescent="0.25">
      <c r="A597" s="1"/>
      <c r="B597" s="3">
        <v>43166</v>
      </c>
      <c r="C597" s="4">
        <v>2.31</v>
      </c>
      <c r="D597" s="4">
        <v>2.31</v>
      </c>
      <c r="E597" s="4">
        <v>6509</v>
      </c>
      <c r="F597" s="4"/>
      <c r="G597" s="4"/>
      <c r="H597" s="5">
        <f t="shared" si="9"/>
        <v>5.9633027522935728E-2</v>
      </c>
    </row>
    <row r="598" spans="1:8" ht="13.5" x14ac:dyDescent="0.25">
      <c r="A598" s="1"/>
      <c r="B598" s="3">
        <v>43167</v>
      </c>
      <c r="C598" s="4">
        <v>2.41</v>
      </c>
      <c r="D598" s="4">
        <v>2.41</v>
      </c>
      <c r="E598" s="4">
        <v>0</v>
      </c>
      <c r="F598" s="4"/>
      <c r="G598" s="4"/>
      <c r="H598" s="5">
        <f t="shared" si="9"/>
        <v>4.329004329004333E-2</v>
      </c>
    </row>
    <row r="599" spans="1:8" ht="13.5" x14ac:dyDescent="0.25">
      <c r="A599" s="1"/>
      <c r="B599" s="3">
        <v>43168</v>
      </c>
      <c r="C599" s="4">
        <v>2.39</v>
      </c>
      <c r="D599" s="4">
        <v>2.39</v>
      </c>
      <c r="E599" s="4">
        <v>20892</v>
      </c>
      <c r="F599" s="4"/>
      <c r="G599" s="4"/>
      <c r="H599" s="5">
        <f t="shared" si="9"/>
        <v>-8.2987551867219986E-3</v>
      </c>
    </row>
    <row r="600" spans="1:8" ht="13.5" x14ac:dyDescent="0.25">
      <c r="A600" s="1"/>
      <c r="B600" s="3">
        <v>43171</v>
      </c>
      <c r="C600" s="4">
        <v>2.44</v>
      </c>
      <c r="D600" s="4">
        <v>2.44</v>
      </c>
      <c r="E600" s="4">
        <v>7164</v>
      </c>
      <c r="F600" s="4"/>
      <c r="G600" s="4"/>
      <c r="H600" s="5">
        <f t="shared" si="9"/>
        <v>2.0920502092050135E-2</v>
      </c>
    </row>
    <row r="601" spans="1:8" ht="13.5" x14ac:dyDescent="0.25">
      <c r="A601" s="1"/>
      <c r="B601" s="3">
        <v>43172</v>
      </c>
      <c r="C601" s="4">
        <v>2.38</v>
      </c>
      <c r="D601" s="4">
        <v>2.38</v>
      </c>
      <c r="E601" s="4">
        <v>4408</v>
      </c>
      <c r="F601" s="4"/>
      <c r="G601" s="4"/>
      <c r="H601" s="5">
        <f t="shared" si="9"/>
        <v>-2.4590163934426253E-2</v>
      </c>
    </row>
    <row r="602" spans="1:8" ht="13.5" x14ac:dyDescent="0.25">
      <c r="A602" s="1"/>
      <c r="B602" s="3">
        <v>43173</v>
      </c>
      <c r="C602" s="4">
        <v>2.34</v>
      </c>
      <c r="D602" s="4">
        <v>2.34</v>
      </c>
      <c r="E602" s="4">
        <v>3958</v>
      </c>
      <c r="F602" s="4"/>
      <c r="G602" s="4"/>
      <c r="H602" s="5">
        <f t="shared" si="9"/>
        <v>-1.6806722689075647E-2</v>
      </c>
    </row>
    <row r="603" spans="1:8" ht="13.5" x14ac:dyDescent="0.25">
      <c r="A603" s="1"/>
      <c r="B603" s="3">
        <v>43174</v>
      </c>
      <c r="C603" s="4">
        <v>2.27</v>
      </c>
      <c r="D603" s="4">
        <v>2.27</v>
      </c>
      <c r="E603" s="4">
        <v>13</v>
      </c>
      <c r="F603" s="4"/>
      <c r="G603" s="4"/>
      <c r="H603" s="5">
        <f t="shared" si="9"/>
        <v>-2.9914529914529846E-2</v>
      </c>
    </row>
    <row r="604" spans="1:8" ht="13.5" x14ac:dyDescent="0.25">
      <c r="A604" s="1"/>
      <c r="B604" s="3">
        <v>43175</v>
      </c>
      <c r="C604" s="4">
        <v>2.17</v>
      </c>
      <c r="D604" s="4">
        <v>2.17</v>
      </c>
      <c r="E604" s="4">
        <v>0</v>
      </c>
      <c r="F604" s="4"/>
      <c r="G604" s="4"/>
      <c r="H604" s="5">
        <f t="shared" si="9"/>
        <v>-4.4052863436123385E-2</v>
      </c>
    </row>
    <row r="605" spans="1:8" ht="13.5" x14ac:dyDescent="0.25">
      <c r="A605" s="1"/>
      <c r="B605" s="3">
        <v>43178</v>
      </c>
      <c r="C605" s="4">
        <v>2.08</v>
      </c>
      <c r="D605" s="4">
        <v>2.08</v>
      </c>
      <c r="E605" s="4">
        <v>0</v>
      </c>
      <c r="F605" s="4"/>
      <c r="G605" s="4"/>
      <c r="H605" s="5">
        <f t="shared" si="9"/>
        <v>-4.1474654377880123E-2</v>
      </c>
    </row>
    <row r="606" spans="1:8" ht="13.5" x14ac:dyDescent="0.25">
      <c r="A606" s="1"/>
      <c r="B606" s="3">
        <v>43180</v>
      </c>
      <c r="C606" s="4">
        <v>1.96</v>
      </c>
      <c r="D606" s="4">
        <v>1.96</v>
      </c>
      <c r="E606" s="4">
        <v>6270</v>
      </c>
      <c r="F606" s="4"/>
      <c r="G606" s="4"/>
      <c r="H606" s="5">
        <f t="shared" si="9"/>
        <v>-5.7692307692307744E-2</v>
      </c>
    </row>
    <row r="607" spans="1:8" ht="13.5" x14ac:dyDescent="0.25">
      <c r="A607" s="1"/>
      <c r="B607" s="3">
        <v>43181</v>
      </c>
      <c r="C607" s="4">
        <v>1.94</v>
      </c>
      <c r="D607" s="4">
        <v>1.94</v>
      </c>
      <c r="E607" s="4">
        <v>1872</v>
      </c>
      <c r="F607" s="4"/>
      <c r="G607" s="4"/>
      <c r="H607" s="5">
        <f t="shared" si="9"/>
        <v>-1.0204081632653071E-2</v>
      </c>
    </row>
    <row r="608" spans="1:8" ht="13.5" x14ac:dyDescent="0.25">
      <c r="A608" s="1"/>
      <c r="B608" s="3">
        <v>43182</v>
      </c>
      <c r="C608" s="4">
        <v>1.96</v>
      </c>
      <c r="D608" s="4">
        <v>1.96</v>
      </c>
      <c r="E608" s="4">
        <v>8028</v>
      </c>
      <c r="F608" s="4"/>
      <c r="G608" s="4"/>
      <c r="H608" s="5">
        <f t="shared" si="9"/>
        <v>1.0309278350515474E-2</v>
      </c>
    </row>
    <row r="609" spans="1:8" ht="13.5" x14ac:dyDescent="0.25">
      <c r="A609" s="1"/>
      <c r="B609" s="3">
        <v>43185</v>
      </c>
      <c r="C609" s="4">
        <v>2.0699999999999998</v>
      </c>
      <c r="D609" s="4">
        <v>2.0699999999999998</v>
      </c>
      <c r="E609" s="4">
        <v>1547</v>
      </c>
      <c r="F609" s="4"/>
      <c r="G609" s="4"/>
      <c r="H609" s="5">
        <f t="shared" si="9"/>
        <v>5.6122448979591774E-2</v>
      </c>
    </row>
    <row r="610" spans="1:8" ht="13.5" x14ac:dyDescent="0.25">
      <c r="A610" s="1"/>
      <c r="B610" s="3">
        <v>43186</v>
      </c>
      <c r="C610" s="4">
        <v>2.19</v>
      </c>
      <c r="D610" s="4">
        <v>2.19</v>
      </c>
      <c r="E610" s="4">
        <v>4675</v>
      </c>
      <c r="F610" s="4"/>
      <c r="G610" s="4"/>
      <c r="H610" s="5">
        <f t="shared" si="9"/>
        <v>5.7971014492753679E-2</v>
      </c>
    </row>
    <row r="611" spans="1:8" ht="13.5" x14ac:dyDescent="0.25">
      <c r="A611" s="1"/>
      <c r="B611" s="3">
        <v>43187</v>
      </c>
      <c r="C611" s="4">
        <v>2.25</v>
      </c>
      <c r="D611" s="4">
        <v>2.25</v>
      </c>
      <c r="E611" s="4">
        <v>8843</v>
      </c>
      <c r="F611" s="4"/>
      <c r="G611" s="4"/>
      <c r="H611" s="5">
        <f t="shared" si="9"/>
        <v>2.7397260273972629E-2</v>
      </c>
    </row>
    <row r="612" spans="1:8" ht="13.5" x14ac:dyDescent="0.25">
      <c r="A612" s="1"/>
      <c r="B612" s="3">
        <v>43188</v>
      </c>
      <c r="C612" s="4">
        <v>2.33</v>
      </c>
      <c r="D612" s="4">
        <v>2.33</v>
      </c>
      <c r="E612" s="4">
        <v>8662</v>
      </c>
      <c r="F612" s="4"/>
      <c r="G612" s="4"/>
      <c r="H612" s="5">
        <f t="shared" si="9"/>
        <v>3.555555555555559E-2</v>
      </c>
    </row>
    <row r="613" spans="1:8" ht="13.5" x14ac:dyDescent="0.25">
      <c r="A613" s="1"/>
      <c r="B613" s="3">
        <v>43189</v>
      </c>
      <c r="C613" s="4">
        <v>2.35</v>
      </c>
      <c r="D613" s="4">
        <v>2.35</v>
      </c>
      <c r="E613" s="4">
        <v>14</v>
      </c>
      <c r="F613" s="4"/>
      <c r="G613" s="4"/>
      <c r="H613" s="5">
        <f t="shared" si="9"/>
        <v>8.5836909871244704E-3</v>
      </c>
    </row>
    <row r="614" spans="1:8" ht="13.5" x14ac:dyDescent="0.25">
      <c r="A614" s="1"/>
      <c r="B614" s="3">
        <v>43192</v>
      </c>
      <c r="C614" s="4">
        <v>2.35</v>
      </c>
      <c r="D614" s="4">
        <v>2.35</v>
      </c>
      <c r="E614" s="4">
        <v>889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2.27</v>
      </c>
      <c r="D615" s="4">
        <v>2.27</v>
      </c>
      <c r="E615" s="4">
        <v>478</v>
      </c>
      <c r="F615" s="4"/>
      <c r="G615" s="4"/>
      <c r="H615" s="5">
        <f t="shared" si="9"/>
        <v>-3.404255319148939E-2</v>
      </c>
    </row>
    <row r="616" spans="1:8" ht="13.5" x14ac:dyDescent="0.25">
      <c r="A616" s="1"/>
      <c r="B616" s="3">
        <v>43194</v>
      </c>
      <c r="C616" s="4">
        <v>2.25</v>
      </c>
      <c r="D616" s="4">
        <v>2.25</v>
      </c>
      <c r="E616" s="4">
        <v>2703</v>
      </c>
      <c r="F616" s="4"/>
      <c r="G616" s="4"/>
      <c r="H616" s="5">
        <f t="shared" si="9"/>
        <v>-8.8105726872246774E-3</v>
      </c>
    </row>
    <row r="617" spans="1:8" ht="13.5" x14ac:dyDescent="0.25">
      <c r="A617" s="1"/>
      <c r="B617" s="3">
        <v>43195</v>
      </c>
      <c r="C617" s="4">
        <v>2.2400000000000002</v>
      </c>
      <c r="D617" s="4">
        <v>2.2400000000000002</v>
      </c>
      <c r="E617" s="4">
        <v>423</v>
      </c>
      <c r="F617" s="4"/>
      <c r="G617" s="4"/>
      <c r="H617" s="5">
        <f t="shared" si="9"/>
        <v>-4.4444444444443499E-3</v>
      </c>
    </row>
    <row r="618" spans="1:8" ht="13.5" x14ac:dyDescent="0.25">
      <c r="A618" s="1"/>
      <c r="B618" s="3">
        <v>43196</v>
      </c>
      <c r="C618" s="4">
        <v>2.27</v>
      </c>
      <c r="D618" s="4">
        <v>2.27</v>
      </c>
      <c r="E618" s="4">
        <v>1613</v>
      </c>
      <c r="F618" s="4"/>
      <c r="G618" s="4"/>
      <c r="H618" s="5">
        <f t="shared" si="9"/>
        <v>1.3392857142857054E-2</v>
      </c>
    </row>
    <row r="619" spans="1:8" ht="13.5" x14ac:dyDescent="0.25">
      <c r="A619" s="1"/>
      <c r="B619" s="3">
        <v>43200</v>
      </c>
      <c r="C619" s="4">
        <v>2.27</v>
      </c>
      <c r="D619" s="4">
        <v>2.27</v>
      </c>
      <c r="E619" s="4">
        <v>888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2.21</v>
      </c>
      <c r="D620" s="4">
        <v>2.21</v>
      </c>
      <c r="E620" s="4">
        <v>505</v>
      </c>
      <c r="F620" s="4"/>
      <c r="G620" s="4"/>
      <c r="H620" s="5">
        <f t="shared" si="9"/>
        <v>-2.6431718061674034E-2</v>
      </c>
    </row>
    <row r="621" spans="1:8" ht="13.5" x14ac:dyDescent="0.25">
      <c r="A621" s="1"/>
      <c r="B621" s="3">
        <v>43202</v>
      </c>
      <c r="C621" s="4">
        <v>2.08</v>
      </c>
      <c r="D621" s="4">
        <v>2.08</v>
      </c>
      <c r="E621" s="4">
        <v>5205</v>
      </c>
      <c r="F621" s="4"/>
      <c r="G621" s="4"/>
      <c r="H621" s="5">
        <f t="shared" si="9"/>
        <v>-5.8823529411764656E-2</v>
      </c>
    </row>
    <row r="622" spans="1:8" ht="13.5" x14ac:dyDescent="0.25">
      <c r="A622" s="1"/>
      <c r="B622" s="3">
        <v>43203</v>
      </c>
      <c r="C622" s="4">
        <v>2.14</v>
      </c>
      <c r="D622" s="4">
        <v>2.14</v>
      </c>
      <c r="E622" s="4">
        <v>5890</v>
      </c>
      <c r="F622" s="4"/>
      <c r="G622" s="4"/>
      <c r="H622" s="5">
        <f t="shared" si="9"/>
        <v>2.8846153846153872E-2</v>
      </c>
    </row>
    <row r="623" spans="1:8" ht="13.5" x14ac:dyDescent="0.25">
      <c r="A623" s="1"/>
      <c r="B623" s="3">
        <v>43206</v>
      </c>
      <c r="C623" s="4">
        <v>2.13</v>
      </c>
      <c r="D623" s="4">
        <v>2.13</v>
      </c>
      <c r="E623" s="4">
        <v>1001</v>
      </c>
      <c r="F623" s="4"/>
      <c r="G623" s="4"/>
      <c r="H623" s="5">
        <f t="shared" si="9"/>
        <v>-4.6728971962617903E-3</v>
      </c>
    </row>
    <row r="624" spans="1:8" ht="13.5" x14ac:dyDescent="0.25">
      <c r="A624" s="1"/>
      <c r="B624" s="3">
        <v>43207</v>
      </c>
      <c r="C624" s="4">
        <v>2.12</v>
      </c>
      <c r="D624" s="4">
        <v>2.12</v>
      </c>
      <c r="E624" s="4">
        <v>1078</v>
      </c>
      <c r="F624" s="4"/>
      <c r="G624" s="4"/>
      <c r="H624" s="5">
        <f t="shared" si="9"/>
        <v>-4.6948356807510741E-3</v>
      </c>
    </row>
    <row r="625" spans="1:8" ht="13.5" x14ac:dyDescent="0.25">
      <c r="A625" s="1"/>
      <c r="B625" s="3">
        <v>43208</v>
      </c>
      <c r="C625" s="4">
        <v>2.0299999999999998</v>
      </c>
      <c r="D625" s="4">
        <v>2.0299999999999998</v>
      </c>
      <c r="E625" s="4">
        <v>80</v>
      </c>
      <c r="F625" s="4"/>
      <c r="G625" s="4"/>
      <c r="H625" s="5">
        <f t="shared" si="9"/>
        <v>-4.2452830188679389E-2</v>
      </c>
    </row>
    <row r="626" spans="1:8" ht="13.5" x14ac:dyDescent="0.25">
      <c r="A626" s="1"/>
      <c r="B626" s="3">
        <v>43209</v>
      </c>
      <c r="C626" s="4">
        <v>2.12</v>
      </c>
      <c r="D626" s="4">
        <v>2.12</v>
      </c>
      <c r="E626" s="4">
        <v>32</v>
      </c>
      <c r="F626" s="4"/>
      <c r="G626" s="4"/>
      <c r="H626" s="5">
        <f t="shared" si="9"/>
        <v>4.4334975369458282E-2</v>
      </c>
    </row>
    <row r="627" spans="1:8" ht="13.5" x14ac:dyDescent="0.25">
      <c r="A627" s="1"/>
      <c r="B627" s="3">
        <v>43210</v>
      </c>
      <c r="C627" s="4">
        <v>2.0299999999999998</v>
      </c>
      <c r="D627" s="4">
        <v>2.0299999999999998</v>
      </c>
      <c r="E627" s="4">
        <v>0</v>
      </c>
      <c r="F627" s="4"/>
      <c r="G627" s="4"/>
      <c r="H627" s="5">
        <f t="shared" si="9"/>
        <v>-4.2452830188679389E-2</v>
      </c>
    </row>
    <row r="628" spans="1:8" ht="13.5" x14ac:dyDescent="0.25">
      <c r="A628" s="1"/>
      <c r="B628" s="3">
        <v>43213</v>
      </c>
      <c r="C628" s="4">
        <v>2.0299999999999998</v>
      </c>
      <c r="D628" s="4">
        <v>2.0299999999999998</v>
      </c>
      <c r="E628" s="4">
        <v>0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1.98</v>
      </c>
      <c r="D629" s="4">
        <v>1.98</v>
      </c>
      <c r="E629" s="4">
        <v>2818</v>
      </c>
      <c r="F629" s="4"/>
      <c r="G629" s="4"/>
      <c r="H629" s="5">
        <f t="shared" si="9"/>
        <v>-2.4630541871921097E-2</v>
      </c>
    </row>
    <row r="630" spans="1:8" ht="13.5" x14ac:dyDescent="0.25">
      <c r="A630" s="1"/>
      <c r="B630" s="3">
        <v>43215</v>
      </c>
      <c r="C630" s="4">
        <v>2.06</v>
      </c>
      <c r="D630" s="4">
        <v>2.06</v>
      </c>
      <c r="E630" s="4">
        <v>3927</v>
      </c>
      <c r="F630" s="4"/>
      <c r="G630" s="4"/>
      <c r="H630" s="5">
        <f t="shared" si="9"/>
        <v>4.0404040404040442E-2</v>
      </c>
    </row>
    <row r="631" spans="1:8" ht="13.5" x14ac:dyDescent="0.25">
      <c r="A631" s="1"/>
      <c r="B631" s="3">
        <v>43216</v>
      </c>
      <c r="C631" s="4">
        <v>2.08</v>
      </c>
      <c r="D631" s="4">
        <v>2.08</v>
      </c>
      <c r="E631" s="4">
        <v>1843</v>
      </c>
      <c r="F631" s="4"/>
      <c r="G631" s="4"/>
      <c r="H631" s="5">
        <f t="shared" si="9"/>
        <v>9.7087378640776777E-3</v>
      </c>
    </row>
    <row r="632" spans="1:8" ht="13.5" x14ac:dyDescent="0.25">
      <c r="A632" s="1"/>
      <c r="B632" s="3">
        <v>43217</v>
      </c>
      <c r="C632" s="4">
        <v>2.06</v>
      </c>
      <c r="D632" s="4">
        <v>2.06</v>
      </c>
      <c r="E632" s="4">
        <v>1311</v>
      </c>
      <c r="F632" s="4"/>
      <c r="G632" s="4"/>
      <c r="H632" s="5">
        <f t="shared" si="9"/>
        <v>-9.6153846153846229E-3</v>
      </c>
    </row>
    <row r="633" spans="1:8" ht="13.5" x14ac:dyDescent="0.25">
      <c r="A633" s="1"/>
      <c r="B633" s="3">
        <v>43220</v>
      </c>
      <c r="C633" s="4">
        <v>2.04</v>
      </c>
      <c r="D633" s="4">
        <v>2.04</v>
      </c>
      <c r="E633" s="4">
        <v>135</v>
      </c>
      <c r="F633" s="4"/>
      <c r="G633" s="4"/>
      <c r="H633" s="5">
        <f t="shared" si="9"/>
        <v>-9.7087378640776777E-3</v>
      </c>
    </row>
    <row r="634" spans="1:8" ht="13.5" x14ac:dyDescent="0.25">
      <c r="A634" s="1"/>
      <c r="B634" s="3">
        <v>43222</v>
      </c>
      <c r="C634" s="4">
        <v>2.0699999999999998</v>
      </c>
      <c r="D634" s="4">
        <v>2.0699999999999998</v>
      </c>
      <c r="E634" s="4">
        <v>22</v>
      </c>
      <c r="F634" s="4"/>
      <c r="G634" s="4"/>
      <c r="H634" s="5">
        <f t="shared" si="9"/>
        <v>1.4705882352941081E-2</v>
      </c>
    </row>
    <row r="635" spans="1:8" ht="13.5" x14ac:dyDescent="0.25">
      <c r="A635" s="1"/>
      <c r="B635" s="3">
        <v>43223</v>
      </c>
      <c r="C635" s="4">
        <v>2.06</v>
      </c>
      <c r="D635" s="4">
        <v>2.06</v>
      </c>
      <c r="E635" s="4">
        <v>1005</v>
      </c>
      <c r="F635" s="4"/>
      <c r="G635" s="4"/>
      <c r="H635" s="5">
        <f t="shared" si="9"/>
        <v>-4.8309178743960327E-3</v>
      </c>
    </row>
    <row r="636" spans="1:8" ht="13.5" x14ac:dyDescent="0.25">
      <c r="A636" s="1"/>
      <c r="B636" s="3">
        <v>43224</v>
      </c>
      <c r="C636" s="4">
        <v>2.06</v>
      </c>
      <c r="D636" s="4">
        <v>2.06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2.0699999999999998</v>
      </c>
      <c r="D637" s="4">
        <v>2.0699999999999998</v>
      </c>
      <c r="E637" s="4">
        <v>969</v>
      </c>
      <c r="F637" s="4"/>
      <c r="G637" s="4"/>
      <c r="H637" s="5">
        <f t="shared" si="9"/>
        <v>4.8543689320387313E-3</v>
      </c>
    </row>
    <row r="638" spans="1:8" ht="13.5" x14ac:dyDescent="0.25">
      <c r="A638" s="1"/>
      <c r="B638" s="3">
        <v>43228</v>
      </c>
      <c r="C638" s="4">
        <v>2.0299999999999998</v>
      </c>
      <c r="D638" s="4">
        <v>2.0299999999999998</v>
      </c>
      <c r="E638" s="4">
        <v>989</v>
      </c>
      <c r="F638" s="4"/>
      <c r="G638" s="4"/>
      <c r="H638" s="5">
        <f t="shared" si="9"/>
        <v>-1.9323671497584561E-2</v>
      </c>
    </row>
    <row r="639" spans="1:8" ht="13.5" x14ac:dyDescent="0.25">
      <c r="A639" s="1"/>
      <c r="B639" s="3">
        <v>43229</v>
      </c>
      <c r="C639" s="4">
        <v>2</v>
      </c>
      <c r="D639" s="4">
        <v>2</v>
      </c>
      <c r="E639" s="4">
        <v>680</v>
      </c>
      <c r="F639" s="4"/>
      <c r="G639" s="4"/>
      <c r="H639" s="5">
        <f t="shared" si="9"/>
        <v>-1.4778325123152615E-2</v>
      </c>
    </row>
    <row r="640" spans="1:8" ht="13.5" x14ac:dyDescent="0.25">
      <c r="A640" s="1"/>
      <c r="B640" s="3">
        <v>43230</v>
      </c>
      <c r="C640" s="4">
        <v>2</v>
      </c>
      <c r="D640" s="4">
        <v>2</v>
      </c>
      <c r="E640" s="4">
        <v>1629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1.99</v>
      </c>
      <c r="D641" s="4">
        <v>1.99</v>
      </c>
      <c r="E641" s="4">
        <v>1617</v>
      </c>
      <c r="F641" s="4"/>
      <c r="G641" s="4"/>
      <c r="H641" s="5">
        <f t="shared" si="9"/>
        <v>-5.0000000000000044E-3</v>
      </c>
    </row>
    <row r="642" spans="1:8" ht="13.5" x14ac:dyDescent="0.25">
      <c r="A642" s="1"/>
      <c r="B642" s="3">
        <v>43234</v>
      </c>
      <c r="C642" s="4">
        <v>1.95</v>
      </c>
      <c r="D642" s="4">
        <v>1.95</v>
      </c>
      <c r="E642" s="4">
        <v>979</v>
      </c>
      <c r="F642" s="4"/>
      <c r="G642" s="4"/>
      <c r="H642" s="5">
        <f t="shared" si="9"/>
        <v>-2.0100502512562832E-2</v>
      </c>
    </row>
    <row r="643" spans="1:8" ht="13.5" x14ac:dyDescent="0.25">
      <c r="A643" s="1"/>
      <c r="B643" s="3">
        <v>43235</v>
      </c>
      <c r="C643" s="4">
        <v>1.93</v>
      </c>
      <c r="D643" s="4">
        <v>1.93</v>
      </c>
      <c r="E643" s="4">
        <v>746</v>
      </c>
      <c r="F643" s="4"/>
      <c r="G643" s="4"/>
      <c r="H643" s="5">
        <f t="shared" si="9"/>
        <v>-1.0256410256410265E-2</v>
      </c>
    </row>
    <row r="644" spans="1:8" ht="13.5" x14ac:dyDescent="0.25">
      <c r="A644" s="1"/>
      <c r="B644" s="3">
        <v>43236</v>
      </c>
      <c r="C644" s="4">
        <v>1.89</v>
      </c>
      <c r="D644" s="4">
        <v>1.89</v>
      </c>
      <c r="E644" s="4">
        <v>462</v>
      </c>
      <c r="F644" s="4"/>
      <c r="G644" s="4"/>
      <c r="H644" s="5">
        <f t="shared" si="9"/>
        <v>-2.0725388601036288E-2</v>
      </c>
    </row>
    <row r="645" spans="1:8" ht="13.5" x14ac:dyDescent="0.25">
      <c r="A645" s="1"/>
      <c r="B645" s="3">
        <v>43237</v>
      </c>
      <c r="C645" s="4">
        <v>1.83</v>
      </c>
      <c r="D645" s="4">
        <v>1.83</v>
      </c>
      <c r="E645" s="4">
        <v>972</v>
      </c>
      <c r="F645" s="4"/>
      <c r="G645" s="4"/>
      <c r="H645" s="5">
        <f t="shared" si="9"/>
        <v>-3.1746031746031661E-2</v>
      </c>
    </row>
    <row r="646" spans="1:8" ht="13.5" x14ac:dyDescent="0.25">
      <c r="A646" s="1"/>
      <c r="B646" s="3">
        <v>43238</v>
      </c>
      <c r="C646" s="4">
        <v>1.81</v>
      </c>
      <c r="D646" s="4">
        <v>1.81</v>
      </c>
      <c r="E646" s="4">
        <v>867</v>
      </c>
      <c r="F646" s="4"/>
      <c r="G646" s="4"/>
      <c r="H646" s="5">
        <f t="shared" si="9"/>
        <v>-1.0928961748633888E-2</v>
      </c>
    </row>
    <row r="647" spans="1:8" ht="13.5" x14ac:dyDescent="0.25">
      <c r="A647" s="1"/>
      <c r="B647" s="3">
        <v>43241</v>
      </c>
      <c r="C647" s="4">
        <v>1.86</v>
      </c>
      <c r="D647" s="4">
        <v>1.86</v>
      </c>
      <c r="E647" s="4">
        <v>29</v>
      </c>
      <c r="F647" s="4"/>
      <c r="G647" s="4"/>
      <c r="H647" s="5">
        <f t="shared" ref="H647:H710" si="10">(D647-D646)/D646</f>
        <v>2.7624309392265217E-2</v>
      </c>
    </row>
    <row r="648" spans="1:8" ht="13.5" x14ac:dyDescent="0.25">
      <c r="A648" s="1"/>
      <c r="B648" s="3">
        <v>43242</v>
      </c>
      <c r="C648" s="4">
        <v>1.85</v>
      </c>
      <c r="D648" s="4">
        <v>1.85</v>
      </c>
      <c r="E648" s="4">
        <v>725</v>
      </c>
      <c r="F648" s="4"/>
      <c r="G648" s="4"/>
      <c r="H648" s="5">
        <f t="shared" si="10"/>
        <v>-5.3763440860215101E-3</v>
      </c>
    </row>
    <row r="649" spans="1:8" ht="13.5" x14ac:dyDescent="0.25">
      <c r="A649" s="1"/>
      <c r="B649" s="3">
        <v>43243</v>
      </c>
      <c r="C649" s="4">
        <v>1.81</v>
      </c>
      <c r="D649" s="4">
        <v>1.81</v>
      </c>
      <c r="E649" s="4">
        <v>1939</v>
      </c>
      <c r="F649" s="4"/>
      <c r="G649" s="4"/>
      <c r="H649" s="5">
        <f t="shared" si="10"/>
        <v>-2.162162162162164E-2</v>
      </c>
    </row>
    <row r="650" spans="1:8" ht="13.5" x14ac:dyDescent="0.25">
      <c r="A650" s="1"/>
      <c r="B650" s="3">
        <v>43244</v>
      </c>
      <c r="C650" s="4">
        <v>1.71</v>
      </c>
      <c r="D650" s="4">
        <v>1.71</v>
      </c>
      <c r="E650" s="4">
        <v>300</v>
      </c>
      <c r="F650" s="4"/>
      <c r="G650" s="4"/>
      <c r="H650" s="5">
        <f t="shared" si="10"/>
        <v>-5.5248618784530433E-2</v>
      </c>
    </row>
    <row r="651" spans="1:8" ht="13.5" x14ac:dyDescent="0.25">
      <c r="A651" s="1"/>
      <c r="B651" s="3">
        <v>43245</v>
      </c>
      <c r="C651" s="4">
        <v>1.66</v>
      </c>
      <c r="D651" s="4">
        <v>1.66</v>
      </c>
      <c r="E651" s="4">
        <v>1437</v>
      </c>
      <c r="F651" s="4"/>
      <c r="G651" s="4"/>
      <c r="H651" s="5">
        <f t="shared" si="10"/>
        <v>-2.9239766081871371E-2</v>
      </c>
    </row>
    <row r="652" spans="1:8" ht="13.5" x14ac:dyDescent="0.25">
      <c r="A652" s="1"/>
      <c r="B652" s="3">
        <v>43248</v>
      </c>
      <c r="C652" s="4">
        <v>1.65</v>
      </c>
      <c r="D652" s="4">
        <v>1.65</v>
      </c>
      <c r="E652" s="4">
        <v>5353</v>
      </c>
      <c r="F652" s="4"/>
      <c r="G652" s="4"/>
      <c r="H652" s="5">
        <f t="shared" si="10"/>
        <v>-6.0240963855421742E-3</v>
      </c>
    </row>
    <row r="653" spans="1:8" ht="13.5" x14ac:dyDescent="0.25">
      <c r="A653" s="1"/>
      <c r="B653" s="3">
        <v>43249</v>
      </c>
      <c r="C653" s="4">
        <v>1.68</v>
      </c>
      <c r="D653" s="4">
        <v>1.68</v>
      </c>
      <c r="E653" s="4">
        <v>7214</v>
      </c>
      <c r="F653" s="4"/>
      <c r="G653" s="4"/>
      <c r="H653" s="5">
        <f t="shared" si="10"/>
        <v>1.8181818181818198E-2</v>
      </c>
    </row>
    <row r="654" spans="1:8" ht="13.5" x14ac:dyDescent="0.25">
      <c r="A654" s="1"/>
      <c r="B654" s="3">
        <v>43250</v>
      </c>
      <c r="C654" s="4">
        <v>1.75</v>
      </c>
      <c r="D654" s="4">
        <v>1.75</v>
      </c>
      <c r="E654" s="4">
        <v>181</v>
      </c>
      <c r="F654" s="4"/>
      <c r="G654" s="4"/>
      <c r="H654" s="5">
        <f t="shared" si="10"/>
        <v>4.1666666666666706E-2</v>
      </c>
    </row>
    <row r="655" spans="1:8" ht="13.5" x14ac:dyDescent="0.25">
      <c r="A655" s="1"/>
      <c r="B655" s="3">
        <v>43251</v>
      </c>
      <c r="C655" s="4">
        <v>1.75</v>
      </c>
      <c r="D655" s="4">
        <v>1.75</v>
      </c>
      <c r="E655" s="4">
        <v>1756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1.73</v>
      </c>
      <c r="D656" s="4">
        <v>1.73</v>
      </c>
      <c r="E656" s="4">
        <v>108</v>
      </c>
      <c r="F656" s="4"/>
      <c r="G656" s="4"/>
      <c r="H656" s="5">
        <f t="shared" si="10"/>
        <v>-1.1428571428571439E-2</v>
      </c>
    </row>
    <row r="657" spans="1:8" ht="13.5" x14ac:dyDescent="0.25">
      <c r="A657" s="1"/>
      <c r="B657" s="3">
        <v>43255</v>
      </c>
      <c r="C657" s="4">
        <v>1.73</v>
      </c>
      <c r="D657" s="4">
        <v>1.73</v>
      </c>
      <c r="E657" s="4">
        <v>252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1.68</v>
      </c>
      <c r="D658" s="4">
        <v>1.68</v>
      </c>
      <c r="E658" s="4">
        <v>150</v>
      </c>
      <c r="F658" s="4"/>
      <c r="G658" s="4"/>
      <c r="H658" s="5">
        <f t="shared" si="10"/>
        <v>-2.890173410404627E-2</v>
      </c>
    </row>
    <row r="659" spans="1:8" ht="13.5" x14ac:dyDescent="0.25">
      <c r="A659" s="1"/>
      <c r="B659" s="3">
        <v>43257</v>
      </c>
      <c r="C659" s="4">
        <v>1.7</v>
      </c>
      <c r="D659" s="4">
        <v>1.7</v>
      </c>
      <c r="E659" s="4">
        <v>6316</v>
      </c>
      <c r="F659" s="4"/>
      <c r="G659" s="4"/>
      <c r="H659" s="5">
        <f t="shared" si="10"/>
        <v>1.1904761904761916E-2</v>
      </c>
    </row>
    <row r="660" spans="1:8" ht="13.5" x14ac:dyDescent="0.25">
      <c r="A660" s="1"/>
      <c r="B660" s="3">
        <v>43258</v>
      </c>
      <c r="C660" s="4">
        <v>1.75</v>
      </c>
      <c r="D660" s="4">
        <v>1.75</v>
      </c>
      <c r="E660" s="4">
        <v>780</v>
      </c>
      <c r="F660" s="4"/>
      <c r="G660" s="4"/>
      <c r="H660" s="5">
        <f t="shared" si="10"/>
        <v>2.941176470588238E-2</v>
      </c>
    </row>
    <row r="661" spans="1:8" ht="13.5" x14ac:dyDescent="0.25">
      <c r="A661" s="1"/>
      <c r="B661" s="3">
        <v>43259</v>
      </c>
      <c r="C661" s="4">
        <v>1.75</v>
      </c>
      <c r="D661" s="4">
        <v>1.75</v>
      </c>
      <c r="E661" s="4">
        <v>458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1.78</v>
      </c>
      <c r="D662" s="4">
        <v>1.78</v>
      </c>
      <c r="E662" s="4">
        <v>140</v>
      </c>
      <c r="F662" s="4"/>
      <c r="G662" s="4"/>
      <c r="H662" s="5">
        <f t="shared" si="10"/>
        <v>1.7142857142857158E-2</v>
      </c>
    </row>
    <row r="663" spans="1:8" ht="13.5" x14ac:dyDescent="0.25">
      <c r="A663" s="1"/>
      <c r="B663" s="3">
        <v>43263</v>
      </c>
      <c r="C663" s="4">
        <v>1.74</v>
      </c>
      <c r="D663" s="4">
        <v>1.74</v>
      </c>
      <c r="E663" s="4">
        <v>29</v>
      </c>
      <c r="F663" s="4"/>
      <c r="G663" s="4"/>
      <c r="H663" s="5">
        <f t="shared" si="10"/>
        <v>-2.2471910112359571E-2</v>
      </c>
    </row>
    <row r="664" spans="1:8" ht="13.5" x14ac:dyDescent="0.25">
      <c r="A664" s="1"/>
      <c r="B664" s="3">
        <v>43264</v>
      </c>
      <c r="C664" s="4">
        <v>1.74</v>
      </c>
      <c r="D664" s="4">
        <v>1.74</v>
      </c>
      <c r="E664" s="4">
        <v>3433</v>
      </c>
      <c r="F664" s="4"/>
      <c r="G664" s="4"/>
      <c r="H664" s="5">
        <f t="shared" si="10"/>
        <v>0</v>
      </c>
    </row>
    <row r="665" spans="1:8" ht="13.5" x14ac:dyDescent="0.25">
      <c r="A665" s="1"/>
      <c r="B665" s="3">
        <v>43265</v>
      </c>
      <c r="C665" s="4">
        <v>1.74</v>
      </c>
      <c r="D665" s="4">
        <v>1.74</v>
      </c>
      <c r="E665" s="4">
        <v>1000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1.78</v>
      </c>
      <c r="D666" s="4">
        <v>1.78</v>
      </c>
      <c r="E666" s="4">
        <v>142</v>
      </c>
      <c r="F666" s="4"/>
      <c r="G666" s="4"/>
      <c r="H666" s="5">
        <f t="shared" si="10"/>
        <v>2.2988505747126457E-2</v>
      </c>
    </row>
    <row r="667" spans="1:8" ht="13.5" x14ac:dyDescent="0.25">
      <c r="A667" s="1"/>
      <c r="B667" s="3">
        <v>43270</v>
      </c>
      <c r="C667" s="4">
        <v>1.78</v>
      </c>
      <c r="D667" s="4">
        <v>1.78</v>
      </c>
      <c r="E667" s="4">
        <v>209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1.73</v>
      </c>
      <c r="D668" s="4">
        <v>1.73</v>
      </c>
      <c r="E668" s="4">
        <v>1231</v>
      </c>
      <c r="F668" s="4"/>
      <c r="G668" s="4"/>
      <c r="H668" s="5">
        <f t="shared" si="10"/>
        <v>-2.8089887640449462E-2</v>
      </c>
    </row>
    <row r="669" spans="1:8" ht="13.5" x14ac:dyDescent="0.25">
      <c r="A669" s="1"/>
      <c r="B669" s="3">
        <v>43272</v>
      </c>
      <c r="C669" s="4">
        <v>1.73</v>
      </c>
      <c r="D669" s="4">
        <v>1.73</v>
      </c>
      <c r="E669" s="4">
        <v>408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1.7</v>
      </c>
      <c r="D670" s="4">
        <v>1.7</v>
      </c>
      <c r="E670" s="4">
        <v>4420</v>
      </c>
      <c r="F670" s="4"/>
      <c r="G670" s="4"/>
      <c r="H670" s="5">
        <f t="shared" si="10"/>
        <v>-1.7341040462427761E-2</v>
      </c>
    </row>
    <row r="671" spans="1:8" ht="13.5" x14ac:dyDescent="0.25">
      <c r="A671" s="1"/>
      <c r="B671" s="3">
        <v>43276</v>
      </c>
      <c r="C671" s="4">
        <v>1.72</v>
      </c>
      <c r="D671" s="4">
        <v>1.72</v>
      </c>
      <c r="E671" s="4">
        <v>1352</v>
      </c>
      <c r="F671" s="4"/>
      <c r="G671" s="4"/>
      <c r="H671" s="5">
        <f t="shared" si="10"/>
        <v>1.1764705882352951E-2</v>
      </c>
    </row>
    <row r="672" spans="1:8" ht="13.5" x14ac:dyDescent="0.25">
      <c r="A672" s="1"/>
      <c r="B672" s="3">
        <v>43277</v>
      </c>
      <c r="C672" s="4">
        <v>1.73</v>
      </c>
      <c r="D672" s="4">
        <v>1.73</v>
      </c>
      <c r="E672" s="4">
        <v>1565</v>
      </c>
      <c r="F672" s="4"/>
      <c r="G672" s="4"/>
      <c r="H672" s="5">
        <f t="shared" si="10"/>
        <v>5.8139534883720981E-3</v>
      </c>
    </row>
    <row r="673" spans="1:8" ht="13.5" x14ac:dyDescent="0.25">
      <c r="A673" s="1"/>
      <c r="B673" s="3">
        <v>43278</v>
      </c>
      <c r="C673" s="4">
        <v>1.8</v>
      </c>
      <c r="D673" s="4">
        <v>1.8</v>
      </c>
      <c r="E673" s="4">
        <v>6241</v>
      </c>
      <c r="F673" s="4"/>
      <c r="G673" s="4"/>
      <c r="H673" s="5">
        <f t="shared" si="10"/>
        <v>4.0462427745664775E-2</v>
      </c>
    </row>
    <row r="674" spans="1:8" ht="13.5" x14ac:dyDescent="0.25">
      <c r="A674" s="1"/>
      <c r="B674" s="3">
        <v>43279</v>
      </c>
      <c r="C674" s="4">
        <v>1.9</v>
      </c>
      <c r="D674" s="4">
        <v>1.9</v>
      </c>
      <c r="E674" s="4">
        <v>1673</v>
      </c>
      <c r="F674" s="4"/>
      <c r="G674" s="4"/>
      <c r="H674" s="5">
        <f t="shared" si="10"/>
        <v>5.5555555555555483E-2</v>
      </c>
    </row>
    <row r="675" spans="1:8" ht="13.5" x14ac:dyDescent="0.25">
      <c r="A675" s="1"/>
      <c r="B675" s="3">
        <v>43280</v>
      </c>
      <c r="C675" s="4">
        <v>2.0099999999999998</v>
      </c>
      <c r="D675" s="4">
        <v>2.0099999999999998</v>
      </c>
      <c r="E675" s="4">
        <v>13997</v>
      </c>
      <c r="F675" s="4"/>
      <c r="G675" s="4"/>
      <c r="H675" s="5">
        <f t="shared" si="10"/>
        <v>5.78947368421052E-2</v>
      </c>
    </row>
    <row r="676" spans="1:8" ht="13.5" x14ac:dyDescent="0.25">
      <c r="A676" s="1"/>
      <c r="B676" s="3">
        <v>43283</v>
      </c>
      <c r="C676" s="4">
        <v>2.1</v>
      </c>
      <c r="D676" s="4">
        <v>2.1</v>
      </c>
      <c r="E676" s="4">
        <v>0</v>
      </c>
      <c r="F676" s="4"/>
      <c r="G676" s="4"/>
      <c r="H676" s="5">
        <f t="shared" si="10"/>
        <v>4.4776119402985232E-2</v>
      </c>
    </row>
    <row r="677" spans="1:8" ht="13.5" x14ac:dyDescent="0.25">
      <c r="A677" s="1"/>
      <c r="B677" s="3">
        <v>43284</v>
      </c>
      <c r="C677" s="4">
        <v>2.1</v>
      </c>
      <c r="D677" s="4">
        <v>2.1</v>
      </c>
      <c r="E677" s="4">
        <v>11020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1.98</v>
      </c>
      <c r="D678" s="4">
        <v>1.98</v>
      </c>
      <c r="E678" s="4">
        <v>2289</v>
      </c>
      <c r="F678" s="4"/>
      <c r="G678" s="4"/>
      <c r="H678" s="5">
        <f t="shared" si="10"/>
        <v>-5.714285714285719E-2</v>
      </c>
    </row>
    <row r="679" spans="1:8" ht="13.5" x14ac:dyDescent="0.25">
      <c r="A679" s="1"/>
      <c r="B679" s="3">
        <v>43286</v>
      </c>
      <c r="C679" s="4">
        <v>1.94</v>
      </c>
      <c r="D679" s="4">
        <v>1.94</v>
      </c>
      <c r="E679" s="4">
        <v>2451</v>
      </c>
      <c r="F679" s="4"/>
      <c r="G679" s="4"/>
      <c r="H679" s="5">
        <f t="shared" si="10"/>
        <v>-2.0202020202020221E-2</v>
      </c>
    </row>
    <row r="680" spans="1:8" ht="13.5" x14ac:dyDescent="0.25">
      <c r="A680" s="1"/>
      <c r="B680" s="3">
        <v>43287</v>
      </c>
      <c r="C680" s="4">
        <v>1.92</v>
      </c>
      <c r="D680" s="4">
        <v>1.92</v>
      </c>
      <c r="E680" s="4">
        <v>977</v>
      </c>
      <c r="F680" s="4"/>
      <c r="G680" s="4"/>
      <c r="H680" s="5">
        <f t="shared" si="10"/>
        <v>-1.0309278350515474E-2</v>
      </c>
    </row>
    <row r="681" spans="1:8" ht="13.5" x14ac:dyDescent="0.25">
      <c r="A681" s="1"/>
      <c r="B681" s="3">
        <v>43290</v>
      </c>
      <c r="C681" s="4">
        <v>1.86</v>
      </c>
      <c r="D681" s="4">
        <v>1.86</v>
      </c>
      <c r="E681" s="4">
        <v>2105</v>
      </c>
      <c r="F681" s="4"/>
      <c r="G681" s="4"/>
      <c r="H681" s="5">
        <f t="shared" si="10"/>
        <v>-3.1249999999999913E-2</v>
      </c>
    </row>
    <row r="682" spans="1:8" ht="13.5" x14ac:dyDescent="0.25">
      <c r="A682" s="1"/>
      <c r="B682" s="3">
        <v>43291</v>
      </c>
      <c r="C682" s="4">
        <v>1.82</v>
      </c>
      <c r="D682" s="4">
        <v>1.82</v>
      </c>
      <c r="E682" s="4">
        <v>469</v>
      </c>
      <c r="F682" s="4"/>
      <c r="G682" s="4"/>
      <c r="H682" s="5">
        <f t="shared" si="10"/>
        <v>-2.1505376344086041E-2</v>
      </c>
    </row>
    <row r="683" spans="1:8" ht="13.5" x14ac:dyDescent="0.25">
      <c r="A683" s="1"/>
      <c r="B683" s="3">
        <v>43292</v>
      </c>
      <c r="C683" s="4">
        <v>1.82</v>
      </c>
      <c r="D683" s="4">
        <v>1.82</v>
      </c>
      <c r="E683" s="4">
        <v>669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1.72</v>
      </c>
      <c r="D684" s="4">
        <v>1.72</v>
      </c>
      <c r="E684" s="4">
        <v>2330</v>
      </c>
      <c r="F684" s="4"/>
      <c r="G684" s="4"/>
      <c r="H684" s="5">
        <f t="shared" si="10"/>
        <v>-5.4945054945054993E-2</v>
      </c>
    </row>
    <row r="685" spans="1:8" ht="13.5" x14ac:dyDescent="0.25">
      <c r="A685" s="1"/>
      <c r="B685" s="3">
        <v>43294</v>
      </c>
      <c r="C685" s="4">
        <v>1.76</v>
      </c>
      <c r="D685" s="4">
        <v>1.76</v>
      </c>
      <c r="E685" s="4">
        <v>230</v>
      </c>
      <c r="F685" s="4"/>
      <c r="G685" s="4"/>
      <c r="H685" s="5">
        <f t="shared" si="10"/>
        <v>2.3255813953488393E-2</v>
      </c>
    </row>
    <row r="686" spans="1:8" ht="13.5" x14ac:dyDescent="0.25">
      <c r="A686" s="1"/>
      <c r="B686" s="3">
        <v>43297</v>
      </c>
      <c r="C686" s="4">
        <v>1.71</v>
      </c>
      <c r="D686" s="4">
        <v>1.71</v>
      </c>
      <c r="E686" s="4">
        <v>33</v>
      </c>
      <c r="F686" s="4"/>
      <c r="G686" s="4"/>
      <c r="H686" s="5">
        <f t="shared" si="10"/>
        <v>-2.8409090909090936E-2</v>
      </c>
    </row>
    <row r="687" spans="1:8" ht="13.5" x14ac:dyDescent="0.25">
      <c r="A687" s="1"/>
      <c r="B687" s="3">
        <v>43298</v>
      </c>
      <c r="C687" s="4">
        <v>1.68</v>
      </c>
      <c r="D687" s="4">
        <v>1.68</v>
      </c>
      <c r="E687" s="4">
        <v>1172</v>
      </c>
      <c r="F687" s="4"/>
      <c r="G687" s="4"/>
      <c r="H687" s="5">
        <f t="shared" si="10"/>
        <v>-1.7543859649122823E-2</v>
      </c>
    </row>
    <row r="688" spans="1:8" ht="13.5" x14ac:dyDescent="0.25">
      <c r="A688" s="1"/>
      <c r="B688" s="3">
        <v>43299</v>
      </c>
      <c r="C688" s="4">
        <v>1.61</v>
      </c>
      <c r="D688" s="4">
        <v>1.61</v>
      </c>
      <c r="E688" s="4">
        <v>2677</v>
      </c>
      <c r="F688" s="4"/>
      <c r="G688" s="4"/>
      <c r="H688" s="5">
        <f t="shared" si="10"/>
        <v>-4.1666666666666574E-2</v>
      </c>
    </row>
    <row r="689" spans="1:8" ht="13.5" x14ac:dyDescent="0.25">
      <c r="A689" s="1"/>
      <c r="B689" s="3">
        <v>43300</v>
      </c>
      <c r="C689" s="4">
        <v>1.64</v>
      </c>
      <c r="D689" s="4">
        <v>1.64</v>
      </c>
      <c r="E689" s="4">
        <v>266</v>
      </c>
      <c r="F689" s="4"/>
      <c r="G689" s="4"/>
      <c r="H689" s="5">
        <f t="shared" si="10"/>
        <v>1.8633540372670686E-2</v>
      </c>
    </row>
    <row r="690" spans="1:8" ht="13.5" x14ac:dyDescent="0.25">
      <c r="A690" s="1"/>
      <c r="B690" s="3">
        <v>43301</v>
      </c>
      <c r="C690" s="4">
        <v>1.7</v>
      </c>
      <c r="D690" s="4">
        <v>1.7</v>
      </c>
      <c r="E690" s="4">
        <v>1121</v>
      </c>
      <c r="F690" s="4"/>
      <c r="G690" s="4"/>
      <c r="H690" s="5">
        <f t="shared" si="10"/>
        <v>3.6585365853658569E-2</v>
      </c>
    </row>
    <row r="691" spans="1:8" ht="13.5" x14ac:dyDescent="0.25">
      <c r="A691" s="1"/>
      <c r="B691" s="3">
        <v>43304</v>
      </c>
      <c r="C691" s="4">
        <v>1.75</v>
      </c>
      <c r="D691" s="4">
        <v>1.75</v>
      </c>
      <c r="E691" s="4">
        <v>1980</v>
      </c>
      <c r="F691" s="4"/>
      <c r="G691" s="4"/>
      <c r="H691" s="5">
        <f t="shared" si="10"/>
        <v>2.941176470588238E-2</v>
      </c>
    </row>
    <row r="692" spans="1:8" ht="13.5" x14ac:dyDescent="0.25">
      <c r="A692" s="1"/>
      <c r="B692" s="3">
        <v>43305</v>
      </c>
      <c r="C692" s="4">
        <v>1.75</v>
      </c>
      <c r="D692" s="4">
        <v>1.75</v>
      </c>
      <c r="E692" s="4">
        <v>1013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1.78</v>
      </c>
      <c r="D693" s="4">
        <v>1.78</v>
      </c>
      <c r="E693" s="4">
        <v>2032</v>
      </c>
      <c r="F693" s="4"/>
      <c r="G693" s="4"/>
      <c r="H693" s="5">
        <f t="shared" si="10"/>
        <v>1.7142857142857158E-2</v>
      </c>
    </row>
    <row r="694" spans="1:8" ht="13.5" x14ac:dyDescent="0.25">
      <c r="A694" s="1"/>
      <c r="B694" s="3">
        <v>43308</v>
      </c>
      <c r="C694" s="4">
        <v>1.75</v>
      </c>
      <c r="D694" s="4">
        <v>1.75</v>
      </c>
      <c r="E694" s="4">
        <v>717</v>
      </c>
      <c r="F694" s="4"/>
      <c r="G694" s="4"/>
      <c r="H694" s="5">
        <f t="shared" si="10"/>
        <v>-1.6853932584269676E-2</v>
      </c>
    </row>
    <row r="695" spans="1:8" ht="13.5" x14ac:dyDescent="0.25">
      <c r="A695" s="1"/>
      <c r="B695" s="3">
        <v>43311</v>
      </c>
      <c r="C695" s="4">
        <v>1.79</v>
      </c>
      <c r="D695" s="4">
        <v>1.79</v>
      </c>
      <c r="E695" s="4">
        <v>235</v>
      </c>
      <c r="F695" s="4"/>
      <c r="G695" s="4"/>
      <c r="H695" s="5">
        <f t="shared" si="10"/>
        <v>2.2857142857142878E-2</v>
      </c>
    </row>
    <row r="696" spans="1:8" ht="13.5" x14ac:dyDescent="0.25">
      <c r="A696" s="1"/>
      <c r="B696" s="3">
        <v>43312</v>
      </c>
      <c r="C696" s="4">
        <v>1.77</v>
      </c>
      <c r="D696" s="4">
        <v>1.77</v>
      </c>
      <c r="E696" s="4">
        <v>210</v>
      </c>
      <c r="F696" s="4"/>
      <c r="G696" s="4"/>
      <c r="H696" s="5">
        <f t="shared" si="10"/>
        <v>-1.1173184357541908E-2</v>
      </c>
    </row>
    <row r="697" spans="1:8" ht="13.5" x14ac:dyDescent="0.25">
      <c r="A697" s="1"/>
      <c r="B697" s="3">
        <v>43313</v>
      </c>
      <c r="C697" s="4">
        <v>1.72</v>
      </c>
      <c r="D697" s="4">
        <v>1.72</v>
      </c>
      <c r="E697" s="4">
        <v>26</v>
      </c>
      <c r="F697" s="4"/>
      <c r="G697" s="4"/>
      <c r="H697" s="5">
        <f t="shared" si="10"/>
        <v>-2.8248587570621493E-2</v>
      </c>
    </row>
    <row r="698" spans="1:8" ht="13.5" x14ac:dyDescent="0.25">
      <c r="A698" s="1"/>
      <c r="B698" s="3">
        <v>43314</v>
      </c>
      <c r="C698" s="4">
        <v>1.67</v>
      </c>
      <c r="D698" s="4">
        <v>1.67</v>
      </c>
      <c r="E698" s="4">
        <v>2060</v>
      </c>
      <c r="F698" s="4"/>
      <c r="G698" s="4"/>
      <c r="H698" s="5">
        <f t="shared" si="10"/>
        <v>-2.9069767441860492E-2</v>
      </c>
    </row>
    <row r="699" spans="1:8" ht="13.5" x14ac:dyDescent="0.25">
      <c r="A699" s="1"/>
      <c r="B699" s="3">
        <v>43315</v>
      </c>
      <c r="C699" s="4">
        <v>1.65</v>
      </c>
      <c r="D699" s="4">
        <v>1.65</v>
      </c>
      <c r="E699" s="4">
        <v>658</v>
      </c>
      <c r="F699" s="4"/>
      <c r="G699" s="4"/>
      <c r="H699" s="5">
        <f t="shared" si="10"/>
        <v>-1.1976047904191628E-2</v>
      </c>
    </row>
    <row r="700" spans="1:8" ht="13.5" x14ac:dyDescent="0.25">
      <c r="A700" s="1"/>
      <c r="B700" s="3">
        <v>43318</v>
      </c>
      <c r="C700" s="4">
        <v>1.62</v>
      </c>
      <c r="D700" s="4">
        <v>1.62</v>
      </c>
      <c r="E700" s="4">
        <v>2043</v>
      </c>
      <c r="F700" s="4"/>
      <c r="G700" s="4"/>
      <c r="H700" s="5">
        <f t="shared" si="10"/>
        <v>-1.8181818181818063E-2</v>
      </c>
    </row>
    <row r="701" spans="1:8" ht="13.5" x14ac:dyDescent="0.25">
      <c r="A701" s="1"/>
      <c r="B701" s="3">
        <v>43319</v>
      </c>
      <c r="C701" s="4">
        <v>1.58</v>
      </c>
      <c r="D701" s="4">
        <v>1.58</v>
      </c>
      <c r="E701" s="4">
        <v>318</v>
      </c>
      <c r="F701" s="4"/>
      <c r="G701" s="4"/>
      <c r="H701" s="5">
        <f t="shared" si="10"/>
        <v>-2.4691358024691377E-2</v>
      </c>
    </row>
    <row r="702" spans="1:8" ht="13.5" x14ac:dyDescent="0.25">
      <c r="A702" s="1"/>
      <c r="B702" s="3">
        <v>43320</v>
      </c>
      <c r="C702" s="4">
        <v>1.62</v>
      </c>
      <c r="D702" s="4">
        <v>1.62</v>
      </c>
      <c r="E702" s="4">
        <v>2030</v>
      </c>
      <c r="F702" s="4"/>
      <c r="G702" s="4"/>
      <c r="H702" s="5">
        <f t="shared" si="10"/>
        <v>2.5316455696202552E-2</v>
      </c>
    </row>
    <row r="703" spans="1:8" ht="13.5" x14ac:dyDescent="0.25">
      <c r="A703" s="1"/>
      <c r="B703" s="3">
        <v>43321</v>
      </c>
      <c r="C703" s="4">
        <v>1.67</v>
      </c>
      <c r="D703" s="4">
        <v>1.67</v>
      </c>
      <c r="E703" s="4">
        <v>2331</v>
      </c>
      <c r="F703" s="4"/>
      <c r="G703" s="4"/>
      <c r="H703" s="5">
        <f t="shared" si="10"/>
        <v>3.0864197530864085E-2</v>
      </c>
    </row>
    <row r="704" spans="1:8" ht="13.5" x14ac:dyDescent="0.25">
      <c r="A704" s="1"/>
      <c r="B704" s="3">
        <v>43322</v>
      </c>
      <c r="C704" s="4">
        <v>1.71</v>
      </c>
      <c r="D704" s="4">
        <v>1.71</v>
      </c>
      <c r="E704" s="4">
        <v>71</v>
      </c>
      <c r="F704" s="4"/>
      <c r="G704" s="4"/>
      <c r="H704" s="5">
        <f t="shared" si="10"/>
        <v>2.3952095808383256E-2</v>
      </c>
    </row>
    <row r="705" spans="1:8" ht="13.5" x14ac:dyDescent="0.25">
      <c r="A705" s="1"/>
      <c r="B705" s="3">
        <v>43326</v>
      </c>
      <c r="C705" s="4">
        <v>1.73</v>
      </c>
      <c r="D705" s="4">
        <v>1.73</v>
      </c>
      <c r="E705" s="4">
        <v>200</v>
      </c>
      <c r="F705" s="4"/>
      <c r="G705" s="4"/>
      <c r="H705" s="5">
        <f t="shared" si="10"/>
        <v>1.169590643274855E-2</v>
      </c>
    </row>
    <row r="706" spans="1:8" ht="13.5" x14ac:dyDescent="0.25">
      <c r="A706" s="1"/>
      <c r="B706" s="3">
        <v>43327</v>
      </c>
      <c r="C706" s="4">
        <v>1.73</v>
      </c>
      <c r="D706" s="4">
        <v>1.73</v>
      </c>
      <c r="E706" s="4">
        <v>780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1.7</v>
      </c>
      <c r="D707" s="4">
        <v>1.7</v>
      </c>
      <c r="E707" s="4">
        <v>2100</v>
      </c>
      <c r="F707" s="4"/>
      <c r="G707" s="4"/>
      <c r="H707" s="5">
        <f t="shared" si="10"/>
        <v>-1.7341040462427761E-2</v>
      </c>
    </row>
    <row r="708" spans="1:8" ht="13.5" x14ac:dyDescent="0.25">
      <c r="A708" s="1"/>
      <c r="B708" s="3">
        <v>43329</v>
      </c>
      <c r="C708" s="4">
        <v>1.69</v>
      </c>
      <c r="D708" s="4">
        <v>1.69</v>
      </c>
      <c r="E708" s="4">
        <v>605</v>
      </c>
      <c r="F708" s="4"/>
      <c r="G708" s="4"/>
      <c r="H708" s="5">
        <f t="shared" si="10"/>
        <v>-5.8823529411764757E-3</v>
      </c>
    </row>
    <row r="709" spans="1:8" ht="13.5" x14ac:dyDescent="0.25">
      <c r="A709" s="1"/>
      <c r="B709" s="3">
        <v>43332</v>
      </c>
      <c r="C709" s="4">
        <v>1.69</v>
      </c>
      <c r="D709" s="4">
        <v>1.69</v>
      </c>
      <c r="E709" s="4">
        <v>100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1.69</v>
      </c>
      <c r="D710" s="4">
        <v>1.69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1.64</v>
      </c>
      <c r="D711" s="4">
        <v>1.64</v>
      </c>
      <c r="E711" s="4">
        <v>557</v>
      </c>
      <c r="F711" s="4"/>
      <c r="G711" s="4"/>
      <c r="H711" s="5">
        <f t="shared" ref="H711:H774" si="11">(D711-D710)/D710</f>
        <v>-2.9585798816568074E-2</v>
      </c>
    </row>
    <row r="712" spans="1:8" ht="13.5" x14ac:dyDescent="0.25">
      <c r="A712" s="1"/>
      <c r="B712" s="3">
        <v>43339</v>
      </c>
      <c r="C712" s="4">
        <v>1.61</v>
      </c>
      <c r="D712" s="4">
        <v>1.61</v>
      </c>
      <c r="E712" s="4">
        <v>2471</v>
      </c>
      <c r="F712" s="4"/>
      <c r="G712" s="4"/>
      <c r="H712" s="5">
        <f t="shared" si="11"/>
        <v>-1.8292682926829149E-2</v>
      </c>
    </row>
    <row r="713" spans="1:8" ht="13.5" x14ac:dyDescent="0.25">
      <c r="A713" s="1"/>
      <c r="B713" s="3">
        <v>43340</v>
      </c>
      <c r="C713" s="4">
        <v>1.65</v>
      </c>
      <c r="D713" s="4">
        <v>1.65</v>
      </c>
      <c r="E713" s="4">
        <v>90</v>
      </c>
      <c r="F713" s="4"/>
      <c r="G713" s="4"/>
      <c r="H713" s="5">
        <f t="shared" si="11"/>
        <v>2.4844720496894294E-2</v>
      </c>
    </row>
    <row r="714" spans="1:8" ht="13.5" x14ac:dyDescent="0.25">
      <c r="A714" s="1"/>
      <c r="B714" s="3">
        <v>43341</v>
      </c>
      <c r="C714" s="4">
        <v>1.64</v>
      </c>
      <c r="D714" s="4">
        <v>1.64</v>
      </c>
      <c r="E714" s="4">
        <v>124</v>
      </c>
      <c r="F714" s="4"/>
      <c r="G714" s="4"/>
      <c r="H714" s="5">
        <f t="shared" si="11"/>
        <v>-6.0606060606060667E-3</v>
      </c>
    </row>
    <row r="715" spans="1:8" ht="13.5" x14ac:dyDescent="0.25">
      <c r="A715" s="1"/>
      <c r="B715" s="3">
        <v>43342</v>
      </c>
      <c r="C715" s="4">
        <v>1.6</v>
      </c>
      <c r="D715" s="4">
        <v>1.6</v>
      </c>
      <c r="E715" s="4">
        <v>1084</v>
      </c>
      <c r="F715" s="4"/>
      <c r="G715" s="4"/>
      <c r="H715" s="5">
        <f t="shared" si="11"/>
        <v>-2.4390243902438911E-2</v>
      </c>
    </row>
    <row r="716" spans="1:8" ht="13.5" x14ac:dyDescent="0.25">
      <c r="A716" s="1"/>
      <c r="B716" s="3">
        <v>43343</v>
      </c>
      <c r="C716" s="4">
        <v>1.6</v>
      </c>
      <c r="D716" s="4">
        <v>1.6</v>
      </c>
      <c r="E716" s="4">
        <v>15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1.59</v>
      </c>
      <c r="D717" s="4">
        <v>1.59</v>
      </c>
      <c r="E717" s="4">
        <v>765</v>
      </c>
      <c r="F717" s="4"/>
      <c r="G717" s="4"/>
      <c r="H717" s="5">
        <f t="shared" si="11"/>
        <v>-6.2500000000000056E-3</v>
      </c>
    </row>
    <row r="718" spans="1:8" ht="13.5" x14ac:dyDescent="0.25">
      <c r="A718" s="1"/>
      <c r="B718" s="3">
        <v>43347</v>
      </c>
      <c r="C718" s="4">
        <v>1.62</v>
      </c>
      <c r="D718" s="4">
        <v>1.62</v>
      </c>
      <c r="E718" s="4">
        <v>2100</v>
      </c>
      <c r="F718" s="4"/>
      <c r="G718" s="4"/>
      <c r="H718" s="5">
        <f t="shared" si="11"/>
        <v>1.8867924528301903E-2</v>
      </c>
    </row>
    <row r="719" spans="1:8" ht="13.5" x14ac:dyDescent="0.25">
      <c r="A719" s="1"/>
      <c r="B719" s="3">
        <v>43348</v>
      </c>
      <c r="C719" s="4">
        <v>1.66</v>
      </c>
      <c r="D719" s="4">
        <v>1.66</v>
      </c>
      <c r="E719" s="4">
        <v>5</v>
      </c>
      <c r="F719" s="4"/>
      <c r="G719" s="4"/>
      <c r="H719" s="5">
        <f t="shared" si="11"/>
        <v>2.4691358024691242E-2</v>
      </c>
    </row>
    <row r="720" spans="1:8" ht="13.5" x14ac:dyDescent="0.25">
      <c r="A720" s="1"/>
      <c r="B720" s="3">
        <v>43349</v>
      </c>
      <c r="C720" s="4">
        <v>1.62</v>
      </c>
      <c r="D720" s="4">
        <v>1.62</v>
      </c>
      <c r="E720" s="4">
        <v>0</v>
      </c>
      <c r="F720" s="4"/>
      <c r="G720" s="4"/>
      <c r="H720" s="5">
        <f t="shared" si="11"/>
        <v>-2.4096385542168565E-2</v>
      </c>
    </row>
    <row r="721" spans="1:8" ht="13.5" x14ac:dyDescent="0.25">
      <c r="A721" s="1"/>
      <c r="B721" s="3">
        <v>43350</v>
      </c>
      <c r="C721" s="4">
        <v>1.64</v>
      </c>
      <c r="D721" s="4">
        <v>1.64</v>
      </c>
      <c r="E721" s="4">
        <v>115</v>
      </c>
      <c r="F721" s="4"/>
      <c r="G721" s="4"/>
      <c r="H721" s="5">
        <f t="shared" si="11"/>
        <v>1.2345679012345552E-2</v>
      </c>
    </row>
    <row r="722" spans="1:8" ht="13.5" x14ac:dyDescent="0.25">
      <c r="A722" s="1"/>
      <c r="B722" s="3">
        <v>43353</v>
      </c>
      <c r="C722" s="4">
        <v>1.64</v>
      </c>
      <c r="D722" s="4">
        <v>1.64</v>
      </c>
      <c r="E722" s="4">
        <v>250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1.6</v>
      </c>
      <c r="D723" s="4">
        <v>1.6</v>
      </c>
      <c r="E723" s="4">
        <v>655</v>
      </c>
      <c r="F723" s="4"/>
      <c r="G723" s="4"/>
      <c r="H723" s="5">
        <f t="shared" si="11"/>
        <v>-2.4390243902438911E-2</v>
      </c>
    </row>
    <row r="724" spans="1:8" ht="13.5" x14ac:dyDescent="0.25">
      <c r="A724" s="1"/>
      <c r="B724" s="3">
        <v>43356</v>
      </c>
      <c r="C724" s="4">
        <v>1.56</v>
      </c>
      <c r="D724" s="4">
        <v>1.56</v>
      </c>
      <c r="E724" s="4">
        <v>265</v>
      </c>
      <c r="F724" s="4"/>
      <c r="G724" s="4"/>
      <c r="H724" s="5">
        <f t="shared" si="11"/>
        <v>-2.5000000000000022E-2</v>
      </c>
    </row>
    <row r="725" spans="1:8" ht="13.5" x14ac:dyDescent="0.25">
      <c r="A725" s="1"/>
      <c r="B725" s="3">
        <v>43357</v>
      </c>
      <c r="C725" s="4">
        <v>1.52</v>
      </c>
      <c r="D725" s="4">
        <v>1.52</v>
      </c>
      <c r="E725" s="4">
        <v>777</v>
      </c>
      <c r="F725" s="4"/>
      <c r="G725" s="4"/>
      <c r="H725" s="5">
        <f t="shared" si="11"/>
        <v>-2.5641025641025664E-2</v>
      </c>
    </row>
    <row r="726" spans="1:8" ht="13.5" x14ac:dyDescent="0.25">
      <c r="A726" s="1"/>
      <c r="B726" s="3">
        <v>43360</v>
      </c>
      <c r="C726" s="4">
        <v>1.52</v>
      </c>
      <c r="D726" s="4">
        <v>1.52</v>
      </c>
      <c r="E726" s="4">
        <v>790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1.51</v>
      </c>
      <c r="D727" s="4">
        <v>1.51</v>
      </c>
      <c r="E727" s="4">
        <v>1270</v>
      </c>
      <c r="F727" s="4"/>
      <c r="G727" s="4"/>
      <c r="H727" s="5">
        <f t="shared" si="11"/>
        <v>-6.5789473684210583E-3</v>
      </c>
    </row>
    <row r="728" spans="1:8" ht="13.5" x14ac:dyDescent="0.25">
      <c r="A728" s="1"/>
      <c r="B728" s="3">
        <v>43362</v>
      </c>
      <c r="C728" s="4">
        <v>1.59</v>
      </c>
      <c r="D728" s="4">
        <v>1.59</v>
      </c>
      <c r="E728" s="4">
        <v>11</v>
      </c>
      <c r="F728" s="4"/>
      <c r="G728" s="4"/>
      <c r="H728" s="5">
        <f t="shared" si="11"/>
        <v>5.2980132450331174E-2</v>
      </c>
    </row>
    <row r="729" spans="1:8" ht="13.5" x14ac:dyDescent="0.25">
      <c r="A729" s="1"/>
      <c r="B729" s="3">
        <v>43363</v>
      </c>
      <c r="C729" s="4">
        <v>1.52</v>
      </c>
      <c r="D729" s="4">
        <v>1.52</v>
      </c>
      <c r="E729" s="4">
        <v>0</v>
      </c>
      <c r="F729" s="4"/>
      <c r="G729" s="4"/>
      <c r="H729" s="5">
        <f t="shared" si="11"/>
        <v>-4.4025157232704441E-2</v>
      </c>
    </row>
    <row r="730" spans="1:8" ht="13.5" x14ac:dyDescent="0.25">
      <c r="A730" s="1"/>
      <c r="B730" s="3">
        <v>43364</v>
      </c>
      <c r="C730" s="4">
        <v>1.52</v>
      </c>
      <c r="D730" s="4">
        <v>1.52</v>
      </c>
      <c r="E730" s="4">
        <v>3739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1.48</v>
      </c>
      <c r="D731" s="4">
        <v>1.48</v>
      </c>
      <c r="E731" s="4">
        <v>260</v>
      </c>
      <c r="F731" s="4"/>
      <c r="G731" s="4"/>
      <c r="H731" s="5">
        <f t="shared" si="11"/>
        <v>-2.6315789473684233E-2</v>
      </c>
    </row>
    <row r="732" spans="1:8" ht="13.5" x14ac:dyDescent="0.25">
      <c r="A732" s="1"/>
      <c r="B732" s="3">
        <v>43368</v>
      </c>
      <c r="C732" s="4">
        <v>1.5</v>
      </c>
      <c r="D732" s="4">
        <v>1.5</v>
      </c>
      <c r="E732" s="4">
        <v>505</v>
      </c>
      <c r="F732" s="4"/>
      <c r="G732" s="4"/>
      <c r="H732" s="5">
        <f t="shared" si="11"/>
        <v>1.3513513513513526E-2</v>
      </c>
    </row>
    <row r="733" spans="1:8" ht="13.5" x14ac:dyDescent="0.25">
      <c r="A733" s="1"/>
      <c r="B733" s="3">
        <v>43369</v>
      </c>
      <c r="C733" s="4">
        <v>1.44</v>
      </c>
      <c r="D733" s="4">
        <v>1.44</v>
      </c>
      <c r="E733" s="4">
        <v>200</v>
      </c>
      <c r="F733" s="4"/>
      <c r="G733" s="4"/>
      <c r="H733" s="5">
        <f t="shared" si="11"/>
        <v>-4.0000000000000036E-2</v>
      </c>
    </row>
    <row r="734" spans="1:8" ht="13.5" x14ac:dyDescent="0.25">
      <c r="A734" s="1"/>
      <c r="B734" s="3">
        <v>43370</v>
      </c>
      <c r="C734" s="4">
        <v>1.48</v>
      </c>
      <c r="D734" s="4">
        <v>1.48</v>
      </c>
      <c r="E734" s="4">
        <v>35727</v>
      </c>
      <c r="F734" s="4"/>
      <c r="G734" s="4"/>
      <c r="H734" s="5">
        <f t="shared" si="11"/>
        <v>2.7777777777777804E-2</v>
      </c>
    </row>
    <row r="735" spans="1:8" ht="13.5" x14ac:dyDescent="0.25">
      <c r="A735" s="1"/>
      <c r="B735" s="3">
        <v>43371</v>
      </c>
      <c r="C735" s="4">
        <v>1.52</v>
      </c>
      <c r="D735" s="4">
        <v>1.52</v>
      </c>
      <c r="E735" s="4">
        <v>1107</v>
      </c>
      <c r="F735" s="4"/>
      <c r="G735" s="4"/>
      <c r="H735" s="5">
        <f t="shared" si="11"/>
        <v>2.7027027027027053E-2</v>
      </c>
    </row>
    <row r="736" spans="1:8" ht="13.5" x14ac:dyDescent="0.25">
      <c r="A736" s="1"/>
      <c r="B736" s="3">
        <v>43374</v>
      </c>
      <c r="C736" s="4">
        <v>1.46</v>
      </c>
      <c r="D736" s="4">
        <v>1.46</v>
      </c>
      <c r="E736" s="4">
        <v>70</v>
      </c>
      <c r="F736" s="4"/>
      <c r="G736" s="4"/>
      <c r="H736" s="5">
        <f t="shared" si="11"/>
        <v>-3.9473684210526348E-2</v>
      </c>
    </row>
    <row r="737" spans="1:8" ht="13.5" x14ac:dyDescent="0.25">
      <c r="A737" s="1"/>
      <c r="B737" s="3">
        <v>43375</v>
      </c>
      <c r="C737" s="4">
        <v>1.42</v>
      </c>
      <c r="D737" s="4">
        <v>1.42</v>
      </c>
      <c r="E737" s="4">
        <v>550</v>
      </c>
      <c r="F737" s="4"/>
      <c r="G737" s="4"/>
      <c r="H737" s="5">
        <f t="shared" si="11"/>
        <v>-2.7397260273972629E-2</v>
      </c>
    </row>
    <row r="738" spans="1:8" ht="13.5" x14ac:dyDescent="0.25">
      <c r="A738" s="1"/>
      <c r="B738" s="3">
        <v>43376</v>
      </c>
      <c r="C738" s="4">
        <v>1.4</v>
      </c>
      <c r="D738" s="4">
        <v>1.4</v>
      </c>
      <c r="E738" s="4">
        <v>1245</v>
      </c>
      <c r="F738" s="4"/>
      <c r="G738" s="4"/>
      <c r="H738" s="5">
        <f t="shared" si="11"/>
        <v>-1.4084507042253534E-2</v>
      </c>
    </row>
    <row r="739" spans="1:8" ht="13.5" x14ac:dyDescent="0.25">
      <c r="A739" s="1"/>
      <c r="B739" s="3">
        <v>43377</v>
      </c>
      <c r="C739" s="4">
        <v>1.36</v>
      </c>
      <c r="D739" s="4">
        <v>1.36</v>
      </c>
      <c r="E739" s="4">
        <v>5</v>
      </c>
      <c r="F739" s="4"/>
      <c r="G739" s="4"/>
      <c r="H739" s="5">
        <f t="shared" si="11"/>
        <v>-2.8571428571428439E-2</v>
      </c>
    </row>
    <row r="740" spans="1:8" ht="13.5" x14ac:dyDescent="0.25">
      <c r="A740" s="1"/>
      <c r="B740" s="3">
        <v>43378</v>
      </c>
      <c r="C740" s="4">
        <v>1.36</v>
      </c>
      <c r="D740" s="4">
        <v>1.36</v>
      </c>
      <c r="E740" s="4">
        <v>412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1.32</v>
      </c>
      <c r="D741" s="4">
        <v>1.32</v>
      </c>
      <c r="E741" s="4">
        <v>12</v>
      </c>
      <c r="F741" s="4"/>
      <c r="G741" s="4"/>
      <c r="H741" s="5">
        <f t="shared" si="11"/>
        <v>-2.9411764705882377E-2</v>
      </c>
    </row>
    <row r="742" spans="1:8" ht="13.5" x14ac:dyDescent="0.25">
      <c r="A742" s="1"/>
      <c r="B742" s="3">
        <v>43382</v>
      </c>
      <c r="C742" s="4">
        <v>1.3</v>
      </c>
      <c r="D742" s="4">
        <v>1.3</v>
      </c>
      <c r="E742" s="4">
        <v>96</v>
      </c>
      <c r="F742" s="4"/>
      <c r="G742" s="4"/>
      <c r="H742" s="5">
        <f t="shared" si="11"/>
        <v>-1.5151515151515164E-2</v>
      </c>
    </row>
    <row r="743" spans="1:8" ht="13.5" x14ac:dyDescent="0.25">
      <c r="A743" s="1"/>
      <c r="B743" s="3">
        <v>43383</v>
      </c>
      <c r="C743" s="4">
        <v>1.3</v>
      </c>
      <c r="D743" s="4">
        <v>1.3</v>
      </c>
      <c r="E743" s="4">
        <v>388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1.35</v>
      </c>
      <c r="D744" s="4">
        <v>1.35</v>
      </c>
      <c r="E744" s="4">
        <v>105</v>
      </c>
      <c r="F744" s="4"/>
      <c r="G744" s="4"/>
      <c r="H744" s="5">
        <f t="shared" si="11"/>
        <v>3.8461538461538491E-2</v>
      </c>
    </row>
    <row r="745" spans="1:8" ht="13.5" x14ac:dyDescent="0.25">
      <c r="A745" s="1"/>
      <c r="B745" s="3">
        <v>43385</v>
      </c>
      <c r="C745" s="4">
        <v>1.35</v>
      </c>
      <c r="D745" s="4">
        <v>1.35</v>
      </c>
      <c r="E745" s="4">
        <v>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1.39</v>
      </c>
      <c r="D746" s="4">
        <v>1.39</v>
      </c>
      <c r="E746" s="4">
        <v>5</v>
      </c>
      <c r="F746" s="4"/>
      <c r="G746" s="4"/>
      <c r="H746" s="5">
        <f t="shared" si="11"/>
        <v>2.9629629629629489E-2</v>
      </c>
    </row>
    <row r="747" spans="1:8" ht="13.5" x14ac:dyDescent="0.25">
      <c r="A747" s="1"/>
      <c r="B747" s="3">
        <v>43390</v>
      </c>
      <c r="C747" s="4">
        <v>1.35</v>
      </c>
      <c r="D747" s="4">
        <v>1.35</v>
      </c>
      <c r="E747" s="4">
        <v>420</v>
      </c>
      <c r="F747" s="4"/>
      <c r="G747" s="4"/>
      <c r="H747" s="5">
        <f t="shared" si="11"/>
        <v>-2.8776978417266053E-2</v>
      </c>
    </row>
    <row r="748" spans="1:8" ht="13.5" x14ac:dyDescent="0.25">
      <c r="A748" s="1"/>
      <c r="B748" s="3">
        <v>43391</v>
      </c>
      <c r="C748" s="4">
        <v>1.32</v>
      </c>
      <c r="D748" s="4">
        <v>1.32</v>
      </c>
      <c r="E748" s="4">
        <v>502</v>
      </c>
      <c r="F748" s="4"/>
      <c r="G748" s="4"/>
      <c r="H748" s="5">
        <f t="shared" si="11"/>
        <v>-2.222222222222224E-2</v>
      </c>
    </row>
    <row r="749" spans="1:8" ht="13.5" x14ac:dyDescent="0.25">
      <c r="A749" s="1"/>
      <c r="B749" s="3">
        <v>43392</v>
      </c>
      <c r="C749" s="4">
        <v>1.34</v>
      </c>
      <c r="D749" s="4">
        <v>1.34</v>
      </c>
      <c r="E749" s="4">
        <v>2010</v>
      </c>
      <c r="F749" s="4"/>
      <c r="G749" s="4"/>
      <c r="H749" s="5">
        <f t="shared" si="11"/>
        <v>1.5151515151515164E-2</v>
      </c>
    </row>
    <row r="750" spans="1:8" ht="13.5" x14ac:dyDescent="0.25">
      <c r="A750" s="1"/>
      <c r="B750" s="3">
        <v>43395</v>
      </c>
      <c r="C750" s="4">
        <v>1.34</v>
      </c>
      <c r="D750" s="4">
        <v>1.34</v>
      </c>
      <c r="E750" s="4">
        <v>0</v>
      </c>
      <c r="F750" s="4"/>
      <c r="G750" s="4"/>
      <c r="H750" s="5">
        <f t="shared" si="11"/>
        <v>0</v>
      </c>
    </row>
    <row r="751" spans="1:8" ht="13.5" x14ac:dyDescent="0.25">
      <c r="A751" s="1"/>
      <c r="B751" s="3">
        <v>43396</v>
      </c>
      <c r="C751" s="4">
        <v>1.34</v>
      </c>
      <c r="D751" s="4">
        <v>1.34</v>
      </c>
      <c r="E751" s="4">
        <v>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1.34</v>
      </c>
      <c r="D752" s="4">
        <v>1.34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1.34</v>
      </c>
      <c r="D753" s="4">
        <v>1.34</v>
      </c>
      <c r="E753" s="4">
        <v>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1.34</v>
      </c>
      <c r="D754" s="4">
        <v>1.34</v>
      </c>
      <c r="E754" s="4">
        <v>0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1.34</v>
      </c>
      <c r="D755" s="4">
        <v>1.34</v>
      </c>
      <c r="E755" s="4">
        <v>0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1.34</v>
      </c>
      <c r="D756" s="4">
        <v>1.34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1.33</v>
      </c>
      <c r="D757" s="4">
        <v>1.33</v>
      </c>
      <c r="E757" s="4">
        <v>228</v>
      </c>
      <c r="F757" s="4"/>
      <c r="G757" s="4"/>
      <c r="H757" s="5">
        <f t="shared" si="11"/>
        <v>-7.462686567164185E-3</v>
      </c>
    </row>
    <row r="758" spans="1:8" ht="13.5" x14ac:dyDescent="0.25">
      <c r="A758" s="1"/>
      <c r="B758" s="3">
        <v>43405</v>
      </c>
      <c r="C758" s="4">
        <v>1.33</v>
      </c>
      <c r="D758" s="4">
        <v>1.33</v>
      </c>
      <c r="E758" s="4">
        <v>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1.3</v>
      </c>
      <c r="D759" s="4">
        <v>1.3</v>
      </c>
      <c r="E759" s="4">
        <v>1000</v>
      </c>
      <c r="F759" s="4"/>
      <c r="G759" s="4"/>
      <c r="H759" s="5">
        <f t="shared" si="11"/>
        <v>-2.2556390977443629E-2</v>
      </c>
    </row>
    <row r="760" spans="1:8" ht="13.5" x14ac:dyDescent="0.25">
      <c r="A760" s="1"/>
      <c r="B760" s="3">
        <v>43409</v>
      </c>
      <c r="C760" s="4">
        <v>1.3</v>
      </c>
      <c r="D760" s="4">
        <v>1.3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1.3</v>
      </c>
      <c r="D761" s="4">
        <v>1.3</v>
      </c>
      <c r="E761" s="4">
        <v>541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1.25</v>
      </c>
      <c r="D762" s="4">
        <v>1.25</v>
      </c>
      <c r="E762" s="4">
        <v>0</v>
      </c>
      <c r="F762" s="4"/>
      <c r="G762" s="4"/>
      <c r="H762" s="5">
        <f t="shared" si="11"/>
        <v>-3.8461538461538491E-2</v>
      </c>
    </row>
    <row r="763" spans="1:8" ht="13.5" x14ac:dyDescent="0.25">
      <c r="A763" s="1"/>
      <c r="B763" s="3">
        <v>43412</v>
      </c>
      <c r="C763" s="4">
        <v>1.3</v>
      </c>
      <c r="D763" s="4">
        <v>1.3</v>
      </c>
      <c r="E763" s="4">
        <v>60</v>
      </c>
      <c r="F763" s="4"/>
      <c r="G763" s="4"/>
      <c r="H763" s="5">
        <f t="shared" si="11"/>
        <v>4.0000000000000036E-2</v>
      </c>
    </row>
    <row r="764" spans="1:8" ht="13.5" x14ac:dyDescent="0.25">
      <c r="A764" s="1"/>
      <c r="B764" s="3">
        <v>43413</v>
      </c>
      <c r="C764" s="4">
        <v>1.3</v>
      </c>
      <c r="D764" s="4">
        <v>1.3</v>
      </c>
      <c r="E764" s="4">
        <v>7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1.33</v>
      </c>
      <c r="D765" s="4">
        <v>1.33</v>
      </c>
      <c r="E765" s="4">
        <v>109</v>
      </c>
      <c r="F765" s="4"/>
      <c r="G765" s="4"/>
      <c r="H765" s="5">
        <f t="shared" si="11"/>
        <v>2.3076923076923096E-2</v>
      </c>
    </row>
    <row r="766" spans="1:8" ht="13.5" x14ac:dyDescent="0.25">
      <c r="A766" s="1"/>
      <c r="B766" s="3">
        <v>43417</v>
      </c>
      <c r="C766" s="4">
        <v>1.33</v>
      </c>
      <c r="D766" s="4">
        <v>1.33</v>
      </c>
      <c r="E766" s="4">
        <v>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1.3</v>
      </c>
      <c r="D767" s="4">
        <v>1.3</v>
      </c>
      <c r="E767" s="4">
        <v>236</v>
      </c>
      <c r="F767" s="4"/>
      <c r="G767" s="4"/>
      <c r="H767" s="5">
        <f t="shared" si="11"/>
        <v>-2.2556390977443629E-2</v>
      </c>
    </row>
    <row r="768" spans="1:8" ht="13.5" x14ac:dyDescent="0.25">
      <c r="A768" s="1"/>
      <c r="B768" s="3">
        <v>43419</v>
      </c>
      <c r="C768" s="4">
        <v>1.3</v>
      </c>
      <c r="D768" s="4">
        <v>1.3</v>
      </c>
      <c r="E768" s="4">
        <v>3308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1.3</v>
      </c>
      <c r="D769" s="4">
        <v>1.3</v>
      </c>
      <c r="E769" s="4">
        <v>3697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1.35</v>
      </c>
      <c r="D770" s="4">
        <v>1.35</v>
      </c>
      <c r="E770" s="4">
        <v>0</v>
      </c>
      <c r="F770" s="4"/>
      <c r="G770" s="4"/>
      <c r="H770" s="5">
        <f t="shared" si="11"/>
        <v>3.8461538461538491E-2</v>
      </c>
    </row>
    <row r="771" spans="1:8" ht="13.5" x14ac:dyDescent="0.25">
      <c r="A771" s="1"/>
      <c r="B771" s="3">
        <v>43425</v>
      </c>
      <c r="C771" s="4">
        <v>1.36</v>
      </c>
      <c r="D771" s="4">
        <v>1.36</v>
      </c>
      <c r="E771" s="4">
        <v>2532</v>
      </c>
      <c r="F771" s="4"/>
      <c r="G771" s="4"/>
      <c r="H771" s="5">
        <f t="shared" si="11"/>
        <v>7.4074074074074138E-3</v>
      </c>
    </row>
    <row r="772" spans="1:8" ht="13.5" x14ac:dyDescent="0.25">
      <c r="A772" s="1"/>
      <c r="B772" s="3">
        <v>43426</v>
      </c>
      <c r="C772" s="4">
        <v>1.36</v>
      </c>
      <c r="D772" s="4">
        <v>1.36</v>
      </c>
      <c r="E772" s="4">
        <v>1885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1.39</v>
      </c>
      <c r="D773" s="4">
        <v>1.39</v>
      </c>
      <c r="E773" s="4">
        <v>233</v>
      </c>
      <c r="F773" s="4"/>
      <c r="G773" s="4"/>
      <c r="H773" s="5">
        <f t="shared" si="11"/>
        <v>2.205882352941162E-2</v>
      </c>
    </row>
    <row r="774" spans="1:8" ht="13.5" x14ac:dyDescent="0.25">
      <c r="A774" s="1"/>
      <c r="B774" s="3">
        <v>43430</v>
      </c>
      <c r="C774" s="4">
        <v>1.35</v>
      </c>
      <c r="D774" s="4">
        <v>1.35</v>
      </c>
      <c r="E774" s="4">
        <v>674</v>
      </c>
      <c r="F774" s="4"/>
      <c r="G774" s="4"/>
      <c r="H774" s="5">
        <f t="shared" si="11"/>
        <v>-2.8776978417266053E-2</v>
      </c>
    </row>
    <row r="775" spans="1:8" ht="13.5" x14ac:dyDescent="0.25">
      <c r="A775" s="1"/>
      <c r="B775" s="3">
        <v>43431</v>
      </c>
      <c r="C775" s="4">
        <v>1.39</v>
      </c>
      <c r="D775" s="4">
        <v>1.39</v>
      </c>
      <c r="E775" s="4">
        <v>14017</v>
      </c>
      <c r="F775" s="4"/>
      <c r="G775" s="4"/>
      <c r="H775" s="5">
        <f t="shared" ref="H775:H838" si="12">(D775-D774)/D774</f>
        <v>2.9629629629629489E-2</v>
      </c>
    </row>
    <row r="776" spans="1:8" ht="13.5" x14ac:dyDescent="0.25">
      <c r="A776" s="1"/>
      <c r="B776" s="3">
        <v>43432</v>
      </c>
      <c r="C776" s="4">
        <v>1.46</v>
      </c>
      <c r="D776" s="4">
        <v>1.46</v>
      </c>
      <c r="E776" s="4">
        <v>15266</v>
      </c>
      <c r="F776" s="4"/>
      <c r="G776" s="4"/>
      <c r="H776" s="5">
        <f t="shared" si="12"/>
        <v>5.0359712230215875E-2</v>
      </c>
    </row>
    <row r="777" spans="1:8" ht="13.5" x14ac:dyDescent="0.25">
      <c r="A777" s="1"/>
      <c r="B777" s="3">
        <v>43433</v>
      </c>
      <c r="C777" s="4">
        <v>1.54</v>
      </c>
      <c r="D777" s="4">
        <v>1.54</v>
      </c>
      <c r="E777" s="4">
        <v>13253</v>
      </c>
      <c r="F777" s="4"/>
      <c r="G777" s="4"/>
      <c r="H777" s="5">
        <f t="shared" si="12"/>
        <v>5.4794520547945258E-2</v>
      </c>
    </row>
    <row r="778" spans="1:8" ht="13.5" x14ac:dyDescent="0.25">
      <c r="A778" s="1"/>
      <c r="B778" s="3">
        <v>43434</v>
      </c>
      <c r="C778" s="4">
        <v>1.54</v>
      </c>
      <c r="D778" s="4">
        <v>1.54</v>
      </c>
      <c r="E778" s="4">
        <v>1867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1.63</v>
      </c>
      <c r="D779" s="4">
        <v>1.63</v>
      </c>
      <c r="E779" s="4">
        <v>7656</v>
      </c>
      <c r="F779" s="4"/>
      <c r="G779" s="4"/>
      <c r="H779" s="5">
        <f t="shared" si="12"/>
        <v>5.844155844155835E-2</v>
      </c>
    </row>
    <row r="780" spans="1:8" ht="13.5" x14ac:dyDescent="0.25">
      <c r="A780" s="1"/>
      <c r="B780" s="3">
        <v>43438</v>
      </c>
      <c r="C780" s="4">
        <v>1.72</v>
      </c>
      <c r="D780" s="4">
        <v>1.72</v>
      </c>
      <c r="E780" s="4">
        <v>10403</v>
      </c>
      <c r="F780" s="4"/>
      <c r="G780" s="4"/>
      <c r="H780" s="5">
        <f t="shared" si="12"/>
        <v>5.5214723926380424E-2</v>
      </c>
    </row>
    <row r="781" spans="1:8" ht="13.5" x14ac:dyDescent="0.25">
      <c r="A781" s="1"/>
      <c r="B781" s="3">
        <v>43439</v>
      </c>
      <c r="C781" s="4">
        <v>1.82</v>
      </c>
      <c r="D781" s="4">
        <v>1.82</v>
      </c>
      <c r="E781" s="4">
        <v>11399</v>
      </c>
      <c r="F781" s="4"/>
      <c r="G781" s="4"/>
      <c r="H781" s="5">
        <f t="shared" si="12"/>
        <v>5.8139534883720985E-2</v>
      </c>
    </row>
    <row r="782" spans="1:8" ht="13.5" x14ac:dyDescent="0.25">
      <c r="A782" s="1"/>
      <c r="B782" s="3">
        <v>43440</v>
      </c>
      <c r="C782" s="4">
        <v>1.93</v>
      </c>
      <c r="D782" s="4">
        <v>1.93</v>
      </c>
      <c r="E782" s="4">
        <v>10380</v>
      </c>
      <c r="F782" s="4"/>
      <c r="G782" s="4"/>
      <c r="H782" s="5">
        <f t="shared" si="12"/>
        <v>6.0439560439560371E-2</v>
      </c>
    </row>
    <row r="783" spans="1:8" ht="13.5" x14ac:dyDescent="0.25">
      <c r="A783" s="1"/>
      <c r="B783" s="3">
        <v>43441</v>
      </c>
      <c r="C783" s="4">
        <v>1.99</v>
      </c>
      <c r="D783" s="4">
        <v>1.99</v>
      </c>
      <c r="E783" s="4">
        <v>6662</v>
      </c>
      <c r="F783" s="4"/>
      <c r="G783" s="4"/>
      <c r="H783" s="5">
        <f t="shared" si="12"/>
        <v>3.1088082901554431E-2</v>
      </c>
    </row>
    <row r="784" spans="1:8" ht="13.5" x14ac:dyDescent="0.25">
      <c r="A784" s="1"/>
      <c r="B784" s="3">
        <v>43444</v>
      </c>
      <c r="C784" s="4">
        <v>1.93</v>
      </c>
      <c r="D784" s="4">
        <v>1.93</v>
      </c>
      <c r="E784" s="4">
        <v>6529</v>
      </c>
      <c r="F784" s="4"/>
      <c r="G784" s="4"/>
      <c r="H784" s="5">
        <f t="shared" si="12"/>
        <v>-3.0150753768844248E-2</v>
      </c>
    </row>
    <row r="785" spans="1:8" ht="13.5" x14ac:dyDescent="0.25">
      <c r="A785" s="1"/>
      <c r="B785" s="3">
        <v>43445</v>
      </c>
      <c r="C785" s="4">
        <v>1.93</v>
      </c>
      <c r="D785" s="4">
        <v>1.93</v>
      </c>
      <c r="E785" s="4">
        <v>6810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1.95</v>
      </c>
      <c r="D786" s="4">
        <v>1.95</v>
      </c>
      <c r="E786" s="4">
        <v>7788</v>
      </c>
      <c r="F786" s="4"/>
      <c r="G786" s="4"/>
      <c r="H786" s="5">
        <f t="shared" si="12"/>
        <v>1.0362694300518144E-2</v>
      </c>
    </row>
    <row r="787" spans="1:8" ht="13.5" x14ac:dyDescent="0.25">
      <c r="A787" s="1"/>
      <c r="B787" s="3">
        <v>43447</v>
      </c>
      <c r="C787" s="4">
        <v>1.9</v>
      </c>
      <c r="D787" s="4">
        <v>1.9</v>
      </c>
      <c r="E787" s="4">
        <v>3930</v>
      </c>
      <c r="F787" s="4"/>
      <c r="G787" s="4"/>
      <c r="H787" s="5">
        <f t="shared" si="12"/>
        <v>-2.5641025641025664E-2</v>
      </c>
    </row>
    <row r="788" spans="1:8" ht="13.5" x14ac:dyDescent="0.25">
      <c r="A788" s="1"/>
      <c r="B788" s="3">
        <v>43448</v>
      </c>
      <c r="C788" s="4">
        <v>1.79</v>
      </c>
      <c r="D788" s="4">
        <v>1.79</v>
      </c>
      <c r="E788" s="4">
        <v>4216</v>
      </c>
      <c r="F788" s="4"/>
      <c r="G788" s="4"/>
      <c r="H788" s="5">
        <f t="shared" si="12"/>
        <v>-5.78947368421052E-2</v>
      </c>
    </row>
    <row r="789" spans="1:8" ht="13.5" x14ac:dyDescent="0.25">
      <c r="A789" s="1"/>
      <c r="B789" s="3">
        <v>43451</v>
      </c>
      <c r="C789" s="4">
        <v>1.75</v>
      </c>
      <c r="D789" s="4">
        <v>1.75</v>
      </c>
      <c r="E789" s="4">
        <v>10</v>
      </c>
      <c r="F789" s="4"/>
      <c r="G789" s="4"/>
      <c r="H789" s="5">
        <f t="shared" si="12"/>
        <v>-2.2346368715083817E-2</v>
      </c>
    </row>
    <row r="790" spans="1:8" ht="13.5" x14ac:dyDescent="0.25">
      <c r="A790" s="1"/>
      <c r="B790" s="3">
        <v>43452</v>
      </c>
      <c r="C790" s="4">
        <v>1.7</v>
      </c>
      <c r="D790" s="4">
        <v>1.7</v>
      </c>
      <c r="E790" s="4">
        <v>1822</v>
      </c>
      <c r="F790" s="4"/>
      <c r="G790" s="4"/>
      <c r="H790" s="5">
        <f t="shared" si="12"/>
        <v>-2.8571428571428598E-2</v>
      </c>
    </row>
    <row r="791" spans="1:8" ht="13.5" x14ac:dyDescent="0.25">
      <c r="A791" s="1"/>
      <c r="B791" s="3">
        <v>43453</v>
      </c>
      <c r="C791" s="4">
        <v>1.74</v>
      </c>
      <c r="D791" s="4">
        <v>1.74</v>
      </c>
      <c r="E791" s="4">
        <v>100</v>
      </c>
      <c r="F791" s="4"/>
      <c r="G791" s="4"/>
      <c r="H791" s="5">
        <f t="shared" si="12"/>
        <v>2.3529411764705903E-2</v>
      </c>
    </row>
    <row r="792" spans="1:8" ht="13.5" x14ac:dyDescent="0.25">
      <c r="A792" s="1"/>
      <c r="B792" s="3">
        <v>43454</v>
      </c>
      <c r="C792" s="4">
        <v>1.7</v>
      </c>
      <c r="D792" s="4">
        <v>1.7</v>
      </c>
      <c r="E792" s="4">
        <v>1143</v>
      </c>
      <c r="F792" s="4"/>
      <c r="G792" s="4"/>
      <c r="H792" s="5">
        <f t="shared" si="12"/>
        <v>-2.2988505747126457E-2</v>
      </c>
    </row>
    <row r="793" spans="1:8" ht="13.5" x14ac:dyDescent="0.25">
      <c r="A793" s="1"/>
      <c r="B793" s="3">
        <v>43455</v>
      </c>
      <c r="C793" s="4">
        <v>1.65</v>
      </c>
      <c r="D793" s="4">
        <v>1.65</v>
      </c>
      <c r="E793" s="4">
        <v>363</v>
      </c>
      <c r="F793" s="4"/>
      <c r="G793" s="4"/>
      <c r="H793" s="5">
        <f t="shared" si="12"/>
        <v>-2.941176470588238E-2</v>
      </c>
    </row>
    <row r="794" spans="1:8" ht="13.5" x14ac:dyDescent="0.25">
      <c r="A794" s="1"/>
      <c r="B794" s="3">
        <v>43458</v>
      </c>
      <c r="C794" s="4">
        <v>1.6</v>
      </c>
      <c r="D794" s="4">
        <v>1.6</v>
      </c>
      <c r="E794" s="4">
        <v>10110</v>
      </c>
      <c r="F794" s="4"/>
      <c r="G794" s="4"/>
      <c r="H794" s="5">
        <f t="shared" si="12"/>
        <v>-3.0303030303030196E-2</v>
      </c>
    </row>
    <row r="795" spans="1:8" ht="13.5" x14ac:dyDescent="0.25">
      <c r="A795" s="1"/>
      <c r="B795" s="3">
        <v>43459</v>
      </c>
      <c r="C795" s="4">
        <v>1.54</v>
      </c>
      <c r="D795" s="4">
        <v>1.54</v>
      </c>
      <c r="E795" s="4">
        <v>1648</v>
      </c>
      <c r="F795" s="4"/>
      <c r="G795" s="4"/>
      <c r="H795" s="5">
        <f t="shared" si="12"/>
        <v>-3.7500000000000033E-2</v>
      </c>
    </row>
    <row r="796" spans="1:8" ht="13.5" x14ac:dyDescent="0.25">
      <c r="A796" s="1"/>
      <c r="B796" s="3">
        <v>43460</v>
      </c>
      <c r="C796" s="4">
        <v>1.54</v>
      </c>
      <c r="D796" s="4">
        <v>1.54</v>
      </c>
      <c r="E796" s="4">
        <v>5557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1.5</v>
      </c>
      <c r="D797" s="4">
        <v>1.5</v>
      </c>
      <c r="E797" s="4">
        <v>1014</v>
      </c>
      <c r="F797" s="4"/>
      <c r="G797" s="4"/>
      <c r="H797" s="5">
        <f t="shared" si="12"/>
        <v>-2.5974025974025997E-2</v>
      </c>
    </row>
    <row r="798" spans="1:8" ht="13.5" x14ac:dyDescent="0.25">
      <c r="A798" s="1"/>
      <c r="B798" s="3">
        <v>43462</v>
      </c>
      <c r="C798" s="4">
        <v>1.5</v>
      </c>
      <c r="D798" s="4">
        <v>1.5</v>
      </c>
      <c r="E798" s="4">
        <v>3073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1.5</v>
      </c>
      <c r="D799" s="4">
        <v>1.5</v>
      </c>
      <c r="E799" s="4">
        <v>4303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1.55</v>
      </c>
      <c r="D800" s="4">
        <v>1.55</v>
      </c>
      <c r="E800" s="4">
        <v>101</v>
      </c>
      <c r="F800" s="4"/>
      <c r="G800" s="4"/>
      <c r="H800" s="5">
        <f t="shared" si="12"/>
        <v>3.3333333333333361E-2</v>
      </c>
    </row>
    <row r="801" spans="1:8" ht="13.5" x14ac:dyDescent="0.25">
      <c r="A801" s="1"/>
      <c r="B801" s="3">
        <v>43468</v>
      </c>
      <c r="C801" s="4">
        <v>1.6</v>
      </c>
      <c r="D801" s="4">
        <v>1.6</v>
      </c>
      <c r="E801" s="4">
        <v>1206</v>
      </c>
      <c r="F801" s="4"/>
      <c r="G801" s="4"/>
      <c r="H801" s="5">
        <f t="shared" si="12"/>
        <v>3.2258064516129059E-2</v>
      </c>
    </row>
    <row r="802" spans="1:8" ht="13.5" x14ac:dyDescent="0.25">
      <c r="A802" s="1"/>
      <c r="B802" s="3">
        <v>43469</v>
      </c>
      <c r="C802" s="4">
        <v>1.69</v>
      </c>
      <c r="D802" s="4">
        <v>1.69</v>
      </c>
      <c r="E802" s="4">
        <v>5148</v>
      </c>
      <c r="F802" s="4"/>
      <c r="G802" s="4"/>
      <c r="H802" s="5">
        <f t="shared" si="12"/>
        <v>5.6249999999999911E-2</v>
      </c>
    </row>
    <row r="803" spans="1:8" ht="13.5" x14ac:dyDescent="0.25">
      <c r="A803" s="1"/>
      <c r="B803" s="3">
        <v>43472</v>
      </c>
      <c r="C803" s="4">
        <v>1.75</v>
      </c>
      <c r="D803" s="4">
        <v>1.75</v>
      </c>
      <c r="E803" s="4">
        <v>130</v>
      </c>
      <c r="F803" s="4"/>
      <c r="G803" s="4"/>
      <c r="H803" s="5">
        <f t="shared" si="12"/>
        <v>3.5502958579881692E-2</v>
      </c>
    </row>
    <row r="804" spans="1:8" ht="13.5" x14ac:dyDescent="0.25">
      <c r="A804" s="1"/>
      <c r="B804" s="3">
        <v>43473</v>
      </c>
      <c r="C804" s="4">
        <v>1.79</v>
      </c>
      <c r="D804" s="4">
        <v>1.79</v>
      </c>
      <c r="E804" s="4">
        <v>4513</v>
      </c>
      <c r="F804" s="4"/>
      <c r="G804" s="4"/>
      <c r="H804" s="5">
        <f t="shared" si="12"/>
        <v>2.2857142857142878E-2</v>
      </c>
    </row>
    <row r="805" spans="1:8" ht="13.5" x14ac:dyDescent="0.25">
      <c r="A805" s="1"/>
      <c r="B805" s="3">
        <v>43474</v>
      </c>
      <c r="C805" s="4">
        <v>1.76</v>
      </c>
      <c r="D805" s="4">
        <v>1.76</v>
      </c>
      <c r="E805" s="4">
        <v>482</v>
      </c>
      <c r="F805" s="4"/>
      <c r="G805" s="4"/>
      <c r="H805" s="5">
        <f t="shared" si="12"/>
        <v>-1.6759776536312863E-2</v>
      </c>
    </row>
    <row r="806" spans="1:8" ht="13.5" x14ac:dyDescent="0.25">
      <c r="A806" s="1"/>
      <c r="B806" s="3">
        <v>43475</v>
      </c>
      <c r="C806" s="4">
        <v>1.77</v>
      </c>
      <c r="D806" s="4">
        <v>1.77</v>
      </c>
      <c r="E806" s="4">
        <v>883</v>
      </c>
      <c r="F806" s="4"/>
      <c r="G806" s="4"/>
      <c r="H806" s="5">
        <f t="shared" si="12"/>
        <v>5.6818181818181872E-3</v>
      </c>
    </row>
    <row r="807" spans="1:8" ht="13.5" x14ac:dyDescent="0.25">
      <c r="A807" s="1"/>
      <c r="B807" s="3">
        <v>43476</v>
      </c>
      <c r="C807" s="4">
        <v>1.77</v>
      </c>
      <c r="D807" s="4">
        <v>1.77</v>
      </c>
      <c r="E807" s="4">
        <v>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1.79</v>
      </c>
      <c r="D808" s="4">
        <v>1.79</v>
      </c>
      <c r="E808" s="4">
        <v>601</v>
      </c>
      <c r="F808" s="4"/>
      <c r="G808" s="4"/>
      <c r="H808" s="5">
        <f t="shared" si="12"/>
        <v>1.1299435028248598E-2</v>
      </c>
    </row>
    <row r="809" spans="1:8" ht="13.5" x14ac:dyDescent="0.25">
      <c r="A809" s="1"/>
      <c r="B809" s="3">
        <v>43481</v>
      </c>
      <c r="C809" s="4">
        <v>1.79</v>
      </c>
      <c r="D809" s="4">
        <v>1.79</v>
      </c>
      <c r="E809" s="4">
        <v>10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1.79</v>
      </c>
      <c r="D810" s="4">
        <v>1.79</v>
      </c>
      <c r="E810" s="4">
        <v>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1.78</v>
      </c>
      <c r="D811" s="4">
        <v>1.78</v>
      </c>
      <c r="E811" s="4">
        <v>3006</v>
      </c>
      <c r="F811" s="4"/>
      <c r="G811" s="4"/>
      <c r="H811" s="5">
        <f t="shared" si="12"/>
        <v>-5.5865921787709542E-3</v>
      </c>
    </row>
    <row r="812" spans="1:8" ht="13.5" x14ac:dyDescent="0.25">
      <c r="A812" s="1"/>
      <c r="B812" s="3">
        <v>43486</v>
      </c>
      <c r="C812" s="4">
        <v>1.78</v>
      </c>
      <c r="D812" s="4">
        <v>1.78</v>
      </c>
      <c r="E812" s="4">
        <v>0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1.78</v>
      </c>
      <c r="D813" s="4">
        <v>1.78</v>
      </c>
      <c r="E813" s="4">
        <v>550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1.75</v>
      </c>
      <c r="D814" s="4">
        <v>1.75</v>
      </c>
      <c r="E814" s="4">
        <v>1087</v>
      </c>
      <c r="F814" s="4"/>
      <c r="G814" s="4"/>
      <c r="H814" s="5">
        <f t="shared" si="12"/>
        <v>-1.6853932584269676E-2</v>
      </c>
    </row>
    <row r="815" spans="1:8" ht="13.5" x14ac:dyDescent="0.25">
      <c r="A815" s="1"/>
      <c r="B815" s="3">
        <v>43489</v>
      </c>
      <c r="C815" s="4">
        <v>1.74</v>
      </c>
      <c r="D815" s="4">
        <v>1.74</v>
      </c>
      <c r="E815" s="4">
        <v>1100</v>
      </c>
      <c r="F815" s="4"/>
      <c r="G815" s="4"/>
      <c r="H815" s="5">
        <f t="shared" si="12"/>
        <v>-5.7142857142857195E-3</v>
      </c>
    </row>
    <row r="816" spans="1:8" ht="13.5" x14ac:dyDescent="0.25">
      <c r="A816" s="1"/>
      <c r="B816" s="3">
        <v>43490</v>
      </c>
      <c r="C816" s="4">
        <v>1.78</v>
      </c>
      <c r="D816" s="4">
        <v>1.78</v>
      </c>
      <c r="E816" s="4">
        <v>700</v>
      </c>
      <c r="F816" s="4"/>
      <c r="G816" s="4"/>
      <c r="H816" s="5">
        <f t="shared" si="12"/>
        <v>2.2988505747126457E-2</v>
      </c>
    </row>
    <row r="817" spans="1:8" ht="13.5" x14ac:dyDescent="0.25">
      <c r="A817" s="1"/>
      <c r="B817" s="3">
        <v>43493</v>
      </c>
      <c r="C817" s="4">
        <v>1.78</v>
      </c>
      <c r="D817" s="4">
        <v>1.78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1.78</v>
      </c>
      <c r="D818" s="4">
        <v>1.78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1.78</v>
      </c>
      <c r="D819" s="4">
        <v>1.78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1.78</v>
      </c>
      <c r="D820" s="4">
        <v>1.78</v>
      </c>
      <c r="E820" s="4">
        <v>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1.78</v>
      </c>
      <c r="D821" s="4">
        <v>1.78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1.78</v>
      </c>
      <c r="D822" s="4">
        <v>1.78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1.78</v>
      </c>
      <c r="D823" s="4">
        <v>1.78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1.78</v>
      </c>
      <c r="D824" s="4">
        <v>1.78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1.78</v>
      </c>
      <c r="D825" s="4">
        <v>1.78</v>
      </c>
      <c r="E825" s="4">
        <v>3522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1.78</v>
      </c>
      <c r="D826" s="4">
        <v>1.78</v>
      </c>
      <c r="E826" s="4">
        <v>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1.76</v>
      </c>
      <c r="D827" s="4">
        <v>1.76</v>
      </c>
      <c r="E827" s="4">
        <v>773</v>
      </c>
      <c r="F827" s="4"/>
      <c r="G827" s="4"/>
      <c r="H827" s="5">
        <f t="shared" si="12"/>
        <v>-1.1235955056179785E-2</v>
      </c>
    </row>
    <row r="828" spans="1:8" ht="13.5" x14ac:dyDescent="0.25">
      <c r="A828" s="1"/>
      <c r="B828" s="3">
        <v>43508</v>
      </c>
      <c r="C828" s="4">
        <v>1.72</v>
      </c>
      <c r="D828" s="4">
        <v>1.72</v>
      </c>
      <c r="E828" s="4">
        <v>3751</v>
      </c>
      <c r="F828" s="4"/>
      <c r="G828" s="4"/>
      <c r="H828" s="5">
        <f t="shared" si="12"/>
        <v>-2.2727272727272749E-2</v>
      </c>
    </row>
    <row r="829" spans="1:8" ht="13.5" x14ac:dyDescent="0.25">
      <c r="A829" s="1"/>
      <c r="B829" s="3">
        <v>43509</v>
      </c>
      <c r="C829" s="4">
        <v>1.75</v>
      </c>
      <c r="D829" s="4">
        <v>1.75</v>
      </c>
      <c r="E829" s="4">
        <v>4590</v>
      </c>
      <c r="F829" s="4"/>
      <c r="G829" s="4"/>
      <c r="H829" s="5">
        <f t="shared" si="12"/>
        <v>1.7441860465116296E-2</v>
      </c>
    </row>
    <row r="830" spans="1:8" ht="13.5" x14ac:dyDescent="0.25">
      <c r="A830" s="1"/>
      <c r="B830" s="3">
        <v>43510</v>
      </c>
      <c r="C830" s="4">
        <v>1.74</v>
      </c>
      <c r="D830" s="4">
        <v>1.74</v>
      </c>
      <c r="E830" s="4">
        <v>1222</v>
      </c>
      <c r="F830" s="4"/>
      <c r="G830" s="4"/>
      <c r="H830" s="5">
        <f t="shared" si="12"/>
        <v>-5.7142857142857195E-3</v>
      </c>
    </row>
    <row r="831" spans="1:8" ht="13.5" x14ac:dyDescent="0.25">
      <c r="A831" s="1"/>
      <c r="B831" s="3">
        <v>43511</v>
      </c>
      <c r="C831" s="4">
        <v>1.74</v>
      </c>
      <c r="D831" s="4">
        <v>1.74</v>
      </c>
      <c r="E831" s="4">
        <v>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1.74</v>
      </c>
      <c r="D832" s="4">
        <v>1.74</v>
      </c>
      <c r="E832" s="4">
        <v>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1.74</v>
      </c>
      <c r="D833" s="4">
        <v>1.74</v>
      </c>
      <c r="E833" s="4">
        <v>0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1.7</v>
      </c>
      <c r="D834" s="4">
        <v>1.7</v>
      </c>
      <c r="E834" s="4">
        <v>1300</v>
      </c>
      <c r="F834" s="4"/>
      <c r="G834" s="4"/>
      <c r="H834" s="5">
        <f t="shared" si="12"/>
        <v>-2.2988505747126457E-2</v>
      </c>
    </row>
    <row r="835" spans="1:8" ht="13.5" x14ac:dyDescent="0.25">
      <c r="A835" s="1"/>
      <c r="B835" s="3">
        <v>43517</v>
      </c>
      <c r="C835" s="4">
        <v>1.7</v>
      </c>
      <c r="D835" s="4">
        <v>1.7</v>
      </c>
      <c r="E835" s="4">
        <v>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1.65</v>
      </c>
      <c r="D836" s="4">
        <v>1.65</v>
      </c>
      <c r="E836" s="4">
        <v>0</v>
      </c>
      <c r="F836" s="4"/>
      <c r="G836" s="4"/>
      <c r="H836" s="5">
        <f t="shared" si="12"/>
        <v>-2.941176470588238E-2</v>
      </c>
    </row>
    <row r="837" spans="1:8" ht="13.5" x14ac:dyDescent="0.25">
      <c r="A837" s="1"/>
      <c r="B837" s="3">
        <v>43521</v>
      </c>
      <c r="C837" s="4">
        <v>1.69</v>
      </c>
      <c r="D837" s="4">
        <v>1.69</v>
      </c>
      <c r="E837" s="4">
        <v>100</v>
      </c>
      <c r="F837" s="4"/>
      <c r="G837" s="4"/>
      <c r="H837" s="5">
        <f t="shared" si="12"/>
        <v>2.4242424242424267E-2</v>
      </c>
    </row>
    <row r="838" spans="1:8" ht="13.5" x14ac:dyDescent="0.25">
      <c r="A838" s="1"/>
      <c r="B838" s="3">
        <v>43522</v>
      </c>
      <c r="C838" s="4">
        <v>1.69</v>
      </c>
      <c r="D838" s="4">
        <v>1.69</v>
      </c>
      <c r="E838" s="4">
        <v>0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1.69</v>
      </c>
      <c r="D839" s="4">
        <v>1.69</v>
      </c>
      <c r="E839" s="4">
        <v>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1.69</v>
      </c>
      <c r="D840" s="4">
        <v>1.69</v>
      </c>
      <c r="E840" s="4">
        <v>0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1.69</v>
      </c>
      <c r="D841" s="4">
        <v>1.69</v>
      </c>
      <c r="E841" s="4">
        <v>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1.69</v>
      </c>
      <c r="D842" s="4">
        <v>1.69</v>
      </c>
      <c r="E842" s="4">
        <v>350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1.69</v>
      </c>
      <c r="D843" s="4">
        <v>1.69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1.69</v>
      </c>
      <c r="D844" s="4">
        <v>1.69</v>
      </c>
      <c r="E844" s="4">
        <v>0</v>
      </c>
      <c r="F844" s="4">
        <v>0</v>
      </c>
      <c r="G844" s="4">
        <v>0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1.69</v>
      </c>
      <c r="D845" s="4">
        <v>1.69</v>
      </c>
      <c r="E845" s="4">
        <v>0</v>
      </c>
      <c r="F845" s="4">
        <v>0</v>
      </c>
      <c r="G845" s="4">
        <v>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1.69</v>
      </c>
      <c r="D846" s="4">
        <v>1.69</v>
      </c>
      <c r="E846" s="4">
        <v>0</v>
      </c>
      <c r="F846" s="4">
        <v>0</v>
      </c>
      <c r="G846" s="4">
        <v>0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1.69</v>
      </c>
      <c r="D847" s="4">
        <v>1.69</v>
      </c>
      <c r="E847" s="4">
        <v>100</v>
      </c>
      <c r="F847" s="4">
        <v>1.6739999999999999</v>
      </c>
      <c r="G847" s="4">
        <v>167.4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1.69</v>
      </c>
      <c r="D848" s="4">
        <v>1.69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1.69</v>
      </c>
      <c r="D849" s="4">
        <v>1.69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1.69</v>
      </c>
      <c r="D850" s="4">
        <v>1.69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1.69</v>
      </c>
      <c r="D851" s="4">
        <v>1.69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1.64</v>
      </c>
      <c r="D852" s="4">
        <v>1.64</v>
      </c>
      <c r="E852" s="4">
        <v>1322</v>
      </c>
      <c r="F852" s="4">
        <v>1.6533</v>
      </c>
      <c r="G852" s="4">
        <v>2185.6626000000001</v>
      </c>
      <c r="H852" s="5">
        <f t="shared" si="13"/>
        <v>-2.9585798816568074E-2</v>
      </c>
    </row>
    <row r="853" spans="1:8" ht="13.5" x14ac:dyDescent="0.25">
      <c r="A853" s="1"/>
      <c r="B853" s="3">
        <v>43543</v>
      </c>
      <c r="C853" s="4">
        <v>1.67</v>
      </c>
      <c r="D853" s="4">
        <v>1.67</v>
      </c>
      <c r="E853" s="4">
        <v>1530</v>
      </c>
      <c r="F853" s="4">
        <v>1.6762999999999999</v>
      </c>
      <c r="G853" s="4">
        <v>2564.739</v>
      </c>
      <c r="H853" s="5">
        <f t="shared" si="13"/>
        <v>1.8292682926829285E-2</v>
      </c>
    </row>
    <row r="854" spans="1:8" ht="13.5" x14ac:dyDescent="0.25">
      <c r="A854" s="1"/>
      <c r="B854" s="3">
        <v>43545</v>
      </c>
      <c r="C854" s="4">
        <v>1.67</v>
      </c>
      <c r="D854" s="4">
        <v>1.67</v>
      </c>
      <c r="E854" s="4">
        <v>0</v>
      </c>
      <c r="F854" s="4">
        <v>0</v>
      </c>
      <c r="G854" s="4">
        <v>0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1.6</v>
      </c>
      <c r="D855" s="4">
        <v>1.6</v>
      </c>
      <c r="E855" s="4">
        <v>0</v>
      </c>
      <c r="F855" s="4">
        <v>0</v>
      </c>
      <c r="G855" s="4">
        <v>0</v>
      </c>
      <c r="H855" s="5">
        <f t="shared" si="13"/>
        <v>-4.1916167664670566E-2</v>
      </c>
    </row>
    <row r="856" spans="1:8" ht="13.5" x14ac:dyDescent="0.25">
      <c r="A856" s="1"/>
      <c r="B856" s="3">
        <v>43549</v>
      </c>
      <c r="C856" s="4">
        <v>1.6</v>
      </c>
      <c r="D856" s="4">
        <v>1.6</v>
      </c>
      <c r="E856" s="4">
        <v>240</v>
      </c>
      <c r="F856" s="4">
        <v>1.5812999999999999</v>
      </c>
      <c r="G856" s="4">
        <v>379.512</v>
      </c>
      <c r="H856" s="5">
        <f t="shared" si="13"/>
        <v>0</v>
      </c>
    </row>
    <row r="857" spans="1:8" ht="13.5" x14ac:dyDescent="0.25">
      <c r="A857" s="1"/>
      <c r="B857" s="3">
        <v>43550</v>
      </c>
      <c r="C857" s="4">
        <v>1.6</v>
      </c>
      <c r="D857" s="4">
        <v>1.6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1.62</v>
      </c>
      <c r="D858" s="4">
        <v>1.62</v>
      </c>
      <c r="E858" s="4">
        <v>300</v>
      </c>
      <c r="F858" s="4">
        <v>1.6065</v>
      </c>
      <c r="G858" s="4">
        <v>481.95</v>
      </c>
      <c r="H858" s="5">
        <f t="shared" si="13"/>
        <v>1.2500000000000011E-2</v>
      </c>
    </row>
    <row r="859" spans="1:8" ht="13.5" x14ac:dyDescent="0.25">
      <c r="A859" s="1"/>
      <c r="B859" s="3">
        <v>43552</v>
      </c>
      <c r="C859" s="4">
        <v>1.62</v>
      </c>
      <c r="D859" s="4">
        <v>1.62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1.62</v>
      </c>
      <c r="D860" s="4">
        <v>1.62</v>
      </c>
      <c r="E860" s="4">
        <v>1640</v>
      </c>
      <c r="F860" s="4">
        <v>1.6186</v>
      </c>
      <c r="G860" s="4">
        <v>2654.5039999999999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1.62</v>
      </c>
      <c r="D861" s="4">
        <v>1.62</v>
      </c>
      <c r="E861" s="4">
        <v>270</v>
      </c>
      <c r="F861" s="4">
        <v>1.6696</v>
      </c>
      <c r="G861" s="4">
        <v>450.79199999999997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1.64</v>
      </c>
      <c r="D862" s="4">
        <v>1.64</v>
      </c>
      <c r="E862" s="4">
        <v>110</v>
      </c>
      <c r="F862" s="4">
        <v>1.64</v>
      </c>
      <c r="G862" s="4">
        <v>180.4</v>
      </c>
      <c r="H862" s="5">
        <f t="shared" si="13"/>
        <v>1.2345679012345552E-2</v>
      </c>
    </row>
    <row r="863" spans="1:8" ht="13.5" x14ac:dyDescent="0.25">
      <c r="A863" s="1"/>
      <c r="B863" s="3">
        <v>43558</v>
      </c>
      <c r="C863" s="4">
        <v>1.65</v>
      </c>
      <c r="D863" s="4">
        <v>1.65</v>
      </c>
      <c r="E863" s="4">
        <v>140</v>
      </c>
      <c r="F863" s="4">
        <v>1.65</v>
      </c>
      <c r="G863" s="4">
        <v>231</v>
      </c>
      <c r="H863" s="5">
        <f t="shared" si="13"/>
        <v>6.0975609756097615E-3</v>
      </c>
    </row>
    <row r="864" spans="1:8" ht="13.5" x14ac:dyDescent="0.25">
      <c r="A864" s="1"/>
      <c r="B864" s="3">
        <v>43559</v>
      </c>
      <c r="C864" s="4">
        <v>1.65</v>
      </c>
      <c r="D864" s="4">
        <v>1.65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1.65</v>
      </c>
      <c r="D865" s="4">
        <v>1.65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1.65</v>
      </c>
      <c r="D866" s="4">
        <v>1.65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1.65</v>
      </c>
      <c r="D867" s="4">
        <v>1.65</v>
      </c>
      <c r="E867" s="4">
        <v>0</v>
      </c>
      <c r="F867" s="4">
        <v>0</v>
      </c>
      <c r="G867" s="4">
        <v>0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1.61</v>
      </c>
      <c r="D868" s="4">
        <v>1.61</v>
      </c>
      <c r="E868" s="4">
        <v>50</v>
      </c>
      <c r="F868" s="4">
        <v>1.61</v>
      </c>
      <c r="G868" s="4">
        <v>80.5</v>
      </c>
      <c r="H868" s="5">
        <f t="shared" si="13"/>
        <v>-2.4242424242424131E-2</v>
      </c>
    </row>
    <row r="869" spans="1:8" ht="13.5" x14ac:dyDescent="0.25">
      <c r="A869" s="1"/>
      <c r="B869" s="3">
        <v>43567</v>
      </c>
      <c r="C869" s="4">
        <v>1.65</v>
      </c>
      <c r="D869" s="4">
        <v>1.65</v>
      </c>
      <c r="E869" s="4">
        <v>1450</v>
      </c>
      <c r="F869" s="4">
        <v>1.6111</v>
      </c>
      <c r="G869" s="4">
        <v>2336.0949999999998</v>
      </c>
      <c r="H869" s="5">
        <f t="shared" si="13"/>
        <v>2.4844720496894294E-2</v>
      </c>
    </row>
    <row r="870" spans="1:8" ht="13.5" x14ac:dyDescent="0.25">
      <c r="A870" s="1"/>
      <c r="B870" s="3">
        <v>43570</v>
      </c>
      <c r="C870" s="4">
        <v>1.65</v>
      </c>
      <c r="D870" s="4">
        <v>1.65</v>
      </c>
      <c r="E870" s="4">
        <v>202</v>
      </c>
      <c r="F870" s="4">
        <v>1.65</v>
      </c>
      <c r="G870" s="4">
        <v>333.3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1.65</v>
      </c>
      <c r="D871" s="4">
        <v>1.65</v>
      </c>
      <c r="E871" s="4">
        <v>1546</v>
      </c>
      <c r="F871" s="4">
        <v>1.6423000000000001</v>
      </c>
      <c r="G871" s="4">
        <v>2538.9958000000001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1.58</v>
      </c>
      <c r="D872" s="4">
        <v>1.58</v>
      </c>
      <c r="E872" s="4">
        <v>0</v>
      </c>
      <c r="F872" s="4">
        <v>0</v>
      </c>
      <c r="G872" s="4">
        <v>0</v>
      </c>
      <c r="H872" s="5">
        <f t="shared" si="13"/>
        <v>-4.242424242424233E-2</v>
      </c>
    </row>
    <row r="873" spans="1:8" ht="13.5" x14ac:dyDescent="0.25">
      <c r="A873" s="1"/>
      <c r="B873" s="3">
        <v>43573</v>
      </c>
      <c r="C873" s="4">
        <v>1.6</v>
      </c>
      <c r="D873" s="4">
        <v>1.6</v>
      </c>
      <c r="E873" s="4">
        <v>2048</v>
      </c>
      <c r="F873" s="4">
        <v>1.5415000000000001</v>
      </c>
      <c r="G873" s="4">
        <v>3156.9920000000002</v>
      </c>
      <c r="H873" s="5">
        <f t="shared" si="13"/>
        <v>1.2658227848101276E-2</v>
      </c>
    </row>
    <row r="874" spans="1:8" ht="13.5" x14ac:dyDescent="0.25">
      <c r="A874" s="1"/>
      <c r="B874" s="3">
        <v>43574</v>
      </c>
      <c r="C874" s="4">
        <v>1.58</v>
      </c>
      <c r="D874" s="4">
        <v>1.58</v>
      </c>
      <c r="E874" s="4">
        <v>280</v>
      </c>
      <c r="F874" s="4">
        <v>1.58</v>
      </c>
      <c r="G874" s="4">
        <v>442.4</v>
      </c>
      <c r="H874" s="5">
        <f t="shared" si="13"/>
        <v>-1.2500000000000011E-2</v>
      </c>
    </row>
    <row r="875" spans="1:8" ht="13.5" x14ac:dyDescent="0.25">
      <c r="A875" s="1"/>
      <c r="B875" s="3">
        <v>43577</v>
      </c>
      <c r="C875" s="4">
        <v>1.62</v>
      </c>
      <c r="D875" s="4">
        <v>1.62</v>
      </c>
      <c r="E875" s="4">
        <v>876</v>
      </c>
      <c r="F875" s="4">
        <v>1.62</v>
      </c>
      <c r="G875" s="4">
        <v>1419.12</v>
      </c>
      <c r="H875" s="5">
        <f t="shared" si="13"/>
        <v>2.5316455696202552E-2</v>
      </c>
    </row>
    <row r="876" spans="1:8" ht="13.5" x14ac:dyDescent="0.25">
      <c r="A876" s="1"/>
      <c r="B876" s="3">
        <v>43578</v>
      </c>
      <c r="C876" s="4">
        <v>1.6</v>
      </c>
      <c r="D876" s="4">
        <v>1.6</v>
      </c>
      <c r="E876" s="4">
        <v>1154</v>
      </c>
      <c r="F876" s="4">
        <v>1.5974999999999999</v>
      </c>
      <c r="G876" s="4">
        <v>1843.5150000000001</v>
      </c>
      <c r="H876" s="5">
        <f t="shared" si="13"/>
        <v>-1.2345679012345689E-2</v>
      </c>
    </row>
    <row r="877" spans="1:8" ht="13.5" x14ac:dyDescent="0.25">
      <c r="A877" s="1"/>
      <c r="B877" s="3">
        <v>43579</v>
      </c>
      <c r="C877" s="4">
        <v>1.63</v>
      </c>
      <c r="D877" s="4">
        <v>1.63</v>
      </c>
      <c r="E877" s="4">
        <v>6403</v>
      </c>
      <c r="F877" s="4">
        <v>1.6007</v>
      </c>
      <c r="G877" s="4">
        <v>10249.2821</v>
      </c>
      <c r="H877" s="5">
        <f t="shared" si="13"/>
        <v>1.8749999999999878E-2</v>
      </c>
    </row>
    <row r="878" spans="1:8" ht="13.5" x14ac:dyDescent="0.25">
      <c r="A878" s="1"/>
      <c r="B878" s="3">
        <v>43580</v>
      </c>
      <c r="C878" s="4">
        <v>1.67</v>
      </c>
      <c r="D878" s="4">
        <v>1.67</v>
      </c>
      <c r="E878" s="4">
        <v>2793</v>
      </c>
      <c r="F878" s="4">
        <v>1.6480999999999999</v>
      </c>
      <c r="G878" s="4">
        <v>4603.1432999999997</v>
      </c>
      <c r="H878" s="5">
        <f t="shared" si="13"/>
        <v>2.4539877300613522E-2</v>
      </c>
    </row>
    <row r="879" spans="1:8" ht="13.5" x14ac:dyDescent="0.25">
      <c r="A879" s="1"/>
      <c r="B879" s="3">
        <v>43581</v>
      </c>
      <c r="C879" s="4">
        <v>1.77</v>
      </c>
      <c r="D879" s="4">
        <v>1.77</v>
      </c>
      <c r="E879" s="4">
        <v>9158</v>
      </c>
      <c r="F879" s="4">
        <v>1.7468999999999999</v>
      </c>
      <c r="G879" s="4">
        <v>15998.110199999999</v>
      </c>
      <c r="H879" s="5">
        <f t="shared" si="13"/>
        <v>5.988023952095814E-2</v>
      </c>
    </row>
    <row r="880" spans="1:8" ht="13.5" x14ac:dyDescent="0.25">
      <c r="A880" s="1"/>
      <c r="B880" s="3">
        <v>43584</v>
      </c>
      <c r="C880" s="4">
        <v>1.78</v>
      </c>
      <c r="D880" s="4">
        <v>1.78</v>
      </c>
      <c r="E880" s="4">
        <v>146</v>
      </c>
      <c r="F880" s="4">
        <v>1.78</v>
      </c>
      <c r="G880" s="4">
        <v>259.88</v>
      </c>
      <c r="H880" s="5">
        <f t="shared" si="13"/>
        <v>5.649717514124299E-3</v>
      </c>
    </row>
    <row r="881" spans="1:8" ht="13.5" x14ac:dyDescent="0.25">
      <c r="A881" s="1"/>
      <c r="B881" s="3">
        <v>43585</v>
      </c>
      <c r="C881" s="4">
        <v>1.86</v>
      </c>
      <c r="D881" s="4">
        <v>1.86</v>
      </c>
      <c r="E881" s="4">
        <v>7111</v>
      </c>
      <c r="F881" s="4">
        <v>1.8248</v>
      </c>
      <c r="G881" s="4">
        <v>12976.1528</v>
      </c>
      <c r="H881" s="5">
        <f t="shared" si="13"/>
        <v>4.4943820224719142E-2</v>
      </c>
    </row>
    <row r="882" spans="1:8" ht="13.5" x14ac:dyDescent="0.25">
      <c r="A882" s="1"/>
      <c r="B882" s="3">
        <v>43587</v>
      </c>
      <c r="C882" s="4">
        <v>1.86</v>
      </c>
      <c r="D882" s="4">
        <v>1.86</v>
      </c>
      <c r="E882" s="4">
        <v>5917</v>
      </c>
      <c r="F882" s="4">
        <v>1.85</v>
      </c>
      <c r="G882" s="4">
        <v>10946.45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1.89</v>
      </c>
      <c r="D883" s="4">
        <v>1.89</v>
      </c>
      <c r="E883" s="4">
        <v>19427</v>
      </c>
      <c r="F883" s="4">
        <v>1.8203</v>
      </c>
      <c r="G883" s="4">
        <v>35362.968099999998</v>
      </c>
      <c r="H883" s="5">
        <f t="shared" si="13"/>
        <v>1.6129032258064412E-2</v>
      </c>
    </row>
    <row r="884" spans="1:8" ht="13.5" x14ac:dyDescent="0.25">
      <c r="A884" s="1"/>
      <c r="B884" s="3">
        <v>43591</v>
      </c>
      <c r="C884" s="4">
        <v>1.89</v>
      </c>
      <c r="D884" s="4">
        <v>1.89</v>
      </c>
      <c r="E884" s="4">
        <v>4240</v>
      </c>
      <c r="F884" s="4">
        <v>1.9101999999999999</v>
      </c>
      <c r="G884" s="4">
        <v>8099.2479999999996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1.84</v>
      </c>
      <c r="D885" s="4">
        <v>1.84</v>
      </c>
      <c r="E885" s="4">
        <v>3310</v>
      </c>
      <c r="F885" s="4">
        <v>1.8897999999999999</v>
      </c>
      <c r="G885" s="4">
        <v>6255.2380000000003</v>
      </c>
      <c r="H885" s="5">
        <f t="shared" si="13"/>
        <v>-2.6455026455026363E-2</v>
      </c>
    </row>
    <row r="886" spans="1:8" ht="13.5" x14ac:dyDescent="0.25">
      <c r="A886" s="1"/>
      <c r="B886" s="3">
        <v>43593</v>
      </c>
      <c r="C886" s="4">
        <v>1.75</v>
      </c>
      <c r="D886" s="4">
        <v>1.75</v>
      </c>
      <c r="E886" s="4">
        <v>2231</v>
      </c>
      <c r="F886" s="4">
        <v>1.7864</v>
      </c>
      <c r="G886" s="4">
        <v>3985.4584</v>
      </c>
      <c r="H886" s="5">
        <f t="shared" si="13"/>
        <v>-4.8913043478260913E-2</v>
      </c>
    </row>
    <row r="887" spans="1:8" ht="13.5" x14ac:dyDescent="0.25">
      <c r="A887" s="1"/>
      <c r="B887" s="3">
        <v>43594</v>
      </c>
      <c r="C887" s="4">
        <v>1.76</v>
      </c>
      <c r="D887" s="4">
        <v>1.76</v>
      </c>
      <c r="E887" s="4">
        <v>22217</v>
      </c>
      <c r="F887" s="4">
        <v>1.6754</v>
      </c>
      <c r="G887" s="4">
        <v>37222.361799999999</v>
      </c>
      <c r="H887" s="5">
        <f t="shared" si="13"/>
        <v>5.7142857142857195E-3</v>
      </c>
    </row>
    <row r="888" spans="1:8" ht="13.5" x14ac:dyDescent="0.25">
      <c r="A888" s="1"/>
      <c r="B888" s="3">
        <v>43595</v>
      </c>
      <c r="C888" s="4">
        <v>1.81</v>
      </c>
      <c r="D888" s="4">
        <v>1.81</v>
      </c>
      <c r="E888" s="4">
        <v>1</v>
      </c>
      <c r="F888" s="4">
        <v>1.81</v>
      </c>
      <c r="G888" s="4">
        <v>1.81</v>
      </c>
      <c r="H888" s="5">
        <f t="shared" si="13"/>
        <v>2.8409090909090936E-2</v>
      </c>
    </row>
    <row r="889" spans="1:8" ht="13.5" x14ac:dyDescent="0.25">
      <c r="A889" s="1"/>
      <c r="B889" s="3">
        <v>43598</v>
      </c>
      <c r="C889" s="4">
        <v>1.79</v>
      </c>
      <c r="D889" s="4">
        <v>1.79</v>
      </c>
      <c r="E889" s="4">
        <v>9</v>
      </c>
      <c r="F889" s="4">
        <v>1.79</v>
      </c>
      <c r="G889" s="4">
        <v>16.11</v>
      </c>
      <c r="H889" s="5">
        <f t="shared" si="13"/>
        <v>-1.1049723756906087E-2</v>
      </c>
    </row>
    <row r="890" spans="1:8" ht="13.5" x14ac:dyDescent="0.25">
      <c r="A890" s="1"/>
      <c r="B890" s="3">
        <v>43599</v>
      </c>
      <c r="C890" s="4">
        <v>1.74</v>
      </c>
      <c r="D890" s="4">
        <v>1.74</v>
      </c>
      <c r="E890" s="4">
        <v>0</v>
      </c>
      <c r="F890" s="4">
        <v>0</v>
      </c>
      <c r="G890" s="4">
        <v>0</v>
      </c>
      <c r="H890" s="5">
        <f t="shared" si="13"/>
        <v>-2.7932960893854771E-2</v>
      </c>
    </row>
    <row r="891" spans="1:8" ht="13.5" x14ac:dyDescent="0.25">
      <c r="A891" s="1"/>
      <c r="B891" s="3">
        <v>43600</v>
      </c>
      <c r="C891" s="4">
        <v>1.64</v>
      </c>
      <c r="D891" s="4">
        <v>1.64</v>
      </c>
      <c r="E891" s="4">
        <v>618</v>
      </c>
      <c r="F891" s="4">
        <v>1.69</v>
      </c>
      <c r="G891" s="4">
        <v>1044.42</v>
      </c>
      <c r="H891" s="5">
        <f t="shared" si="13"/>
        <v>-5.7471264367816147E-2</v>
      </c>
    </row>
    <row r="892" spans="1:8" ht="13.5" x14ac:dyDescent="0.25">
      <c r="A892" s="1"/>
      <c r="B892" s="3">
        <v>43601</v>
      </c>
      <c r="C892" s="4">
        <v>1.6</v>
      </c>
      <c r="D892" s="4">
        <v>1.6</v>
      </c>
      <c r="E892" s="4">
        <v>1650</v>
      </c>
      <c r="F892" s="4">
        <v>1.6</v>
      </c>
      <c r="G892" s="4">
        <v>2640</v>
      </c>
      <c r="H892" s="5">
        <f t="shared" si="13"/>
        <v>-2.4390243902438911E-2</v>
      </c>
    </row>
    <row r="893" spans="1:8" ht="13.5" x14ac:dyDescent="0.25">
      <c r="A893" s="1"/>
      <c r="B893" s="3">
        <v>43602</v>
      </c>
      <c r="C893" s="4">
        <v>1.64</v>
      </c>
      <c r="D893" s="4">
        <v>1.64</v>
      </c>
      <c r="E893" s="4">
        <v>1744</v>
      </c>
      <c r="F893" s="4">
        <v>1.6</v>
      </c>
      <c r="G893" s="4">
        <v>2790.4</v>
      </c>
      <c r="H893" s="5">
        <f t="shared" si="13"/>
        <v>2.4999999999999883E-2</v>
      </c>
    </row>
    <row r="894" spans="1:8" ht="13.5" x14ac:dyDescent="0.25">
      <c r="A894" s="1"/>
      <c r="B894" s="3">
        <v>43605</v>
      </c>
      <c r="C894" s="4">
        <v>1.64</v>
      </c>
      <c r="D894" s="4">
        <v>1.64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1.6</v>
      </c>
      <c r="D895" s="4">
        <v>1.6</v>
      </c>
      <c r="E895" s="4">
        <v>5880</v>
      </c>
      <c r="F895" s="4">
        <v>1.6263000000000001</v>
      </c>
      <c r="G895" s="4">
        <v>9562.6440000000002</v>
      </c>
      <c r="H895" s="5">
        <f t="shared" si="13"/>
        <v>-2.4390243902438911E-2</v>
      </c>
    </row>
    <row r="896" spans="1:8" ht="13.5" x14ac:dyDescent="0.25">
      <c r="A896" s="1"/>
      <c r="B896" s="3">
        <v>43607</v>
      </c>
      <c r="C896" s="4">
        <v>1.56</v>
      </c>
      <c r="D896" s="4">
        <v>1.56</v>
      </c>
      <c r="E896" s="4">
        <v>601</v>
      </c>
      <c r="F896" s="4">
        <v>1.56</v>
      </c>
      <c r="G896" s="4">
        <v>937.56</v>
      </c>
      <c r="H896" s="5">
        <f t="shared" si="13"/>
        <v>-2.5000000000000022E-2</v>
      </c>
    </row>
    <row r="897" spans="1:8" ht="13.5" x14ac:dyDescent="0.25">
      <c r="A897" s="1"/>
      <c r="B897" s="3">
        <v>43608</v>
      </c>
      <c r="C897" s="4">
        <v>1.56</v>
      </c>
      <c r="D897" s="4">
        <v>1.56</v>
      </c>
      <c r="E897" s="4">
        <v>50</v>
      </c>
      <c r="F897" s="4">
        <v>1.56</v>
      </c>
      <c r="G897" s="4">
        <v>78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1.6</v>
      </c>
      <c r="D898" s="4">
        <v>1.6</v>
      </c>
      <c r="E898" s="4">
        <v>502</v>
      </c>
      <c r="F898" s="4">
        <v>1.5960000000000001</v>
      </c>
      <c r="G898" s="4">
        <v>801.19200000000001</v>
      </c>
      <c r="H898" s="5">
        <f t="shared" si="13"/>
        <v>2.5641025641025664E-2</v>
      </c>
    </row>
    <row r="899" spans="1:8" ht="13.5" x14ac:dyDescent="0.25">
      <c r="A899" s="1"/>
      <c r="B899" s="3">
        <v>43612</v>
      </c>
      <c r="C899" s="4">
        <v>1.64</v>
      </c>
      <c r="D899" s="4">
        <v>1.64</v>
      </c>
      <c r="E899" s="4">
        <v>73</v>
      </c>
      <c r="F899" s="4">
        <v>1.64</v>
      </c>
      <c r="G899" s="4">
        <v>119.72</v>
      </c>
      <c r="H899" s="5">
        <f t="shared" si="13"/>
        <v>2.4999999999999883E-2</v>
      </c>
    </row>
    <row r="900" spans="1:8" ht="13.5" x14ac:dyDescent="0.25">
      <c r="A900" s="1"/>
      <c r="B900" s="3">
        <v>43613</v>
      </c>
      <c r="C900" s="4">
        <v>1.68</v>
      </c>
      <c r="D900" s="4">
        <v>1.68</v>
      </c>
      <c r="E900" s="4">
        <v>200</v>
      </c>
      <c r="F900" s="4">
        <v>1.66</v>
      </c>
      <c r="G900" s="4">
        <v>332</v>
      </c>
      <c r="H900" s="5">
        <f t="shared" si="13"/>
        <v>2.4390243902439046E-2</v>
      </c>
    </row>
    <row r="901" spans="1:8" ht="13.5" x14ac:dyDescent="0.25">
      <c r="A901" s="1"/>
      <c r="B901" s="3">
        <v>43614</v>
      </c>
      <c r="C901" s="4">
        <v>1.63</v>
      </c>
      <c r="D901" s="4">
        <v>1.63</v>
      </c>
      <c r="E901" s="4">
        <v>519</v>
      </c>
      <c r="F901" s="4">
        <v>1.6458999999999999</v>
      </c>
      <c r="G901" s="4">
        <v>854.22209999999995</v>
      </c>
      <c r="H901" s="5">
        <f t="shared" si="13"/>
        <v>-2.9761904761904788E-2</v>
      </c>
    </row>
    <row r="902" spans="1:8" ht="13.5" x14ac:dyDescent="0.25">
      <c r="A902" s="1"/>
      <c r="B902" s="3">
        <v>43615</v>
      </c>
      <c r="C902" s="4">
        <v>1.67</v>
      </c>
      <c r="D902" s="4">
        <v>1.67</v>
      </c>
      <c r="E902" s="4">
        <v>287</v>
      </c>
      <c r="F902" s="4">
        <v>1.6536999999999999</v>
      </c>
      <c r="G902" s="4">
        <v>474.61189999999999</v>
      </c>
      <c r="H902" s="5">
        <f t="shared" si="13"/>
        <v>2.4539877300613522E-2</v>
      </c>
    </row>
    <row r="903" spans="1:8" ht="13.5" x14ac:dyDescent="0.25">
      <c r="A903" s="1"/>
      <c r="B903" s="3">
        <v>43616</v>
      </c>
      <c r="C903" s="4">
        <v>1.72</v>
      </c>
      <c r="D903" s="4">
        <v>1.72</v>
      </c>
      <c r="E903" s="4">
        <v>670</v>
      </c>
      <c r="F903" s="4">
        <v>1.6737</v>
      </c>
      <c r="G903" s="4">
        <v>1121.3789999999999</v>
      </c>
      <c r="H903" s="5">
        <f t="shared" ref="H903:H966" si="14">(D903-D902)/D902</f>
        <v>2.994011976047907E-2</v>
      </c>
    </row>
    <row r="904" spans="1:8" ht="13.5" x14ac:dyDescent="0.25">
      <c r="A904" s="1"/>
      <c r="B904" s="3">
        <v>43619</v>
      </c>
      <c r="C904" s="4">
        <v>1.77</v>
      </c>
      <c r="D904" s="4">
        <v>1.77</v>
      </c>
      <c r="E904" s="4">
        <v>300</v>
      </c>
      <c r="F904" s="4">
        <v>1.74</v>
      </c>
      <c r="G904" s="4">
        <v>522</v>
      </c>
      <c r="H904" s="5">
        <f t="shared" si="14"/>
        <v>2.9069767441860492E-2</v>
      </c>
    </row>
    <row r="905" spans="1:8" ht="13.5" x14ac:dyDescent="0.25">
      <c r="A905" s="1"/>
      <c r="B905" s="3">
        <v>43623</v>
      </c>
      <c r="C905" s="4">
        <v>1.84</v>
      </c>
      <c r="D905" s="4">
        <v>1.84</v>
      </c>
      <c r="E905" s="4">
        <v>2563</v>
      </c>
      <c r="F905" s="4">
        <v>1.8095000000000001</v>
      </c>
      <c r="G905" s="4">
        <v>4637.7484999999997</v>
      </c>
      <c r="H905" s="5">
        <f t="shared" si="14"/>
        <v>3.9548022598870095E-2</v>
      </c>
    </row>
    <row r="906" spans="1:8" ht="13.5" x14ac:dyDescent="0.25">
      <c r="A906" s="1"/>
      <c r="B906" s="3">
        <v>43626</v>
      </c>
      <c r="C906" s="4">
        <v>1.84</v>
      </c>
      <c r="D906" s="4">
        <v>1.84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1.88</v>
      </c>
      <c r="D907" s="4">
        <v>1.88</v>
      </c>
      <c r="E907" s="4">
        <v>11571</v>
      </c>
      <c r="F907" s="4">
        <v>1.8242</v>
      </c>
      <c r="G907" s="4">
        <v>21107.818200000002</v>
      </c>
      <c r="H907" s="5">
        <f t="shared" si="14"/>
        <v>2.1739130434782507E-2</v>
      </c>
    </row>
    <row r="908" spans="1:8" ht="13.5" x14ac:dyDescent="0.25">
      <c r="A908" s="1"/>
      <c r="B908" s="3">
        <v>43628</v>
      </c>
      <c r="C908" s="4">
        <v>1.93</v>
      </c>
      <c r="D908" s="4">
        <v>1.93</v>
      </c>
      <c r="E908" s="4">
        <v>3812</v>
      </c>
      <c r="F908" s="4">
        <v>1.8412999999999999</v>
      </c>
      <c r="G908" s="4">
        <v>7019.0356000000002</v>
      </c>
      <c r="H908" s="5">
        <f t="shared" si="14"/>
        <v>2.6595744680851088E-2</v>
      </c>
    </row>
    <row r="909" spans="1:8" ht="13.5" x14ac:dyDescent="0.25">
      <c r="A909" s="1"/>
      <c r="B909" s="3">
        <v>43629</v>
      </c>
      <c r="C909" s="4">
        <v>1.98</v>
      </c>
      <c r="D909" s="4">
        <v>1.98</v>
      </c>
      <c r="E909" s="4">
        <v>11534</v>
      </c>
      <c r="F909" s="4">
        <v>1.9670000000000001</v>
      </c>
      <c r="G909" s="4">
        <v>22687.378000000001</v>
      </c>
      <c r="H909" s="5">
        <f t="shared" si="14"/>
        <v>2.5906735751295359E-2</v>
      </c>
    </row>
    <row r="910" spans="1:8" ht="13.5" x14ac:dyDescent="0.25">
      <c r="A910" s="1"/>
      <c r="B910" s="3">
        <v>43630</v>
      </c>
      <c r="C910" s="4">
        <v>1.99</v>
      </c>
      <c r="D910" s="4">
        <v>1.99</v>
      </c>
      <c r="E910" s="4">
        <v>6736</v>
      </c>
      <c r="F910" s="4">
        <v>1.9838</v>
      </c>
      <c r="G910" s="4">
        <v>13362.8768</v>
      </c>
      <c r="H910" s="5">
        <f t="shared" si="14"/>
        <v>5.0505050505050553E-3</v>
      </c>
    </row>
    <row r="911" spans="1:8" ht="13.5" x14ac:dyDescent="0.25">
      <c r="A911" s="1"/>
      <c r="B911" s="3">
        <v>43633</v>
      </c>
      <c r="C911" s="4">
        <v>2.0499999999999998</v>
      </c>
      <c r="D911" s="4">
        <v>2.0499999999999998</v>
      </c>
      <c r="E911" s="4">
        <v>3744</v>
      </c>
      <c r="F911" s="4">
        <v>2.0059999999999998</v>
      </c>
      <c r="G911" s="4">
        <v>7510.4639999999999</v>
      </c>
      <c r="H911" s="5">
        <f t="shared" si="14"/>
        <v>3.0150753768844137E-2</v>
      </c>
    </row>
    <row r="912" spans="1:8" ht="13.5" x14ac:dyDescent="0.25">
      <c r="A912" s="1"/>
      <c r="B912" s="3">
        <v>43634</v>
      </c>
      <c r="C912" s="4">
        <v>2.09</v>
      </c>
      <c r="D912" s="4">
        <v>2.09</v>
      </c>
      <c r="E912" s="4">
        <v>15740</v>
      </c>
      <c r="F912" s="4">
        <v>2.0834000000000001</v>
      </c>
      <c r="G912" s="4">
        <v>32792.716</v>
      </c>
      <c r="H912" s="5">
        <f t="shared" si="14"/>
        <v>1.9512195121951237E-2</v>
      </c>
    </row>
    <row r="913" spans="1:8" ht="13.5" x14ac:dyDescent="0.25">
      <c r="A913" s="1"/>
      <c r="B913" s="3">
        <v>43635</v>
      </c>
      <c r="C913" s="4">
        <v>2.14</v>
      </c>
      <c r="D913" s="4">
        <v>2.14</v>
      </c>
      <c r="E913" s="4">
        <v>16900</v>
      </c>
      <c r="F913" s="4">
        <v>2.0796999999999999</v>
      </c>
      <c r="G913" s="4">
        <v>35146.93</v>
      </c>
      <c r="H913" s="5">
        <f t="shared" si="14"/>
        <v>2.3923444976076683E-2</v>
      </c>
    </row>
    <row r="914" spans="1:8" ht="13.5" x14ac:dyDescent="0.25">
      <c r="A914" s="1"/>
      <c r="B914" s="3">
        <v>43636</v>
      </c>
      <c r="C914" s="4">
        <v>2.23</v>
      </c>
      <c r="D914" s="4">
        <v>2.23</v>
      </c>
      <c r="E914" s="4">
        <v>11819</v>
      </c>
      <c r="F914" s="4">
        <v>2.2273999999999998</v>
      </c>
      <c r="G914" s="4">
        <v>26325.640599999999</v>
      </c>
      <c r="H914" s="5">
        <f t="shared" si="14"/>
        <v>4.2056074766355069E-2</v>
      </c>
    </row>
    <row r="915" spans="1:8" ht="13.5" x14ac:dyDescent="0.25">
      <c r="A915" s="1"/>
      <c r="B915" s="3">
        <v>43637</v>
      </c>
      <c r="C915" s="4">
        <v>2.29</v>
      </c>
      <c r="D915" s="4">
        <v>2.29</v>
      </c>
      <c r="E915" s="4">
        <v>23617</v>
      </c>
      <c r="F915" s="4">
        <v>2.2332999999999998</v>
      </c>
      <c r="G915" s="4">
        <v>52743.846100000002</v>
      </c>
      <c r="H915" s="5">
        <f t="shared" si="14"/>
        <v>2.6905829596412582E-2</v>
      </c>
    </row>
    <row r="916" spans="1:8" ht="13.5" x14ac:dyDescent="0.25">
      <c r="A916" s="1"/>
      <c r="B916" s="3">
        <v>43640</v>
      </c>
      <c r="C916" s="4">
        <v>2.33</v>
      </c>
      <c r="D916" s="4">
        <v>2.33</v>
      </c>
      <c r="E916" s="4">
        <v>550</v>
      </c>
      <c r="F916" s="4">
        <v>2.3187000000000002</v>
      </c>
      <c r="G916" s="4">
        <v>1275.2850000000001</v>
      </c>
      <c r="H916" s="5">
        <f t="shared" si="14"/>
        <v>1.746724890829696E-2</v>
      </c>
    </row>
    <row r="917" spans="1:8" ht="13.5" x14ac:dyDescent="0.25">
      <c r="A917" s="1"/>
      <c r="B917" s="3">
        <v>43641</v>
      </c>
      <c r="C917" s="4">
        <v>2.27</v>
      </c>
      <c r="D917" s="4">
        <v>2.27</v>
      </c>
      <c r="E917" s="4">
        <v>10250</v>
      </c>
      <c r="F917" s="4">
        <v>2.2696000000000001</v>
      </c>
      <c r="G917" s="4">
        <v>23263.4</v>
      </c>
      <c r="H917" s="5">
        <f t="shared" si="14"/>
        <v>-2.5751072961373411E-2</v>
      </c>
    </row>
    <row r="918" spans="1:8" ht="13.5" x14ac:dyDescent="0.25">
      <c r="A918" s="1"/>
      <c r="B918" s="3">
        <v>43642</v>
      </c>
      <c r="C918" s="4">
        <v>2.25</v>
      </c>
      <c r="D918" s="4">
        <v>2.25</v>
      </c>
      <c r="E918" s="4">
        <v>19856</v>
      </c>
      <c r="F918" s="4">
        <v>2.2431000000000001</v>
      </c>
      <c r="G918" s="4">
        <v>44538.993600000002</v>
      </c>
      <c r="H918" s="5">
        <f t="shared" si="14"/>
        <v>-8.8105726872246774E-3</v>
      </c>
    </row>
    <row r="919" spans="1:8" ht="13.5" x14ac:dyDescent="0.25">
      <c r="A919" s="1"/>
      <c r="B919" s="3">
        <v>43643</v>
      </c>
      <c r="C919" s="4">
        <v>2.38</v>
      </c>
      <c r="D919" s="4">
        <v>2.38</v>
      </c>
      <c r="E919" s="4">
        <v>4282</v>
      </c>
      <c r="F919" s="4">
        <v>2.3628</v>
      </c>
      <c r="G919" s="4">
        <v>10117.509599999999</v>
      </c>
      <c r="H919" s="5">
        <f t="shared" si="14"/>
        <v>5.7777777777777733E-2</v>
      </c>
    </row>
    <row r="920" spans="1:8" ht="13.5" x14ac:dyDescent="0.25">
      <c r="A920" s="1"/>
      <c r="B920" s="3">
        <v>43644</v>
      </c>
      <c r="C920" s="4">
        <v>2.4300000000000002</v>
      </c>
      <c r="D920" s="4">
        <v>2.4300000000000002</v>
      </c>
      <c r="E920" s="4">
        <v>11871</v>
      </c>
      <c r="F920" s="4">
        <v>2.3487</v>
      </c>
      <c r="G920" s="4">
        <v>27881.417700000002</v>
      </c>
      <c r="H920" s="5">
        <f t="shared" si="14"/>
        <v>2.1008403361344651E-2</v>
      </c>
    </row>
    <row r="921" spans="1:8" ht="13.5" x14ac:dyDescent="0.25">
      <c r="A921" s="1"/>
      <c r="B921" s="3">
        <v>43647</v>
      </c>
      <c r="C921" s="4">
        <v>2.36</v>
      </c>
      <c r="D921" s="4">
        <v>2.36</v>
      </c>
      <c r="E921" s="4">
        <v>1388</v>
      </c>
      <c r="F921" s="4">
        <v>2.3835000000000002</v>
      </c>
      <c r="G921" s="4">
        <v>3308.2979999999998</v>
      </c>
      <c r="H921" s="5">
        <f t="shared" si="14"/>
        <v>-2.8806584362140033E-2</v>
      </c>
    </row>
    <row r="922" spans="1:8" ht="13.5" x14ac:dyDescent="0.25">
      <c r="A922" s="1"/>
      <c r="B922" s="3">
        <v>43648</v>
      </c>
      <c r="C922" s="4">
        <v>2.42</v>
      </c>
      <c r="D922" s="4">
        <v>2.42</v>
      </c>
      <c r="E922" s="4">
        <v>304</v>
      </c>
      <c r="F922" s="4">
        <v>2.3856999999999999</v>
      </c>
      <c r="G922" s="4">
        <v>725.25279999999998</v>
      </c>
      <c r="H922" s="5">
        <f t="shared" si="14"/>
        <v>2.5423728813559344E-2</v>
      </c>
    </row>
    <row r="923" spans="1:8" ht="13.5" x14ac:dyDescent="0.25">
      <c r="A923" s="1"/>
      <c r="B923" s="3">
        <v>43649</v>
      </c>
      <c r="C923" s="4">
        <v>2.35</v>
      </c>
      <c r="D923" s="4">
        <v>2.35</v>
      </c>
      <c r="E923" s="4">
        <v>3733</v>
      </c>
      <c r="F923" s="4">
        <v>2.2890999999999999</v>
      </c>
      <c r="G923" s="4">
        <v>8545.2103000000006</v>
      </c>
      <c r="H923" s="5">
        <f t="shared" si="14"/>
        <v>-2.8925619834710679E-2</v>
      </c>
    </row>
    <row r="924" spans="1:8" ht="13.5" x14ac:dyDescent="0.25">
      <c r="A924" s="1"/>
      <c r="B924" s="3">
        <v>43650</v>
      </c>
      <c r="C924" s="4">
        <v>2.2799999999999998</v>
      </c>
      <c r="D924" s="4">
        <v>2.2799999999999998</v>
      </c>
      <c r="E924" s="4">
        <v>2829</v>
      </c>
      <c r="F924" s="4">
        <v>2.2936999999999999</v>
      </c>
      <c r="G924" s="4">
        <v>6488.8773000000001</v>
      </c>
      <c r="H924" s="5">
        <f t="shared" si="14"/>
        <v>-2.9787234042553311E-2</v>
      </c>
    </row>
    <row r="925" spans="1:8" ht="13.5" x14ac:dyDescent="0.25">
      <c r="A925" s="1"/>
      <c r="B925" s="3">
        <v>43651</v>
      </c>
      <c r="C925" s="4">
        <v>2.27</v>
      </c>
      <c r="D925" s="4">
        <v>2.27</v>
      </c>
      <c r="E925" s="4">
        <v>4875</v>
      </c>
      <c r="F925" s="4">
        <v>2.3176000000000001</v>
      </c>
      <c r="G925" s="4">
        <v>11298.3</v>
      </c>
      <c r="H925" s="5">
        <f t="shared" si="14"/>
        <v>-4.3859649122806087E-3</v>
      </c>
    </row>
    <row r="926" spans="1:8" ht="13.5" x14ac:dyDescent="0.25">
      <c r="A926" s="1"/>
      <c r="B926" s="3">
        <v>43654</v>
      </c>
      <c r="C926" s="4">
        <v>2.3199999999999998</v>
      </c>
      <c r="D926" s="4">
        <v>2.3199999999999998</v>
      </c>
      <c r="E926" s="4">
        <v>3270</v>
      </c>
      <c r="F926" s="4">
        <v>2.3149999999999999</v>
      </c>
      <c r="G926" s="4">
        <v>7570.05</v>
      </c>
      <c r="H926" s="5">
        <f t="shared" si="14"/>
        <v>2.2026431718061595E-2</v>
      </c>
    </row>
    <row r="927" spans="1:8" ht="13.5" x14ac:dyDescent="0.25">
      <c r="A927" s="1"/>
      <c r="B927" s="3">
        <v>43655</v>
      </c>
      <c r="C927" s="4">
        <v>2.25</v>
      </c>
      <c r="D927" s="4">
        <v>2.25</v>
      </c>
      <c r="E927" s="4">
        <v>1395</v>
      </c>
      <c r="F927" s="4">
        <v>2.2517999999999998</v>
      </c>
      <c r="G927" s="4">
        <v>3141.261</v>
      </c>
      <c r="H927" s="5">
        <f t="shared" si="14"/>
        <v>-3.017241379310338E-2</v>
      </c>
    </row>
    <row r="928" spans="1:8" ht="13.5" x14ac:dyDescent="0.25">
      <c r="A928" s="1"/>
      <c r="B928" s="3">
        <v>43656</v>
      </c>
      <c r="C928" s="4">
        <v>2.25</v>
      </c>
      <c r="D928" s="4">
        <v>2.25</v>
      </c>
      <c r="E928" s="4">
        <v>3001</v>
      </c>
      <c r="F928" s="4">
        <v>2.1797</v>
      </c>
      <c r="G928" s="4">
        <v>6541.2797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2.21</v>
      </c>
      <c r="D929" s="4">
        <v>2.21</v>
      </c>
      <c r="E929" s="4">
        <v>5779</v>
      </c>
      <c r="F929" s="4">
        <v>2.1568999999999998</v>
      </c>
      <c r="G929" s="4">
        <v>12464.7251</v>
      </c>
      <c r="H929" s="5">
        <f t="shared" si="14"/>
        <v>-1.7777777777777795E-2</v>
      </c>
    </row>
    <row r="930" spans="1:8" ht="13.5" x14ac:dyDescent="0.25">
      <c r="A930" s="1"/>
      <c r="B930" s="3">
        <v>43658</v>
      </c>
      <c r="C930" s="4">
        <v>2.27</v>
      </c>
      <c r="D930" s="4">
        <v>2.27</v>
      </c>
      <c r="E930" s="4">
        <v>20</v>
      </c>
      <c r="F930" s="4">
        <v>2.27</v>
      </c>
      <c r="G930" s="4">
        <v>45.4</v>
      </c>
      <c r="H930" s="5">
        <f t="shared" si="14"/>
        <v>2.7149321266968351E-2</v>
      </c>
    </row>
    <row r="931" spans="1:8" ht="13.5" x14ac:dyDescent="0.25">
      <c r="A931" s="1"/>
      <c r="B931" s="3">
        <v>43661</v>
      </c>
      <c r="C931" s="4">
        <v>2.3199999999999998</v>
      </c>
      <c r="D931" s="4">
        <v>2.3199999999999998</v>
      </c>
      <c r="E931" s="4">
        <v>10</v>
      </c>
      <c r="F931" s="4">
        <v>2.3199999999999998</v>
      </c>
      <c r="G931" s="4">
        <v>23.2</v>
      </c>
      <c r="H931" s="5">
        <f t="shared" si="14"/>
        <v>2.2026431718061595E-2</v>
      </c>
    </row>
    <row r="932" spans="1:8" ht="13.5" x14ac:dyDescent="0.25">
      <c r="A932" s="1"/>
      <c r="B932" s="3">
        <v>43662</v>
      </c>
      <c r="C932" s="4">
        <v>2.2599999999999998</v>
      </c>
      <c r="D932" s="4">
        <v>2.2599999999999998</v>
      </c>
      <c r="E932" s="4">
        <v>500</v>
      </c>
      <c r="F932" s="4">
        <v>2.31</v>
      </c>
      <c r="G932" s="4">
        <v>1155</v>
      </c>
      <c r="H932" s="5">
        <f t="shared" si="14"/>
        <v>-2.5862068965517265E-2</v>
      </c>
    </row>
    <row r="933" spans="1:8" ht="13.5" x14ac:dyDescent="0.25">
      <c r="A933" s="1"/>
      <c r="B933" s="3">
        <v>43663</v>
      </c>
      <c r="C933" s="4">
        <v>2.16</v>
      </c>
      <c r="D933" s="4">
        <v>2.16</v>
      </c>
      <c r="E933" s="4">
        <v>2786</v>
      </c>
      <c r="F933" s="4">
        <v>2.1606000000000001</v>
      </c>
      <c r="G933" s="4">
        <v>6019.4315999999999</v>
      </c>
      <c r="H933" s="5">
        <f t="shared" si="14"/>
        <v>-4.4247787610619316E-2</v>
      </c>
    </row>
    <row r="934" spans="1:8" ht="13.5" x14ac:dyDescent="0.25">
      <c r="A934" s="1"/>
      <c r="B934" s="3">
        <v>43664</v>
      </c>
      <c r="C934" s="4">
        <v>2.13</v>
      </c>
      <c r="D934" s="4">
        <v>2.13</v>
      </c>
      <c r="E934" s="4">
        <v>3402</v>
      </c>
      <c r="F934" s="4">
        <v>2.1375000000000002</v>
      </c>
      <c r="G934" s="4">
        <v>7271.7749999999996</v>
      </c>
      <c r="H934" s="5">
        <f t="shared" si="14"/>
        <v>-1.3888888888889003E-2</v>
      </c>
    </row>
    <row r="935" spans="1:8" ht="13.5" x14ac:dyDescent="0.25">
      <c r="A935" s="1"/>
      <c r="B935" s="3">
        <v>43665</v>
      </c>
      <c r="C935" s="4">
        <v>2.1800000000000002</v>
      </c>
      <c r="D935" s="4">
        <v>2.1800000000000002</v>
      </c>
      <c r="E935" s="4">
        <v>1983</v>
      </c>
      <c r="F935" s="4">
        <v>2.1286999999999998</v>
      </c>
      <c r="G935" s="4">
        <v>4221.2120999999997</v>
      </c>
      <c r="H935" s="5">
        <f t="shared" si="14"/>
        <v>2.3474178403755996E-2</v>
      </c>
    </row>
    <row r="936" spans="1:8" ht="13.5" x14ac:dyDescent="0.25">
      <c r="A936" s="1"/>
      <c r="B936" s="3">
        <v>43668</v>
      </c>
      <c r="C936" s="4">
        <v>2.19</v>
      </c>
      <c r="D936" s="4">
        <v>2.19</v>
      </c>
      <c r="E936" s="4">
        <v>12450</v>
      </c>
      <c r="F936" s="4">
        <v>2.1987000000000001</v>
      </c>
      <c r="G936" s="4">
        <v>27373.814999999999</v>
      </c>
      <c r="H936" s="5">
        <f t="shared" si="14"/>
        <v>4.5871559633026545E-3</v>
      </c>
    </row>
    <row r="937" spans="1:8" ht="13.5" x14ac:dyDescent="0.25">
      <c r="A937" s="1"/>
      <c r="B937" s="3">
        <v>43669</v>
      </c>
      <c r="C937" s="4">
        <v>2.19</v>
      </c>
      <c r="D937" s="4">
        <v>2.19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2.19</v>
      </c>
      <c r="D938" s="4">
        <v>2.19</v>
      </c>
      <c r="E938" s="4">
        <v>0</v>
      </c>
      <c r="F938" s="4">
        <v>0</v>
      </c>
      <c r="G938" s="4">
        <v>0</v>
      </c>
      <c r="H938" s="5">
        <f t="shared" si="14"/>
        <v>0</v>
      </c>
    </row>
    <row r="939" spans="1:8" ht="13.5" x14ac:dyDescent="0.25">
      <c r="A939" s="1"/>
      <c r="B939" s="3">
        <v>43672</v>
      </c>
      <c r="C939" s="4">
        <v>2.19</v>
      </c>
      <c r="D939" s="4">
        <v>2.19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2.2000000000000002</v>
      </c>
      <c r="D940" s="4">
        <v>2.2000000000000002</v>
      </c>
      <c r="E940" s="4">
        <v>1266</v>
      </c>
      <c r="F940" s="4">
        <v>2.1850000000000001</v>
      </c>
      <c r="G940" s="4">
        <v>2766.21</v>
      </c>
      <c r="H940" s="5">
        <f t="shared" si="14"/>
        <v>4.566210045662206E-3</v>
      </c>
    </row>
    <row r="941" spans="1:8" ht="13.5" x14ac:dyDescent="0.25">
      <c r="A941" s="1"/>
      <c r="B941" s="3">
        <v>43676</v>
      </c>
      <c r="C941" s="4">
        <v>2.2000000000000002</v>
      </c>
      <c r="D941" s="4">
        <v>2.2000000000000002</v>
      </c>
      <c r="E941" s="4">
        <v>1010</v>
      </c>
      <c r="F941" s="4">
        <v>2.1901000000000002</v>
      </c>
      <c r="G941" s="4">
        <v>2212.0010000000002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2.2000000000000002</v>
      </c>
      <c r="D942" s="4">
        <v>2.2000000000000002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2.1800000000000002</v>
      </c>
      <c r="D943" s="4">
        <v>2.1800000000000002</v>
      </c>
      <c r="E943" s="4">
        <v>2010</v>
      </c>
      <c r="F943" s="4">
        <v>2.1861999999999999</v>
      </c>
      <c r="G943" s="4">
        <v>4394.2619999999997</v>
      </c>
      <c r="H943" s="5">
        <f t="shared" si="14"/>
        <v>-9.0909090909090974E-3</v>
      </c>
    </row>
    <row r="944" spans="1:8" ht="13.5" x14ac:dyDescent="0.25">
      <c r="A944" s="1"/>
      <c r="B944" s="3">
        <v>43679</v>
      </c>
      <c r="C944" s="4">
        <v>2.1800000000000002</v>
      </c>
      <c r="D944" s="4">
        <v>2.1800000000000002</v>
      </c>
      <c r="E944" s="4">
        <v>2300</v>
      </c>
      <c r="F944" s="4">
        <v>2.1663999999999999</v>
      </c>
      <c r="G944" s="4">
        <v>4982.72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2.1800000000000002</v>
      </c>
      <c r="D945" s="4">
        <v>2.1800000000000002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2.1800000000000002</v>
      </c>
      <c r="D946" s="4">
        <v>2.1800000000000002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2.1800000000000002</v>
      </c>
      <c r="D947" s="4">
        <v>2.1800000000000002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2.1800000000000002</v>
      </c>
      <c r="D948" s="4">
        <v>2.1800000000000002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2.1800000000000002</v>
      </c>
      <c r="D949" s="4">
        <v>2.1800000000000002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2.1800000000000002</v>
      </c>
      <c r="D950" s="4">
        <v>2.1800000000000002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2.17</v>
      </c>
      <c r="D951" s="4">
        <v>2.17</v>
      </c>
      <c r="E951" s="4">
        <v>1168</v>
      </c>
      <c r="F951" s="4">
        <v>2.0928</v>
      </c>
      <c r="G951" s="4">
        <v>2444.3904000000002</v>
      </c>
      <c r="H951" s="5">
        <f t="shared" si="14"/>
        <v>-4.5871559633028575E-3</v>
      </c>
    </row>
    <row r="952" spans="1:8" ht="13.5" x14ac:dyDescent="0.25">
      <c r="A952" s="1"/>
      <c r="B952" s="3">
        <v>43693</v>
      </c>
      <c r="C952" s="4">
        <v>2.17</v>
      </c>
      <c r="D952" s="4">
        <v>2.17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2.17</v>
      </c>
      <c r="D953" s="4">
        <v>2.17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2.17</v>
      </c>
      <c r="D954" s="4">
        <v>2.17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2.17</v>
      </c>
      <c r="D955" s="4">
        <v>2.17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2.17</v>
      </c>
      <c r="D956" s="4">
        <v>2.17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2.17</v>
      </c>
      <c r="D957" s="4">
        <v>2.17</v>
      </c>
      <c r="E957" s="4">
        <v>0</v>
      </c>
      <c r="F957" s="4">
        <v>0</v>
      </c>
      <c r="G957" s="4">
        <v>0</v>
      </c>
      <c r="H957" s="5">
        <f t="shared" si="14"/>
        <v>0</v>
      </c>
    </row>
    <row r="958" spans="1:8" ht="13.5" x14ac:dyDescent="0.25">
      <c r="A958" s="1"/>
      <c r="B958" s="3">
        <v>43703</v>
      </c>
      <c r="C958" s="4">
        <v>2.17</v>
      </c>
      <c r="D958" s="4">
        <v>2.17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2.17</v>
      </c>
      <c r="D959" s="4">
        <v>2.17</v>
      </c>
      <c r="E959" s="4">
        <v>5265</v>
      </c>
      <c r="F959" s="4">
        <v>2.1442999999999999</v>
      </c>
      <c r="G959" s="4">
        <v>11289.7395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2.17</v>
      </c>
      <c r="D960" s="4">
        <v>2.17</v>
      </c>
      <c r="E960" s="4">
        <v>1100</v>
      </c>
      <c r="F960" s="4">
        <v>2.1608999999999998</v>
      </c>
      <c r="G960" s="4">
        <v>2376.9899999999998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2.17</v>
      </c>
      <c r="D961" s="4">
        <v>2.17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2.15</v>
      </c>
      <c r="D962" s="4">
        <v>2.15</v>
      </c>
      <c r="E962" s="4">
        <v>650</v>
      </c>
      <c r="F962" s="4">
        <v>2.1408</v>
      </c>
      <c r="G962" s="4">
        <v>1391.52</v>
      </c>
      <c r="H962" s="5">
        <f t="shared" si="14"/>
        <v>-9.2165898617511607E-3</v>
      </c>
    </row>
    <row r="963" spans="1:8" ht="13.5" x14ac:dyDescent="0.25">
      <c r="A963" s="1"/>
      <c r="B963" s="3">
        <v>43710</v>
      </c>
      <c r="C963" s="4">
        <v>2.15</v>
      </c>
      <c r="D963" s="4">
        <v>2.15</v>
      </c>
      <c r="E963" s="4">
        <v>24</v>
      </c>
      <c r="F963" s="4">
        <v>2.15</v>
      </c>
      <c r="G963" s="4">
        <v>51.6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2.15</v>
      </c>
      <c r="D964" s="4">
        <v>2.15</v>
      </c>
      <c r="E964" s="4">
        <v>1000</v>
      </c>
      <c r="F964" s="4">
        <v>2.1404999999999998</v>
      </c>
      <c r="G964" s="4">
        <v>2140.5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2.14</v>
      </c>
      <c r="D965" s="4">
        <v>2.14</v>
      </c>
      <c r="E965" s="4">
        <v>2</v>
      </c>
      <c r="F965" s="4">
        <v>2.1150000000000002</v>
      </c>
      <c r="G965" s="4">
        <v>4.2300000000000004</v>
      </c>
      <c r="H965" s="5">
        <f t="shared" si="14"/>
        <v>-4.6511627906975755E-3</v>
      </c>
    </row>
    <row r="966" spans="1:8" ht="13.5" x14ac:dyDescent="0.25">
      <c r="A966" s="1"/>
      <c r="B966" s="3">
        <v>43713</v>
      </c>
      <c r="C966" s="4">
        <v>2.14</v>
      </c>
      <c r="D966" s="4">
        <v>2.14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2.14</v>
      </c>
      <c r="D967" s="4">
        <v>2.14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2.08</v>
      </c>
      <c r="D968" s="4">
        <v>2.08</v>
      </c>
      <c r="E968" s="4">
        <v>2343</v>
      </c>
      <c r="F968" s="4">
        <v>2.0800999999999998</v>
      </c>
      <c r="G968" s="4">
        <v>4873.6742999999997</v>
      </c>
      <c r="H968" s="5">
        <f t="shared" si="15"/>
        <v>-2.8037383177570117E-2</v>
      </c>
    </row>
    <row r="969" spans="1:8" ht="13.5" x14ac:dyDescent="0.25">
      <c r="A969" s="1"/>
      <c r="B969" s="3">
        <v>43718</v>
      </c>
      <c r="C969" s="4">
        <v>2.09</v>
      </c>
      <c r="D969" s="4">
        <v>2.09</v>
      </c>
      <c r="E969" s="4">
        <v>1302</v>
      </c>
      <c r="F969" s="4">
        <v>2.0836000000000001</v>
      </c>
      <c r="G969" s="4">
        <v>2712.8472000000002</v>
      </c>
      <c r="H969" s="5">
        <f t="shared" si="15"/>
        <v>4.8076923076922047E-3</v>
      </c>
    </row>
    <row r="970" spans="1:8" ht="13.5" x14ac:dyDescent="0.25">
      <c r="A970" s="1"/>
      <c r="B970" s="3">
        <v>43719</v>
      </c>
      <c r="C970" s="4">
        <v>2.11</v>
      </c>
      <c r="D970" s="4">
        <v>2.11</v>
      </c>
      <c r="E970" s="4">
        <v>6750</v>
      </c>
      <c r="F970" s="4">
        <v>2.1</v>
      </c>
      <c r="G970" s="4">
        <v>14175</v>
      </c>
      <c r="H970" s="5">
        <f t="shared" si="15"/>
        <v>9.5693779904306303E-3</v>
      </c>
    </row>
    <row r="971" spans="1:8" ht="13.5" x14ac:dyDescent="0.25">
      <c r="A971" s="1"/>
      <c r="B971" s="3">
        <v>43720</v>
      </c>
      <c r="C971" s="4">
        <v>2.17</v>
      </c>
      <c r="D971" s="4">
        <v>2.17</v>
      </c>
      <c r="E971" s="4">
        <v>2300</v>
      </c>
      <c r="F971" s="4">
        <v>2.1335000000000002</v>
      </c>
      <c r="G971" s="4">
        <v>4907.05</v>
      </c>
      <c r="H971" s="5">
        <f t="shared" si="15"/>
        <v>2.8436018957345998E-2</v>
      </c>
    </row>
    <row r="972" spans="1:8" ht="13.5" x14ac:dyDescent="0.25">
      <c r="A972" s="1"/>
      <c r="B972" s="3">
        <v>43721</v>
      </c>
      <c r="C972" s="4">
        <v>2.23</v>
      </c>
      <c r="D972" s="4">
        <v>2.23</v>
      </c>
      <c r="E972" s="4">
        <v>2200</v>
      </c>
      <c r="F972" s="4">
        <v>2.23</v>
      </c>
      <c r="G972" s="4">
        <v>4906</v>
      </c>
      <c r="H972" s="5">
        <f t="shared" si="15"/>
        <v>2.7649769585253482E-2</v>
      </c>
    </row>
    <row r="973" spans="1:8" ht="13.5" x14ac:dyDescent="0.25">
      <c r="A973" s="1"/>
      <c r="B973" s="3">
        <v>43724</v>
      </c>
      <c r="C973" s="4">
        <v>2.21</v>
      </c>
      <c r="D973" s="4">
        <v>2.21</v>
      </c>
      <c r="E973" s="4">
        <v>1500</v>
      </c>
      <c r="F973" s="4">
        <v>2.21</v>
      </c>
      <c r="G973" s="4">
        <v>3315</v>
      </c>
      <c r="H973" s="5">
        <f t="shared" si="15"/>
        <v>-8.9686098654708606E-3</v>
      </c>
    </row>
    <row r="974" spans="1:8" ht="13.5" x14ac:dyDescent="0.25">
      <c r="A974" s="1"/>
      <c r="B974" s="3">
        <v>43725</v>
      </c>
      <c r="C974" s="4">
        <v>2.21</v>
      </c>
      <c r="D974" s="4">
        <v>2.21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2.21</v>
      </c>
      <c r="D975" s="4">
        <v>2.21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2.21</v>
      </c>
      <c r="D976" s="4">
        <v>2.21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2.27</v>
      </c>
      <c r="D977" s="4">
        <v>2.27</v>
      </c>
      <c r="E977" s="4">
        <v>5800</v>
      </c>
      <c r="F977" s="4">
        <v>2.234</v>
      </c>
      <c r="G977" s="4">
        <v>12957.2</v>
      </c>
      <c r="H977" s="5">
        <f t="shared" si="15"/>
        <v>2.7149321266968351E-2</v>
      </c>
    </row>
    <row r="978" spans="1:8" ht="13.5" x14ac:dyDescent="0.25">
      <c r="A978" s="1"/>
      <c r="B978" s="3">
        <v>43731</v>
      </c>
      <c r="C978" s="4">
        <v>2.3199999999999998</v>
      </c>
      <c r="D978" s="4">
        <v>2.3199999999999998</v>
      </c>
      <c r="E978" s="4">
        <v>323</v>
      </c>
      <c r="F978" s="4">
        <v>2.302</v>
      </c>
      <c r="G978" s="4">
        <v>743.54600000000005</v>
      </c>
      <c r="H978" s="5">
        <f t="shared" si="15"/>
        <v>2.2026431718061595E-2</v>
      </c>
    </row>
    <row r="979" spans="1:8" ht="13.5" x14ac:dyDescent="0.25">
      <c r="A979" s="1"/>
      <c r="B979" s="3">
        <v>43732</v>
      </c>
      <c r="C979" s="4">
        <v>2.3199999999999998</v>
      </c>
      <c r="D979" s="4">
        <v>2.3199999999999998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2.2599999999999998</v>
      </c>
      <c r="D980" s="4">
        <v>2.2599999999999998</v>
      </c>
      <c r="E980" s="4">
        <v>4395</v>
      </c>
      <c r="F980" s="4">
        <v>2.2601</v>
      </c>
      <c r="G980" s="4">
        <v>9933.1394999999993</v>
      </c>
      <c r="H980" s="5">
        <f t="shared" si="15"/>
        <v>-2.5862068965517265E-2</v>
      </c>
    </row>
    <row r="981" spans="1:8" ht="13.5" x14ac:dyDescent="0.25">
      <c r="A981" s="1"/>
      <c r="B981" s="3">
        <v>43734</v>
      </c>
      <c r="C981" s="4">
        <v>2.2999999999999998</v>
      </c>
      <c r="D981" s="4">
        <v>2.2999999999999998</v>
      </c>
      <c r="E981" s="4">
        <v>9995</v>
      </c>
      <c r="F981" s="4">
        <v>2.2877000000000001</v>
      </c>
      <c r="G981" s="4">
        <v>22865.5615</v>
      </c>
      <c r="H981" s="5">
        <f t="shared" si="15"/>
        <v>1.7699115044247805E-2</v>
      </c>
    </row>
    <row r="982" spans="1:8" ht="13.5" x14ac:dyDescent="0.25">
      <c r="A982" s="1"/>
      <c r="B982" s="3">
        <v>43735</v>
      </c>
      <c r="C982" s="4">
        <v>2.2999999999999998</v>
      </c>
      <c r="D982" s="4">
        <v>2.2999999999999998</v>
      </c>
      <c r="E982" s="4">
        <v>0</v>
      </c>
      <c r="F982" s="4">
        <v>0</v>
      </c>
      <c r="G982" s="4">
        <v>0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2.2799999999999998</v>
      </c>
      <c r="D983" s="4">
        <v>2.2799999999999998</v>
      </c>
      <c r="E983" s="4">
        <v>501</v>
      </c>
      <c r="F983" s="4">
        <v>2.2401</v>
      </c>
      <c r="G983" s="4">
        <v>1122.2900999999999</v>
      </c>
      <c r="H983" s="5">
        <f t="shared" si="15"/>
        <v>-8.6956521739130523E-3</v>
      </c>
    </row>
    <row r="984" spans="1:8" ht="13.5" x14ac:dyDescent="0.25">
      <c r="A984" s="1"/>
      <c r="B984" s="3">
        <v>43739</v>
      </c>
      <c r="C984" s="4">
        <v>2.2799999999999998</v>
      </c>
      <c r="D984" s="4">
        <v>2.2799999999999998</v>
      </c>
      <c r="E984" s="4">
        <v>0</v>
      </c>
      <c r="F984" s="4">
        <v>0</v>
      </c>
      <c r="G984" s="4">
        <v>0</v>
      </c>
      <c r="H984" s="5">
        <f t="shared" si="15"/>
        <v>0</v>
      </c>
    </row>
    <row r="985" spans="1:8" ht="13.5" x14ac:dyDescent="0.25">
      <c r="A985" s="1"/>
      <c r="B985" s="3">
        <v>43740</v>
      </c>
      <c r="C985" s="4">
        <v>2.2200000000000002</v>
      </c>
      <c r="D985" s="4">
        <v>2.2200000000000002</v>
      </c>
      <c r="E985" s="4">
        <v>1000</v>
      </c>
      <c r="F985" s="4">
        <v>2.2200000000000002</v>
      </c>
      <c r="G985" s="4">
        <v>2220</v>
      </c>
      <c r="H985" s="5">
        <f t="shared" si="15"/>
        <v>-2.6315789473684043E-2</v>
      </c>
    </row>
    <row r="986" spans="1:8" ht="13.5" x14ac:dyDescent="0.25">
      <c r="A986" s="1"/>
      <c r="B986" s="3">
        <v>43741</v>
      </c>
      <c r="C986" s="4">
        <v>2.2200000000000002</v>
      </c>
      <c r="D986" s="4">
        <v>2.2200000000000002</v>
      </c>
      <c r="E986" s="4">
        <v>520</v>
      </c>
      <c r="F986" s="4">
        <v>2.1698</v>
      </c>
      <c r="G986" s="4">
        <v>1128.296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2.2799999999999998</v>
      </c>
      <c r="D987" s="4">
        <v>2.2799999999999998</v>
      </c>
      <c r="E987" s="4">
        <v>5811</v>
      </c>
      <c r="F987" s="4">
        <v>2.202</v>
      </c>
      <c r="G987" s="4">
        <v>12795.822</v>
      </c>
      <c r="H987" s="5">
        <f t="shared" si="15"/>
        <v>2.7027027027026848E-2</v>
      </c>
    </row>
    <row r="988" spans="1:8" ht="13.5" x14ac:dyDescent="0.25">
      <c r="A988" s="1"/>
      <c r="B988" s="3">
        <v>43745</v>
      </c>
      <c r="C988" s="4">
        <v>2.34</v>
      </c>
      <c r="D988" s="4">
        <v>2.34</v>
      </c>
      <c r="E988" s="4">
        <v>17120</v>
      </c>
      <c r="F988" s="4">
        <v>2.3233000000000001</v>
      </c>
      <c r="G988" s="4">
        <v>39774.896000000001</v>
      </c>
      <c r="H988" s="5">
        <f t="shared" si="15"/>
        <v>2.6315789473684237E-2</v>
      </c>
    </row>
    <row r="989" spans="1:8" ht="13.5" x14ac:dyDescent="0.25">
      <c r="A989" s="1"/>
      <c r="B989" s="3">
        <v>43746</v>
      </c>
      <c r="C989" s="4">
        <v>2.48</v>
      </c>
      <c r="D989" s="4">
        <v>2.48</v>
      </c>
      <c r="E989" s="4">
        <v>9777</v>
      </c>
      <c r="F989" s="4">
        <v>2.4447999999999999</v>
      </c>
      <c r="G989" s="4">
        <v>23902.809600000001</v>
      </c>
      <c r="H989" s="5">
        <f t="shared" si="15"/>
        <v>5.9829059829059887E-2</v>
      </c>
    </row>
    <row r="990" spans="1:8" ht="13.5" x14ac:dyDescent="0.25">
      <c r="A990" s="1"/>
      <c r="B990" s="3">
        <v>43747</v>
      </c>
      <c r="C990" s="4">
        <v>2.48</v>
      </c>
      <c r="D990" s="4">
        <v>2.48</v>
      </c>
      <c r="E990" s="4">
        <v>8934</v>
      </c>
      <c r="F990" s="4">
        <v>2.4647999999999999</v>
      </c>
      <c r="G990" s="4">
        <v>22020.5232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2.48</v>
      </c>
      <c r="D991" s="4">
        <v>2.48</v>
      </c>
      <c r="E991" s="4">
        <v>1681</v>
      </c>
      <c r="F991" s="4">
        <v>2.4802</v>
      </c>
      <c r="G991" s="4">
        <v>4169.2161999999998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2.5</v>
      </c>
      <c r="D992" s="4">
        <v>2.5</v>
      </c>
      <c r="E992" s="4">
        <v>545</v>
      </c>
      <c r="F992" s="4">
        <v>2.4742999999999999</v>
      </c>
      <c r="G992" s="4">
        <v>1348.4935</v>
      </c>
      <c r="H992" s="5">
        <f t="shared" si="15"/>
        <v>8.0645161290322648E-3</v>
      </c>
    </row>
    <row r="993" spans="1:8" ht="13.5" x14ac:dyDescent="0.25">
      <c r="A993" s="1"/>
      <c r="B993" s="3">
        <v>43752</v>
      </c>
      <c r="C993" s="4">
        <v>2.52</v>
      </c>
      <c r="D993" s="4">
        <v>2.52</v>
      </c>
      <c r="E993" s="4">
        <v>2677</v>
      </c>
      <c r="F993" s="4">
        <v>2.4937999999999998</v>
      </c>
      <c r="G993" s="4">
        <v>6675.9026000000003</v>
      </c>
      <c r="H993" s="5">
        <f t="shared" si="15"/>
        <v>8.0000000000000071E-3</v>
      </c>
    </row>
    <row r="994" spans="1:8" ht="13.5" x14ac:dyDescent="0.25">
      <c r="A994" s="1"/>
      <c r="B994" s="3">
        <v>43754</v>
      </c>
      <c r="C994" s="4">
        <v>2.52</v>
      </c>
      <c r="D994" s="4">
        <v>2.52</v>
      </c>
      <c r="E994" s="4">
        <v>6507</v>
      </c>
      <c r="F994" s="4">
        <v>2.5026000000000002</v>
      </c>
      <c r="G994" s="4">
        <v>16284.4182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2.54</v>
      </c>
      <c r="D995" s="4">
        <v>2.54</v>
      </c>
      <c r="E995" s="4">
        <v>200</v>
      </c>
      <c r="F995" s="4">
        <v>2.4925999999999999</v>
      </c>
      <c r="G995" s="4">
        <v>498.52</v>
      </c>
      <c r="H995" s="5">
        <f t="shared" si="15"/>
        <v>7.936507936507943E-3</v>
      </c>
    </row>
    <row r="996" spans="1:8" ht="13.5" x14ac:dyDescent="0.25">
      <c r="A996" s="1"/>
      <c r="B996" s="3">
        <v>43756</v>
      </c>
      <c r="C996" s="4">
        <v>2.52</v>
      </c>
      <c r="D996" s="4">
        <v>2.52</v>
      </c>
      <c r="E996" s="4">
        <v>2471</v>
      </c>
      <c r="F996" s="4">
        <v>2.4733000000000001</v>
      </c>
      <c r="G996" s="4">
        <v>6111.5243</v>
      </c>
      <c r="H996" s="5">
        <f t="shared" si="15"/>
        <v>-7.8740157480315029E-3</v>
      </c>
    </row>
    <row r="997" spans="1:8" ht="13.5" x14ac:dyDescent="0.25">
      <c r="A997" s="1"/>
      <c r="B997" s="3">
        <v>43759</v>
      </c>
      <c r="C997" s="4">
        <v>2.57</v>
      </c>
      <c r="D997" s="4">
        <v>2.57</v>
      </c>
      <c r="E997" s="4">
        <v>1</v>
      </c>
      <c r="F997" s="4">
        <v>2.57</v>
      </c>
      <c r="G997" s="4">
        <v>2.57</v>
      </c>
      <c r="H997" s="5">
        <f t="shared" si="15"/>
        <v>1.9841269841269771E-2</v>
      </c>
    </row>
    <row r="998" spans="1:8" ht="13.5" x14ac:dyDescent="0.25">
      <c r="A998" s="1"/>
      <c r="B998" s="3">
        <v>43760</v>
      </c>
      <c r="C998" s="4">
        <v>2.68</v>
      </c>
      <c r="D998" s="4">
        <v>2.68</v>
      </c>
      <c r="E998" s="4">
        <v>62173</v>
      </c>
      <c r="F998" s="4">
        <v>2.5053999999999998</v>
      </c>
      <c r="G998" s="4">
        <v>155768.23420000001</v>
      </c>
      <c r="H998" s="5">
        <f t="shared" si="15"/>
        <v>4.2801556420233589E-2</v>
      </c>
    </row>
    <row r="999" spans="1:8" ht="13.5" x14ac:dyDescent="0.25">
      <c r="A999" s="1"/>
      <c r="B999" s="3">
        <v>43761</v>
      </c>
      <c r="C999" s="4">
        <v>2.84</v>
      </c>
      <c r="D999" s="4">
        <v>2.84</v>
      </c>
      <c r="E999" s="4">
        <v>26993</v>
      </c>
      <c r="F999" s="4">
        <v>2.7949000000000002</v>
      </c>
      <c r="G999" s="4">
        <v>75442.735700000005</v>
      </c>
      <c r="H999" s="5">
        <f t="shared" si="15"/>
        <v>5.9701492537313314E-2</v>
      </c>
    </row>
    <row r="1000" spans="1:8" ht="13.5" x14ac:dyDescent="0.25">
      <c r="A1000" s="1"/>
      <c r="B1000" s="3">
        <v>43762</v>
      </c>
      <c r="C1000" s="4">
        <v>2.96</v>
      </c>
      <c r="D1000" s="4">
        <v>2.96</v>
      </c>
      <c r="E1000" s="4">
        <v>0</v>
      </c>
      <c r="F1000" s="4">
        <v>0</v>
      </c>
      <c r="G1000" s="4">
        <v>0</v>
      </c>
      <c r="H1000" s="5">
        <f t="shared" si="15"/>
        <v>4.2253521126760604E-2</v>
      </c>
    </row>
    <row r="1001" spans="1:8" ht="13.5" x14ac:dyDescent="0.25">
      <c r="A1001" s="1"/>
      <c r="B1001" s="3">
        <v>43763</v>
      </c>
      <c r="C1001" s="4">
        <v>3.14</v>
      </c>
      <c r="D1001" s="4">
        <v>3.14</v>
      </c>
      <c r="E1001" s="4">
        <v>44641</v>
      </c>
      <c r="F1001" s="4">
        <v>3.0661</v>
      </c>
      <c r="G1001" s="4">
        <v>136873.77009999999</v>
      </c>
      <c r="H1001" s="5">
        <f t="shared" si="15"/>
        <v>6.0810810810810863E-2</v>
      </c>
    </row>
    <row r="1002" spans="1:8" ht="13.5" x14ac:dyDescent="0.25">
      <c r="A1002" s="1"/>
      <c r="B1002" s="3">
        <v>43766</v>
      </c>
      <c r="C1002" s="4">
        <v>3.05</v>
      </c>
      <c r="D1002" s="4">
        <v>3.05</v>
      </c>
      <c r="E1002" s="4">
        <v>7643</v>
      </c>
      <c r="F1002" s="4">
        <v>3.1541999999999999</v>
      </c>
      <c r="G1002" s="4">
        <v>24107.550599999999</v>
      </c>
      <c r="H1002" s="5">
        <f t="shared" si="15"/>
        <v>-2.8662420382165699E-2</v>
      </c>
    </row>
    <row r="1003" spans="1:8" ht="13.5" x14ac:dyDescent="0.25">
      <c r="A1003" s="1"/>
      <c r="B1003" s="3">
        <v>43767</v>
      </c>
      <c r="C1003" s="4">
        <v>3.2</v>
      </c>
      <c r="D1003" s="4">
        <v>3.2</v>
      </c>
      <c r="E1003" s="4">
        <v>20138</v>
      </c>
      <c r="F1003" s="4">
        <v>3.1011000000000002</v>
      </c>
      <c r="G1003" s="4">
        <v>62449.951800000003</v>
      </c>
      <c r="H1003" s="5">
        <f t="shared" si="15"/>
        <v>4.9180327868852576E-2</v>
      </c>
    </row>
    <row r="1004" spans="1:8" ht="13.5" x14ac:dyDescent="0.25">
      <c r="A1004" s="1"/>
      <c r="B1004" s="3">
        <v>43768</v>
      </c>
      <c r="C1004" s="4">
        <v>3.11</v>
      </c>
      <c r="D1004" s="4">
        <v>3.11</v>
      </c>
      <c r="E1004" s="4">
        <v>2939</v>
      </c>
      <c r="F1004" s="4">
        <v>3.2090999999999998</v>
      </c>
      <c r="G1004" s="4">
        <v>9431.5449000000008</v>
      </c>
      <c r="H1004" s="5">
        <f t="shared" si="15"/>
        <v>-2.8125000000000094E-2</v>
      </c>
    </row>
    <row r="1005" spans="1:8" ht="13.5" x14ac:dyDescent="0.25">
      <c r="A1005" s="1"/>
      <c r="B1005" s="3">
        <v>43769</v>
      </c>
      <c r="C1005" s="4">
        <v>3.11</v>
      </c>
      <c r="D1005" s="4">
        <v>3.11</v>
      </c>
      <c r="E1005" s="4">
        <v>8001</v>
      </c>
      <c r="F1005" s="4">
        <v>3.11</v>
      </c>
      <c r="G1005" s="4">
        <v>24883.11</v>
      </c>
      <c r="H1005" s="5">
        <f t="shared" si="15"/>
        <v>0</v>
      </c>
    </row>
    <row r="1006" spans="1:8" ht="13.5" x14ac:dyDescent="0.25">
      <c r="A1006" s="1"/>
      <c r="B1006" s="3">
        <v>43770</v>
      </c>
      <c r="C1006" s="4">
        <v>2.98</v>
      </c>
      <c r="D1006" s="4">
        <v>2.98</v>
      </c>
      <c r="E1006" s="4">
        <v>1278</v>
      </c>
      <c r="F1006" s="4">
        <v>2.98</v>
      </c>
      <c r="G1006" s="4">
        <v>3808.44</v>
      </c>
      <c r="H1006" s="5">
        <f t="shared" si="15"/>
        <v>-4.1800643086816684E-2</v>
      </c>
    </row>
    <row r="1007" spans="1:8" ht="13.5" x14ac:dyDescent="0.25">
      <c r="A1007" s="1"/>
      <c r="B1007" s="3">
        <v>43773</v>
      </c>
      <c r="C1007" s="4">
        <v>2.9</v>
      </c>
      <c r="D1007" s="4">
        <v>2.9</v>
      </c>
      <c r="E1007" s="4">
        <v>11</v>
      </c>
      <c r="F1007" s="4">
        <v>2.9</v>
      </c>
      <c r="G1007" s="4">
        <v>31.9</v>
      </c>
      <c r="H1007" s="5">
        <f t="shared" si="15"/>
        <v>-2.6845637583892641E-2</v>
      </c>
    </row>
    <row r="1008" spans="1:8" ht="13.5" x14ac:dyDescent="0.25">
      <c r="A1008" s="1"/>
      <c r="B1008" s="3">
        <v>43774</v>
      </c>
      <c r="C1008" s="4">
        <v>2.82</v>
      </c>
      <c r="D1008" s="4">
        <v>2.82</v>
      </c>
      <c r="E1008" s="4">
        <v>3</v>
      </c>
      <c r="F1008" s="4">
        <v>2.82</v>
      </c>
      <c r="G1008" s="4">
        <v>8.4600000000000009</v>
      </c>
      <c r="H1008" s="5">
        <f t="shared" si="15"/>
        <v>-2.7586206896551748E-2</v>
      </c>
    </row>
    <row r="1009" spans="1:8" ht="13.5" x14ac:dyDescent="0.25">
      <c r="A1009" s="1"/>
      <c r="B1009" s="3">
        <v>43775</v>
      </c>
      <c r="C1009" s="4">
        <v>2.74</v>
      </c>
      <c r="D1009" s="4">
        <v>2.74</v>
      </c>
      <c r="E1009" s="4">
        <v>11</v>
      </c>
      <c r="F1009" s="4">
        <v>2.74</v>
      </c>
      <c r="G1009" s="4">
        <v>30.14</v>
      </c>
      <c r="H1009" s="5">
        <f t="shared" si="15"/>
        <v>-2.8368794326241006E-2</v>
      </c>
    </row>
    <row r="1010" spans="1:8" ht="13.5" x14ac:dyDescent="0.25">
      <c r="A1010" s="1"/>
      <c r="B1010" s="3">
        <v>43776</v>
      </c>
      <c r="C1010" s="4">
        <v>2.9</v>
      </c>
      <c r="D1010" s="4">
        <v>2.9</v>
      </c>
      <c r="E1010" s="4">
        <v>28879</v>
      </c>
      <c r="F1010" s="4">
        <v>2.7887</v>
      </c>
      <c r="G1010" s="4">
        <v>80534.867299999998</v>
      </c>
      <c r="H1010" s="5">
        <f t="shared" si="15"/>
        <v>5.8394160583941493E-2</v>
      </c>
    </row>
    <row r="1011" spans="1:8" ht="13.5" x14ac:dyDescent="0.25">
      <c r="A1011" s="1"/>
      <c r="B1011" s="3">
        <v>43777</v>
      </c>
      <c r="C1011" s="4">
        <v>3.06</v>
      </c>
      <c r="D1011" s="4">
        <v>3.06</v>
      </c>
      <c r="E1011" s="4">
        <v>12415</v>
      </c>
      <c r="F1011" s="4">
        <v>3.0528</v>
      </c>
      <c r="G1011" s="4">
        <v>37900.512000000002</v>
      </c>
      <c r="H1011" s="5">
        <f t="shared" si="15"/>
        <v>5.5172413793103496E-2</v>
      </c>
    </row>
    <row r="1012" spans="1:8" ht="13.5" x14ac:dyDescent="0.25">
      <c r="A1012" s="1"/>
      <c r="B1012" s="3">
        <v>43780</v>
      </c>
      <c r="C1012" s="4">
        <v>3.16</v>
      </c>
      <c r="D1012" s="4">
        <v>3.16</v>
      </c>
      <c r="E1012" s="4">
        <v>6358</v>
      </c>
      <c r="F1012" s="4">
        <v>3.1509</v>
      </c>
      <c r="G1012" s="4">
        <v>20033.422200000001</v>
      </c>
      <c r="H1012" s="5">
        <f t="shared" si="15"/>
        <v>3.2679738562091533E-2</v>
      </c>
    </row>
    <row r="1013" spans="1:8" ht="13.5" x14ac:dyDescent="0.25">
      <c r="A1013" s="1"/>
      <c r="B1013" s="3">
        <v>43781</v>
      </c>
      <c r="C1013" s="4">
        <v>3.35</v>
      </c>
      <c r="D1013" s="4">
        <v>3.35</v>
      </c>
      <c r="E1013" s="4">
        <v>9099</v>
      </c>
      <c r="F1013" s="4">
        <v>3.2576000000000001</v>
      </c>
      <c r="G1013" s="4">
        <v>29640.902399999999</v>
      </c>
      <c r="H1013" s="5">
        <f t="shared" si="15"/>
        <v>6.0126582278480993E-2</v>
      </c>
    </row>
    <row r="1014" spans="1:8" ht="13.5" x14ac:dyDescent="0.25">
      <c r="A1014" s="1"/>
      <c r="B1014" s="3">
        <v>43782</v>
      </c>
      <c r="C1014" s="4">
        <v>3.55</v>
      </c>
      <c r="D1014" s="4">
        <v>3.55</v>
      </c>
      <c r="E1014" s="4">
        <v>30941</v>
      </c>
      <c r="F1014" s="4">
        <v>3.5129000000000001</v>
      </c>
      <c r="G1014" s="4">
        <v>108692.63890000001</v>
      </c>
      <c r="H1014" s="5">
        <f t="shared" si="15"/>
        <v>5.9701492537313348E-2</v>
      </c>
    </row>
    <row r="1015" spans="1:8" ht="13.5" x14ac:dyDescent="0.25">
      <c r="A1015" s="1"/>
      <c r="B1015" s="3">
        <v>43783</v>
      </c>
      <c r="C1015" s="4">
        <v>3.4</v>
      </c>
      <c r="D1015" s="4">
        <v>3.4</v>
      </c>
      <c r="E1015" s="4">
        <v>18120</v>
      </c>
      <c r="F1015" s="4">
        <v>3.5032999999999999</v>
      </c>
      <c r="G1015" s="4">
        <v>63479.796000000002</v>
      </c>
      <c r="H1015" s="5">
        <f t="shared" si="15"/>
        <v>-4.2253521126760542E-2</v>
      </c>
    </row>
    <row r="1016" spans="1:8" ht="13.5" x14ac:dyDescent="0.25">
      <c r="A1016" s="1"/>
      <c r="B1016" s="3">
        <v>43784</v>
      </c>
      <c r="C1016" s="4">
        <v>3.5</v>
      </c>
      <c r="D1016" s="4">
        <v>3.5</v>
      </c>
      <c r="E1016" s="4">
        <v>5947</v>
      </c>
      <c r="F1016" s="4">
        <v>3.4506999999999999</v>
      </c>
      <c r="G1016" s="4">
        <v>20521.312900000001</v>
      </c>
      <c r="H1016" s="5">
        <f t="shared" si="15"/>
        <v>2.941176470588238E-2</v>
      </c>
    </row>
    <row r="1017" spans="1:8" ht="13.5" x14ac:dyDescent="0.25">
      <c r="A1017" s="1"/>
      <c r="B1017" s="3">
        <v>43787</v>
      </c>
      <c r="C1017" s="4">
        <v>3.4</v>
      </c>
      <c r="D1017" s="4">
        <v>3.4</v>
      </c>
      <c r="E1017" s="4">
        <v>2708</v>
      </c>
      <c r="F1017" s="4">
        <v>3.4335</v>
      </c>
      <c r="G1017" s="4">
        <v>9297.9179999999997</v>
      </c>
      <c r="H1017" s="5">
        <f t="shared" si="15"/>
        <v>-2.8571428571428598E-2</v>
      </c>
    </row>
    <row r="1018" spans="1:8" ht="13.5" x14ac:dyDescent="0.25">
      <c r="A1018" s="1"/>
      <c r="B1018" s="3">
        <v>43788</v>
      </c>
      <c r="C1018" s="4">
        <v>3.4</v>
      </c>
      <c r="D1018" s="4">
        <v>3.4</v>
      </c>
      <c r="E1018" s="4">
        <v>14921</v>
      </c>
      <c r="F1018" s="4">
        <v>3.3982999999999999</v>
      </c>
      <c r="G1018" s="4">
        <v>50706.034299999999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3.48</v>
      </c>
      <c r="D1019" s="4">
        <v>3.48</v>
      </c>
      <c r="E1019" s="4">
        <v>11048</v>
      </c>
      <c r="F1019" s="4">
        <v>3.3908999999999998</v>
      </c>
      <c r="G1019" s="4">
        <v>37462.663200000003</v>
      </c>
      <c r="H1019" s="5">
        <f t="shared" si="15"/>
        <v>2.3529411764705903E-2</v>
      </c>
    </row>
    <row r="1020" spans="1:8" ht="13.5" x14ac:dyDescent="0.25">
      <c r="A1020" s="1"/>
      <c r="B1020" s="3">
        <v>43790</v>
      </c>
      <c r="C1020" s="4">
        <v>3.47</v>
      </c>
      <c r="D1020" s="4">
        <v>3.47</v>
      </c>
      <c r="E1020" s="4">
        <v>574</v>
      </c>
      <c r="F1020" s="4">
        <v>3.4702000000000002</v>
      </c>
      <c r="G1020" s="4">
        <v>1991.8948</v>
      </c>
      <c r="H1020" s="5">
        <f t="shared" si="15"/>
        <v>-2.8735632183907434E-3</v>
      </c>
    </row>
    <row r="1021" spans="1:8" ht="13.5" x14ac:dyDescent="0.25">
      <c r="A1021" s="1"/>
      <c r="B1021" s="3">
        <v>43791</v>
      </c>
      <c r="C1021" s="4">
        <v>3.4</v>
      </c>
      <c r="D1021" s="4">
        <v>3.4</v>
      </c>
      <c r="E1021" s="4">
        <v>1710</v>
      </c>
      <c r="F1021" s="4">
        <v>3.3845999999999998</v>
      </c>
      <c r="G1021" s="4">
        <v>5787.6660000000002</v>
      </c>
      <c r="H1021" s="5">
        <f t="shared" si="15"/>
        <v>-2.0172910662824287E-2</v>
      </c>
    </row>
    <row r="1022" spans="1:8" ht="13.5" x14ac:dyDescent="0.25">
      <c r="A1022" s="1"/>
      <c r="B1022" s="3">
        <v>43794</v>
      </c>
      <c r="C1022" s="4">
        <v>3.35</v>
      </c>
      <c r="D1022" s="4">
        <v>3.35</v>
      </c>
      <c r="E1022" s="4">
        <v>651</v>
      </c>
      <c r="F1022" s="4">
        <v>3.3502000000000001</v>
      </c>
      <c r="G1022" s="4">
        <v>2180.9802</v>
      </c>
      <c r="H1022" s="5">
        <f t="shared" si="15"/>
        <v>-1.4705882352941124E-2</v>
      </c>
    </row>
    <row r="1023" spans="1:8" ht="13.5" x14ac:dyDescent="0.25">
      <c r="A1023" s="1"/>
      <c r="B1023" s="3">
        <v>43795</v>
      </c>
      <c r="C1023" s="4">
        <v>3.49</v>
      </c>
      <c r="D1023" s="4">
        <v>3.49</v>
      </c>
      <c r="E1023" s="4">
        <v>27871</v>
      </c>
      <c r="F1023" s="4">
        <v>3.3727</v>
      </c>
      <c r="G1023" s="4">
        <v>94000.521699999998</v>
      </c>
      <c r="H1023" s="5">
        <f t="shared" si="15"/>
        <v>4.1791044776119439E-2</v>
      </c>
    </row>
    <row r="1024" spans="1:8" ht="13.5" x14ac:dyDescent="0.25">
      <c r="A1024" s="1"/>
      <c r="B1024" s="3">
        <v>43796</v>
      </c>
      <c r="C1024" s="4">
        <v>3.65</v>
      </c>
      <c r="D1024" s="4">
        <v>3.65</v>
      </c>
      <c r="E1024" s="4">
        <v>34790</v>
      </c>
      <c r="F1024" s="4">
        <v>3.5621999999999998</v>
      </c>
      <c r="G1024" s="4">
        <v>123928.93799999999</v>
      </c>
      <c r="H1024" s="5">
        <f t="shared" si="15"/>
        <v>4.5845272206303633E-2</v>
      </c>
    </row>
    <row r="1025" spans="1:8" ht="13.5" x14ac:dyDescent="0.25">
      <c r="A1025" s="1"/>
      <c r="B1025" s="3">
        <v>43797</v>
      </c>
      <c r="C1025" s="4">
        <v>3.8</v>
      </c>
      <c r="D1025" s="4">
        <v>3.8</v>
      </c>
      <c r="E1025" s="4">
        <v>35060</v>
      </c>
      <c r="F1025" s="4">
        <v>3.7627000000000002</v>
      </c>
      <c r="G1025" s="4">
        <v>131920.26199999999</v>
      </c>
      <c r="H1025" s="5">
        <f t="shared" si="15"/>
        <v>4.1095890410958881E-2</v>
      </c>
    </row>
    <row r="1026" spans="1:8" ht="13.5" x14ac:dyDescent="0.25">
      <c r="A1026" s="1"/>
      <c r="B1026" s="3">
        <v>43798</v>
      </c>
      <c r="C1026" s="4">
        <v>3.74</v>
      </c>
      <c r="D1026" s="4">
        <v>3.74</v>
      </c>
      <c r="E1026" s="4">
        <v>10126</v>
      </c>
      <c r="F1026" s="4">
        <v>3.7841</v>
      </c>
      <c r="G1026" s="4">
        <v>38317.796600000001</v>
      </c>
      <c r="H1026" s="5">
        <f t="shared" si="15"/>
        <v>-1.5789473684210423E-2</v>
      </c>
    </row>
    <row r="1027" spans="1:8" ht="13.5" x14ac:dyDescent="0.25">
      <c r="A1027" s="1"/>
      <c r="B1027" s="3">
        <v>43801</v>
      </c>
      <c r="C1027" s="4">
        <v>3.75</v>
      </c>
      <c r="D1027" s="4">
        <v>3.75</v>
      </c>
      <c r="E1027" s="4">
        <v>173</v>
      </c>
      <c r="F1027" s="4">
        <v>3.6916000000000002</v>
      </c>
      <c r="G1027" s="4">
        <v>638.64679999999998</v>
      </c>
      <c r="H1027" s="5">
        <f t="shared" si="15"/>
        <v>2.6737967914437933E-3</v>
      </c>
    </row>
    <row r="1028" spans="1:8" ht="13.5" x14ac:dyDescent="0.25">
      <c r="A1028" s="1"/>
      <c r="B1028" s="3">
        <v>43802</v>
      </c>
      <c r="C1028" s="4">
        <v>3.68</v>
      </c>
      <c r="D1028" s="4">
        <v>3.68</v>
      </c>
      <c r="E1028" s="4">
        <v>9455</v>
      </c>
      <c r="F1028" s="4">
        <v>3.6901999999999999</v>
      </c>
      <c r="G1028" s="4">
        <v>34890.841</v>
      </c>
      <c r="H1028" s="5">
        <f t="shared" si="15"/>
        <v>-1.8666666666666623E-2</v>
      </c>
    </row>
    <row r="1029" spans="1:8" ht="13.5" x14ac:dyDescent="0.25">
      <c r="A1029" s="1"/>
      <c r="B1029" s="3">
        <v>43803</v>
      </c>
      <c r="C1029" s="4">
        <v>3.52</v>
      </c>
      <c r="D1029" s="4">
        <v>3.52</v>
      </c>
      <c r="E1029" s="4">
        <v>37923</v>
      </c>
      <c r="F1029" s="4">
        <v>3.5209000000000001</v>
      </c>
      <c r="G1029" s="4">
        <v>133523.0907</v>
      </c>
      <c r="H1029" s="5">
        <f t="shared" si="15"/>
        <v>-4.3478260869565251E-2</v>
      </c>
    </row>
    <row r="1030" spans="1:8" ht="13.5" x14ac:dyDescent="0.25">
      <c r="A1030" s="1"/>
      <c r="B1030" s="3">
        <v>43804</v>
      </c>
      <c r="C1030" s="4">
        <v>3.53</v>
      </c>
      <c r="D1030" s="4">
        <v>3.53</v>
      </c>
      <c r="E1030" s="4">
        <v>10701</v>
      </c>
      <c r="F1030" s="4">
        <v>3.5678999999999998</v>
      </c>
      <c r="G1030" s="4">
        <v>38180.097900000001</v>
      </c>
      <c r="H1030" s="5">
        <f t="shared" si="15"/>
        <v>2.8409090909090303E-3</v>
      </c>
    </row>
    <row r="1031" spans="1:8" ht="13.5" x14ac:dyDescent="0.25">
      <c r="A1031" s="1"/>
      <c r="B1031" s="3">
        <v>43805</v>
      </c>
      <c r="C1031" s="4">
        <v>3.61</v>
      </c>
      <c r="D1031" s="4">
        <v>3.61</v>
      </c>
      <c r="E1031" s="4">
        <v>11332</v>
      </c>
      <c r="F1031" s="4">
        <v>3.5647000000000002</v>
      </c>
      <c r="G1031" s="4">
        <v>40395.180399999997</v>
      </c>
      <c r="H1031" s="5">
        <f t="shared" ref="H1031:H1094" si="16">(D1031-D1030)/D1030</f>
        <v>2.266288951841362E-2</v>
      </c>
    </row>
    <row r="1032" spans="1:8" ht="13.5" x14ac:dyDescent="0.25">
      <c r="A1032" s="1"/>
      <c r="B1032" s="3">
        <v>43808</v>
      </c>
      <c r="C1032" s="4">
        <v>3.62</v>
      </c>
      <c r="D1032" s="4">
        <v>3.62</v>
      </c>
      <c r="E1032" s="4">
        <v>35</v>
      </c>
      <c r="F1032" s="4">
        <v>3.5257000000000001</v>
      </c>
      <c r="G1032" s="4">
        <v>123.3995</v>
      </c>
      <c r="H1032" s="5">
        <f t="shared" si="16"/>
        <v>2.770083102493139E-3</v>
      </c>
    </row>
    <row r="1033" spans="1:8" ht="13.5" x14ac:dyDescent="0.25">
      <c r="A1033" s="1"/>
      <c r="B1033" s="3">
        <v>43809</v>
      </c>
      <c r="C1033" s="4">
        <v>3.53</v>
      </c>
      <c r="D1033" s="4">
        <v>3.53</v>
      </c>
      <c r="E1033" s="4">
        <v>2240</v>
      </c>
      <c r="F1033" s="4">
        <v>3.5305</v>
      </c>
      <c r="G1033" s="4">
        <v>7908.32</v>
      </c>
      <c r="H1033" s="5">
        <f t="shared" si="16"/>
        <v>-2.4861878453038756E-2</v>
      </c>
    </row>
    <row r="1034" spans="1:8" ht="13.5" x14ac:dyDescent="0.25">
      <c r="A1034" s="1"/>
      <c r="B1034" s="3">
        <v>43810</v>
      </c>
      <c r="C1034" s="4">
        <v>3.74</v>
      </c>
      <c r="D1034" s="4">
        <v>3.74</v>
      </c>
      <c r="E1034" s="4">
        <v>43326</v>
      </c>
      <c r="F1034" s="4">
        <v>3.6855000000000002</v>
      </c>
      <c r="G1034" s="4">
        <v>159677.973</v>
      </c>
      <c r="H1034" s="5">
        <f t="shared" si="16"/>
        <v>5.9490084985835814E-2</v>
      </c>
    </row>
    <row r="1035" spans="1:8" ht="13.5" x14ac:dyDescent="0.25">
      <c r="A1035" s="1"/>
      <c r="B1035" s="3">
        <v>43811</v>
      </c>
      <c r="C1035" s="4">
        <v>3.74</v>
      </c>
      <c r="D1035" s="4">
        <v>3.74</v>
      </c>
      <c r="E1035" s="4">
        <v>53700</v>
      </c>
      <c r="F1035" s="4">
        <v>3.9384999999999999</v>
      </c>
      <c r="G1035" s="4">
        <v>211497.45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3.93</v>
      </c>
      <c r="D1036" s="4">
        <v>3.93</v>
      </c>
      <c r="E1036" s="4">
        <v>16821</v>
      </c>
      <c r="F1036" s="4">
        <v>3.927</v>
      </c>
      <c r="G1036" s="4">
        <v>66056.066999999995</v>
      </c>
      <c r="H1036" s="5">
        <f t="shared" si="16"/>
        <v>5.0802139037433136E-2</v>
      </c>
    </row>
    <row r="1037" spans="1:8" ht="13.5" x14ac:dyDescent="0.25">
      <c r="A1037" s="1"/>
      <c r="B1037" s="3">
        <v>43815</v>
      </c>
      <c r="C1037" s="4">
        <v>3.82</v>
      </c>
      <c r="D1037" s="4">
        <v>3.82</v>
      </c>
      <c r="E1037" s="4">
        <v>11308</v>
      </c>
      <c r="F1037" s="4">
        <v>3.9230999999999998</v>
      </c>
      <c r="G1037" s="4">
        <v>44362.414799999999</v>
      </c>
      <c r="H1037" s="5">
        <f t="shared" si="16"/>
        <v>-2.7989821882951734E-2</v>
      </c>
    </row>
    <row r="1038" spans="1:8" ht="13.5" x14ac:dyDescent="0.25">
      <c r="A1038" s="1"/>
      <c r="B1038" s="3">
        <v>43816</v>
      </c>
      <c r="C1038" s="4">
        <v>3.6</v>
      </c>
      <c r="D1038" s="4">
        <v>3.6</v>
      </c>
      <c r="E1038" s="4">
        <v>13311</v>
      </c>
      <c r="F1038" s="4">
        <v>3.7092000000000001</v>
      </c>
      <c r="G1038" s="4">
        <v>49373.161200000002</v>
      </c>
      <c r="H1038" s="5">
        <f t="shared" si="16"/>
        <v>-5.7591623036649151E-2</v>
      </c>
    </row>
    <row r="1039" spans="1:8" ht="13.5" x14ac:dyDescent="0.25">
      <c r="A1039" s="1"/>
      <c r="B1039" s="3">
        <v>43817</v>
      </c>
      <c r="C1039" s="4">
        <v>3.57</v>
      </c>
      <c r="D1039" s="4">
        <v>3.57</v>
      </c>
      <c r="E1039" s="4">
        <v>17311</v>
      </c>
      <c r="F1039" s="4">
        <v>3.5638999999999998</v>
      </c>
      <c r="G1039" s="4">
        <v>61694.672899999998</v>
      </c>
      <c r="H1039" s="5">
        <f t="shared" si="16"/>
        <v>-8.3333333333334026E-3</v>
      </c>
    </row>
    <row r="1040" spans="1:8" ht="13.5" x14ac:dyDescent="0.25">
      <c r="A1040" s="1"/>
      <c r="B1040" s="3">
        <v>43818</v>
      </c>
      <c r="C1040" s="4">
        <v>3.78</v>
      </c>
      <c r="D1040" s="4">
        <v>3.78</v>
      </c>
      <c r="E1040" s="4">
        <v>31833</v>
      </c>
      <c r="F1040" s="4">
        <v>3.6932999999999998</v>
      </c>
      <c r="G1040" s="4">
        <v>117568.8189</v>
      </c>
      <c r="H1040" s="5">
        <f t="shared" si="16"/>
        <v>5.8823529411764698E-2</v>
      </c>
    </row>
    <row r="1041" spans="1:8" ht="13.5" x14ac:dyDescent="0.25">
      <c r="A1041" s="1"/>
      <c r="B1041" s="3">
        <v>43819</v>
      </c>
      <c r="C1041" s="4">
        <v>3.74</v>
      </c>
      <c r="D1041" s="4">
        <v>3.74</v>
      </c>
      <c r="E1041" s="4">
        <v>12354</v>
      </c>
      <c r="F1041" s="4">
        <v>3.8149000000000002</v>
      </c>
      <c r="G1041" s="4">
        <v>47129.274599999997</v>
      </c>
      <c r="H1041" s="5">
        <f t="shared" si="16"/>
        <v>-1.0582010582010474E-2</v>
      </c>
    </row>
    <row r="1042" spans="1:8" ht="13.5" x14ac:dyDescent="0.25">
      <c r="A1042" s="1"/>
      <c r="B1042" s="3">
        <v>43822</v>
      </c>
      <c r="C1042" s="4">
        <v>3.84</v>
      </c>
      <c r="D1042" s="4">
        <v>3.84</v>
      </c>
      <c r="E1042" s="4">
        <v>4066</v>
      </c>
      <c r="F1042" s="4">
        <v>3.7614999999999998</v>
      </c>
      <c r="G1042" s="4">
        <v>15294.259</v>
      </c>
      <c r="H1042" s="5">
        <f t="shared" si="16"/>
        <v>2.6737967914438405E-2</v>
      </c>
    </row>
    <row r="1043" spans="1:8" ht="13.5" x14ac:dyDescent="0.25">
      <c r="A1043" s="1"/>
      <c r="B1043" s="3">
        <v>43823</v>
      </c>
      <c r="C1043" s="4">
        <v>3.8</v>
      </c>
      <c r="D1043" s="4">
        <v>3.8</v>
      </c>
      <c r="E1043" s="4">
        <v>11166</v>
      </c>
      <c r="F1043" s="4">
        <v>3.8073999999999999</v>
      </c>
      <c r="G1043" s="4">
        <v>42513.428399999997</v>
      </c>
      <c r="H1043" s="5">
        <f t="shared" si="16"/>
        <v>-1.0416666666666676E-2</v>
      </c>
    </row>
    <row r="1044" spans="1:8" ht="13.5" x14ac:dyDescent="0.25">
      <c r="A1044" s="1"/>
      <c r="B1044" s="3">
        <v>43824</v>
      </c>
      <c r="C1044" s="4">
        <v>3.85</v>
      </c>
      <c r="D1044" s="4">
        <v>3.85</v>
      </c>
      <c r="E1044" s="4">
        <v>7098</v>
      </c>
      <c r="F1044" s="4">
        <v>3.7839</v>
      </c>
      <c r="G1044" s="4">
        <v>26858.122200000002</v>
      </c>
      <c r="H1044" s="5">
        <f t="shared" si="16"/>
        <v>1.3157894736842176E-2</v>
      </c>
    </row>
    <row r="1045" spans="1:8" ht="13.5" x14ac:dyDescent="0.25">
      <c r="A1045" s="1"/>
      <c r="B1045" s="3">
        <v>43825</v>
      </c>
      <c r="C1045" s="4">
        <v>3.83</v>
      </c>
      <c r="D1045" s="4">
        <v>3.83</v>
      </c>
      <c r="E1045" s="4">
        <v>3132</v>
      </c>
      <c r="F1045" s="4">
        <v>3.7932000000000001</v>
      </c>
      <c r="G1045" s="4">
        <v>11880.3024</v>
      </c>
      <c r="H1045" s="5">
        <f t="shared" si="16"/>
        <v>-5.1948051948051991E-3</v>
      </c>
    </row>
    <row r="1046" spans="1:8" ht="13.5" x14ac:dyDescent="0.25">
      <c r="A1046" s="1"/>
      <c r="B1046" s="3">
        <v>43826</v>
      </c>
      <c r="C1046" s="4">
        <v>3.73</v>
      </c>
      <c r="D1046" s="4">
        <v>3.73</v>
      </c>
      <c r="E1046" s="4">
        <v>1310</v>
      </c>
      <c r="F1046" s="4">
        <v>3.8292999999999999</v>
      </c>
      <c r="G1046" s="4">
        <v>5016.3829999999998</v>
      </c>
      <c r="H1046" s="5">
        <f t="shared" si="16"/>
        <v>-2.6109660574412556E-2</v>
      </c>
    </row>
    <row r="1047" spans="1:8" ht="13.5" x14ac:dyDescent="0.25">
      <c r="A1047" s="1"/>
      <c r="B1047" s="3">
        <v>43829</v>
      </c>
      <c r="C1047" s="4">
        <v>3.77</v>
      </c>
      <c r="D1047" s="4">
        <v>3.77</v>
      </c>
      <c r="E1047" s="4">
        <v>7818</v>
      </c>
      <c r="F1047" s="4">
        <v>3.6855000000000002</v>
      </c>
      <c r="G1047" s="4">
        <v>28813.239000000001</v>
      </c>
      <c r="H1047" s="5">
        <f t="shared" si="16"/>
        <v>1.0723860589812341E-2</v>
      </c>
    </row>
    <row r="1048" spans="1:8" ht="13.5" x14ac:dyDescent="0.25">
      <c r="A1048" s="1"/>
      <c r="B1048" s="3">
        <v>43830</v>
      </c>
      <c r="C1048" s="4">
        <v>3.71</v>
      </c>
      <c r="D1048" s="4">
        <v>3.71</v>
      </c>
      <c r="E1048" s="4">
        <v>2049</v>
      </c>
      <c r="F1048" s="4">
        <v>3.7160000000000002</v>
      </c>
      <c r="G1048" s="4">
        <v>7614.0839999999998</v>
      </c>
      <c r="H1048" s="5">
        <f t="shared" si="16"/>
        <v>-1.5915119363395239E-2</v>
      </c>
    </row>
    <row r="1049" spans="1:8" ht="13.5" x14ac:dyDescent="0.25">
      <c r="A1049" s="1"/>
      <c r="B1049" s="3">
        <v>43832</v>
      </c>
      <c r="C1049" s="4">
        <v>3.87</v>
      </c>
      <c r="D1049" s="4">
        <v>3.87</v>
      </c>
      <c r="E1049" s="4">
        <v>2874</v>
      </c>
      <c r="F1049" s="4">
        <v>3.7997000000000001</v>
      </c>
      <c r="G1049" s="4">
        <v>10920.337799999999</v>
      </c>
      <c r="H1049" s="5">
        <f t="shared" si="16"/>
        <v>4.3126684636118635E-2</v>
      </c>
    </row>
    <row r="1050" spans="1:8" ht="13.5" x14ac:dyDescent="0.25">
      <c r="A1050" s="1"/>
      <c r="B1050" s="3">
        <v>43833</v>
      </c>
      <c r="C1050" s="4">
        <v>3.86</v>
      </c>
      <c r="D1050" s="4">
        <v>3.86</v>
      </c>
      <c r="E1050" s="4">
        <v>3808</v>
      </c>
      <c r="F1050" s="4">
        <v>3.8338000000000001</v>
      </c>
      <c r="G1050" s="4">
        <v>14599.1104</v>
      </c>
      <c r="H1050" s="5">
        <f t="shared" si="16"/>
        <v>-2.5839793281654342E-3</v>
      </c>
    </row>
    <row r="1051" spans="1:8" ht="13.5" x14ac:dyDescent="0.25">
      <c r="A1051" s="1"/>
      <c r="B1051" s="3">
        <v>43836</v>
      </c>
      <c r="C1051" s="4">
        <v>3.8</v>
      </c>
      <c r="D1051" s="4">
        <v>3.8</v>
      </c>
      <c r="E1051" s="4">
        <v>3786</v>
      </c>
      <c r="F1051" s="4">
        <v>3.8408000000000002</v>
      </c>
      <c r="G1051" s="4">
        <v>14541.2688</v>
      </c>
      <c r="H1051" s="5">
        <f t="shared" si="16"/>
        <v>-1.5544041450777216E-2</v>
      </c>
    </row>
    <row r="1052" spans="1:8" ht="13.5" x14ac:dyDescent="0.25">
      <c r="A1052" s="1"/>
      <c r="B1052" s="3">
        <v>43837</v>
      </c>
      <c r="C1052" s="4">
        <v>3.84</v>
      </c>
      <c r="D1052" s="4">
        <v>3.84</v>
      </c>
      <c r="E1052" s="4">
        <v>3335</v>
      </c>
      <c r="F1052" s="4">
        <v>3.7974999999999999</v>
      </c>
      <c r="G1052" s="4">
        <v>12664.6625</v>
      </c>
      <c r="H1052" s="5">
        <f t="shared" si="16"/>
        <v>1.0526315789473694E-2</v>
      </c>
    </row>
    <row r="1053" spans="1:8" ht="13.5" x14ac:dyDescent="0.25">
      <c r="A1053" s="1"/>
      <c r="B1053" s="3">
        <v>43838</v>
      </c>
      <c r="C1053" s="4">
        <v>3.77</v>
      </c>
      <c r="D1053" s="4">
        <v>3.77</v>
      </c>
      <c r="E1053" s="4">
        <v>24897</v>
      </c>
      <c r="F1053" s="4">
        <v>3.91</v>
      </c>
      <c r="G1053" s="4">
        <v>97347.27</v>
      </c>
      <c r="H1053" s="5">
        <f t="shared" si="16"/>
        <v>-1.8229166666666626E-2</v>
      </c>
    </row>
    <row r="1054" spans="1:8" ht="13.5" x14ac:dyDescent="0.25">
      <c r="A1054" s="1"/>
      <c r="B1054" s="3">
        <v>43839</v>
      </c>
      <c r="C1054" s="4">
        <v>3.9</v>
      </c>
      <c r="D1054" s="4">
        <v>3.9</v>
      </c>
      <c r="E1054" s="4">
        <v>2761</v>
      </c>
      <c r="F1054" s="4">
        <v>3.8410000000000002</v>
      </c>
      <c r="G1054" s="4">
        <v>10605.001</v>
      </c>
      <c r="H1054" s="5">
        <f t="shared" si="16"/>
        <v>3.4482758620689627E-2</v>
      </c>
    </row>
    <row r="1055" spans="1:8" ht="13.5" x14ac:dyDescent="0.25">
      <c r="A1055" s="1"/>
      <c r="B1055" s="3">
        <v>43840</v>
      </c>
      <c r="C1055" s="4">
        <v>3.93</v>
      </c>
      <c r="D1055" s="4">
        <v>3.93</v>
      </c>
      <c r="E1055" s="4">
        <v>1</v>
      </c>
      <c r="F1055" s="4">
        <v>3.93</v>
      </c>
      <c r="G1055" s="4">
        <v>3.93</v>
      </c>
      <c r="H1055" s="5">
        <f t="shared" si="16"/>
        <v>7.6923076923077561E-3</v>
      </c>
    </row>
    <row r="1056" spans="1:8" ht="13.5" x14ac:dyDescent="0.25">
      <c r="A1056" s="1"/>
      <c r="B1056" s="3">
        <v>43843</v>
      </c>
      <c r="C1056" s="4">
        <v>3.9</v>
      </c>
      <c r="D1056" s="4">
        <v>3.9</v>
      </c>
      <c r="E1056" s="4">
        <v>6554</v>
      </c>
      <c r="F1056" s="4">
        <v>3.8833000000000002</v>
      </c>
      <c r="G1056" s="4">
        <v>25451.1482</v>
      </c>
      <c r="H1056" s="5">
        <f t="shared" si="16"/>
        <v>-7.633587786259605E-3</v>
      </c>
    </row>
    <row r="1057" spans="1:8" ht="13.5" x14ac:dyDescent="0.25">
      <c r="A1057" s="1"/>
      <c r="B1057" s="3">
        <v>43845</v>
      </c>
      <c r="C1057" s="4">
        <v>3.9</v>
      </c>
      <c r="D1057" s="4">
        <v>3.9</v>
      </c>
      <c r="E1057" s="4">
        <v>14004</v>
      </c>
      <c r="F1057" s="4">
        <v>3.8910999999999998</v>
      </c>
      <c r="G1057" s="4">
        <v>54490.964399999997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3.87</v>
      </c>
      <c r="D1058" s="4">
        <v>3.87</v>
      </c>
      <c r="E1058" s="4">
        <v>14529</v>
      </c>
      <c r="F1058" s="4">
        <v>3.8729</v>
      </c>
      <c r="G1058" s="4">
        <v>56269.364099999999</v>
      </c>
      <c r="H1058" s="5">
        <f t="shared" si="16"/>
        <v>-7.6923076923076424E-3</v>
      </c>
    </row>
    <row r="1059" spans="1:8" ht="13.5" x14ac:dyDescent="0.25">
      <c r="A1059" s="1"/>
      <c r="B1059" s="3">
        <v>43847</v>
      </c>
      <c r="C1059" s="4">
        <v>3.89</v>
      </c>
      <c r="D1059" s="4">
        <v>3.89</v>
      </c>
      <c r="E1059" s="4">
        <v>4281</v>
      </c>
      <c r="F1059" s="4">
        <v>3.7930999999999999</v>
      </c>
      <c r="G1059" s="4">
        <v>16238.2611</v>
      </c>
      <c r="H1059" s="5">
        <f t="shared" si="16"/>
        <v>5.1679586563307539E-3</v>
      </c>
    </row>
    <row r="1060" spans="1:8" ht="13.5" x14ac:dyDescent="0.25">
      <c r="A1060" s="1"/>
      <c r="B1060" s="3">
        <v>43850</v>
      </c>
      <c r="C1060" s="4">
        <v>3.89</v>
      </c>
      <c r="D1060" s="4">
        <v>3.89</v>
      </c>
      <c r="E1060" s="4">
        <v>200</v>
      </c>
      <c r="F1060" s="4">
        <v>3.89</v>
      </c>
      <c r="G1060" s="4">
        <v>778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3.9</v>
      </c>
      <c r="D1061" s="4">
        <v>3.9</v>
      </c>
      <c r="E1061" s="4">
        <v>6254</v>
      </c>
      <c r="F1061" s="4">
        <v>3.7881</v>
      </c>
      <c r="G1061" s="4">
        <v>23690.777399999999</v>
      </c>
      <c r="H1061" s="5">
        <f t="shared" si="16"/>
        <v>2.5706940874035441E-3</v>
      </c>
    </row>
    <row r="1062" spans="1:8" ht="13.5" x14ac:dyDescent="0.25">
      <c r="A1062" s="1"/>
      <c r="B1062" s="3">
        <v>43852</v>
      </c>
      <c r="C1062" s="4">
        <v>3.81</v>
      </c>
      <c r="D1062" s="4">
        <v>3.81</v>
      </c>
      <c r="E1062" s="4">
        <v>7204</v>
      </c>
      <c r="F1062" s="4">
        <v>3.8144</v>
      </c>
      <c r="G1062" s="4">
        <v>27478.937600000001</v>
      </c>
      <c r="H1062" s="5">
        <f t="shared" si="16"/>
        <v>-2.307692307692304E-2</v>
      </c>
    </row>
    <row r="1063" spans="1:8" ht="13.5" x14ac:dyDescent="0.25">
      <c r="A1063" s="1"/>
      <c r="B1063" s="3">
        <v>43853</v>
      </c>
      <c r="C1063" s="4">
        <v>3.92</v>
      </c>
      <c r="D1063" s="4">
        <v>3.92</v>
      </c>
      <c r="E1063" s="4">
        <v>5</v>
      </c>
      <c r="F1063" s="4">
        <v>3.92</v>
      </c>
      <c r="G1063" s="4">
        <v>19.600000000000001</v>
      </c>
      <c r="H1063" s="5">
        <f t="shared" si="16"/>
        <v>2.8871391076115454E-2</v>
      </c>
    </row>
    <row r="1064" spans="1:8" ht="13.5" x14ac:dyDescent="0.25">
      <c r="A1064" s="1"/>
      <c r="B1064" s="3">
        <v>43854</v>
      </c>
      <c r="C1064" s="4">
        <v>3.92</v>
      </c>
      <c r="D1064" s="4">
        <v>3.92</v>
      </c>
      <c r="E1064" s="4">
        <v>0</v>
      </c>
      <c r="F1064" s="4">
        <v>0</v>
      </c>
      <c r="G1064" s="4">
        <v>0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3.9</v>
      </c>
      <c r="D1065" s="4">
        <v>3.9</v>
      </c>
      <c r="E1065" s="4">
        <v>1021</v>
      </c>
      <c r="F1065" s="4">
        <v>3.8974000000000002</v>
      </c>
      <c r="G1065" s="4">
        <v>3979.2453999999998</v>
      </c>
      <c r="H1065" s="5">
        <f t="shared" si="16"/>
        <v>-5.1020408163265354E-3</v>
      </c>
    </row>
    <row r="1066" spans="1:8" ht="13.5" x14ac:dyDescent="0.25">
      <c r="A1066" s="1"/>
      <c r="B1066" s="3">
        <v>43858</v>
      </c>
      <c r="C1066" s="4">
        <v>3.85</v>
      </c>
      <c r="D1066" s="4">
        <v>3.85</v>
      </c>
      <c r="E1066" s="4">
        <v>608</v>
      </c>
      <c r="F1066" s="4">
        <v>3.85</v>
      </c>
      <c r="G1066" s="4">
        <v>2340.8000000000002</v>
      </c>
      <c r="H1066" s="5">
        <f t="shared" si="16"/>
        <v>-1.2820512820512775E-2</v>
      </c>
    </row>
    <row r="1067" spans="1:8" ht="13.5" x14ac:dyDescent="0.25">
      <c r="A1067" s="1"/>
      <c r="B1067" s="3">
        <v>43859</v>
      </c>
      <c r="C1067" s="4">
        <v>3.83</v>
      </c>
      <c r="D1067" s="4">
        <v>3.83</v>
      </c>
      <c r="E1067" s="4">
        <v>75</v>
      </c>
      <c r="F1067" s="4">
        <v>3.8311999999999999</v>
      </c>
      <c r="G1067" s="4">
        <v>287.33999999999997</v>
      </c>
      <c r="H1067" s="5">
        <f t="shared" si="16"/>
        <v>-5.1948051948051991E-3</v>
      </c>
    </row>
    <row r="1068" spans="1:8" ht="13.5" x14ac:dyDescent="0.25">
      <c r="A1068" s="1"/>
      <c r="B1068" s="3">
        <v>43860</v>
      </c>
      <c r="C1068" s="4">
        <v>3.87</v>
      </c>
      <c r="D1068" s="4">
        <v>3.87</v>
      </c>
      <c r="E1068" s="4">
        <v>115</v>
      </c>
      <c r="F1068" s="4">
        <v>3.7589999999999999</v>
      </c>
      <c r="G1068" s="4">
        <v>432.28500000000003</v>
      </c>
      <c r="H1068" s="5">
        <f t="shared" si="16"/>
        <v>1.0443864229765022E-2</v>
      </c>
    </row>
    <row r="1069" spans="1:8" ht="13.5" x14ac:dyDescent="0.25">
      <c r="A1069" s="1"/>
      <c r="B1069" s="3">
        <v>43861</v>
      </c>
      <c r="C1069" s="4">
        <v>3.77</v>
      </c>
      <c r="D1069" s="4">
        <v>3.77</v>
      </c>
      <c r="E1069" s="4">
        <v>462</v>
      </c>
      <c r="F1069" s="4">
        <v>3.7650000000000001</v>
      </c>
      <c r="G1069" s="4">
        <v>1739.43</v>
      </c>
      <c r="H1069" s="5">
        <f t="shared" si="16"/>
        <v>-2.583979328165377E-2</v>
      </c>
    </row>
    <row r="1070" spans="1:8" ht="13.5" x14ac:dyDescent="0.25">
      <c r="A1070" s="1"/>
      <c r="B1070" s="3">
        <v>43864</v>
      </c>
      <c r="C1070" s="4">
        <v>3.82</v>
      </c>
      <c r="D1070" s="4">
        <v>3.82</v>
      </c>
      <c r="E1070" s="4">
        <v>2895</v>
      </c>
      <c r="F1070" s="4">
        <v>3.7755000000000001</v>
      </c>
      <c r="G1070" s="4">
        <v>10930.0725</v>
      </c>
      <c r="H1070" s="5">
        <f t="shared" si="16"/>
        <v>1.3262599469495973E-2</v>
      </c>
    </row>
    <row r="1071" spans="1:8" ht="13.5" x14ac:dyDescent="0.25">
      <c r="A1071" s="1"/>
      <c r="B1071" s="3">
        <v>43865</v>
      </c>
      <c r="C1071" s="4">
        <v>4.03</v>
      </c>
      <c r="D1071" s="4">
        <v>4.03</v>
      </c>
      <c r="E1071" s="4">
        <v>102367</v>
      </c>
      <c r="F1071" s="4">
        <v>3.8984000000000001</v>
      </c>
      <c r="G1071" s="4">
        <v>399067.51280000003</v>
      </c>
      <c r="H1071" s="5">
        <f t="shared" si="16"/>
        <v>5.4973821989528902E-2</v>
      </c>
    </row>
    <row r="1072" spans="1:8" ht="13.5" x14ac:dyDescent="0.25">
      <c r="A1072" s="1"/>
      <c r="B1072" s="3">
        <v>43866</v>
      </c>
      <c r="C1072" s="4">
        <v>4.2699999999999996</v>
      </c>
      <c r="D1072" s="4">
        <v>4.2699999999999996</v>
      </c>
      <c r="E1072" s="4">
        <v>65080</v>
      </c>
      <c r="F1072" s="4">
        <v>4.2302</v>
      </c>
      <c r="G1072" s="4">
        <v>275301.41600000003</v>
      </c>
      <c r="H1072" s="5">
        <f t="shared" si="16"/>
        <v>5.9553349875930348E-2</v>
      </c>
    </row>
    <row r="1073" spans="1:8" ht="13.5" x14ac:dyDescent="0.25">
      <c r="A1073" s="1"/>
      <c r="B1073" s="3">
        <v>43867</v>
      </c>
      <c r="C1073" s="4">
        <v>4.53</v>
      </c>
      <c r="D1073" s="4">
        <v>4.53</v>
      </c>
      <c r="E1073" s="4">
        <v>78962</v>
      </c>
      <c r="F1073" s="4">
        <v>4.4996999999999998</v>
      </c>
      <c r="G1073" s="4">
        <v>355305.31140000001</v>
      </c>
      <c r="H1073" s="5">
        <f t="shared" si="16"/>
        <v>6.0889929742388924E-2</v>
      </c>
    </row>
    <row r="1074" spans="1:8" ht="13.5" x14ac:dyDescent="0.25">
      <c r="A1074" s="1"/>
      <c r="B1074" s="3">
        <v>43868</v>
      </c>
      <c r="C1074" s="4">
        <v>4.8</v>
      </c>
      <c r="D1074" s="4">
        <v>4.8</v>
      </c>
      <c r="E1074" s="4">
        <v>40717</v>
      </c>
      <c r="F1074" s="4">
        <v>4.7811000000000003</v>
      </c>
      <c r="G1074" s="4">
        <v>194672.04870000001</v>
      </c>
      <c r="H1074" s="5">
        <f t="shared" si="16"/>
        <v>5.9602649006622418E-2</v>
      </c>
    </row>
    <row r="1075" spans="1:8" ht="13.5" x14ac:dyDescent="0.25">
      <c r="A1075" s="1"/>
      <c r="B1075" s="3">
        <v>43871</v>
      </c>
      <c r="C1075" s="4">
        <v>5.09</v>
      </c>
      <c r="D1075" s="4">
        <v>5.09</v>
      </c>
      <c r="E1075" s="4">
        <v>101404</v>
      </c>
      <c r="F1075" s="4">
        <v>4.9459999999999997</v>
      </c>
      <c r="G1075" s="4">
        <v>501544.18400000001</v>
      </c>
      <c r="H1075" s="5">
        <f t="shared" si="16"/>
        <v>6.0416666666666674E-2</v>
      </c>
    </row>
    <row r="1076" spans="1:8" ht="13.5" x14ac:dyDescent="0.25">
      <c r="A1076" s="1"/>
      <c r="B1076" s="3">
        <v>43872</v>
      </c>
      <c r="C1076" s="4">
        <v>5.09</v>
      </c>
      <c r="D1076" s="4">
        <v>5.09</v>
      </c>
      <c r="E1076" s="4">
        <v>78824</v>
      </c>
      <c r="F1076" s="4">
        <v>5.0427</v>
      </c>
      <c r="G1076" s="4">
        <v>397485.78480000002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5.07</v>
      </c>
      <c r="D1077" s="4">
        <v>5.07</v>
      </c>
      <c r="E1077" s="4">
        <v>44165</v>
      </c>
      <c r="F1077" s="4">
        <v>5.0498000000000003</v>
      </c>
      <c r="G1077" s="4">
        <v>223024.41699999999</v>
      </c>
      <c r="H1077" s="5">
        <f t="shared" si="16"/>
        <v>-3.9292730844792878E-3</v>
      </c>
    </row>
    <row r="1078" spans="1:8" ht="13.5" x14ac:dyDescent="0.25">
      <c r="A1078" s="1"/>
      <c r="B1078" s="3">
        <v>43874</v>
      </c>
      <c r="C1078" s="4">
        <v>4.8899999999999997</v>
      </c>
      <c r="D1078" s="4">
        <v>4.8899999999999997</v>
      </c>
      <c r="E1078" s="4">
        <v>19351</v>
      </c>
      <c r="F1078" s="4">
        <v>5.0159000000000002</v>
      </c>
      <c r="G1078" s="4">
        <v>97062.680900000007</v>
      </c>
      <c r="H1078" s="5">
        <f t="shared" si="16"/>
        <v>-3.5502958579881776E-2</v>
      </c>
    </row>
    <row r="1079" spans="1:8" ht="13.5" x14ac:dyDescent="0.25">
      <c r="A1079" s="1"/>
      <c r="B1079" s="3">
        <v>43875</v>
      </c>
      <c r="C1079" s="4">
        <v>4.84</v>
      </c>
      <c r="D1079" s="4">
        <v>4.84</v>
      </c>
      <c r="E1079" s="4">
        <v>41335</v>
      </c>
      <c r="F1079" s="4">
        <v>4.9173999999999998</v>
      </c>
      <c r="G1079" s="4">
        <v>203260.72899999999</v>
      </c>
      <c r="H1079" s="5">
        <f t="shared" si="16"/>
        <v>-1.0224948875255588E-2</v>
      </c>
    </row>
    <row r="1080" spans="1:8" ht="13.5" x14ac:dyDescent="0.25">
      <c r="A1080" s="1"/>
      <c r="B1080" s="3">
        <v>43878</v>
      </c>
      <c r="C1080" s="4">
        <v>4.83</v>
      </c>
      <c r="D1080" s="4">
        <v>4.83</v>
      </c>
      <c r="E1080" s="4">
        <v>3074</v>
      </c>
      <c r="F1080" s="4">
        <v>4.8555999999999999</v>
      </c>
      <c r="G1080" s="4">
        <v>14926.1144</v>
      </c>
      <c r="H1080" s="5">
        <f t="shared" si="16"/>
        <v>-2.0661157024792947E-3</v>
      </c>
    </row>
    <row r="1081" spans="1:8" ht="13.5" x14ac:dyDescent="0.25">
      <c r="A1081" s="1"/>
      <c r="B1081" s="3">
        <v>43879</v>
      </c>
      <c r="C1081" s="4">
        <v>4.8600000000000003</v>
      </c>
      <c r="D1081" s="4">
        <v>4.8600000000000003</v>
      </c>
      <c r="E1081" s="4">
        <v>10630</v>
      </c>
      <c r="F1081" s="4">
        <v>4.8105000000000002</v>
      </c>
      <c r="G1081" s="4">
        <v>51135.614999999998</v>
      </c>
      <c r="H1081" s="5">
        <f t="shared" si="16"/>
        <v>6.2111801242236541E-3</v>
      </c>
    </row>
    <row r="1082" spans="1:8" ht="13.5" x14ac:dyDescent="0.25">
      <c r="A1082" s="1"/>
      <c r="B1082" s="3">
        <v>43880</v>
      </c>
      <c r="C1082" s="4">
        <v>4.8499999999999996</v>
      </c>
      <c r="D1082" s="4">
        <v>4.8499999999999996</v>
      </c>
      <c r="E1082" s="4">
        <v>28752</v>
      </c>
      <c r="F1082" s="4">
        <v>4.7436999999999996</v>
      </c>
      <c r="G1082" s="4">
        <v>136390.86240000001</v>
      </c>
      <c r="H1082" s="5">
        <f t="shared" si="16"/>
        <v>-2.0576131687244188E-3</v>
      </c>
    </row>
    <row r="1083" spans="1:8" ht="13.5" x14ac:dyDescent="0.25">
      <c r="A1083" s="1"/>
      <c r="B1083" s="3">
        <v>43881</v>
      </c>
      <c r="C1083" s="4">
        <v>4.8</v>
      </c>
      <c r="D1083" s="4">
        <v>4.8</v>
      </c>
      <c r="E1083" s="4">
        <v>8867</v>
      </c>
      <c r="F1083" s="4">
        <v>4.7648000000000001</v>
      </c>
      <c r="G1083" s="4">
        <v>42249.481599999999</v>
      </c>
      <c r="H1083" s="5">
        <f t="shared" si="16"/>
        <v>-1.0309278350515427E-2</v>
      </c>
    </row>
    <row r="1084" spans="1:8" ht="13.5" x14ac:dyDescent="0.25">
      <c r="A1084" s="1"/>
      <c r="B1084" s="3">
        <v>43882</v>
      </c>
      <c r="C1084" s="4">
        <v>4.74</v>
      </c>
      <c r="D1084" s="4">
        <v>4.74</v>
      </c>
      <c r="E1084" s="4">
        <v>583</v>
      </c>
      <c r="F1084" s="4">
        <v>4.7961999999999998</v>
      </c>
      <c r="G1084" s="4">
        <v>2796.1846</v>
      </c>
      <c r="H1084" s="5">
        <f t="shared" si="16"/>
        <v>-1.2499999999999919E-2</v>
      </c>
    </row>
    <row r="1085" spans="1:8" ht="13.5" x14ac:dyDescent="0.25">
      <c r="A1085" s="1"/>
      <c r="B1085" s="3">
        <v>43885</v>
      </c>
      <c r="C1085" s="4">
        <v>4.8</v>
      </c>
      <c r="D1085" s="4">
        <v>4.8</v>
      </c>
      <c r="E1085" s="4">
        <v>6695</v>
      </c>
      <c r="F1085" s="4">
        <v>4.7332000000000001</v>
      </c>
      <c r="G1085" s="4">
        <v>31688.774000000001</v>
      </c>
      <c r="H1085" s="5">
        <f t="shared" si="16"/>
        <v>1.2658227848101182E-2</v>
      </c>
    </row>
    <row r="1086" spans="1:8" ht="13.5" x14ac:dyDescent="0.25">
      <c r="A1086" s="1"/>
      <c r="B1086" s="3">
        <v>43886</v>
      </c>
      <c r="C1086" s="4">
        <v>4.74</v>
      </c>
      <c r="D1086" s="4">
        <v>4.74</v>
      </c>
      <c r="E1086" s="4">
        <v>2511</v>
      </c>
      <c r="F1086" s="4">
        <v>4.7054999999999998</v>
      </c>
      <c r="G1086" s="4">
        <v>11815.5105</v>
      </c>
      <c r="H1086" s="5">
        <f t="shared" si="16"/>
        <v>-1.2499999999999919E-2</v>
      </c>
    </row>
    <row r="1087" spans="1:8" ht="13.5" x14ac:dyDescent="0.25">
      <c r="A1087" s="1"/>
      <c r="B1087" s="3">
        <v>43887</v>
      </c>
      <c r="C1087" s="4">
        <v>4.74</v>
      </c>
      <c r="D1087" s="4">
        <v>4.74</v>
      </c>
      <c r="E1087" s="4">
        <v>3528</v>
      </c>
      <c r="F1087" s="4">
        <v>4.7031000000000001</v>
      </c>
      <c r="G1087" s="4">
        <v>16592.536800000002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4.79</v>
      </c>
      <c r="D1088" s="4">
        <v>4.79</v>
      </c>
      <c r="E1088" s="4">
        <v>869</v>
      </c>
      <c r="F1088" s="4">
        <v>4.6651999999999996</v>
      </c>
      <c r="G1088" s="4">
        <v>4054.0587999999998</v>
      </c>
      <c r="H1088" s="5">
        <f t="shared" si="16"/>
        <v>1.0548523206751016E-2</v>
      </c>
    </row>
    <row r="1089" spans="1:8" ht="13.5" x14ac:dyDescent="0.25">
      <c r="A1089" s="1"/>
      <c r="B1089" s="3">
        <v>43889</v>
      </c>
      <c r="C1089" s="4">
        <v>4.78</v>
      </c>
      <c r="D1089" s="4">
        <v>4.78</v>
      </c>
      <c r="E1089" s="4">
        <v>1618</v>
      </c>
      <c r="F1089" s="4">
        <v>4.7465000000000002</v>
      </c>
      <c r="G1089" s="4">
        <v>7679.8370000000004</v>
      </c>
      <c r="H1089" s="5">
        <f t="shared" si="16"/>
        <v>-2.087682672233776E-3</v>
      </c>
    </row>
    <row r="1090" spans="1:8" ht="13.5" x14ac:dyDescent="0.25">
      <c r="A1090" s="1"/>
      <c r="B1090" s="3">
        <v>43892</v>
      </c>
      <c r="C1090" s="4">
        <v>4.79</v>
      </c>
      <c r="D1090" s="4">
        <v>4.79</v>
      </c>
      <c r="E1090" s="4">
        <v>7206</v>
      </c>
      <c r="F1090" s="4">
        <v>4.7805999999999997</v>
      </c>
      <c r="G1090" s="4">
        <v>34449.003599999996</v>
      </c>
      <c r="H1090" s="5">
        <f t="shared" si="16"/>
        <v>2.0920502092049761E-3</v>
      </c>
    </row>
    <row r="1091" spans="1:8" ht="13.5" x14ac:dyDescent="0.25">
      <c r="A1091" s="1"/>
      <c r="B1091" s="3">
        <v>43893</v>
      </c>
      <c r="C1091" s="4">
        <v>4.7</v>
      </c>
      <c r="D1091" s="4">
        <v>4.7</v>
      </c>
      <c r="E1091" s="4">
        <v>15366</v>
      </c>
      <c r="F1091" s="4">
        <v>4.7397</v>
      </c>
      <c r="G1091" s="4">
        <v>72830.230200000005</v>
      </c>
      <c r="H1091" s="5">
        <f t="shared" si="16"/>
        <v>-1.8789144050104355E-2</v>
      </c>
    </row>
    <row r="1092" spans="1:8" ht="13.5" x14ac:dyDescent="0.25">
      <c r="A1092" s="1"/>
      <c r="B1092" s="3">
        <v>43894</v>
      </c>
      <c r="C1092" s="4">
        <v>4.5599999999999996</v>
      </c>
      <c r="D1092" s="4">
        <v>4.5599999999999996</v>
      </c>
      <c r="E1092" s="4">
        <v>4905</v>
      </c>
      <c r="F1092" s="4">
        <v>4.6006999999999998</v>
      </c>
      <c r="G1092" s="4">
        <v>22566.433499999999</v>
      </c>
      <c r="H1092" s="5">
        <f t="shared" si="16"/>
        <v>-2.9787234042553311E-2</v>
      </c>
    </row>
    <row r="1093" spans="1:8" ht="13.5" x14ac:dyDescent="0.25">
      <c r="A1093" s="1"/>
      <c r="B1093" s="3">
        <v>43895</v>
      </c>
      <c r="C1093" s="4">
        <v>4.45</v>
      </c>
      <c r="D1093" s="4">
        <v>4.45</v>
      </c>
      <c r="E1093" s="4">
        <v>8067</v>
      </c>
      <c r="F1093" s="4">
        <v>4.6215999999999999</v>
      </c>
      <c r="G1093" s="4">
        <v>37282.447200000002</v>
      </c>
      <c r="H1093" s="5">
        <f t="shared" si="16"/>
        <v>-2.4122807017543737E-2</v>
      </c>
    </row>
    <row r="1094" spans="1:8" ht="13.5" x14ac:dyDescent="0.25">
      <c r="A1094" s="1"/>
      <c r="B1094" s="3">
        <v>43896</v>
      </c>
      <c r="C1094" s="4">
        <v>4.32</v>
      </c>
      <c r="D1094" s="4">
        <v>4.32</v>
      </c>
      <c r="E1094" s="4">
        <v>27724</v>
      </c>
      <c r="F1094" s="4">
        <v>4.3273999999999999</v>
      </c>
      <c r="G1094" s="4">
        <v>119972.8376</v>
      </c>
      <c r="H1094" s="5">
        <f t="shared" si="16"/>
        <v>-2.9213483146067389E-2</v>
      </c>
    </row>
    <row r="1095" spans="1:8" ht="13.5" x14ac:dyDescent="0.25">
      <c r="A1095" s="1"/>
      <c r="B1095" s="3">
        <v>43899</v>
      </c>
      <c r="C1095" s="4">
        <v>4.2</v>
      </c>
      <c r="D1095" s="4">
        <v>4.2</v>
      </c>
      <c r="E1095" s="4">
        <v>4201</v>
      </c>
      <c r="F1095" s="4">
        <v>4.2020999999999997</v>
      </c>
      <c r="G1095" s="4">
        <v>17653.022099999998</v>
      </c>
      <c r="H1095" s="5">
        <f t="shared" ref="H1095:H1158" si="17">(D1095-D1094)/D1094</f>
        <v>-2.7777777777777801E-2</v>
      </c>
    </row>
    <row r="1096" spans="1:8" ht="13.5" x14ac:dyDescent="0.25">
      <c r="A1096" s="1"/>
      <c r="B1096" s="3">
        <v>43900</v>
      </c>
      <c r="C1096" s="4">
        <v>4.04</v>
      </c>
      <c r="D1096" s="4">
        <v>4.04</v>
      </c>
      <c r="E1096" s="4">
        <v>14266</v>
      </c>
      <c r="F1096" s="4">
        <v>4.0461</v>
      </c>
      <c r="G1096" s="4">
        <v>57721.662600000003</v>
      </c>
      <c r="H1096" s="5">
        <f t="shared" si="17"/>
        <v>-3.8095238095238126E-2</v>
      </c>
    </row>
    <row r="1097" spans="1:8" ht="13.5" x14ac:dyDescent="0.25">
      <c r="A1097" s="1"/>
      <c r="B1097" s="3">
        <v>43901</v>
      </c>
      <c r="C1097" s="4">
        <v>4.28</v>
      </c>
      <c r="D1097" s="4">
        <v>4.28</v>
      </c>
      <c r="E1097" s="4">
        <v>32021</v>
      </c>
      <c r="F1097" s="4">
        <v>4.1771000000000003</v>
      </c>
      <c r="G1097" s="4">
        <v>133754.9191</v>
      </c>
      <c r="H1097" s="5">
        <f t="shared" si="17"/>
        <v>5.9405940594059459E-2</v>
      </c>
    </row>
    <row r="1098" spans="1:8" ht="13.5" x14ac:dyDescent="0.25">
      <c r="A1098" s="1"/>
      <c r="B1098" s="3">
        <v>43902</v>
      </c>
      <c r="C1098" s="4">
        <v>4.26</v>
      </c>
      <c r="D1098" s="4">
        <v>4.26</v>
      </c>
      <c r="E1098" s="4">
        <v>8169</v>
      </c>
      <c r="F1098" s="4">
        <v>4.2939999999999996</v>
      </c>
      <c r="G1098" s="4">
        <v>35077.686000000002</v>
      </c>
      <c r="H1098" s="5">
        <f t="shared" si="17"/>
        <v>-4.6728971962617903E-3</v>
      </c>
    </row>
    <row r="1099" spans="1:8" ht="13.5" x14ac:dyDescent="0.25">
      <c r="A1099" s="1"/>
      <c r="B1099" s="3">
        <v>43903</v>
      </c>
      <c r="C1099" s="4">
        <v>4.07</v>
      </c>
      <c r="D1099" s="4">
        <v>4.07</v>
      </c>
      <c r="E1099" s="4">
        <v>683</v>
      </c>
      <c r="F1099" s="4">
        <v>4.0701999999999998</v>
      </c>
      <c r="G1099" s="4">
        <v>2779.9466000000002</v>
      </c>
      <c r="H1099" s="5">
        <f t="shared" si="17"/>
        <v>-4.4600938967136038E-2</v>
      </c>
    </row>
    <row r="1100" spans="1:8" ht="13.5" x14ac:dyDescent="0.25">
      <c r="A1100" s="1"/>
      <c r="B1100" s="3">
        <v>43906</v>
      </c>
      <c r="C1100" s="4">
        <v>3.95</v>
      </c>
      <c r="D1100" s="4">
        <v>3.95</v>
      </c>
      <c r="E1100" s="4">
        <v>1</v>
      </c>
      <c r="F1100" s="4">
        <v>4</v>
      </c>
      <c r="G1100" s="4">
        <v>4</v>
      </c>
      <c r="H1100" s="5">
        <f t="shared" si="17"/>
        <v>-2.9484029484029509E-2</v>
      </c>
    </row>
    <row r="1101" spans="1:8" ht="13.5" x14ac:dyDescent="0.25">
      <c r="A1101" s="1"/>
      <c r="B1101" s="3">
        <v>43907</v>
      </c>
      <c r="C1101" s="4">
        <v>3.78</v>
      </c>
      <c r="D1101" s="4">
        <v>3.78</v>
      </c>
      <c r="E1101" s="4">
        <v>0</v>
      </c>
      <c r="F1101" s="4">
        <v>0</v>
      </c>
      <c r="G1101" s="4">
        <v>0</v>
      </c>
      <c r="H1101" s="5">
        <f t="shared" si="17"/>
        <v>-4.3037974683544394E-2</v>
      </c>
    </row>
    <row r="1102" spans="1:8" ht="13.5" x14ac:dyDescent="0.25">
      <c r="A1102" s="1"/>
      <c r="B1102" s="3">
        <v>43908</v>
      </c>
      <c r="C1102" s="4">
        <v>3.67</v>
      </c>
      <c r="D1102" s="4">
        <v>3.67</v>
      </c>
      <c r="E1102" s="4">
        <v>252</v>
      </c>
      <c r="F1102" s="4">
        <v>3.67</v>
      </c>
      <c r="G1102" s="4">
        <v>924.84</v>
      </c>
      <c r="H1102" s="5">
        <f t="shared" si="17"/>
        <v>-2.9100529100529068E-2</v>
      </c>
    </row>
    <row r="1103" spans="1:8" ht="13.5" x14ac:dyDescent="0.25">
      <c r="A1103" s="1"/>
      <c r="B1103" s="3">
        <v>43909</v>
      </c>
      <c r="C1103" s="4">
        <v>3.73</v>
      </c>
      <c r="D1103" s="4">
        <v>3.73</v>
      </c>
      <c r="E1103" s="4">
        <v>38682</v>
      </c>
      <c r="F1103" s="4">
        <v>3.5657999999999999</v>
      </c>
      <c r="G1103" s="4">
        <v>137932.27559999999</v>
      </c>
      <c r="H1103" s="5">
        <f t="shared" si="17"/>
        <v>1.6348773841961869E-2</v>
      </c>
    </row>
    <row r="1104" spans="1:8" ht="13.5" x14ac:dyDescent="0.25">
      <c r="A1104" s="1"/>
      <c r="B1104" s="3">
        <v>43913</v>
      </c>
      <c r="C1104" s="4">
        <v>3.62</v>
      </c>
      <c r="D1104" s="4">
        <v>3.62</v>
      </c>
      <c r="E1104" s="4">
        <v>1451</v>
      </c>
      <c r="F1104" s="4">
        <v>3.6200999999999999</v>
      </c>
      <c r="G1104" s="4">
        <v>5252.7650999999996</v>
      </c>
      <c r="H1104" s="5">
        <f t="shared" si="17"/>
        <v>-2.9490616621983882E-2</v>
      </c>
    </row>
    <row r="1105" spans="1:8" ht="13.5" x14ac:dyDescent="0.25">
      <c r="A1105" s="1"/>
      <c r="B1105" s="3">
        <v>43914</v>
      </c>
      <c r="C1105" s="4">
        <v>3.52</v>
      </c>
      <c r="D1105" s="4">
        <v>3.52</v>
      </c>
      <c r="E1105" s="4">
        <v>778</v>
      </c>
      <c r="F1105" s="4">
        <v>3.52</v>
      </c>
      <c r="G1105" s="4">
        <v>2738.56</v>
      </c>
      <c r="H1105" s="5">
        <f t="shared" si="17"/>
        <v>-2.7624309392265217E-2</v>
      </c>
    </row>
    <row r="1106" spans="1:8" ht="13.5" x14ac:dyDescent="0.25">
      <c r="A1106" s="1"/>
      <c r="B1106" s="3">
        <v>43915</v>
      </c>
      <c r="C1106" s="4">
        <v>3.42</v>
      </c>
      <c r="D1106" s="4">
        <v>3.42</v>
      </c>
      <c r="E1106" s="4">
        <v>2646</v>
      </c>
      <c r="F1106" s="4">
        <v>3.4569999999999999</v>
      </c>
      <c r="G1106" s="4">
        <v>9147.2219999999998</v>
      </c>
      <c r="H1106" s="5">
        <f t="shared" si="17"/>
        <v>-2.8409090909090936E-2</v>
      </c>
    </row>
    <row r="1107" spans="1:8" ht="13.5" x14ac:dyDescent="0.25">
      <c r="A1107" s="1"/>
      <c r="B1107" s="3">
        <v>43916</v>
      </c>
      <c r="C1107" s="4">
        <v>3.32</v>
      </c>
      <c r="D1107" s="4">
        <v>3.32</v>
      </c>
      <c r="E1107" s="4">
        <v>554</v>
      </c>
      <c r="F1107" s="4">
        <v>3.32</v>
      </c>
      <c r="G1107" s="4">
        <v>1839.28</v>
      </c>
      <c r="H1107" s="5">
        <f t="shared" si="17"/>
        <v>-2.9239766081871371E-2</v>
      </c>
    </row>
    <row r="1108" spans="1:8" ht="13.5" x14ac:dyDescent="0.25">
      <c r="A1108" s="1"/>
      <c r="B1108" s="3">
        <v>43917</v>
      </c>
      <c r="C1108" s="4">
        <v>3.23</v>
      </c>
      <c r="D1108" s="4">
        <v>3.23</v>
      </c>
      <c r="E1108" s="4">
        <v>8</v>
      </c>
      <c r="F1108" s="4">
        <v>3.2863000000000002</v>
      </c>
      <c r="G1108" s="4">
        <v>26.290400000000002</v>
      </c>
      <c r="H1108" s="5">
        <f t="shared" si="17"/>
        <v>-2.7108433734939718E-2</v>
      </c>
    </row>
    <row r="1109" spans="1:8" ht="13.5" x14ac:dyDescent="0.25">
      <c r="A1109" s="1"/>
      <c r="B1109" s="3">
        <v>43920</v>
      </c>
      <c r="C1109" s="4">
        <v>3.32</v>
      </c>
      <c r="D1109" s="4">
        <v>3.32</v>
      </c>
      <c r="E1109" s="4">
        <v>11898</v>
      </c>
      <c r="F1109" s="4">
        <v>3.2235</v>
      </c>
      <c r="G1109" s="4">
        <v>38353.203000000001</v>
      </c>
      <c r="H1109" s="5">
        <f t="shared" si="17"/>
        <v>2.7863777089783239E-2</v>
      </c>
    </row>
    <row r="1110" spans="1:8" ht="13.5" x14ac:dyDescent="0.25">
      <c r="A1110" s="1"/>
      <c r="B1110" s="3">
        <v>43921</v>
      </c>
      <c r="C1110" s="4">
        <v>3.41</v>
      </c>
      <c r="D1110" s="4">
        <v>3.41</v>
      </c>
      <c r="E1110" s="4">
        <v>2360</v>
      </c>
      <c r="F1110" s="4">
        <v>3.4062000000000001</v>
      </c>
      <c r="G1110" s="4">
        <v>8038.6319999999996</v>
      </c>
      <c r="H1110" s="5">
        <f t="shared" si="17"/>
        <v>2.710843373493985E-2</v>
      </c>
    </row>
    <row r="1111" spans="1:8" ht="13.5" x14ac:dyDescent="0.25">
      <c r="A1111" s="1"/>
      <c r="B1111" s="3">
        <v>43922</v>
      </c>
      <c r="C1111" s="4">
        <v>3.51</v>
      </c>
      <c r="D1111" s="4">
        <v>3.51</v>
      </c>
      <c r="E1111" s="4">
        <v>17023</v>
      </c>
      <c r="F1111" s="4">
        <v>3.4266999999999999</v>
      </c>
      <c r="G1111" s="4">
        <v>58332.714099999997</v>
      </c>
      <c r="H1111" s="5">
        <f t="shared" si="17"/>
        <v>2.9325513196480833E-2</v>
      </c>
    </row>
    <row r="1112" spans="1:8" ht="13.5" x14ac:dyDescent="0.25">
      <c r="A1112" s="1"/>
      <c r="B1112" s="3">
        <v>43923</v>
      </c>
      <c r="C1112" s="4">
        <v>3.41</v>
      </c>
      <c r="D1112" s="4">
        <v>3.41</v>
      </c>
      <c r="E1112" s="4">
        <v>2817</v>
      </c>
      <c r="F1112" s="4">
        <v>3.4581</v>
      </c>
      <c r="G1112" s="4">
        <v>9741.4676999999992</v>
      </c>
      <c r="H1112" s="5">
        <f t="shared" si="17"/>
        <v>-2.849002849002839E-2</v>
      </c>
    </row>
    <row r="1113" spans="1:8" ht="13.5" x14ac:dyDescent="0.25">
      <c r="A1113" s="1"/>
      <c r="B1113" s="3">
        <v>43924</v>
      </c>
      <c r="C1113" s="4">
        <v>3.48</v>
      </c>
      <c r="D1113" s="4">
        <v>3.48</v>
      </c>
      <c r="E1113" s="4">
        <v>2413</v>
      </c>
      <c r="F1113" s="4">
        <v>3.3247</v>
      </c>
      <c r="G1113" s="4">
        <v>8022.5011000000004</v>
      </c>
      <c r="H1113" s="5">
        <f t="shared" si="17"/>
        <v>2.0527859237536607E-2</v>
      </c>
    </row>
    <row r="1114" spans="1:8" ht="13.5" x14ac:dyDescent="0.25">
      <c r="A1114" s="1"/>
      <c r="B1114" s="3">
        <v>43927</v>
      </c>
      <c r="C1114" s="4">
        <v>3.5</v>
      </c>
      <c r="D1114" s="4">
        <v>3.5</v>
      </c>
      <c r="E1114" s="4">
        <v>4122</v>
      </c>
      <c r="F1114" s="4">
        <v>3.4891999999999999</v>
      </c>
      <c r="G1114" s="4">
        <v>14382.482400000001</v>
      </c>
      <c r="H1114" s="5">
        <f t="shared" si="17"/>
        <v>5.7471264367816143E-3</v>
      </c>
    </row>
    <row r="1115" spans="1:8" ht="13.5" x14ac:dyDescent="0.25">
      <c r="A1115" s="1"/>
      <c r="B1115" s="3">
        <v>43928</v>
      </c>
      <c r="C1115" s="4">
        <v>3.54</v>
      </c>
      <c r="D1115" s="4">
        <v>3.54</v>
      </c>
      <c r="E1115" s="4">
        <v>297</v>
      </c>
      <c r="F1115" s="4">
        <v>3.4542000000000002</v>
      </c>
      <c r="G1115" s="4">
        <v>1025.8974000000001</v>
      </c>
      <c r="H1115" s="5">
        <f t="shared" si="17"/>
        <v>1.1428571428571439E-2</v>
      </c>
    </row>
    <row r="1116" spans="1:8" ht="13.5" x14ac:dyDescent="0.25">
      <c r="A1116" s="1"/>
      <c r="B1116" s="3">
        <v>43929</v>
      </c>
      <c r="C1116" s="4">
        <v>3.44</v>
      </c>
      <c r="D1116" s="4">
        <v>3.44</v>
      </c>
      <c r="E1116" s="4">
        <v>3020</v>
      </c>
      <c r="F1116" s="4">
        <v>3.4413999999999998</v>
      </c>
      <c r="G1116" s="4">
        <v>10393.028</v>
      </c>
      <c r="H1116" s="5">
        <f t="shared" si="17"/>
        <v>-2.8248587570621493E-2</v>
      </c>
    </row>
    <row r="1117" spans="1:8" ht="13.5" x14ac:dyDescent="0.25">
      <c r="A1117" s="1"/>
      <c r="B1117" s="3">
        <v>43934</v>
      </c>
      <c r="C1117" s="4">
        <v>3.44</v>
      </c>
      <c r="D1117" s="4">
        <v>3.44</v>
      </c>
      <c r="E1117" s="4">
        <v>327</v>
      </c>
      <c r="F1117" s="4">
        <v>3.4401999999999999</v>
      </c>
      <c r="G1117" s="4">
        <v>1124.9454000000001</v>
      </c>
      <c r="H1117" s="5">
        <f t="shared" si="17"/>
        <v>0</v>
      </c>
    </row>
    <row r="1118" spans="1:8" ht="13.5" x14ac:dyDescent="0.25">
      <c r="A1118" s="1"/>
      <c r="B1118" s="3">
        <v>43935</v>
      </c>
      <c r="C1118" s="4">
        <v>3.34</v>
      </c>
      <c r="D1118" s="4">
        <v>3.34</v>
      </c>
      <c r="E1118" s="4">
        <v>7750</v>
      </c>
      <c r="F1118" s="4">
        <v>3.3401999999999998</v>
      </c>
      <c r="G1118" s="4">
        <v>25886.55</v>
      </c>
      <c r="H1118" s="5">
        <f t="shared" si="17"/>
        <v>-2.9069767441860492E-2</v>
      </c>
    </row>
    <row r="1119" spans="1:8" ht="13.5" x14ac:dyDescent="0.25">
      <c r="A1119" s="1"/>
      <c r="B1119" s="3">
        <v>43936</v>
      </c>
      <c r="C1119" s="4">
        <v>3.34</v>
      </c>
      <c r="D1119" s="4">
        <v>3.34</v>
      </c>
      <c r="E1119" s="4">
        <v>47</v>
      </c>
      <c r="F1119" s="4">
        <v>3.2502</v>
      </c>
      <c r="G1119" s="4">
        <v>152.7594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3.39</v>
      </c>
      <c r="D1120" s="4">
        <v>3.39</v>
      </c>
      <c r="E1120" s="4">
        <v>503</v>
      </c>
      <c r="F1120" s="4">
        <v>3.3086000000000002</v>
      </c>
      <c r="G1120" s="4">
        <v>1664.2257999999999</v>
      </c>
      <c r="H1120" s="5">
        <f t="shared" si="17"/>
        <v>1.4970059880239601E-2</v>
      </c>
    </row>
    <row r="1121" spans="1:8" ht="13.5" x14ac:dyDescent="0.25">
      <c r="A1121" s="1"/>
      <c r="B1121" s="3">
        <v>43938</v>
      </c>
      <c r="C1121" s="4">
        <v>3.29</v>
      </c>
      <c r="D1121" s="4">
        <v>3.29</v>
      </c>
      <c r="E1121" s="4">
        <v>886</v>
      </c>
      <c r="F1121" s="4">
        <v>3.3003</v>
      </c>
      <c r="G1121" s="4">
        <v>2924.0657999999999</v>
      </c>
      <c r="H1121" s="5">
        <f t="shared" si="17"/>
        <v>-2.9498525073746337E-2</v>
      </c>
    </row>
    <row r="1122" spans="1:8" ht="13.5" x14ac:dyDescent="0.25">
      <c r="A1122" s="1"/>
      <c r="B1122" s="3">
        <v>43941</v>
      </c>
      <c r="C1122" s="4">
        <v>3.38</v>
      </c>
      <c r="D1122" s="4">
        <v>3.38</v>
      </c>
      <c r="E1122" s="4">
        <v>3897</v>
      </c>
      <c r="F1122" s="4">
        <v>3.2195999999999998</v>
      </c>
      <c r="G1122" s="4">
        <v>12546.781199999999</v>
      </c>
      <c r="H1122" s="5">
        <f t="shared" si="17"/>
        <v>2.7355623100303907E-2</v>
      </c>
    </row>
    <row r="1123" spans="1:8" ht="13.5" x14ac:dyDescent="0.25">
      <c r="A1123" s="1"/>
      <c r="B1123" s="3">
        <v>43942</v>
      </c>
      <c r="C1123" s="4">
        <v>3.38</v>
      </c>
      <c r="D1123" s="4">
        <v>3.38</v>
      </c>
      <c r="E1123" s="4">
        <v>333</v>
      </c>
      <c r="F1123" s="4">
        <v>3.3071000000000002</v>
      </c>
      <c r="G1123" s="4">
        <v>1101.2643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3.38</v>
      </c>
      <c r="D1124" s="4">
        <v>3.38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3.28</v>
      </c>
      <c r="D1125" s="4">
        <v>3.28</v>
      </c>
      <c r="E1125" s="4">
        <v>4053</v>
      </c>
      <c r="F1125" s="4">
        <v>3.3491</v>
      </c>
      <c r="G1125" s="4">
        <v>13573.9023</v>
      </c>
      <c r="H1125" s="5">
        <f t="shared" si="17"/>
        <v>-2.9585798816568074E-2</v>
      </c>
    </row>
    <row r="1126" spans="1:8" ht="13.5" x14ac:dyDescent="0.25">
      <c r="A1126" s="1"/>
      <c r="B1126" s="3">
        <v>43945</v>
      </c>
      <c r="C1126" s="4">
        <v>3.19</v>
      </c>
      <c r="D1126" s="4">
        <v>3.19</v>
      </c>
      <c r="E1126" s="4">
        <v>0</v>
      </c>
      <c r="F1126" s="4">
        <v>0</v>
      </c>
      <c r="G1126" s="4">
        <v>0</v>
      </c>
      <c r="H1126" s="5">
        <f t="shared" si="17"/>
        <v>-2.7439024390243861E-2</v>
      </c>
    </row>
    <row r="1127" spans="1:8" ht="13.5" x14ac:dyDescent="0.25">
      <c r="A1127" s="1"/>
      <c r="B1127" s="3">
        <v>43948</v>
      </c>
      <c r="C1127" s="4">
        <v>3.1</v>
      </c>
      <c r="D1127" s="4">
        <v>3.1</v>
      </c>
      <c r="E1127" s="4">
        <v>1374</v>
      </c>
      <c r="F1127" s="4">
        <v>3.1040000000000001</v>
      </c>
      <c r="G1127" s="4">
        <v>4264.8959999999997</v>
      </c>
      <c r="H1127" s="5">
        <f t="shared" si="17"/>
        <v>-2.8213166144200583E-2</v>
      </c>
    </row>
    <row r="1128" spans="1:8" ht="13.5" x14ac:dyDescent="0.25">
      <c r="A1128" s="1"/>
      <c r="B1128" s="3">
        <v>43949</v>
      </c>
      <c r="C1128" s="4">
        <v>3.01</v>
      </c>
      <c r="D1128" s="4">
        <v>3.01</v>
      </c>
      <c r="E1128" s="4">
        <v>2101</v>
      </c>
      <c r="F1128" s="4">
        <v>3.0409999999999999</v>
      </c>
      <c r="G1128" s="4">
        <v>6389.1409999999996</v>
      </c>
      <c r="H1128" s="5">
        <f t="shared" si="17"/>
        <v>-2.9032258064516224E-2</v>
      </c>
    </row>
    <row r="1129" spans="1:8" ht="13.5" x14ac:dyDescent="0.25">
      <c r="A1129" s="1"/>
      <c r="B1129" s="3">
        <v>43950</v>
      </c>
      <c r="C1129" s="4">
        <v>3.04</v>
      </c>
      <c r="D1129" s="4">
        <v>3.04</v>
      </c>
      <c r="E1129" s="4">
        <v>1232</v>
      </c>
      <c r="F1129" s="4">
        <v>2.9956</v>
      </c>
      <c r="G1129" s="4">
        <v>3690.5792000000001</v>
      </c>
      <c r="H1129" s="5">
        <f t="shared" si="17"/>
        <v>9.9667774086379564E-3</v>
      </c>
    </row>
    <row r="1130" spans="1:8" ht="13.5" x14ac:dyDescent="0.25">
      <c r="A1130" s="1"/>
      <c r="B1130" s="3">
        <v>43951</v>
      </c>
      <c r="C1130" s="4">
        <v>2.95</v>
      </c>
      <c r="D1130" s="4">
        <v>2.95</v>
      </c>
      <c r="E1130" s="4">
        <v>503</v>
      </c>
      <c r="F1130" s="4">
        <v>2.9502999999999999</v>
      </c>
      <c r="G1130" s="4">
        <v>1484.0009</v>
      </c>
      <c r="H1130" s="5">
        <f t="shared" si="17"/>
        <v>-2.960526315789469E-2</v>
      </c>
    </row>
    <row r="1131" spans="1:8" ht="13.5" x14ac:dyDescent="0.25">
      <c r="A1131" s="1"/>
      <c r="B1131" s="3">
        <v>43955</v>
      </c>
      <c r="C1131" s="4">
        <v>2.9</v>
      </c>
      <c r="D1131" s="4">
        <v>2.9</v>
      </c>
      <c r="E1131" s="4">
        <v>3073</v>
      </c>
      <c r="F1131" s="4">
        <v>2.8719999999999999</v>
      </c>
      <c r="G1131" s="4">
        <v>8825.6560000000009</v>
      </c>
      <c r="H1131" s="5">
        <f t="shared" si="17"/>
        <v>-1.6949152542372972E-2</v>
      </c>
    </row>
    <row r="1132" spans="1:8" ht="13.5" x14ac:dyDescent="0.25">
      <c r="A1132" s="1"/>
      <c r="B1132" s="3">
        <v>43956</v>
      </c>
      <c r="C1132" s="4">
        <v>2.97</v>
      </c>
      <c r="D1132" s="4">
        <v>2.97</v>
      </c>
      <c r="E1132" s="4">
        <v>2401</v>
      </c>
      <c r="F1132" s="4">
        <v>2.8584000000000001</v>
      </c>
      <c r="G1132" s="4">
        <v>6863.0183999999999</v>
      </c>
      <c r="H1132" s="5">
        <f t="shared" si="17"/>
        <v>2.4137931034482859E-2</v>
      </c>
    </row>
    <row r="1133" spans="1:8" ht="13.5" x14ac:dyDescent="0.25">
      <c r="A1133" s="1"/>
      <c r="B1133" s="3">
        <v>43957</v>
      </c>
      <c r="C1133" s="4">
        <v>3.05</v>
      </c>
      <c r="D1133" s="4">
        <v>3.05</v>
      </c>
      <c r="E1133" s="4">
        <v>11201</v>
      </c>
      <c r="F1133" s="4">
        <v>2.9552</v>
      </c>
      <c r="G1133" s="4">
        <v>33101.195200000002</v>
      </c>
      <c r="H1133" s="5">
        <f t="shared" si="17"/>
        <v>2.693602693602681E-2</v>
      </c>
    </row>
    <row r="1134" spans="1:8" ht="13.5" x14ac:dyDescent="0.25">
      <c r="A1134" s="1"/>
      <c r="B1134" s="3">
        <v>43958</v>
      </c>
      <c r="C1134" s="4">
        <v>3.14</v>
      </c>
      <c r="D1134" s="4">
        <v>3.14</v>
      </c>
      <c r="E1134" s="4">
        <v>2584</v>
      </c>
      <c r="F1134" s="4">
        <v>3.1331000000000002</v>
      </c>
      <c r="G1134" s="4">
        <v>8095.9304000000002</v>
      </c>
      <c r="H1134" s="5">
        <f t="shared" si="17"/>
        <v>2.9508196721311577E-2</v>
      </c>
    </row>
    <row r="1135" spans="1:8" ht="13.5" x14ac:dyDescent="0.25">
      <c r="A1135" s="1"/>
      <c r="B1135" s="3">
        <v>43959</v>
      </c>
      <c r="C1135" s="4">
        <v>3.23</v>
      </c>
      <c r="D1135" s="4">
        <v>3.23</v>
      </c>
      <c r="E1135" s="4">
        <v>2438</v>
      </c>
      <c r="F1135" s="4">
        <v>3.2189999999999999</v>
      </c>
      <c r="G1135" s="4">
        <v>7847.9219999999996</v>
      </c>
      <c r="H1135" s="5">
        <f t="shared" si="17"/>
        <v>2.8662420382165557E-2</v>
      </c>
    </row>
    <row r="1136" spans="1:8" ht="13.5" x14ac:dyDescent="0.25">
      <c r="A1136" s="1"/>
      <c r="B1136" s="3">
        <v>43962</v>
      </c>
      <c r="C1136" s="4">
        <v>3.32</v>
      </c>
      <c r="D1136" s="4">
        <v>3.32</v>
      </c>
      <c r="E1136" s="4">
        <v>11047</v>
      </c>
      <c r="F1136" s="4">
        <v>3.3197999999999999</v>
      </c>
      <c r="G1136" s="4">
        <v>36673.830600000001</v>
      </c>
      <c r="H1136" s="5">
        <f t="shared" si="17"/>
        <v>2.7863777089783239E-2</v>
      </c>
    </row>
    <row r="1137" spans="1:8" ht="13.5" x14ac:dyDescent="0.25">
      <c r="A1137" s="1"/>
      <c r="B1137" s="3">
        <v>43963</v>
      </c>
      <c r="C1137" s="4">
        <v>3.41</v>
      </c>
      <c r="D1137" s="4">
        <v>3.41</v>
      </c>
      <c r="E1137" s="4">
        <v>31</v>
      </c>
      <c r="F1137" s="4">
        <v>3.4003000000000001</v>
      </c>
      <c r="G1137" s="4">
        <v>105.4093</v>
      </c>
      <c r="H1137" s="5">
        <f t="shared" si="17"/>
        <v>2.710843373493985E-2</v>
      </c>
    </row>
    <row r="1138" spans="1:8" ht="13.5" x14ac:dyDescent="0.25">
      <c r="A1138" s="1"/>
      <c r="B1138" s="3">
        <v>43964</v>
      </c>
      <c r="C1138" s="4">
        <v>3.51</v>
      </c>
      <c r="D1138" s="4">
        <v>3.51</v>
      </c>
      <c r="E1138" s="4">
        <v>0</v>
      </c>
      <c r="F1138" s="4">
        <v>0</v>
      </c>
      <c r="G1138" s="4">
        <v>0</v>
      </c>
      <c r="H1138" s="5">
        <f t="shared" si="17"/>
        <v>2.9325513196480833E-2</v>
      </c>
    </row>
    <row r="1139" spans="1:8" ht="13.5" x14ac:dyDescent="0.25">
      <c r="A1139" s="1"/>
      <c r="B1139" s="3">
        <v>43965</v>
      </c>
      <c r="C1139" s="4">
        <v>3.61</v>
      </c>
      <c r="D1139" s="4">
        <v>3.61</v>
      </c>
      <c r="E1139" s="4">
        <v>14558</v>
      </c>
      <c r="F1139" s="4">
        <v>3.6076000000000001</v>
      </c>
      <c r="G1139" s="4">
        <v>52519.440799999997</v>
      </c>
      <c r="H1139" s="5">
        <f t="shared" si="17"/>
        <v>2.8490028490028518E-2</v>
      </c>
    </row>
    <row r="1140" spans="1:8" ht="13.5" x14ac:dyDescent="0.25">
      <c r="A1140" s="1"/>
      <c r="B1140" s="3">
        <v>43966</v>
      </c>
      <c r="C1140" s="4">
        <v>3.71</v>
      </c>
      <c r="D1140" s="4">
        <v>3.71</v>
      </c>
      <c r="E1140" s="4">
        <v>10505</v>
      </c>
      <c r="F1140" s="4">
        <v>3.6793999999999998</v>
      </c>
      <c r="G1140" s="4">
        <v>38652.097000000002</v>
      </c>
      <c r="H1140" s="5">
        <f t="shared" si="17"/>
        <v>2.7700831024930775E-2</v>
      </c>
    </row>
    <row r="1141" spans="1:8" ht="13.5" x14ac:dyDescent="0.25">
      <c r="A1141" s="1"/>
      <c r="B1141" s="3">
        <v>43969</v>
      </c>
      <c r="C1141" s="4">
        <v>3.79</v>
      </c>
      <c r="D1141" s="4">
        <v>3.79</v>
      </c>
      <c r="E1141" s="4">
        <v>1433</v>
      </c>
      <c r="F1141" s="4">
        <v>3.7288000000000001</v>
      </c>
      <c r="G1141" s="4">
        <v>5343.3703999999998</v>
      </c>
      <c r="H1141" s="5">
        <f t="shared" si="17"/>
        <v>2.1563342318059318E-2</v>
      </c>
    </row>
    <row r="1142" spans="1:8" ht="13.5" x14ac:dyDescent="0.25">
      <c r="A1142" s="1"/>
      <c r="B1142" s="3">
        <v>43970</v>
      </c>
      <c r="C1142" s="4">
        <v>3.68</v>
      </c>
      <c r="D1142" s="4">
        <v>3.68</v>
      </c>
      <c r="E1142" s="4">
        <v>3494</v>
      </c>
      <c r="F1142" s="4">
        <v>3.8010999999999999</v>
      </c>
      <c r="G1142" s="4">
        <v>13281.0434</v>
      </c>
      <c r="H1142" s="5">
        <f t="shared" si="17"/>
        <v>-2.9023746701846934E-2</v>
      </c>
    </row>
    <row r="1143" spans="1:8" ht="13.5" x14ac:dyDescent="0.25">
      <c r="A1143" s="1"/>
      <c r="B1143" s="3">
        <v>43971</v>
      </c>
      <c r="C1143" s="4">
        <v>3.73</v>
      </c>
      <c r="D1143" s="4">
        <v>3.73</v>
      </c>
      <c r="E1143" s="4">
        <v>1864</v>
      </c>
      <c r="F1143" s="4">
        <v>3.58</v>
      </c>
      <c r="G1143" s="4">
        <v>6673.12</v>
      </c>
      <c r="H1143" s="5">
        <f t="shared" si="17"/>
        <v>1.3586956521739081E-2</v>
      </c>
    </row>
    <row r="1144" spans="1:8" ht="13.5" x14ac:dyDescent="0.25">
      <c r="A1144" s="1"/>
      <c r="B1144" s="3">
        <v>43972</v>
      </c>
      <c r="C1144" s="4">
        <v>3.75</v>
      </c>
      <c r="D1144" s="4">
        <v>3.75</v>
      </c>
      <c r="E1144" s="4">
        <v>31</v>
      </c>
      <c r="F1144" s="4">
        <v>3.7505999999999999</v>
      </c>
      <c r="G1144" s="4">
        <v>116.26860000000001</v>
      </c>
      <c r="H1144" s="5">
        <f t="shared" si="17"/>
        <v>5.3619302949061707E-3</v>
      </c>
    </row>
    <row r="1145" spans="1:8" ht="13.5" x14ac:dyDescent="0.25">
      <c r="A1145" s="1"/>
      <c r="B1145" s="3">
        <v>43973</v>
      </c>
      <c r="C1145" s="4">
        <v>3.82</v>
      </c>
      <c r="D1145" s="4">
        <v>3.82</v>
      </c>
      <c r="E1145" s="4">
        <v>1</v>
      </c>
      <c r="F1145" s="4">
        <v>3.82</v>
      </c>
      <c r="G1145" s="4">
        <v>3.82</v>
      </c>
      <c r="H1145" s="5">
        <f t="shared" si="17"/>
        <v>1.8666666666666623E-2</v>
      </c>
    </row>
    <row r="1146" spans="1:8" ht="13.5" x14ac:dyDescent="0.25">
      <c r="A1146" s="1"/>
      <c r="B1146" s="3">
        <v>43977</v>
      </c>
      <c r="C1146" s="4">
        <v>3.8</v>
      </c>
      <c r="D1146" s="4">
        <v>3.8</v>
      </c>
      <c r="E1146" s="4">
        <v>626</v>
      </c>
      <c r="F1146" s="4">
        <v>3.7111000000000001</v>
      </c>
      <c r="G1146" s="4">
        <v>2323.1486</v>
      </c>
      <c r="H1146" s="5">
        <f t="shared" si="17"/>
        <v>-5.2356020942408424E-3</v>
      </c>
    </row>
    <row r="1147" spans="1:8" ht="13.5" x14ac:dyDescent="0.25">
      <c r="A1147" s="1"/>
      <c r="B1147" s="3">
        <v>43978</v>
      </c>
      <c r="C1147" s="4">
        <v>3.79</v>
      </c>
      <c r="D1147" s="4">
        <v>3.79</v>
      </c>
      <c r="E1147" s="4">
        <v>1082</v>
      </c>
      <c r="F1147" s="4">
        <v>3.6978</v>
      </c>
      <c r="G1147" s="4">
        <v>4001.0196000000001</v>
      </c>
      <c r="H1147" s="5">
        <f t="shared" si="17"/>
        <v>-2.631578947368365E-3</v>
      </c>
    </row>
    <row r="1148" spans="1:8" ht="13.5" x14ac:dyDescent="0.25">
      <c r="A1148" s="1"/>
      <c r="B1148" s="3">
        <v>43979</v>
      </c>
      <c r="C1148" s="4">
        <v>3.68</v>
      </c>
      <c r="D1148" s="4">
        <v>3.68</v>
      </c>
      <c r="E1148" s="4">
        <v>1</v>
      </c>
      <c r="F1148" s="4">
        <v>3.68</v>
      </c>
      <c r="G1148" s="4">
        <v>3.68</v>
      </c>
      <c r="H1148" s="5">
        <f t="shared" si="17"/>
        <v>-2.9023746701846934E-2</v>
      </c>
    </row>
    <row r="1149" spans="1:8" ht="13.5" x14ac:dyDescent="0.25">
      <c r="A1149" s="1"/>
      <c r="B1149" s="3">
        <v>43980</v>
      </c>
      <c r="C1149" s="4">
        <v>3.57</v>
      </c>
      <c r="D1149" s="4">
        <v>3.57</v>
      </c>
      <c r="E1149" s="4">
        <v>2313</v>
      </c>
      <c r="F1149" s="4">
        <v>3.5842999999999998</v>
      </c>
      <c r="G1149" s="4">
        <v>8290.4858999999997</v>
      </c>
      <c r="H1149" s="5">
        <f t="shared" si="17"/>
        <v>-2.9891304347826171E-2</v>
      </c>
    </row>
    <row r="1150" spans="1:8" ht="13.5" x14ac:dyDescent="0.25">
      <c r="A1150" s="1"/>
      <c r="B1150" s="3">
        <v>43983</v>
      </c>
      <c r="C1150" s="4">
        <v>3.47</v>
      </c>
      <c r="D1150" s="4">
        <v>3.47</v>
      </c>
      <c r="E1150" s="4">
        <v>2100</v>
      </c>
      <c r="F1150" s="4">
        <v>3.47</v>
      </c>
      <c r="G1150" s="4">
        <v>7287</v>
      </c>
      <c r="H1150" s="5">
        <f t="shared" si="17"/>
        <v>-2.8011204481792618E-2</v>
      </c>
    </row>
    <row r="1151" spans="1:8" ht="13.5" x14ac:dyDescent="0.25">
      <c r="A1151" s="1"/>
      <c r="B1151" s="3">
        <v>43984</v>
      </c>
      <c r="C1151" s="4">
        <v>3.5</v>
      </c>
      <c r="D1151" s="4">
        <v>3.5</v>
      </c>
      <c r="E1151" s="4">
        <v>14261</v>
      </c>
      <c r="F1151" s="4">
        <v>3.4211999999999998</v>
      </c>
      <c r="G1151" s="4">
        <v>48789.733200000002</v>
      </c>
      <c r="H1151" s="5">
        <f t="shared" si="17"/>
        <v>8.6455331412103181E-3</v>
      </c>
    </row>
    <row r="1152" spans="1:8" ht="13.5" x14ac:dyDescent="0.25">
      <c r="A1152" s="1"/>
      <c r="B1152" s="3">
        <v>43985</v>
      </c>
      <c r="C1152" s="4">
        <v>3.58</v>
      </c>
      <c r="D1152" s="4">
        <v>3.58</v>
      </c>
      <c r="E1152" s="4">
        <v>2061</v>
      </c>
      <c r="F1152" s="4">
        <v>3.5762999999999998</v>
      </c>
      <c r="G1152" s="4">
        <v>7370.7542999999996</v>
      </c>
      <c r="H1152" s="5">
        <f t="shared" si="17"/>
        <v>2.2857142857142878E-2</v>
      </c>
    </row>
    <row r="1153" spans="1:8" ht="13.5" x14ac:dyDescent="0.25">
      <c r="A1153" s="1"/>
      <c r="B1153" s="3">
        <v>43986</v>
      </c>
      <c r="C1153" s="4">
        <v>3.58</v>
      </c>
      <c r="D1153" s="4">
        <v>3.58</v>
      </c>
      <c r="E1153" s="4">
        <v>50</v>
      </c>
      <c r="F1153" s="4">
        <v>3.58</v>
      </c>
      <c r="G1153" s="4">
        <v>179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3.58</v>
      </c>
      <c r="D1154" s="4">
        <v>3.58</v>
      </c>
      <c r="E1154" s="4">
        <v>3</v>
      </c>
      <c r="F1154" s="4">
        <v>3.6032999999999999</v>
      </c>
      <c r="G1154" s="4">
        <v>10.809900000000001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3.48</v>
      </c>
      <c r="D1155" s="4">
        <v>3.48</v>
      </c>
      <c r="E1155" s="4">
        <v>1</v>
      </c>
      <c r="F1155" s="4">
        <v>3.48</v>
      </c>
      <c r="G1155" s="4">
        <v>3.48</v>
      </c>
      <c r="H1155" s="5">
        <f t="shared" si="17"/>
        <v>-2.7932960893854771E-2</v>
      </c>
    </row>
    <row r="1156" spans="1:8" ht="13.5" x14ac:dyDescent="0.25">
      <c r="A1156" s="1"/>
      <c r="B1156" s="3">
        <v>43991</v>
      </c>
      <c r="C1156" s="4">
        <v>3.57</v>
      </c>
      <c r="D1156" s="4">
        <v>3.57</v>
      </c>
      <c r="E1156" s="4">
        <v>22300</v>
      </c>
      <c r="F1156" s="4">
        <v>3.2934000000000001</v>
      </c>
      <c r="G1156" s="4">
        <v>73442.820000000007</v>
      </c>
      <c r="H1156" s="5">
        <f t="shared" si="17"/>
        <v>2.5862068965517199E-2</v>
      </c>
    </row>
    <row r="1157" spans="1:8" ht="13.5" x14ac:dyDescent="0.25">
      <c r="A1157" s="1"/>
      <c r="B1157" s="3">
        <v>43992</v>
      </c>
      <c r="C1157" s="4">
        <v>3.53</v>
      </c>
      <c r="D1157" s="4">
        <v>3.53</v>
      </c>
      <c r="E1157" s="4">
        <v>5801</v>
      </c>
      <c r="F1157" s="4">
        <v>3.5065</v>
      </c>
      <c r="G1157" s="4">
        <v>20341.2065</v>
      </c>
      <c r="H1157" s="5">
        <f t="shared" si="17"/>
        <v>-1.1204481792717097E-2</v>
      </c>
    </row>
    <row r="1158" spans="1:8" ht="13.5" x14ac:dyDescent="0.25">
      <c r="A1158" s="1"/>
      <c r="B1158" s="3">
        <v>43993</v>
      </c>
      <c r="C1158" s="4">
        <v>3.53</v>
      </c>
      <c r="D1158" s="4">
        <v>3.53</v>
      </c>
      <c r="E1158" s="4">
        <v>67</v>
      </c>
      <c r="F1158" s="4">
        <v>3.5329999999999999</v>
      </c>
      <c r="G1158" s="4">
        <v>236.71100000000001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3.57</v>
      </c>
      <c r="D1159" s="4">
        <v>3.57</v>
      </c>
      <c r="E1159" s="4">
        <v>1</v>
      </c>
      <c r="F1159" s="4">
        <v>3.57</v>
      </c>
      <c r="G1159" s="4">
        <v>3.57</v>
      </c>
      <c r="H1159" s="5">
        <f t="shared" ref="H1159:H1222" si="18">(D1159-D1158)/D1158</f>
        <v>1.133144475920681E-2</v>
      </c>
    </row>
    <row r="1160" spans="1:8" ht="13.5" x14ac:dyDescent="0.25">
      <c r="A1160" s="1"/>
      <c r="B1160" s="3">
        <v>43997</v>
      </c>
      <c r="C1160" s="4">
        <v>3.57</v>
      </c>
      <c r="D1160" s="4">
        <v>3.57</v>
      </c>
      <c r="E1160" s="4">
        <v>201</v>
      </c>
      <c r="F1160" s="4">
        <v>3.5701000000000001</v>
      </c>
      <c r="G1160" s="4">
        <v>717.59010000000001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3.57</v>
      </c>
      <c r="D1161" s="4">
        <v>3.57</v>
      </c>
      <c r="E1161" s="4">
        <v>0</v>
      </c>
      <c r="F1161" s="4">
        <v>0</v>
      </c>
      <c r="G1161" s="4">
        <v>0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3.38</v>
      </c>
      <c r="D1162" s="4">
        <v>3.38</v>
      </c>
      <c r="E1162" s="4">
        <v>2049</v>
      </c>
      <c r="F1162" s="4">
        <v>3.3904999999999998</v>
      </c>
      <c r="G1162" s="4">
        <v>6947.1345000000001</v>
      </c>
      <c r="H1162" s="5">
        <f t="shared" si="18"/>
        <v>-5.3221288515406147E-2</v>
      </c>
    </row>
    <row r="1163" spans="1:8" ht="13.5" x14ac:dyDescent="0.25">
      <c r="A1163" s="1"/>
      <c r="B1163" s="3">
        <v>44000</v>
      </c>
      <c r="C1163" s="4">
        <v>3.37</v>
      </c>
      <c r="D1163" s="4">
        <v>3.37</v>
      </c>
      <c r="E1163" s="4">
        <v>10066</v>
      </c>
      <c r="F1163" s="4">
        <v>3.2841999999999998</v>
      </c>
      <c r="G1163" s="4">
        <v>33058.7572</v>
      </c>
      <c r="H1163" s="5">
        <f t="shared" si="18"/>
        <v>-2.9585798816567418E-3</v>
      </c>
    </row>
    <row r="1164" spans="1:8" ht="13.5" x14ac:dyDescent="0.25">
      <c r="A1164" s="1"/>
      <c r="B1164" s="3">
        <v>44001</v>
      </c>
      <c r="C1164" s="4">
        <v>3.46</v>
      </c>
      <c r="D1164" s="4">
        <v>3.46</v>
      </c>
      <c r="E1164" s="4">
        <v>573</v>
      </c>
      <c r="F1164" s="4">
        <v>3.3956</v>
      </c>
      <c r="G1164" s="4">
        <v>1945.6787999999999</v>
      </c>
      <c r="H1164" s="5">
        <f t="shared" si="18"/>
        <v>2.6706231454005892E-2</v>
      </c>
    </row>
    <row r="1165" spans="1:8" ht="13.5" x14ac:dyDescent="0.25">
      <c r="A1165" s="1"/>
      <c r="B1165" s="3">
        <v>44004</v>
      </c>
      <c r="C1165" s="4">
        <v>3.38</v>
      </c>
      <c r="D1165" s="4">
        <v>3.38</v>
      </c>
      <c r="E1165" s="4">
        <v>3897</v>
      </c>
      <c r="F1165" s="4">
        <v>3.3694999999999999</v>
      </c>
      <c r="G1165" s="4">
        <v>13130.941500000001</v>
      </c>
      <c r="H1165" s="5">
        <f t="shared" si="18"/>
        <v>-2.3121387283237014E-2</v>
      </c>
    </row>
    <row r="1166" spans="1:8" ht="13.5" x14ac:dyDescent="0.25">
      <c r="A1166" s="1"/>
      <c r="B1166" s="3">
        <v>44005</v>
      </c>
      <c r="C1166" s="4">
        <v>3.58</v>
      </c>
      <c r="D1166" s="4">
        <v>3.58</v>
      </c>
      <c r="E1166" s="4">
        <v>14092</v>
      </c>
      <c r="F1166" s="4">
        <v>3.5253000000000001</v>
      </c>
      <c r="G1166" s="4">
        <v>49678.527600000001</v>
      </c>
      <c r="H1166" s="5">
        <f t="shared" si="18"/>
        <v>5.9171597633136147E-2</v>
      </c>
    </row>
    <row r="1167" spans="1:8" ht="13.5" x14ac:dyDescent="0.25">
      <c r="A1167" s="1"/>
      <c r="B1167" s="3">
        <v>44006</v>
      </c>
      <c r="C1167" s="4">
        <v>3.79</v>
      </c>
      <c r="D1167" s="4">
        <v>3.79</v>
      </c>
      <c r="E1167" s="4">
        <v>26981</v>
      </c>
      <c r="F1167" s="4">
        <v>3.7046000000000001</v>
      </c>
      <c r="G1167" s="4">
        <v>99953.812600000005</v>
      </c>
      <c r="H1167" s="5">
        <f t="shared" si="18"/>
        <v>5.8659217877094959E-2</v>
      </c>
    </row>
    <row r="1168" spans="1:8" ht="13.5" x14ac:dyDescent="0.25">
      <c r="A1168" s="1"/>
      <c r="B1168" s="3">
        <v>44007</v>
      </c>
      <c r="C1168" s="4">
        <v>4.0199999999999996</v>
      </c>
      <c r="D1168" s="4">
        <v>4.0199999999999996</v>
      </c>
      <c r="E1168" s="4">
        <v>21205</v>
      </c>
      <c r="F1168" s="4">
        <v>3.8919999999999999</v>
      </c>
      <c r="G1168" s="4">
        <v>82529.86</v>
      </c>
      <c r="H1168" s="5">
        <f t="shared" si="18"/>
        <v>6.0686015831134442E-2</v>
      </c>
    </row>
    <row r="1169" spans="1:8" ht="13.5" x14ac:dyDescent="0.25">
      <c r="A1169" s="1"/>
      <c r="B1169" s="3">
        <v>44008</v>
      </c>
      <c r="C1169" s="4">
        <v>4.25</v>
      </c>
      <c r="D1169" s="4">
        <v>4.25</v>
      </c>
      <c r="E1169" s="4">
        <v>23921</v>
      </c>
      <c r="F1169" s="4">
        <v>4.2293000000000003</v>
      </c>
      <c r="G1169" s="4">
        <v>101169.08530000001</v>
      </c>
      <c r="H1169" s="5">
        <f t="shared" si="18"/>
        <v>5.7213930348258821E-2</v>
      </c>
    </row>
    <row r="1170" spans="1:8" ht="13.5" x14ac:dyDescent="0.25">
      <c r="A1170" s="1"/>
      <c r="B1170" s="3">
        <v>44011</v>
      </c>
      <c r="C1170" s="4">
        <v>4.3</v>
      </c>
      <c r="D1170" s="4">
        <v>4.3</v>
      </c>
      <c r="E1170" s="4">
        <v>6144</v>
      </c>
      <c r="F1170" s="4">
        <v>4.1936999999999998</v>
      </c>
      <c r="G1170" s="4">
        <v>25766.092799999999</v>
      </c>
      <c r="H1170" s="5">
        <f t="shared" si="18"/>
        <v>1.1764705882352899E-2</v>
      </c>
    </row>
    <row r="1171" spans="1:8" ht="13.5" x14ac:dyDescent="0.25">
      <c r="A1171" s="1"/>
      <c r="B1171" s="3">
        <v>44012</v>
      </c>
      <c r="C1171" s="4">
        <v>4.5599999999999996</v>
      </c>
      <c r="D1171" s="4">
        <v>4.5599999999999996</v>
      </c>
      <c r="E1171" s="4">
        <v>19869</v>
      </c>
      <c r="F1171" s="4">
        <v>4.4969999999999999</v>
      </c>
      <c r="G1171" s="4">
        <v>89350.892999999996</v>
      </c>
      <c r="H1171" s="5">
        <f t="shared" si="18"/>
        <v>6.0465116279069718E-2</v>
      </c>
    </row>
    <row r="1172" spans="1:8" ht="13.5" x14ac:dyDescent="0.25">
      <c r="A1172" s="1"/>
      <c r="B1172" s="3">
        <v>44013</v>
      </c>
      <c r="C1172" s="4">
        <v>4.7</v>
      </c>
      <c r="D1172" s="4">
        <v>4.7</v>
      </c>
      <c r="E1172" s="4">
        <v>5483</v>
      </c>
      <c r="F1172" s="4">
        <v>4.6388999999999996</v>
      </c>
      <c r="G1172" s="4">
        <v>25435.0887</v>
      </c>
      <c r="H1172" s="5">
        <f t="shared" si="18"/>
        <v>3.0701754385965039E-2</v>
      </c>
    </row>
    <row r="1173" spans="1:8" ht="13.5" x14ac:dyDescent="0.25">
      <c r="A1173" s="1"/>
      <c r="B1173" s="3">
        <v>44014</v>
      </c>
      <c r="C1173" s="4">
        <v>4.8099999999999996</v>
      </c>
      <c r="D1173" s="4">
        <v>4.8099999999999996</v>
      </c>
      <c r="E1173" s="4">
        <v>13456</v>
      </c>
      <c r="F1173" s="4">
        <v>4.6769999999999996</v>
      </c>
      <c r="G1173" s="4">
        <v>62933.712</v>
      </c>
      <c r="H1173" s="5">
        <f t="shared" si="18"/>
        <v>2.3404255319148814E-2</v>
      </c>
    </row>
    <row r="1174" spans="1:8" ht="13.5" x14ac:dyDescent="0.25">
      <c r="A1174" s="1"/>
      <c r="B1174" s="3">
        <v>44015</v>
      </c>
      <c r="C1174" s="4">
        <v>4.8899999999999997</v>
      </c>
      <c r="D1174" s="4">
        <v>4.8899999999999997</v>
      </c>
      <c r="E1174" s="4">
        <v>12414</v>
      </c>
      <c r="F1174" s="4">
        <v>4.8952</v>
      </c>
      <c r="G1174" s="4">
        <v>60769.012799999997</v>
      </c>
      <c r="H1174" s="5">
        <f t="shared" si="18"/>
        <v>1.6632016632016647E-2</v>
      </c>
    </row>
    <row r="1175" spans="1:8" ht="13.5" x14ac:dyDescent="0.25">
      <c r="A1175" s="1"/>
      <c r="B1175" s="3">
        <v>44018</v>
      </c>
      <c r="C1175" s="4">
        <v>4.78</v>
      </c>
      <c r="D1175" s="4">
        <v>4.78</v>
      </c>
      <c r="E1175" s="4">
        <v>16357</v>
      </c>
      <c r="F1175" s="4">
        <v>4.7492000000000001</v>
      </c>
      <c r="G1175" s="4">
        <v>77682.664399999994</v>
      </c>
      <c r="H1175" s="5">
        <f t="shared" si="18"/>
        <v>-2.2494887525562259E-2</v>
      </c>
    </row>
    <row r="1176" spans="1:8" ht="13.5" x14ac:dyDescent="0.25">
      <c r="A1176" s="1"/>
      <c r="B1176" s="3">
        <v>44019</v>
      </c>
      <c r="C1176" s="4">
        <v>4.8499999999999996</v>
      </c>
      <c r="D1176" s="4">
        <v>4.8499999999999996</v>
      </c>
      <c r="E1176" s="4">
        <v>10971</v>
      </c>
      <c r="F1176" s="4">
        <v>4.8132999999999999</v>
      </c>
      <c r="G1176" s="4">
        <v>52806.7143</v>
      </c>
      <c r="H1176" s="5">
        <f t="shared" si="18"/>
        <v>1.464435146443502E-2</v>
      </c>
    </row>
    <row r="1177" spans="1:8" ht="13.5" x14ac:dyDescent="0.25">
      <c r="A1177" s="1"/>
      <c r="B1177" s="3">
        <v>44020</v>
      </c>
      <c r="C1177" s="4">
        <v>4.99</v>
      </c>
      <c r="D1177" s="4">
        <v>4.99</v>
      </c>
      <c r="E1177" s="4">
        <v>22258</v>
      </c>
      <c r="F1177" s="4">
        <v>4.9729000000000001</v>
      </c>
      <c r="G1177" s="4">
        <v>110686.8082</v>
      </c>
      <c r="H1177" s="5">
        <f t="shared" si="18"/>
        <v>2.8865979381443418E-2</v>
      </c>
    </row>
    <row r="1178" spans="1:8" ht="13.5" x14ac:dyDescent="0.25">
      <c r="A1178" s="1"/>
      <c r="B1178" s="3">
        <v>44021</v>
      </c>
      <c r="C1178" s="4">
        <v>5.12</v>
      </c>
      <c r="D1178" s="4">
        <v>5.12</v>
      </c>
      <c r="E1178" s="4">
        <v>20031</v>
      </c>
      <c r="F1178" s="4">
        <v>5.1364000000000001</v>
      </c>
      <c r="G1178" s="4">
        <v>102887.22840000001</v>
      </c>
      <c r="H1178" s="5">
        <f t="shared" si="18"/>
        <v>2.6052104208416811E-2</v>
      </c>
    </row>
    <row r="1179" spans="1:8" ht="13.5" x14ac:dyDescent="0.25">
      <c r="A1179" s="1"/>
      <c r="B1179" s="3">
        <v>44022</v>
      </c>
      <c r="C1179" s="4">
        <v>5.09</v>
      </c>
      <c r="D1179" s="4">
        <v>5.09</v>
      </c>
      <c r="E1179" s="4">
        <v>16410</v>
      </c>
      <c r="F1179" s="4">
        <v>5.0243000000000002</v>
      </c>
      <c r="G1179" s="4">
        <v>82448.763000000006</v>
      </c>
      <c r="H1179" s="5">
        <f t="shared" si="18"/>
        <v>-5.8593750000000486E-3</v>
      </c>
    </row>
    <row r="1180" spans="1:8" ht="13.5" x14ac:dyDescent="0.25">
      <c r="A1180" s="1"/>
      <c r="B1180" s="3">
        <v>44025</v>
      </c>
      <c r="C1180" s="4">
        <v>4.9400000000000004</v>
      </c>
      <c r="D1180" s="4">
        <v>4.9400000000000004</v>
      </c>
      <c r="E1180" s="4">
        <v>1519</v>
      </c>
      <c r="F1180" s="4">
        <v>5.0038</v>
      </c>
      <c r="G1180" s="4">
        <v>7600.7722000000003</v>
      </c>
      <c r="H1180" s="5">
        <f t="shared" si="18"/>
        <v>-2.9469548133595182E-2</v>
      </c>
    </row>
    <row r="1181" spans="1:8" ht="13.5" x14ac:dyDescent="0.25">
      <c r="A1181" s="1"/>
      <c r="B1181" s="3">
        <v>44026</v>
      </c>
      <c r="C1181" s="4">
        <v>4.99</v>
      </c>
      <c r="D1181" s="4">
        <v>4.99</v>
      </c>
      <c r="E1181" s="4">
        <v>12544</v>
      </c>
      <c r="F1181" s="4">
        <v>4.9101999999999997</v>
      </c>
      <c r="G1181" s="4">
        <v>61593.548799999997</v>
      </c>
      <c r="H1181" s="5">
        <f t="shared" si="18"/>
        <v>1.0121457489878506E-2</v>
      </c>
    </row>
    <row r="1182" spans="1:8" ht="13.5" x14ac:dyDescent="0.25">
      <c r="A1182" s="1"/>
      <c r="B1182" s="3">
        <v>44027</v>
      </c>
      <c r="C1182" s="4">
        <v>4.8499999999999996</v>
      </c>
      <c r="D1182" s="4">
        <v>4.8499999999999996</v>
      </c>
      <c r="E1182" s="4">
        <v>1484</v>
      </c>
      <c r="F1182" s="4">
        <v>4.8533999999999997</v>
      </c>
      <c r="G1182" s="4">
        <v>7202.4456</v>
      </c>
      <c r="H1182" s="5">
        <f t="shared" si="18"/>
        <v>-2.8056112224449009E-2</v>
      </c>
    </row>
    <row r="1183" spans="1:8" ht="13.5" x14ac:dyDescent="0.25">
      <c r="A1183" s="1"/>
      <c r="B1183" s="3">
        <v>44028</v>
      </c>
      <c r="C1183" s="4">
        <v>4.8</v>
      </c>
      <c r="D1183" s="4">
        <v>4.8</v>
      </c>
      <c r="E1183" s="4">
        <v>2935</v>
      </c>
      <c r="F1183" s="4">
        <v>4.8329000000000004</v>
      </c>
      <c r="G1183" s="4">
        <v>14184.5615</v>
      </c>
      <c r="H1183" s="5">
        <f t="shared" si="18"/>
        <v>-1.0309278350515427E-2</v>
      </c>
    </row>
    <row r="1184" spans="1:8" ht="13.5" x14ac:dyDescent="0.25">
      <c r="A1184" s="1"/>
      <c r="B1184" s="3">
        <v>44029</v>
      </c>
      <c r="C1184" s="4">
        <v>4.8</v>
      </c>
      <c r="D1184" s="4">
        <v>4.8</v>
      </c>
      <c r="E1184" s="4">
        <v>3096</v>
      </c>
      <c r="F1184" s="4">
        <v>4.7317999999999998</v>
      </c>
      <c r="G1184" s="4">
        <v>14649.6528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4.75</v>
      </c>
      <c r="D1185" s="4">
        <v>4.75</v>
      </c>
      <c r="E1185" s="4">
        <v>3016</v>
      </c>
      <c r="F1185" s="4">
        <v>4.7541000000000002</v>
      </c>
      <c r="G1185" s="4">
        <v>14338.365599999999</v>
      </c>
      <c r="H1185" s="5">
        <f t="shared" si="18"/>
        <v>-1.041666666666663E-2</v>
      </c>
    </row>
    <row r="1186" spans="1:8" ht="13.5" x14ac:dyDescent="0.25">
      <c r="A1186" s="1"/>
      <c r="B1186" s="3">
        <v>44033</v>
      </c>
      <c r="C1186" s="4">
        <v>4.75</v>
      </c>
      <c r="D1186" s="4">
        <v>4.75</v>
      </c>
      <c r="E1186" s="4">
        <v>3001</v>
      </c>
      <c r="F1186" s="4">
        <v>4.7445000000000004</v>
      </c>
      <c r="G1186" s="4">
        <v>14238.244500000001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4.84</v>
      </c>
      <c r="D1187" s="4">
        <v>4.84</v>
      </c>
      <c r="E1187" s="4">
        <v>51963</v>
      </c>
      <c r="F1187" s="4">
        <v>4.9336000000000002</v>
      </c>
      <c r="G1187" s="4">
        <v>256364.6568</v>
      </c>
      <c r="H1187" s="5">
        <f t="shared" si="18"/>
        <v>1.8947368421052602E-2</v>
      </c>
    </row>
    <row r="1188" spans="1:8" ht="13.5" x14ac:dyDescent="0.25">
      <c r="A1188" s="1"/>
      <c r="B1188" s="3">
        <v>44035</v>
      </c>
      <c r="C1188" s="4">
        <v>4.99</v>
      </c>
      <c r="D1188" s="4">
        <v>4.99</v>
      </c>
      <c r="E1188" s="4">
        <v>9030</v>
      </c>
      <c r="F1188" s="4">
        <v>4.9474</v>
      </c>
      <c r="G1188" s="4">
        <v>44675.021999999997</v>
      </c>
      <c r="H1188" s="5">
        <f t="shared" si="18"/>
        <v>3.0991735537190156E-2</v>
      </c>
    </row>
    <row r="1189" spans="1:8" ht="13.5" x14ac:dyDescent="0.25">
      <c r="A1189" s="1"/>
      <c r="B1189" s="3">
        <v>44036</v>
      </c>
      <c r="C1189" s="4">
        <v>5.09</v>
      </c>
      <c r="D1189" s="4">
        <v>5.09</v>
      </c>
      <c r="E1189" s="4">
        <v>15761</v>
      </c>
      <c r="F1189" s="4">
        <v>5.0694999999999997</v>
      </c>
      <c r="G1189" s="4">
        <v>79900.389500000005</v>
      </c>
      <c r="H1189" s="5">
        <f t="shared" si="18"/>
        <v>2.0040080160320568E-2</v>
      </c>
    </row>
    <row r="1190" spans="1:8" ht="13.5" x14ac:dyDescent="0.25">
      <c r="A1190" s="1"/>
      <c r="B1190" s="3">
        <v>44039</v>
      </c>
      <c r="C1190" s="4">
        <v>5.0999999999999996</v>
      </c>
      <c r="D1190" s="4">
        <v>5.0999999999999996</v>
      </c>
      <c r="E1190" s="4">
        <v>15365</v>
      </c>
      <c r="F1190" s="4">
        <v>5.1425999999999998</v>
      </c>
      <c r="G1190" s="4">
        <v>79016.048999999999</v>
      </c>
      <c r="H1190" s="5">
        <f t="shared" si="18"/>
        <v>1.9646365422396439E-3</v>
      </c>
    </row>
    <row r="1191" spans="1:8" ht="13.5" x14ac:dyDescent="0.25">
      <c r="A1191" s="1"/>
      <c r="B1191" s="3">
        <v>44040</v>
      </c>
      <c r="C1191" s="4">
        <v>5.19</v>
      </c>
      <c r="D1191" s="4">
        <v>5.19</v>
      </c>
      <c r="E1191" s="4">
        <v>6833</v>
      </c>
      <c r="F1191" s="4">
        <v>5.1239999999999997</v>
      </c>
      <c r="G1191" s="4">
        <v>35012.292000000001</v>
      </c>
      <c r="H1191" s="5">
        <f t="shared" si="18"/>
        <v>1.7647058823529561E-2</v>
      </c>
    </row>
    <row r="1192" spans="1:8" ht="13.5" x14ac:dyDescent="0.25">
      <c r="A1192" s="1"/>
      <c r="B1192" s="3">
        <v>44041</v>
      </c>
      <c r="C1192" s="4">
        <v>5.0599999999999996</v>
      </c>
      <c r="D1192" s="4">
        <v>5.0599999999999996</v>
      </c>
      <c r="E1192" s="4">
        <v>947</v>
      </c>
      <c r="F1192" s="4">
        <v>5.1227999999999998</v>
      </c>
      <c r="G1192" s="4">
        <v>4851.2915999999996</v>
      </c>
      <c r="H1192" s="5">
        <f t="shared" si="18"/>
        <v>-2.5048169556840225E-2</v>
      </c>
    </row>
    <row r="1193" spans="1:8" ht="13.5" x14ac:dyDescent="0.25">
      <c r="A1193" s="1"/>
      <c r="B1193" s="3">
        <v>44042</v>
      </c>
      <c r="C1193" s="4">
        <v>5.03</v>
      </c>
      <c r="D1193" s="4">
        <v>5.03</v>
      </c>
      <c r="E1193" s="4">
        <v>5153</v>
      </c>
      <c r="F1193" s="4">
        <v>5.0932000000000004</v>
      </c>
      <c r="G1193" s="4">
        <v>26245.259600000001</v>
      </c>
      <c r="H1193" s="5">
        <f t="shared" si="18"/>
        <v>-5.9288537549405853E-3</v>
      </c>
    </row>
    <row r="1194" spans="1:8" ht="13.5" x14ac:dyDescent="0.25">
      <c r="A1194" s="1"/>
      <c r="B1194" s="3">
        <v>44046</v>
      </c>
      <c r="C1194" s="4">
        <v>4.99</v>
      </c>
      <c r="D1194" s="4">
        <v>4.99</v>
      </c>
      <c r="E1194" s="4">
        <v>204</v>
      </c>
      <c r="F1194" s="4">
        <v>5.0599999999999996</v>
      </c>
      <c r="G1194" s="4">
        <v>1032.24</v>
      </c>
      <c r="H1194" s="5">
        <f t="shared" si="18"/>
        <v>-7.9522862823061691E-3</v>
      </c>
    </row>
    <row r="1195" spans="1:8" ht="13.5" x14ac:dyDescent="0.25">
      <c r="A1195" s="1"/>
      <c r="B1195" s="3">
        <v>44047</v>
      </c>
      <c r="C1195" s="4">
        <v>5.07</v>
      </c>
      <c r="D1195" s="4">
        <v>5.07</v>
      </c>
      <c r="E1195" s="4">
        <v>8696</v>
      </c>
      <c r="F1195" s="4">
        <v>5.0542999999999996</v>
      </c>
      <c r="G1195" s="4">
        <v>43952.192799999997</v>
      </c>
      <c r="H1195" s="5">
        <f t="shared" si="18"/>
        <v>1.6032064128256526E-2</v>
      </c>
    </row>
    <row r="1196" spans="1:8" ht="13.5" x14ac:dyDescent="0.25">
      <c r="A1196" s="1"/>
      <c r="B1196" s="3">
        <v>44048</v>
      </c>
      <c r="C1196" s="4">
        <v>5.07</v>
      </c>
      <c r="D1196" s="4">
        <v>5.07</v>
      </c>
      <c r="E1196" s="4">
        <v>18229</v>
      </c>
      <c r="F1196" s="4">
        <v>4.9534000000000002</v>
      </c>
      <c r="G1196" s="4">
        <v>90295.528600000005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5.0199999999999996</v>
      </c>
      <c r="D1197" s="4">
        <v>5.0199999999999996</v>
      </c>
      <c r="E1197" s="4">
        <v>6987</v>
      </c>
      <c r="F1197" s="4">
        <v>4.9607000000000001</v>
      </c>
      <c r="G1197" s="4">
        <v>34660.410900000003</v>
      </c>
      <c r="H1197" s="5">
        <f t="shared" si="18"/>
        <v>-9.8619329388561546E-3</v>
      </c>
    </row>
    <row r="1198" spans="1:8" ht="13.5" x14ac:dyDescent="0.25">
      <c r="A1198" s="1"/>
      <c r="B1198" s="3">
        <v>44050</v>
      </c>
      <c r="C1198" s="4">
        <v>4.9800000000000004</v>
      </c>
      <c r="D1198" s="4">
        <v>4.9800000000000004</v>
      </c>
      <c r="E1198" s="4">
        <v>461</v>
      </c>
      <c r="F1198" s="4">
        <v>4.9623999999999997</v>
      </c>
      <c r="G1198" s="4">
        <v>2287.6664000000001</v>
      </c>
      <c r="H1198" s="5">
        <f t="shared" si="18"/>
        <v>-7.9681274900396722E-3</v>
      </c>
    </row>
    <row r="1199" spans="1:8" ht="13.5" x14ac:dyDescent="0.25">
      <c r="A1199" s="1"/>
      <c r="B1199" s="3">
        <v>44053</v>
      </c>
      <c r="C1199" s="4">
        <v>4.8899999999999997</v>
      </c>
      <c r="D1199" s="4">
        <v>4.8899999999999997</v>
      </c>
      <c r="E1199" s="4">
        <v>10842</v>
      </c>
      <c r="F1199" s="4">
        <v>4.9588999999999999</v>
      </c>
      <c r="G1199" s="4">
        <v>53764.393799999998</v>
      </c>
      <c r="H1199" s="5">
        <f t="shared" si="18"/>
        <v>-1.8072289156626654E-2</v>
      </c>
    </row>
    <row r="1200" spans="1:8" ht="13.5" x14ac:dyDescent="0.25">
      <c r="A1200" s="1"/>
      <c r="B1200" s="3">
        <v>44054</v>
      </c>
      <c r="C1200" s="4">
        <v>4.8899999999999997</v>
      </c>
      <c r="D1200" s="4">
        <v>4.8899999999999997</v>
      </c>
      <c r="E1200" s="4">
        <v>9724</v>
      </c>
      <c r="F1200" s="4">
        <v>4.8644999999999996</v>
      </c>
      <c r="G1200" s="4">
        <v>47302.398000000001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4.87</v>
      </c>
      <c r="D1201" s="4">
        <v>4.87</v>
      </c>
      <c r="E1201" s="4">
        <v>17322</v>
      </c>
      <c r="F1201" s="4">
        <v>4.7561</v>
      </c>
      <c r="G1201" s="4">
        <v>82385.164199999999</v>
      </c>
      <c r="H1201" s="5">
        <f t="shared" si="18"/>
        <v>-4.0899795501021623E-3</v>
      </c>
    </row>
    <row r="1202" spans="1:8" ht="13.5" x14ac:dyDescent="0.25">
      <c r="A1202" s="1"/>
      <c r="B1202" s="3">
        <v>44057</v>
      </c>
      <c r="C1202" s="4">
        <v>4.95</v>
      </c>
      <c r="D1202" s="4">
        <v>4.95</v>
      </c>
      <c r="E1202" s="4">
        <v>5171</v>
      </c>
      <c r="F1202" s="4">
        <v>4.8985000000000003</v>
      </c>
      <c r="G1202" s="4">
        <v>25330.143499999998</v>
      </c>
      <c r="H1202" s="5">
        <f t="shared" si="18"/>
        <v>1.6427104722792622E-2</v>
      </c>
    </row>
    <row r="1203" spans="1:8" ht="13.5" x14ac:dyDescent="0.25">
      <c r="A1203" s="1"/>
      <c r="B1203" s="3">
        <v>44060</v>
      </c>
      <c r="C1203" s="4">
        <v>4.84</v>
      </c>
      <c r="D1203" s="4">
        <v>4.84</v>
      </c>
      <c r="E1203" s="4">
        <v>1765</v>
      </c>
      <c r="F1203" s="4">
        <v>4.8628</v>
      </c>
      <c r="G1203" s="4">
        <v>8582.8420000000006</v>
      </c>
      <c r="H1203" s="5">
        <f t="shared" si="18"/>
        <v>-2.2222222222222286E-2</v>
      </c>
    </row>
    <row r="1204" spans="1:8" ht="13.5" x14ac:dyDescent="0.25">
      <c r="A1204" s="1"/>
      <c r="B1204" s="3">
        <v>44061</v>
      </c>
      <c r="C1204" s="4">
        <v>4.9400000000000004</v>
      </c>
      <c r="D1204" s="4">
        <v>4.9400000000000004</v>
      </c>
      <c r="E1204" s="4">
        <v>5518</v>
      </c>
      <c r="F1204" s="4">
        <v>4.9352</v>
      </c>
      <c r="G1204" s="4">
        <v>27232.4336</v>
      </c>
      <c r="H1204" s="5">
        <f t="shared" si="18"/>
        <v>2.06611570247935E-2</v>
      </c>
    </row>
    <row r="1205" spans="1:8" ht="13.5" x14ac:dyDescent="0.25">
      <c r="A1205" s="1"/>
      <c r="B1205" s="3">
        <v>44062</v>
      </c>
      <c r="C1205" s="4">
        <v>4.83</v>
      </c>
      <c r="D1205" s="4">
        <v>4.83</v>
      </c>
      <c r="E1205" s="4">
        <v>13957</v>
      </c>
      <c r="F1205" s="4">
        <v>4.8681000000000001</v>
      </c>
      <c r="G1205" s="4">
        <v>67944.0717</v>
      </c>
      <c r="H1205" s="5">
        <f t="shared" si="18"/>
        <v>-2.2267206477732858E-2</v>
      </c>
    </row>
    <row r="1206" spans="1:8" ht="13.5" x14ac:dyDescent="0.25">
      <c r="A1206" s="1"/>
      <c r="B1206" s="3">
        <v>44064</v>
      </c>
      <c r="C1206" s="4">
        <v>4.7</v>
      </c>
      <c r="D1206" s="4">
        <v>4.7</v>
      </c>
      <c r="E1206" s="4">
        <v>15706</v>
      </c>
      <c r="F1206" s="4">
        <v>4.7103000000000002</v>
      </c>
      <c r="G1206" s="4">
        <v>73979.971799999999</v>
      </c>
      <c r="H1206" s="5">
        <f t="shared" si="18"/>
        <v>-2.6915113871635588E-2</v>
      </c>
    </row>
    <row r="1207" spans="1:8" ht="13.5" x14ac:dyDescent="0.25">
      <c r="A1207" s="1"/>
      <c r="B1207" s="3">
        <v>44067</v>
      </c>
      <c r="C1207" s="4">
        <v>4.72</v>
      </c>
      <c r="D1207" s="4">
        <v>4.72</v>
      </c>
      <c r="E1207" s="4">
        <v>4420</v>
      </c>
      <c r="F1207" s="4">
        <v>4.7302</v>
      </c>
      <c r="G1207" s="4">
        <v>20907.484</v>
      </c>
      <c r="H1207" s="5">
        <f t="shared" si="18"/>
        <v>4.2553191489360792E-3</v>
      </c>
    </row>
    <row r="1208" spans="1:8" ht="13.5" x14ac:dyDescent="0.25">
      <c r="A1208" s="1"/>
      <c r="B1208" s="3">
        <v>44068</v>
      </c>
      <c r="C1208" s="4">
        <v>5</v>
      </c>
      <c r="D1208" s="4">
        <v>5</v>
      </c>
      <c r="E1208" s="4">
        <v>46871</v>
      </c>
      <c r="F1208" s="4">
        <v>4.8677999999999999</v>
      </c>
      <c r="G1208" s="4">
        <v>228158.6538</v>
      </c>
      <c r="H1208" s="5">
        <f t="shared" si="18"/>
        <v>5.9322033898305142E-2</v>
      </c>
    </row>
    <row r="1209" spans="1:8" ht="13.5" x14ac:dyDescent="0.25">
      <c r="A1209" s="1"/>
      <c r="B1209" s="3">
        <v>44069</v>
      </c>
      <c r="C1209" s="4">
        <v>5.3</v>
      </c>
      <c r="D1209" s="4">
        <v>5.3</v>
      </c>
      <c r="E1209" s="4">
        <v>24453</v>
      </c>
      <c r="F1209" s="4">
        <v>5.2521000000000004</v>
      </c>
      <c r="G1209" s="4">
        <v>128429.60129999999</v>
      </c>
      <c r="H1209" s="5">
        <f t="shared" si="18"/>
        <v>5.9999999999999963E-2</v>
      </c>
    </row>
    <row r="1210" spans="1:8" ht="13.5" x14ac:dyDescent="0.25">
      <c r="A1210" s="1"/>
      <c r="B1210" s="3">
        <v>44070</v>
      </c>
      <c r="C1210" s="4">
        <v>5.3</v>
      </c>
      <c r="D1210" s="4">
        <v>5.3</v>
      </c>
      <c r="E1210" s="4">
        <v>11217</v>
      </c>
      <c r="F1210" s="4">
        <v>5.3464</v>
      </c>
      <c r="G1210" s="4">
        <v>59970.568800000001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5.17</v>
      </c>
      <c r="D1211" s="4">
        <v>5.17</v>
      </c>
      <c r="E1211" s="4">
        <v>7611</v>
      </c>
      <c r="F1211" s="4">
        <v>5.1714000000000002</v>
      </c>
      <c r="G1211" s="4">
        <v>39359.525399999999</v>
      </c>
      <c r="H1211" s="5">
        <f t="shared" si="18"/>
        <v>-2.4528301886792434E-2</v>
      </c>
    </row>
    <row r="1212" spans="1:8" ht="13.5" x14ac:dyDescent="0.25">
      <c r="A1212" s="1"/>
      <c r="B1212" s="3">
        <v>44074</v>
      </c>
      <c r="C1212" s="4">
        <v>4.9800000000000004</v>
      </c>
      <c r="D1212" s="4">
        <v>4.9800000000000004</v>
      </c>
      <c r="E1212" s="4">
        <v>19301</v>
      </c>
      <c r="F1212" s="4">
        <v>5.0244</v>
      </c>
      <c r="G1212" s="4">
        <v>96975.944399999993</v>
      </c>
      <c r="H1212" s="5">
        <f t="shared" si="18"/>
        <v>-3.6750483558994101E-2</v>
      </c>
    </row>
    <row r="1213" spans="1:8" ht="13.5" x14ac:dyDescent="0.25">
      <c r="A1213" s="1"/>
      <c r="B1213" s="3">
        <v>44075</v>
      </c>
      <c r="C1213" s="4">
        <v>5.08</v>
      </c>
      <c r="D1213" s="4">
        <v>5.08</v>
      </c>
      <c r="E1213" s="4">
        <v>707</v>
      </c>
      <c r="F1213" s="4">
        <v>5.0530999999999997</v>
      </c>
      <c r="G1213" s="4">
        <v>3572.5417000000002</v>
      </c>
      <c r="H1213" s="5">
        <f t="shared" si="18"/>
        <v>2.0080321285140489E-2</v>
      </c>
    </row>
    <row r="1214" spans="1:8" ht="13.5" x14ac:dyDescent="0.25">
      <c r="A1214" s="1"/>
      <c r="B1214" s="3">
        <v>44076</v>
      </c>
      <c r="C1214" s="4">
        <v>5.08</v>
      </c>
      <c r="D1214" s="4">
        <v>5.08</v>
      </c>
      <c r="E1214" s="4">
        <v>5683</v>
      </c>
      <c r="F1214" s="4">
        <v>5.0579000000000001</v>
      </c>
      <c r="G1214" s="4">
        <v>28744.045699999999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5.0599999999999996</v>
      </c>
      <c r="D1215" s="4">
        <v>5.0599999999999996</v>
      </c>
      <c r="E1215" s="4">
        <v>4171</v>
      </c>
      <c r="F1215" s="4">
        <v>5.0513000000000003</v>
      </c>
      <c r="G1215" s="4">
        <v>21068.972300000001</v>
      </c>
      <c r="H1215" s="5">
        <f t="shared" si="18"/>
        <v>-3.937007874015839E-3</v>
      </c>
    </row>
    <row r="1216" spans="1:8" ht="13.5" x14ac:dyDescent="0.25">
      <c r="A1216" s="1"/>
      <c r="B1216" s="3">
        <v>44078</v>
      </c>
      <c r="C1216" s="4">
        <v>5.12</v>
      </c>
      <c r="D1216" s="4">
        <v>5.12</v>
      </c>
      <c r="E1216" s="4">
        <v>1294</v>
      </c>
      <c r="F1216" s="4">
        <v>5.0880999999999998</v>
      </c>
      <c r="G1216" s="4">
        <v>6584.0014000000001</v>
      </c>
      <c r="H1216" s="5">
        <f t="shared" si="18"/>
        <v>1.1857707509881523E-2</v>
      </c>
    </row>
    <row r="1217" spans="1:8" ht="13.5" x14ac:dyDescent="0.25">
      <c r="A1217" s="1"/>
      <c r="B1217" s="3">
        <v>44081</v>
      </c>
      <c r="C1217" s="4">
        <v>5.16</v>
      </c>
      <c r="D1217" s="4">
        <v>5.16</v>
      </c>
      <c r="E1217" s="4">
        <v>11141</v>
      </c>
      <c r="F1217" s="4">
        <v>5.0533999999999999</v>
      </c>
      <c r="G1217" s="4">
        <v>56299.929400000001</v>
      </c>
      <c r="H1217" s="5">
        <f t="shared" si="18"/>
        <v>7.8125000000000069E-3</v>
      </c>
    </row>
    <row r="1218" spans="1:8" ht="13.5" x14ac:dyDescent="0.25">
      <c r="A1218" s="1"/>
      <c r="B1218" s="3">
        <v>44082</v>
      </c>
      <c r="C1218" s="4">
        <v>5.05</v>
      </c>
      <c r="D1218" s="4">
        <v>5.05</v>
      </c>
      <c r="E1218" s="4">
        <v>4102</v>
      </c>
      <c r="F1218" s="4">
        <v>5.0471000000000004</v>
      </c>
      <c r="G1218" s="4">
        <v>20703.2042</v>
      </c>
      <c r="H1218" s="5">
        <f t="shared" si="18"/>
        <v>-2.1317829457364403E-2</v>
      </c>
    </row>
    <row r="1219" spans="1:8" ht="13.5" x14ac:dyDescent="0.25">
      <c r="A1219" s="1"/>
      <c r="B1219" s="3">
        <v>44083</v>
      </c>
      <c r="C1219" s="4">
        <v>5.12</v>
      </c>
      <c r="D1219" s="4">
        <v>5.12</v>
      </c>
      <c r="E1219" s="4">
        <v>1811</v>
      </c>
      <c r="F1219" s="4">
        <v>5.0491999999999999</v>
      </c>
      <c r="G1219" s="4">
        <v>9144.1011999999992</v>
      </c>
      <c r="H1219" s="5">
        <f t="shared" si="18"/>
        <v>1.3861386138613919E-2</v>
      </c>
    </row>
    <row r="1220" spans="1:8" ht="13.5" x14ac:dyDescent="0.25">
      <c r="A1220" s="1"/>
      <c r="B1220" s="3">
        <v>44084</v>
      </c>
      <c r="C1220" s="4">
        <v>5.09</v>
      </c>
      <c r="D1220" s="4">
        <v>5.09</v>
      </c>
      <c r="E1220" s="4">
        <v>820</v>
      </c>
      <c r="F1220" s="4">
        <v>5.0030999999999999</v>
      </c>
      <c r="G1220" s="4">
        <v>4102.5420000000004</v>
      </c>
      <c r="H1220" s="5">
        <f t="shared" si="18"/>
        <v>-5.8593750000000486E-3</v>
      </c>
    </row>
    <row r="1221" spans="1:8" ht="13.5" x14ac:dyDescent="0.25">
      <c r="A1221" s="1"/>
      <c r="B1221" s="3">
        <v>44085</v>
      </c>
      <c r="C1221" s="4">
        <v>4.93</v>
      </c>
      <c r="D1221" s="4">
        <v>4.93</v>
      </c>
      <c r="E1221" s="4">
        <v>463</v>
      </c>
      <c r="F1221" s="4">
        <v>5.0425000000000004</v>
      </c>
      <c r="G1221" s="4">
        <v>2334.6774999999998</v>
      </c>
      <c r="H1221" s="5">
        <f t="shared" si="18"/>
        <v>-3.1434184675834996E-2</v>
      </c>
    </row>
    <row r="1222" spans="1:8" ht="13.5" x14ac:dyDescent="0.25">
      <c r="A1222" s="1"/>
      <c r="B1222" s="3">
        <v>44088</v>
      </c>
      <c r="C1222" s="4">
        <v>5.22</v>
      </c>
      <c r="D1222" s="4">
        <v>5.22</v>
      </c>
      <c r="E1222" s="4">
        <v>8267</v>
      </c>
      <c r="F1222" s="4">
        <v>5.1273</v>
      </c>
      <c r="G1222" s="4">
        <v>42387.3891</v>
      </c>
      <c r="H1222" s="5">
        <f t="shared" si="18"/>
        <v>5.8823529411764719E-2</v>
      </c>
    </row>
    <row r="1223" spans="1:8" ht="13.5" x14ac:dyDescent="0.25">
      <c r="A1223" s="1"/>
      <c r="B1223" s="3">
        <v>44089</v>
      </c>
      <c r="C1223" s="4">
        <v>5.3</v>
      </c>
      <c r="D1223" s="4">
        <v>5.3</v>
      </c>
      <c r="E1223" s="4">
        <v>3187</v>
      </c>
      <c r="F1223" s="4">
        <v>5.3371000000000004</v>
      </c>
      <c r="G1223" s="4">
        <v>17009.3377</v>
      </c>
      <c r="H1223" s="5">
        <f t="shared" ref="H1223:H1286" si="19">(D1223-D1222)/D1222</f>
        <v>1.5325670498084306E-2</v>
      </c>
    </row>
    <row r="1224" spans="1:8" ht="13.5" x14ac:dyDescent="0.25">
      <c r="A1224" s="1"/>
      <c r="B1224" s="3">
        <v>44090</v>
      </c>
      <c r="C1224" s="4">
        <v>5.4</v>
      </c>
      <c r="D1224" s="4">
        <v>5.4</v>
      </c>
      <c r="E1224" s="4">
        <v>120</v>
      </c>
      <c r="F1224" s="4">
        <v>5.3997999999999999</v>
      </c>
      <c r="G1224" s="4">
        <v>647.976</v>
      </c>
      <c r="H1224" s="5">
        <f t="shared" si="19"/>
        <v>1.8867924528301987E-2</v>
      </c>
    </row>
    <row r="1225" spans="1:8" ht="13.5" x14ac:dyDescent="0.25">
      <c r="A1225" s="1"/>
      <c r="B1225" s="3">
        <v>44091</v>
      </c>
      <c r="C1225" s="4">
        <v>5.24</v>
      </c>
      <c r="D1225" s="4">
        <v>5.24</v>
      </c>
      <c r="E1225" s="4">
        <v>678</v>
      </c>
      <c r="F1225" s="4">
        <v>5.2629000000000001</v>
      </c>
      <c r="G1225" s="4">
        <v>3568.2462</v>
      </c>
      <c r="H1225" s="5">
        <f t="shared" si="19"/>
        <v>-2.9629629629629655E-2</v>
      </c>
    </row>
    <row r="1226" spans="1:8" ht="13.5" x14ac:dyDescent="0.25">
      <c r="A1226" s="1"/>
      <c r="B1226" s="3">
        <v>44092</v>
      </c>
      <c r="C1226" s="4">
        <v>5.28</v>
      </c>
      <c r="D1226" s="4">
        <v>5.28</v>
      </c>
      <c r="E1226" s="4">
        <v>126</v>
      </c>
      <c r="F1226" s="4">
        <v>5.2729999999999997</v>
      </c>
      <c r="G1226" s="4">
        <v>664.39800000000002</v>
      </c>
      <c r="H1226" s="5">
        <f t="shared" si="19"/>
        <v>7.6335877862595486E-3</v>
      </c>
    </row>
    <row r="1227" spans="1:8" ht="13.5" x14ac:dyDescent="0.25">
      <c r="A1227" s="1"/>
      <c r="B1227" s="3">
        <v>44095</v>
      </c>
      <c r="C1227" s="4">
        <v>5.23</v>
      </c>
      <c r="D1227" s="4">
        <v>5.23</v>
      </c>
      <c r="E1227" s="4">
        <v>1269</v>
      </c>
      <c r="F1227" s="4">
        <v>5.3413000000000004</v>
      </c>
      <c r="G1227" s="4">
        <v>6778.1097</v>
      </c>
      <c r="H1227" s="5">
        <f t="shared" si="19"/>
        <v>-9.4696969696969353E-3</v>
      </c>
    </row>
    <row r="1228" spans="1:8" ht="13.5" x14ac:dyDescent="0.25">
      <c r="A1228" s="1"/>
      <c r="B1228" s="3">
        <v>44096</v>
      </c>
      <c r="C1228" s="4">
        <v>5.22</v>
      </c>
      <c r="D1228" s="4">
        <v>5.22</v>
      </c>
      <c r="E1228" s="4">
        <v>153</v>
      </c>
      <c r="F1228" s="4">
        <v>5.2096999999999998</v>
      </c>
      <c r="G1228" s="4">
        <v>797.08410000000003</v>
      </c>
      <c r="H1228" s="5">
        <f t="shared" si="19"/>
        <v>-1.9120458891014674E-3</v>
      </c>
    </row>
    <row r="1229" spans="1:8" ht="13.5" x14ac:dyDescent="0.25">
      <c r="A1229" s="1"/>
      <c r="B1229" s="3">
        <v>44097</v>
      </c>
      <c r="C1229" s="4">
        <v>5.0999999999999996</v>
      </c>
      <c r="D1229" s="4">
        <v>5.0999999999999996</v>
      </c>
      <c r="E1229" s="4">
        <v>8754</v>
      </c>
      <c r="F1229" s="4">
        <v>5.1803999999999997</v>
      </c>
      <c r="G1229" s="4">
        <v>45349.221599999997</v>
      </c>
      <c r="H1229" s="5">
        <f t="shared" si="19"/>
        <v>-2.2988505747126457E-2</v>
      </c>
    </row>
    <row r="1230" spans="1:8" ht="13.5" x14ac:dyDescent="0.25">
      <c r="A1230" s="1"/>
      <c r="B1230" s="3">
        <v>44098</v>
      </c>
      <c r="C1230" s="4">
        <v>5.34</v>
      </c>
      <c r="D1230" s="4">
        <v>5.34</v>
      </c>
      <c r="E1230" s="4">
        <v>10292</v>
      </c>
      <c r="F1230" s="4">
        <v>5.3026999999999997</v>
      </c>
      <c r="G1230" s="4">
        <v>54575.388400000003</v>
      </c>
      <c r="H1230" s="5">
        <f t="shared" si="19"/>
        <v>4.7058823529411813E-2</v>
      </c>
    </row>
    <row r="1231" spans="1:8" ht="13.5" x14ac:dyDescent="0.25">
      <c r="A1231" s="1"/>
      <c r="B1231" s="3">
        <v>44099</v>
      </c>
      <c r="C1231" s="4">
        <v>5.34</v>
      </c>
      <c r="D1231" s="4">
        <v>5.34</v>
      </c>
      <c r="E1231" s="4">
        <v>1827</v>
      </c>
      <c r="F1231" s="4">
        <v>5.2484000000000002</v>
      </c>
      <c r="G1231" s="4">
        <v>9588.8268000000007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5.34</v>
      </c>
      <c r="D1232" s="4">
        <v>5.34</v>
      </c>
      <c r="E1232" s="4">
        <v>1207</v>
      </c>
      <c r="F1232" s="4">
        <v>5.2987000000000002</v>
      </c>
      <c r="G1232" s="4">
        <v>6395.5308999999997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5.3</v>
      </c>
      <c r="D1233" s="4">
        <v>5.3</v>
      </c>
      <c r="E1233" s="4">
        <v>420</v>
      </c>
      <c r="F1233" s="4">
        <v>5.2026000000000003</v>
      </c>
      <c r="G1233" s="4">
        <v>2185.0920000000001</v>
      </c>
      <c r="H1233" s="5">
        <f t="shared" si="19"/>
        <v>-7.4906367041198572E-3</v>
      </c>
    </row>
    <row r="1234" spans="1:8" ht="13.5" x14ac:dyDescent="0.25">
      <c r="A1234" s="1"/>
      <c r="B1234" s="3">
        <v>44104</v>
      </c>
      <c r="C1234" s="4">
        <v>5.37</v>
      </c>
      <c r="D1234" s="4">
        <v>5.37</v>
      </c>
      <c r="E1234" s="4">
        <v>7686</v>
      </c>
      <c r="F1234" s="4">
        <v>5.2691999999999997</v>
      </c>
      <c r="G1234" s="4">
        <v>40499.071199999998</v>
      </c>
      <c r="H1234" s="5">
        <f t="shared" si="19"/>
        <v>1.3207547169811375E-2</v>
      </c>
    </row>
    <row r="1235" spans="1:8" ht="13.5" x14ac:dyDescent="0.25">
      <c r="A1235" s="1"/>
      <c r="B1235" s="3">
        <v>44105</v>
      </c>
      <c r="C1235" s="4">
        <v>5.2</v>
      </c>
      <c r="D1235" s="4">
        <v>5.2</v>
      </c>
      <c r="E1235" s="4">
        <v>273</v>
      </c>
      <c r="F1235" s="4">
        <v>5.2324000000000002</v>
      </c>
      <c r="G1235" s="4">
        <v>1428.4452000000001</v>
      </c>
      <c r="H1235" s="5">
        <f t="shared" si="19"/>
        <v>-3.1657355679702036E-2</v>
      </c>
    </row>
    <row r="1236" spans="1:8" ht="13.5" x14ac:dyDescent="0.25">
      <c r="A1236" s="1"/>
      <c r="B1236" s="3">
        <v>44106</v>
      </c>
      <c r="C1236" s="4">
        <v>5.0999999999999996</v>
      </c>
      <c r="D1236" s="4">
        <v>5.0999999999999996</v>
      </c>
      <c r="E1236" s="4">
        <v>16954</v>
      </c>
      <c r="F1236" s="4">
        <v>4.9612999999999996</v>
      </c>
      <c r="G1236" s="4">
        <v>84113.8802</v>
      </c>
      <c r="H1236" s="5">
        <f t="shared" si="19"/>
        <v>-1.9230769230769332E-2</v>
      </c>
    </row>
    <row r="1237" spans="1:8" ht="13.5" x14ac:dyDescent="0.25">
      <c r="A1237" s="1"/>
      <c r="B1237" s="3">
        <v>44109</v>
      </c>
      <c r="C1237" s="4">
        <v>5.17</v>
      </c>
      <c r="D1237" s="4">
        <v>5.17</v>
      </c>
      <c r="E1237" s="4">
        <v>6271</v>
      </c>
      <c r="F1237" s="4">
        <v>5.1007999999999996</v>
      </c>
      <c r="G1237" s="4">
        <v>31987.1168</v>
      </c>
      <c r="H1237" s="5">
        <f t="shared" si="19"/>
        <v>1.3725490196078488E-2</v>
      </c>
    </row>
    <row r="1238" spans="1:8" ht="13.5" x14ac:dyDescent="0.25">
      <c r="A1238" s="1"/>
      <c r="B1238" s="3">
        <v>44110</v>
      </c>
      <c r="C1238" s="4">
        <v>5.4</v>
      </c>
      <c r="D1238" s="4">
        <v>5.4</v>
      </c>
      <c r="E1238" s="4">
        <v>46415</v>
      </c>
      <c r="F1238" s="4">
        <v>5.2723000000000004</v>
      </c>
      <c r="G1238" s="4">
        <v>244713.8045</v>
      </c>
      <c r="H1238" s="5">
        <f t="shared" si="19"/>
        <v>4.4487427466150954E-2</v>
      </c>
    </row>
    <row r="1239" spans="1:8" ht="13.5" x14ac:dyDescent="0.25">
      <c r="A1239" s="1"/>
      <c r="B1239" s="3">
        <v>44111</v>
      </c>
      <c r="C1239" s="4">
        <v>5.4</v>
      </c>
      <c r="D1239" s="4">
        <v>5.4</v>
      </c>
      <c r="E1239" s="4">
        <v>17079</v>
      </c>
      <c r="F1239" s="4">
        <v>5.4226000000000001</v>
      </c>
      <c r="G1239" s="4">
        <v>92612.585399999996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5.4</v>
      </c>
      <c r="D1240" s="4">
        <v>5.4</v>
      </c>
      <c r="E1240" s="4">
        <v>8304</v>
      </c>
      <c r="F1240" s="4">
        <v>5.3963999999999999</v>
      </c>
      <c r="G1240" s="4">
        <v>44811.705600000001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5.39</v>
      </c>
      <c r="D1241" s="4">
        <v>5.39</v>
      </c>
      <c r="E1241" s="4">
        <v>106</v>
      </c>
      <c r="F1241" s="4">
        <v>5.2580999999999998</v>
      </c>
      <c r="G1241" s="4">
        <v>557.35860000000002</v>
      </c>
      <c r="H1241" s="5">
        <f t="shared" si="19"/>
        <v>-1.8518518518519768E-3</v>
      </c>
    </row>
    <row r="1242" spans="1:8" ht="13.5" x14ac:dyDescent="0.25">
      <c r="A1242" s="1"/>
      <c r="B1242" s="3">
        <v>44116</v>
      </c>
      <c r="C1242" s="4">
        <v>5.3</v>
      </c>
      <c r="D1242" s="4">
        <v>5.3</v>
      </c>
      <c r="E1242" s="4">
        <v>4919</v>
      </c>
      <c r="F1242" s="4">
        <v>5.2316000000000003</v>
      </c>
      <c r="G1242" s="4">
        <v>25734.240399999999</v>
      </c>
      <c r="H1242" s="5">
        <f t="shared" si="19"/>
        <v>-1.669758812615953E-2</v>
      </c>
    </row>
    <row r="1243" spans="1:8" ht="13.5" x14ac:dyDescent="0.25">
      <c r="A1243" s="1"/>
      <c r="B1243" s="3">
        <v>44117</v>
      </c>
      <c r="C1243" s="4">
        <v>5.29</v>
      </c>
      <c r="D1243" s="4">
        <v>5.29</v>
      </c>
      <c r="E1243" s="4">
        <v>11</v>
      </c>
      <c r="F1243" s="4">
        <v>5.3</v>
      </c>
      <c r="G1243" s="4">
        <v>58.3</v>
      </c>
      <c r="H1243" s="5">
        <f t="shared" si="19"/>
        <v>-1.8867924528301486E-3</v>
      </c>
    </row>
    <row r="1244" spans="1:8" ht="13.5" x14ac:dyDescent="0.25">
      <c r="A1244" s="1"/>
      <c r="B1244" s="3">
        <v>44118</v>
      </c>
      <c r="C1244" s="4">
        <v>5.25</v>
      </c>
      <c r="D1244" s="4">
        <v>5.25</v>
      </c>
      <c r="E1244" s="4">
        <v>1617</v>
      </c>
      <c r="F1244" s="4">
        <v>5.2100999999999997</v>
      </c>
      <c r="G1244" s="4">
        <v>8424.7317000000003</v>
      </c>
      <c r="H1244" s="5">
        <f t="shared" si="19"/>
        <v>-7.5614366729678702E-3</v>
      </c>
    </row>
    <row r="1245" spans="1:8" ht="13.5" x14ac:dyDescent="0.25">
      <c r="A1245" s="1"/>
      <c r="B1245" s="3">
        <v>44120</v>
      </c>
      <c r="C1245" s="4">
        <v>5.23</v>
      </c>
      <c r="D1245" s="4">
        <v>5.23</v>
      </c>
      <c r="E1245" s="4">
        <v>508</v>
      </c>
      <c r="F1245" s="4">
        <v>5.2302999999999997</v>
      </c>
      <c r="G1245" s="4">
        <v>2656.9924000000001</v>
      </c>
      <c r="H1245" s="5">
        <f t="shared" si="19"/>
        <v>-3.8095238095237284E-3</v>
      </c>
    </row>
    <row r="1246" spans="1:8" ht="13.5" x14ac:dyDescent="0.25">
      <c r="A1246" s="1"/>
      <c r="B1246" s="3">
        <v>44123</v>
      </c>
      <c r="C1246" s="4">
        <v>5.2</v>
      </c>
      <c r="D1246" s="4">
        <v>5.2</v>
      </c>
      <c r="E1246" s="4">
        <v>2920</v>
      </c>
      <c r="F1246" s="4">
        <v>5.2</v>
      </c>
      <c r="G1246" s="4">
        <v>15184</v>
      </c>
      <c r="H1246" s="5">
        <f t="shared" si="19"/>
        <v>-5.7361376673040624E-3</v>
      </c>
    </row>
    <row r="1247" spans="1:8" ht="13.5" x14ac:dyDescent="0.25">
      <c r="A1247" s="1"/>
      <c r="B1247" s="3">
        <v>44124</v>
      </c>
      <c r="C1247" s="4">
        <v>5.22</v>
      </c>
      <c r="D1247" s="4">
        <v>5.22</v>
      </c>
      <c r="E1247" s="4">
        <v>44322</v>
      </c>
      <c r="F1247" s="4">
        <v>5.3277999999999999</v>
      </c>
      <c r="G1247" s="4">
        <v>236138.75159999999</v>
      </c>
      <c r="H1247" s="5">
        <f t="shared" si="19"/>
        <v>3.846153846153764E-3</v>
      </c>
    </row>
    <row r="1248" spans="1:8" ht="13.5" x14ac:dyDescent="0.25">
      <c r="A1248" s="1"/>
      <c r="B1248" s="3">
        <v>44125</v>
      </c>
      <c r="C1248" s="4">
        <v>5.1100000000000003</v>
      </c>
      <c r="D1248" s="4">
        <v>5.1100000000000003</v>
      </c>
      <c r="E1248" s="4">
        <v>1156</v>
      </c>
      <c r="F1248" s="4">
        <v>5.2446000000000002</v>
      </c>
      <c r="G1248" s="4">
        <v>6062.7575999999999</v>
      </c>
      <c r="H1248" s="5">
        <f t="shared" si="19"/>
        <v>-2.1072796934865794E-2</v>
      </c>
    </row>
    <row r="1249" spans="1:8" ht="13.5" x14ac:dyDescent="0.25">
      <c r="A1249" s="1"/>
      <c r="B1249" s="3">
        <v>44126</v>
      </c>
      <c r="C1249" s="4">
        <v>5.16</v>
      </c>
      <c r="D1249" s="4">
        <v>5.16</v>
      </c>
      <c r="E1249" s="4">
        <v>13329</v>
      </c>
      <c r="F1249" s="4">
        <v>5.0509000000000004</v>
      </c>
      <c r="G1249" s="4">
        <v>67323.446100000001</v>
      </c>
      <c r="H1249" s="5">
        <f t="shared" si="19"/>
        <v>9.7847358121330372E-3</v>
      </c>
    </row>
    <row r="1250" spans="1:8" ht="13.5" x14ac:dyDescent="0.25">
      <c r="A1250" s="1"/>
      <c r="B1250" s="3">
        <v>44127</v>
      </c>
      <c r="C1250" s="4">
        <v>5.07</v>
      </c>
      <c r="D1250" s="4">
        <v>5.07</v>
      </c>
      <c r="E1250" s="4">
        <v>3807</v>
      </c>
      <c r="F1250" s="4">
        <v>5.0965999999999996</v>
      </c>
      <c r="G1250" s="4">
        <v>19402.7562</v>
      </c>
      <c r="H1250" s="5">
        <f t="shared" si="19"/>
        <v>-1.7441860465116251E-2</v>
      </c>
    </row>
    <row r="1251" spans="1:8" ht="13.5" x14ac:dyDescent="0.25">
      <c r="A1251" s="1"/>
      <c r="B1251" s="3">
        <v>44130</v>
      </c>
      <c r="C1251" s="4">
        <v>5.15</v>
      </c>
      <c r="D1251" s="4">
        <v>5.15</v>
      </c>
      <c r="E1251" s="4">
        <v>2504</v>
      </c>
      <c r="F1251" s="4">
        <v>5.0945</v>
      </c>
      <c r="G1251" s="4">
        <v>12756.628000000001</v>
      </c>
      <c r="H1251" s="5">
        <f t="shared" si="19"/>
        <v>1.577909270216964E-2</v>
      </c>
    </row>
    <row r="1252" spans="1:8" ht="13.5" x14ac:dyDescent="0.25">
      <c r="A1252" s="1"/>
      <c r="B1252" s="3">
        <v>44131</v>
      </c>
      <c r="C1252" s="4">
        <v>5.14</v>
      </c>
      <c r="D1252" s="4">
        <v>5.14</v>
      </c>
      <c r="E1252" s="4">
        <v>137</v>
      </c>
      <c r="F1252" s="4">
        <v>5.1535000000000002</v>
      </c>
      <c r="G1252" s="4">
        <v>706.02949999999998</v>
      </c>
      <c r="H1252" s="5">
        <f t="shared" si="19"/>
        <v>-1.9417475728156649E-3</v>
      </c>
    </row>
    <row r="1253" spans="1:8" ht="13.5" x14ac:dyDescent="0.25">
      <c r="A1253" s="1"/>
      <c r="B1253" s="3">
        <v>44132</v>
      </c>
      <c r="C1253" s="4">
        <v>5.04</v>
      </c>
      <c r="D1253" s="4">
        <v>5.04</v>
      </c>
      <c r="E1253" s="4">
        <v>52</v>
      </c>
      <c r="F1253" s="4">
        <v>5.069</v>
      </c>
      <c r="G1253" s="4">
        <v>263.58800000000002</v>
      </c>
      <c r="H1253" s="5">
        <f t="shared" si="19"/>
        <v>-1.9455252918287869E-2</v>
      </c>
    </row>
    <row r="1254" spans="1:8" ht="13.5" x14ac:dyDescent="0.25">
      <c r="A1254" s="1"/>
      <c r="B1254" s="3">
        <v>44134</v>
      </c>
      <c r="C1254" s="4">
        <v>4.92</v>
      </c>
      <c r="D1254" s="4">
        <v>4.92</v>
      </c>
      <c r="E1254" s="4">
        <v>13067</v>
      </c>
      <c r="F1254" s="4">
        <v>4.9236000000000004</v>
      </c>
      <c r="G1254" s="4">
        <v>64336.681199999999</v>
      </c>
      <c r="H1254" s="5">
        <f t="shared" si="19"/>
        <v>-2.3809523809523829E-2</v>
      </c>
    </row>
    <row r="1255" spans="1:8" ht="13.5" x14ac:dyDescent="0.25">
      <c r="A1255" s="1"/>
      <c r="B1255" s="3">
        <v>44137</v>
      </c>
      <c r="C1255" s="4">
        <v>5.01</v>
      </c>
      <c r="D1255" s="4">
        <v>5.01</v>
      </c>
      <c r="E1255" s="4">
        <v>7733</v>
      </c>
      <c r="F1255" s="4">
        <v>4.9081000000000001</v>
      </c>
      <c r="G1255" s="4">
        <v>37954.337299999999</v>
      </c>
      <c r="H1255" s="5">
        <f t="shared" si="19"/>
        <v>1.8292682926829239E-2</v>
      </c>
    </row>
    <row r="1256" spans="1:8" ht="13.5" x14ac:dyDescent="0.25">
      <c r="A1256" s="1"/>
      <c r="B1256" s="3">
        <v>44138</v>
      </c>
      <c r="C1256" s="4">
        <v>5.12</v>
      </c>
      <c r="D1256" s="4">
        <v>5.12</v>
      </c>
      <c r="E1256" s="4">
        <v>35999</v>
      </c>
      <c r="F1256" s="4">
        <v>5.0141999999999998</v>
      </c>
      <c r="G1256" s="4">
        <v>180506.18580000001</v>
      </c>
      <c r="H1256" s="5">
        <f t="shared" si="19"/>
        <v>2.1956087824351361E-2</v>
      </c>
    </row>
    <row r="1257" spans="1:8" ht="13.5" x14ac:dyDescent="0.25">
      <c r="A1257" s="1"/>
      <c r="B1257" s="3">
        <v>44139</v>
      </c>
      <c r="C1257" s="4">
        <v>5.07</v>
      </c>
      <c r="D1257" s="4">
        <v>5.07</v>
      </c>
      <c r="E1257" s="4">
        <v>4812</v>
      </c>
      <c r="F1257" s="4">
        <v>5.1051000000000002</v>
      </c>
      <c r="G1257" s="4">
        <v>24565.7412</v>
      </c>
      <c r="H1257" s="5">
        <f t="shared" si="19"/>
        <v>-9.7656249999999653E-3</v>
      </c>
    </row>
    <row r="1258" spans="1:8" ht="13.5" x14ac:dyDescent="0.25">
      <c r="A1258" s="1"/>
      <c r="B1258" s="3">
        <v>44140</v>
      </c>
      <c r="C1258" s="4">
        <v>5.37</v>
      </c>
      <c r="D1258" s="4">
        <v>5.37</v>
      </c>
      <c r="E1258" s="4">
        <v>55221</v>
      </c>
      <c r="F1258" s="4">
        <v>5.2210000000000001</v>
      </c>
      <c r="G1258" s="4">
        <v>288308.84100000001</v>
      </c>
      <c r="H1258" s="5">
        <f t="shared" si="19"/>
        <v>5.9171597633136057E-2</v>
      </c>
    </row>
    <row r="1259" spans="1:8" ht="13.5" x14ac:dyDescent="0.25">
      <c r="A1259" s="1"/>
      <c r="B1259" s="3">
        <v>44141</v>
      </c>
      <c r="C1259" s="4">
        <v>5.4</v>
      </c>
      <c r="D1259" s="4">
        <v>5.4</v>
      </c>
      <c r="E1259" s="4">
        <v>88303</v>
      </c>
      <c r="F1259" s="4">
        <v>5.4457000000000004</v>
      </c>
      <c r="G1259" s="4">
        <v>480871.6471</v>
      </c>
      <c r="H1259" s="5">
        <f t="shared" si="19"/>
        <v>5.5865921787709959E-3</v>
      </c>
    </row>
    <row r="1260" spans="1:8" ht="13.5" x14ac:dyDescent="0.25">
      <c r="A1260" s="1"/>
      <c r="B1260" s="3">
        <v>44144</v>
      </c>
      <c r="C1260" s="4">
        <v>5.48</v>
      </c>
      <c r="D1260" s="4">
        <v>5.48</v>
      </c>
      <c r="E1260" s="4">
        <v>24384</v>
      </c>
      <c r="F1260" s="4">
        <v>5.4076000000000004</v>
      </c>
      <c r="G1260" s="4">
        <v>131858.9184</v>
      </c>
      <c r="H1260" s="5">
        <f t="shared" si="19"/>
        <v>1.4814814814814828E-2</v>
      </c>
    </row>
    <row r="1261" spans="1:8" ht="13.5" x14ac:dyDescent="0.25">
      <c r="A1261" s="1"/>
      <c r="B1261" s="3">
        <v>44145</v>
      </c>
      <c r="C1261" s="4">
        <v>5.4</v>
      </c>
      <c r="D1261" s="4">
        <v>5.4</v>
      </c>
      <c r="E1261" s="4">
        <v>8412</v>
      </c>
      <c r="F1261" s="4">
        <v>5.4185999999999996</v>
      </c>
      <c r="G1261" s="4">
        <v>45581.263200000001</v>
      </c>
      <c r="H1261" s="5">
        <f t="shared" si="19"/>
        <v>-1.4598540145985413E-2</v>
      </c>
    </row>
    <row r="1262" spans="1:8" ht="13.5" x14ac:dyDescent="0.25">
      <c r="A1262" s="1"/>
      <c r="B1262" s="3">
        <v>44146</v>
      </c>
      <c r="C1262" s="4">
        <v>5.3</v>
      </c>
      <c r="D1262" s="4">
        <v>5.3</v>
      </c>
      <c r="E1262" s="4">
        <v>12697</v>
      </c>
      <c r="F1262" s="4">
        <v>5.2916999999999996</v>
      </c>
      <c r="G1262" s="4">
        <v>67188.714900000006</v>
      </c>
      <c r="H1262" s="5">
        <f t="shared" si="19"/>
        <v>-1.8518518518518615E-2</v>
      </c>
    </row>
    <row r="1263" spans="1:8" ht="13.5" x14ac:dyDescent="0.25">
      <c r="A1263" s="1"/>
      <c r="B1263" s="3">
        <v>44147</v>
      </c>
      <c r="C1263" s="4">
        <v>5.35</v>
      </c>
      <c r="D1263" s="4">
        <v>5.35</v>
      </c>
      <c r="E1263" s="4">
        <v>11314</v>
      </c>
      <c r="F1263" s="4">
        <v>5.3497000000000003</v>
      </c>
      <c r="G1263" s="4">
        <v>60526.505799999999</v>
      </c>
      <c r="H1263" s="5">
        <f t="shared" si="19"/>
        <v>9.4339622641509101E-3</v>
      </c>
    </row>
    <row r="1264" spans="1:8" ht="13.5" x14ac:dyDescent="0.25">
      <c r="A1264" s="1"/>
      <c r="B1264" s="3">
        <v>44148</v>
      </c>
      <c r="C1264" s="4">
        <v>5.34</v>
      </c>
      <c r="D1264" s="4">
        <v>5.34</v>
      </c>
      <c r="E1264" s="4">
        <v>1533</v>
      </c>
      <c r="F1264" s="4">
        <v>5.3380999999999998</v>
      </c>
      <c r="G1264" s="4">
        <v>8183.3073000000004</v>
      </c>
      <c r="H1264" s="5">
        <f t="shared" si="19"/>
        <v>-1.8691588785046331E-3</v>
      </c>
    </row>
    <row r="1265" spans="1:8" ht="13.5" x14ac:dyDescent="0.25">
      <c r="A1265" s="1"/>
      <c r="B1265" s="3">
        <v>44151</v>
      </c>
      <c r="C1265" s="4">
        <v>5.4</v>
      </c>
      <c r="D1265" s="4">
        <v>5.4</v>
      </c>
      <c r="E1265" s="4">
        <v>1317</v>
      </c>
      <c r="F1265" s="4">
        <v>5.4505999999999997</v>
      </c>
      <c r="G1265" s="4">
        <v>7178.4402</v>
      </c>
      <c r="H1265" s="5">
        <f t="shared" si="19"/>
        <v>1.1235955056179869E-2</v>
      </c>
    </row>
    <row r="1266" spans="1:8" ht="13.5" x14ac:dyDescent="0.25">
      <c r="A1266" s="1"/>
      <c r="B1266" s="3">
        <v>44152</v>
      </c>
      <c r="C1266" s="4">
        <v>5.36</v>
      </c>
      <c r="D1266" s="4">
        <v>5.36</v>
      </c>
      <c r="E1266" s="4">
        <v>284</v>
      </c>
      <c r="F1266" s="4">
        <v>5.3605999999999998</v>
      </c>
      <c r="G1266" s="4">
        <v>1522.4104</v>
      </c>
      <c r="H1266" s="5">
        <f t="shared" si="19"/>
        <v>-7.4074074074074138E-3</v>
      </c>
    </row>
    <row r="1267" spans="1:8" ht="13.5" x14ac:dyDescent="0.25">
      <c r="A1267" s="1"/>
      <c r="B1267" s="3">
        <v>44153</v>
      </c>
      <c r="C1267" s="4">
        <v>5.23</v>
      </c>
      <c r="D1267" s="4">
        <v>5.23</v>
      </c>
      <c r="E1267" s="4">
        <v>6456</v>
      </c>
      <c r="F1267" s="4">
        <v>5.2529000000000003</v>
      </c>
      <c r="G1267" s="4">
        <v>33912.722399999999</v>
      </c>
      <c r="H1267" s="5">
        <f t="shared" si="19"/>
        <v>-2.4253731343283562E-2</v>
      </c>
    </row>
    <row r="1268" spans="1:8" ht="13.5" x14ac:dyDescent="0.25">
      <c r="A1268" s="1"/>
      <c r="B1268" s="3">
        <v>44154</v>
      </c>
      <c r="C1268" s="4">
        <v>5.22</v>
      </c>
      <c r="D1268" s="4">
        <v>5.22</v>
      </c>
      <c r="E1268" s="4">
        <v>5602</v>
      </c>
      <c r="F1268" s="4">
        <v>5.2206999999999999</v>
      </c>
      <c r="G1268" s="4">
        <v>29246.361400000002</v>
      </c>
      <c r="H1268" s="5">
        <f t="shared" si="19"/>
        <v>-1.9120458891014674E-3</v>
      </c>
    </row>
    <row r="1269" spans="1:8" ht="13.5" x14ac:dyDescent="0.25">
      <c r="A1269" s="1"/>
      <c r="B1269" s="3">
        <v>44155</v>
      </c>
      <c r="C1269" s="4">
        <v>5.2</v>
      </c>
      <c r="D1269" s="4">
        <v>5.2</v>
      </c>
      <c r="E1269" s="4">
        <v>2340</v>
      </c>
      <c r="F1269" s="4">
        <v>5.2127999999999997</v>
      </c>
      <c r="G1269" s="4">
        <v>12197.951999999999</v>
      </c>
      <c r="H1269" s="5">
        <f t="shared" si="19"/>
        <v>-3.8314176245209915E-3</v>
      </c>
    </row>
    <row r="1270" spans="1:8" ht="13.5" x14ac:dyDescent="0.25">
      <c r="A1270" s="1"/>
      <c r="B1270" s="3">
        <v>44158</v>
      </c>
      <c r="C1270" s="4">
        <v>5.0999999999999996</v>
      </c>
      <c r="D1270" s="4">
        <v>5.0999999999999996</v>
      </c>
      <c r="E1270" s="4">
        <v>43754</v>
      </c>
      <c r="F1270" s="4">
        <v>5.0769000000000002</v>
      </c>
      <c r="G1270" s="4">
        <v>222134.6826</v>
      </c>
      <c r="H1270" s="5">
        <f t="shared" si="19"/>
        <v>-1.9230769230769332E-2</v>
      </c>
    </row>
    <row r="1271" spans="1:8" ht="13.5" x14ac:dyDescent="0.25">
      <c r="A1271" s="1"/>
      <c r="B1271" s="3">
        <v>44159</v>
      </c>
      <c r="C1271" s="4">
        <v>5.12</v>
      </c>
      <c r="D1271" s="4">
        <v>5.12</v>
      </c>
      <c r="E1271" s="4">
        <v>2850</v>
      </c>
      <c r="F1271" s="4">
        <v>5.0052000000000003</v>
      </c>
      <c r="G1271" s="4">
        <v>14264.82</v>
      </c>
      <c r="H1271" s="5">
        <f t="shared" si="19"/>
        <v>3.9215686274510714E-3</v>
      </c>
    </row>
    <row r="1272" spans="1:8" ht="13.5" x14ac:dyDescent="0.25">
      <c r="A1272" s="1"/>
      <c r="B1272" s="3">
        <v>44160</v>
      </c>
      <c r="C1272" s="4">
        <v>5.14</v>
      </c>
      <c r="D1272" s="4">
        <v>5.14</v>
      </c>
      <c r="E1272" s="4">
        <v>601</v>
      </c>
      <c r="F1272" s="4">
        <v>5.1401000000000003</v>
      </c>
      <c r="G1272" s="4">
        <v>3089.2001</v>
      </c>
      <c r="H1272" s="5">
        <f t="shared" si="19"/>
        <v>3.9062499999999167E-3</v>
      </c>
    </row>
    <row r="1273" spans="1:8" ht="13.5" x14ac:dyDescent="0.25">
      <c r="A1273" s="1"/>
      <c r="B1273" s="3">
        <v>44161</v>
      </c>
      <c r="C1273" s="4">
        <v>5.0999999999999996</v>
      </c>
      <c r="D1273" s="4">
        <v>5.0999999999999996</v>
      </c>
      <c r="E1273" s="4">
        <v>5539</v>
      </c>
      <c r="F1273" s="4">
        <v>5.0495000000000001</v>
      </c>
      <c r="G1273" s="4">
        <v>27969.180499999999</v>
      </c>
      <c r="H1273" s="5">
        <f t="shared" si="19"/>
        <v>-7.7821011673151821E-3</v>
      </c>
    </row>
    <row r="1274" spans="1:8" ht="13.5" x14ac:dyDescent="0.25">
      <c r="A1274" s="1"/>
      <c r="B1274" s="3">
        <v>44162</v>
      </c>
      <c r="C1274" s="4">
        <v>5.0999999999999996</v>
      </c>
      <c r="D1274" s="4">
        <v>5.0999999999999996</v>
      </c>
      <c r="E1274" s="4">
        <v>797</v>
      </c>
      <c r="F1274" s="4">
        <v>5.0308000000000002</v>
      </c>
      <c r="G1274" s="4">
        <v>4009.5475999999999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5.15</v>
      </c>
      <c r="D1275" s="4">
        <v>5.15</v>
      </c>
      <c r="E1275" s="4">
        <v>1548</v>
      </c>
      <c r="F1275" s="4">
        <v>5.0312999999999999</v>
      </c>
      <c r="G1275" s="4">
        <v>7788.4524000000001</v>
      </c>
      <c r="H1275" s="5">
        <f t="shared" si="19"/>
        <v>9.8039215686275914E-3</v>
      </c>
    </row>
    <row r="1276" spans="1:8" ht="13.5" x14ac:dyDescent="0.25">
      <c r="A1276" s="1"/>
      <c r="B1276" s="3">
        <v>44166</v>
      </c>
      <c r="C1276" s="4">
        <v>5</v>
      </c>
      <c r="D1276" s="4">
        <v>5</v>
      </c>
      <c r="E1276" s="4">
        <v>5033</v>
      </c>
      <c r="F1276" s="4">
        <v>5</v>
      </c>
      <c r="G1276" s="4">
        <v>25165</v>
      </c>
      <c r="H1276" s="5">
        <f t="shared" si="19"/>
        <v>-2.9126213592233077E-2</v>
      </c>
    </row>
    <row r="1277" spans="1:8" ht="13.5" x14ac:dyDescent="0.25">
      <c r="A1277" s="1"/>
      <c r="B1277" s="3">
        <v>44167</v>
      </c>
      <c r="C1277" s="4">
        <v>5.0999999999999996</v>
      </c>
      <c r="D1277" s="4">
        <v>5.0999999999999996</v>
      </c>
      <c r="E1277" s="4">
        <v>4823</v>
      </c>
      <c r="F1277" s="4">
        <v>4.9705000000000004</v>
      </c>
      <c r="G1277" s="4">
        <v>23972.7215</v>
      </c>
      <c r="H1277" s="5">
        <f t="shared" si="19"/>
        <v>1.9999999999999928E-2</v>
      </c>
    </row>
    <row r="1278" spans="1:8" ht="13.5" x14ac:dyDescent="0.25">
      <c r="A1278" s="1"/>
      <c r="B1278" s="3">
        <v>44168</v>
      </c>
      <c r="C1278" s="4">
        <v>5.09</v>
      </c>
      <c r="D1278" s="4">
        <v>5.09</v>
      </c>
      <c r="E1278" s="4">
        <v>12118</v>
      </c>
      <c r="F1278" s="4">
        <v>4.9420999999999999</v>
      </c>
      <c r="G1278" s="4">
        <v>59888.3678</v>
      </c>
      <c r="H1278" s="5">
        <f t="shared" si="19"/>
        <v>-1.9607843137254485E-3</v>
      </c>
    </row>
    <row r="1279" spans="1:8" ht="13.5" x14ac:dyDescent="0.25">
      <c r="A1279" s="1"/>
      <c r="B1279" s="3">
        <v>44169</v>
      </c>
      <c r="C1279" s="4">
        <v>5</v>
      </c>
      <c r="D1279" s="4">
        <v>5</v>
      </c>
      <c r="E1279" s="4">
        <v>15378</v>
      </c>
      <c r="F1279" s="4">
        <v>5.0365000000000002</v>
      </c>
      <c r="G1279" s="4">
        <v>77451.297000000006</v>
      </c>
      <c r="H1279" s="5">
        <f t="shared" si="19"/>
        <v>-1.7681728880157142E-2</v>
      </c>
    </row>
    <row r="1280" spans="1:8" ht="13.5" x14ac:dyDescent="0.25">
      <c r="A1280" s="1"/>
      <c r="B1280" s="3">
        <v>44172</v>
      </c>
      <c r="C1280" s="4">
        <v>5.09</v>
      </c>
      <c r="D1280" s="4">
        <v>5.09</v>
      </c>
      <c r="E1280" s="4">
        <v>3915</v>
      </c>
      <c r="F1280" s="4">
        <v>5.0164999999999997</v>
      </c>
      <c r="G1280" s="4">
        <v>19639.5975</v>
      </c>
      <c r="H1280" s="5">
        <f t="shared" si="19"/>
        <v>1.7999999999999971E-2</v>
      </c>
    </row>
    <row r="1281" spans="1:8" ht="13.5" x14ac:dyDescent="0.25">
      <c r="A1281" s="1"/>
      <c r="B1281" s="3">
        <v>44173</v>
      </c>
      <c r="C1281" s="4">
        <v>5</v>
      </c>
      <c r="D1281" s="4">
        <v>5</v>
      </c>
      <c r="E1281" s="4">
        <v>3917</v>
      </c>
      <c r="F1281" s="4">
        <v>4.9579000000000004</v>
      </c>
      <c r="G1281" s="4">
        <v>19420.094300000001</v>
      </c>
      <c r="H1281" s="5">
        <f t="shared" si="19"/>
        <v>-1.7681728880157142E-2</v>
      </c>
    </row>
    <row r="1282" spans="1:8" ht="13.5" x14ac:dyDescent="0.25">
      <c r="A1282" s="1"/>
      <c r="B1282" s="3">
        <v>44174</v>
      </c>
      <c r="C1282" s="4">
        <v>5.19</v>
      </c>
      <c r="D1282" s="4">
        <v>5.19</v>
      </c>
      <c r="E1282" s="4">
        <v>3509</v>
      </c>
      <c r="F1282" s="4">
        <v>5.19</v>
      </c>
      <c r="G1282" s="4">
        <v>18211.71</v>
      </c>
      <c r="H1282" s="5">
        <f t="shared" si="19"/>
        <v>3.8000000000000075E-2</v>
      </c>
    </row>
    <row r="1283" spans="1:8" ht="13.5" x14ac:dyDescent="0.25">
      <c r="A1283" s="1"/>
      <c r="B1283" s="3">
        <v>44175</v>
      </c>
      <c r="C1283" s="4">
        <v>5.04</v>
      </c>
      <c r="D1283" s="4">
        <v>5.04</v>
      </c>
      <c r="E1283" s="4">
        <v>501</v>
      </c>
      <c r="F1283" s="4">
        <v>5.04</v>
      </c>
      <c r="G1283" s="4">
        <v>2525.04</v>
      </c>
      <c r="H1283" s="5">
        <f t="shared" si="19"/>
        <v>-2.8901734104046308E-2</v>
      </c>
    </row>
    <row r="1284" spans="1:8" ht="13.5" x14ac:dyDescent="0.25">
      <c r="A1284" s="1"/>
      <c r="B1284" s="3">
        <v>44176</v>
      </c>
      <c r="C1284" s="4">
        <v>4.82</v>
      </c>
      <c r="D1284" s="4">
        <v>4.82</v>
      </c>
      <c r="E1284" s="4">
        <v>4863</v>
      </c>
      <c r="F1284" s="4">
        <v>4.8247999999999998</v>
      </c>
      <c r="G1284" s="4">
        <v>23463.002400000001</v>
      </c>
      <c r="H1284" s="5">
        <f t="shared" si="19"/>
        <v>-4.36507936507936E-2</v>
      </c>
    </row>
    <row r="1285" spans="1:8" ht="13.5" x14ac:dyDescent="0.25">
      <c r="A1285" s="1"/>
      <c r="B1285" s="3">
        <v>44179</v>
      </c>
      <c r="C1285" s="4">
        <v>4.82</v>
      </c>
      <c r="D1285" s="4">
        <v>4.82</v>
      </c>
      <c r="E1285" s="4">
        <v>7</v>
      </c>
      <c r="F1285" s="4">
        <v>4.8600000000000003</v>
      </c>
      <c r="G1285" s="4">
        <v>34.020000000000003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4.8499999999999996</v>
      </c>
      <c r="D1286" s="4">
        <v>4.8499999999999996</v>
      </c>
      <c r="E1286" s="4">
        <v>470</v>
      </c>
      <c r="F1286" s="4">
        <v>4.7102000000000004</v>
      </c>
      <c r="G1286" s="4">
        <v>2213.7939999999999</v>
      </c>
      <c r="H1286" s="5">
        <f t="shared" si="19"/>
        <v>6.2240663900413606E-3</v>
      </c>
    </row>
    <row r="1287" spans="1:8" ht="13.5" x14ac:dyDescent="0.25">
      <c r="A1287" s="1"/>
      <c r="B1287" s="3">
        <v>44181</v>
      </c>
      <c r="C1287" s="4">
        <v>4.9800000000000004</v>
      </c>
      <c r="D1287" s="4">
        <v>4.9800000000000004</v>
      </c>
      <c r="E1287" s="4">
        <v>5185</v>
      </c>
      <c r="F1287" s="4">
        <v>4.8112000000000004</v>
      </c>
      <c r="G1287" s="4">
        <v>24946.072</v>
      </c>
      <c r="H1287" s="5">
        <f t="shared" ref="H1287:H1350" si="20">(D1287-D1286)/D1286</f>
        <v>2.6804123711340368E-2</v>
      </c>
    </row>
    <row r="1288" spans="1:8" ht="13.5" x14ac:dyDescent="0.25">
      <c r="A1288" s="1"/>
      <c r="B1288" s="3">
        <v>44182</v>
      </c>
      <c r="C1288" s="4">
        <v>4.9800000000000004</v>
      </c>
      <c r="D1288" s="4">
        <v>4.9800000000000004</v>
      </c>
      <c r="E1288" s="4">
        <v>2098</v>
      </c>
      <c r="F1288" s="4">
        <v>4.9142000000000001</v>
      </c>
      <c r="G1288" s="4">
        <v>10309.991599999999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4.84</v>
      </c>
      <c r="D1289" s="4">
        <v>4.84</v>
      </c>
      <c r="E1289" s="4">
        <v>8620</v>
      </c>
      <c r="F1289" s="4">
        <v>4.9143999999999997</v>
      </c>
      <c r="G1289" s="4">
        <v>42362.127999999997</v>
      </c>
      <c r="H1289" s="5">
        <f t="shared" si="20"/>
        <v>-2.8112449799196897E-2</v>
      </c>
    </row>
    <row r="1290" spans="1:8" ht="13.5" x14ac:dyDescent="0.25">
      <c r="A1290" s="1"/>
      <c r="B1290" s="3">
        <v>44186</v>
      </c>
      <c r="C1290" s="4">
        <v>4.8</v>
      </c>
      <c r="D1290" s="4">
        <v>4.8</v>
      </c>
      <c r="E1290" s="4">
        <v>5242</v>
      </c>
      <c r="F1290" s="4">
        <v>4.7084000000000001</v>
      </c>
      <c r="G1290" s="4">
        <v>24681.432799999999</v>
      </c>
      <c r="H1290" s="5">
        <f t="shared" si="20"/>
        <v>-8.2644628099173625E-3</v>
      </c>
    </row>
    <row r="1291" spans="1:8" ht="13.5" x14ac:dyDescent="0.25">
      <c r="A1291" s="1"/>
      <c r="B1291" s="3">
        <v>44187</v>
      </c>
      <c r="C1291" s="4">
        <v>4.7699999999999996</v>
      </c>
      <c r="D1291" s="4">
        <v>4.7699999999999996</v>
      </c>
      <c r="E1291" s="4">
        <v>5382</v>
      </c>
      <c r="F1291" s="4">
        <v>4.7218</v>
      </c>
      <c r="G1291" s="4">
        <v>25412.727599999998</v>
      </c>
      <c r="H1291" s="5">
        <f t="shared" si="20"/>
        <v>-6.2500000000000524E-3</v>
      </c>
    </row>
    <row r="1292" spans="1:8" ht="13.5" x14ac:dyDescent="0.25">
      <c r="A1292" s="1"/>
      <c r="B1292" s="3">
        <v>44188</v>
      </c>
      <c r="C1292" s="4">
        <v>4.8</v>
      </c>
      <c r="D1292" s="4">
        <v>4.8</v>
      </c>
      <c r="E1292" s="4">
        <v>9038</v>
      </c>
      <c r="F1292" s="4">
        <v>4.7300000000000004</v>
      </c>
      <c r="G1292" s="4">
        <v>42749.74</v>
      </c>
      <c r="H1292" s="5">
        <f t="shared" si="20"/>
        <v>6.2893081761006813E-3</v>
      </c>
    </row>
    <row r="1293" spans="1:8" ht="13.5" x14ac:dyDescent="0.25">
      <c r="A1293" s="1"/>
      <c r="B1293" s="3">
        <v>44189</v>
      </c>
      <c r="C1293" s="4">
        <v>4.8</v>
      </c>
      <c r="D1293" s="4">
        <v>4.8</v>
      </c>
      <c r="E1293" s="4">
        <v>7</v>
      </c>
      <c r="F1293" s="4">
        <v>4.8213999999999997</v>
      </c>
      <c r="G1293" s="4">
        <v>33.7498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4.78</v>
      </c>
      <c r="D1294" s="4">
        <v>4.78</v>
      </c>
      <c r="E1294" s="4">
        <v>3456</v>
      </c>
      <c r="F1294" s="4">
        <v>4.6243999999999996</v>
      </c>
      <c r="G1294" s="4">
        <v>15981.9264</v>
      </c>
      <c r="H1294" s="5">
        <f t="shared" si="20"/>
        <v>-4.1666666666665781E-3</v>
      </c>
    </row>
    <row r="1295" spans="1:8" ht="13.5" x14ac:dyDescent="0.25">
      <c r="A1295" s="1"/>
      <c r="B1295" s="3">
        <v>44193</v>
      </c>
      <c r="C1295" s="4">
        <v>4.79</v>
      </c>
      <c r="D1295" s="4">
        <v>4.79</v>
      </c>
      <c r="E1295" s="4">
        <v>4321</v>
      </c>
      <c r="F1295" s="4">
        <v>4.7568000000000001</v>
      </c>
      <c r="G1295" s="4">
        <v>20554.132799999999</v>
      </c>
      <c r="H1295" s="5">
        <f t="shared" si="20"/>
        <v>2.0920502092049761E-3</v>
      </c>
    </row>
    <row r="1296" spans="1:8" ht="13.5" x14ac:dyDescent="0.25">
      <c r="A1296" s="1"/>
      <c r="B1296" s="3">
        <v>44194</v>
      </c>
      <c r="C1296" s="4">
        <v>4.6500000000000004</v>
      </c>
      <c r="D1296" s="4">
        <v>4.6500000000000004</v>
      </c>
      <c r="E1296" s="4">
        <v>1458</v>
      </c>
      <c r="F1296" s="4">
        <v>4.6513</v>
      </c>
      <c r="G1296" s="4">
        <v>6781.5954000000002</v>
      </c>
      <c r="H1296" s="5">
        <f t="shared" si="20"/>
        <v>-2.9227557411273419E-2</v>
      </c>
    </row>
    <row r="1297" spans="1:8" ht="13.5" x14ac:dyDescent="0.25">
      <c r="A1297" s="1"/>
      <c r="B1297" s="3">
        <v>44195</v>
      </c>
      <c r="C1297" s="4">
        <v>4.88</v>
      </c>
      <c r="D1297" s="4">
        <v>4.88</v>
      </c>
      <c r="E1297" s="4">
        <v>1610</v>
      </c>
      <c r="F1297" s="4">
        <v>4.7460000000000004</v>
      </c>
      <c r="G1297" s="4">
        <v>7641.06</v>
      </c>
      <c r="H1297" s="5">
        <f t="shared" si="20"/>
        <v>4.9462365591397744E-2</v>
      </c>
    </row>
    <row r="1298" spans="1:8" ht="13.5" x14ac:dyDescent="0.25">
      <c r="A1298" s="1"/>
      <c r="B1298" s="3">
        <v>44196</v>
      </c>
      <c r="C1298" s="4">
        <v>4.97</v>
      </c>
      <c r="D1298" s="4">
        <v>4.97</v>
      </c>
      <c r="E1298" s="4">
        <v>3494</v>
      </c>
      <c r="F1298" s="4">
        <v>4.8593999999999999</v>
      </c>
      <c r="G1298" s="4">
        <v>16978.743600000002</v>
      </c>
      <c r="H1298" s="5">
        <f t="shared" si="20"/>
        <v>1.8442622950819644E-2</v>
      </c>
    </row>
    <row r="1299" spans="1:8" ht="13.5" x14ac:dyDescent="0.25">
      <c r="A1299" s="1"/>
      <c r="B1299" s="3">
        <v>44200</v>
      </c>
      <c r="C1299" s="4">
        <v>4.95</v>
      </c>
      <c r="D1299" s="4">
        <v>4.95</v>
      </c>
      <c r="E1299" s="4">
        <v>15</v>
      </c>
      <c r="F1299" s="4">
        <v>4.87</v>
      </c>
      <c r="G1299" s="4">
        <v>73.05</v>
      </c>
      <c r="H1299" s="5">
        <f t="shared" si="20"/>
        <v>-4.0241448692152062E-3</v>
      </c>
    </row>
    <row r="1300" spans="1:8" ht="13.5" x14ac:dyDescent="0.25">
      <c r="A1300" s="1"/>
      <c r="B1300" s="3">
        <v>44201</v>
      </c>
      <c r="C1300" s="4">
        <v>4.95</v>
      </c>
      <c r="D1300" s="4">
        <v>4.95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4.7300000000000004</v>
      </c>
      <c r="D1301" s="4">
        <v>4.7300000000000004</v>
      </c>
      <c r="E1301" s="4">
        <v>0</v>
      </c>
      <c r="F1301" s="4">
        <v>0</v>
      </c>
      <c r="G1301" s="4">
        <v>0</v>
      </c>
      <c r="H1301" s="5">
        <f t="shared" si="20"/>
        <v>-4.4444444444444391E-2</v>
      </c>
    </row>
    <row r="1302" spans="1:8" ht="13.5" x14ac:dyDescent="0.25">
      <c r="A1302" s="1"/>
      <c r="B1302" s="3">
        <v>44203</v>
      </c>
      <c r="C1302" s="4">
        <v>4.5</v>
      </c>
      <c r="D1302" s="4">
        <v>4.5</v>
      </c>
      <c r="E1302" s="4">
        <v>12942</v>
      </c>
      <c r="F1302" s="4">
        <v>4.4880000000000004</v>
      </c>
      <c r="G1302" s="4">
        <v>58083.696000000004</v>
      </c>
      <c r="H1302" s="5">
        <f t="shared" si="20"/>
        <v>-4.8625792811839409E-2</v>
      </c>
    </row>
    <row r="1303" spans="1:8" ht="13.5" x14ac:dyDescent="0.25">
      <c r="A1303" s="1"/>
      <c r="B1303" s="3">
        <v>44204</v>
      </c>
      <c r="C1303" s="4">
        <v>4.63</v>
      </c>
      <c r="D1303" s="4">
        <v>4.63</v>
      </c>
      <c r="E1303" s="4">
        <v>14</v>
      </c>
      <c r="F1303" s="4">
        <v>4.63</v>
      </c>
      <c r="G1303" s="4">
        <v>64.819999999999993</v>
      </c>
      <c r="H1303" s="5">
        <f t="shared" si="20"/>
        <v>2.8888888888888867E-2</v>
      </c>
    </row>
    <row r="1304" spans="1:8" ht="13.5" x14ac:dyDescent="0.25">
      <c r="A1304" s="1"/>
      <c r="B1304" s="3">
        <v>44207</v>
      </c>
      <c r="C1304" s="4">
        <v>4.91</v>
      </c>
      <c r="D1304" s="4">
        <v>4.91</v>
      </c>
      <c r="E1304" s="4">
        <v>6920</v>
      </c>
      <c r="F1304" s="4">
        <v>4.7432999999999996</v>
      </c>
      <c r="G1304" s="4">
        <v>32823.635999999999</v>
      </c>
      <c r="H1304" s="5">
        <f t="shared" si="20"/>
        <v>6.0475161987041094E-2</v>
      </c>
    </row>
    <row r="1305" spans="1:8" ht="13.5" x14ac:dyDescent="0.25">
      <c r="A1305" s="1"/>
      <c r="B1305" s="3">
        <v>44208</v>
      </c>
      <c r="C1305" s="4">
        <v>5.09</v>
      </c>
      <c r="D1305" s="4">
        <v>5.09</v>
      </c>
      <c r="E1305" s="4">
        <v>18237</v>
      </c>
      <c r="F1305" s="4">
        <v>4.9881000000000002</v>
      </c>
      <c r="G1305" s="4">
        <v>90967.979699999996</v>
      </c>
      <c r="H1305" s="5">
        <f t="shared" si="20"/>
        <v>3.6659877800407276E-2</v>
      </c>
    </row>
    <row r="1306" spans="1:8" ht="13.5" x14ac:dyDescent="0.25">
      <c r="A1306" s="1"/>
      <c r="B1306" s="3">
        <v>44209</v>
      </c>
      <c r="C1306" s="4">
        <v>5.0199999999999996</v>
      </c>
      <c r="D1306" s="4">
        <v>5.0199999999999996</v>
      </c>
      <c r="E1306" s="4">
        <v>63</v>
      </c>
      <c r="F1306" s="4">
        <v>5.0057</v>
      </c>
      <c r="G1306" s="4">
        <v>315.35910000000001</v>
      </c>
      <c r="H1306" s="5">
        <f t="shared" si="20"/>
        <v>-1.3752455795677855E-2</v>
      </c>
    </row>
    <row r="1307" spans="1:8" ht="13.5" x14ac:dyDescent="0.25">
      <c r="A1307" s="1"/>
      <c r="B1307" s="3">
        <v>44211</v>
      </c>
      <c r="C1307" s="4">
        <v>5.12</v>
      </c>
      <c r="D1307" s="4">
        <v>5.12</v>
      </c>
      <c r="E1307" s="4">
        <v>2</v>
      </c>
      <c r="F1307" s="4">
        <v>5.12</v>
      </c>
      <c r="G1307" s="4">
        <v>10.24</v>
      </c>
      <c r="H1307" s="5">
        <f t="shared" si="20"/>
        <v>1.9920318725099709E-2</v>
      </c>
    </row>
    <row r="1308" spans="1:8" ht="13.5" x14ac:dyDescent="0.25">
      <c r="A1308" s="1"/>
      <c r="B1308" s="3">
        <v>44214</v>
      </c>
      <c r="C1308" s="4">
        <v>5.08</v>
      </c>
      <c r="D1308" s="4">
        <v>5.08</v>
      </c>
      <c r="E1308" s="4">
        <v>2000</v>
      </c>
      <c r="F1308" s="4">
        <v>5.08</v>
      </c>
      <c r="G1308" s="4">
        <v>10160</v>
      </c>
      <c r="H1308" s="5">
        <f t="shared" si="20"/>
        <v>-7.8125000000000069E-3</v>
      </c>
    </row>
    <row r="1309" spans="1:8" ht="13.5" x14ac:dyDescent="0.25">
      <c r="A1309" s="1"/>
      <c r="B1309" s="3">
        <v>44215</v>
      </c>
      <c r="C1309" s="4">
        <v>5.17</v>
      </c>
      <c r="D1309" s="4">
        <v>5.17</v>
      </c>
      <c r="E1309" s="4">
        <v>4783</v>
      </c>
      <c r="F1309" s="4">
        <v>5.0831999999999997</v>
      </c>
      <c r="G1309" s="4">
        <v>24312.945599999999</v>
      </c>
      <c r="H1309" s="5">
        <f t="shared" si="20"/>
        <v>1.7716535433070838E-2</v>
      </c>
    </row>
    <row r="1310" spans="1:8" ht="13.5" x14ac:dyDescent="0.25">
      <c r="A1310" s="1"/>
      <c r="B1310" s="3">
        <v>44216</v>
      </c>
      <c r="C1310" s="4">
        <v>5.17</v>
      </c>
      <c r="D1310" s="4">
        <v>5.17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5.2</v>
      </c>
      <c r="D1311" s="4">
        <v>5.2</v>
      </c>
      <c r="E1311" s="4">
        <v>20944</v>
      </c>
      <c r="F1311" s="4">
        <v>5.1943000000000001</v>
      </c>
      <c r="G1311" s="4">
        <v>108789.4192</v>
      </c>
      <c r="H1311" s="5">
        <f t="shared" si="20"/>
        <v>5.8027079303675528E-3</v>
      </c>
    </row>
    <row r="1312" spans="1:8" ht="13.5" x14ac:dyDescent="0.25">
      <c r="A1312" s="1"/>
      <c r="B1312" s="3">
        <v>44218</v>
      </c>
      <c r="C1312" s="4">
        <v>5.34</v>
      </c>
      <c r="D1312" s="4">
        <v>5.34</v>
      </c>
      <c r="E1312" s="4">
        <v>1</v>
      </c>
      <c r="F1312" s="4">
        <v>5.34</v>
      </c>
      <c r="G1312" s="4">
        <v>5.34</v>
      </c>
      <c r="H1312" s="5">
        <f t="shared" si="20"/>
        <v>2.6923076923076862E-2</v>
      </c>
    </row>
    <row r="1313" spans="1:8" ht="13.5" x14ac:dyDescent="0.25">
      <c r="A1313" s="1"/>
      <c r="B1313" s="3">
        <v>44221</v>
      </c>
      <c r="C1313" s="4">
        <v>5.25</v>
      </c>
      <c r="D1313" s="4">
        <v>5.25</v>
      </c>
      <c r="E1313" s="4">
        <v>44</v>
      </c>
      <c r="F1313" s="4">
        <v>5.1070000000000002</v>
      </c>
      <c r="G1313" s="4">
        <v>224.708</v>
      </c>
      <c r="H1313" s="5">
        <f t="shared" si="20"/>
        <v>-1.6853932584269638E-2</v>
      </c>
    </row>
    <row r="1314" spans="1:8" ht="13.5" x14ac:dyDescent="0.25">
      <c r="A1314" s="1"/>
      <c r="B1314" s="3">
        <v>44222</v>
      </c>
      <c r="C1314" s="4">
        <v>5.25</v>
      </c>
      <c r="D1314" s="4">
        <v>5.25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5.0199999999999996</v>
      </c>
      <c r="D1315" s="4">
        <v>5.0199999999999996</v>
      </c>
      <c r="E1315" s="4">
        <v>6380</v>
      </c>
      <c r="F1315" s="4">
        <v>5.0503999999999998</v>
      </c>
      <c r="G1315" s="4">
        <v>32221.552</v>
      </c>
      <c r="H1315" s="5">
        <f t="shared" si="20"/>
        <v>-4.3809523809523888E-2</v>
      </c>
    </row>
    <row r="1316" spans="1:8" ht="13.5" x14ac:dyDescent="0.25">
      <c r="A1316" s="1"/>
      <c r="B1316" s="3">
        <v>44224</v>
      </c>
      <c r="C1316" s="4">
        <v>5.0199999999999996</v>
      </c>
      <c r="D1316" s="4">
        <v>5.0199999999999996</v>
      </c>
      <c r="E1316" s="4">
        <v>611</v>
      </c>
      <c r="F1316" s="4">
        <v>5.0202</v>
      </c>
      <c r="G1316" s="4">
        <v>3067.3422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5</v>
      </c>
      <c r="D1317" s="4">
        <v>5</v>
      </c>
      <c r="E1317" s="4">
        <v>659</v>
      </c>
      <c r="F1317" s="4">
        <v>5.0995999999999997</v>
      </c>
      <c r="G1317" s="4">
        <v>3360.6363999999999</v>
      </c>
      <c r="H1317" s="5">
        <f t="shared" si="20"/>
        <v>-3.9840637450198361E-3</v>
      </c>
    </row>
    <row r="1318" spans="1:8" ht="13.5" x14ac:dyDescent="0.25">
      <c r="A1318" s="1"/>
      <c r="B1318" s="3">
        <v>44228</v>
      </c>
      <c r="C1318" s="4">
        <v>4.99</v>
      </c>
      <c r="D1318" s="4">
        <v>4.99</v>
      </c>
      <c r="E1318" s="4">
        <v>2328</v>
      </c>
      <c r="F1318" s="4">
        <v>4.9189999999999996</v>
      </c>
      <c r="G1318" s="4">
        <v>11451.432000000001</v>
      </c>
      <c r="H1318" s="5">
        <f t="shared" si="20"/>
        <v>-1.9999999999999575E-3</v>
      </c>
    </row>
    <row r="1319" spans="1:8" ht="13.5" x14ac:dyDescent="0.25">
      <c r="A1319" s="1"/>
      <c r="B1319" s="3">
        <v>44229</v>
      </c>
      <c r="C1319" s="4">
        <v>4.9400000000000004</v>
      </c>
      <c r="D1319" s="4">
        <v>4.9400000000000004</v>
      </c>
      <c r="E1319" s="4">
        <v>357</v>
      </c>
      <c r="F1319" s="4">
        <v>4.9977</v>
      </c>
      <c r="G1319" s="4">
        <v>1784.1789000000001</v>
      </c>
      <c r="H1319" s="5">
        <f t="shared" si="20"/>
        <v>-1.0020040080160284E-2</v>
      </c>
    </row>
    <row r="1320" spans="1:8" ht="13.5" x14ac:dyDescent="0.25">
      <c r="A1320" s="1"/>
      <c r="B1320" s="3">
        <v>44230</v>
      </c>
      <c r="C1320" s="4">
        <v>4.9000000000000004</v>
      </c>
      <c r="D1320" s="4">
        <v>4.9000000000000004</v>
      </c>
      <c r="E1320" s="4">
        <v>1316</v>
      </c>
      <c r="F1320" s="4">
        <v>4.9001000000000001</v>
      </c>
      <c r="G1320" s="4">
        <v>6448.5316000000003</v>
      </c>
      <c r="H1320" s="5">
        <f t="shared" si="20"/>
        <v>-8.097165991902841E-3</v>
      </c>
    </row>
    <row r="1321" spans="1:8" ht="13.5" x14ac:dyDescent="0.25">
      <c r="A1321" s="1"/>
      <c r="B1321" s="3">
        <v>44231</v>
      </c>
      <c r="C1321" s="4">
        <v>4.9400000000000004</v>
      </c>
      <c r="D1321" s="4">
        <v>4.9400000000000004</v>
      </c>
      <c r="E1321" s="4">
        <v>255</v>
      </c>
      <c r="F1321" s="4">
        <v>4.9314999999999998</v>
      </c>
      <c r="G1321" s="4">
        <v>1257.5325</v>
      </c>
      <c r="H1321" s="5">
        <f t="shared" si="20"/>
        <v>8.1632653061224549E-3</v>
      </c>
    </row>
    <row r="1322" spans="1:8" ht="13.5" x14ac:dyDescent="0.25">
      <c r="A1322" s="1"/>
      <c r="B1322" s="3">
        <v>44232</v>
      </c>
      <c r="C1322" s="4">
        <v>4.9400000000000004</v>
      </c>
      <c r="D1322" s="4">
        <v>4.9400000000000004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4.9400000000000004</v>
      </c>
      <c r="D1323" s="4">
        <v>4.9400000000000004</v>
      </c>
      <c r="E1323" s="4">
        <v>641</v>
      </c>
      <c r="F1323" s="4">
        <v>4.9409999999999998</v>
      </c>
      <c r="G1323" s="4">
        <v>3167.181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4.92</v>
      </c>
      <c r="D1324" s="4">
        <v>4.92</v>
      </c>
      <c r="E1324" s="4">
        <v>5135</v>
      </c>
      <c r="F1324" s="4">
        <v>4.9504000000000001</v>
      </c>
      <c r="G1324" s="4">
        <v>25420.304</v>
      </c>
      <c r="H1324" s="5">
        <f t="shared" si="20"/>
        <v>-4.0485829959515099E-3</v>
      </c>
    </row>
    <row r="1325" spans="1:8" ht="13.5" x14ac:dyDescent="0.25">
      <c r="A1325" s="1"/>
      <c r="B1325" s="3">
        <v>44237</v>
      </c>
      <c r="C1325" s="4">
        <v>4.92</v>
      </c>
      <c r="D1325" s="4">
        <v>4.92</v>
      </c>
      <c r="E1325" s="4">
        <v>1304</v>
      </c>
      <c r="F1325" s="4">
        <v>4.8422999999999998</v>
      </c>
      <c r="G1325" s="4">
        <v>6314.3591999999999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4.87</v>
      </c>
      <c r="D1326" s="4">
        <v>4.87</v>
      </c>
      <c r="E1326" s="4">
        <v>2477</v>
      </c>
      <c r="F1326" s="4">
        <v>4.8106</v>
      </c>
      <c r="G1326" s="4">
        <v>11915.8562</v>
      </c>
      <c r="H1326" s="5">
        <f t="shared" si="20"/>
        <v>-1.0162601626016224E-2</v>
      </c>
    </row>
    <row r="1327" spans="1:8" ht="13.5" x14ac:dyDescent="0.25">
      <c r="A1327" s="1"/>
      <c r="B1327" s="3">
        <v>44239</v>
      </c>
      <c r="C1327" s="4">
        <v>4.8</v>
      </c>
      <c r="D1327" s="4">
        <v>4.8</v>
      </c>
      <c r="E1327" s="4">
        <v>2</v>
      </c>
      <c r="F1327" s="4">
        <v>4.8</v>
      </c>
      <c r="G1327" s="4">
        <v>9.6</v>
      </c>
      <c r="H1327" s="5">
        <f t="shared" si="20"/>
        <v>-1.437371663244359E-2</v>
      </c>
    </row>
    <row r="1328" spans="1:8" ht="13.5" x14ac:dyDescent="0.25">
      <c r="A1328" s="1"/>
      <c r="B1328" s="3">
        <v>44242</v>
      </c>
      <c r="C1328" s="4">
        <v>4.88</v>
      </c>
      <c r="D1328" s="4">
        <v>4.88</v>
      </c>
      <c r="E1328" s="4">
        <v>2509</v>
      </c>
      <c r="F1328" s="4">
        <v>4.7004999999999999</v>
      </c>
      <c r="G1328" s="4">
        <v>11793.5545</v>
      </c>
      <c r="H1328" s="5">
        <f t="shared" si="20"/>
        <v>1.6666666666666684E-2</v>
      </c>
    </row>
    <row r="1329" spans="1:8" ht="13.5" x14ac:dyDescent="0.25">
      <c r="A1329" s="1"/>
      <c r="B1329" s="3">
        <v>44243</v>
      </c>
      <c r="C1329" s="4">
        <v>4.74</v>
      </c>
      <c r="D1329" s="4">
        <v>4.74</v>
      </c>
      <c r="E1329" s="4">
        <v>2800</v>
      </c>
      <c r="F1329" s="4">
        <v>4.84</v>
      </c>
      <c r="G1329" s="4">
        <v>13552</v>
      </c>
      <c r="H1329" s="5">
        <f t="shared" si="20"/>
        <v>-2.8688524590163869E-2</v>
      </c>
    </row>
    <row r="1330" spans="1:8" ht="13.5" x14ac:dyDescent="0.25">
      <c r="A1330" s="1"/>
      <c r="B1330" s="3">
        <v>44244</v>
      </c>
      <c r="C1330" s="4">
        <v>4.72</v>
      </c>
      <c r="D1330" s="4">
        <v>4.72</v>
      </c>
      <c r="E1330" s="4">
        <v>2319</v>
      </c>
      <c r="F1330" s="4">
        <v>4.6026999999999996</v>
      </c>
      <c r="G1330" s="4">
        <v>10673.6613</v>
      </c>
      <c r="H1330" s="5">
        <f t="shared" si="20"/>
        <v>-4.2194092827005196E-3</v>
      </c>
    </row>
    <row r="1331" spans="1:8" ht="13.5" x14ac:dyDescent="0.25">
      <c r="A1331" s="1"/>
      <c r="B1331" s="3">
        <v>44245</v>
      </c>
      <c r="C1331" s="4">
        <v>4.79</v>
      </c>
      <c r="D1331" s="4">
        <v>4.79</v>
      </c>
      <c r="E1331" s="4">
        <v>27</v>
      </c>
      <c r="F1331" s="4">
        <v>4.6943999999999999</v>
      </c>
      <c r="G1331" s="4">
        <v>126.7488</v>
      </c>
      <c r="H1331" s="5">
        <f t="shared" si="20"/>
        <v>1.4830508474576332E-2</v>
      </c>
    </row>
    <row r="1332" spans="1:8" ht="13.5" x14ac:dyDescent="0.25">
      <c r="A1332" s="1"/>
      <c r="B1332" s="3">
        <v>44246</v>
      </c>
      <c r="C1332" s="4">
        <v>4.6500000000000004</v>
      </c>
      <c r="D1332" s="4">
        <v>4.6500000000000004</v>
      </c>
      <c r="E1332" s="4">
        <v>47</v>
      </c>
      <c r="F1332" s="4">
        <v>4.6500000000000004</v>
      </c>
      <c r="G1332" s="4">
        <v>218.55</v>
      </c>
      <c r="H1332" s="5">
        <f t="shared" si="20"/>
        <v>-2.9227557411273419E-2</v>
      </c>
    </row>
    <row r="1333" spans="1:8" ht="13.5" x14ac:dyDescent="0.25">
      <c r="A1333" s="1"/>
      <c r="B1333" s="3">
        <v>44249</v>
      </c>
      <c r="C1333" s="4">
        <v>4.78</v>
      </c>
      <c r="D1333" s="4">
        <v>4.78</v>
      </c>
      <c r="E1333" s="4">
        <v>27</v>
      </c>
      <c r="F1333" s="4">
        <v>4.78</v>
      </c>
      <c r="G1333" s="4">
        <v>129.06</v>
      </c>
      <c r="H1333" s="5">
        <f t="shared" si="20"/>
        <v>2.7956989247311805E-2</v>
      </c>
    </row>
    <row r="1334" spans="1:8" ht="13.5" x14ac:dyDescent="0.25">
      <c r="A1334" s="1"/>
      <c r="B1334" s="3">
        <v>44250</v>
      </c>
      <c r="C1334" s="4">
        <v>4.8</v>
      </c>
      <c r="D1334" s="4">
        <v>4.8</v>
      </c>
      <c r="E1334" s="4">
        <v>1</v>
      </c>
      <c r="F1334" s="4">
        <v>4.8</v>
      </c>
      <c r="G1334" s="4">
        <v>4.8</v>
      </c>
      <c r="H1334" s="5">
        <f t="shared" si="20"/>
        <v>4.1841004184099521E-3</v>
      </c>
    </row>
    <row r="1335" spans="1:8" ht="13.5" x14ac:dyDescent="0.25">
      <c r="A1335" s="1"/>
      <c r="B1335" s="3">
        <v>44251</v>
      </c>
      <c r="C1335" s="4">
        <v>4.78</v>
      </c>
      <c r="D1335" s="4">
        <v>4.78</v>
      </c>
      <c r="E1335" s="4">
        <v>515</v>
      </c>
      <c r="F1335" s="4">
        <v>4.7511000000000001</v>
      </c>
      <c r="G1335" s="4">
        <v>2446.8164999999999</v>
      </c>
      <c r="H1335" s="5">
        <f t="shared" si="20"/>
        <v>-4.1666666666665781E-3</v>
      </c>
    </row>
    <row r="1336" spans="1:8" ht="13.5" x14ac:dyDescent="0.25">
      <c r="A1336" s="1"/>
      <c r="B1336" s="3">
        <v>44252</v>
      </c>
      <c r="C1336" s="4">
        <v>4.78</v>
      </c>
      <c r="D1336" s="4">
        <v>4.78</v>
      </c>
      <c r="E1336" s="4">
        <v>2117</v>
      </c>
      <c r="F1336" s="4">
        <v>4.7699999999999996</v>
      </c>
      <c r="G1336" s="4">
        <v>10098.09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4.7699999999999996</v>
      </c>
      <c r="D1337" s="4">
        <v>4.7699999999999996</v>
      </c>
      <c r="E1337" s="4">
        <v>3330</v>
      </c>
      <c r="F1337" s="4">
        <v>4.5949999999999998</v>
      </c>
      <c r="G1337" s="4">
        <v>15301.35</v>
      </c>
      <c r="H1337" s="5">
        <f t="shared" si="20"/>
        <v>-2.0920502092051621E-3</v>
      </c>
    </row>
    <row r="1338" spans="1:8" ht="13.5" x14ac:dyDescent="0.25">
      <c r="A1338" s="1"/>
      <c r="B1338" s="3">
        <v>44256</v>
      </c>
      <c r="C1338" s="4">
        <v>4.76</v>
      </c>
      <c r="D1338" s="4">
        <v>4.76</v>
      </c>
      <c r="E1338" s="4">
        <v>1601</v>
      </c>
      <c r="F1338" s="4">
        <v>4.6432000000000002</v>
      </c>
      <c r="G1338" s="4">
        <v>7433.7632000000003</v>
      </c>
      <c r="H1338" s="5">
        <f t="shared" si="20"/>
        <v>-2.0964360587001651E-3</v>
      </c>
    </row>
    <row r="1339" spans="1:8" ht="13.5" x14ac:dyDescent="0.25">
      <c r="A1339" s="1"/>
      <c r="B1339" s="3">
        <v>44257</v>
      </c>
      <c r="C1339" s="4">
        <v>4.7</v>
      </c>
      <c r="D1339" s="4">
        <v>4.7</v>
      </c>
      <c r="E1339" s="4">
        <v>10029</v>
      </c>
      <c r="F1339" s="4">
        <v>4.6383999999999999</v>
      </c>
      <c r="G1339" s="4">
        <v>46518.513599999998</v>
      </c>
      <c r="H1339" s="5">
        <f t="shared" si="20"/>
        <v>-1.2605042016806641E-2</v>
      </c>
    </row>
    <row r="1340" spans="1:8" ht="13.5" x14ac:dyDescent="0.25">
      <c r="A1340" s="1"/>
      <c r="B1340" s="3">
        <v>44258</v>
      </c>
      <c r="C1340" s="4">
        <v>4.68</v>
      </c>
      <c r="D1340" s="4">
        <v>4.68</v>
      </c>
      <c r="E1340" s="4">
        <v>20</v>
      </c>
      <c r="F1340" s="4">
        <v>4.68</v>
      </c>
      <c r="G1340" s="4">
        <v>93.6</v>
      </c>
      <c r="H1340" s="5">
        <f t="shared" si="20"/>
        <v>-4.2553191489362683E-3</v>
      </c>
    </row>
    <row r="1341" spans="1:8" ht="13.5" x14ac:dyDescent="0.25">
      <c r="A1341" s="1"/>
      <c r="B1341" s="3">
        <v>44259</v>
      </c>
      <c r="C1341" s="4">
        <v>4.68</v>
      </c>
      <c r="D1341" s="4">
        <v>4.68</v>
      </c>
      <c r="E1341" s="4">
        <v>0</v>
      </c>
      <c r="F1341" s="4">
        <v>0</v>
      </c>
      <c r="G1341" s="4">
        <v>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4.6900000000000004</v>
      </c>
      <c r="D1342" s="4">
        <v>4.6900000000000004</v>
      </c>
      <c r="E1342" s="4">
        <v>4559</v>
      </c>
      <c r="F1342" s="4">
        <v>4.6467999999999998</v>
      </c>
      <c r="G1342" s="4">
        <v>21184.761200000001</v>
      </c>
      <c r="H1342" s="5">
        <f t="shared" si="20"/>
        <v>2.1367521367522809E-3</v>
      </c>
    </row>
    <row r="1343" spans="1:8" ht="13.5" x14ac:dyDescent="0.25">
      <c r="A1343" s="1"/>
      <c r="B1343" s="3">
        <v>44263</v>
      </c>
      <c r="C1343" s="4">
        <v>4.7</v>
      </c>
      <c r="D1343" s="4">
        <v>4.7</v>
      </c>
      <c r="E1343" s="4">
        <v>2520</v>
      </c>
      <c r="F1343" s="4">
        <v>4.6205999999999996</v>
      </c>
      <c r="G1343" s="4">
        <v>11643.912</v>
      </c>
      <c r="H1343" s="5">
        <f t="shared" si="20"/>
        <v>2.1321961620468627E-3</v>
      </c>
    </row>
    <row r="1344" spans="1:8" ht="13.5" x14ac:dyDescent="0.25">
      <c r="A1344" s="1"/>
      <c r="B1344" s="3">
        <v>44264</v>
      </c>
      <c r="C1344" s="4">
        <v>4.7</v>
      </c>
      <c r="D1344" s="4">
        <v>4.7</v>
      </c>
      <c r="E1344" s="4">
        <v>11080</v>
      </c>
      <c r="F1344" s="4">
        <v>4.6805000000000003</v>
      </c>
      <c r="G1344" s="4">
        <v>51859.94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4.7</v>
      </c>
      <c r="D1345" s="4">
        <v>4.7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4.49</v>
      </c>
      <c r="D1346" s="4">
        <v>4.49</v>
      </c>
      <c r="E1346" s="4">
        <v>3674</v>
      </c>
      <c r="F1346" s="4">
        <v>4.5095000000000001</v>
      </c>
      <c r="G1346" s="4">
        <v>16567.902999999998</v>
      </c>
      <c r="H1346" s="5">
        <f t="shared" si="20"/>
        <v>-4.4680851063829775E-2</v>
      </c>
    </row>
    <row r="1347" spans="1:8" ht="13.5" x14ac:dyDescent="0.25">
      <c r="A1347" s="1"/>
      <c r="B1347" s="3">
        <v>44267</v>
      </c>
      <c r="C1347" s="4">
        <v>4.6900000000000004</v>
      </c>
      <c r="D1347" s="4">
        <v>4.6900000000000004</v>
      </c>
      <c r="E1347" s="4">
        <v>6061</v>
      </c>
      <c r="F1347" s="4">
        <v>4.4939999999999998</v>
      </c>
      <c r="G1347" s="4">
        <v>27238.133999999998</v>
      </c>
      <c r="H1347" s="5">
        <f t="shared" si="20"/>
        <v>4.454342984409803E-2</v>
      </c>
    </row>
    <row r="1348" spans="1:8" ht="13.5" x14ac:dyDescent="0.25">
      <c r="A1348" s="1"/>
      <c r="B1348" s="3">
        <v>44270</v>
      </c>
      <c r="C1348" s="4">
        <v>4.6399999999999997</v>
      </c>
      <c r="D1348" s="4">
        <v>4.6399999999999997</v>
      </c>
      <c r="E1348" s="4">
        <v>2001</v>
      </c>
      <c r="F1348" s="4">
        <v>4.67</v>
      </c>
      <c r="G1348" s="4">
        <v>9344.67</v>
      </c>
      <c r="H1348" s="5">
        <f t="shared" si="20"/>
        <v>-1.0660980810234692E-2</v>
      </c>
    </row>
    <row r="1349" spans="1:8" ht="13.5" x14ac:dyDescent="0.25">
      <c r="A1349" s="1"/>
      <c r="B1349" s="3">
        <v>44271</v>
      </c>
      <c r="C1349" s="4">
        <v>4.51</v>
      </c>
      <c r="D1349" s="4">
        <v>4.51</v>
      </c>
      <c r="E1349" s="4">
        <v>3425</v>
      </c>
      <c r="F1349" s="4">
        <v>4.5141</v>
      </c>
      <c r="G1349" s="4">
        <v>15460.7925</v>
      </c>
      <c r="H1349" s="5">
        <f t="shared" si="20"/>
        <v>-2.8017241379310324E-2</v>
      </c>
    </row>
    <row r="1350" spans="1:8" ht="13.5" x14ac:dyDescent="0.25">
      <c r="A1350" s="1"/>
      <c r="B1350" s="3">
        <v>44272</v>
      </c>
      <c r="C1350" s="4">
        <v>4.5999999999999996</v>
      </c>
      <c r="D1350" s="4">
        <v>4.5999999999999996</v>
      </c>
      <c r="E1350" s="4">
        <v>281</v>
      </c>
      <c r="F1350" s="4">
        <v>4.4206000000000003</v>
      </c>
      <c r="G1350" s="4">
        <v>1242.1886</v>
      </c>
      <c r="H1350" s="5">
        <f t="shared" si="20"/>
        <v>1.9955654101995533E-2</v>
      </c>
    </row>
    <row r="1351" spans="1:8" ht="13.5" x14ac:dyDescent="0.25">
      <c r="A1351" s="1"/>
      <c r="B1351" s="3">
        <v>44273</v>
      </c>
      <c r="C1351" s="4">
        <v>4.5999999999999996</v>
      </c>
      <c r="D1351" s="4">
        <v>4.5999999999999996</v>
      </c>
      <c r="E1351" s="4">
        <v>20</v>
      </c>
      <c r="F1351" s="4">
        <v>4.5999999999999996</v>
      </c>
      <c r="G1351" s="4">
        <v>92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4.47</v>
      </c>
      <c r="D1352" s="4">
        <v>4.47</v>
      </c>
      <c r="E1352" s="4">
        <v>245</v>
      </c>
      <c r="F1352" s="4">
        <v>4.6399999999999997</v>
      </c>
      <c r="G1352" s="4">
        <v>1136.8</v>
      </c>
      <c r="H1352" s="5">
        <f t="shared" si="21"/>
        <v>-2.826086956521737E-2</v>
      </c>
    </row>
    <row r="1353" spans="1:8" ht="13.5" x14ac:dyDescent="0.25">
      <c r="A1353" s="1"/>
      <c r="B1353" s="3">
        <v>44277</v>
      </c>
      <c r="C1353" s="4">
        <v>4.5999999999999996</v>
      </c>
      <c r="D1353" s="4">
        <v>4.5999999999999996</v>
      </c>
      <c r="E1353" s="4">
        <v>605</v>
      </c>
      <c r="F1353" s="4">
        <v>4.4343000000000004</v>
      </c>
      <c r="G1353" s="4">
        <v>2682.7514999999999</v>
      </c>
      <c r="H1353" s="5">
        <f t="shared" si="21"/>
        <v>2.908277404921698E-2</v>
      </c>
    </row>
    <row r="1354" spans="1:8" ht="13.5" x14ac:dyDescent="0.25">
      <c r="A1354" s="1"/>
      <c r="B1354" s="3">
        <v>44278</v>
      </c>
      <c r="C1354" s="4">
        <v>4.5999999999999996</v>
      </c>
      <c r="D1354" s="4">
        <v>4.5999999999999996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4.5999999999999996</v>
      </c>
      <c r="D1355" s="4">
        <v>4.5999999999999996</v>
      </c>
      <c r="E1355" s="4">
        <v>25</v>
      </c>
      <c r="F1355" s="4">
        <v>4.5999999999999996</v>
      </c>
      <c r="G1355" s="4">
        <v>115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4.8499999999999996</v>
      </c>
      <c r="D1356" s="4">
        <v>4.8499999999999996</v>
      </c>
      <c r="E1356" s="4">
        <v>18611</v>
      </c>
      <c r="F1356" s="4">
        <v>4.806</v>
      </c>
      <c r="G1356" s="4">
        <v>89444.466</v>
      </c>
      <c r="H1356" s="5">
        <f t="shared" si="21"/>
        <v>5.4347826086956527E-2</v>
      </c>
    </row>
    <row r="1357" spans="1:8" ht="13.5" x14ac:dyDescent="0.25">
      <c r="A1357" s="1"/>
      <c r="B1357" s="3">
        <v>44281</v>
      </c>
      <c r="C1357" s="4">
        <v>4.9000000000000004</v>
      </c>
      <c r="D1357" s="4">
        <v>4.9000000000000004</v>
      </c>
      <c r="E1357" s="4">
        <v>7447</v>
      </c>
      <c r="F1357" s="4">
        <v>4.9025999999999996</v>
      </c>
      <c r="G1357" s="4">
        <v>36509.662199999999</v>
      </c>
      <c r="H1357" s="5">
        <f t="shared" si="21"/>
        <v>1.0309278350515611E-2</v>
      </c>
    </row>
    <row r="1358" spans="1:8" ht="13.5" x14ac:dyDescent="0.25">
      <c r="A1358" s="1"/>
      <c r="B1358" s="3">
        <v>44284</v>
      </c>
      <c r="C1358" s="4">
        <v>4.9400000000000004</v>
      </c>
      <c r="D1358" s="4">
        <v>4.9400000000000004</v>
      </c>
      <c r="E1358" s="4">
        <v>3717</v>
      </c>
      <c r="F1358" s="4">
        <v>4.8948</v>
      </c>
      <c r="G1358" s="4">
        <v>18193.971600000001</v>
      </c>
      <c r="H1358" s="5">
        <f t="shared" si="21"/>
        <v>8.1632653061224549E-3</v>
      </c>
    </row>
    <row r="1359" spans="1:8" ht="13.5" x14ac:dyDescent="0.25">
      <c r="A1359" s="1"/>
      <c r="B1359" s="3">
        <v>44285</v>
      </c>
      <c r="C1359" s="4">
        <v>4.9000000000000004</v>
      </c>
      <c r="D1359" s="4">
        <v>4.9000000000000004</v>
      </c>
      <c r="E1359" s="4">
        <v>1657</v>
      </c>
      <c r="F1359" s="4">
        <v>4.8437999999999999</v>
      </c>
      <c r="G1359" s="4">
        <v>8026.1765999999998</v>
      </c>
      <c r="H1359" s="5">
        <f t="shared" si="21"/>
        <v>-8.097165991902841E-3</v>
      </c>
    </row>
    <row r="1360" spans="1:8" ht="13.5" x14ac:dyDescent="0.25">
      <c r="A1360" s="1"/>
      <c r="B1360" s="3">
        <v>44286</v>
      </c>
      <c r="C1360" s="4">
        <v>4.9000000000000004</v>
      </c>
      <c r="D1360" s="4">
        <v>4.9000000000000004</v>
      </c>
      <c r="E1360" s="4">
        <v>1661</v>
      </c>
      <c r="F1360" s="4">
        <v>4.891</v>
      </c>
      <c r="G1360" s="4">
        <v>8123.951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4.9000000000000004</v>
      </c>
      <c r="D1361" s="4">
        <v>4.9000000000000004</v>
      </c>
      <c r="E1361" s="4">
        <v>390</v>
      </c>
      <c r="F1361" s="4">
        <v>4.8997000000000002</v>
      </c>
      <c r="G1361" s="4">
        <v>1910.883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4.9000000000000004</v>
      </c>
      <c r="D1362" s="4">
        <v>4.9000000000000004</v>
      </c>
      <c r="E1362" s="4">
        <v>1536</v>
      </c>
      <c r="F1362" s="4">
        <v>4.8727</v>
      </c>
      <c r="G1362" s="4">
        <v>7484.4672</v>
      </c>
      <c r="H1362" s="5">
        <f t="shared" si="21"/>
        <v>0</v>
      </c>
    </row>
    <row r="1363" spans="1:8" ht="13.5" x14ac:dyDescent="0.25">
      <c r="A1363" s="1"/>
      <c r="B1363" s="3">
        <v>44291</v>
      </c>
      <c r="C1363" s="4">
        <v>4.95</v>
      </c>
      <c r="D1363" s="4">
        <v>4.95</v>
      </c>
      <c r="E1363" s="4">
        <v>13804</v>
      </c>
      <c r="F1363" s="4">
        <v>4.8648999999999996</v>
      </c>
      <c r="G1363" s="4">
        <v>67155.079599999997</v>
      </c>
      <c r="H1363" s="5">
        <f t="shared" si="21"/>
        <v>1.0204081632653024E-2</v>
      </c>
    </row>
    <row r="1364" spans="1:8" ht="13.5" x14ac:dyDescent="0.25">
      <c r="A1364" s="1"/>
      <c r="B1364" s="3">
        <v>44292</v>
      </c>
      <c r="C1364" s="4">
        <v>4.9000000000000004</v>
      </c>
      <c r="D1364" s="4">
        <v>4.9000000000000004</v>
      </c>
      <c r="E1364" s="4">
        <v>51</v>
      </c>
      <c r="F1364" s="4">
        <v>4.8117999999999999</v>
      </c>
      <c r="G1364" s="4">
        <v>245.40180000000001</v>
      </c>
      <c r="H1364" s="5">
        <f t="shared" si="21"/>
        <v>-1.0101010101010065E-2</v>
      </c>
    </row>
    <row r="1365" spans="1:8" ht="13.5" x14ac:dyDescent="0.25">
      <c r="A1365" s="1"/>
      <c r="B1365" s="3">
        <v>44293</v>
      </c>
      <c r="C1365" s="4">
        <v>4.93</v>
      </c>
      <c r="D1365" s="4">
        <v>4.93</v>
      </c>
      <c r="E1365" s="4">
        <v>2204</v>
      </c>
      <c r="F1365" s="4">
        <v>4.9295999999999998</v>
      </c>
      <c r="G1365" s="4">
        <v>10864.838400000001</v>
      </c>
      <c r="H1365" s="5">
        <f t="shared" si="21"/>
        <v>6.1224489795917054E-3</v>
      </c>
    </row>
    <row r="1366" spans="1:8" ht="13.5" x14ac:dyDescent="0.25">
      <c r="A1366" s="1"/>
      <c r="B1366" s="3">
        <v>44294</v>
      </c>
      <c r="C1366" s="4">
        <v>4.93</v>
      </c>
      <c r="D1366" s="4">
        <v>4.93</v>
      </c>
      <c r="E1366" s="4">
        <v>0</v>
      </c>
      <c r="F1366" s="4">
        <v>0</v>
      </c>
      <c r="G1366" s="4">
        <v>0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4.93</v>
      </c>
      <c r="D1367" s="4">
        <v>4.93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4.9000000000000004</v>
      </c>
      <c r="D1368" s="4">
        <v>4.9000000000000004</v>
      </c>
      <c r="E1368" s="4">
        <v>600</v>
      </c>
      <c r="F1368" s="4">
        <v>4.8817000000000004</v>
      </c>
      <c r="G1368" s="4">
        <v>2929.02</v>
      </c>
      <c r="H1368" s="5">
        <f t="shared" si="21"/>
        <v>-6.0851926977686334E-3</v>
      </c>
    </row>
    <row r="1369" spans="1:8" ht="13.5" x14ac:dyDescent="0.25">
      <c r="A1369" s="1"/>
      <c r="B1369" s="3">
        <v>44300</v>
      </c>
      <c r="C1369" s="4">
        <v>4.9000000000000004</v>
      </c>
      <c r="D1369" s="4">
        <v>4.9000000000000004</v>
      </c>
      <c r="E1369" s="4">
        <v>1</v>
      </c>
      <c r="F1369" s="4">
        <v>4.9000000000000004</v>
      </c>
      <c r="G1369" s="4">
        <v>4.9000000000000004</v>
      </c>
      <c r="H1369" s="5">
        <f t="shared" si="21"/>
        <v>0</v>
      </c>
    </row>
    <row r="1370" spans="1:8" ht="13.5" x14ac:dyDescent="0.25">
      <c r="A1370" s="1"/>
      <c r="B1370" s="3">
        <v>44301</v>
      </c>
      <c r="C1370" s="4">
        <v>4.8899999999999997</v>
      </c>
      <c r="D1370" s="4">
        <v>4.8899999999999997</v>
      </c>
      <c r="E1370" s="4">
        <v>7911</v>
      </c>
      <c r="F1370" s="4">
        <v>4.8864000000000001</v>
      </c>
      <c r="G1370" s="4">
        <v>38656.310400000002</v>
      </c>
      <c r="H1370" s="5">
        <f t="shared" si="21"/>
        <v>-2.0408163265307499E-3</v>
      </c>
    </row>
    <row r="1371" spans="1:8" ht="13.5" x14ac:dyDescent="0.25">
      <c r="A1371" s="1"/>
      <c r="B1371" s="3">
        <v>44302</v>
      </c>
      <c r="C1371" s="4">
        <v>4.8899999999999997</v>
      </c>
      <c r="D1371" s="4">
        <v>4.8899999999999997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4.8899999999999997</v>
      </c>
      <c r="D1372" s="4">
        <v>4.8899999999999997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4.95</v>
      </c>
      <c r="D1373" s="4">
        <v>4.95</v>
      </c>
      <c r="E1373" s="4">
        <v>3</v>
      </c>
      <c r="F1373" s="4">
        <v>4.95</v>
      </c>
      <c r="G1373" s="4">
        <v>14.85</v>
      </c>
      <c r="H1373" s="5">
        <f t="shared" si="21"/>
        <v>1.2269938650306851E-2</v>
      </c>
    </row>
    <row r="1374" spans="1:8" ht="13.5" x14ac:dyDescent="0.25">
      <c r="A1374" s="1"/>
      <c r="B1374" s="3">
        <v>44307</v>
      </c>
      <c r="C1374" s="4">
        <v>5.24</v>
      </c>
      <c r="D1374" s="4">
        <v>5.24</v>
      </c>
      <c r="E1374" s="4">
        <v>34825</v>
      </c>
      <c r="F1374" s="4">
        <v>5.0427</v>
      </c>
      <c r="G1374" s="4">
        <v>175612.0275</v>
      </c>
      <c r="H1374" s="5">
        <f t="shared" si="21"/>
        <v>5.8585858585858588E-2</v>
      </c>
    </row>
    <row r="1375" spans="1:8" ht="13.5" x14ac:dyDescent="0.25">
      <c r="A1375" s="1"/>
      <c r="B1375" s="3">
        <v>44308</v>
      </c>
      <c r="C1375" s="4">
        <v>5.17</v>
      </c>
      <c r="D1375" s="4">
        <v>5.17</v>
      </c>
      <c r="E1375" s="4">
        <v>1444</v>
      </c>
      <c r="F1375" s="4">
        <v>5.2068000000000003</v>
      </c>
      <c r="G1375" s="4">
        <v>7518.6192000000001</v>
      </c>
      <c r="H1375" s="5">
        <f t="shared" si="21"/>
        <v>-1.3358778625954252E-2</v>
      </c>
    </row>
    <row r="1376" spans="1:8" ht="13.5" x14ac:dyDescent="0.25">
      <c r="A1376" s="1"/>
      <c r="B1376" s="3">
        <v>44309</v>
      </c>
      <c r="C1376" s="4">
        <v>5.18</v>
      </c>
      <c r="D1376" s="4">
        <v>5.18</v>
      </c>
      <c r="E1376" s="4">
        <v>5610</v>
      </c>
      <c r="F1376" s="4">
        <v>5.2165999999999997</v>
      </c>
      <c r="G1376" s="4">
        <v>29265.126</v>
      </c>
      <c r="H1376" s="5">
        <f t="shared" si="21"/>
        <v>1.9342359767891271E-3</v>
      </c>
    </row>
    <row r="1377" spans="1:8" ht="13.5" x14ac:dyDescent="0.25">
      <c r="A1377" s="1"/>
      <c r="B1377" s="3">
        <v>44312</v>
      </c>
      <c r="C1377" s="4">
        <v>5.2</v>
      </c>
      <c r="D1377" s="4">
        <v>5.2</v>
      </c>
      <c r="E1377" s="4">
        <v>2202</v>
      </c>
      <c r="F1377" s="4">
        <v>5.1741999999999999</v>
      </c>
      <c r="G1377" s="4">
        <v>11393.588400000001</v>
      </c>
      <c r="H1377" s="5">
        <f t="shared" si="21"/>
        <v>3.8610038610039504E-3</v>
      </c>
    </row>
    <row r="1378" spans="1:8" ht="13.5" x14ac:dyDescent="0.25">
      <c r="A1378" s="1"/>
      <c r="B1378" s="3">
        <v>44313</v>
      </c>
      <c r="C1378" s="4">
        <v>5.15</v>
      </c>
      <c r="D1378" s="4">
        <v>5.15</v>
      </c>
      <c r="E1378" s="4">
        <v>203</v>
      </c>
      <c r="F1378" s="4">
        <v>5.1791</v>
      </c>
      <c r="G1378" s="4">
        <v>1051.3572999999999</v>
      </c>
      <c r="H1378" s="5">
        <f t="shared" si="21"/>
        <v>-9.6153846153845812E-3</v>
      </c>
    </row>
    <row r="1379" spans="1:8" ht="13.5" x14ac:dyDescent="0.25">
      <c r="A1379" s="1"/>
      <c r="B1379" s="3">
        <v>44314</v>
      </c>
      <c r="C1379" s="4">
        <v>5.15</v>
      </c>
      <c r="D1379" s="4">
        <v>5.15</v>
      </c>
      <c r="E1379" s="4">
        <v>0</v>
      </c>
      <c r="F1379" s="4">
        <v>0</v>
      </c>
      <c r="G1379" s="4">
        <v>0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5.15</v>
      </c>
      <c r="D1380" s="4">
        <v>5.15</v>
      </c>
      <c r="E1380" s="4">
        <v>400</v>
      </c>
      <c r="F1380" s="4">
        <v>5.0853000000000002</v>
      </c>
      <c r="G1380" s="4">
        <v>2034.12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5.15</v>
      </c>
      <c r="D1381" s="4">
        <v>5.15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5</v>
      </c>
      <c r="D1382" s="4">
        <v>5</v>
      </c>
      <c r="E1382" s="4">
        <v>25</v>
      </c>
      <c r="F1382" s="4">
        <v>5</v>
      </c>
      <c r="G1382" s="4">
        <v>125</v>
      </c>
      <c r="H1382" s="5">
        <f t="shared" si="21"/>
        <v>-2.9126213592233077E-2</v>
      </c>
    </row>
    <row r="1383" spans="1:8" ht="13.5" x14ac:dyDescent="0.25">
      <c r="A1383" s="1"/>
      <c r="B1383" s="3">
        <v>44320</v>
      </c>
      <c r="C1383" s="4">
        <v>5</v>
      </c>
      <c r="D1383" s="4">
        <v>5</v>
      </c>
      <c r="E1383" s="4">
        <v>1277</v>
      </c>
      <c r="F1383" s="4">
        <v>4.9744999999999999</v>
      </c>
      <c r="G1383" s="4">
        <v>6352.4364999999998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5</v>
      </c>
      <c r="D1384" s="4">
        <v>5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4.9800000000000004</v>
      </c>
      <c r="D1385" s="4">
        <v>4.9800000000000004</v>
      </c>
      <c r="E1385" s="4">
        <v>1500</v>
      </c>
      <c r="F1385" s="4">
        <v>4.9800000000000004</v>
      </c>
      <c r="G1385" s="4">
        <v>7470</v>
      </c>
      <c r="H1385" s="5">
        <f t="shared" si="21"/>
        <v>-3.9999999999999151E-3</v>
      </c>
    </row>
    <row r="1386" spans="1:8" ht="13.5" x14ac:dyDescent="0.25">
      <c r="A1386" s="1"/>
      <c r="B1386" s="3">
        <v>44323</v>
      </c>
      <c r="C1386" s="4">
        <v>4.97</v>
      </c>
      <c r="D1386" s="4">
        <v>4.97</v>
      </c>
      <c r="E1386" s="4">
        <v>650</v>
      </c>
      <c r="F1386" s="4">
        <v>4.9377000000000004</v>
      </c>
      <c r="G1386" s="4">
        <v>3209.5050000000001</v>
      </c>
      <c r="H1386" s="5">
        <f t="shared" si="21"/>
        <v>-2.0080321285141918E-3</v>
      </c>
    </row>
    <row r="1387" spans="1:8" ht="13.5" x14ac:dyDescent="0.25">
      <c r="A1387" s="1"/>
      <c r="B1387" s="3">
        <v>44326</v>
      </c>
      <c r="C1387" s="4">
        <v>4.9400000000000004</v>
      </c>
      <c r="D1387" s="4">
        <v>4.9400000000000004</v>
      </c>
      <c r="E1387" s="4">
        <v>2154</v>
      </c>
      <c r="F1387" s="4">
        <v>4.9629000000000003</v>
      </c>
      <c r="G1387" s="4">
        <v>10690.086600000001</v>
      </c>
      <c r="H1387" s="5">
        <f t="shared" si="21"/>
        <v>-6.0362173038228089E-3</v>
      </c>
    </row>
    <row r="1388" spans="1:8" ht="13.5" x14ac:dyDescent="0.25">
      <c r="A1388" s="1"/>
      <c r="B1388" s="3">
        <v>44327</v>
      </c>
      <c r="C1388" s="4">
        <v>4.8</v>
      </c>
      <c r="D1388" s="4">
        <v>4.8</v>
      </c>
      <c r="E1388" s="4">
        <v>6759</v>
      </c>
      <c r="F1388" s="4">
        <v>4.8403</v>
      </c>
      <c r="G1388" s="4">
        <v>32715.5877</v>
      </c>
      <c r="H1388" s="5">
        <f t="shared" si="21"/>
        <v>-2.834008097166003E-2</v>
      </c>
    </row>
    <row r="1389" spans="1:8" ht="13.5" x14ac:dyDescent="0.25">
      <c r="A1389" s="1"/>
      <c r="B1389" s="3">
        <v>44333</v>
      </c>
      <c r="C1389" s="4">
        <v>4.79</v>
      </c>
      <c r="D1389" s="4">
        <v>4.79</v>
      </c>
      <c r="E1389" s="4">
        <v>3755</v>
      </c>
      <c r="F1389" s="4">
        <v>4.79</v>
      </c>
      <c r="G1389" s="4">
        <v>17986.45</v>
      </c>
      <c r="H1389" s="5">
        <f t="shared" si="21"/>
        <v>-2.0833333333332891E-3</v>
      </c>
    </row>
    <row r="1390" spans="1:8" ht="13.5" x14ac:dyDescent="0.25">
      <c r="A1390" s="1"/>
      <c r="B1390" s="3">
        <v>44334</v>
      </c>
      <c r="C1390" s="4">
        <v>4.78</v>
      </c>
      <c r="D1390" s="4">
        <v>4.78</v>
      </c>
      <c r="E1390" s="4">
        <v>11742</v>
      </c>
      <c r="F1390" s="4">
        <v>4.6738999999999997</v>
      </c>
      <c r="G1390" s="4">
        <v>54880.933799999999</v>
      </c>
      <c r="H1390" s="5">
        <f t="shared" si="21"/>
        <v>-2.087682672233776E-3</v>
      </c>
    </row>
    <row r="1391" spans="1:8" ht="13.5" x14ac:dyDescent="0.25">
      <c r="A1391" s="1"/>
      <c r="B1391" s="3">
        <v>44335</v>
      </c>
      <c r="C1391" s="4">
        <v>4.84</v>
      </c>
      <c r="D1391" s="4">
        <v>4.84</v>
      </c>
      <c r="E1391" s="4">
        <v>96</v>
      </c>
      <c r="F1391" s="4">
        <v>4.8144</v>
      </c>
      <c r="G1391" s="4">
        <v>462.18239999999997</v>
      </c>
      <c r="H1391" s="5">
        <f t="shared" si="21"/>
        <v>1.2552301255230044E-2</v>
      </c>
    </row>
    <row r="1392" spans="1:8" ht="13.5" x14ac:dyDescent="0.25">
      <c r="A1392" s="1"/>
      <c r="B1392" s="3">
        <v>44336</v>
      </c>
      <c r="C1392" s="4">
        <v>4.84</v>
      </c>
      <c r="D1392" s="4">
        <v>4.84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4.8499999999999996</v>
      </c>
      <c r="D1393" s="4">
        <v>4.8499999999999996</v>
      </c>
      <c r="E1393" s="4">
        <v>5837</v>
      </c>
      <c r="F1393" s="4">
        <v>4.8292999999999999</v>
      </c>
      <c r="G1393" s="4">
        <v>28188.624100000001</v>
      </c>
      <c r="H1393" s="5">
        <f t="shared" si="21"/>
        <v>2.0661157024792947E-3</v>
      </c>
    </row>
    <row r="1394" spans="1:8" ht="13.5" x14ac:dyDescent="0.25">
      <c r="A1394" s="1"/>
      <c r="B1394" s="3">
        <v>44340</v>
      </c>
      <c r="C1394" s="4">
        <v>4.8499999999999996</v>
      </c>
      <c r="D1394" s="4">
        <v>4.8499999999999996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4.8</v>
      </c>
      <c r="D1395" s="4">
        <v>4.8</v>
      </c>
      <c r="E1395" s="4">
        <v>2300</v>
      </c>
      <c r="F1395" s="4">
        <v>4.8</v>
      </c>
      <c r="G1395" s="4">
        <v>11040</v>
      </c>
      <c r="H1395" s="5">
        <f t="shared" si="21"/>
        <v>-1.0309278350515427E-2</v>
      </c>
    </row>
    <row r="1396" spans="1:8" ht="13.5" x14ac:dyDescent="0.25">
      <c r="A1396" s="1"/>
      <c r="B1396" s="3">
        <v>44342</v>
      </c>
      <c r="C1396" s="4">
        <v>4.78</v>
      </c>
      <c r="D1396" s="4">
        <v>4.78</v>
      </c>
      <c r="E1396" s="4">
        <v>2700</v>
      </c>
      <c r="F1396" s="4">
        <v>4.78</v>
      </c>
      <c r="G1396" s="4">
        <v>12906</v>
      </c>
      <c r="H1396" s="5">
        <f t="shared" si="21"/>
        <v>-4.1666666666665781E-3</v>
      </c>
    </row>
    <row r="1397" spans="1:8" ht="13.5" x14ac:dyDescent="0.25">
      <c r="A1397" s="1"/>
      <c r="B1397" s="3">
        <v>44343</v>
      </c>
      <c r="C1397" s="4">
        <v>4.78</v>
      </c>
      <c r="D1397" s="4">
        <v>4.78</v>
      </c>
      <c r="E1397" s="4">
        <v>2700</v>
      </c>
      <c r="F1397" s="4">
        <v>4.78</v>
      </c>
      <c r="G1397" s="4">
        <v>12906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4.79</v>
      </c>
      <c r="D1398" s="4">
        <v>4.79</v>
      </c>
      <c r="E1398" s="4">
        <v>1</v>
      </c>
      <c r="F1398" s="4">
        <v>4.79</v>
      </c>
      <c r="G1398" s="4">
        <v>4.79</v>
      </c>
      <c r="H1398" s="5">
        <f t="shared" si="21"/>
        <v>2.0920502092049761E-3</v>
      </c>
    </row>
    <row r="1399" spans="1:8" ht="13.5" x14ac:dyDescent="0.25">
      <c r="A1399" s="1"/>
      <c r="B1399" s="3">
        <v>44347</v>
      </c>
      <c r="C1399" s="4">
        <v>4.8600000000000003</v>
      </c>
      <c r="D1399" s="4">
        <v>4.8600000000000003</v>
      </c>
      <c r="E1399" s="4">
        <v>241</v>
      </c>
      <c r="F1399" s="4">
        <v>4.6738999999999997</v>
      </c>
      <c r="G1399" s="4">
        <v>1126.4099000000001</v>
      </c>
      <c r="H1399" s="5">
        <f t="shared" si="21"/>
        <v>1.4613778705636802E-2</v>
      </c>
    </row>
    <row r="1400" spans="1:8" ht="13.5" x14ac:dyDescent="0.25">
      <c r="A1400" s="1"/>
      <c r="B1400" s="3">
        <v>44348</v>
      </c>
      <c r="C1400" s="4">
        <v>4.8600000000000003</v>
      </c>
      <c r="D1400" s="4">
        <v>4.8600000000000003</v>
      </c>
      <c r="E1400" s="4">
        <v>1530</v>
      </c>
      <c r="F1400" s="4">
        <v>4.8499999999999996</v>
      </c>
      <c r="G1400" s="4">
        <v>7420.5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4.8600000000000003</v>
      </c>
      <c r="D1401" s="4">
        <v>4.8600000000000003</v>
      </c>
      <c r="E1401" s="4">
        <v>0</v>
      </c>
      <c r="F1401" s="4">
        <v>0</v>
      </c>
      <c r="G1401" s="4">
        <v>0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4.72</v>
      </c>
      <c r="D1402" s="4">
        <v>4.72</v>
      </c>
      <c r="E1402" s="4">
        <v>290</v>
      </c>
      <c r="F1402" s="4">
        <v>4.7319000000000004</v>
      </c>
      <c r="G1402" s="4">
        <v>1372.251</v>
      </c>
      <c r="H1402" s="5">
        <f t="shared" si="21"/>
        <v>-2.8806584362140033E-2</v>
      </c>
    </row>
    <row r="1403" spans="1:8" ht="13.5" x14ac:dyDescent="0.25">
      <c r="A1403" s="1"/>
      <c r="B1403" s="3">
        <v>44351</v>
      </c>
      <c r="C1403" s="4">
        <v>4.8</v>
      </c>
      <c r="D1403" s="4">
        <v>4.8</v>
      </c>
      <c r="E1403" s="4">
        <v>145</v>
      </c>
      <c r="F1403" s="4">
        <v>4.8</v>
      </c>
      <c r="G1403" s="4">
        <v>696</v>
      </c>
      <c r="H1403" s="5">
        <f t="shared" si="21"/>
        <v>1.6949152542372899E-2</v>
      </c>
    </row>
    <row r="1404" spans="1:8" ht="13.5" x14ac:dyDescent="0.25">
      <c r="A1404" s="1"/>
      <c r="B1404" s="3">
        <v>44354</v>
      </c>
      <c r="C1404" s="4">
        <v>4.8</v>
      </c>
      <c r="D1404" s="4">
        <v>4.8</v>
      </c>
      <c r="E1404" s="4">
        <v>2392</v>
      </c>
      <c r="F1404" s="4">
        <v>4.7944000000000004</v>
      </c>
      <c r="G1404" s="4">
        <v>11468.2048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4.66</v>
      </c>
      <c r="D1405" s="4">
        <v>4.66</v>
      </c>
      <c r="E1405" s="4">
        <v>1113</v>
      </c>
      <c r="F1405" s="4">
        <v>4.6624999999999996</v>
      </c>
      <c r="G1405" s="4">
        <v>5189.3625000000002</v>
      </c>
      <c r="H1405" s="5">
        <f t="shared" si="21"/>
        <v>-2.9166666666666601E-2</v>
      </c>
    </row>
    <row r="1406" spans="1:8" ht="13.5" x14ac:dyDescent="0.25">
      <c r="A1406" s="1"/>
      <c r="B1406" s="3">
        <v>44356</v>
      </c>
      <c r="C1406" s="4">
        <v>4.66</v>
      </c>
      <c r="D1406" s="4">
        <v>4.66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4.66</v>
      </c>
      <c r="D1407" s="4">
        <v>4.66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4.79</v>
      </c>
      <c r="D1408" s="4">
        <v>4.79</v>
      </c>
      <c r="E1408" s="4">
        <v>1901</v>
      </c>
      <c r="F1408" s="4">
        <v>4.6657999999999999</v>
      </c>
      <c r="G1408" s="4">
        <v>8869.6857999999993</v>
      </c>
      <c r="H1408" s="5">
        <f t="shared" si="21"/>
        <v>2.7896995708154484E-2</v>
      </c>
    </row>
    <row r="1409" spans="1:8" ht="13.5" x14ac:dyDescent="0.25">
      <c r="A1409" s="1"/>
      <c r="B1409" s="3">
        <v>44361</v>
      </c>
      <c r="C1409" s="4">
        <v>4.79</v>
      </c>
      <c r="D1409" s="4">
        <v>4.79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4.79</v>
      </c>
      <c r="D1410" s="4">
        <v>4.79</v>
      </c>
      <c r="E1410" s="4">
        <v>0</v>
      </c>
      <c r="F1410" s="4">
        <v>0</v>
      </c>
      <c r="G1410" s="4">
        <v>0</v>
      </c>
      <c r="H1410" s="5">
        <f t="shared" si="21"/>
        <v>0</v>
      </c>
    </row>
    <row r="1411" spans="1:8" ht="13.5" x14ac:dyDescent="0.25">
      <c r="A1411" s="1"/>
      <c r="B1411" s="3">
        <v>44363</v>
      </c>
      <c r="C1411" s="4">
        <v>4.79</v>
      </c>
      <c r="D1411" s="4">
        <v>4.79</v>
      </c>
      <c r="E1411" s="4">
        <v>0</v>
      </c>
      <c r="F1411" s="4">
        <v>0</v>
      </c>
      <c r="G1411" s="4">
        <v>0</v>
      </c>
      <c r="H1411" s="5">
        <f t="shared" si="21"/>
        <v>0</v>
      </c>
    </row>
    <row r="1412" spans="1:8" ht="13.5" x14ac:dyDescent="0.25">
      <c r="A1412" s="1"/>
      <c r="B1412" s="3">
        <v>44364</v>
      </c>
      <c r="C1412" s="4">
        <v>4.78</v>
      </c>
      <c r="D1412" s="4">
        <v>4.78</v>
      </c>
      <c r="E1412" s="4">
        <v>1156</v>
      </c>
      <c r="F1412" s="4">
        <v>4.6955</v>
      </c>
      <c r="G1412" s="4">
        <v>5427.9979999999996</v>
      </c>
      <c r="H1412" s="5">
        <f t="shared" si="21"/>
        <v>-2.087682672233776E-3</v>
      </c>
    </row>
    <row r="1413" spans="1:8" ht="13.5" x14ac:dyDescent="0.25">
      <c r="A1413" s="1"/>
      <c r="B1413" s="3">
        <v>44365</v>
      </c>
      <c r="C1413" s="4">
        <v>4.78</v>
      </c>
      <c r="D1413" s="4">
        <v>4.78</v>
      </c>
      <c r="E1413" s="4">
        <v>1156</v>
      </c>
      <c r="F1413" s="4">
        <v>4.6955</v>
      </c>
      <c r="G1413" s="4">
        <v>5427.9979999999996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4.78</v>
      </c>
      <c r="D1414" s="4">
        <v>4.78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4.78</v>
      </c>
      <c r="D1415" s="4">
        <v>4.78</v>
      </c>
      <c r="E1415" s="4">
        <v>15</v>
      </c>
      <c r="F1415" s="4">
        <v>4.7427000000000001</v>
      </c>
      <c r="G1415" s="4">
        <v>71.140500000000003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4.78</v>
      </c>
      <c r="D1416" s="4">
        <v>4.78</v>
      </c>
      <c r="E1416" s="4">
        <v>0</v>
      </c>
      <c r="F1416" s="4">
        <v>0</v>
      </c>
      <c r="G1416" s="4">
        <v>0</v>
      </c>
      <c r="H1416" s="5">
        <f t="shared" si="22"/>
        <v>0</v>
      </c>
    </row>
    <row r="1417" spans="1:8" ht="13.5" x14ac:dyDescent="0.25">
      <c r="A1417" s="1"/>
      <c r="B1417" s="3">
        <v>44371</v>
      </c>
      <c r="C1417" s="4">
        <v>4.78</v>
      </c>
      <c r="D1417" s="4">
        <v>4.78</v>
      </c>
      <c r="E1417" s="4">
        <v>5027</v>
      </c>
      <c r="F1417" s="4">
        <v>4.7499000000000002</v>
      </c>
      <c r="G1417" s="4">
        <v>23877.747299999999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4.7699999999999996</v>
      </c>
      <c r="D1418" s="4">
        <v>4.7699999999999996</v>
      </c>
      <c r="E1418" s="4">
        <v>3000</v>
      </c>
      <c r="F1418" s="4">
        <v>4.7699999999999996</v>
      </c>
      <c r="G1418" s="4">
        <v>14310</v>
      </c>
      <c r="H1418" s="5">
        <f t="shared" si="22"/>
        <v>-2.0920502092051621E-3</v>
      </c>
    </row>
    <row r="1419" spans="1:8" ht="13.5" x14ac:dyDescent="0.25">
      <c r="A1419" s="1"/>
      <c r="B1419" s="3">
        <v>44375</v>
      </c>
      <c r="C1419" s="4">
        <v>4.7699999999999996</v>
      </c>
      <c r="D1419" s="4">
        <v>4.7699999999999996</v>
      </c>
      <c r="E1419" s="4">
        <v>741</v>
      </c>
      <c r="F1419" s="4">
        <v>4.7699999999999996</v>
      </c>
      <c r="G1419" s="4">
        <v>3534.57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4.7</v>
      </c>
      <c r="D1420" s="4">
        <v>4.7</v>
      </c>
      <c r="E1420" s="4">
        <v>30</v>
      </c>
      <c r="F1420" s="4">
        <v>4.7</v>
      </c>
      <c r="G1420" s="4">
        <v>141</v>
      </c>
      <c r="H1420" s="5">
        <f t="shared" si="22"/>
        <v>-1.4675052410901342E-2</v>
      </c>
    </row>
    <row r="1421" spans="1:8" ht="13.5" x14ac:dyDescent="0.25">
      <c r="A1421" s="1"/>
      <c r="B1421" s="3">
        <v>44377</v>
      </c>
      <c r="C1421" s="4">
        <v>4.7</v>
      </c>
      <c r="D1421" s="4">
        <v>4.7</v>
      </c>
      <c r="E1421" s="4">
        <v>2330</v>
      </c>
      <c r="F1421" s="4">
        <v>4.6897000000000002</v>
      </c>
      <c r="G1421" s="4">
        <v>10927.001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4.7</v>
      </c>
      <c r="D1422" s="4">
        <v>4.7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4.7</v>
      </c>
      <c r="D1423" s="4">
        <v>4.7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4.5999999999999996</v>
      </c>
      <c r="D1424" s="4">
        <v>4.5999999999999996</v>
      </c>
      <c r="E1424" s="4">
        <v>750</v>
      </c>
      <c r="F1424" s="4">
        <v>4.5999999999999996</v>
      </c>
      <c r="G1424" s="4">
        <v>3450</v>
      </c>
      <c r="H1424" s="5">
        <f t="shared" si="22"/>
        <v>-2.1276595744680965E-2</v>
      </c>
    </row>
    <row r="1425" spans="1:8" ht="13.5" x14ac:dyDescent="0.25">
      <c r="A1425" s="1"/>
      <c r="B1425" s="3">
        <v>44383</v>
      </c>
      <c r="C1425" s="4">
        <v>4.7300000000000004</v>
      </c>
      <c r="D1425" s="4">
        <v>4.7300000000000004</v>
      </c>
      <c r="E1425" s="4">
        <v>590</v>
      </c>
      <c r="F1425" s="4">
        <v>4.7300000000000004</v>
      </c>
      <c r="G1425" s="4">
        <v>2790.7</v>
      </c>
      <c r="H1425" s="5">
        <f t="shared" si="22"/>
        <v>2.8260869565217565E-2</v>
      </c>
    </row>
    <row r="1426" spans="1:8" ht="13.5" x14ac:dyDescent="0.25">
      <c r="A1426" s="1"/>
      <c r="B1426" s="3">
        <v>44384</v>
      </c>
      <c r="C1426" s="4">
        <v>4.8499999999999996</v>
      </c>
      <c r="D1426" s="4">
        <v>4.8499999999999996</v>
      </c>
      <c r="E1426" s="4">
        <v>200</v>
      </c>
      <c r="F1426" s="4">
        <v>4.8499999999999996</v>
      </c>
      <c r="G1426" s="4">
        <v>970</v>
      </c>
      <c r="H1426" s="5">
        <f t="shared" si="22"/>
        <v>2.5369978858350784E-2</v>
      </c>
    </row>
    <row r="1427" spans="1:8" ht="13.5" x14ac:dyDescent="0.25">
      <c r="A1427" s="1"/>
      <c r="B1427" s="3">
        <v>44385</v>
      </c>
      <c r="C1427" s="4">
        <v>4.8499999999999996</v>
      </c>
      <c r="D1427" s="4">
        <v>4.8499999999999996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4.8499999999999996</v>
      </c>
      <c r="D1428" s="4">
        <v>4.8499999999999996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4.82</v>
      </c>
      <c r="D1429" s="4">
        <v>4.82</v>
      </c>
      <c r="E1429" s="4">
        <v>500</v>
      </c>
      <c r="F1429" s="4">
        <v>4.82</v>
      </c>
      <c r="G1429" s="4">
        <v>2410</v>
      </c>
      <c r="H1429" s="5">
        <f t="shared" si="22"/>
        <v>-6.1855670103091471E-3</v>
      </c>
    </row>
    <row r="1430" spans="1:8" ht="13.5" x14ac:dyDescent="0.25">
      <c r="A1430" s="1"/>
      <c r="B1430" s="3">
        <v>44390</v>
      </c>
      <c r="C1430" s="4">
        <v>4.82</v>
      </c>
      <c r="D1430" s="4">
        <v>4.82</v>
      </c>
      <c r="E1430" s="4">
        <v>0</v>
      </c>
      <c r="F1430" s="4">
        <v>0</v>
      </c>
      <c r="G1430" s="4">
        <v>0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4.82</v>
      </c>
      <c r="D1431" s="4">
        <v>4.82</v>
      </c>
      <c r="E1431" s="4">
        <v>0</v>
      </c>
      <c r="F1431" s="4">
        <v>0</v>
      </c>
      <c r="G1431" s="4">
        <v>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4.8</v>
      </c>
      <c r="D1432" s="4">
        <v>4.8</v>
      </c>
      <c r="E1432" s="4">
        <v>250</v>
      </c>
      <c r="F1432" s="4">
        <v>4.8</v>
      </c>
      <c r="G1432" s="4">
        <v>1200</v>
      </c>
      <c r="H1432" s="5">
        <f t="shared" si="22"/>
        <v>-4.1493775933610913E-3</v>
      </c>
    </row>
    <row r="1433" spans="1:8" ht="13.5" x14ac:dyDescent="0.25">
      <c r="A1433" s="1"/>
      <c r="B1433" s="3">
        <v>44393</v>
      </c>
      <c r="C1433" s="4">
        <v>4.72</v>
      </c>
      <c r="D1433" s="4">
        <v>4.72</v>
      </c>
      <c r="E1433" s="4">
        <v>200</v>
      </c>
      <c r="F1433" s="4">
        <v>4.72</v>
      </c>
      <c r="G1433" s="4">
        <v>944</v>
      </c>
      <c r="H1433" s="5">
        <f t="shared" si="22"/>
        <v>-1.6666666666666684E-2</v>
      </c>
    </row>
    <row r="1434" spans="1:8" ht="13.5" x14ac:dyDescent="0.25">
      <c r="A1434" s="1"/>
      <c r="B1434" s="3">
        <v>44396</v>
      </c>
      <c r="C1434" s="4">
        <v>4.8</v>
      </c>
      <c r="D1434" s="4">
        <v>4.8</v>
      </c>
      <c r="E1434" s="4">
        <v>1000</v>
      </c>
      <c r="F1434" s="4">
        <v>4.8</v>
      </c>
      <c r="G1434" s="4">
        <v>4800</v>
      </c>
      <c r="H1434" s="5">
        <f t="shared" si="22"/>
        <v>1.6949152542372899E-2</v>
      </c>
    </row>
    <row r="1435" spans="1:8" ht="13.5" x14ac:dyDescent="0.25">
      <c r="A1435" s="1"/>
      <c r="B1435" s="3">
        <v>44399</v>
      </c>
      <c r="C1435" s="4">
        <v>4.8</v>
      </c>
      <c r="D1435" s="4">
        <v>4.8</v>
      </c>
      <c r="E1435" s="4">
        <v>1200</v>
      </c>
      <c r="F1435" s="4">
        <v>4.8</v>
      </c>
      <c r="G1435" s="4">
        <v>5760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4.8</v>
      </c>
      <c r="D1436" s="4">
        <v>4.8</v>
      </c>
      <c r="E1436" s="4">
        <v>3634</v>
      </c>
      <c r="F1436" s="4">
        <v>4.8</v>
      </c>
      <c r="G1436" s="4">
        <v>17443.2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4.79</v>
      </c>
      <c r="D1437" s="4">
        <v>4.79</v>
      </c>
      <c r="E1437" s="4">
        <v>175</v>
      </c>
      <c r="F1437" s="4">
        <v>4.79</v>
      </c>
      <c r="G1437" s="4">
        <v>838.25</v>
      </c>
      <c r="H1437" s="5">
        <f t="shared" si="22"/>
        <v>-2.0833333333332891E-3</v>
      </c>
    </row>
    <row r="1438" spans="1:8" ht="13.5" x14ac:dyDescent="0.25">
      <c r="A1438" s="1"/>
      <c r="B1438" s="3">
        <v>44404</v>
      </c>
      <c r="C1438" s="4">
        <v>4.82</v>
      </c>
      <c r="D1438" s="4">
        <v>4.82</v>
      </c>
      <c r="E1438" s="4">
        <v>2000</v>
      </c>
      <c r="F1438" s="4">
        <v>4.82</v>
      </c>
      <c r="G1438" s="4">
        <v>9640</v>
      </c>
      <c r="H1438" s="5">
        <f t="shared" si="22"/>
        <v>6.2630480167015137E-3</v>
      </c>
    </row>
    <row r="1439" spans="1:8" ht="13.5" x14ac:dyDescent="0.25">
      <c r="A1439" s="1"/>
      <c r="B1439" s="3">
        <v>44405</v>
      </c>
      <c r="C1439" s="4">
        <v>4.82</v>
      </c>
      <c r="D1439" s="4">
        <v>4.82</v>
      </c>
      <c r="E1439" s="4">
        <v>3299</v>
      </c>
      <c r="F1439" s="4">
        <v>4.82</v>
      </c>
      <c r="G1439" s="4">
        <v>15901.18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4.84</v>
      </c>
      <c r="D1440" s="4">
        <v>4.84</v>
      </c>
      <c r="E1440" s="4">
        <v>1</v>
      </c>
      <c r="F1440" s="4">
        <v>4.84</v>
      </c>
      <c r="G1440" s="4">
        <v>4.84</v>
      </c>
      <c r="H1440" s="5">
        <f t="shared" si="22"/>
        <v>4.1493775933609074E-3</v>
      </c>
    </row>
    <row r="1441" spans="1:8" ht="13.5" x14ac:dyDescent="0.25">
      <c r="A1441" s="1"/>
      <c r="B1441" s="3">
        <v>44407</v>
      </c>
      <c r="C1441" s="4">
        <v>4.84</v>
      </c>
      <c r="D1441" s="4">
        <v>4.84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4.84</v>
      </c>
      <c r="D1442" s="4">
        <v>4.84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4.8</v>
      </c>
      <c r="D1443" s="4">
        <v>4.8</v>
      </c>
      <c r="E1443" s="4">
        <v>9</v>
      </c>
      <c r="F1443" s="4">
        <v>4.8</v>
      </c>
      <c r="G1443" s="4">
        <v>43.2</v>
      </c>
      <c r="H1443" s="5">
        <f t="shared" si="22"/>
        <v>-8.2644628099173625E-3</v>
      </c>
    </row>
    <row r="1444" spans="1:8" ht="13.5" x14ac:dyDescent="0.25">
      <c r="A1444" s="1"/>
      <c r="B1444" s="3">
        <v>44412</v>
      </c>
      <c r="C1444" s="4">
        <v>4.8</v>
      </c>
      <c r="D1444" s="4">
        <v>4.8</v>
      </c>
      <c r="E1444" s="4">
        <v>5</v>
      </c>
      <c r="F1444" s="4">
        <v>4.8</v>
      </c>
      <c r="G1444" s="4">
        <v>24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4.8</v>
      </c>
      <c r="D1445" s="4">
        <v>4.8</v>
      </c>
      <c r="E1445" s="4">
        <v>4</v>
      </c>
      <c r="F1445" s="4">
        <v>4.8</v>
      </c>
      <c r="G1445" s="4">
        <v>19.2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4.8</v>
      </c>
      <c r="D1446" s="4">
        <v>4.8</v>
      </c>
      <c r="E1446" s="4">
        <v>0</v>
      </c>
      <c r="F1446" s="4">
        <v>0</v>
      </c>
      <c r="G1446" s="4">
        <v>0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4.8</v>
      </c>
      <c r="D1447" s="4">
        <v>4.8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4.8</v>
      </c>
      <c r="D1448" s="4">
        <v>4.8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4.75</v>
      </c>
      <c r="D1449" s="4">
        <v>4.75</v>
      </c>
      <c r="E1449" s="4">
        <v>9</v>
      </c>
      <c r="F1449" s="4">
        <v>4.75</v>
      </c>
      <c r="G1449" s="4">
        <v>42.75</v>
      </c>
      <c r="H1449" s="5">
        <f t="shared" si="22"/>
        <v>-1.041666666666663E-2</v>
      </c>
    </row>
    <row r="1450" spans="1:8" ht="13.5" x14ac:dyDescent="0.25">
      <c r="A1450" s="1"/>
      <c r="B1450" s="3">
        <v>44424</v>
      </c>
      <c r="C1450" s="4">
        <v>4.75</v>
      </c>
      <c r="D1450" s="4">
        <v>4.75</v>
      </c>
      <c r="E1450" s="4">
        <v>9</v>
      </c>
      <c r="F1450" s="4">
        <v>4.75</v>
      </c>
      <c r="G1450" s="4">
        <v>42.75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4.75</v>
      </c>
      <c r="D1451" s="4">
        <v>4.75</v>
      </c>
      <c r="E1451" s="4">
        <v>3</v>
      </c>
      <c r="F1451" s="4">
        <v>4.75</v>
      </c>
      <c r="G1451" s="4">
        <v>14.25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4.75</v>
      </c>
      <c r="D1452" s="4">
        <v>4.75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4.75</v>
      </c>
      <c r="D1453" s="4">
        <v>4.75</v>
      </c>
      <c r="E1453" s="4">
        <v>0</v>
      </c>
      <c r="F1453" s="4">
        <v>0</v>
      </c>
      <c r="G1453" s="4">
        <v>0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4.75</v>
      </c>
      <c r="D1454" s="4">
        <v>4.75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4.75</v>
      </c>
      <c r="D1455" s="4">
        <v>4.75</v>
      </c>
      <c r="E1455" s="4">
        <v>0</v>
      </c>
      <c r="F1455" s="4">
        <v>0</v>
      </c>
      <c r="G1455" s="4">
        <v>0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4.75</v>
      </c>
      <c r="D1456" s="4">
        <v>4.75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4.75</v>
      </c>
      <c r="D1457" s="4">
        <v>4.75</v>
      </c>
      <c r="E1457" s="4">
        <v>1368</v>
      </c>
      <c r="F1457" s="4">
        <v>4.75</v>
      </c>
      <c r="G1457" s="4">
        <v>6498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4.75</v>
      </c>
      <c r="D1458" s="4">
        <v>4.75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4.6100000000000003</v>
      </c>
      <c r="D1459" s="4">
        <v>4.6100000000000003</v>
      </c>
      <c r="E1459" s="4">
        <v>0</v>
      </c>
      <c r="F1459" s="4">
        <v>0</v>
      </c>
      <c r="G1459" s="4">
        <v>0</v>
      </c>
      <c r="H1459" s="5">
        <f t="shared" si="22"/>
        <v>-2.9473684210526249E-2</v>
      </c>
    </row>
    <row r="1460" spans="1:8" ht="13.5" x14ac:dyDescent="0.25">
      <c r="A1460" s="1"/>
      <c r="B1460" s="3">
        <v>44438</v>
      </c>
      <c r="C1460" s="4">
        <v>4.6100000000000003</v>
      </c>
      <c r="D1460" s="4">
        <v>4.6100000000000003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4.8099999999999996</v>
      </c>
      <c r="D1461" s="4">
        <v>4.8099999999999996</v>
      </c>
      <c r="E1461" s="4">
        <v>1</v>
      </c>
      <c r="F1461" s="4">
        <v>4.8099999999999996</v>
      </c>
      <c r="G1461" s="4">
        <v>4.8099999999999996</v>
      </c>
      <c r="H1461" s="5">
        <f t="shared" si="22"/>
        <v>4.3383947939262313E-2</v>
      </c>
    </row>
    <row r="1462" spans="1:8" ht="13.5" x14ac:dyDescent="0.25">
      <c r="A1462" s="1"/>
      <c r="B1462" s="3">
        <v>44440</v>
      </c>
      <c r="C1462" s="4">
        <v>4.8099999999999996</v>
      </c>
      <c r="D1462" s="4">
        <v>4.8099999999999996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4.79</v>
      </c>
      <c r="D1463" s="4">
        <v>4.79</v>
      </c>
      <c r="E1463" s="4">
        <v>5300</v>
      </c>
      <c r="F1463" s="4">
        <v>4.79</v>
      </c>
      <c r="G1463" s="4">
        <v>25387</v>
      </c>
      <c r="H1463" s="5">
        <f t="shared" si="22"/>
        <v>-4.1580041580040698E-3</v>
      </c>
    </row>
    <row r="1464" spans="1:8" ht="13.5" x14ac:dyDescent="0.25">
      <c r="A1464" s="1"/>
      <c r="B1464" s="3">
        <v>44442</v>
      </c>
      <c r="C1464" s="4">
        <v>4.79</v>
      </c>
      <c r="D1464" s="4">
        <v>4.79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4.79</v>
      </c>
      <c r="D1465" s="4">
        <v>4.79</v>
      </c>
      <c r="E1465" s="4">
        <v>1505</v>
      </c>
      <c r="F1465" s="4">
        <v>4.79</v>
      </c>
      <c r="G1465" s="4">
        <v>7208.95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4.79</v>
      </c>
      <c r="D1466" s="4">
        <v>4.79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4.79</v>
      </c>
      <c r="D1467" s="4">
        <v>4.79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4.79</v>
      </c>
      <c r="D1468" s="4">
        <v>4.79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4.79</v>
      </c>
      <c r="D1469" s="4">
        <v>4.79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4.79</v>
      </c>
      <c r="D1470" s="4">
        <v>4.79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4.79</v>
      </c>
      <c r="D1471" s="4">
        <v>4.79</v>
      </c>
      <c r="E1471" s="4">
        <v>0</v>
      </c>
      <c r="F1471" s="4">
        <v>0</v>
      </c>
      <c r="G1471" s="4">
        <v>0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4.79</v>
      </c>
      <c r="D1472" s="4">
        <v>4.79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4.79</v>
      </c>
      <c r="D1473" s="4">
        <v>4.79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4.5999999999999996</v>
      </c>
      <c r="D1474" s="4">
        <v>4.5999999999999996</v>
      </c>
      <c r="E1474" s="4">
        <v>9</v>
      </c>
      <c r="F1474" s="4">
        <v>4.5999999999999996</v>
      </c>
      <c r="G1474" s="4">
        <v>41.4</v>
      </c>
      <c r="H1474" s="5">
        <f t="shared" si="22"/>
        <v>-3.9665970772442667E-2</v>
      </c>
    </row>
    <row r="1475" spans="1:8" ht="13.5" x14ac:dyDescent="0.25">
      <c r="A1475" s="1"/>
      <c r="B1475" s="3">
        <v>44459</v>
      </c>
      <c r="C1475" s="4">
        <v>4.8</v>
      </c>
      <c r="D1475" s="4">
        <v>4.8</v>
      </c>
      <c r="E1475" s="4">
        <v>3325</v>
      </c>
      <c r="F1475" s="4">
        <v>4.8</v>
      </c>
      <c r="G1475" s="4">
        <v>15960</v>
      </c>
      <c r="H1475" s="5">
        <f t="shared" si="22"/>
        <v>4.3478260869565258E-2</v>
      </c>
    </row>
    <row r="1476" spans="1:8" ht="13.5" x14ac:dyDescent="0.25">
      <c r="A1476" s="1"/>
      <c r="B1476" s="3">
        <v>44460</v>
      </c>
      <c r="C1476" s="4">
        <v>4.8</v>
      </c>
      <c r="D1476" s="4">
        <v>4.8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4.79</v>
      </c>
      <c r="D1477" s="4">
        <v>4.79</v>
      </c>
      <c r="E1477" s="4">
        <v>250</v>
      </c>
      <c r="F1477" s="4">
        <v>4.79</v>
      </c>
      <c r="G1477" s="4">
        <v>1197.5</v>
      </c>
      <c r="H1477" s="5">
        <f t="shared" si="22"/>
        <v>-2.0833333333332891E-3</v>
      </c>
    </row>
    <row r="1478" spans="1:8" ht="13.5" x14ac:dyDescent="0.25">
      <c r="A1478" s="1"/>
      <c r="B1478" s="3">
        <v>44462</v>
      </c>
      <c r="C1478" s="4">
        <v>4.7699999999999996</v>
      </c>
      <c r="D1478" s="4">
        <v>4.7699999999999996</v>
      </c>
      <c r="E1478" s="4">
        <v>6000</v>
      </c>
      <c r="F1478" s="4">
        <v>4.7699999999999996</v>
      </c>
      <c r="G1478" s="4">
        <v>28620</v>
      </c>
      <c r="H1478" s="5">
        <f t="shared" si="22"/>
        <v>-4.1753653444677376E-3</v>
      </c>
    </row>
    <row r="1479" spans="1:8" ht="13.5" x14ac:dyDescent="0.25">
      <c r="A1479" s="1"/>
      <c r="B1479" s="3">
        <v>44463</v>
      </c>
      <c r="C1479" s="4">
        <v>4.75</v>
      </c>
      <c r="D1479" s="4">
        <v>4.75</v>
      </c>
      <c r="E1479" s="4">
        <v>330</v>
      </c>
      <c r="F1479" s="4">
        <v>4.75</v>
      </c>
      <c r="G1479" s="4">
        <v>1567.5</v>
      </c>
      <c r="H1479" s="5">
        <f t="shared" ref="H1479:H1542" si="23">(D1479-D1478)/D1478</f>
        <v>-4.1928721174003302E-3</v>
      </c>
    </row>
    <row r="1480" spans="1:8" ht="13.5" x14ac:dyDescent="0.25">
      <c r="A1480" s="1"/>
      <c r="B1480" s="3">
        <v>44466</v>
      </c>
      <c r="C1480" s="4">
        <v>4.75</v>
      </c>
      <c r="D1480" s="4">
        <v>4.75</v>
      </c>
      <c r="E1480" s="4">
        <v>5870</v>
      </c>
      <c r="F1480" s="4">
        <v>4.75</v>
      </c>
      <c r="G1480" s="4">
        <v>27882.5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4.75</v>
      </c>
      <c r="D1481" s="4">
        <v>4.75</v>
      </c>
      <c r="E1481" s="4">
        <v>400</v>
      </c>
      <c r="F1481" s="4">
        <v>4.75</v>
      </c>
      <c r="G1481" s="4">
        <v>1900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4.75</v>
      </c>
      <c r="D1482" s="4">
        <v>4.75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4.75</v>
      </c>
      <c r="D1483" s="4">
        <v>4.75</v>
      </c>
      <c r="E1483" s="4">
        <v>360</v>
      </c>
      <c r="F1483" s="4">
        <v>4.75</v>
      </c>
      <c r="G1483" s="4">
        <v>1710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4.7300000000000004</v>
      </c>
      <c r="D1484" s="4">
        <v>4.7300000000000004</v>
      </c>
      <c r="E1484" s="4">
        <v>50</v>
      </c>
      <c r="F1484" s="4">
        <v>4.7300000000000004</v>
      </c>
      <c r="G1484" s="4">
        <v>236.5</v>
      </c>
      <c r="H1484" s="5">
        <f t="shared" si="23"/>
        <v>-4.2105263157893843E-3</v>
      </c>
    </row>
    <row r="1485" spans="1:8" ht="13.5" x14ac:dyDescent="0.25">
      <c r="A1485" s="1"/>
      <c r="B1485" s="3">
        <v>44473</v>
      </c>
      <c r="C1485" s="4">
        <v>4.7</v>
      </c>
      <c r="D1485" s="4">
        <v>4.7</v>
      </c>
      <c r="E1485" s="4">
        <v>1</v>
      </c>
      <c r="F1485" s="4">
        <v>4.7</v>
      </c>
      <c r="G1485" s="4">
        <v>4.7</v>
      </c>
      <c r="H1485" s="5">
        <f t="shared" si="23"/>
        <v>-6.3424947145877897E-3</v>
      </c>
    </row>
    <row r="1486" spans="1:8" ht="13.5" x14ac:dyDescent="0.25">
      <c r="A1486" s="1"/>
      <c r="B1486" s="3">
        <v>44474</v>
      </c>
      <c r="C1486" s="4">
        <v>4.7</v>
      </c>
      <c r="D1486" s="4">
        <v>4.7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4.7</v>
      </c>
      <c r="D1487" s="4">
        <v>4.7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4.74</v>
      </c>
      <c r="D1488" s="4">
        <v>4.74</v>
      </c>
      <c r="E1488" s="4">
        <v>1900</v>
      </c>
      <c r="F1488" s="4">
        <v>4.74</v>
      </c>
      <c r="G1488" s="4">
        <v>9006</v>
      </c>
      <c r="H1488" s="5">
        <f t="shared" si="23"/>
        <v>8.5106382978723475E-3</v>
      </c>
    </row>
    <row r="1489" spans="1:8" ht="13.5" x14ac:dyDescent="0.25">
      <c r="A1489" s="1"/>
      <c r="B1489" s="3">
        <v>44477</v>
      </c>
      <c r="C1489" s="4">
        <v>4.71</v>
      </c>
      <c r="D1489" s="4">
        <v>4.71</v>
      </c>
      <c r="E1489" s="4">
        <v>1000</v>
      </c>
      <c r="F1489" s="4">
        <v>4.71</v>
      </c>
      <c r="G1489" s="4">
        <v>4710</v>
      </c>
      <c r="H1489" s="5">
        <f t="shared" si="23"/>
        <v>-6.3291139240506849E-3</v>
      </c>
    </row>
    <row r="1490" spans="1:8" ht="13.5" x14ac:dyDescent="0.25">
      <c r="A1490" s="1"/>
      <c r="B1490" s="3">
        <v>44480</v>
      </c>
      <c r="C1490" s="4">
        <v>4.7</v>
      </c>
      <c r="D1490" s="4">
        <v>4.7</v>
      </c>
      <c r="E1490" s="4">
        <v>500</v>
      </c>
      <c r="F1490" s="4">
        <v>4.7</v>
      </c>
      <c r="G1490" s="4">
        <v>2350</v>
      </c>
      <c r="H1490" s="5">
        <f t="shared" si="23"/>
        <v>-2.1231422505307404E-3</v>
      </c>
    </row>
    <row r="1491" spans="1:8" ht="13.5" x14ac:dyDescent="0.25">
      <c r="A1491" s="1"/>
      <c r="B1491" s="3">
        <v>44481</v>
      </c>
      <c r="C1491" s="4">
        <v>4.7</v>
      </c>
      <c r="D1491" s="4">
        <v>4.7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4.7</v>
      </c>
      <c r="D1492" s="4">
        <v>4.7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4.75</v>
      </c>
      <c r="D1493" s="4">
        <v>4.75</v>
      </c>
      <c r="E1493" s="4">
        <v>4475</v>
      </c>
      <c r="F1493" s="4">
        <v>4.75</v>
      </c>
      <c r="G1493" s="4">
        <v>21256.25</v>
      </c>
      <c r="H1493" s="5">
        <f t="shared" si="23"/>
        <v>1.0638297872340387E-2</v>
      </c>
    </row>
    <row r="1494" spans="1:8" ht="13.5" x14ac:dyDescent="0.25">
      <c r="A1494" s="1"/>
      <c r="B1494" s="3">
        <v>44488</v>
      </c>
      <c r="C1494" s="4">
        <v>4.75</v>
      </c>
      <c r="D1494" s="4">
        <v>4.75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4.75</v>
      </c>
      <c r="D1495" s="4">
        <v>4.75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4.78</v>
      </c>
      <c r="D1496" s="4">
        <v>4.78</v>
      </c>
      <c r="E1496" s="4">
        <v>2250</v>
      </c>
      <c r="F1496" s="4">
        <v>4.78</v>
      </c>
      <c r="G1496" s="4">
        <v>10755</v>
      </c>
      <c r="H1496" s="5">
        <f t="shared" si="23"/>
        <v>6.3157894736842633E-3</v>
      </c>
    </row>
    <row r="1497" spans="1:8" ht="13.5" x14ac:dyDescent="0.25">
      <c r="A1497" s="1"/>
      <c r="B1497" s="3">
        <v>44491</v>
      </c>
      <c r="C1497" s="4">
        <v>4.78</v>
      </c>
      <c r="D1497" s="4">
        <v>4.78</v>
      </c>
      <c r="E1497" s="4">
        <v>2050</v>
      </c>
      <c r="F1497" s="4">
        <v>4.78</v>
      </c>
      <c r="G1497" s="4">
        <v>9799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4.82</v>
      </c>
      <c r="D1498" s="4">
        <v>4.82</v>
      </c>
      <c r="E1498" s="4">
        <v>1500</v>
      </c>
      <c r="F1498" s="4">
        <v>4.82</v>
      </c>
      <c r="G1498" s="4">
        <v>7230</v>
      </c>
      <c r="H1498" s="5">
        <f t="shared" si="23"/>
        <v>8.3682008368200899E-3</v>
      </c>
    </row>
    <row r="1499" spans="1:8" ht="13.5" x14ac:dyDescent="0.25">
      <c r="A1499" s="1"/>
      <c r="B1499" s="3">
        <v>44495</v>
      </c>
      <c r="C1499" s="4">
        <v>4.8</v>
      </c>
      <c r="D1499" s="4">
        <v>4.8</v>
      </c>
      <c r="E1499" s="4">
        <v>20</v>
      </c>
      <c r="F1499" s="4">
        <v>4.8</v>
      </c>
      <c r="G1499" s="4">
        <v>96</v>
      </c>
      <c r="H1499" s="5">
        <f t="shared" si="23"/>
        <v>-4.1493775933610913E-3</v>
      </c>
    </row>
    <row r="1500" spans="1:8" ht="13.5" x14ac:dyDescent="0.25">
      <c r="A1500" s="1"/>
      <c r="B1500" s="3">
        <v>44496</v>
      </c>
      <c r="C1500" s="4">
        <v>4.82</v>
      </c>
      <c r="D1500" s="4">
        <v>4.82</v>
      </c>
      <c r="E1500" s="4">
        <v>1</v>
      </c>
      <c r="F1500" s="4">
        <v>4.82</v>
      </c>
      <c r="G1500" s="4">
        <v>4.82</v>
      </c>
      <c r="H1500" s="5">
        <f t="shared" si="23"/>
        <v>4.1666666666667629E-3</v>
      </c>
    </row>
    <row r="1501" spans="1:8" ht="13.5" x14ac:dyDescent="0.25">
      <c r="A1501" s="1"/>
      <c r="B1501" s="3">
        <v>44497</v>
      </c>
      <c r="C1501" s="4">
        <v>4.79</v>
      </c>
      <c r="D1501" s="4">
        <v>4.79</v>
      </c>
      <c r="E1501" s="4">
        <v>2300</v>
      </c>
      <c r="F1501" s="4">
        <v>4.79</v>
      </c>
      <c r="G1501" s="4">
        <v>11017</v>
      </c>
      <c r="H1501" s="5">
        <f t="shared" si="23"/>
        <v>-6.2240663900415454E-3</v>
      </c>
    </row>
    <row r="1502" spans="1:8" ht="13.5" x14ac:dyDescent="0.25">
      <c r="A1502" s="1"/>
      <c r="B1502" s="3">
        <v>44498</v>
      </c>
      <c r="C1502" s="4">
        <v>4.58</v>
      </c>
      <c r="D1502" s="4">
        <v>4.58</v>
      </c>
      <c r="E1502" s="4">
        <v>0</v>
      </c>
      <c r="F1502" s="4">
        <v>0</v>
      </c>
      <c r="G1502" s="4">
        <v>0</v>
      </c>
      <c r="H1502" s="5">
        <f t="shared" si="23"/>
        <v>-4.3841336116910219E-2</v>
      </c>
    </row>
    <row r="1503" spans="1:8" ht="13.5" x14ac:dyDescent="0.25">
      <c r="A1503" s="1"/>
      <c r="B1503" s="3">
        <v>44501</v>
      </c>
      <c r="C1503" s="4">
        <v>4.78</v>
      </c>
      <c r="D1503" s="4">
        <v>4.78</v>
      </c>
      <c r="E1503" s="4">
        <v>445</v>
      </c>
      <c r="F1503" s="4">
        <v>4.78</v>
      </c>
      <c r="G1503" s="4">
        <v>2127.1</v>
      </c>
      <c r="H1503" s="5">
        <f t="shared" si="23"/>
        <v>4.3668122270742397E-2</v>
      </c>
    </row>
    <row r="1504" spans="1:8" ht="13.5" x14ac:dyDescent="0.25">
      <c r="A1504" s="1"/>
      <c r="B1504" s="3">
        <v>44502</v>
      </c>
      <c r="C1504" s="4">
        <v>4.8</v>
      </c>
      <c r="D1504" s="4">
        <v>4.8</v>
      </c>
      <c r="E1504" s="4">
        <v>330</v>
      </c>
      <c r="F1504" s="4">
        <v>4.8</v>
      </c>
      <c r="G1504" s="4">
        <v>1584</v>
      </c>
      <c r="H1504" s="5">
        <f t="shared" si="23"/>
        <v>4.1841004184099521E-3</v>
      </c>
    </row>
    <row r="1505" spans="1:8" ht="13.5" x14ac:dyDescent="0.25">
      <c r="A1505" s="1"/>
      <c r="B1505" s="3">
        <v>44503</v>
      </c>
      <c r="C1505" s="4">
        <v>4.8</v>
      </c>
      <c r="D1505" s="4">
        <v>4.8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4.8</v>
      </c>
      <c r="D1506" s="4">
        <v>4.8</v>
      </c>
      <c r="E1506" s="4">
        <v>1200</v>
      </c>
      <c r="F1506" s="4">
        <v>4.8</v>
      </c>
      <c r="G1506" s="4">
        <v>5760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4.8</v>
      </c>
      <c r="D1507" s="4">
        <v>4.8</v>
      </c>
      <c r="E1507" s="4">
        <v>250</v>
      </c>
      <c r="F1507" s="4">
        <v>4.8</v>
      </c>
      <c r="G1507" s="4">
        <v>1200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4.8</v>
      </c>
      <c r="D1508" s="4">
        <v>4.8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4.8</v>
      </c>
      <c r="D1509" s="4">
        <v>4.8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4.8</v>
      </c>
      <c r="D1510" s="4">
        <v>4.8</v>
      </c>
      <c r="E1510" s="4">
        <v>1030</v>
      </c>
      <c r="F1510" s="4">
        <v>4.8</v>
      </c>
      <c r="G1510" s="4">
        <v>4944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4.8</v>
      </c>
      <c r="D1511" s="4">
        <v>4.8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4.5999999999999996</v>
      </c>
      <c r="D1512" s="4">
        <v>4.5999999999999996</v>
      </c>
      <c r="E1512" s="4">
        <v>2000</v>
      </c>
      <c r="F1512" s="4">
        <v>4.5999999999999996</v>
      </c>
      <c r="G1512" s="4">
        <v>9200</v>
      </c>
      <c r="H1512" s="5">
        <f t="shared" si="23"/>
        <v>-4.1666666666666706E-2</v>
      </c>
    </row>
    <row r="1513" spans="1:8" ht="13.5" x14ac:dyDescent="0.25">
      <c r="A1513" s="1"/>
      <c r="B1513" s="3">
        <v>44515</v>
      </c>
      <c r="C1513" s="4">
        <v>4.8</v>
      </c>
      <c r="D1513" s="4">
        <v>4.8</v>
      </c>
      <c r="E1513" s="4">
        <v>1</v>
      </c>
      <c r="F1513" s="4">
        <v>4.8</v>
      </c>
      <c r="G1513" s="4">
        <v>4.8</v>
      </c>
      <c r="H1513" s="5">
        <f t="shared" si="23"/>
        <v>4.3478260869565258E-2</v>
      </c>
    </row>
    <row r="1514" spans="1:8" ht="13.5" x14ac:dyDescent="0.25">
      <c r="A1514" s="1"/>
      <c r="B1514" s="3">
        <v>44516</v>
      </c>
      <c r="C1514" s="4">
        <v>4.8</v>
      </c>
      <c r="D1514" s="4">
        <v>4.8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4.5999999999999996</v>
      </c>
      <c r="D1515" s="4">
        <v>4.5999999999999996</v>
      </c>
      <c r="E1515" s="4">
        <v>210</v>
      </c>
      <c r="F1515" s="4">
        <v>4.5999999999999996</v>
      </c>
      <c r="G1515" s="4">
        <v>966</v>
      </c>
      <c r="H1515" s="5">
        <f t="shared" si="23"/>
        <v>-4.1666666666666706E-2</v>
      </c>
    </row>
    <row r="1516" spans="1:8" ht="13.5" x14ac:dyDescent="0.25">
      <c r="A1516" s="1"/>
      <c r="B1516" s="3">
        <v>44518</v>
      </c>
      <c r="C1516" s="4">
        <v>4.79</v>
      </c>
      <c r="D1516" s="4">
        <v>4.79</v>
      </c>
      <c r="E1516" s="4">
        <v>351</v>
      </c>
      <c r="F1516" s="4">
        <v>4.79</v>
      </c>
      <c r="G1516" s="4">
        <v>1681.29</v>
      </c>
      <c r="H1516" s="5">
        <f t="shared" si="23"/>
        <v>4.1304347826087044E-2</v>
      </c>
    </row>
    <row r="1517" spans="1:8" ht="13.5" x14ac:dyDescent="0.25">
      <c r="A1517" s="1"/>
      <c r="B1517" s="3">
        <v>44519</v>
      </c>
      <c r="C1517" s="4">
        <v>4.79</v>
      </c>
      <c r="D1517" s="4">
        <v>4.79</v>
      </c>
      <c r="E1517" s="4">
        <v>1200</v>
      </c>
      <c r="F1517" s="4">
        <v>4.79</v>
      </c>
      <c r="G1517" s="4">
        <v>5748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4.79</v>
      </c>
      <c r="D1518" s="4">
        <v>4.79</v>
      </c>
      <c r="E1518" s="4">
        <v>850</v>
      </c>
      <c r="F1518" s="4">
        <v>4.79</v>
      </c>
      <c r="G1518" s="4">
        <v>4071.5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4.79</v>
      </c>
      <c r="D1519" s="4">
        <v>4.79</v>
      </c>
      <c r="E1519" s="4">
        <v>800</v>
      </c>
      <c r="F1519" s="4">
        <v>4.79</v>
      </c>
      <c r="G1519" s="4">
        <v>3832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4.79</v>
      </c>
      <c r="D1520" s="4">
        <v>4.79</v>
      </c>
      <c r="E1520" s="4">
        <v>980</v>
      </c>
      <c r="F1520" s="4">
        <v>4.79</v>
      </c>
      <c r="G1520" s="4">
        <v>4694.2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4.78</v>
      </c>
      <c r="D1521" s="4">
        <v>4.78</v>
      </c>
      <c r="E1521" s="4">
        <v>1000</v>
      </c>
      <c r="F1521" s="4">
        <v>4.78</v>
      </c>
      <c r="G1521" s="4">
        <v>4780</v>
      </c>
      <c r="H1521" s="5">
        <f t="shared" si="23"/>
        <v>-2.087682672233776E-3</v>
      </c>
    </row>
    <row r="1522" spans="1:8" ht="13.5" x14ac:dyDescent="0.25">
      <c r="A1522" s="1"/>
      <c r="B1522" s="3">
        <v>44526</v>
      </c>
      <c r="C1522" s="4">
        <v>4.79</v>
      </c>
      <c r="D1522" s="4">
        <v>4.79</v>
      </c>
      <c r="E1522" s="4">
        <v>1000</v>
      </c>
      <c r="F1522" s="4">
        <v>4.79</v>
      </c>
      <c r="G1522" s="4">
        <v>4790</v>
      </c>
      <c r="H1522" s="5">
        <f t="shared" si="23"/>
        <v>2.0920502092049761E-3</v>
      </c>
    </row>
    <row r="1523" spans="1:8" ht="13.5" x14ac:dyDescent="0.25">
      <c r="A1523" s="1"/>
      <c r="B1523" s="3">
        <v>44529</v>
      </c>
      <c r="C1523" s="4">
        <v>4.58</v>
      </c>
      <c r="D1523" s="4">
        <v>4.58</v>
      </c>
      <c r="E1523" s="4">
        <v>0</v>
      </c>
      <c r="F1523" s="4">
        <v>0</v>
      </c>
      <c r="G1523" s="4">
        <v>0</v>
      </c>
      <c r="H1523" s="5">
        <f t="shared" si="23"/>
        <v>-4.3841336116910219E-2</v>
      </c>
    </row>
    <row r="1524" spans="1:8" ht="13.5" x14ac:dyDescent="0.25">
      <c r="A1524" s="1"/>
      <c r="B1524" s="3">
        <v>44530</v>
      </c>
      <c r="C1524" s="4">
        <v>4.78</v>
      </c>
      <c r="D1524" s="4">
        <v>4.78</v>
      </c>
      <c r="E1524" s="4">
        <v>101</v>
      </c>
      <c r="F1524" s="4">
        <v>4.78</v>
      </c>
      <c r="G1524" s="4">
        <v>482.78</v>
      </c>
      <c r="H1524" s="5">
        <f t="shared" si="23"/>
        <v>4.3668122270742397E-2</v>
      </c>
    </row>
    <row r="1525" spans="1:8" ht="13.5" x14ac:dyDescent="0.25">
      <c r="A1525" s="1"/>
      <c r="B1525" s="3">
        <v>44531</v>
      </c>
      <c r="C1525" s="4">
        <v>4.78</v>
      </c>
      <c r="D1525" s="4">
        <v>4.78</v>
      </c>
      <c r="E1525" s="4">
        <v>91</v>
      </c>
      <c r="F1525" s="4">
        <v>4.78</v>
      </c>
      <c r="G1525" s="4">
        <v>434.98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4.78</v>
      </c>
      <c r="D1526" s="4">
        <v>4.78</v>
      </c>
      <c r="E1526" s="4">
        <v>1000</v>
      </c>
      <c r="F1526" s="4">
        <v>4.78</v>
      </c>
      <c r="G1526" s="4">
        <v>4780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4.78</v>
      </c>
      <c r="D1527" s="4">
        <v>4.78</v>
      </c>
      <c r="E1527" s="4">
        <v>3400</v>
      </c>
      <c r="F1527" s="4">
        <v>4.78</v>
      </c>
      <c r="G1527" s="4">
        <v>16252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4.78</v>
      </c>
      <c r="D1528" s="4">
        <v>4.78</v>
      </c>
      <c r="E1528" s="4">
        <v>1500</v>
      </c>
      <c r="F1528" s="4">
        <v>4.78</v>
      </c>
      <c r="G1528" s="4">
        <v>7170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4.78</v>
      </c>
      <c r="D1529" s="4">
        <v>4.78</v>
      </c>
      <c r="E1529" s="4">
        <v>1520</v>
      </c>
      <c r="F1529" s="4">
        <v>4.78</v>
      </c>
      <c r="G1529" s="4">
        <v>7265.6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4.78</v>
      </c>
      <c r="D1530" s="4">
        <v>4.78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4.57</v>
      </c>
      <c r="D1531" s="4">
        <v>4.57</v>
      </c>
      <c r="E1531" s="4">
        <v>0</v>
      </c>
      <c r="F1531" s="4">
        <v>0</v>
      </c>
      <c r="G1531" s="4">
        <v>0</v>
      </c>
      <c r="H1531" s="5">
        <f t="shared" si="23"/>
        <v>-4.3933054393305429E-2</v>
      </c>
    </row>
    <row r="1532" spans="1:8" ht="13.5" x14ac:dyDescent="0.25">
      <c r="A1532" s="1"/>
      <c r="B1532" s="3">
        <v>44540</v>
      </c>
      <c r="C1532" s="4">
        <v>4.7699999999999996</v>
      </c>
      <c r="D1532" s="4">
        <v>4.7699999999999996</v>
      </c>
      <c r="E1532" s="4">
        <v>60</v>
      </c>
      <c r="F1532" s="4">
        <v>4.7699999999999996</v>
      </c>
      <c r="G1532" s="4">
        <v>286.2</v>
      </c>
      <c r="H1532" s="5">
        <f t="shared" si="23"/>
        <v>4.3763676148796338E-2</v>
      </c>
    </row>
    <row r="1533" spans="1:8" ht="13.5" x14ac:dyDescent="0.25">
      <c r="A1533" s="1"/>
      <c r="B1533" s="3">
        <v>44543</v>
      </c>
      <c r="C1533" s="4">
        <v>4.7</v>
      </c>
      <c r="D1533" s="4">
        <v>4.7</v>
      </c>
      <c r="E1533" s="4">
        <v>2000</v>
      </c>
      <c r="F1533" s="4">
        <v>4.7</v>
      </c>
      <c r="G1533" s="4">
        <v>9400</v>
      </c>
      <c r="H1533" s="5">
        <f t="shared" si="23"/>
        <v>-1.4675052410901342E-2</v>
      </c>
    </row>
    <row r="1534" spans="1:8" ht="13.5" x14ac:dyDescent="0.25">
      <c r="A1534" s="1"/>
      <c r="B1534" s="3">
        <v>44544</v>
      </c>
      <c r="C1534" s="4">
        <v>4.78</v>
      </c>
      <c r="D1534" s="4">
        <v>4.78</v>
      </c>
      <c r="E1534" s="4">
        <v>1640</v>
      </c>
      <c r="F1534" s="4">
        <v>4.78</v>
      </c>
      <c r="G1534" s="4">
        <v>7839.2</v>
      </c>
      <c r="H1534" s="5">
        <f t="shared" si="23"/>
        <v>1.7021276595744695E-2</v>
      </c>
    </row>
    <row r="1535" spans="1:8" ht="13.5" x14ac:dyDescent="0.25">
      <c r="A1535" s="1"/>
      <c r="B1535" s="3">
        <v>44545</v>
      </c>
      <c r="C1535" s="4">
        <v>4.57</v>
      </c>
      <c r="D1535" s="4">
        <v>4.57</v>
      </c>
      <c r="E1535" s="4">
        <v>0</v>
      </c>
      <c r="F1535" s="4">
        <v>0</v>
      </c>
      <c r="G1535" s="4">
        <v>0</v>
      </c>
      <c r="H1535" s="5">
        <f t="shared" si="23"/>
        <v>-4.3933054393305429E-2</v>
      </c>
    </row>
    <row r="1536" spans="1:8" ht="13.5" x14ac:dyDescent="0.25">
      <c r="A1536" s="1"/>
      <c r="B1536" s="3">
        <v>44546</v>
      </c>
      <c r="C1536" s="4">
        <v>4.7699999999999996</v>
      </c>
      <c r="D1536" s="4">
        <v>4.7699999999999996</v>
      </c>
      <c r="E1536" s="4">
        <v>1001</v>
      </c>
      <c r="F1536" s="4">
        <v>4.7699999999999996</v>
      </c>
      <c r="G1536" s="4">
        <v>4774.7700000000004</v>
      </c>
      <c r="H1536" s="5">
        <f t="shared" si="23"/>
        <v>4.3763676148796338E-2</v>
      </c>
    </row>
    <row r="1537" spans="1:8" ht="13.5" x14ac:dyDescent="0.25">
      <c r="A1537" s="1"/>
      <c r="B1537" s="3">
        <v>44550</v>
      </c>
      <c r="C1537" s="4">
        <v>4.7699999999999996</v>
      </c>
      <c r="D1537" s="4">
        <v>4.7699999999999996</v>
      </c>
      <c r="E1537" s="4">
        <v>0</v>
      </c>
      <c r="F1537" s="4">
        <v>0</v>
      </c>
      <c r="G1537" s="4">
        <v>0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4.7699999999999996</v>
      </c>
      <c r="D1538" s="4">
        <v>4.7699999999999996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4.7699999999999996</v>
      </c>
      <c r="D1539" s="4">
        <v>4.7699999999999996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4.7699999999999996</v>
      </c>
      <c r="D1540" s="4">
        <v>4.7699999999999996</v>
      </c>
      <c r="E1540" s="4">
        <v>1300</v>
      </c>
      <c r="F1540" s="4">
        <v>4.7699999999999996</v>
      </c>
      <c r="G1540" s="4">
        <v>6201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4.7699999999999996</v>
      </c>
      <c r="D1541" s="4">
        <v>4.7699999999999996</v>
      </c>
      <c r="E1541" s="4">
        <v>1051</v>
      </c>
      <c r="F1541" s="4">
        <v>4.7699999999999996</v>
      </c>
      <c r="G1541" s="4">
        <v>5013.2700000000004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4.7699999999999996</v>
      </c>
      <c r="D1542" s="4">
        <v>4.7699999999999996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4.7699999999999996</v>
      </c>
      <c r="D1543" s="4">
        <v>4.7699999999999996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4.5599999999999996</v>
      </c>
      <c r="D1544" s="4">
        <v>4.5599999999999996</v>
      </c>
      <c r="E1544" s="4">
        <v>0</v>
      </c>
      <c r="F1544" s="4">
        <v>0</v>
      </c>
      <c r="G1544" s="4">
        <v>0</v>
      </c>
      <c r="H1544" s="5">
        <f t="shared" si="24"/>
        <v>-4.40251572327044E-2</v>
      </c>
    </row>
    <row r="1545" spans="1:8" ht="13.5" x14ac:dyDescent="0.25">
      <c r="A1545" s="1"/>
      <c r="B1545" s="3">
        <v>44560</v>
      </c>
      <c r="C1545" s="4">
        <v>4.76</v>
      </c>
      <c r="D1545" s="4">
        <v>4.76</v>
      </c>
      <c r="E1545" s="4">
        <v>7392</v>
      </c>
      <c r="F1545" s="4">
        <v>4.76</v>
      </c>
      <c r="G1545" s="4">
        <v>35185.919999999998</v>
      </c>
      <c r="H1545" s="5">
        <f t="shared" si="24"/>
        <v>4.3859649122807064E-2</v>
      </c>
    </row>
    <row r="1546" spans="1:8" ht="13.5" x14ac:dyDescent="0.25">
      <c r="A1546" s="1"/>
      <c r="B1546" s="3">
        <v>44561</v>
      </c>
      <c r="C1546" s="4">
        <v>4.76</v>
      </c>
      <c r="D1546" s="4">
        <v>4.76</v>
      </c>
      <c r="E1546" s="4">
        <v>2301</v>
      </c>
      <c r="F1546" s="4">
        <v>4.76</v>
      </c>
      <c r="G1546" s="4">
        <v>10952.76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4.76</v>
      </c>
      <c r="D1547" s="4">
        <v>4.76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4.7699999999999996</v>
      </c>
      <c r="D1548" s="4">
        <v>4.7699999999999996</v>
      </c>
      <c r="E1548" s="4">
        <v>2400</v>
      </c>
      <c r="F1548" s="4">
        <v>4.7699999999999996</v>
      </c>
      <c r="G1548" s="4">
        <v>11448</v>
      </c>
      <c r="H1548" s="5">
        <f t="shared" si="24"/>
        <v>2.100840336134409E-3</v>
      </c>
    </row>
    <row r="1549" spans="1:8" ht="13.5" x14ac:dyDescent="0.25">
      <c r="A1549" s="1"/>
      <c r="B1549" s="3">
        <v>44566</v>
      </c>
      <c r="C1549" s="4">
        <v>4.7699999999999996</v>
      </c>
      <c r="D1549" s="4">
        <v>4.7699999999999996</v>
      </c>
      <c r="E1549" s="4">
        <v>6825</v>
      </c>
      <c r="F1549" s="4">
        <v>4.7699999999999996</v>
      </c>
      <c r="G1549" s="4">
        <v>32555.25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4.7699999999999996</v>
      </c>
      <c r="D1550" s="4">
        <v>4.7699999999999996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4.7699999999999996</v>
      </c>
      <c r="D1551" s="4">
        <v>4.7699999999999996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4.7699999999999996</v>
      </c>
      <c r="D1552" s="4">
        <v>4.7699999999999996</v>
      </c>
      <c r="E1552" s="4">
        <v>1800</v>
      </c>
      <c r="F1552" s="4">
        <v>4.7699999999999996</v>
      </c>
      <c r="G1552" s="4">
        <v>8586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4.7699999999999996</v>
      </c>
      <c r="D1553" s="4">
        <v>4.7699999999999996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4.5599999999999996</v>
      </c>
      <c r="D1554" s="4">
        <v>4.5599999999999996</v>
      </c>
      <c r="E1554" s="4">
        <v>0</v>
      </c>
      <c r="F1554" s="4">
        <v>0</v>
      </c>
      <c r="G1554" s="4">
        <v>0</v>
      </c>
      <c r="H1554" s="5">
        <f t="shared" si="24"/>
        <v>-4.40251572327044E-2</v>
      </c>
    </row>
    <row r="1555" spans="1:8" ht="13.5" x14ac:dyDescent="0.25">
      <c r="A1555" s="1"/>
      <c r="B1555" s="3">
        <v>44574</v>
      </c>
      <c r="C1555" s="4">
        <v>4.7</v>
      </c>
      <c r="D1555" s="4">
        <v>4.7</v>
      </c>
      <c r="E1555" s="4">
        <v>201</v>
      </c>
      <c r="F1555" s="4">
        <v>4.7</v>
      </c>
      <c r="G1555" s="4">
        <v>944.7</v>
      </c>
      <c r="H1555" s="5">
        <f t="shared" si="24"/>
        <v>3.0701754385965039E-2</v>
      </c>
    </row>
    <row r="1556" spans="1:8" ht="13.5" x14ac:dyDescent="0.25">
      <c r="A1556" s="1"/>
      <c r="B1556" s="3">
        <v>44575</v>
      </c>
      <c r="C1556" s="4">
        <v>4.7</v>
      </c>
      <c r="D1556" s="4">
        <v>4.7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4.5599999999999996</v>
      </c>
      <c r="D1557" s="4">
        <v>4.5599999999999996</v>
      </c>
      <c r="E1557" s="4">
        <v>4409</v>
      </c>
      <c r="F1557" s="4">
        <v>4.5599999999999996</v>
      </c>
      <c r="G1557" s="4">
        <v>20105.04</v>
      </c>
      <c r="H1557" s="5">
        <f t="shared" si="24"/>
        <v>-2.9787234042553311E-2</v>
      </c>
    </row>
    <row r="1558" spans="1:8" ht="13.5" x14ac:dyDescent="0.25">
      <c r="A1558" s="1"/>
      <c r="B1558" s="3">
        <v>44579</v>
      </c>
      <c r="C1558" s="4">
        <v>4.6900000000000004</v>
      </c>
      <c r="D1558" s="4">
        <v>4.6900000000000004</v>
      </c>
      <c r="E1558" s="4">
        <v>230</v>
      </c>
      <c r="F1558" s="4">
        <v>4.6900000000000004</v>
      </c>
      <c r="G1558" s="4">
        <v>1078.7</v>
      </c>
      <c r="H1558" s="5">
        <f t="shared" si="24"/>
        <v>2.8508771929824737E-2</v>
      </c>
    </row>
    <row r="1559" spans="1:8" ht="13.5" x14ac:dyDescent="0.25">
      <c r="A1559" s="1"/>
      <c r="B1559" s="3">
        <v>44580</v>
      </c>
      <c r="C1559" s="4">
        <v>4.6900000000000004</v>
      </c>
      <c r="D1559" s="4">
        <v>4.6900000000000004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4.6900000000000004</v>
      </c>
      <c r="D1560" s="4">
        <v>4.6900000000000004</v>
      </c>
      <c r="E1560" s="4">
        <v>0</v>
      </c>
      <c r="F1560" s="4">
        <v>0</v>
      </c>
      <c r="G1560" s="4">
        <v>0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4.4800000000000004</v>
      </c>
      <c r="D1561" s="4">
        <v>4.4800000000000004</v>
      </c>
      <c r="E1561" s="4">
        <v>0</v>
      </c>
      <c r="F1561" s="4">
        <v>0</v>
      </c>
      <c r="G1561" s="4">
        <v>0</v>
      </c>
      <c r="H1561" s="5">
        <f t="shared" si="24"/>
        <v>-4.4776119402985065E-2</v>
      </c>
    </row>
    <row r="1562" spans="1:8" ht="13.5" x14ac:dyDescent="0.25">
      <c r="A1562" s="1"/>
      <c r="B1562" s="3">
        <v>44585</v>
      </c>
      <c r="C1562" s="4">
        <v>4.5599999999999996</v>
      </c>
      <c r="D1562" s="4">
        <v>4.5599999999999996</v>
      </c>
      <c r="E1562" s="4">
        <v>1</v>
      </c>
      <c r="F1562" s="4">
        <v>4.5599999999999996</v>
      </c>
      <c r="G1562" s="4">
        <v>4.5599999999999996</v>
      </c>
      <c r="H1562" s="5">
        <f t="shared" si="24"/>
        <v>1.7857142857142672E-2</v>
      </c>
    </row>
    <row r="1563" spans="1:8" ht="13.5" x14ac:dyDescent="0.25">
      <c r="A1563" s="1"/>
      <c r="B1563" s="3">
        <v>44586</v>
      </c>
      <c r="C1563" s="4">
        <v>4.6900000000000004</v>
      </c>
      <c r="D1563" s="4">
        <v>4.6900000000000004</v>
      </c>
      <c r="E1563" s="4">
        <v>1</v>
      </c>
      <c r="F1563" s="4">
        <v>4.6900000000000004</v>
      </c>
      <c r="G1563" s="4">
        <v>4.6900000000000004</v>
      </c>
      <c r="H1563" s="5">
        <f t="shared" si="24"/>
        <v>2.8508771929824737E-2</v>
      </c>
    </row>
    <row r="1564" spans="1:8" ht="13.5" x14ac:dyDescent="0.25">
      <c r="A1564" s="1"/>
      <c r="B1564" s="3">
        <v>44587</v>
      </c>
      <c r="C1564" s="4">
        <v>4.6900000000000004</v>
      </c>
      <c r="D1564" s="4">
        <v>4.6900000000000004</v>
      </c>
      <c r="E1564" s="4">
        <v>850</v>
      </c>
      <c r="F1564" s="4">
        <v>4.6900000000000004</v>
      </c>
      <c r="G1564" s="4">
        <v>3986.5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4.4800000000000004</v>
      </c>
      <c r="D1565" s="4">
        <v>4.4800000000000004</v>
      </c>
      <c r="E1565" s="4">
        <v>150</v>
      </c>
      <c r="F1565" s="4">
        <v>4.4800000000000004</v>
      </c>
      <c r="G1565" s="4">
        <v>672</v>
      </c>
      <c r="H1565" s="5">
        <f t="shared" si="24"/>
        <v>-4.4776119402985065E-2</v>
      </c>
    </row>
    <row r="1566" spans="1:8" ht="13.5" x14ac:dyDescent="0.25">
      <c r="A1566" s="1"/>
      <c r="B1566" s="3">
        <v>44589</v>
      </c>
      <c r="C1566" s="4">
        <v>4.6500000000000004</v>
      </c>
      <c r="D1566" s="4">
        <v>4.6500000000000004</v>
      </c>
      <c r="E1566" s="4">
        <v>1</v>
      </c>
      <c r="F1566" s="4">
        <v>4.6500000000000004</v>
      </c>
      <c r="G1566" s="4">
        <v>4.6500000000000004</v>
      </c>
      <c r="H1566" s="5">
        <f t="shared" si="24"/>
        <v>3.7946428571428555E-2</v>
      </c>
    </row>
    <row r="1567" spans="1:8" ht="13.5" x14ac:dyDescent="0.25">
      <c r="A1567" s="1"/>
      <c r="B1567" s="3">
        <v>44592</v>
      </c>
      <c r="C1567" s="4">
        <v>4.45</v>
      </c>
      <c r="D1567" s="4">
        <v>4.45</v>
      </c>
      <c r="E1567" s="4">
        <v>1</v>
      </c>
      <c r="F1567" s="4">
        <v>4.45</v>
      </c>
      <c r="G1567" s="4">
        <v>4.45</v>
      </c>
      <c r="H1567" s="5">
        <f t="shared" si="24"/>
        <v>-4.3010752688172081E-2</v>
      </c>
    </row>
    <row r="1568" spans="1:8" ht="13.5" x14ac:dyDescent="0.25">
      <c r="A1568" s="1"/>
      <c r="B1568" s="3">
        <v>44593</v>
      </c>
      <c r="C1568" s="4">
        <v>4.45</v>
      </c>
      <c r="D1568" s="4">
        <v>4.45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4.25</v>
      </c>
      <c r="D1569" s="4">
        <v>4.25</v>
      </c>
      <c r="E1569" s="4">
        <v>361</v>
      </c>
      <c r="F1569" s="4">
        <v>4.25</v>
      </c>
      <c r="G1569" s="4">
        <v>1534.25</v>
      </c>
      <c r="H1569" s="5">
        <f t="shared" si="24"/>
        <v>-4.4943820224719142E-2</v>
      </c>
    </row>
    <row r="1570" spans="1:8" ht="13.5" x14ac:dyDescent="0.25">
      <c r="A1570" s="1"/>
      <c r="B1570" s="3">
        <v>44595</v>
      </c>
      <c r="C1570" s="4">
        <v>4.3899999999999997</v>
      </c>
      <c r="D1570" s="4">
        <v>4.3899999999999997</v>
      </c>
      <c r="E1570" s="4">
        <v>2500</v>
      </c>
      <c r="F1570" s="4">
        <v>4.3899999999999997</v>
      </c>
      <c r="G1570" s="4">
        <v>10975</v>
      </c>
      <c r="H1570" s="5">
        <f t="shared" si="24"/>
        <v>3.2941176470588161E-2</v>
      </c>
    </row>
    <row r="1571" spans="1:8" ht="13.5" x14ac:dyDescent="0.25">
      <c r="A1571" s="1"/>
      <c r="B1571" s="3">
        <v>44596</v>
      </c>
      <c r="C1571" s="4">
        <v>4.2</v>
      </c>
      <c r="D1571" s="4">
        <v>4.2</v>
      </c>
      <c r="E1571" s="4">
        <v>1617</v>
      </c>
      <c r="F1571" s="4">
        <v>4.2</v>
      </c>
      <c r="G1571" s="4">
        <v>6791.4</v>
      </c>
      <c r="H1571" s="5">
        <f t="shared" si="24"/>
        <v>-4.3280182232346129E-2</v>
      </c>
    </row>
    <row r="1572" spans="1:8" ht="13.5" x14ac:dyDescent="0.25">
      <c r="A1572" s="1"/>
      <c r="B1572" s="3">
        <v>44599</v>
      </c>
      <c r="C1572" s="4">
        <v>4.38</v>
      </c>
      <c r="D1572" s="4">
        <v>4.38</v>
      </c>
      <c r="E1572" s="4">
        <v>1</v>
      </c>
      <c r="F1572" s="4">
        <v>4.38</v>
      </c>
      <c r="G1572" s="4">
        <v>4.38</v>
      </c>
      <c r="H1572" s="5">
        <f t="shared" si="24"/>
        <v>4.2857142857142788E-2</v>
      </c>
    </row>
    <row r="1573" spans="1:8" ht="13.5" x14ac:dyDescent="0.25">
      <c r="A1573" s="1"/>
      <c r="B1573" s="3">
        <v>44600</v>
      </c>
      <c r="C1573" s="4">
        <v>4.5</v>
      </c>
      <c r="D1573" s="4">
        <v>4.5</v>
      </c>
      <c r="E1573" s="4">
        <v>2000</v>
      </c>
      <c r="F1573" s="4">
        <v>4.5</v>
      </c>
      <c r="G1573" s="4">
        <v>9000</v>
      </c>
      <c r="H1573" s="5">
        <f t="shared" si="24"/>
        <v>2.7397260273972629E-2</v>
      </c>
    </row>
    <row r="1574" spans="1:8" ht="13.5" x14ac:dyDescent="0.25">
      <c r="A1574" s="1"/>
      <c r="B1574" s="3">
        <v>44601</v>
      </c>
      <c r="C1574" s="4">
        <v>4.66</v>
      </c>
      <c r="D1574" s="4">
        <v>4.66</v>
      </c>
      <c r="E1574" s="4">
        <v>110</v>
      </c>
      <c r="F1574" s="4">
        <v>4.66</v>
      </c>
      <c r="G1574" s="4">
        <v>512.6</v>
      </c>
      <c r="H1574" s="5">
        <f t="shared" si="24"/>
        <v>3.555555555555559E-2</v>
      </c>
    </row>
    <row r="1575" spans="1:8" ht="13.5" x14ac:dyDescent="0.25">
      <c r="A1575" s="1"/>
      <c r="B1575" s="3">
        <v>44602</v>
      </c>
      <c r="C1575" s="4">
        <v>4.67</v>
      </c>
      <c r="D1575" s="4">
        <v>4.67</v>
      </c>
      <c r="E1575" s="4">
        <v>741</v>
      </c>
      <c r="F1575" s="4">
        <v>4.67</v>
      </c>
      <c r="G1575" s="4">
        <v>3460.47</v>
      </c>
      <c r="H1575" s="5">
        <f t="shared" si="24"/>
        <v>2.1459227467810699E-3</v>
      </c>
    </row>
    <row r="1576" spans="1:8" ht="13.5" x14ac:dyDescent="0.25">
      <c r="A1576" s="1"/>
      <c r="B1576" s="3">
        <v>44603</v>
      </c>
      <c r="C1576" s="4">
        <v>4.67</v>
      </c>
      <c r="D1576" s="4">
        <v>4.67</v>
      </c>
      <c r="E1576" s="4">
        <v>1</v>
      </c>
      <c r="F1576" s="4">
        <v>4.67</v>
      </c>
      <c r="G1576" s="4">
        <v>4.67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4.46</v>
      </c>
      <c r="D1577" s="4">
        <v>4.46</v>
      </c>
      <c r="E1577" s="4">
        <v>500</v>
      </c>
      <c r="F1577" s="4">
        <v>4.46</v>
      </c>
      <c r="G1577" s="4">
        <v>2230</v>
      </c>
      <c r="H1577" s="5">
        <f t="shared" si="24"/>
        <v>-4.4967880085653097E-2</v>
      </c>
    </row>
    <row r="1578" spans="1:8" ht="13.5" x14ac:dyDescent="0.25">
      <c r="A1578" s="1"/>
      <c r="B1578" s="3">
        <v>44607</v>
      </c>
      <c r="C1578" s="4">
        <v>4.6500000000000004</v>
      </c>
      <c r="D1578" s="4">
        <v>4.6500000000000004</v>
      </c>
      <c r="E1578" s="4">
        <v>1400</v>
      </c>
      <c r="F1578" s="4">
        <v>4.6500000000000004</v>
      </c>
      <c r="G1578" s="4">
        <v>6510</v>
      </c>
      <c r="H1578" s="5">
        <f t="shared" si="24"/>
        <v>4.2600896860986635E-2</v>
      </c>
    </row>
    <row r="1579" spans="1:8" ht="13.5" x14ac:dyDescent="0.25">
      <c r="A1579" s="1"/>
      <c r="B1579" s="3">
        <v>44608</v>
      </c>
      <c r="C1579" s="4">
        <v>4.63</v>
      </c>
      <c r="D1579" s="4">
        <v>4.63</v>
      </c>
      <c r="E1579" s="4">
        <v>1420</v>
      </c>
      <c r="F1579" s="4">
        <v>4.63</v>
      </c>
      <c r="G1579" s="4">
        <v>6574.6</v>
      </c>
      <c r="H1579" s="5">
        <f t="shared" si="24"/>
        <v>-4.3010752688173032E-3</v>
      </c>
    </row>
    <row r="1580" spans="1:8" ht="13.5" x14ac:dyDescent="0.25">
      <c r="A1580" s="1"/>
      <c r="B1580" s="3">
        <v>44609</v>
      </c>
      <c r="C1580" s="4">
        <v>4.63</v>
      </c>
      <c r="D1580" s="4">
        <v>4.63</v>
      </c>
      <c r="E1580" s="4">
        <v>3500</v>
      </c>
      <c r="F1580" s="4">
        <v>4.63</v>
      </c>
      <c r="G1580" s="4">
        <v>16205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4.74</v>
      </c>
      <c r="D1581" s="4">
        <v>4.74</v>
      </c>
      <c r="E1581" s="4">
        <v>23700</v>
      </c>
      <c r="F1581" s="4">
        <v>4.74</v>
      </c>
      <c r="G1581" s="4">
        <v>112338</v>
      </c>
      <c r="H1581" s="5">
        <f t="shared" si="24"/>
        <v>2.3758099352051906E-2</v>
      </c>
    </row>
    <row r="1582" spans="1:8" ht="13.5" x14ac:dyDescent="0.25">
      <c r="A1582" s="1"/>
      <c r="B1582" s="3">
        <v>44613</v>
      </c>
      <c r="C1582" s="4">
        <v>4.79</v>
      </c>
      <c r="D1582" s="4">
        <v>4.79</v>
      </c>
      <c r="E1582" s="4">
        <v>20100</v>
      </c>
      <c r="F1582" s="4">
        <v>4.79</v>
      </c>
      <c r="G1582" s="4">
        <v>96279</v>
      </c>
      <c r="H1582" s="5">
        <f t="shared" si="24"/>
        <v>1.0548523206751016E-2</v>
      </c>
    </row>
    <row r="1583" spans="1:8" ht="13.5" x14ac:dyDescent="0.25">
      <c r="A1583" s="1"/>
      <c r="B1583" s="3">
        <v>44614</v>
      </c>
      <c r="C1583" s="4">
        <v>4.58</v>
      </c>
      <c r="D1583" s="4">
        <v>4.58</v>
      </c>
      <c r="E1583" s="4">
        <v>728</v>
      </c>
      <c r="F1583" s="4">
        <v>4.58</v>
      </c>
      <c r="G1583" s="4">
        <v>3334.24</v>
      </c>
      <c r="H1583" s="5">
        <f t="shared" si="24"/>
        <v>-4.3841336116910219E-2</v>
      </c>
    </row>
    <row r="1584" spans="1:8" ht="13.5" x14ac:dyDescent="0.25">
      <c r="A1584" s="1"/>
      <c r="B1584" s="3">
        <v>44615</v>
      </c>
      <c r="C1584" s="4">
        <v>4.7699999999999996</v>
      </c>
      <c r="D1584" s="4">
        <v>4.7699999999999996</v>
      </c>
      <c r="E1584" s="4">
        <v>5351</v>
      </c>
      <c r="F1584" s="4">
        <v>4.7699999999999996</v>
      </c>
      <c r="G1584" s="4">
        <v>25524.27</v>
      </c>
      <c r="H1584" s="5">
        <f t="shared" si="24"/>
        <v>4.1484716157205129E-2</v>
      </c>
    </row>
    <row r="1585" spans="1:8" ht="13.5" x14ac:dyDescent="0.25">
      <c r="A1585" s="1"/>
      <c r="B1585" s="3">
        <v>44616</v>
      </c>
      <c r="C1585" s="4">
        <v>4.7699999999999996</v>
      </c>
      <c r="D1585" s="4">
        <v>4.7699999999999996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4.7699999999999996</v>
      </c>
      <c r="D1586" s="4">
        <v>4.7699999999999996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4.75</v>
      </c>
      <c r="D1587" s="4">
        <v>4.75</v>
      </c>
      <c r="E1587" s="4">
        <v>13240</v>
      </c>
      <c r="F1587" s="4">
        <v>4.75</v>
      </c>
      <c r="G1587" s="4">
        <v>62890</v>
      </c>
      <c r="H1587" s="5">
        <f t="shared" si="24"/>
        <v>-4.1928721174003302E-3</v>
      </c>
    </row>
    <row r="1588" spans="1:8" ht="13.5" x14ac:dyDescent="0.25">
      <c r="A1588" s="1"/>
      <c r="B1588" s="3">
        <v>44621</v>
      </c>
      <c r="C1588" s="4">
        <v>4.7</v>
      </c>
      <c r="D1588" s="4">
        <v>4.7</v>
      </c>
      <c r="E1588" s="4">
        <v>1300</v>
      </c>
      <c r="F1588" s="4">
        <v>4.7</v>
      </c>
      <c r="G1588" s="4">
        <v>6110</v>
      </c>
      <c r="H1588" s="5">
        <f t="shared" si="24"/>
        <v>-1.0526315789473648E-2</v>
      </c>
    </row>
    <row r="1589" spans="1:8" ht="13.5" x14ac:dyDescent="0.25">
      <c r="A1589" s="1"/>
      <c r="B1589" s="3">
        <v>44622</v>
      </c>
      <c r="C1589" s="4">
        <v>4.6900000000000004</v>
      </c>
      <c r="D1589" s="4">
        <v>4.6900000000000004</v>
      </c>
      <c r="E1589" s="4">
        <v>14500</v>
      </c>
      <c r="F1589" s="4">
        <v>4.6900000000000004</v>
      </c>
      <c r="G1589" s="4">
        <v>68005</v>
      </c>
      <c r="H1589" s="5">
        <f t="shared" si="24"/>
        <v>-2.1276595744680396E-3</v>
      </c>
    </row>
    <row r="1590" spans="1:8" ht="13.5" x14ac:dyDescent="0.25">
      <c r="A1590" s="1"/>
      <c r="B1590" s="3">
        <v>44623</v>
      </c>
      <c r="C1590" s="4">
        <v>4.5</v>
      </c>
      <c r="D1590" s="4">
        <v>4.5</v>
      </c>
      <c r="E1590" s="4">
        <v>222</v>
      </c>
      <c r="F1590" s="4">
        <v>4.5</v>
      </c>
      <c r="G1590" s="4">
        <v>999</v>
      </c>
      <c r="H1590" s="5">
        <f t="shared" si="24"/>
        <v>-4.0511727078891335E-2</v>
      </c>
    </row>
    <row r="1591" spans="1:8" ht="13.5" x14ac:dyDescent="0.25">
      <c r="A1591" s="1"/>
      <c r="B1591" s="3">
        <v>44624</v>
      </c>
      <c r="C1591" s="4">
        <v>4.6500000000000004</v>
      </c>
      <c r="D1591" s="4">
        <v>4.6500000000000004</v>
      </c>
      <c r="E1591" s="4">
        <v>500</v>
      </c>
      <c r="F1591" s="4">
        <v>4.6500000000000004</v>
      </c>
      <c r="G1591" s="4">
        <v>2325</v>
      </c>
      <c r="H1591" s="5">
        <f t="shared" si="24"/>
        <v>3.3333333333333409E-2</v>
      </c>
    </row>
    <row r="1592" spans="1:8" ht="13.5" x14ac:dyDescent="0.25">
      <c r="A1592" s="1"/>
      <c r="B1592" s="3">
        <v>44627</v>
      </c>
      <c r="C1592" s="4">
        <v>4.6500000000000004</v>
      </c>
      <c r="D1592" s="4">
        <v>4.6500000000000004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4.68</v>
      </c>
      <c r="D1593" s="4">
        <v>4.68</v>
      </c>
      <c r="E1593" s="4">
        <v>2099</v>
      </c>
      <c r="F1593" s="4">
        <v>4.68</v>
      </c>
      <c r="G1593" s="4">
        <v>9823.32</v>
      </c>
      <c r="H1593" s="5">
        <f t="shared" si="24"/>
        <v>6.4516129032256685E-3</v>
      </c>
    </row>
    <row r="1594" spans="1:8" ht="13.5" x14ac:dyDescent="0.25">
      <c r="A1594" s="1"/>
      <c r="B1594" s="3">
        <v>44629</v>
      </c>
      <c r="C1594" s="4">
        <v>4.6500000000000004</v>
      </c>
      <c r="D1594" s="4">
        <v>4.6500000000000004</v>
      </c>
      <c r="E1594" s="4">
        <v>1011</v>
      </c>
      <c r="F1594" s="4">
        <v>4.6500000000000004</v>
      </c>
      <c r="G1594" s="4">
        <v>4701.1499999999996</v>
      </c>
      <c r="H1594" s="5">
        <f t="shared" si="24"/>
        <v>-6.4102564102562739E-3</v>
      </c>
    </row>
    <row r="1595" spans="1:8" ht="13.5" x14ac:dyDescent="0.25">
      <c r="A1595" s="1"/>
      <c r="B1595" s="3">
        <v>44630</v>
      </c>
      <c r="C1595" s="4">
        <v>4.6500000000000004</v>
      </c>
      <c r="D1595" s="4">
        <v>4.6500000000000004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4.68</v>
      </c>
      <c r="D1596" s="4">
        <v>4.68</v>
      </c>
      <c r="E1596" s="4">
        <v>520</v>
      </c>
      <c r="F1596" s="4">
        <v>4.68</v>
      </c>
      <c r="G1596" s="4">
        <v>2433.6</v>
      </c>
      <c r="H1596" s="5">
        <f t="shared" si="24"/>
        <v>6.4516129032256685E-3</v>
      </c>
    </row>
    <row r="1597" spans="1:8" ht="13.5" x14ac:dyDescent="0.25">
      <c r="A1597" s="1"/>
      <c r="B1597" s="3">
        <v>44634</v>
      </c>
      <c r="C1597" s="4">
        <v>4.68</v>
      </c>
      <c r="D1597" s="4">
        <v>4.68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4.68</v>
      </c>
      <c r="D1598" s="4">
        <v>4.68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4.68</v>
      </c>
      <c r="D1599" s="4">
        <v>4.68</v>
      </c>
      <c r="E1599" s="4">
        <v>0</v>
      </c>
      <c r="F1599" s="4">
        <v>0</v>
      </c>
      <c r="G1599" s="4">
        <v>0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4.68</v>
      </c>
      <c r="D1600" s="4">
        <v>4.68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4.68</v>
      </c>
      <c r="D1601" s="4">
        <v>4.68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4.67</v>
      </c>
      <c r="D1602" s="4">
        <v>4.67</v>
      </c>
      <c r="E1602" s="4">
        <v>2650</v>
      </c>
      <c r="F1602" s="4">
        <v>4.67</v>
      </c>
      <c r="G1602" s="4">
        <v>12375.5</v>
      </c>
      <c r="H1602" s="5">
        <f t="shared" si="24"/>
        <v>-2.1367521367520914E-3</v>
      </c>
    </row>
    <row r="1603" spans="1:8" ht="13.5" x14ac:dyDescent="0.25">
      <c r="A1603" s="1"/>
      <c r="B1603" s="3">
        <v>44642</v>
      </c>
      <c r="C1603" s="4">
        <v>4.67</v>
      </c>
      <c r="D1603" s="4">
        <v>4.67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4.46</v>
      </c>
      <c r="D1604" s="4">
        <v>4.46</v>
      </c>
      <c r="E1604" s="4">
        <v>2800</v>
      </c>
      <c r="F1604" s="4">
        <v>4.46</v>
      </c>
      <c r="G1604" s="4">
        <v>12488</v>
      </c>
      <c r="H1604" s="5">
        <f t="shared" si="24"/>
        <v>-4.4967880085653097E-2</v>
      </c>
    </row>
    <row r="1605" spans="1:8" ht="13.5" x14ac:dyDescent="0.25">
      <c r="A1605" s="1"/>
      <c r="B1605" s="3">
        <v>44644</v>
      </c>
      <c r="C1605" s="4">
        <v>4.6500000000000004</v>
      </c>
      <c r="D1605" s="4">
        <v>4.6500000000000004</v>
      </c>
      <c r="E1605" s="4">
        <v>1</v>
      </c>
      <c r="F1605" s="4">
        <v>4.6500000000000004</v>
      </c>
      <c r="G1605" s="4">
        <v>4.6500000000000004</v>
      </c>
      <c r="H1605" s="5">
        <f t="shared" si="24"/>
        <v>4.2600896860986635E-2</v>
      </c>
    </row>
    <row r="1606" spans="1:8" ht="13.5" x14ac:dyDescent="0.25">
      <c r="A1606" s="1"/>
      <c r="B1606" s="3">
        <v>44645</v>
      </c>
      <c r="C1606" s="4">
        <v>4.6500000000000004</v>
      </c>
      <c r="D1606" s="4">
        <v>4.6500000000000004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4.6500000000000004</v>
      </c>
      <c r="D1607" s="4">
        <v>4.6500000000000004</v>
      </c>
      <c r="E1607" s="4">
        <v>3200</v>
      </c>
      <c r="F1607" s="4">
        <v>4.6500000000000004</v>
      </c>
      <c r="G1607" s="4">
        <v>14880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4.6500000000000004</v>
      </c>
      <c r="D1608" s="4">
        <v>4.6500000000000004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4.6500000000000004</v>
      </c>
      <c r="D1609" s="4">
        <v>4.6500000000000004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4.6500000000000004</v>
      </c>
      <c r="D1610" s="4">
        <v>4.6500000000000004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4.6399999999999997</v>
      </c>
      <c r="D1611" s="4">
        <v>4.6399999999999997</v>
      </c>
      <c r="E1611" s="4">
        <v>2001</v>
      </c>
      <c r="F1611" s="4">
        <v>4.6399999999999997</v>
      </c>
      <c r="G1611" s="4">
        <v>9284.64</v>
      </c>
      <c r="H1611" s="5">
        <f t="shared" si="25"/>
        <v>-2.150537634408747E-3</v>
      </c>
    </row>
    <row r="1612" spans="1:8" ht="13.5" x14ac:dyDescent="0.25">
      <c r="A1612" s="1"/>
      <c r="B1612" s="3">
        <v>44655</v>
      </c>
      <c r="C1612" s="4">
        <v>4.4400000000000004</v>
      </c>
      <c r="D1612" s="4">
        <v>4.4400000000000004</v>
      </c>
      <c r="E1612" s="4">
        <v>15</v>
      </c>
      <c r="F1612" s="4">
        <v>4.4400000000000004</v>
      </c>
      <c r="G1612" s="4">
        <v>66.599999999999994</v>
      </c>
      <c r="H1612" s="5">
        <f t="shared" si="25"/>
        <v>-4.3103448275861919E-2</v>
      </c>
    </row>
    <row r="1613" spans="1:8" ht="13.5" x14ac:dyDescent="0.25">
      <c r="A1613" s="1"/>
      <c r="B1613" s="3">
        <v>44656</v>
      </c>
      <c r="C1613" s="4">
        <v>4.63</v>
      </c>
      <c r="D1613" s="4">
        <v>4.63</v>
      </c>
      <c r="E1613" s="4">
        <v>0</v>
      </c>
      <c r="F1613" s="4">
        <v>0</v>
      </c>
      <c r="G1613" s="4">
        <v>0</v>
      </c>
      <c r="H1613" s="5">
        <f t="shared" si="25"/>
        <v>4.2792792792792675E-2</v>
      </c>
    </row>
    <row r="1614" spans="1:8" ht="13.5" x14ac:dyDescent="0.25">
      <c r="A1614" s="1"/>
      <c r="B1614" s="3">
        <v>44657</v>
      </c>
      <c r="C1614" s="4">
        <v>4.6500000000000004</v>
      </c>
      <c r="D1614" s="4">
        <v>4.6500000000000004</v>
      </c>
      <c r="E1614" s="4">
        <v>1</v>
      </c>
      <c r="F1614" s="4">
        <v>4.6500000000000004</v>
      </c>
      <c r="G1614" s="4">
        <v>4.6500000000000004</v>
      </c>
      <c r="H1614" s="5">
        <f t="shared" si="25"/>
        <v>4.3196544276458883E-3</v>
      </c>
    </row>
    <row r="1615" spans="1:8" ht="13.5" x14ac:dyDescent="0.25">
      <c r="A1615" s="1"/>
      <c r="B1615" s="3">
        <v>44658</v>
      </c>
      <c r="C1615" s="4">
        <v>4.6399999999999997</v>
      </c>
      <c r="D1615" s="4">
        <v>4.6399999999999997</v>
      </c>
      <c r="E1615" s="4">
        <v>17800</v>
      </c>
      <c r="F1615" s="4">
        <v>4.6399999999999997</v>
      </c>
      <c r="G1615" s="4">
        <v>82592</v>
      </c>
      <c r="H1615" s="5">
        <f t="shared" si="25"/>
        <v>-2.150537634408747E-3</v>
      </c>
    </row>
    <row r="1616" spans="1:8" ht="13.5" x14ac:dyDescent="0.25">
      <c r="A1616" s="1"/>
      <c r="B1616" s="3">
        <v>44659</v>
      </c>
      <c r="C1616" s="4">
        <v>4.6399999999999997</v>
      </c>
      <c r="D1616" s="4">
        <v>4.6399999999999997</v>
      </c>
      <c r="E1616" s="4">
        <v>0</v>
      </c>
      <c r="F1616" s="4">
        <v>0</v>
      </c>
      <c r="G1616" s="4">
        <v>0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4.6399999999999997</v>
      </c>
      <c r="D1617" s="4">
        <v>4.6399999999999997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4.6399999999999997</v>
      </c>
      <c r="D1618" s="4">
        <v>4.6399999999999997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4.6399999999999997</v>
      </c>
      <c r="D1619" s="4">
        <v>4.6399999999999997</v>
      </c>
      <c r="E1619" s="4">
        <v>0</v>
      </c>
      <c r="F1619" s="4">
        <v>0</v>
      </c>
      <c r="G1619" s="4">
        <v>0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4.6399999999999997</v>
      </c>
      <c r="D1620" s="4">
        <v>4.6399999999999997</v>
      </c>
      <c r="E1620" s="4">
        <v>0</v>
      </c>
      <c r="F1620" s="4">
        <v>0</v>
      </c>
      <c r="G1620" s="4">
        <v>0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4.6399999999999997</v>
      </c>
      <c r="D1621" s="4">
        <v>4.6399999999999997</v>
      </c>
      <c r="E1621" s="4">
        <v>0</v>
      </c>
      <c r="F1621" s="4">
        <v>0</v>
      </c>
      <c r="G1621" s="4">
        <v>0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4.4400000000000004</v>
      </c>
      <c r="D1622" s="4">
        <v>4.4400000000000004</v>
      </c>
      <c r="E1622" s="4">
        <v>6520</v>
      </c>
      <c r="F1622" s="4">
        <v>4.4400000000000004</v>
      </c>
      <c r="G1622" s="4">
        <v>28948.799999999999</v>
      </c>
      <c r="H1622" s="5">
        <f t="shared" si="25"/>
        <v>-4.3103448275861919E-2</v>
      </c>
    </row>
    <row r="1623" spans="1:8" ht="13.5" x14ac:dyDescent="0.25">
      <c r="A1623" s="1"/>
      <c r="B1623" s="3">
        <v>44670</v>
      </c>
      <c r="C1623" s="4">
        <v>4.25</v>
      </c>
      <c r="D1623" s="4">
        <v>4.25</v>
      </c>
      <c r="E1623" s="4">
        <v>300</v>
      </c>
      <c r="F1623" s="4">
        <v>4.25</v>
      </c>
      <c r="G1623" s="4">
        <v>1275</v>
      </c>
      <c r="H1623" s="5">
        <f t="shared" si="25"/>
        <v>-4.2792792792792876E-2</v>
      </c>
    </row>
    <row r="1624" spans="1:8" ht="13.5" x14ac:dyDescent="0.25">
      <c r="A1624" s="1"/>
      <c r="B1624" s="3">
        <v>44671</v>
      </c>
      <c r="C1624" s="4">
        <v>4.25</v>
      </c>
      <c r="D1624" s="4">
        <v>4.25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4.4400000000000004</v>
      </c>
      <c r="D1625" s="4">
        <v>4.4400000000000004</v>
      </c>
      <c r="E1625" s="4">
        <v>5</v>
      </c>
      <c r="F1625" s="4">
        <v>4.4400000000000004</v>
      </c>
      <c r="G1625" s="4">
        <v>22.2</v>
      </c>
      <c r="H1625" s="5">
        <f t="shared" si="25"/>
        <v>4.4705882352941269E-2</v>
      </c>
    </row>
    <row r="1626" spans="1:8" ht="13.5" x14ac:dyDescent="0.25">
      <c r="A1626" s="1"/>
      <c r="B1626" s="3">
        <v>44673</v>
      </c>
      <c r="C1626" s="4">
        <v>4.55</v>
      </c>
      <c r="D1626" s="4">
        <v>4.55</v>
      </c>
      <c r="E1626" s="4">
        <v>1</v>
      </c>
      <c r="F1626" s="4">
        <v>4.55</v>
      </c>
      <c r="G1626" s="4">
        <v>4.55</v>
      </c>
      <c r="H1626" s="5">
        <f t="shared" si="25"/>
        <v>2.4774774774774643E-2</v>
      </c>
    </row>
    <row r="1627" spans="1:8" ht="13.5" x14ac:dyDescent="0.25">
      <c r="A1627" s="1"/>
      <c r="B1627" s="3">
        <v>44676</v>
      </c>
      <c r="C1627" s="4">
        <v>4.62</v>
      </c>
      <c r="D1627" s="4">
        <v>4.62</v>
      </c>
      <c r="E1627" s="4">
        <v>22010</v>
      </c>
      <c r="F1627" s="4">
        <v>4.62</v>
      </c>
      <c r="G1627" s="4">
        <v>101686.2</v>
      </c>
      <c r="H1627" s="5">
        <f t="shared" si="25"/>
        <v>1.5384615384615448E-2</v>
      </c>
    </row>
    <row r="1628" spans="1:8" ht="13.5" x14ac:dyDescent="0.25">
      <c r="A1628" s="1"/>
      <c r="B1628" s="3">
        <v>44677</v>
      </c>
      <c r="C1628" s="4">
        <v>4.62</v>
      </c>
      <c r="D1628" s="4">
        <v>4.62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4.62</v>
      </c>
      <c r="D1629" s="4">
        <v>4.62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4.63</v>
      </c>
      <c r="D1630" s="4">
        <v>4.63</v>
      </c>
      <c r="E1630" s="4">
        <v>1</v>
      </c>
      <c r="F1630" s="4">
        <v>4.63</v>
      </c>
      <c r="G1630" s="4">
        <v>4.63</v>
      </c>
      <c r="H1630" s="5">
        <f t="shared" si="25"/>
        <v>2.1645021645021181E-3</v>
      </c>
    </row>
    <row r="1631" spans="1:8" ht="13.5" x14ac:dyDescent="0.25">
      <c r="A1631" s="1"/>
      <c r="B1631" s="3">
        <v>44680</v>
      </c>
      <c r="C1631" s="4">
        <v>4.63</v>
      </c>
      <c r="D1631" s="4">
        <v>4.63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4.63</v>
      </c>
      <c r="D1632" s="4">
        <v>4.63</v>
      </c>
      <c r="E1632" s="4">
        <v>0</v>
      </c>
      <c r="F1632" s="4">
        <v>0</v>
      </c>
      <c r="G1632" s="4">
        <v>0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4.63</v>
      </c>
      <c r="D1633" s="4">
        <v>4.63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4.63</v>
      </c>
      <c r="D1634" s="4">
        <v>4.63</v>
      </c>
      <c r="E1634" s="4">
        <v>0</v>
      </c>
      <c r="F1634" s="4">
        <v>0</v>
      </c>
      <c r="G1634" s="4">
        <v>0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4.59</v>
      </c>
      <c r="D1635" s="4">
        <v>4.59</v>
      </c>
      <c r="E1635" s="4">
        <v>24341</v>
      </c>
      <c r="F1635" s="4">
        <v>4.59</v>
      </c>
      <c r="G1635" s="4">
        <v>111725.19</v>
      </c>
      <c r="H1635" s="5">
        <f t="shared" si="25"/>
        <v>-8.6393088552915841E-3</v>
      </c>
    </row>
    <row r="1636" spans="1:8" ht="13.5" x14ac:dyDescent="0.25">
      <c r="A1636" s="1"/>
      <c r="B1636" s="3">
        <v>44691</v>
      </c>
      <c r="C1636" s="4">
        <v>4.3899999999999997</v>
      </c>
      <c r="D1636" s="4">
        <v>4.3899999999999997</v>
      </c>
      <c r="E1636" s="4">
        <v>0</v>
      </c>
      <c r="F1636" s="4">
        <v>0</v>
      </c>
      <c r="G1636" s="4">
        <v>0</v>
      </c>
      <c r="H1636" s="5">
        <f t="shared" si="25"/>
        <v>-4.3572984749455375E-2</v>
      </c>
    </row>
    <row r="1637" spans="1:8" ht="13.5" x14ac:dyDescent="0.25">
      <c r="A1637" s="1"/>
      <c r="B1637" s="3">
        <v>44692</v>
      </c>
      <c r="C1637" s="4">
        <v>4.58</v>
      </c>
      <c r="D1637" s="4">
        <v>4.58</v>
      </c>
      <c r="E1637" s="4">
        <v>0</v>
      </c>
      <c r="F1637" s="4">
        <v>0</v>
      </c>
      <c r="G1637" s="4">
        <v>0</v>
      </c>
      <c r="H1637" s="5">
        <f t="shared" si="25"/>
        <v>4.3280182232346337E-2</v>
      </c>
    </row>
    <row r="1638" spans="1:8" ht="13.5" x14ac:dyDescent="0.25">
      <c r="A1638" s="1"/>
      <c r="B1638" s="3">
        <v>44693</v>
      </c>
      <c r="C1638" s="4">
        <v>4.58</v>
      </c>
      <c r="D1638" s="4">
        <v>4.58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4.38</v>
      </c>
      <c r="D1639" s="4">
        <v>4.38</v>
      </c>
      <c r="E1639" s="4">
        <v>0</v>
      </c>
      <c r="F1639" s="4">
        <v>0</v>
      </c>
      <c r="G1639" s="4">
        <v>0</v>
      </c>
      <c r="H1639" s="5">
        <f t="shared" si="25"/>
        <v>-4.3668122270742397E-2</v>
      </c>
    </row>
    <row r="1640" spans="1:8" ht="13.5" x14ac:dyDescent="0.25">
      <c r="A1640" s="1"/>
      <c r="B1640" s="3">
        <v>44697</v>
      </c>
      <c r="C1640" s="4">
        <v>4.1900000000000004</v>
      </c>
      <c r="D1640" s="4">
        <v>4.1900000000000004</v>
      </c>
      <c r="E1640" s="4">
        <v>0</v>
      </c>
      <c r="F1640" s="4">
        <v>0</v>
      </c>
      <c r="G1640" s="4">
        <v>0</v>
      </c>
      <c r="H1640" s="5">
        <f t="shared" si="25"/>
        <v>-4.3378995433789841E-2</v>
      </c>
    </row>
    <row r="1641" spans="1:8" ht="13.5" x14ac:dyDescent="0.25">
      <c r="A1641" s="1"/>
      <c r="B1641" s="3">
        <v>44698</v>
      </c>
      <c r="C1641" s="4">
        <v>4.3</v>
      </c>
      <c r="D1641" s="4">
        <v>4.3</v>
      </c>
      <c r="E1641" s="4">
        <v>150</v>
      </c>
      <c r="F1641" s="4">
        <v>4.3</v>
      </c>
      <c r="G1641" s="4">
        <v>645</v>
      </c>
      <c r="H1641" s="5">
        <f t="shared" si="25"/>
        <v>2.6252983293555947E-2</v>
      </c>
    </row>
    <row r="1642" spans="1:8" ht="13.5" x14ac:dyDescent="0.25">
      <c r="A1642" s="1"/>
      <c r="B1642" s="3">
        <v>44699</v>
      </c>
      <c r="C1642" s="4">
        <v>4.3</v>
      </c>
      <c r="D1642" s="4">
        <v>4.3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4.3</v>
      </c>
      <c r="D1643" s="4">
        <v>4.3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4.3</v>
      </c>
      <c r="D1644" s="4">
        <v>4.3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4.29</v>
      </c>
      <c r="D1645" s="4">
        <v>4.29</v>
      </c>
      <c r="E1645" s="4">
        <v>650</v>
      </c>
      <c r="F1645" s="4">
        <v>4.29</v>
      </c>
      <c r="G1645" s="4">
        <v>2788.5</v>
      </c>
      <c r="H1645" s="5">
        <f t="shared" si="25"/>
        <v>-2.3255813953487877E-3</v>
      </c>
    </row>
    <row r="1646" spans="1:8" ht="13.5" x14ac:dyDescent="0.25">
      <c r="A1646" s="1"/>
      <c r="B1646" s="3">
        <v>44705</v>
      </c>
      <c r="C1646" s="4">
        <v>4.29</v>
      </c>
      <c r="D1646" s="4">
        <v>4.29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4.0999999999999996</v>
      </c>
      <c r="D1647" s="4">
        <v>4.0999999999999996</v>
      </c>
      <c r="E1647" s="4">
        <v>0</v>
      </c>
      <c r="F1647" s="4">
        <v>0</v>
      </c>
      <c r="G1647" s="4">
        <v>0</v>
      </c>
      <c r="H1647" s="5">
        <f t="shared" si="25"/>
        <v>-4.4289044289044378E-2</v>
      </c>
    </row>
    <row r="1648" spans="1:8" ht="13.5" x14ac:dyDescent="0.25">
      <c r="A1648" s="1"/>
      <c r="B1648" s="3">
        <v>44707</v>
      </c>
      <c r="C1648" s="4">
        <v>3.92</v>
      </c>
      <c r="D1648" s="4">
        <v>3.92</v>
      </c>
      <c r="E1648" s="4">
        <v>0</v>
      </c>
      <c r="F1648" s="4">
        <v>0</v>
      </c>
      <c r="G1648" s="4">
        <v>0</v>
      </c>
      <c r="H1648" s="5">
        <f t="shared" si="25"/>
        <v>-4.3902439024390179E-2</v>
      </c>
    </row>
    <row r="1649" spans="1:8" ht="13.5" x14ac:dyDescent="0.25">
      <c r="A1649" s="1"/>
      <c r="B1649" s="3">
        <v>44708</v>
      </c>
      <c r="C1649" s="4">
        <v>4.09</v>
      </c>
      <c r="D1649" s="4">
        <v>4.09</v>
      </c>
      <c r="E1649" s="4">
        <v>875</v>
      </c>
      <c r="F1649" s="4">
        <v>4.09</v>
      </c>
      <c r="G1649" s="4">
        <v>3578.75</v>
      </c>
      <c r="H1649" s="5">
        <f t="shared" si="25"/>
        <v>4.3367346938775496E-2</v>
      </c>
    </row>
    <row r="1650" spans="1:8" ht="13.5" x14ac:dyDescent="0.25">
      <c r="A1650" s="1"/>
      <c r="B1650" s="3">
        <v>44711</v>
      </c>
      <c r="C1650" s="4">
        <v>4.2699999999999996</v>
      </c>
      <c r="D1650" s="4">
        <v>4.2699999999999996</v>
      </c>
      <c r="E1650" s="4">
        <v>200</v>
      </c>
      <c r="F1650" s="4">
        <v>4.2699999999999996</v>
      </c>
      <c r="G1650" s="4">
        <v>854</v>
      </c>
      <c r="H1650" s="5">
        <f t="shared" si="25"/>
        <v>4.4009779951100177E-2</v>
      </c>
    </row>
    <row r="1651" spans="1:8" ht="13.5" x14ac:dyDescent="0.25">
      <c r="A1651" s="1"/>
      <c r="B1651" s="3">
        <v>44712</v>
      </c>
      <c r="C1651" s="4">
        <v>4.08</v>
      </c>
      <c r="D1651" s="4">
        <v>4.08</v>
      </c>
      <c r="E1651" s="4">
        <v>0</v>
      </c>
      <c r="F1651" s="4">
        <v>0</v>
      </c>
      <c r="G1651" s="4">
        <v>0</v>
      </c>
      <c r="H1651" s="5">
        <f t="shared" si="25"/>
        <v>-4.4496487119437829E-2</v>
      </c>
    </row>
    <row r="1652" spans="1:8" ht="13.5" x14ac:dyDescent="0.25">
      <c r="A1652" s="1"/>
      <c r="B1652" s="3">
        <v>44713</v>
      </c>
      <c r="C1652" s="4">
        <v>4.26</v>
      </c>
      <c r="D1652" s="4">
        <v>4.26</v>
      </c>
      <c r="E1652" s="4">
        <v>499</v>
      </c>
      <c r="F1652" s="4">
        <v>4.26</v>
      </c>
      <c r="G1652" s="4">
        <v>2125.7399999999998</v>
      </c>
      <c r="H1652" s="5">
        <f t="shared" si="25"/>
        <v>4.4117647058823456E-2</v>
      </c>
    </row>
    <row r="1653" spans="1:8" ht="13.5" x14ac:dyDescent="0.25">
      <c r="A1653" s="1"/>
      <c r="B1653" s="3">
        <v>44714</v>
      </c>
      <c r="C1653" s="4">
        <v>4.3899999999999997</v>
      </c>
      <c r="D1653" s="4">
        <v>4.3899999999999997</v>
      </c>
      <c r="E1653" s="4">
        <v>2800</v>
      </c>
      <c r="F1653" s="4">
        <v>4.3899999999999997</v>
      </c>
      <c r="G1653" s="4">
        <v>12292</v>
      </c>
      <c r="H1653" s="5">
        <f t="shared" si="25"/>
        <v>3.0516431924882605E-2</v>
      </c>
    </row>
    <row r="1654" spans="1:8" ht="13.5" x14ac:dyDescent="0.25">
      <c r="A1654" s="1"/>
      <c r="B1654" s="3">
        <v>44715</v>
      </c>
      <c r="C1654" s="4">
        <v>4.58</v>
      </c>
      <c r="D1654" s="4">
        <v>4.58</v>
      </c>
      <c r="E1654" s="4">
        <v>910</v>
      </c>
      <c r="F1654" s="4">
        <v>4.58</v>
      </c>
      <c r="G1654" s="4">
        <v>4167.8</v>
      </c>
      <c r="H1654" s="5">
        <f t="shared" si="25"/>
        <v>4.3280182232346337E-2</v>
      </c>
    </row>
    <row r="1655" spans="1:8" ht="13.5" x14ac:dyDescent="0.25">
      <c r="A1655" s="1"/>
      <c r="B1655" s="3">
        <v>44718</v>
      </c>
      <c r="C1655" s="4">
        <v>4.5999999999999996</v>
      </c>
      <c r="D1655" s="4">
        <v>4.5999999999999996</v>
      </c>
      <c r="E1655" s="4">
        <v>9000</v>
      </c>
      <c r="F1655" s="4">
        <v>4.5999999999999996</v>
      </c>
      <c r="G1655" s="4">
        <v>41400</v>
      </c>
      <c r="H1655" s="5">
        <f t="shared" si="25"/>
        <v>4.3668122270741428E-3</v>
      </c>
    </row>
    <row r="1656" spans="1:8" ht="13.5" x14ac:dyDescent="0.25">
      <c r="A1656" s="1"/>
      <c r="B1656" s="3">
        <v>44719</v>
      </c>
      <c r="C1656" s="4">
        <v>4.5999999999999996</v>
      </c>
      <c r="D1656" s="4">
        <v>4.5999999999999996</v>
      </c>
      <c r="E1656" s="4">
        <v>57051</v>
      </c>
      <c r="F1656" s="4">
        <v>4.5999999999999996</v>
      </c>
      <c r="G1656" s="4">
        <v>262434.59999999998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4.58</v>
      </c>
      <c r="D1657" s="4">
        <v>4.58</v>
      </c>
      <c r="E1657" s="4">
        <v>1520</v>
      </c>
      <c r="F1657" s="4">
        <v>4.58</v>
      </c>
      <c r="G1657" s="4">
        <v>6961.6</v>
      </c>
      <c r="H1657" s="5">
        <f t="shared" si="25"/>
        <v>-4.347826086956429E-3</v>
      </c>
    </row>
    <row r="1658" spans="1:8" ht="13.5" x14ac:dyDescent="0.25">
      <c r="A1658" s="1"/>
      <c r="B1658" s="3">
        <v>44721</v>
      </c>
      <c r="C1658" s="4">
        <v>4.38</v>
      </c>
      <c r="D1658" s="4">
        <v>4.38</v>
      </c>
      <c r="E1658" s="4">
        <v>11837</v>
      </c>
      <c r="F1658" s="4">
        <v>4.38</v>
      </c>
      <c r="G1658" s="4">
        <v>51846.06</v>
      </c>
      <c r="H1658" s="5">
        <f t="shared" si="25"/>
        <v>-4.3668122270742397E-2</v>
      </c>
    </row>
    <row r="1659" spans="1:8" ht="13.5" x14ac:dyDescent="0.25">
      <c r="A1659" s="1"/>
      <c r="B1659" s="3">
        <v>44722</v>
      </c>
      <c r="C1659" s="4">
        <v>4.1900000000000004</v>
      </c>
      <c r="D1659" s="4">
        <v>4.1900000000000004</v>
      </c>
      <c r="E1659" s="4">
        <v>0</v>
      </c>
      <c r="F1659" s="4">
        <v>0</v>
      </c>
      <c r="G1659" s="4">
        <v>0</v>
      </c>
      <c r="H1659" s="5">
        <f t="shared" si="25"/>
        <v>-4.3378995433789841E-2</v>
      </c>
    </row>
    <row r="1660" spans="1:8" ht="13.5" x14ac:dyDescent="0.25">
      <c r="A1660" s="1"/>
      <c r="B1660" s="3">
        <v>44725</v>
      </c>
      <c r="C1660" s="4">
        <v>4.37</v>
      </c>
      <c r="D1660" s="4">
        <v>4.37</v>
      </c>
      <c r="E1660" s="4">
        <v>1</v>
      </c>
      <c r="F1660" s="4">
        <v>4.37</v>
      </c>
      <c r="G1660" s="4">
        <v>4.37</v>
      </c>
      <c r="H1660" s="5">
        <f t="shared" si="25"/>
        <v>4.2959427207637159E-2</v>
      </c>
    </row>
    <row r="1661" spans="1:8" ht="13.5" x14ac:dyDescent="0.25">
      <c r="A1661" s="1"/>
      <c r="B1661" s="3">
        <v>44726</v>
      </c>
      <c r="C1661" s="4">
        <v>4.5</v>
      </c>
      <c r="D1661" s="4">
        <v>4.5</v>
      </c>
      <c r="E1661" s="4">
        <v>1</v>
      </c>
      <c r="F1661" s="4">
        <v>4.5</v>
      </c>
      <c r="G1661" s="4">
        <v>4.5</v>
      </c>
      <c r="H1661" s="5">
        <f t="shared" si="25"/>
        <v>2.9748283752860386E-2</v>
      </c>
    </row>
    <row r="1662" spans="1:8" ht="13.5" x14ac:dyDescent="0.25">
      <c r="A1662" s="1"/>
      <c r="B1662" s="3">
        <v>44727</v>
      </c>
      <c r="C1662" s="4">
        <v>4.3</v>
      </c>
      <c r="D1662" s="4">
        <v>4.3</v>
      </c>
      <c r="E1662" s="4">
        <v>180</v>
      </c>
      <c r="F1662" s="4">
        <v>4.3</v>
      </c>
      <c r="G1662" s="4">
        <v>774</v>
      </c>
      <c r="H1662" s="5">
        <f t="shared" si="25"/>
        <v>-4.4444444444444481E-2</v>
      </c>
    </row>
    <row r="1663" spans="1:8" ht="13.5" x14ac:dyDescent="0.25">
      <c r="A1663" s="1"/>
      <c r="B1663" s="3">
        <v>44728</v>
      </c>
      <c r="C1663" s="4">
        <v>4.49</v>
      </c>
      <c r="D1663" s="4">
        <v>4.49</v>
      </c>
      <c r="E1663" s="4">
        <v>0</v>
      </c>
      <c r="F1663" s="4">
        <v>0</v>
      </c>
      <c r="G1663" s="4">
        <v>0</v>
      </c>
      <c r="H1663" s="5">
        <f t="shared" si="25"/>
        <v>4.4186046511627997E-2</v>
      </c>
    </row>
    <row r="1664" spans="1:8" ht="13.5" x14ac:dyDescent="0.25">
      <c r="A1664" s="1"/>
      <c r="B1664" s="3">
        <v>44729</v>
      </c>
      <c r="C1664" s="4">
        <v>4.5</v>
      </c>
      <c r="D1664" s="4">
        <v>4.5</v>
      </c>
      <c r="E1664" s="4">
        <v>110</v>
      </c>
      <c r="F1664" s="4">
        <v>4.5</v>
      </c>
      <c r="G1664" s="4">
        <v>495</v>
      </c>
      <c r="H1664" s="5">
        <f t="shared" si="25"/>
        <v>2.2271714922048524E-3</v>
      </c>
    </row>
    <row r="1665" spans="1:8" ht="13.5" x14ac:dyDescent="0.25">
      <c r="A1665" s="1"/>
      <c r="B1665" s="3">
        <v>44732</v>
      </c>
      <c r="C1665" s="4">
        <v>4.5</v>
      </c>
      <c r="D1665" s="4">
        <v>4.5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4.4000000000000004</v>
      </c>
      <c r="D1666" s="4">
        <v>4.4000000000000004</v>
      </c>
      <c r="E1666" s="4">
        <v>101</v>
      </c>
      <c r="F1666" s="4">
        <v>4.4000000000000004</v>
      </c>
      <c r="G1666" s="4">
        <v>444.4</v>
      </c>
      <c r="H1666" s="5">
        <f t="shared" si="25"/>
        <v>-2.2222222222222143E-2</v>
      </c>
    </row>
    <row r="1667" spans="1:8" ht="13.5" x14ac:dyDescent="0.25">
      <c r="A1667" s="1"/>
      <c r="B1667" s="3">
        <v>44734</v>
      </c>
      <c r="C1667" s="4">
        <v>4.21</v>
      </c>
      <c r="D1667" s="4">
        <v>4.21</v>
      </c>
      <c r="E1667" s="4">
        <v>10010</v>
      </c>
      <c r="F1667" s="4">
        <v>4.21</v>
      </c>
      <c r="G1667" s="4">
        <v>42142.1</v>
      </c>
      <c r="H1667" s="5">
        <f t="shared" si="25"/>
        <v>-4.3181818181818266E-2</v>
      </c>
    </row>
    <row r="1668" spans="1:8" ht="13.5" x14ac:dyDescent="0.25">
      <c r="A1668" s="1"/>
      <c r="B1668" s="3">
        <v>44735</v>
      </c>
      <c r="C1668" s="4">
        <v>4.3899999999999997</v>
      </c>
      <c r="D1668" s="4">
        <v>4.3899999999999997</v>
      </c>
      <c r="E1668" s="4">
        <v>0</v>
      </c>
      <c r="F1668" s="4">
        <v>0</v>
      </c>
      <c r="G1668" s="4">
        <v>0</v>
      </c>
      <c r="H1668" s="5">
        <f t="shared" si="25"/>
        <v>4.2755344418052191E-2</v>
      </c>
    </row>
    <row r="1669" spans="1:8" ht="13.5" x14ac:dyDescent="0.25">
      <c r="A1669" s="1"/>
      <c r="B1669" s="3">
        <v>44736</v>
      </c>
      <c r="C1669" s="4">
        <v>4.3899999999999997</v>
      </c>
      <c r="D1669" s="4">
        <v>4.3899999999999997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4.3899999999999997</v>
      </c>
      <c r="D1670" s="4">
        <v>4.3899999999999997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4.3899999999999997</v>
      </c>
      <c r="D1671" s="4">
        <v>4.3899999999999997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4.3899999999999997</v>
      </c>
      <c r="D1672" s="4">
        <v>4.3899999999999997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4.3899999999999997</v>
      </c>
      <c r="D1673" s="4">
        <v>4.3899999999999997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4.3899999999999997</v>
      </c>
      <c r="D1674" s="4">
        <v>4.3899999999999997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4.3899999999999997</v>
      </c>
      <c r="D1675" s="4">
        <v>4.3899999999999997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4.2</v>
      </c>
      <c r="D1676" s="4">
        <v>4.2</v>
      </c>
      <c r="E1676" s="4">
        <v>0</v>
      </c>
      <c r="F1676" s="4">
        <v>0</v>
      </c>
      <c r="G1676" s="4">
        <v>0</v>
      </c>
      <c r="H1676" s="5">
        <f t="shared" si="26"/>
        <v>-4.3280182232346129E-2</v>
      </c>
    </row>
    <row r="1677" spans="1:8" ht="13.5" x14ac:dyDescent="0.25">
      <c r="A1677" s="1"/>
      <c r="B1677" s="3">
        <v>44748</v>
      </c>
      <c r="C1677" s="4">
        <v>4.0199999999999996</v>
      </c>
      <c r="D1677" s="4">
        <v>4.0199999999999996</v>
      </c>
      <c r="E1677" s="4">
        <v>0</v>
      </c>
      <c r="F1677" s="4">
        <v>0</v>
      </c>
      <c r="G1677" s="4">
        <v>0</v>
      </c>
      <c r="H1677" s="5">
        <f t="shared" si="26"/>
        <v>-4.2857142857142996E-2</v>
      </c>
    </row>
    <row r="1678" spans="1:8" ht="13.5" x14ac:dyDescent="0.25">
      <c r="A1678" s="1"/>
      <c r="B1678" s="3">
        <v>44749</v>
      </c>
      <c r="C1678" s="4">
        <v>4.2</v>
      </c>
      <c r="D1678" s="4">
        <v>4.2</v>
      </c>
      <c r="E1678" s="4">
        <v>195</v>
      </c>
      <c r="F1678" s="4">
        <v>4.2</v>
      </c>
      <c r="G1678" s="4">
        <v>819</v>
      </c>
      <c r="H1678" s="5">
        <f t="shared" si="26"/>
        <v>4.4776119402985232E-2</v>
      </c>
    </row>
    <row r="1679" spans="1:8" ht="13.5" x14ac:dyDescent="0.25">
      <c r="A1679" s="1"/>
      <c r="B1679" s="3">
        <v>44750</v>
      </c>
      <c r="C1679" s="4">
        <v>4.2</v>
      </c>
      <c r="D1679" s="4">
        <v>4.2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4.2</v>
      </c>
      <c r="D1680" s="4">
        <v>4.2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4.2</v>
      </c>
      <c r="D1681" s="4">
        <v>4.2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4.2</v>
      </c>
      <c r="D1682" s="4">
        <v>4.2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4.0199999999999996</v>
      </c>
      <c r="D1683" s="4">
        <v>4.0199999999999996</v>
      </c>
      <c r="E1683" s="4">
        <v>0</v>
      </c>
      <c r="F1683" s="4">
        <v>0</v>
      </c>
      <c r="G1683" s="4">
        <v>0</v>
      </c>
      <c r="H1683" s="5">
        <f t="shared" si="26"/>
        <v>-4.2857142857142996E-2</v>
      </c>
    </row>
    <row r="1684" spans="1:8" ht="13.5" x14ac:dyDescent="0.25">
      <c r="A1684" s="1"/>
      <c r="B1684" s="3">
        <v>44757</v>
      </c>
      <c r="C1684" s="4">
        <v>3.86</v>
      </c>
      <c r="D1684" s="4">
        <v>3.86</v>
      </c>
      <c r="E1684" s="4">
        <v>565</v>
      </c>
      <c r="F1684" s="4">
        <v>3.86</v>
      </c>
      <c r="G1684" s="4">
        <v>2180.9</v>
      </c>
      <c r="H1684" s="5">
        <f t="shared" si="26"/>
        <v>-3.9800995024875552E-2</v>
      </c>
    </row>
    <row r="1685" spans="1:8" ht="13.5" x14ac:dyDescent="0.25">
      <c r="A1685" s="1"/>
      <c r="B1685" s="3">
        <v>44760</v>
      </c>
      <c r="C1685" s="4">
        <v>3.86</v>
      </c>
      <c r="D1685" s="4">
        <v>3.86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4.03</v>
      </c>
      <c r="D1686" s="4">
        <v>4.03</v>
      </c>
      <c r="E1686" s="4">
        <v>5</v>
      </c>
      <c r="F1686" s="4">
        <v>4.03</v>
      </c>
      <c r="G1686" s="4">
        <v>20.149999999999999</v>
      </c>
      <c r="H1686" s="5">
        <f t="shared" si="26"/>
        <v>4.4041450777202173E-2</v>
      </c>
    </row>
    <row r="1687" spans="1:8" ht="13.5" x14ac:dyDescent="0.25">
      <c r="A1687" s="1"/>
      <c r="B1687" s="3">
        <v>44762</v>
      </c>
      <c r="C1687" s="4">
        <v>3.85</v>
      </c>
      <c r="D1687" s="4">
        <v>3.85</v>
      </c>
      <c r="E1687" s="4">
        <v>0</v>
      </c>
      <c r="F1687" s="4">
        <v>0</v>
      </c>
      <c r="G1687" s="4">
        <v>0</v>
      </c>
      <c r="H1687" s="5">
        <f t="shared" si="26"/>
        <v>-4.4665012406947931E-2</v>
      </c>
    </row>
    <row r="1688" spans="1:8" ht="13.5" x14ac:dyDescent="0.25">
      <c r="A1688" s="1"/>
      <c r="B1688" s="3">
        <v>44763</v>
      </c>
      <c r="C1688" s="4">
        <v>3.7</v>
      </c>
      <c r="D1688" s="4">
        <v>3.7</v>
      </c>
      <c r="E1688" s="4">
        <v>261</v>
      </c>
      <c r="F1688" s="4">
        <v>3.7</v>
      </c>
      <c r="G1688" s="4">
        <v>965.7</v>
      </c>
      <c r="H1688" s="5">
        <f t="shared" si="26"/>
        <v>-3.8961038961038939E-2</v>
      </c>
    </row>
    <row r="1689" spans="1:8" ht="13.5" x14ac:dyDescent="0.25">
      <c r="A1689" s="1"/>
      <c r="B1689" s="3">
        <v>44764</v>
      </c>
      <c r="C1689" s="4">
        <v>3.7</v>
      </c>
      <c r="D1689" s="4">
        <v>3.7</v>
      </c>
      <c r="E1689" s="4">
        <v>2496</v>
      </c>
      <c r="F1689" s="4">
        <v>3.7</v>
      </c>
      <c r="G1689" s="4">
        <v>9235.2000000000007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3.7</v>
      </c>
      <c r="D1690" s="4">
        <v>3.7</v>
      </c>
      <c r="E1690" s="4">
        <v>0</v>
      </c>
      <c r="F1690" s="4">
        <v>0</v>
      </c>
      <c r="G1690" s="4">
        <v>0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3.7</v>
      </c>
      <c r="D1691" s="4">
        <v>3.7</v>
      </c>
      <c r="E1691" s="4">
        <v>27842</v>
      </c>
      <c r="F1691" s="4">
        <v>3.7</v>
      </c>
      <c r="G1691" s="4">
        <v>103015.4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3.7</v>
      </c>
      <c r="D1692" s="4">
        <v>3.7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3.86</v>
      </c>
      <c r="D1693" s="4">
        <v>3.86</v>
      </c>
      <c r="E1693" s="4">
        <v>0</v>
      </c>
      <c r="F1693" s="4">
        <v>0</v>
      </c>
      <c r="G1693" s="4">
        <v>0</v>
      </c>
      <c r="H1693" s="5">
        <f t="shared" si="26"/>
        <v>4.3243243243243162E-2</v>
      </c>
    </row>
    <row r="1694" spans="1:8" ht="13.5" x14ac:dyDescent="0.25">
      <c r="A1694" s="1"/>
      <c r="B1694" s="3">
        <v>44774</v>
      </c>
      <c r="C1694" s="4">
        <v>3.89</v>
      </c>
      <c r="D1694" s="4">
        <v>3.89</v>
      </c>
      <c r="E1694" s="4">
        <v>500</v>
      </c>
      <c r="F1694" s="4">
        <v>3.89</v>
      </c>
      <c r="G1694" s="4">
        <v>1945</v>
      </c>
      <c r="H1694" s="5">
        <f t="shared" si="26"/>
        <v>7.7720207253886659E-3</v>
      </c>
    </row>
    <row r="1695" spans="1:8" ht="13.5" x14ac:dyDescent="0.25">
      <c r="A1695" s="1"/>
      <c r="B1695" s="3">
        <v>44775</v>
      </c>
      <c r="C1695" s="4">
        <v>3.9</v>
      </c>
      <c r="D1695" s="4">
        <v>3.9</v>
      </c>
      <c r="E1695" s="4">
        <v>22</v>
      </c>
      <c r="F1695" s="4">
        <v>3.9</v>
      </c>
      <c r="G1695" s="4">
        <v>85.8</v>
      </c>
      <c r="H1695" s="5">
        <f t="shared" si="26"/>
        <v>2.5706940874035441E-3</v>
      </c>
    </row>
    <row r="1696" spans="1:8" ht="13.5" x14ac:dyDescent="0.25">
      <c r="A1696" s="1"/>
      <c r="B1696" s="3">
        <v>44776</v>
      </c>
      <c r="C1696" s="4">
        <v>3.9</v>
      </c>
      <c r="D1696" s="4">
        <v>3.9</v>
      </c>
      <c r="E1696" s="4">
        <v>0</v>
      </c>
      <c r="F1696" s="4">
        <v>0</v>
      </c>
      <c r="G1696" s="4">
        <v>0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4</v>
      </c>
      <c r="D1697" s="4">
        <v>4</v>
      </c>
      <c r="E1697" s="4">
        <v>1000</v>
      </c>
      <c r="F1697" s="4">
        <v>4</v>
      </c>
      <c r="G1697" s="4">
        <v>4000</v>
      </c>
      <c r="H1697" s="5">
        <f t="shared" si="26"/>
        <v>2.5641025641025664E-2</v>
      </c>
    </row>
    <row r="1698" spans="1:8" ht="13.5" x14ac:dyDescent="0.25">
      <c r="A1698" s="1"/>
      <c r="B1698" s="3">
        <v>44778</v>
      </c>
      <c r="C1698" s="4">
        <v>4</v>
      </c>
      <c r="D1698" s="4">
        <v>4</v>
      </c>
      <c r="E1698" s="4">
        <v>0</v>
      </c>
      <c r="F1698" s="4">
        <v>0</v>
      </c>
      <c r="G1698" s="4">
        <v>0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4</v>
      </c>
      <c r="D1699" s="4">
        <v>4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4</v>
      </c>
      <c r="D1700" s="4">
        <v>4</v>
      </c>
      <c r="E1700" s="4">
        <v>5000</v>
      </c>
      <c r="F1700" s="4">
        <v>4</v>
      </c>
      <c r="G1700" s="4">
        <v>20000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4</v>
      </c>
      <c r="D1701" s="4">
        <v>4</v>
      </c>
      <c r="E1701" s="4">
        <v>7925</v>
      </c>
      <c r="F1701" s="4">
        <v>4</v>
      </c>
      <c r="G1701" s="4">
        <v>31700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4</v>
      </c>
      <c r="D1702" s="4">
        <v>4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4</v>
      </c>
      <c r="D1703" s="4">
        <v>4</v>
      </c>
      <c r="E1703" s="4">
        <v>2100</v>
      </c>
      <c r="F1703" s="4">
        <v>4</v>
      </c>
      <c r="G1703" s="4">
        <v>8400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4</v>
      </c>
      <c r="D1704" s="4">
        <v>4</v>
      </c>
      <c r="E1704" s="4">
        <v>3800</v>
      </c>
      <c r="F1704" s="4">
        <v>4</v>
      </c>
      <c r="G1704" s="4">
        <v>15200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4.0999999999999996</v>
      </c>
      <c r="D1705" s="4">
        <v>4.0999999999999996</v>
      </c>
      <c r="E1705" s="4">
        <v>761</v>
      </c>
      <c r="F1705" s="4">
        <v>4.0999999999999996</v>
      </c>
      <c r="G1705" s="4">
        <v>3120.1</v>
      </c>
      <c r="H1705" s="5">
        <f t="shared" si="26"/>
        <v>2.4999999999999911E-2</v>
      </c>
    </row>
    <row r="1706" spans="1:8" ht="13.5" x14ac:dyDescent="0.25">
      <c r="A1706" s="1"/>
      <c r="B1706" s="3">
        <v>44790</v>
      </c>
      <c r="C1706" s="4">
        <v>4.0999999999999996</v>
      </c>
      <c r="D1706" s="4">
        <v>4.0999999999999996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4.0999999999999996</v>
      </c>
      <c r="D1707" s="4">
        <v>4.0999999999999996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4.2</v>
      </c>
      <c r="D1708" s="4">
        <v>4.2</v>
      </c>
      <c r="E1708" s="4">
        <v>500</v>
      </c>
      <c r="F1708" s="4">
        <v>4.2</v>
      </c>
      <c r="G1708" s="4">
        <v>2100</v>
      </c>
      <c r="H1708" s="5">
        <f t="shared" si="26"/>
        <v>2.4390243902439157E-2</v>
      </c>
    </row>
    <row r="1709" spans="1:8" ht="13.5" x14ac:dyDescent="0.25">
      <c r="A1709" s="1"/>
      <c r="B1709" s="3">
        <v>44795</v>
      </c>
      <c r="C1709" s="4">
        <v>4.0999999999999996</v>
      </c>
      <c r="D1709" s="4">
        <v>4.0999999999999996</v>
      </c>
      <c r="E1709" s="4">
        <v>344</v>
      </c>
      <c r="F1709" s="4">
        <v>4.0999999999999996</v>
      </c>
      <c r="G1709" s="4">
        <v>1410.4</v>
      </c>
      <c r="H1709" s="5">
        <f t="shared" si="26"/>
        <v>-2.3809523809523937E-2</v>
      </c>
    </row>
    <row r="1710" spans="1:8" ht="13.5" x14ac:dyDescent="0.25">
      <c r="A1710" s="1"/>
      <c r="B1710" s="3">
        <v>44796</v>
      </c>
      <c r="C1710" s="4">
        <v>4.1900000000000004</v>
      </c>
      <c r="D1710" s="4">
        <v>4.1900000000000004</v>
      </c>
      <c r="E1710" s="4">
        <v>5</v>
      </c>
      <c r="F1710" s="4">
        <v>4.1900000000000004</v>
      </c>
      <c r="G1710" s="4">
        <v>20.95</v>
      </c>
      <c r="H1710" s="5">
        <f t="shared" si="26"/>
        <v>2.1951219512195305E-2</v>
      </c>
    </row>
    <row r="1711" spans="1:8" ht="13.5" x14ac:dyDescent="0.25">
      <c r="A1711" s="1"/>
      <c r="B1711" s="3">
        <v>44797</v>
      </c>
      <c r="C1711" s="4">
        <v>4.1900000000000004</v>
      </c>
      <c r="D1711" s="4">
        <v>4.1900000000000004</v>
      </c>
      <c r="E1711" s="4">
        <v>0</v>
      </c>
      <c r="F1711" s="4">
        <v>0</v>
      </c>
      <c r="G1711" s="4">
        <v>0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4.2</v>
      </c>
      <c r="D1712" s="4">
        <v>4.2</v>
      </c>
      <c r="E1712" s="4">
        <v>955</v>
      </c>
      <c r="F1712" s="4">
        <v>4.2</v>
      </c>
      <c r="G1712" s="4">
        <v>4011</v>
      </c>
      <c r="H1712" s="5">
        <f t="shared" si="26"/>
        <v>2.386634844868684E-3</v>
      </c>
    </row>
    <row r="1713" spans="1:8" ht="13.5" x14ac:dyDescent="0.25">
      <c r="A1713" s="1"/>
      <c r="B1713" s="3">
        <v>44799</v>
      </c>
      <c r="C1713" s="4">
        <v>4.38</v>
      </c>
      <c r="D1713" s="4">
        <v>4.38</v>
      </c>
      <c r="E1713" s="4">
        <v>0</v>
      </c>
      <c r="F1713" s="4">
        <v>0</v>
      </c>
      <c r="G1713" s="4">
        <v>0</v>
      </c>
      <c r="H1713" s="5">
        <f t="shared" si="26"/>
        <v>4.2857142857142788E-2</v>
      </c>
    </row>
    <row r="1714" spans="1:8" ht="13.5" x14ac:dyDescent="0.25">
      <c r="A1714" s="1"/>
      <c r="B1714" s="3">
        <v>44802</v>
      </c>
      <c r="C1714" s="4">
        <v>4.38</v>
      </c>
      <c r="D1714" s="4">
        <v>4.38</v>
      </c>
      <c r="E1714" s="4">
        <v>0</v>
      </c>
      <c r="F1714" s="4">
        <v>0</v>
      </c>
      <c r="G1714" s="4">
        <v>0</v>
      </c>
      <c r="H1714" s="5">
        <f t="shared" si="26"/>
        <v>0</v>
      </c>
    </row>
    <row r="1715" spans="1:8" ht="13.5" x14ac:dyDescent="0.25">
      <c r="A1715" s="1"/>
      <c r="B1715" s="3">
        <v>44803</v>
      </c>
      <c r="C1715" s="4">
        <v>4.38</v>
      </c>
      <c r="D1715" s="4">
        <v>4.38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4.38</v>
      </c>
      <c r="D1716" s="4">
        <v>4.38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4.4400000000000004</v>
      </c>
      <c r="D1717" s="4">
        <v>4.4400000000000004</v>
      </c>
      <c r="E1717" s="4">
        <v>15</v>
      </c>
      <c r="F1717" s="4">
        <v>4.4400000000000004</v>
      </c>
      <c r="G1717" s="4">
        <v>66.599999999999994</v>
      </c>
      <c r="H1717" s="5">
        <f t="shared" si="26"/>
        <v>1.3698630136986415E-2</v>
      </c>
    </row>
    <row r="1718" spans="1:8" ht="13.5" x14ac:dyDescent="0.25">
      <c r="A1718" s="1"/>
      <c r="B1718" s="3">
        <v>44806</v>
      </c>
      <c r="C1718" s="4">
        <v>4.4400000000000004</v>
      </c>
      <c r="D1718" s="4">
        <v>4.4400000000000004</v>
      </c>
      <c r="E1718" s="4">
        <v>0</v>
      </c>
      <c r="F1718" s="4">
        <v>0</v>
      </c>
      <c r="G1718" s="4">
        <v>0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4.4400000000000004</v>
      </c>
      <c r="D1719" s="4">
        <v>4.4400000000000004</v>
      </c>
      <c r="E1719" s="4">
        <v>0</v>
      </c>
      <c r="F1719" s="4">
        <v>0</v>
      </c>
      <c r="G1719" s="4">
        <v>0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4.25</v>
      </c>
      <c r="D1720" s="4">
        <v>4.25</v>
      </c>
      <c r="E1720" s="4">
        <v>0</v>
      </c>
      <c r="F1720" s="4">
        <v>0</v>
      </c>
      <c r="G1720" s="4">
        <v>0</v>
      </c>
      <c r="H1720" s="5">
        <f t="shared" si="26"/>
        <v>-4.2792792792792876E-2</v>
      </c>
    </row>
    <row r="1721" spans="1:8" ht="13.5" x14ac:dyDescent="0.25">
      <c r="A1721" s="1"/>
      <c r="B1721" s="3">
        <v>44811</v>
      </c>
      <c r="C1721" s="4">
        <v>4.0599999999999996</v>
      </c>
      <c r="D1721" s="4">
        <v>4.0599999999999996</v>
      </c>
      <c r="E1721" s="4">
        <v>4747</v>
      </c>
      <c r="F1721" s="4">
        <v>4.0599999999999996</v>
      </c>
      <c r="G1721" s="4">
        <v>19272.82</v>
      </c>
      <c r="H1721" s="5">
        <f t="shared" si="26"/>
        <v>-4.4705882352941269E-2</v>
      </c>
    </row>
    <row r="1722" spans="1:8" ht="13.5" x14ac:dyDescent="0.25">
      <c r="A1722" s="1"/>
      <c r="B1722" s="3">
        <v>44812</v>
      </c>
      <c r="C1722" s="4">
        <v>4.0599999999999996</v>
      </c>
      <c r="D1722" s="4">
        <v>4.0599999999999996</v>
      </c>
      <c r="E1722" s="4">
        <v>0</v>
      </c>
      <c r="F1722" s="4">
        <v>0</v>
      </c>
      <c r="G1722" s="4">
        <v>0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4.0599999999999996</v>
      </c>
      <c r="D1723" s="4">
        <v>4.0599999999999996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4.1500000000000004</v>
      </c>
      <c r="D1724" s="4">
        <v>4.1500000000000004</v>
      </c>
      <c r="E1724" s="4">
        <v>1</v>
      </c>
      <c r="F1724" s="4">
        <v>4.1500000000000004</v>
      </c>
      <c r="G1724" s="4">
        <v>4.1500000000000004</v>
      </c>
      <c r="H1724" s="5">
        <f t="shared" si="26"/>
        <v>2.2167487684729249E-2</v>
      </c>
    </row>
    <row r="1725" spans="1:8" ht="13.5" x14ac:dyDescent="0.25">
      <c r="A1725" s="1"/>
      <c r="B1725" s="3">
        <v>44817</v>
      </c>
      <c r="C1725" s="4">
        <v>4.1500000000000004</v>
      </c>
      <c r="D1725" s="4">
        <v>4.1500000000000004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4.1500000000000004</v>
      </c>
      <c r="D1726" s="4">
        <v>4.1500000000000004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4.1500000000000004</v>
      </c>
      <c r="D1727" s="4">
        <v>4.1500000000000004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4.1500000000000004</v>
      </c>
      <c r="D1728" s="4">
        <v>4.1500000000000004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4.1500000000000004</v>
      </c>
      <c r="D1729" s="4">
        <v>4.1500000000000004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4.1500000000000004</v>
      </c>
      <c r="D1730" s="4">
        <v>4.1500000000000004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4.1500000000000004</v>
      </c>
      <c r="D1731" s="4">
        <v>4.1500000000000004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4.1500000000000004</v>
      </c>
      <c r="D1732" s="4">
        <v>4.1500000000000004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4.1500000000000004</v>
      </c>
      <c r="D1733" s="4">
        <v>4.1500000000000004</v>
      </c>
      <c r="E1733" s="4">
        <v>0</v>
      </c>
      <c r="F1733" s="4">
        <v>0</v>
      </c>
      <c r="G1733" s="4">
        <v>0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4.1500000000000004</v>
      </c>
      <c r="D1734" s="4">
        <v>4.1500000000000004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4.1500000000000004</v>
      </c>
      <c r="D1735" s="4">
        <v>4.1500000000000004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4.1500000000000004</v>
      </c>
      <c r="D1736" s="4">
        <v>4.1500000000000004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3.97</v>
      </c>
      <c r="D1737" s="4">
        <v>3.97</v>
      </c>
      <c r="E1737" s="4">
        <v>0</v>
      </c>
      <c r="F1737" s="4">
        <v>0</v>
      </c>
      <c r="G1737" s="4">
        <v>0</v>
      </c>
      <c r="H1737" s="5">
        <f t="shared" si="27"/>
        <v>-4.3373493975903649E-2</v>
      </c>
    </row>
    <row r="1738" spans="1:8" ht="13.5" x14ac:dyDescent="0.25">
      <c r="A1738" s="1"/>
      <c r="B1738" s="3">
        <v>44834</v>
      </c>
      <c r="C1738" s="4">
        <v>3.97</v>
      </c>
      <c r="D1738" s="4">
        <v>3.97</v>
      </c>
      <c r="E1738" s="4">
        <v>0</v>
      </c>
      <c r="F1738" s="4">
        <v>0</v>
      </c>
      <c r="G1738" s="4">
        <v>0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3.8</v>
      </c>
      <c r="D1739" s="4">
        <v>3.8</v>
      </c>
      <c r="E1739" s="4">
        <v>5</v>
      </c>
      <c r="F1739" s="4">
        <v>3.8</v>
      </c>
      <c r="G1739" s="4">
        <v>19</v>
      </c>
      <c r="H1739" s="5">
        <f t="shared" si="27"/>
        <v>-4.2821158690176414E-2</v>
      </c>
    </row>
    <row r="1740" spans="1:8" ht="13.5" x14ac:dyDescent="0.25">
      <c r="A1740" s="1"/>
      <c r="B1740" s="3">
        <v>44838</v>
      </c>
      <c r="C1740" s="4">
        <v>3.8</v>
      </c>
      <c r="D1740" s="4">
        <v>3.8</v>
      </c>
      <c r="E1740" s="4">
        <v>0</v>
      </c>
      <c r="F1740" s="4">
        <v>0</v>
      </c>
      <c r="G1740" s="4">
        <v>0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3.79</v>
      </c>
      <c r="D1741" s="4">
        <v>3.79</v>
      </c>
      <c r="E1741" s="4">
        <v>22371</v>
      </c>
      <c r="F1741" s="4">
        <v>3.79</v>
      </c>
      <c r="G1741" s="4">
        <v>84786.09</v>
      </c>
      <c r="H1741" s="5">
        <f t="shared" si="27"/>
        <v>-2.631578947368365E-3</v>
      </c>
    </row>
    <row r="1742" spans="1:8" ht="13.5" x14ac:dyDescent="0.25">
      <c r="A1742" s="1"/>
      <c r="B1742" s="3">
        <v>44840</v>
      </c>
      <c r="C1742" s="4">
        <v>3.79</v>
      </c>
      <c r="D1742" s="4">
        <v>3.79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3.79</v>
      </c>
      <c r="D1743" s="4">
        <v>3.79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3.79</v>
      </c>
      <c r="D1744" s="4">
        <v>3.79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3.77</v>
      </c>
      <c r="D1745" s="4">
        <v>3.77</v>
      </c>
      <c r="E1745" s="4">
        <v>2200</v>
      </c>
      <c r="F1745" s="4">
        <v>3.77</v>
      </c>
      <c r="G1745" s="4">
        <v>8294</v>
      </c>
      <c r="H1745" s="5">
        <f t="shared" si="27"/>
        <v>-5.2770448548812715E-3</v>
      </c>
    </row>
    <row r="1746" spans="1:8" ht="13.5" x14ac:dyDescent="0.25">
      <c r="A1746" s="1"/>
      <c r="B1746" s="3">
        <v>44846</v>
      </c>
      <c r="C1746" s="4">
        <v>3.77</v>
      </c>
      <c r="D1746" s="4">
        <v>3.77</v>
      </c>
      <c r="E1746" s="4">
        <v>0</v>
      </c>
      <c r="F1746" s="4">
        <v>0</v>
      </c>
      <c r="G1746" s="4">
        <v>0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3.77</v>
      </c>
      <c r="D1747" s="4">
        <v>3.77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3.61</v>
      </c>
      <c r="D1748" s="4">
        <v>3.61</v>
      </c>
      <c r="E1748" s="4">
        <v>0</v>
      </c>
      <c r="F1748" s="4">
        <v>0</v>
      </c>
      <c r="G1748" s="4">
        <v>0</v>
      </c>
      <c r="H1748" s="5">
        <f t="shared" si="27"/>
        <v>-4.2440318302387307E-2</v>
      </c>
    </row>
    <row r="1749" spans="1:8" ht="13.5" x14ac:dyDescent="0.25">
      <c r="A1749" s="1"/>
      <c r="B1749" s="3">
        <v>44851</v>
      </c>
      <c r="C1749" s="4">
        <v>3.61</v>
      </c>
      <c r="D1749" s="4">
        <v>3.61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3.61</v>
      </c>
      <c r="D1750" s="4">
        <v>3.61</v>
      </c>
      <c r="E1750" s="4">
        <v>15</v>
      </c>
      <c r="F1750" s="4">
        <v>3.61</v>
      </c>
      <c r="G1750" s="4">
        <v>54.15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3.61</v>
      </c>
      <c r="D1751" s="4">
        <v>3.61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3.66</v>
      </c>
      <c r="D1752" s="4">
        <v>3.66</v>
      </c>
      <c r="E1752" s="4">
        <v>1</v>
      </c>
      <c r="F1752" s="4">
        <v>3.66</v>
      </c>
      <c r="G1752" s="4">
        <v>3.66</v>
      </c>
      <c r="H1752" s="5">
        <f t="shared" si="27"/>
        <v>1.3850415512465448E-2</v>
      </c>
    </row>
    <row r="1753" spans="1:8" ht="13.5" x14ac:dyDescent="0.25">
      <c r="A1753" s="1"/>
      <c r="B1753" s="3">
        <v>44855</v>
      </c>
      <c r="C1753" s="4">
        <v>3.66</v>
      </c>
      <c r="D1753" s="4">
        <v>3.66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3.66</v>
      </c>
      <c r="D1754" s="4">
        <v>3.66</v>
      </c>
      <c r="E1754" s="4">
        <v>0</v>
      </c>
      <c r="F1754" s="4">
        <v>0</v>
      </c>
      <c r="G1754" s="4">
        <v>0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3.63</v>
      </c>
      <c r="D1755" s="4">
        <v>3.63</v>
      </c>
      <c r="E1755" s="4">
        <v>251</v>
      </c>
      <c r="F1755" s="4">
        <v>3.63</v>
      </c>
      <c r="G1755" s="4">
        <v>911.13</v>
      </c>
      <c r="H1755" s="5">
        <f t="shared" si="27"/>
        <v>-8.1967213114754779E-3</v>
      </c>
    </row>
    <row r="1756" spans="1:8" ht="13.5" x14ac:dyDescent="0.25">
      <c r="A1756" s="1"/>
      <c r="B1756" s="3">
        <v>44860</v>
      </c>
      <c r="C1756" s="4">
        <v>3.5</v>
      </c>
      <c r="D1756" s="4">
        <v>3.5</v>
      </c>
      <c r="E1756" s="4">
        <v>512</v>
      </c>
      <c r="F1756" s="4">
        <v>3.5</v>
      </c>
      <c r="G1756" s="4">
        <v>1792</v>
      </c>
      <c r="H1756" s="5">
        <f t="shared" si="27"/>
        <v>-3.5812672176308513E-2</v>
      </c>
    </row>
    <row r="1757" spans="1:8" ht="13.5" x14ac:dyDescent="0.25">
      <c r="A1757" s="1"/>
      <c r="B1757" s="3">
        <v>44861</v>
      </c>
      <c r="C1757" s="4">
        <v>3.47</v>
      </c>
      <c r="D1757" s="4">
        <v>3.47</v>
      </c>
      <c r="E1757" s="4">
        <v>1666</v>
      </c>
      <c r="F1757" s="4">
        <v>3.47</v>
      </c>
      <c r="G1757" s="4">
        <v>5781.02</v>
      </c>
      <c r="H1757" s="5">
        <f t="shared" si="27"/>
        <v>-8.5714285714285163E-3</v>
      </c>
    </row>
    <row r="1758" spans="1:8" ht="13.5" x14ac:dyDescent="0.25">
      <c r="A1758" s="1"/>
      <c r="B1758" s="3">
        <v>44862</v>
      </c>
      <c r="C1758" s="4">
        <v>3.44</v>
      </c>
      <c r="D1758" s="4">
        <v>3.44</v>
      </c>
      <c r="E1758" s="4">
        <v>5</v>
      </c>
      <c r="F1758" s="4">
        <v>3.44</v>
      </c>
      <c r="G1758" s="4">
        <v>17.2</v>
      </c>
      <c r="H1758" s="5">
        <f t="shared" si="27"/>
        <v>-8.6455331412104465E-3</v>
      </c>
    </row>
    <row r="1759" spans="1:8" ht="13.5" x14ac:dyDescent="0.25">
      <c r="A1759" s="1"/>
      <c r="B1759" s="3">
        <v>44865</v>
      </c>
      <c r="C1759" s="4">
        <v>3.59</v>
      </c>
      <c r="D1759" s="4">
        <v>3.59</v>
      </c>
      <c r="E1759" s="4">
        <v>160</v>
      </c>
      <c r="F1759" s="4">
        <v>3.59</v>
      </c>
      <c r="G1759" s="4">
        <v>574.4</v>
      </c>
      <c r="H1759" s="5">
        <f t="shared" si="27"/>
        <v>4.3604651162790671E-2</v>
      </c>
    </row>
    <row r="1760" spans="1:8" ht="13.5" x14ac:dyDescent="0.25">
      <c r="A1760" s="1"/>
      <c r="B1760" s="3">
        <v>44866</v>
      </c>
      <c r="C1760" s="4">
        <v>3.59</v>
      </c>
      <c r="D1760" s="4">
        <v>3.59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3.43</v>
      </c>
      <c r="D1761" s="4">
        <v>3.43</v>
      </c>
      <c r="E1761" s="4">
        <v>0</v>
      </c>
      <c r="F1761" s="4">
        <v>0</v>
      </c>
      <c r="G1761" s="4">
        <v>0</v>
      </c>
      <c r="H1761" s="5">
        <f t="shared" si="27"/>
        <v>-4.4568245125348106E-2</v>
      </c>
    </row>
    <row r="1762" spans="1:8" ht="13.5" x14ac:dyDescent="0.25">
      <c r="A1762" s="1"/>
      <c r="B1762" s="3">
        <v>44868</v>
      </c>
      <c r="C1762" s="4">
        <v>3.35</v>
      </c>
      <c r="D1762" s="4">
        <v>3.35</v>
      </c>
      <c r="E1762" s="4">
        <v>5</v>
      </c>
      <c r="F1762" s="4">
        <v>3.35</v>
      </c>
      <c r="G1762" s="4">
        <v>16.75</v>
      </c>
      <c r="H1762" s="5">
        <f t="shared" si="27"/>
        <v>-2.3323615160349875E-2</v>
      </c>
    </row>
    <row r="1763" spans="1:8" ht="13.5" x14ac:dyDescent="0.25">
      <c r="A1763" s="1"/>
      <c r="B1763" s="3">
        <v>44869</v>
      </c>
      <c r="C1763" s="4">
        <v>3.21</v>
      </c>
      <c r="D1763" s="4">
        <v>3.21</v>
      </c>
      <c r="E1763" s="4">
        <v>37</v>
      </c>
      <c r="F1763" s="4">
        <v>3.21</v>
      </c>
      <c r="G1763" s="4">
        <v>118.77</v>
      </c>
      <c r="H1763" s="5">
        <f t="shared" si="27"/>
        <v>-4.1791044776119439E-2</v>
      </c>
    </row>
    <row r="1764" spans="1:8" ht="13.5" x14ac:dyDescent="0.25">
      <c r="A1764" s="1"/>
      <c r="B1764" s="3">
        <v>44872</v>
      </c>
      <c r="C1764" s="4">
        <v>3.07</v>
      </c>
      <c r="D1764" s="4">
        <v>3.07</v>
      </c>
      <c r="E1764" s="4">
        <v>0</v>
      </c>
      <c r="F1764" s="4">
        <v>0</v>
      </c>
      <c r="G1764" s="4">
        <v>0</v>
      </c>
      <c r="H1764" s="5">
        <f t="shared" si="27"/>
        <v>-4.3613707165109074E-2</v>
      </c>
    </row>
    <row r="1765" spans="1:8" ht="13.5" x14ac:dyDescent="0.25">
      <c r="A1765" s="1"/>
      <c r="B1765" s="3">
        <v>44873</v>
      </c>
      <c r="C1765" s="4">
        <v>3.15</v>
      </c>
      <c r="D1765" s="4">
        <v>3.15</v>
      </c>
      <c r="E1765" s="4">
        <v>1758</v>
      </c>
      <c r="F1765" s="4">
        <v>3.15</v>
      </c>
      <c r="G1765" s="4">
        <v>5537.7</v>
      </c>
      <c r="H1765" s="5">
        <f t="shared" si="27"/>
        <v>2.605863192182413E-2</v>
      </c>
    </row>
    <row r="1766" spans="1:8" ht="13.5" x14ac:dyDescent="0.25">
      <c r="A1766" s="1"/>
      <c r="B1766" s="3">
        <v>44874</v>
      </c>
      <c r="C1766" s="4">
        <v>3.29</v>
      </c>
      <c r="D1766" s="4">
        <v>3.29</v>
      </c>
      <c r="E1766" s="4">
        <v>500</v>
      </c>
      <c r="F1766" s="4">
        <v>3.29</v>
      </c>
      <c r="G1766" s="4">
        <v>1645</v>
      </c>
      <c r="H1766" s="5">
        <f t="shared" si="27"/>
        <v>4.4444444444444488E-2</v>
      </c>
    </row>
    <row r="1767" spans="1:8" ht="13.5" x14ac:dyDescent="0.25">
      <c r="A1767" s="1"/>
      <c r="B1767" s="3">
        <v>44875</v>
      </c>
      <c r="C1767" s="4">
        <v>3.15</v>
      </c>
      <c r="D1767" s="4">
        <v>3.15</v>
      </c>
      <c r="E1767" s="4">
        <v>9656</v>
      </c>
      <c r="F1767" s="4">
        <v>3.15</v>
      </c>
      <c r="G1767" s="4">
        <v>30416.400000000001</v>
      </c>
      <c r="H1767" s="5">
        <f t="shared" si="27"/>
        <v>-4.2553191489361743E-2</v>
      </c>
    </row>
    <row r="1768" spans="1:8" ht="13.5" x14ac:dyDescent="0.25">
      <c r="A1768" s="1"/>
      <c r="B1768" s="3">
        <v>44876</v>
      </c>
      <c r="C1768" s="4">
        <v>3.15</v>
      </c>
      <c r="D1768" s="4">
        <v>3.15</v>
      </c>
      <c r="E1768" s="4">
        <v>10354</v>
      </c>
      <c r="F1768" s="4">
        <v>3.15</v>
      </c>
      <c r="G1768" s="4">
        <v>32615.1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3.15</v>
      </c>
      <c r="D1769" s="4">
        <v>3.15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3.15</v>
      </c>
      <c r="D1770" s="4">
        <v>3.15</v>
      </c>
      <c r="E1770" s="4">
        <v>4915</v>
      </c>
      <c r="F1770" s="4">
        <v>3.15</v>
      </c>
      <c r="G1770" s="4">
        <v>15482.25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3.15</v>
      </c>
      <c r="D1771" s="4">
        <v>3.15</v>
      </c>
      <c r="E1771" s="4">
        <v>0</v>
      </c>
      <c r="F1771" s="4">
        <v>0</v>
      </c>
      <c r="G1771" s="4">
        <v>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3.15</v>
      </c>
      <c r="D1772" s="4">
        <v>3.15</v>
      </c>
      <c r="E1772" s="4">
        <v>20686</v>
      </c>
      <c r="F1772" s="4">
        <v>3.15</v>
      </c>
      <c r="G1772" s="4">
        <v>65160.9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3.29</v>
      </c>
      <c r="D1773" s="4">
        <v>3.29</v>
      </c>
      <c r="E1773" s="4">
        <v>1</v>
      </c>
      <c r="F1773" s="4">
        <v>3.29</v>
      </c>
      <c r="G1773" s="4">
        <v>3.29</v>
      </c>
      <c r="H1773" s="5">
        <f t="shared" si="27"/>
        <v>4.4444444444444488E-2</v>
      </c>
    </row>
    <row r="1774" spans="1:8" ht="13.5" x14ac:dyDescent="0.25">
      <c r="A1774" s="1"/>
      <c r="B1774" s="3">
        <v>44886</v>
      </c>
      <c r="C1774" s="4">
        <v>3.2</v>
      </c>
      <c r="D1774" s="4">
        <v>3.2</v>
      </c>
      <c r="E1774" s="4">
        <v>1001</v>
      </c>
      <c r="F1774" s="4">
        <v>3.2</v>
      </c>
      <c r="G1774" s="4">
        <v>3203.2</v>
      </c>
      <c r="H1774" s="5">
        <f t="shared" si="27"/>
        <v>-2.7355623100303907E-2</v>
      </c>
    </row>
    <row r="1775" spans="1:8" ht="13.5" x14ac:dyDescent="0.25">
      <c r="A1775" s="1"/>
      <c r="B1775" s="3">
        <v>44887</v>
      </c>
      <c r="C1775" s="4">
        <v>3.2</v>
      </c>
      <c r="D1775" s="4">
        <v>3.2</v>
      </c>
      <c r="E1775" s="4">
        <v>6513</v>
      </c>
      <c r="F1775" s="4">
        <v>3.2</v>
      </c>
      <c r="G1775" s="4">
        <v>20841.599999999999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3.34</v>
      </c>
      <c r="D1776" s="4">
        <v>3.34</v>
      </c>
      <c r="E1776" s="4">
        <v>0</v>
      </c>
      <c r="F1776" s="4">
        <v>0</v>
      </c>
      <c r="G1776" s="4">
        <v>0</v>
      </c>
      <c r="H1776" s="5">
        <f t="shared" si="27"/>
        <v>4.37499999999999E-2</v>
      </c>
    </row>
    <row r="1777" spans="1:8" ht="13.5" x14ac:dyDescent="0.25">
      <c r="A1777" s="1"/>
      <c r="B1777" s="3">
        <v>44889</v>
      </c>
      <c r="C1777" s="4">
        <v>3.2</v>
      </c>
      <c r="D1777" s="4">
        <v>3.2</v>
      </c>
      <c r="E1777" s="4">
        <v>2495</v>
      </c>
      <c r="F1777" s="4">
        <v>3.2</v>
      </c>
      <c r="G1777" s="4">
        <v>7984</v>
      </c>
      <c r="H1777" s="5">
        <f t="shared" si="27"/>
        <v>-4.1916167664670566E-2</v>
      </c>
    </row>
    <row r="1778" spans="1:8" ht="13.5" x14ac:dyDescent="0.25">
      <c r="A1778" s="1"/>
      <c r="B1778" s="3">
        <v>44890</v>
      </c>
      <c r="C1778" s="4">
        <v>3.2</v>
      </c>
      <c r="D1778" s="4">
        <v>3.2</v>
      </c>
      <c r="E1778" s="4">
        <v>16515</v>
      </c>
      <c r="F1778" s="4">
        <v>3.2</v>
      </c>
      <c r="G1778" s="4">
        <v>52848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3.34</v>
      </c>
      <c r="D1779" s="4">
        <v>3.34</v>
      </c>
      <c r="E1779" s="4">
        <v>0</v>
      </c>
      <c r="F1779" s="4">
        <v>0</v>
      </c>
      <c r="G1779" s="4">
        <v>0</v>
      </c>
      <c r="H1779" s="5">
        <f t="shared" si="27"/>
        <v>4.37499999999999E-2</v>
      </c>
    </row>
    <row r="1780" spans="1:8" ht="13.5" x14ac:dyDescent="0.25">
      <c r="A1780" s="1"/>
      <c r="B1780" s="3">
        <v>44894</v>
      </c>
      <c r="C1780" s="4">
        <v>3.47</v>
      </c>
      <c r="D1780" s="4">
        <v>3.47</v>
      </c>
      <c r="E1780" s="4">
        <v>1</v>
      </c>
      <c r="F1780" s="4">
        <v>3.47</v>
      </c>
      <c r="G1780" s="4">
        <v>3.47</v>
      </c>
      <c r="H1780" s="5">
        <f t="shared" si="27"/>
        <v>3.892215568862286E-2</v>
      </c>
    </row>
    <row r="1781" spans="1:8" ht="13.5" x14ac:dyDescent="0.25">
      <c r="A1781" s="1"/>
      <c r="B1781" s="3">
        <v>44895</v>
      </c>
      <c r="C1781" s="4">
        <v>3.47</v>
      </c>
      <c r="D1781" s="4">
        <v>3.47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3.47</v>
      </c>
      <c r="D1782" s="4">
        <v>3.47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3.51</v>
      </c>
      <c r="D1783" s="4">
        <v>3.51</v>
      </c>
      <c r="E1783" s="4">
        <v>255</v>
      </c>
      <c r="F1783" s="4">
        <v>3.51</v>
      </c>
      <c r="G1783" s="4">
        <v>895.05</v>
      </c>
      <c r="H1783" s="5">
        <f t="shared" si="27"/>
        <v>1.1527377521613714E-2</v>
      </c>
    </row>
    <row r="1784" spans="1:8" ht="13.5" x14ac:dyDescent="0.25">
      <c r="A1784" s="1"/>
      <c r="B1784" s="3">
        <v>44900</v>
      </c>
      <c r="C1784" s="4">
        <v>3.51</v>
      </c>
      <c r="D1784" s="4">
        <v>3.51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3.51</v>
      </c>
      <c r="D1785" s="4">
        <v>3.51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3.51</v>
      </c>
      <c r="D1786" s="4">
        <v>3.51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3.51</v>
      </c>
      <c r="D1787" s="4">
        <v>3.51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3.51</v>
      </c>
      <c r="D1788" s="4">
        <v>3.51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3.36</v>
      </c>
      <c r="D1789" s="4">
        <v>3.36</v>
      </c>
      <c r="E1789" s="4">
        <v>0</v>
      </c>
      <c r="F1789" s="4">
        <v>0</v>
      </c>
      <c r="G1789" s="4">
        <v>0</v>
      </c>
      <c r="H1789" s="5">
        <f t="shared" si="27"/>
        <v>-4.2735042735042715E-2</v>
      </c>
    </row>
    <row r="1790" spans="1:8" ht="13.5" x14ac:dyDescent="0.25">
      <c r="A1790" s="1"/>
      <c r="B1790" s="3">
        <v>44908</v>
      </c>
      <c r="C1790" s="4">
        <v>3.36</v>
      </c>
      <c r="D1790" s="4">
        <v>3.36</v>
      </c>
      <c r="E1790" s="4">
        <v>210</v>
      </c>
      <c r="F1790" s="4">
        <v>3.36</v>
      </c>
      <c r="G1790" s="4">
        <v>705.6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3.36</v>
      </c>
      <c r="D1791" s="4">
        <v>3.36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3.36</v>
      </c>
      <c r="D1792" s="4">
        <v>3.36</v>
      </c>
      <c r="E1792" s="4">
        <v>0</v>
      </c>
      <c r="F1792" s="4">
        <v>0</v>
      </c>
      <c r="G1792" s="4">
        <v>0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3.36</v>
      </c>
      <c r="D1793" s="4">
        <v>3.36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3.36</v>
      </c>
      <c r="D1794" s="4">
        <v>3.36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3.36</v>
      </c>
      <c r="D1795" s="4">
        <v>3.36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3.25</v>
      </c>
      <c r="D1796" s="4">
        <v>3.25</v>
      </c>
      <c r="E1796" s="4">
        <v>3000</v>
      </c>
      <c r="F1796" s="4">
        <v>3.25</v>
      </c>
      <c r="G1796" s="4">
        <v>9750</v>
      </c>
      <c r="H1796" s="5">
        <f t="shared" si="27"/>
        <v>-3.2738095238095205E-2</v>
      </c>
    </row>
    <row r="1797" spans="1:8" ht="13.5" x14ac:dyDescent="0.25">
      <c r="A1797" s="1"/>
      <c r="B1797" s="3">
        <v>44917</v>
      </c>
      <c r="C1797" s="4">
        <v>3.15</v>
      </c>
      <c r="D1797" s="4">
        <v>3.15</v>
      </c>
      <c r="E1797" s="4">
        <v>2350</v>
      </c>
      <c r="F1797" s="4">
        <v>3.15</v>
      </c>
      <c r="G1797" s="4">
        <v>7402.5</v>
      </c>
      <c r="H1797" s="5">
        <f t="shared" si="27"/>
        <v>-3.0769230769230795E-2</v>
      </c>
    </row>
    <row r="1798" spans="1:8" ht="13.5" x14ac:dyDescent="0.25">
      <c r="A1798" s="1"/>
      <c r="B1798" s="3">
        <v>44918</v>
      </c>
      <c r="C1798" s="4">
        <v>3.29</v>
      </c>
      <c r="D1798" s="4">
        <v>3.29</v>
      </c>
      <c r="E1798" s="4">
        <v>1</v>
      </c>
      <c r="F1798" s="4">
        <v>3.29</v>
      </c>
      <c r="G1798" s="4">
        <v>3.29</v>
      </c>
      <c r="H1798" s="5">
        <f t="shared" si="27"/>
        <v>4.4444444444444488E-2</v>
      </c>
    </row>
    <row r="1799" spans="1:8" ht="13.5" x14ac:dyDescent="0.25">
      <c r="A1799" s="1"/>
      <c r="B1799" s="3">
        <v>44921</v>
      </c>
      <c r="C1799" s="4">
        <v>3.29</v>
      </c>
      <c r="D1799" s="4">
        <v>3.29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3.29</v>
      </c>
      <c r="D1800" s="4">
        <v>3.29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3.36</v>
      </c>
      <c r="D1801" s="4">
        <v>3.36</v>
      </c>
      <c r="E1801" s="4">
        <v>1</v>
      </c>
      <c r="F1801" s="4">
        <v>3.36</v>
      </c>
      <c r="G1801" s="4">
        <v>3.36</v>
      </c>
      <c r="H1801" s="5">
        <f t="shared" si="28"/>
        <v>2.1276595744680802E-2</v>
      </c>
    </row>
    <row r="1802" spans="1:8" ht="13.5" x14ac:dyDescent="0.25">
      <c r="A1802" s="1"/>
      <c r="B1802" s="3">
        <v>44924</v>
      </c>
      <c r="C1802" s="4">
        <v>3.36</v>
      </c>
      <c r="D1802" s="4">
        <v>3.36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3.4</v>
      </c>
      <c r="D1803" s="4">
        <v>3.4</v>
      </c>
      <c r="E1803" s="4">
        <v>10</v>
      </c>
      <c r="F1803" s="4">
        <v>3.4</v>
      </c>
      <c r="G1803" s="4">
        <v>34</v>
      </c>
      <c r="H1803" s="5">
        <f t="shared" si="28"/>
        <v>1.1904761904761916E-2</v>
      </c>
    </row>
    <row r="1804" spans="1:8" ht="13.5" x14ac:dyDescent="0.25">
      <c r="A1804" s="1"/>
      <c r="B1804" s="3">
        <v>44928</v>
      </c>
      <c r="C1804" s="4">
        <v>3.4</v>
      </c>
      <c r="D1804" s="4">
        <v>3.4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3.4</v>
      </c>
      <c r="D1805" s="4">
        <v>3.4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3.4</v>
      </c>
      <c r="D1806" s="4">
        <v>3.4</v>
      </c>
      <c r="E1806" s="4">
        <v>0</v>
      </c>
      <c r="F1806" s="4">
        <v>0</v>
      </c>
      <c r="G1806" s="4">
        <v>0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3.4</v>
      </c>
      <c r="D1807" s="4">
        <v>3.4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3.4</v>
      </c>
      <c r="D1808" s="4">
        <v>3.4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3.4</v>
      </c>
      <c r="D1809" s="4">
        <v>3.4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3.4</v>
      </c>
      <c r="D1810" s="4">
        <v>3.4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3.4</v>
      </c>
      <c r="D1811" s="4">
        <v>3.4</v>
      </c>
      <c r="E1811" s="4">
        <v>0</v>
      </c>
      <c r="F1811" s="4">
        <v>0</v>
      </c>
      <c r="G1811" s="4">
        <v>0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3.4</v>
      </c>
      <c r="D1812" s="4">
        <v>3.4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3.4</v>
      </c>
      <c r="D1813" s="4">
        <v>3.4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3.4</v>
      </c>
      <c r="D1814" s="4">
        <v>3.4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3.25</v>
      </c>
      <c r="D1815" s="4">
        <v>3.25</v>
      </c>
      <c r="E1815" s="4">
        <v>0</v>
      </c>
      <c r="F1815" s="4">
        <v>0</v>
      </c>
      <c r="G1815" s="4">
        <v>0</v>
      </c>
      <c r="H1815" s="5">
        <f t="shared" si="28"/>
        <v>-4.4117647058823505E-2</v>
      </c>
    </row>
    <row r="1816" spans="1:8" ht="13.5" x14ac:dyDescent="0.25">
      <c r="A1816" s="1"/>
      <c r="B1816" s="3">
        <v>44944</v>
      </c>
      <c r="C1816" s="4">
        <v>3.25</v>
      </c>
      <c r="D1816" s="4">
        <v>3.25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3.35</v>
      </c>
      <c r="D1817" s="4">
        <v>3.35</v>
      </c>
      <c r="E1817" s="4">
        <v>1</v>
      </c>
      <c r="F1817" s="4">
        <v>3.35</v>
      </c>
      <c r="G1817" s="4">
        <v>3.35</v>
      </c>
      <c r="H1817" s="5">
        <f t="shared" si="28"/>
        <v>3.0769230769230795E-2</v>
      </c>
    </row>
    <row r="1818" spans="1:8" ht="13.5" x14ac:dyDescent="0.25">
      <c r="A1818" s="1"/>
      <c r="B1818" s="3">
        <v>44946</v>
      </c>
      <c r="C1818" s="4">
        <v>3.2</v>
      </c>
      <c r="D1818" s="4">
        <v>3.2</v>
      </c>
      <c r="E1818" s="4">
        <v>2570</v>
      </c>
      <c r="F1818" s="4">
        <v>3.2</v>
      </c>
      <c r="G1818" s="4">
        <v>8224</v>
      </c>
      <c r="H1818" s="5">
        <f t="shared" si="28"/>
        <v>-4.4776119402985044E-2</v>
      </c>
    </row>
    <row r="1819" spans="1:8" ht="13.5" x14ac:dyDescent="0.25">
      <c r="A1819" s="1"/>
      <c r="B1819" s="3">
        <v>44949</v>
      </c>
      <c r="C1819" s="4">
        <v>3.14</v>
      </c>
      <c r="D1819" s="4">
        <v>3.14</v>
      </c>
      <c r="E1819" s="4">
        <v>509</v>
      </c>
      <c r="F1819" s="4">
        <v>3.14</v>
      </c>
      <c r="G1819" s="4">
        <v>1598.26</v>
      </c>
      <c r="H1819" s="5">
        <f t="shared" si="28"/>
        <v>-1.8750000000000017E-2</v>
      </c>
    </row>
    <row r="1820" spans="1:8" ht="13.5" x14ac:dyDescent="0.25">
      <c r="A1820" s="1"/>
      <c r="B1820" s="3">
        <v>44950</v>
      </c>
      <c r="C1820" s="4">
        <v>3.14</v>
      </c>
      <c r="D1820" s="4">
        <v>3.14</v>
      </c>
      <c r="E1820" s="4">
        <v>0</v>
      </c>
      <c r="F1820" s="4">
        <v>0</v>
      </c>
      <c r="G1820" s="4">
        <v>0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3.14</v>
      </c>
      <c r="D1821" s="4">
        <v>3.14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3.14</v>
      </c>
      <c r="D1822" s="4">
        <v>3.14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3.14</v>
      </c>
      <c r="D1823" s="4">
        <v>3.14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3.14</v>
      </c>
      <c r="D1824" s="4">
        <v>3.14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3.28</v>
      </c>
      <c r="D1825" s="4">
        <v>3.28</v>
      </c>
      <c r="E1825" s="4">
        <v>0</v>
      </c>
      <c r="F1825" s="4">
        <v>0</v>
      </c>
      <c r="G1825" s="4">
        <v>0</v>
      </c>
      <c r="H1825" s="5">
        <f t="shared" si="28"/>
        <v>4.458598726114639E-2</v>
      </c>
    </row>
    <row r="1826" spans="1:8" ht="13.5" x14ac:dyDescent="0.25">
      <c r="A1826" s="1"/>
      <c r="B1826" s="3">
        <v>44958</v>
      </c>
      <c r="C1826" s="4">
        <v>3.28</v>
      </c>
      <c r="D1826" s="4">
        <v>3.28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3.28</v>
      </c>
      <c r="D1827" s="4">
        <v>3.28</v>
      </c>
      <c r="E1827" s="4">
        <v>0</v>
      </c>
      <c r="F1827" s="4">
        <v>0</v>
      </c>
      <c r="G1827" s="4">
        <v>0</v>
      </c>
      <c r="H1827" s="5">
        <f t="shared" si="28"/>
        <v>0</v>
      </c>
    </row>
    <row r="1828" spans="1:8" ht="13.5" x14ac:dyDescent="0.25">
      <c r="A1828" s="1"/>
      <c r="B1828" s="3">
        <v>44960</v>
      </c>
      <c r="C1828" s="4">
        <v>3.28</v>
      </c>
      <c r="D1828" s="4">
        <v>3.28</v>
      </c>
      <c r="E1828" s="4">
        <v>0</v>
      </c>
      <c r="F1828" s="4">
        <v>0</v>
      </c>
      <c r="G1828" s="4">
        <v>0</v>
      </c>
      <c r="H1828" s="5">
        <f t="shared" si="28"/>
        <v>0</v>
      </c>
    </row>
    <row r="1829" spans="1:8" ht="13.5" x14ac:dyDescent="0.25">
      <c r="A1829" s="1"/>
      <c r="B1829" s="3">
        <v>44963</v>
      </c>
      <c r="C1829" s="4">
        <v>3.28</v>
      </c>
      <c r="D1829" s="4">
        <v>3.28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3.28</v>
      </c>
      <c r="D1830" s="4">
        <v>3.28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3.28</v>
      </c>
      <c r="D1831" s="4">
        <v>3.28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3.28</v>
      </c>
      <c r="D1832" s="4">
        <v>3.28</v>
      </c>
      <c r="E1832" s="4">
        <v>0</v>
      </c>
      <c r="F1832" s="4">
        <v>0</v>
      </c>
      <c r="G1832" s="4">
        <v>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3.28</v>
      </c>
      <c r="D1833" s="4">
        <v>3.28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3.28</v>
      </c>
      <c r="D1834" s="4">
        <v>3.28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3.28</v>
      </c>
      <c r="D1835" s="4">
        <v>3.28</v>
      </c>
      <c r="E1835" s="4">
        <v>0</v>
      </c>
      <c r="F1835" s="4">
        <v>0</v>
      </c>
      <c r="G1835" s="4">
        <v>0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3.28</v>
      </c>
      <c r="D1836" s="4">
        <v>3.28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3.28</v>
      </c>
      <c r="D1837" s="4">
        <v>3.28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3.25</v>
      </c>
      <c r="D1838" s="4">
        <v>3.25</v>
      </c>
      <c r="E1838" s="4">
        <v>137700</v>
      </c>
      <c r="F1838" s="4">
        <v>3.25</v>
      </c>
      <c r="G1838" s="4">
        <v>447525</v>
      </c>
      <c r="H1838" s="5">
        <f t="shared" si="28"/>
        <v>-9.1463414634145746E-3</v>
      </c>
    </row>
    <row r="1839" spans="1:8" ht="13.5" x14ac:dyDescent="0.25">
      <c r="A1839" s="1"/>
      <c r="B1839" s="3">
        <v>44977</v>
      </c>
      <c r="C1839" s="4">
        <v>3.25</v>
      </c>
      <c r="D1839" s="4">
        <v>3.25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3.25</v>
      </c>
      <c r="D1840" s="4">
        <v>3.25</v>
      </c>
      <c r="E1840" s="4">
        <v>503</v>
      </c>
      <c r="F1840" s="4">
        <v>3.25</v>
      </c>
      <c r="G1840" s="4">
        <v>1634.75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3.25</v>
      </c>
      <c r="D1841" s="4">
        <v>3.25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3.25</v>
      </c>
      <c r="D1842" s="4">
        <v>3.25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3.25</v>
      </c>
      <c r="D1843" s="4">
        <v>3.25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3.25</v>
      </c>
      <c r="D1844" s="4">
        <v>3.25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3.3</v>
      </c>
      <c r="D1845" s="4">
        <v>3.3</v>
      </c>
      <c r="E1845" s="4">
        <v>1</v>
      </c>
      <c r="F1845" s="4">
        <v>3.3</v>
      </c>
      <c r="G1845" s="4">
        <v>3.3</v>
      </c>
      <c r="H1845" s="5">
        <f t="shared" si="28"/>
        <v>1.538461538461533E-2</v>
      </c>
    </row>
    <row r="1846" spans="1:8" ht="13.5" x14ac:dyDescent="0.25">
      <c r="A1846" s="1"/>
      <c r="B1846" s="3">
        <v>44986</v>
      </c>
      <c r="C1846" s="4">
        <v>3.3</v>
      </c>
      <c r="D1846" s="4">
        <v>3.3</v>
      </c>
      <c r="E1846" s="4">
        <v>2500</v>
      </c>
      <c r="F1846" s="4">
        <v>3.3</v>
      </c>
      <c r="G1846" s="4">
        <v>8250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3.3</v>
      </c>
      <c r="D1847" s="4">
        <v>3.3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3.3</v>
      </c>
      <c r="D1848" s="4">
        <v>3.3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3.3</v>
      </c>
      <c r="D1849" s="4">
        <v>3.3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3.39</v>
      </c>
      <c r="D1850" s="4">
        <v>3.39</v>
      </c>
      <c r="E1850" s="4">
        <v>1</v>
      </c>
      <c r="F1850" s="4">
        <v>3.39</v>
      </c>
      <c r="G1850" s="4">
        <v>3.39</v>
      </c>
      <c r="H1850" s="5">
        <f t="shared" si="28"/>
        <v>2.7272727272727365E-2</v>
      </c>
    </row>
    <row r="1851" spans="1:8" ht="13.5" x14ac:dyDescent="0.25">
      <c r="A1851" s="1"/>
      <c r="B1851" s="3">
        <v>44993</v>
      </c>
      <c r="C1851" s="4">
        <v>3.39</v>
      </c>
      <c r="D1851" s="4">
        <v>3.39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3.25</v>
      </c>
      <c r="D1852" s="4">
        <v>3.25</v>
      </c>
      <c r="E1852" s="4">
        <v>6752</v>
      </c>
      <c r="F1852" s="4">
        <v>3.25</v>
      </c>
      <c r="G1852" s="4">
        <v>21944</v>
      </c>
      <c r="H1852" s="5">
        <f t="shared" si="28"/>
        <v>-4.1297935103244872E-2</v>
      </c>
    </row>
    <row r="1853" spans="1:8" ht="13.5" x14ac:dyDescent="0.25">
      <c r="A1853" s="1"/>
      <c r="B1853" s="3">
        <v>44995</v>
      </c>
      <c r="C1853" s="4">
        <v>3.25</v>
      </c>
      <c r="D1853" s="4">
        <v>3.25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3.11</v>
      </c>
      <c r="D1854" s="4">
        <v>3.11</v>
      </c>
      <c r="E1854" s="4">
        <v>0</v>
      </c>
      <c r="F1854" s="4">
        <v>0</v>
      </c>
      <c r="G1854" s="4">
        <v>0</v>
      </c>
      <c r="H1854" s="5">
        <f t="shared" si="28"/>
        <v>-4.3076923076923117E-2</v>
      </c>
    </row>
    <row r="1855" spans="1:8" ht="13.5" x14ac:dyDescent="0.25">
      <c r="A1855" s="1"/>
      <c r="B1855" s="3">
        <v>44999</v>
      </c>
      <c r="C1855" s="4">
        <v>2.98</v>
      </c>
      <c r="D1855" s="4">
        <v>2.98</v>
      </c>
      <c r="E1855" s="4">
        <v>0</v>
      </c>
      <c r="F1855" s="4">
        <v>0</v>
      </c>
      <c r="G1855" s="4">
        <v>0</v>
      </c>
      <c r="H1855" s="5">
        <f t="shared" si="28"/>
        <v>-4.1800643086816684E-2</v>
      </c>
    </row>
    <row r="1856" spans="1:8" ht="13.5" x14ac:dyDescent="0.25">
      <c r="A1856" s="1"/>
      <c r="B1856" s="3">
        <v>45000</v>
      </c>
      <c r="C1856" s="4">
        <v>2.85</v>
      </c>
      <c r="D1856" s="4">
        <v>2.85</v>
      </c>
      <c r="E1856" s="4">
        <v>0</v>
      </c>
      <c r="F1856" s="4">
        <v>0</v>
      </c>
      <c r="G1856" s="4">
        <v>0</v>
      </c>
      <c r="H1856" s="5">
        <f t="shared" si="28"/>
        <v>-4.3624161073825468E-2</v>
      </c>
    </row>
    <row r="1857" spans="1:8" ht="13.5" x14ac:dyDescent="0.25">
      <c r="A1857" s="1"/>
      <c r="B1857" s="3">
        <v>45001</v>
      </c>
      <c r="C1857" s="4">
        <v>2.73</v>
      </c>
      <c r="D1857" s="4">
        <v>2.73</v>
      </c>
      <c r="E1857" s="4">
        <v>0</v>
      </c>
      <c r="F1857" s="4">
        <v>0</v>
      </c>
      <c r="G1857" s="4">
        <v>0</v>
      </c>
      <c r="H1857" s="5">
        <f t="shared" si="28"/>
        <v>-4.2105263157894771E-2</v>
      </c>
    </row>
    <row r="1858" spans="1:8" ht="13.5" x14ac:dyDescent="0.25">
      <c r="A1858" s="1"/>
      <c r="B1858" s="3">
        <v>45002</v>
      </c>
      <c r="C1858" s="4">
        <v>2.61</v>
      </c>
      <c r="D1858" s="4">
        <v>2.61</v>
      </c>
      <c r="E1858" s="4">
        <v>3310</v>
      </c>
      <c r="F1858" s="4">
        <v>2.61</v>
      </c>
      <c r="G1858" s="4">
        <v>8639.1</v>
      </c>
      <c r="H1858" s="5">
        <f t="shared" si="28"/>
        <v>-4.3956043956043994E-2</v>
      </c>
    </row>
    <row r="1859" spans="1:8" ht="13.5" x14ac:dyDescent="0.25">
      <c r="A1859" s="1"/>
      <c r="B1859" s="3">
        <v>45006</v>
      </c>
      <c r="C1859" s="4">
        <v>2.72</v>
      </c>
      <c r="D1859" s="4">
        <v>2.72</v>
      </c>
      <c r="E1859" s="4">
        <v>0</v>
      </c>
      <c r="F1859" s="4">
        <v>0</v>
      </c>
      <c r="G1859" s="4">
        <v>0</v>
      </c>
      <c r="H1859" s="5">
        <f t="shared" si="28"/>
        <v>4.2145593869731927E-2</v>
      </c>
    </row>
    <row r="1860" spans="1:8" ht="13.5" x14ac:dyDescent="0.25">
      <c r="A1860" s="1"/>
      <c r="B1860" s="3">
        <v>45007</v>
      </c>
      <c r="C1860" s="4">
        <v>2.84</v>
      </c>
      <c r="D1860" s="4">
        <v>2.84</v>
      </c>
      <c r="E1860" s="4">
        <v>0</v>
      </c>
      <c r="F1860" s="4">
        <v>0</v>
      </c>
      <c r="G1860" s="4">
        <v>0</v>
      </c>
      <c r="H1860" s="5">
        <f t="shared" si="28"/>
        <v>4.41176470588234E-2</v>
      </c>
    </row>
    <row r="1861" spans="1:8" ht="13.5" x14ac:dyDescent="0.25">
      <c r="A1861" s="1"/>
      <c r="B1861" s="3">
        <v>45008</v>
      </c>
      <c r="C1861" s="4">
        <v>2.96</v>
      </c>
      <c r="D1861" s="4">
        <v>2.96</v>
      </c>
      <c r="E1861" s="4">
        <v>0</v>
      </c>
      <c r="F1861" s="4">
        <v>0</v>
      </c>
      <c r="G1861" s="4">
        <v>0</v>
      </c>
      <c r="H1861" s="5">
        <f t="shared" si="28"/>
        <v>4.2253521126760604E-2</v>
      </c>
    </row>
    <row r="1862" spans="1:8" ht="13.5" x14ac:dyDescent="0.25">
      <c r="A1862" s="1"/>
      <c r="B1862" s="3">
        <v>45009</v>
      </c>
      <c r="C1862" s="4">
        <v>3.09</v>
      </c>
      <c r="D1862" s="4">
        <v>3.09</v>
      </c>
      <c r="E1862" s="4">
        <v>0</v>
      </c>
      <c r="F1862" s="4">
        <v>0</v>
      </c>
      <c r="G1862" s="4">
        <v>0</v>
      </c>
      <c r="H1862" s="5">
        <f t="shared" si="28"/>
        <v>4.3918918918918887E-2</v>
      </c>
    </row>
    <row r="1863" spans="1:8" ht="13.5" x14ac:dyDescent="0.25">
      <c r="A1863" s="1"/>
      <c r="B1863" s="3">
        <v>45012</v>
      </c>
      <c r="C1863" s="4">
        <v>3.21</v>
      </c>
      <c r="D1863" s="4">
        <v>3.21</v>
      </c>
      <c r="E1863" s="4">
        <v>38</v>
      </c>
      <c r="F1863" s="4">
        <v>3.21</v>
      </c>
      <c r="G1863" s="4">
        <v>121.98</v>
      </c>
      <c r="H1863" s="5">
        <f t="shared" ref="H1863:H1926" si="29">(D1863-D1862)/D1862</f>
        <v>3.8834951456310718E-2</v>
      </c>
    </row>
    <row r="1864" spans="1:8" ht="13.5" x14ac:dyDescent="0.25">
      <c r="A1864" s="1"/>
      <c r="B1864" s="3">
        <v>45013</v>
      </c>
      <c r="C1864" s="4">
        <v>3.21</v>
      </c>
      <c r="D1864" s="4">
        <v>3.21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3.34</v>
      </c>
      <c r="D1865" s="4">
        <v>3.34</v>
      </c>
      <c r="E1865" s="4">
        <v>1501</v>
      </c>
      <c r="F1865" s="4">
        <v>3.21</v>
      </c>
      <c r="G1865" s="4">
        <v>4818.21</v>
      </c>
      <c r="H1865" s="5">
        <f t="shared" si="29"/>
        <v>4.0498442367601216E-2</v>
      </c>
    </row>
    <row r="1866" spans="1:8" ht="13.5" x14ac:dyDescent="0.25">
      <c r="A1866" s="1"/>
      <c r="B1866" s="3">
        <v>45015</v>
      </c>
      <c r="C1866" s="4">
        <v>3.34</v>
      </c>
      <c r="D1866" s="4">
        <v>3.34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3.29</v>
      </c>
      <c r="D1867" s="4">
        <v>3.29</v>
      </c>
      <c r="E1867" s="4">
        <v>500</v>
      </c>
      <c r="F1867" s="4">
        <v>3.29</v>
      </c>
      <c r="G1867" s="4">
        <v>1645</v>
      </c>
      <c r="H1867" s="5">
        <f t="shared" si="29"/>
        <v>-1.4970059880239469E-2</v>
      </c>
    </row>
    <row r="1868" spans="1:8" ht="13.5" x14ac:dyDescent="0.25">
      <c r="A1868" s="1"/>
      <c r="B1868" s="3">
        <v>45019</v>
      </c>
      <c r="C1868" s="4">
        <v>3.35</v>
      </c>
      <c r="D1868" s="4">
        <v>3.35</v>
      </c>
      <c r="E1868" s="4">
        <v>1</v>
      </c>
      <c r="F1868" s="4">
        <v>3.35</v>
      </c>
      <c r="G1868" s="4">
        <v>3.35</v>
      </c>
      <c r="H1868" s="5">
        <f t="shared" si="29"/>
        <v>1.8237082066869317E-2</v>
      </c>
    </row>
    <row r="1869" spans="1:8" ht="13.5" x14ac:dyDescent="0.25">
      <c r="A1869" s="1"/>
      <c r="B1869" s="3">
        <v>45020</v>
      </c>
      <c r="C1869" s="4">
        <v>3.33</v>
      </c>
      <c r="D1869" s="4">
        <v>3.33</v>
      </c>
      <c r="E1869" s="4">
        <v>101</v>
      </c>
      <c r="F1869" s="4">
        <v>3.33</v>
      </c>
      <c r="G1869" s="4">
        <v>336.33</v>
      </c>
      <c r="H1869" s="5">
        <f t="shared" si="29"/>
        <v>-5.9701492537313485E-3</v>
      </c>
    </row>
    <row r="1870" spans="1:8" ht="13.5" x14ac:dyDescent="0.25">
      <c r="A1870" s="1"/>
      <c r="B1870" s="3">
        <v>45021</v>
      </c>
      <c r="C1870" s="4">
        <v>3.33</v>
      </c>
      <c r="D1870" s="4">
        <v>3.33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3.33</v>
      </c>
      <c r="D1871" s="4">
        <v>3.33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3.19</v>
      </c>
      <c r="D1872" s="4">
        <v>3.19</v>
      </c>
      <c r="E1872" s="4">
        <v>0</v>
      </c>
      <c r="F1872" s="4">
        <v>0</v>
      </c>
      <c r="G1872" s="4">
        <v>0</v>
      </c>
      <c r="H1872" s="5">
        <f t="shared" si="29"/>
        <v>-4.204204204204208E-2</v>
      </c>
    </row>
    <row r="1873" spans="1:8" ht="13.5" x14ac:dyDescent="0.25">
      <c r="A1873" s="1"/>
      <c r="B1873" s="3">
        <v>45026</v>
      </c>
      <c r="C1873" s="4">
        <v>3.05</v>
      </c>
      <c r="D1873" s="4">
        <v>3.05</v>
      </c>
      <c r="E1873" s="4">
        <v>0</v>
      </c>
      <c r="F1873" s="4">
        <v>0</v>
      </c>
      <c r="G1873" s="4">
        <v>0</v>
      </c>
      <c r="H1873" s="5">
        <f t="shared" si="29"/>
        <v>-4.3887147335423239E-2</v>
      </c>
    </row>
    <row r="1874" spans="1:8" ht="13.5" x14ac:dyDescent="0.25">
      <c r="A1874" s="1"/>
      <c r="B1874" s="3">
        <v>45027</v>
      </c>
      <c r="C1874" s="4">
        <v>2.92</v>
      </c>
      <c r="D1874" s="4">
        <v>2.92</v>
      </c>
      <c r="E1874" s="4">
        <v>0</v>
      </c>
      <c r="F1874" s="4">
        <v>0</v>
      </c>
      <c r="G1874" s="4">
        <v>0</v>
      </c>
      <c r="H1874" s="5">
        <f t="shared" si="29"/>
        <v>-4.2622950819672101E-2</v>
      </c>
    </row>
    <row r="1875" spans="1:8" ht="13.5" x14ac:dyDescent="0.25">
      <c r="A1875" s="1"/>
      <c r="B1875" s="3">
        <v>45028</v>
      </c>
      <c r="C1875" s="4">
        <v>2.79</v>
      </c>
      <c r="D1875" s="4">
        <v>2.79</v>
      </c>
      <c r="E1875" s="4">
        <v>0</v>
      </c>
      <c r="F1875" s="4">
        <v>0</v>
      </c>
      <c r="G1875" s="4">
        <v>0</v>
      </c>
      <c r="H1875" s="5">
        <f t="shared" si="29"/>
        <v>-4.4520547945205442E-2</v>
      </c>
    </row>
    <row r="1876" spans="1:8" ht="13.5" x14ac:dyDescent="0.25">
      <c r="A1876" s="1"/>
      <c r="B1876" s="3">
        <v>45029</v>
      </c>
      <c r="C1876" s="4">
        <v>2.67</v>
      </c>
      <c r="D1876" s="4">
        <v>2.67</v>
      </c>
      <c r="E1876" s="4">
        <v>0</v>
      </c>
      <c r="F1876" s="4">
        <v>0</v>
      </c>
      <c r="G1876" s="4">
        <v>0</v>
      </c>
      <c r="H1876" s="5">
        <f t="shared" si="29"/>
        <v>-4.3010752688172081E-2</v>
      </c>
    </row>
    <row r="1877" spans="1:8" ht="13.5" x14ac:dyDescent="0.25">
      <c r="A1877" s="1"/>
      <c r="B1877" s="3">
        <v>45030</v>
      </c>
      <c r="C1877" s="4">
        <v>2.5499999999999998</v>
      </c>
      <c r="D1877" s="4">
        <v>2.5499999999999998</v>
      </c>
      <c r="E1877" s="4">
        <v>0</v>
      </c>
      <c r="F1877" s="4">
        <v>0</v>
      </c>
      <c r="G1877" s="4">
        <v>0</v>
      </c>
      <c r="H1877" s="5">
        <f t="shared" si="29"/>
        <v>-4.4943820224719142E-2</v>
      </c>
    </row>
    <row r="1878" spans="1:8" ht="13.5" x14ac:dyDescent="0.25">
      <c r="A1878" s="1"/>
      <c r="B1878" s="3">
        <v>45033</v>
      </c>
      <c r="C1878" s="4">
        <v>2.44</v>
      </c>
      <c r="D1878" s="4">
        <v>2.44</v>
      </c>
      <c r="E1878" s="4">
        <v>0</v>
      </c>
      <c r="F1878" s="4">
        <v>0</v>
      </c>
      <c r="G1878" s="4">
        <v>0</v>
      </c>
      <c r="H1878" s="5">
        <f t="shared" si="29"/>
        <v>-4.3137254901960735E-2</v>
      </c>
    </row>
    <row r="1879" spans="1:8" ht="13.5" x14ac:dyDescent="0.25">
      <c r="A1879" s="1"/>
      <c r="B1879" s="3">
        <v>45034</v>
      </c>
      <c r="C1879" s="4">
        <v>2.34</v>
      </c>
      <c r="D1879" s="4">
        <v>2.34</v>
      </c>
      <c r="E1879" s="4">
        <v>4831</v>
      </c>
      <c r="F1879" s="4">
        <v>2.35</v>
      </c>
      <c r="G1879" s="4">
        <v>11352.85</v>
      </c>
      <c r="H1879" s="5">
        <f t="shared" si="29"/>
        <v>-4.0983606557377088E-2</v>
      </c>
    </row>
    <row r="1880" spans="1:8" ht="13.5" x14ac:dyDescent="0.25">
      <c r="A1880" s="1"/>
      <c r="B1880" s="3">
        <v>45035</v>
      </c>
      <c r="C1880" s="4">
        <v>2.44</v>
      </c>
      <c r="D1880" s="4">
        <v>2.44</v>
      </c>
      <c r="E1880" s="4">
        <v>1</v>
      </c>
      <c r="F1880" s="4">
        <v>2.44</v>
      </c>
      <c r="G1880" s="4">
        <v>2.44</v>
      </c>
      <c r="H1880" s="5">
        <f t="shared" si="29"/>
        <v>4.2735042735042778E-2</v>
      </c>
    </row>
    <row r="1881" spans="1:8" ht="13.5" x14ac:dyDescent="0.25">
      <c r="A1881" s="1"/>
      <c r="B1881" s="3">
        <v>45036</v>
      </c>
      <c r="C1881" s="4">
        <v>2.54</v>
      </c>
      <c r="D1881" s="4">
        <v>2.54</v>
      </c>
      <c r="E1881" s="4">
        <v>1</v>
      </c>
      <c r="F1881" s="4">
        <v>2.54</v>
      </c>
      <c r="G1881" s="4">
        <v>2.54</v>
      </c>
      <c r="H1881" s="5">
        <f t="shared" si="29"/>
        <v>4.0983606557377088E-2</v>
      </c>
    </row>
    <row r="1882" spans="1:8" ht="13.5" x14ac:dyDescent="0.25">
      <c r="A1882" s="1"/>
      <c r="B1882" s="3">
        <v>45040</v>
      </c>
      <c r="C1882" s="4">
        <v>2.65</v>
      </c>
      <c r="D1882" s="4">
        <v>2.65</v>
      </c>
      <c r="E1882" s="4">
        <v>1</v>
      </c>
      <c r="F1882" s="4">
        <v>2.65</v>
      </c>
      <c r="G1882" s="4">
        <v>2.65</v>
      </c>
      <c r="H1882" s="5">
        <f t="shared" si="29"/>
        <v>4.3307086614173179E-2</v>
      </c>
    </row>
    <row r="1883" spans="1:8" ht="13.5" x14ac:dyDescent="0.25">
      <c r="A1883" s="1"/>
      <c r="B1883" s="3">
        <v>45041</v>
      </c>
      <c r="C1883" s="4">
        <v>2.65</v>
      </c>
      <c r="D1883" s="4">
        <v>2.65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2.65</v>
      </c>
      <c r="D1884" s="4">
        <v>2.65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2.65</v>
      </c>
      <c r="D1885" s="4">
        <v>2.65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2.65</v>
      </c>
      <c r="D1886" s="4">
        <v>2.65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2.65</v>
      </c>
      <c r="D1887" s="4">
        <v>2.65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2.75</v>
      </c>
      <c r="D1888" s="4">
        <v>2.75</v>
      </c>
      <c r="E1888" s="4">
        <v>1526</v>
      </c>
      <c r="F1888" s="4">
        <v>2.7</v>
      </c>
      <c r="G1888" s="4">
        <v>4120.2</v>
      </c>
      <c r="H1888" s="5">
        <f t="shared" si="29"/>
        <v>3.7735849056603807E-2</v>
      </c>
    </row>
    <row r="1889" spans="1:8" ht="13.5" x14ac:dyDescent="0.25">
      <c r="A1889" s="1"/>
      <c r="B1889" s="3">
        <v>45050</v>
      </c>
      <c r="C1889" s="4">
        <v>2.75</v>
      </c>
      <c r="D1889" s="4">
        <v>2.75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2.75</v>
      </c>
      <c r="D1890" s="4">
        <v>2.75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2.75</v>
      </c>
      <c r="D1891" s="4">
        <v>2.75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2.75</v>
      </c>
      <c r="D1892" s="4">
        <v>2.75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2.63</v>
      </c>
      <c r="D1893" s="4">
        <v>2.63</v>
      </c>
      <c r="E1893" s="4">
        <v>0</v>
      </c>
      <c r="F1893" s="4">
        <v>0</v>
      </c>
      <c r="G1893" s="4">
        <v>0</v>
      </c>
      <c r="H1893" s="5">
        <f t="shared" si="29"/>
        <v>-4.3636363636363674E-2</v>
      </c>
    </row>
    <row r="1894" spans="1:8" ht="13.5" x14ac:dyDescent="0.25">
      <c r="A1894" s="1"/>
      <c r="B1894" s="3">
        <v>45057</v>
      </c>
      <c r="C1894" s="4">
        <v>2.6</v>
      </c>
      <c r="D1894" s="4">
        <v>2.6</v>
      </c>
      <c r="E1894" s="4">
        <v>50</v>
      </c>
      <c r="F1894" s="4">
        <v>2.6</v>
      </c>
      <c r="G1894" s="4">
        <v>130</v>
      </c>
      <c r="H1894" s="5">
        <f t="shared" si="29"/>
        <v>-1.1406844106463804E-2</v>
      </c>
    </row>
    <row r="1895" spans="1:8" ht="13.5" x14ac:dyDescent="0.25">
      <c r="A1895" s="1"/>
      <c r="B1895" s="3">
        <v>45058</v>
      </c>
      <c r="C1895" s="4">
        <v>2.6</v>
      </c>
      <c r="D1895" s="4">
        <v>2.6</v>
      </c>
      <c r="E1895" s="4">
        <v>16</v>
      </c>
      <c r="F1895" s="4">
        <v>2.6</v>
      </c>
      <c r="G1895" s="4">
        <v>41.6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2.4900000000000002</v>
      </c>
      <c r="D1896" s="4">
        <v>2.4900000000000002</v>
      </c>
      <c r="E1896" s="4">
        <v>0</v>
      </c>
      <c r="F1896" s="4">
        <v>0</v>
      </c>
      <c r="G1896" s="4">
        <v>0</v>
      </c>
      <c r="H1896" s="5">
        <f t="shared" si="29"/>
        <v>-4.2307692307692261E-2</v>
      </c>
    </row>
    <row r="1897" spans="1:8" ht="13.5" x14ac:dyDescent="0.25">
      <c r="A1897" s="1"/>
      <c r="B1897" s="3">
        <v>45062</v>
      </c>
      <c r="C1897" s="4">
        <v>2.6</v>
      </c>
      <c r="D1897" s="4">
        <v>2.6</v>
      </c>
      <c r="E1897" s="4">
        <v>822</v>
      </c>
      <c r="F1897" s="4">
        <v>2.4929999999999999</v>
      </c>
      <c r="G1897" s="4">
        <v>2049.2460000000001</v>
      </c>
      <c r="H1897" s="5">
        <f t="shared" si="29"/>
        <v>4.4176706827309183E-2</v>
      </c>
    </row>
    <row r="1898" spans="1:8" ht="13.5" x14ac:dyDescent="0.25">
      <c r="A1898" s="1"/>
      <c r="B1898" s="3">
        <v>45063</v>
      </c>
      <c r="C1898" s="4">
        <v>2.6</v>
      </c>
      <c r="D1898" s="4">
        <v>2.6</v>
      </c>
      <c r="E1898" s="4">
        <v>0</v>
      </c>
      <c r="F1898" s="4">
        <v>0</v>
      </c>
      <c r="G1898" s="4">
        <v>0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2.4900000000000002</v>
      </c>
      <c r="D1899" s="4">
        <v>2.4900000000000002</v>
      </c>
      <c r="E1899" s="4">
        <v>0</v>
      </c>
      <c r="F1899" s="4">
        <v>0</v>
      </c>
      <c r="G1899" s="4">
        <v>0</v>
      </c>
      <c r="H1899" s="5">
        <f t="shared" si="29"/>
        <v>-4.2307692307692261E-2</v>
      </c>
    </row>
    <row r="1900" spans="1:8" ht="13.5" x14ac:dyDescent="0.25">
      <c r="A1900" s="1"/>
      <c r="B1900" s="3">
        <v>45065</v>
      </c>
      <c r="C1900" s="4">
        <v>2.38</v>
      </c>
      <c r="D1900" s="4">
        <v>2.38</v>
      </c>
      <c r="E1900" s="4">
        <v>500</v>
      </c>
      <c r="F1900" s="4">
        <v>2.38</v>
      </c>
      <c r="G1900" s="4">
        <v>1190</v>
      </c>
      <c r="H1900" s="5">
        <f t="shared" si="29"/>
        <v>-4.4176706827309363E-2</v>
      </c>
    </row>
    <row r="1901" spans="1:8" ht="13.5" x14ac:dyDescent="0.25">
      <c r="A1901" s="1"/>
      <c r="B1901" s="3">
        <v>45068</v>
      </c>
      <c r="C1901" s="4">
        <v>2.48</v>
      </c>
      <c r="D1901" s="4">
        <v>2.48</v>
      </c>
      <c r="E1901" s="4">
        <v>1</v>
      </c>
      <c r="F1901" s="4">
        <v>2.48</v>
      </c>
      <c r="G1901" s="4">
        <v>2.48</v>
      </c>
      <c r="H1901" s="5">
        <f t="shared" si="29"/>
        <v>4.2016806722689114E-2</v>
      </c>
    </row>
    <row r="1902" spans="1:8" ht="13.5" x14ac:dyDescent="0.25">
      <c r="A1902" s="1"/>
      <c r="B1902" s="3">
        <v>45069</v>
      </c>
      <c r="C1902" s="4">
        <v>2.37</v>
      </c>
      <c r="D1902" s="4">
        <v>2.37</v>
      </c>
      <c r="E1902" s="4">
        <v>1</v>
      </c>
      <c r="F1902" s="4">
        <v>2.59</v>
      </c>
      <c r="G1902" s="4">
        <v>2.59</v>
      </c>
      <c r="H1902" s="5">
        <f t="shared" si="29"/>
        <v>-4.4354838709677366E-2</v>
      </c>
    </row>
    <row r="1903" spans="1:8" ht="13.5" x14ac:dyDescent="0.25">
      <c r="A1903" s="1"/>
      <c r="B1903" s="3">
        <v>45070</v>
      </c>
      <c r="C1903" s="4">
        <v>2.27</v>
      </c>
      <c r="D1903" s="4">
        <v>2.27</v>
      </c>
      <c r="E1903" s="4">
        <v>0</v>
      </c>
      <c r="F1903" s="4">
        <v>0</v>
      </c>
      <c r="G1903" s="4">
        <v>0</v>
      </c>
      <c r="H1903" s="5">
        <f t="shared" si="29"/>
        <v>-4.2194092827004252E-2</v>
      </c>
    </row>
    <row r="1904" spans="1:8" ht="13.5" x14ac:dyDescent="0.25">
      <c r="A1904" s="1"/>
      <c r="B1904" s="3">
        <v>45071</v>
      </c>
      <c r="C1904" s="4">
        <v>2.17</v>
      </c>
      <c r="D1904" s="4">
        <v>2.17</v>
      </c>
      <c r="E1904" s="4">
        <v>4323</v>
      </c>
      <c r="F1904" s="4">
        <v>2.17</v>
      </c>
      <c r="G1904" s="4">
        <v>9380.91</v>
      </c>
      <c r="H1904" s="5">
        <f t="shared" si="29"/>
        <v>-4.4052863436123385E-2</v>
      </c>
    </row>
    <row r="1905" spans="1:8" ht="13.5" x14ac:dyDescent="0.25">
      <c r="A1905" s="1"/>
      <c r="B1905" s="3">
        <v>45072</v>
      </c>
      <c r="C1905" s="4">
        <v>2.2599999999999998</v>
      </c>
      <c r="D1905" s="4">
        <v>2.2599999999999998</v>
      </c>
      <c r="E1905" s="4">
        <v>2345</v>
      </c>
      <c r="F1905" s="4">
        <v>2.2599999999999998</v>
      </c>
      <c r="G1905" s="4">
        <v>5299.7</v>
      </c>
      <c r="H1905" s="5">
        <f t="shared" si="29"/>
        <v>4.1474654377880123E-2</v>
      </c>
    </row>
    <row r="1906" spans="1:8" ht="13.5" x14ac:dyDescent="0.25">
      <c r="A1906" s="1"/>
      <c r="B1906" s="3">
        <v>45075</v>
      </c>
      <c r="C1906" s="4">
        <v>2.36</v>
      </c>
      <c r="D1906" s="4">
        <v>2.36</v>
      </c>
      <c r="E1906" s="4">
        <v>1529</v>
      </c>
      <c r="F1906" s="4">
        <v>2.36</v>
      </c>
      <c r="G1906" s="4">
        <v>3608.44</v>
      </c>
      <c r="H1906" s="5">
        <f t="shared" si="29"/>
        <v>4.424778761061951E-2</v>
      </c>
    </row>
    <row r="1907" spans="1:8" ht="13.5" x14ac:dyDescent="0.25">
      <c r="A1907" s="1"/>
      <c r="B1907" s="3">
        <v>45076</v>
      </c>
      <c r="C1907" s="4">
        <v>2.44</v>
      </c>
      <c r="D1907" s="4">
        <v>2.44</v>
      </c>
      <c r="E1907" s="4">
        <v>101</v>
      </c>
      <c r="F1907" s="4">
        <v>2.44</v>
      </c>
      <c r="G1907" s="4">
        <v>246.44</v>
      </c>
      <c r="H1907" s="5">
        <f t="shared" si="29"/>
        <v>3.3898305084745797E-2</v>
      </c>
    </row>
    <row r="1908" spans="1:8" ht="13.5" x14ac:dyDescent="0.25">
      <c r="A1908" s="1"/>
      <c r="B1908" s="3">
        <v>45077</v>
      </c>
      <c r="C1908" s="4">
        <v>2.54</v>
      </c>
      <c r="D1908" s="4">
        <v>2.54</v>
      </c>
      <c r="E1908" s="4">
        <v>1422</v>
      </c>
      <c r="F1908" s="4">
        <v>2.484</v>
      </c>
      <c r="G1908" s="4">
        <v>3532.248</v>
      </c>
      <c r="H1908" s="5">
        <f t="shared" si="29"/>
        <v>4.0983606557377088E-2</v>
      </c>
    </row>
    <row r="1909" spans="1:8" ht="13.5" x14ac:dyDescent="0.25">
      <c r="A1909" s="1"/>
      <c r="B1909" s="3">
        <v>45078</v>
      </c>
      <c r="C1909" s="4">
        <v>2.65</v>
      </c>
      <c r="D1909" s="4">
        <v>2.65</v>
      </c>
      <c r="E1909" s="4">
        <v>1005</v>
      </c>
      <c r="F1909" s="4">
        <v>2.65</v>
      </c>
      <c r="G1909" s="4">
        <v>2663.25</v>
      </c>
      <c r="H1909" s="5">
        <f t="shared" si="29"/>
        <v>4.3307086614173179E-2</v>
      </c>
    </row>
    <row r="1910" spans="1:8" ht="13.5" x14ac:dyDescent="0.25">
      <c r="A1910" s="1"/>
      <c r="B1910" s="3">
        <v>45079</v>
      </c>
      <c r="C1910" s="4">
        <v>2.76</v>
      </c>
      <c r="D1910" s="4">
        <v>2.76</v>
      </c>
      <c r="E1910" s="4">
        <v>2000</v>
      </c>
      <c r="F1910" s="4">
        <v>2.76</v>
      </c>
      <c r="G1910" s="4">
        <v>5520</v>
      </c>
      <c r="H1910" s="5">
        <f t="shared" si="29"/>
        <v>4.1509433962264107E-2</v>
      </c>
    </row>
    <row r="1911" spans="1:8" ht="13.5" x14ac:dyDescent="0.25">
      <c r="A1911" s="1"/>
      <c r="B1911" s="3">
        <v>45082</v>
      </c>
      <c r="C1911" s="4">
        <v>2.76</v>
      </c>
      <c r="D1911" s="4">
        <v>2.76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2.64</v>
      </c>
      <c r="D1912" s="4">
        <v>2.64</v>
      </c>
      <c r="E1912" s="4">
        <v>0</v>
      </c>
      <c r="F1912" s="4">
        <v>0</v>
      </c>
      <c r="G1912" s="4">
        <v>0</v>
      </c>
      <c r="H1912" s="5">
        <f t="shared" si="29"/>
        <v>-4.3478260869565098E-2</v>
      </c>
    </row>
    <row r="1913" spans="1:8" ht="13.5" x14ac:dyDescent="0.25">
      <c r="A1913" s="1"/>
      <c r="B1913" s="3">
        <v>45084</v>
      </c>
      <c r="C1913" s="4">
        <v>2.61</v>
      </c>
      <c r="D1913" s="4">
        <v>2.61</v>
      </c>
      <c r="E1913" s="4">
        <v>122</v>
      </c>
      <c r="F1913" s="4">
        <v>2.61</v>
      </c>
      <c r="G1913" s="4">
        <v>318.42</v>
      </c>
      <c r="H1913" s="5">
        <f t="shared" si="29"/>
        <v>-1.1363636363636458E-2</v>
      </c>
    </row>
    <row r="1914" spans="1:8" ht="13.5" x14ac:dyDescent="0.25">
      <c r="A1914" s="1"/>
      <c r="B1914" s="3">
        <v>45085</v>
      </c>
      <c r="C1914" s="4">
        <v>2.5</v>
      </c>
      <c r="D1914" s="4">
        <v>2.5</v>
      </c>
      <c r="E1914" s="4">
        <v>500</v>
      </c>
      <c r="F1914" s="4">
        <v>2.5</v>
      </c>
      <c r="G1914" s="4">
        <v>1250</v>
      </c>
      <c r="H1914" s="5">
        <f t="shared" si="29"/>
        <v>-4.2145593869731754E-2</v>
      </c>
    </row>
    <row r="1915" spans="1:8" ht="13.5" x14ac:dyDescent="0.25">
      <c r="A1915" s="1"/>
      <c r="B1915" s="3">
        <v>45086</v>
      </c>
      <c r="C1915" s="4">
        <v>2.4</v>
      </c>
      <c r="D1915" s="4">
        <v>2.4</v>
      </c>
      <c r="E1915" s="4">
        <v>500</v>
      </c>
      <c r="F1915" s="4">
        <v>2.4</v>
      </c>
      <c r="G1915" s="4">
        <v>1200</v>
      </c>
      <c r="H1915" s="5">
        <f t="shared" si="29"/>
        <v>-4.0000000000000036E-2</v>
      </c>
    </row>
    <row r="1916" spans="1:8" ht="13.5" x14ac:dyDescent="0.25">
      <c r="A1916" s="1"/>
      <c r="B1916" s="3">
        <v>45089</v>
      </c>
      <c r="C1916" s="4">
        <v>2.39</v>
      </c>
      <c r="D1916" s="4">
        <v>2.39</v>
      </c>
      <c r="E1916" s="4">
        <v>4000</v>
      </c>
      <c r="F1916" s="4">
        <v>2.39</v>
      </c>
      <c r="G1916" s="4">
        <v>9560</v>
      </c>
      <c r="H1916" s="5">
        <f t="shared" si="29"/>
        <v>-4.1666666666665781E-3</v>
      </c>
    </row>
    <row r="1917" spans="1:8" ht="13.5" x14ac:dyDescent="0.25">
      <c r="A1917" s="1"/>
      <c r="B1917" s="3">
        <v>45090</v>
      </c>
      <c r="C1917" s="4">
        <v>2.36</v>
      </c>
      <c r="D1917" s="4">
        <v>2.36</v>
      </c>
      <c r="E1917" s="4">
        <v>644</v>
      </c>
      <c r="F1917" s="4">
        <v>2.36</v>
      </c>
      <c r="G1917" s="4">
        <v>1519.84</v>
      </c>
      <c r="H1917" s="5">
        <f t="shared" si="29"/>
        <v>-1.2552301255230229E-2</v>
      </c>
    </row>
    <row r="1918" spans="1:8" ht="13.5" x14ac:dyDescent="0.25">
      <c r="A1918" s="1"/>
      <c r="B1918" s="3">
        <v>45091</v>
      </c>
      <c r="C1918" s="4">
        <v>2.36</v>
      </c>
      <c r="D1918" s="4">
        <v>2.36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2.39</v>
      </c>
      <c r="D1919" s="4">
        <v>2.39</v>
      </c>
      <c r="E1919" s="4">
        <v>1</v>
      </c>
      <c r="F1919" s="4">
        <v>2.39</v>
      </c>
      <c r="G1919" s="4">
        <v>2.39</v>
      </c>
      <c r="H1919" s="5">
        <f t="shared" si="29"/>
        <v>1.2711864406779768E-2</v>
      </c>
    </row>
    <row r="1920" spans="1:8" ht="13.5" x14ac:dyDescent="0.25">
      <c r="A1920" s="1"/>
      <c r="B1920" s="3">
        <v>45093</v>
      </c>
      <c r="C1920" s="4">
        <v>2.39</v>
      </c>
      <c r="D1920" s="4">
        <v>2.39</v>
      </c>
      <c r="E1920" s="4">
        <v>0</v>
      </c>
      <c r="F1920" s="4">
        <v>0</v>
      </c>
      <c r="G1920" s="4">
        <v>0</v>
      </c>
      <c r="H1920" s="5">
        <f t="shared" si="29"/>
        <v>0</v>
      </c>
    </row>
    <row r="1921" spans="1:8" ht="13.5" x14ac:dyDescent="0.25">
      <c r="A1921" s="1"/>
      <c r="B1921" s="3">
        <v>45096</v>
      </c>
      <c r="C1921" s="4">
        <v>2.39</v>
      </c>
      <c r="D1921" s="4">
        <v>2.39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2.39</v>
      </c>
      <c r="D1922" s="4">
        <v>2.39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2.39</v>
      </c>
      <c r="D1923" s="4">
        <v>2.39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2.3199999999999998</v>
      </c>
      <c r="D1924" s="4">
        <v>2.3199999999999998</v>
      </c>
      <c r="E1924" s="4">
        <v>15</v>
      </c>
      <c r="F1924" s="4">
        <v>2.3199999999999998</v>
      </c>
      <c r="G1924" s="4">
        <v>34.799999999999997</v>
      </c>
      <c r="H1924" s="5">
        <f t="shared" si="29"/>
        <v>-2.9288702928870411E-2</v>
      </c>
    </row>
    <row r="1925" spans="1:8" ht="13.5" x14ac:dyDescent="0.25">
      <c r="A1925" s="1"/>
      <c r="B1925" s="3">
        <v>45100</v>
      </c>
      <c r="C1925" s="4">
        <v>2.29</v>
      </c>
      <c r="D1925" s="4">
        <v>2.29</v>
      </c>
      <c r="E1925" s="4">
        <v>476</v>
      </c>
      <c r="F1925" s="4">
        <v>2.29</v>
      </c>
      <c r="G1925" s="4">
        <v>1090.04</v>
      </c>
      <c r="H1925" s="5">
        <f t="shared" si="29"/>
        <v>-1.2931034482758537E-2</v>
      </c>
    </row>
    <row r="1926" spans="1:8" ht="13.5" x14ac:dyDescent="0.25">
      <c r="A1926" s="1"/>
      <c r="B1926" s="3">
        <v>45103</v>
      </c>
      <c r="C1926" s="4">
        <v>2.39</v>
      </c>
      <c r="D1926" s="4">
        <v>2.39</v>
      </c>
      <c r="E1926" s="4">
        <v>1</v>
      </c>
      <c r="F1926" s="4">
        <v>2.39</v>
      </c>
      <c r="G1926" s="4">
        <v>2.39</v>
      </c>
      <c r="H1926" s="5">
        <f t="shared" si="29"/>
        <v>4.3668122270742397E-2</v>
      </c>
    </row>
    <row r="1927" spans="1:8" ht="13.5" x14ac:dyDescent="0.25">
      <c r="A1927" s="1"/>
      <c r="B1927" s="3">
        <v>45104</v>
      </c>
      <c r="C1927" s="4">
        <v>2.38</v>
      </c>
      <c r="D1927" s="4">
        <v>2.38</v>
      </c>
      <c r="E1927" s="4">
        <v>2170</v>
      </c>
      <c r="F1927" s="4">
        <v>2.38</v>
      </c>
      <c r="G1927" s="4">
        <v>5164.6000000000004</v>
      </c>
      <c r="H1927" s="5">
        <f t="shared" ref="H1927:H1990" si="30">(D1927-D1926)/D1926</f>
        <v>-4.1841004184101386E-3</v>
      </c>
    </row>
    <row r="1928" spans="1:8" ht="13.5" x14ac:dyDescent="0.25">
      <c r="A1928" s="1"/>
      <c r="B1928" s="3">
        <v>45107</v>
      </c>
      <c r="C1928" s="4">
        <v>2.38</v>
      </c>
      <c r="D1928" s="4">
        <v>2.38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2.37</v>
      </c>
      <c r="D1929" s="4">
        <v>2.37</v>
      </c>
      <c r="E1929" s="4">
        <v>1900</v>
      </c>
      <c r="F1929" s="4">
        <v>2.37</v>
      </c>
      <c r="G1929" s="4">
        <v>4503</v>
      </c>
      <c r="H1929" s="5">
        <f t="shared" si="30"/>
        <v>-4.201680672268818E-3</v>
      </c>
    </row>
    <row r="1930" spans="1:8" ht="13.5" x14ac:dyDescent="0.25">
      <c r="A1930" s="1"/>
      <c r="B1930" s="3">
        <v>45111</v>
      </c>
      <c r="C1930" s="4">
        <v>2.37</v>
      </c>
      <c r="D1930" s="4">
        <v>2.37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2.37</v>
      </c>
      <c r="D1931" s="4">
        <v>2.37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2.37</v>
      </c>
      <c r="D1932" s="4">
        <v>2.37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2.37</v>
      </c>
      <c r="D1933" s="4">
        <v>2.37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2.36</v>
      </c>
      <c r="D1934" s="4">
        <v>2.36</v>
      </c>
      <c r="E1934" s="4">
        <v>960</v>
      </c>
      <c r="F1934" s="4">
        <v>2.36</v>
      </c>
      <c r="G1934" s="4">
        <v>2265.6</v>
      </c>
      <c r="H1934" s="5">
        <f t="shared" si="30"/>
        <v>-4.2194092827005196E-3</v>
      </c>
    </row>
    <row r="1935" spans="1:8" ht="13.5" x14ac:dyDescent="0.25">
      <c r="A1935" s="1"/>
      <c r="B1935" s="3">
        <v>45118</v>
      </c>
      <c r="C1935" s="4">
        <v>2.34</v>
      </c>
      <c r="D1935" s="4">
        <v>2.34</v>
      </c>
      <c r="E1935" s="4">
        <v>20</v>
      </c>
      <c r="F1935" s="4">
        <v>2.34</v>
      </c>
      <c r="G1935" s="4">
        <v>46.8</v>
      </c>
      <c r="H1935" s="5">
        <f t="shared" si="30"/>
        <v>-8.4745762711864493E-3</v>
      </c>
    </row>
    <row r="1936" spans="1:8" ht="13.5" x14ac:dyDescent="0.25">
      <c r="A1936" s="1"/>
      <c r="B1936" s="3">
        <v>45119</v>
      </c>
      <c r="C1936" s="4">
        <v>2.34</v>
      </c>
      <c r="D1936" s="4">
        <v>2.34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2.2999999999999998</v>
      </c>
      <c r="D1937" s="4">
        <v>2.2999999999999998</v>
      </c>
      <c r="E1937" s="4">
        <v>10</v>
      </c>
      <c r="F1937" s="4">
        <v>2.2999999999999998</v>
      </c>
      <c r="G1937" s="4">
        <v>23</v>
      </c>
      <c r="H1937" s="5">
        <f t="shared" si="30"/>
        <v>-1.709401709401711E-2</v>
      </c>
    </row>
    <row r="1938" spans="1:8" ht="13.5" x14ac:dyDescent="0.25">
      <c r="A1938" s="1"/>
      <c r="B1938" s="3">
        <v>45121</v>
      </c>
      <c r="C1938" s="4">
        <v>2.29</v>
      </c>
      <c r="D1938" s="4">
        <v>2.29</v>
      </c>
      <c r="E1938" s="4">
        <v>10</v>
      </c>
      <c r="F1938" s="4">
        <v>2.29</v>
      </c>
      <c r="G1938" s="4">
        <v>22.9</v>
      </c>
      <c r="H1938" s="5">
        <f t="shared" si="30"/>
        <v>-4.347826086956429E-3</v>
      </c>
    </row>
    <row r="1939" spans="1:8" ht="13.5" x14ac:dyDescent="0.25">
      <c r="A1939" s="1"/>
      <c r="B1939" s="3">
        <v>45124</v>
      </c>
      <c r="C1939" s="4">
        <v>2.29</v>
      </c>
      <c r="D1939" s="4">
        <v>2.29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2.29</v>
      </c>
      <c r="D1940" s="4">
        <v>2.29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2.29</v>
      </c>
      <c r="D1941" s="4">
        <v>2.29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2.29</v>
      </c>
      <c r="D1942" s="4">
        <v>2.29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2.25</v>
      </c>
      <c r="D1943" s="4">
        <v>2.25</v>
      </c>
      <c r="E1943" s="4">
        <v>1998</v>
      </c>
      <c r="F1943" s="4">
        <v>2.25</v>
      </c>
      <c r="G1943" s="4">
        <v>4495.5</v>
      </c>
      <c r="H1943" s="5">
        <f t="shared" si="30"/>
        <v>-1.746724890829696E-2</v>
      </c>
    </row>
    <row r="1944" spans="1:8" ht="13.5" x14ac:dyDescent="0.25">
      <c r="A1944" s="1"/>
      <c r="B1944" s="3">
        <v>45133</v>
      </c>
      <c r="C1944" s="4">
        <v>2.1800000000000002</v>
      </c>
      <c r="D1944" s="4">
        <v>2.1800000000000002</v>
      </c>
      <c r="E1944" s="4">
        <v>7217</v>
      </c>
      <c r="F1944" s="4">
        <v>2.1800000000000002</v>
      </c>
      <c r="G1944" s="4">
        <v>15733.06</v>
      </c>
      <c r="H1944" s="5">
        <f t="shared" si="30"/>
        <v>-3.1111111111111041E-2</v>
      </c>
    </row>
    <row r="1945" spans="1:8" ht="13.5" x14ac:dyDescent="0.25">
      <c r="A1945" s="1"/>
      <c r="B1945" s="3">
        <v>45134</v>
      </c>
      <c r="C1945" s="4">
        <v>2.1800000000000002</v>
      </c>
      <c r="D1945" s="4">
        <v>2.1800000000000002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2.09</v>
      </c>
      <c r="D1946" s="4">
        <v>2.09</v>
      </c>
      <c r="E1946" s="4">
        <v>136</v>
      </c>
      <c r="F1946" s="4">
        <v>2.09</v>
      </c>
      <c r="G1946" s="4">
        <v>284.24</v>
      </c>
      <c r="H1946" s="5">
        <f t="shared" si="30"/>
        <v>-4.1284403669724905E-2</v>
      </c>
    </row>
    <row r="1947" spans="1:8" ht="13.5" x14ac:dyDescent="0.25">
      <c r="A1947" s="1"/>
      <c r="B1947" s="3">
        <v>45138</v>
      </c>
      <c r="C1947" s="4">
        <v>2.1800000000000002</v>
      </c>
      <c r="D1947" s="4">
        <v>2.1800000000000002</v>
      </c>
      <c r="E1947" s="4">
        <v>30</v>
      </c>
      <c r="F1947" s="4">
        <v>2.1800000000000002</v>
      </c>
      <c r="G1947" s="4">
        <v>65.400000000000006</v>
      </c>
      <c r="H1947" s="5">
        <f t="shared" si="30"/>
        <v>4.3062200956937947E-2</v>
      </c>
    </row>
    <row r="1948" spans="1:8" ht="13.5" x14ac:dyDescent="0.25">
      <c r="A1948" s="1"/>
      <c r="B1948" s="3">
        <v>45139</v>
      </c>
      <c r="C1948" s="4">
        <v>2.1800000000000002</v>
      </c>
      <c r="D1948" s="4">
        <v>2.1800000000000002</v>
      </c>
      <c r="E1948" s="4">
        <v>0</v>
      </c>
      <c r="F1948" s="4">
        <v>0</v>
      </c>
      <c r="G1948" s="4">
        <v>0</v>
      </c>
      <c r="H1948" s="5">
        <f t="shared" si="30"/>
        <v>0</v>
      </c>
    </row>
    <row r="1949" spans="1:8" ht="13.5" x14ac:dyDescent="0.25">
      <c r="A1949" s="1"/>
      <c r="B1949" s="3">
        <v>45140</v>
      </c>
      <c r="C1949" s="4">
        <v>2.1800000000000002</v>
      </c>
      <c r="D1949" s="4">
        <v>2.1800000000000002</v>
      </c>
      <c r="E1949" s="4">
        <v>300</v>
      </c>
      <c r="F1949" s="4">
        <v>2.1800000000000002</v>
      </c>
      <c r="G1949" s="4">
        <v>654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2.1800000000000002</v>
      </c>
      <c r="D1950" s="4">
        <v>2.1800000000000002</v>
      </c>
      <c r="E1950" s="4">
        <v>0</v>
      </c>
      <c r="F1950" s="4">
        <v>0</v>
      </c>
      <c r="G1950" s="4">
        <v>0</v>
      </c>
      <c r="H1950" s="5">
        <f t="shared" si="30"/>
        <v>0</v>
      </c>
    </row>
    <row r="1951" spans="1:8" ht="13.5" x14ac:dyDescent="0.25">
      <c r="A1951" s="1"/>
      <c r="B1951" s="3">
        <v>45142</v>
      </c>
      <c r="C1951" s="4">
        <v>2.1800000000000002</v>
      </c>
      <c r="D1951" s="4">
        <v>2.1800000000000002</v>
      </c>
      <c r="E1951" s="4">
        <v>0</v>
      </c>
      <c r="F1951" s="4">
        <v>0</v>
      </c>
      <c r="G1951" s="4">
        <v>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2.1800000000000002</v>
      </c>
      <c r="D1952" s="4">
        <v>2.1800000000000002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2.1800000000000002</v>
      </c>
      <c r="D1953" s="4">
        <v>2.1800000000000002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2.1800000000000002</v>
      </c>
      <c r="D1954" s="4">
        <v>2.1800000000000002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2.1800000000000002</v>
      </c>
      <c r="D1955" s="4">
        <v>2.1800000000000002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2.1800000000000002</v>
      </c>
      <c r="D1956" s="4">
        <v>2.1800000000000002</v>
      </c>
      <c r="E1956" s="4">
        <v>0</v>
      </c>
      <c r="F1956" s="4">
        <v>0</v>
      </c>
      <c r="G1956" s="4">
        <v>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2.1800000000000002</v>
      </c>
      <c r="D1957" s="4">
        <v>2.1800000000000002</v>
      </c>
      <c r="E1957" s="4">
        <v>0</v>
      </c>
      <c r="F1957" s="4">
        <v>0</v>
      </c>
      <c r="G1957" s="4">
        <v>0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2.1800000000000002</v>
      </c>
      <c r="D1958" s="4">
        <v>2.1800000000000002</v>
      </c>
      <c r="E1958" s="4">
        <v>0</v>
      </c>
      <c r="F1958" s="4">
        <v>0</v>
      </c>
      <c r="G1958" s="4">
        <v>0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2.1800000000000002</v>
      </c>
      <c r="D1959" s="4">
        <v>2.1800000000000002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2.1800000000000002</v>
      </c>
      <c r="D1960" s="4">
        <v>2.1800000000000002</v>
      </c>
      <c r="E1960" s="4">
        <v>2026</v>
      </c>
      <c r="F1960" s="4">
        <v>2.1800000000000002</v>
      </c>
      <c r="G1960" s="4">
        <v>4416.68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2.1800000000000002</v>
      </c>
      <c r="D1961" s="4">
        <v>2.1800000000000002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2.1800000000000002</v>
      </c>
      <c r="D1962" s="4">
        <v>2.1800000000000002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2.1800000000000002</v>
      </c>
      <c r="D1963" s="4">
        <v>2.1800000000000002</v>
      </c>
      <c r="E1963" s="4">
        <v>0</v>
      </c>
      <c r="F1963" s="4">
        <v>0</v>
      </c>
      <c r="G1963" s="4">
        <v>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2.1800000000000002</v>
      </c>
      <c r="D1964" s="4">
        <v>2.1800000000000002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2.1800000000000002</v>
      </c>
      <c r="D1965" s="4">
        <v>2.1800000000000002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2.1800000000000002</v>
      </c>
      <c r="D1966" s="4">
        <v>2.1800000000000002</v>
      </c>
      <c r="E1966" s="4">
        <v>20</v>
      </c>
      <c r="F1966" s="4">
        <v>2.1800000000000002</v>
      </c>
      <c r="G1966" s="4">
        <v>43.6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2.1800000000000002</v>
      </c>
      <c r="D1967" s="4">
        <v>2.1800000000000002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2.1800000000000002</v>
      </c>
      <c r="D1968" s="4">
        <v>2.1800000000000002</v>
      </c>
      <c r="E1968" s="4">
        <v>0</v>
      </c>
      <c r="F1968" s="4">
        <v>0</v>
      </c>
      <c r="G1968" s="4">
        <v>0</v>
      </c>
      <c r="H1968" s="5">
        <f t="shared" si="30"/>
        <v>0</v>
      </c>
    </row>
    <row r="1969" spans="1:8" ht="13.5" x14ac:dyDescent="0.25">
      <c r="A1969" s="1"/>
      <c r="B1969" s="3">
        <v>45168</v>
      </c>
      <c r="C1969" s="4">
        <v>2.1800000000000002</v>
      </c>
      <c r="D1969" s="4">
        <v>2.1800000000000002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2.19</v>
      </c>
      <c r="D1970" s="4">
        <v>2.19</v>
      </c>
      <c r="E1970" s="4">
        <v>701</v>
      </c>
      <c r="F1970" s="4">
        <v>2.19</v>
      </c>
      <c r="G1970" s="4">
        <v>1535.19</v>
      </c>
      <c r="H1970" s="5">
        <f t="shared" si="30"/>
        <v>4.5871559633026545E-3</v>
      </c>
    </row>
    <row r="1971" spans="1:8" ht="13.5" x14ac:dyDescent="0.25">
      <c r="A1971" s="1"/>
      <c r="B1971" s="3">
        <v>45170</v>
      </c>
      <c r="C1971" s="4">
        <v>2.19</v>
      </c>
      <c r="D1971" s="4">
        <v>2.19</v>
      </c>
      <c r="E1971" s="4">
        <v>0</v>
      </c>
      <c r="F1971" s="4">
        <v>0</v>
      </c>
      <c r="G1971" s="4">
        <v>0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2.19</v>
      </c>
      <c r="D1972" s="4">
        <v>2.19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2.19</v>
      </c>
      <c r="D1973" s="4">
        <v>2.19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2.19</v>
      </c>
      <c r="D1974" s="4">
        <v>2.19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2.1800000000000002</v>
      </c>
      <c r="D1975" s="4">
        <v>2.1800000000000002</v>
      </c>
      <c r="E1975" s="4">
        <v>7095</v>
      </c>
      <c r="F1975" s="4">
        <v>2.1800000000000002</v>
      </c>
      <c r="G1975" s="4">
        <v>15467.1</v>
      </c>
      <c r="H1975" s="5">
        <f t="shared" si="30"/>
        <v>-4.5662100456620031E-3</v>
      </c>
    </row>
    <row r="1976" spans="1:8" ht="13.5" x14ac:dyDescent="0.25">
      <c r="A1976" s="1"/>
      <c r="B1976" s="3">
        <v>45177</v>
      </c>
      <c r="C1976" s="4">
        <v>2.1800000000000002</v>
      </c>
      <c r="D1976" s="4">
        <v>2.1800000000000002</v>
      </c>
      <c r="E1976" s="4">
        <v>0</v>
      </c>
      <c r="F1976" s="4">
        <v>0</v>
      </c>
      <c r="G1976" s="4">
        <v>0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2.1800000000000002</v>
      </c>
      <c r="D1977" s="4">
        <v>2.1800000000000002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2.1800000000000002</v>
      </c>
      <c r="D1978" s="4">
        <v>2.1800000000000002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2.1800000000000002</v>
      </c>
      <c r="D1979" s="4">
        <v>2.1800000000000002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2.1800000000000002</v>
      </c>
      <c r="D1980" s="4">
        <v>2.1800000000000002</v>
      </c>
      <c r="E1980" s="4">
        <v>0</v>
      </c>
      <c r="F1980" s="4">
        <v>0</v>
      </c>
      <c r="G1980" s="4">
        <v>0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2.1800000000000002</v>
      </c>
      <c r="D1981" s="4">
        <v>2.1800000000000002</v>
      </c>
      <c r="E1981" s="4">
        <v>0</v>
      </c>
      <c r="F1981" s="4">
        <v>0</v>
      </c>
      <c r="G1981" s="4">
        <v>0</v>
      </c>
      <c r="H1981" s="5">
        <f t="shared" si="30"/>
        <v>0</v>
      </c>
    </row>
    <row r="1982" spans="1:8" ht="13.5" x14ac:dyDescent="0.25">
      <c r="A1982" s="1"/>
      <c r="B1982" s="3">
        <v>45187</v>
      </c>
      <c r="C1982" s="4">
        <v>2.1800000000000002</v>
      </c>
      <c r="D1982" s="4">
        <v>2.1800000000000002</v>
      </c>
      <c r="E1982" s="4">
        <v>0</v>
      </c>
      <c r="F1982" s="4">
        <v>0</v>
      </c>
      <c r="G1982" s="4">
        <v>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2.1800000000000002</v>
      </c>
      <c r="D1983" s="4">
        <v>2.1800000000000002</v>
      </c>
      <c r="E1983" s="4">
        <v>0</v>
      </c>
      <c r="F1983" s="4">
        <v>0</v>
      </c>
      <c r="G1983" s="4">
        <v>0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2.1800000000000002</v>
      </c>
      <c r="D1984" s="4">
        <v>2.1800000000000002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2.1800000000000002</v>
      </c>
      <c r="D1985" s="4">
        <v>2.1800000000000002</v>
      </c>
      <c r="E1985" s="4">
        <v>0</v>
      </c>
      <c r="F1985" s="4">
        <v>0</v>
      </c>
      <c r="G1985" s="4">
        <v>0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2.1800000000000002</v>
      </c>
      <c r="D1986" s="4">
        <v>2.1800000000000002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2.1800000000000002</v>
      </c>
      <c r="D1987" s="4">
        <v>2.1800000000000002</v>
      </c>
      <c r="E1987" s="4">
        <v>0</v>
      </c>
      <c r="F1987" s="4">
        <v>0</v>
      </c>
      <c r="G1987" s="4">
        <v>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2.1800000000000002</v>
      </c>
      <c r="D1988" s="4">
        <v>2.1800000000000002</v>
      </c>
      <c r="E1988" s="4">
        <v>0</v>
      </c>
      <c r="F1988" s="4">
        <v>0</v>
      </c>
      <c r="G1988" s="4">
        <v>0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2.1800000000000002</v>
      </c>
      <c r="D1989" s="4">
        <v>2.1800000000000002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2.1800000000000002</v>
      </c>
      <c r="D1990" s="4">
        <v>2.1800000000000002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2.1800000000000002</v>
      </c>
      <c r="D1991" s="4">
        <v>2.1800000000000002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2.1800000000000002</v>
      </c>
      <c r="D1992" s="4">
        <v>2.1800000000000002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2.1800000000000002</v>
      </c>
      <c r="D1993" s="4">
        <v>2.1800000000000002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2.1800000000000002</v>
      </c>
      <c r="D1994" s="4">
        <v>2.1800000000000002</v>
      </c>
      <c r="E1994" s="4">
        <v>0</v>
      </c>
      <c r="F1994" s="4">
        <v>0</v>
      </c>
      <c r="G1994" s="4">
        <v>0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2.1800000000000002</v>
      </c>
      <c r="D1995" s="4">
        <v>2.1800000000000002</v>
      </c>
      <c r="E1995" s="4">
        <v>0</v>
      </c>
      <c r="F1995" s="4">
        <v>0</v>
      </c>
      <c r="G1995" s="4">
        <v>0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2.1800000000000002</v>
      </c>
      <c r="D1996" s="4">
        <v>2.1800000000000002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2.1800000000000002</v>
      </c>
      <c r="D1997" s="4">
        <v>2.1800000000000002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2.1800000000000002</v>
      </c>
      <c r="D1998" s="4">
        <v>2.1800000000000002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2.1800000000000002</v>
      </c>
      <c r="D1999" s="4">
        <v>2.1800000000000002</v>
      </c>
      <c r="E1999" s="4">
        <v>0</v>
      </c>
      <c r="F1999" s="4">
        <v>0</v>
      </c>
      <c r="G1999" s="4">
        <v>0</v>
      </c>
      <c r="H1999" s="5">
        <f t="shared" si="31"/>
        <v>0</v>
      </c>
    </row>
    <row r="2000" spans="1:8" ht="13.5" x14ac:dyDescent="0.25">
      <c r="A2000" s="1"/>
      <c r="B2000" s="3">
        <v>45212</v>
      </c>
      <c r="C2000" s="4">
        <v>2.1800000000000002</v>
      </c>
      <c r="D2000" s="4">
        <v>2.1800000000000002</v>
      </c>
      <c r="E2000" s="4">
        <v>0</v>
      </c>
      <c r="F2000" s="4">
        <v>0</v>
      </c>
      <c r="G2000" s="4">
        <v>0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2.1800000000000002</v>
      </c>
      <c r="D2001" s="4">
        <v>2.1800000000000002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2.09</v>
      </c>
      <c r="D2002" s="4">
        <v>2.09</v>
      </c>
      <c r="E2002" s="4">
        <v>50</v>
      </c>
      <c r="F2002" s="4">
        <v>2.09</v>
      </c>
      <c r="G2002" s="4">
        <v>104.5</v>
      </c>
      <c r="H2002" s="5">
        <f t="shared" si="31"/>
        <v>-4.1284403669724905E-2</v>
      </c>
    </row>
    <row r="2003" spans="1:8" ht="13.5" x14ac:dyDescent="0.25">
      <c r="A2003" s="1"/>
      <c r="B2003" s="3">
        <v>45217</v>
      </c>
      <c r="C2003" s="4">
        <v>2</v>
      </c>
      <c r="D2003" s="4">
        <v>2</v>
      </c>
      <c r="E2003" s="4">
        <v>0</v>
      </c>
      <c r="F2003" s="4">
        <v>0</v>
      </c>
      <c r="G2003" s="4">
        <v>0</v>
      </c>
      <c r="H2003" s="5">
        <f t="shared" si="31"/>
        <v>-4.3062200956937732E-2</v>
      </c>
    </row>
    <row r="2004" spans="1:8" ht="13.5" x14ac:dyDescent="0.25">
      <c r="A2004" s="1"/>
      <c r="B2004" s="3">
        <v>45218</v>
      </c>
      <c r="C2004" s="4">
        <v>1.91</v>
      </c>
      <c r="D2004" s="4">
        <v>1.91</v>
      </c>
      <c r="E2004" s="4">
        <v>0</v>
      </c>
      <c r="F2004" s="4">
        <v>0</v>
      </c>
      <c r="G2004" s="4">
        <v>0</v>
      </c>
      <c r="H2004" s="5">
        <f t="shared" si="31"/>
        <v>-4.500000000000004E-2</v>
      </c>
    </row>
    <row r="2005" spans="1:8" ht="13.5" x14ac:dyDescent="0.25">
      <c r="A2005" s="1"/>
      <c r="B2005" s="3">
        <v>45219</v>
      </c>
      <c r="C2005" s="4">
        <v>1.83</v>
      </c>
      <c r="D2005" s="4">
        <v>1.83</v>
      </c>
      <c r="E2005" s="4">
        <v>0</v>
      </c>
      <c r="F2005" s="4">
        <v>0</v>
      </c>
      <c r="G2005" s="4">
        <v>0</v>
      </c>
      <c r="H2005" s="5">
        <f t="shared" si="31"/>
        <v>-4.1884816753926621E-2</v>
      </c>
    </row>
    <row r="2006" spans="1:8" ht="13.5" x14ac:dyDescent="0.25">
      <c r="A2006" s="1"/>
      <c r="B2006" s="3">
        <v>45222</v>
      </c>
      <c r="C2006" s="4">
        <v>1.75</v>
      </c>
      <c r="D2006" s="4">
        <v>1.75</v>
      </c>
      <c r="E2006" s="4">
        <v>0</v>
      </c>
      <c r="F2006" s="4">
        <v>0</v>
      </c>
      <c r="G2006" s="4">
        <v>0</v>
      </c>
      <c r="H2006" s="5">
        <f t="shared" si="31"/>
        <v>-4.3715846994535554E-2</v>
      </c>
    </row>
    <row r="2007" spans="1:8" ht="13.5" x14ac:dyDescent="0.25">
      <c r="A2007" s="1"/>
      <c r="B2007" s="3">
        <v>45223</v>
      </c>
      <c r="C2007" s="4">
        <v>1.75</v>
      </c>
      <c r="D2007" s="4">
        <v>1.75</v>
      </c>
      <c r="E2007" s="4">
        <v>0</v>
      </c>
      <c r="F2007" s="4">
        <v>0</v>
      </c>
      <c r="G2007" s="4">
        <v>0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1.74</v>
      </c>
      <c r="D2008" s="4">
        <v>1.74</v>
      </c>
      <c r="E2008" s="4">
        <v>14119</v>
      </c>
      <c r="F2008" s="4">
        <v>1.74</v>
      </c>
      <c r="G2008" s="4">
        <v>24567.06</v>
      </c>
      <c r="H2008" s="5">
        <f t="shared" si="31"/>
        <v>-5.7142857142857195E-3</v>
      </c>
    </row>
    <row r="2009" spans="1:8" ht="13.5" x14ac:dyDescent="0.25">
      <c r="A2009" s="1"/>
      <c r="B2009" s="3">
        <v>45225</v>
      </c>
      <c r="C2009" s="4">
        <v>1.74</v>
      </c>
      <c r="D2009" s="4">
        <v>1.74</v>
      </c>
      <c r="E2009" s="4">
        <v>0</v>
      </c>
      <c r="F2009" s="4">
        <v>0</v>
      </c>
      <c r="G2009" s="4">
        <v>0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1.67</v>
      </c>
      <c r="D2010" s="4">
        <v>1.67</v>
      </c>
      <c r="E2010" s="4">
        <v>0</v>
      </c>
      <c r="F2010" s="4">
        <v>0</v>
      </c>
      <c r="G2010" s="4">
        <v>0</v>
      </c>
      <c r="H2010" s="5">
        <f t="shared" si="31"/>
        <v>-4.0229885057471299E-2</v>
      </c>
    </row>
    <row r="2011" spans="1:8" ht="13.5" x14ac:dyDescent="0.25">
      <c r="A2011" s="1"/>
      <c r="B2011" s="3">
        <v>45229</v>
      </c>
      <c r="C2011" s="4">
        <v>1.6</v>
      </c>
      <c r="D2011" s="4">
        <v>1.6</v>
      </c>
      <c r="E2011" s="4">
        <v>0</v>
      </c>
      <c r="F2011" s="4">
        <v>0</v>
      </c>
      <c r="G2011" s="4">
        <v>0</v>
      </c>
      <c r="H2011" s="5">
        <f t="shared" si="31"/>
        <v>-4.1916167664670566E-2</v>
      </c>
    </row>
    <row r="2012" spans="1:8" ht="13.5" x14ac:dyDescent="0.25">
      <c r="A2012" s="1"/>
      <c r="B2012" s="3">
        <v>45230</v>
      </c>
      <c r="C2012" s="4">
        <v>1.67</v>
      </c>
      <c r="D2012" s="4">
        <v>1.67</v>
      </c>
      <c r="E2012" s="4">
        <v>0</v>
      </c>
      <c r="F2012" s="4">
        <v>0</v>
      </c>
      <c r="G2012" s="4">
        <v>0</v>
      </c>
      <c r="H2012" s="5">
        <f t="shared" si="31"/>
        <v>4.37499999999999E-2</v>
      </c>
    </row>
    <row r="2013" spans="1:8" ht="13.5" x14ac:dyDescent="0.25">
      <c r="A2013" s="1"/>
      <c r="B2013" s="3">
        <v>45231</v>
      </c>
      <c r="C2013" s="4">
        <v>1.74</v>
      </c>
      <c r="D2013" s="4">
        <v>1.74</v>
      </c>
      <c r="E2013" s="4">
        <v>0</v>
      </c>
      <c r="F2013" s="4">
        <v>0</v>
      </c>
      <c r="G2013" s="4">
        <v>0</v>
      </c>
      <c r="H2013" s="5">
        <f t="shared" si="31"/>
        <v>4.1916167664670698E-2</v>
      </c>
    </row>
    <row r="2014" spans="1:8" ht="13.5" x14ac:dyDescent="0.25">
      <c r="A2014" s="1"/>
      <c r="B2014" s="3">
        <v>45232</v>
      </c>
      <c r="C2014" s="4">
        <v>1.67</v>
      </c>
      <c r="D2014" s="4">
        <v>1.67</v>
      </c>
      <c r="E2014" s="4">
        <v>0</v>
      </c>
      <c r="F2014" s="4">
        <v>0</v>
      </c>
      <c r="G2014" s="4">
        <v>0</v>
      </c>
      <c r="H2014" s="5">
        <f t="shared" si="31"/>
        <v>-4.0229885057471299E-2</v>
      </c>
    </row>
    <row r="2015" spans="1:8" ht="13.5" x14ac:dyDescent="0.25">
      <c r="A2015" s="1"/>
      <c r="B2015" s="3">
        <v>45233</v>
      </c>
      <c r="C2015" s="4">
        <v>1.7</v>
      </c>
      <c r="D2015" s="4">
        <v>1.7</v>
      </c>
      <c r="E2015" s="4">
        <v>33514</v>
      </c>
      <c r="F2015" s="4">
        <v>1.7</v>
      </c>
      <c r="G2015" s="4">
        <v>56973.8</v>
      </c>
      <c r="H2015" s="5">
        <f t="shared" si="31"/>
        <v>1.7964071856287442E-2</v>
      </c>
    </row>
    <row r="2016" spans="1:8" ht="13.5" x14ac:dyDescent="0.25">
      <c r="A2016" s="1"/>
      <c r="B2016" s="3">
        <v>45236</v>
      </c>
      <c r="C2016" s="4">
        <v>1.7</v>
      </c>
      <c r="D2016" s="4">
        <v>1.7</v>
      </c>
      <c r="E2016" s="4">
        <v>50</v>
      </c>
      <c r="F2016" s="4">
        <v>1.7</v>
      </c>
      <c r="G2016" s="4">
        <v>85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1.63</v>
      </c>
      <c r="D2017" s="4">
        <v>1.63</v>
      </c>
      <c r="E2017" s="4">
        <v>0</v>
      </c>
      <c r="F2017" s="4">
        <v>0</v>
      </c>
      <c r="G2017" s="4">
        <v>0</v>
      </c>
      <c r="H2017" s="5">
        <f t="shared" si="31"/>
        <v>-4.1176470588235335E-2</v>
      </c>
    </row>
    <row r="2018" spans="1:8" ht="13.5" x14ac:dyDescent="0.25">
      <c r="A2018" s="1"/>
      <c r="B2018" s="3">
        <v>45238</v>
      </c>
      <c r="C2018" s="4">
        <v>1.63</v>
      </c>
      <c r="D2018" s="4">
        <v>1.63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1.57</v>
      </c>
      <c r="D2019" s="4">
        <v>1.57</v>
      </c>
      <c r="E2019" s="4">
        <v>206</v>
      </c>
      <c r="F2019" s="4">
        <v>1.581</v>
      </c>
      <c r="G2019" s="4">
        <v>325.68599999999998</v>
      </c>
      <c r="H2019" s="5">
        <f t="shared" si="31"/>
        <v>-3.6809815950920144E-2</v>
      </c>
    </row>
    <row r="2020" spans="1:8" ht="13.5" x14ac:dyDescent="0.25">
      <c r="A2020" s="1"/>
      <c r="B2020" s="3">
        <v>45240</v>
      </c>
      <c r="C2020" s="4">
        <v>1.5</v>
      </c>
      <c r="D2020" s="4">
        <v>1.5</v>
      </c>
      <c r="E2020" s="4">
        <v>0</v>
      </c>
      <c r="F2020" s="4">
        <v>0</v>
      </c>
      <c r="G2020" s="4">
        <v>0</v>
      </c>
      <c r="H2020" s="5">
        <f t="shared" si="31"/>
        <v>-4.4585987261146535E-2</v>
      </c>
    </row>
    <row r="2021" spans="1:8" ht="13.5" x14ac:dyDescent="0.25">
      <c r="A2021" s="1"/>
      <c r="B2021" s="3">
        <v>45243</v>
      </c>
      <c r="C2021" s="4">
        <v>1.5</v>
      </c>
      <c r="D2021" s="4">
        <v>1.5</v>
      </c>
      <c r="E2021" s="4">
        <v>90</v>
      </c>
      <c r="F2021" s="4">
        <v>1.5</v>
      </c>
      <c r="G2021" s="4">
        <v>135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1.49</v>
      </c>
      <c r="D2022" s="4">
        <v>1.49</v>
      </c>
      <c r="E2022" s="4">
        <v>122</v>
      </c>
      <c r="F2022" s="4">
        <v>1.49</v>
      </c>
      <c r="G2022" s="4">
        <v>181.78</v>
      </c>
      <c r="H2022" s="5">
        <f t="shared" si="31"/>
        <v>-6.6666666666666723E-3</v>
      </c>
    </row>
    <row r="2023" spans="1:8" ht="13.5" x14ac:dyDescent="0.25">
      <c r="A2023" s="1"/>
      <c r="B2023" s="3">
        <v>45245</v>
      </c>
      <c r="C2023" s="4">
        <v>1.48</v>
      </c>
      <c r="D2023" s="4">
        <v>1.48</v>
      </c>
      <c r="E2023" s="4">
        <v>40</v>
      </c>
      <c r="F2023" s="4">
        <v>1.482</v>
      </c>
      <c r="G2023" s="4">
        <v>59.28</v>
      </c>
      <c r="H2023" s="5">
        <f t="shared" si="31"/>
        <v>-6.7114093959731603E-3</v>
      </c>
    </row>
    <row r="2024" spans="1:8" ht="13.5" x14ac:dyDescent="0.25">
      <c r="A2024" s="1"/>
      <c r="B2024" s="3">
        <v>45246</v>
      </c>
      <c r="C2024" s="4">
        <v>1.48</v>
      </c>
      <c r="D2024" s="4">
        <v>1.48</v>
      </c>
      <c r="E2024" s="4">
        <v>11</v>
      </c>
      <c r="F2024" s="4">
        <v>1.48</v>
      </c>
      <c r="G2024" s="4">
        <v>16.28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1.42</v>
      </c>
      <c r="D2025" s="4">
        <v>1.42</v>
      </c>
      <c r="E2025" s="4">
        <v>1</v>
      </c>
      <c r="F2025" s="4">
        <v>1.49</v>
      </c>
      <c r="G2025" s="4">
        <v>1.49</v>
      </c>
      <c r="H2025" s="5">
        <f t="shared" si="31"/>
        <v>-4.0540540540540577E-2</v>
      </c>
    </row>
    <row r="2026" spans="1:8" ht="13.5" x14ac:dyDescent="0.25">
      <c r="A2026" s="1"/>
      <c r="B2026" s="3">
        <v>45250</v>
      </c>
      <c r="C2026" s="4">
        <v>1.42</v>
      </c>
      <c r="D2026" s="4">
        <v>1.42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1.48</v>
      </c>
      <c r="D2027" s="4">
        <v>1.48</v>
      </c>
      <c r="E2027" s="4">
        <v>0</v>
      </c>
      <c r="F2027" s="4">
        <v>0</v>
      </c>
      <c r="G2027" s="4">
        <v>0</v>
      </c>
      <c r="H2027" s="5">
        <f t="shared" si="31"/>
        <v>4.2253521126760604E-2</v>
      </c>
    </row>
    <row r="2028" spans="1:8" ht="13.5" x14ac:dyDescent="0.25">
      <c r="A2028" s="1"/>
      <c r="B2028" s="3">
        <v>45252</v>
      </c>
      <c r="C2028" s="4">
        <v>1.42</v>
      </c>
      <c r="D2028" s="4">
        <v>1.42</v>
      </c>
      <c r="E2028" s="4">
        <v>0</v>
      </c>
      <c r="F2028" s="4">
        <v>0</v>
      </c>
      <c r="G2028" s="4">
        <v>0</v>
      </c>
      <c r="H2028" s="5">
        <f t="shared" si="31"/>
        <v>-4.0540540540540577E-2</v>
      </c>
    </row>
    <row r="2029" spans="1:8" ht="13.5" x14ac:dyDescent="0.25">
      <c r="A2029" s="1"/>
      <c r="B2029" s="3">
        <v>45253</v>
      </c>
      <c r="C2029" s="4">
        <v>1.36</v>
      </c>
      <c r="D2029" s="4">
        <v>1.36</v>
      </c>
      <c r="E2029" s="4">
        <v>126</v>
      </c>
      <c r="F2029" s="4">
        <v>1.39</v>
      </c>
      <c r="G2029" s="4">
        <v>175.14</v>
      </c>
      <c r="H2029" s="5">
        <f t="shared" si="31"/>
        <v>-4.2253521126760445E-2</v>
      </c>
    </row>
    <row r="2030" spans="1:8" ht="13.5" x14ac:dyDescent="0.25">
      <c r="A2030" s="1"/>
      <c r="B2030" s="3">
        <v>45254</v>
      </c>
      <c r="C2030" s="4">
        <v>1.35</v>
      </c>
      <c r="D2030" s="4">
        <v>1.35</v>
      </c>
      <c r="E2030" s="4">
        <v>162</v>
      </c>
      <c r="F2030" s="4">
        <v>1.35</v>
      </c>
      <c r="G2030" s="4">
        <v>218.7</v>
      </c>
      <c r="H2030" s="5">
        <f t="shared" si="31"/>
        <v>-7.3529411764705942E-3</v>
      </c>
    </row>
    <row r="2031" spans="1:8" ht="13.5" x14ac:dyDescent="0.25">
      <c r="A2031" s="1"/>
      <c r="B2031" s="3">
        <v>45257</v>
      </c>
      <c r="C2031" s="4">
        <v>1.35</v>
      </c>
      <c r="D2031" s="4">
        <v>1.35</v>
      </c>
      <c r="E2031" s="4">
        <v>0</v>
      </c>
      <c r="F2031" s="4">
        <v>0</v>
      </c>
      <c r="G2031" s="4">
        <v>0</v>
      </c>
      <c r="H2031" s="5">
        <f t="shared" si="31"/>
        <v>0</v>
      </c>
    </row>
    <row r="2032" spans="1:8" ht="13.5" x14ac:dyDescent="0.25">
      <c r="A2032" s="1"/>
      <c r="B2032" s="3">
        <v>45258</v>
      </c>
      <c r="C2032" s="4">
        <v>1.35</v>
      </c>
      <c r="D2032" s="4">
        <v>1.35</v>
      </c>
      <c r="E2032" s="4">
        <v>0</v>
      </c>
      <c r="F2032" s="4">
        <v>0</v>
      </c>
      <c r="G2032" s="4">
        <v>0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1.29</v>
      </c>
      <c r="D2033" s="4">
        <v>1.29</v>
      </c>
      <c r="E2033" s="4">
        <v>120</v>
      </c>
      <c r="F2033" s="4">
        <v>1.3</v>
      </c>
      <c r="G2033" s="4">
        <v>156</v>
      </c>
      <c r="H2033" s="5">
        <f t="shared" si="31"/>
        <v>-4.4444444444444481E-2</v>
      </c>
    </row>
    <row r="2034" spans="1:8" ht="13.5" x14ac:dyDescent="0.25">
      <c r="A2034" s="1"/>
      <c r="B2034" s="3">
        <v>45260</v>
      </c>
      <c r="C2034" s="4">
        <v>1.24</v>
      </c>
      <c r="D2034" s="4">
        <v>1.24</v>
      </c>
      <c r="E2034" s="4">
        <v>133</v>
      </c>
      <c r="F2034" s="4">
        <v>1.24</v>
      </c>
      <c r="G2034" s="4">
        <v>164.92</v>
      </c>
      <c r="H2034" s="5">
        <f t="shared" si="31"/>
        <v>-3.8759689922480654E-2</v>
      </c>
    </row>
    <row r="2035" spans="1:8" ht="13.5" x14ac:dyDescent="0.25">
      <c r="A2035" s="1"/>
      <c r="B2035" s="3">
        <v>45261</v>
      </c>
      <c r="C2035" s="4">
        <v>1.24</v>
      </c>
      <c r="D2035" s="4">
        <v>1.24</v>
      </c>
      <c r="E2035" s="4">
        <v>0</v>
      </c>
      <c r="F2035" s="4">
        <v>0</v>
      </c>
      <c r="G2035" s="4">
        <v>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1.24</v>
      </c>
      <c r="D2036" s="4">
        <v>1.24</v>
      </c>
      <c r="E2036" s="4">
        <v>1030</v>
      </c>
      <c r="F2036" s="4">
        <v>1.24</v>
      </c>
      <c r="G2036" s="4">
        <v>1277.2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1.19</v>
      </c>
      <c r="D2037" s="4">
        <v>1.19</v>
      </c>
      <c r="E2037" s="4">
        <v>25</v>
      </c>
      <c r="F2037" s="4">
        <v>1.19</v>
      </c>
      <c r="G2037" s="4">
        <v>29.75</v>
      </c>
      <c r="H2037" s="5">
        <f t="shared" si="31"/>
        <v>-4.0322580645161324E-2</v>
      </c>
    </row>
    <row r="2038" spans="1:8" ht="13.5" x14ac:dyDescent="0.25">
      <c r="A2038" s="1"/>
      <c r="B2038" s="3">
        <v>45266</v>
      </c>
      <c r="C2038" s="4">
        <v>1.1399999999999999</v>
      </c>
      <c r="D2038" s="4">
        <v>1.1399999999999999</v>
      </c>
      <c r="E2038" s="4">
        <v>4597</v>
      </c>
      <c r="F2038" s="4">
        <v>1.1399999999999999</v>
      </c>
      <c r="G2038" s="4">
        <v>5240.58</v>
      </c>
      <c r="H2038" s="5">
        <f t="shared" si="31"/>
        <v>-4.2016806722689114E-2</v>
      </c>
    </row>
    <row r="2039" spans="1:8" ht="13.5" x14ac:dyDescent="0.25">
      <c r="A2039" s="1"/>
      <c r="B2039" s="3">
        <v>45267</v>
      </c>
      <c r="C2039" s="4">
        <v>1.0900000000000001</v>
      </c>
      <c r="D2039" s="4">
        <v>1.0900000000000001</v>
      </c>
      <c r="E2039" s="4">
        <v>17410</v>
      </c>
      <c r="F2039" s="4">
        <v>1.0900000000000001</v>
      </c>
      <c r="G2039" s="4">
        <v>18976.900000000001</v>
      </c>
      <c r="H2039" s="5">
        <f t="shared" si="31"/>
        <v>-4.3859649122806862E-2</v>
      </c>
    </row>
    <row r="2040" spans="1:8" ht="13.5" x14ac:dyDescent="0.25">
      <c r="A2040" s="1"/>
      <c r="B2040" s="3">
        <v>45268</v>
      </c>
      <c r="C2040" s="4">
        <v>1.05</v>
      </c>
      <c r="D2040" s="4">
        <v>1.05</v>
      </c>
      <c r="E2040" s="4">
        <v>16958</v>
      </c>
      <c r="F2040" s="4">
        <v>1.05</v>
      </c>
      <c r="G2040" s="4">
        <v>17805.900000000001</v>
      </c>
      <c r="H2040" s="5">
        <f t="shared" si="31"/>
        <v>-3.6697247706422048E-2</v>
      </c>
    </row>
    <row r="2041" spans="1:8" ht="13.5" x14ac:dyDescent="0.25">
      <c r="A2041" s="1"/>
      <c r="B2041" s="3">
        <v>45271</v>
      </c>
      <c r="C2041" s="4">
        <v>1.05</v>
      </c>
      <c r="D2041" s="4">
        <v>1.05</v>
      </c>
      <c r="E2041" s="4">
        <v>5130</v>
      </c>
      <c r="F2041" s="4">
        <v>1.05</v>
      </c>
      <c r="G2041" s="4">
        <v>5386.5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1.05</v>
      </c>
      <c r="D2042" s="4">
        <v>1.05</v>
      </c>
      <c r="E2042" s="4">
        <v>0</v>
      </c>
      <c r="F2042" s="4">
        <v>0</v>
      </c>
      <c r="G2042" s="4">
        <v>0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1.0900000000000001</v>
      </c>
      <c r="D2043" s="4">
        <v>1.0900000000000001</v>
      </c>
      <c r="E2043" s="4">
        <v>0</v>
      </c>
      <c r="F2043" s="4">
        <v>0</v>
      </c>
      <c r="G2043" s="4">
        <v>0</v>
      </c>
      <c r="H2043" s="5">
        <f t="shared" si="31"/>
        <v>3.8095238095238126E-2</v>
      </c>
    </row>
    <row r="2044" spans="1:8" ht="13.5" x14ac:dyDescent="0.25">
      <c r="A2044" s="1"/>
      <c r="B2044" s="3">
        <v>45274</v>
      </c>
      <c r="C2044" s="4">
        <v>1.1299999999999999</v>
      </c>
      <c r="D2044" s="4">
        <v>1.1299999999999999</v>
      </c>
      <c r="E2044" s="4">
        <v>0</v>
      </c>
      <c r="F2044" s="4">
        <v>0</v>
      </c>
      <c r="G2044" s="4">
        <v>0</v>
      </c>
      <c r="H2044" s="5">
        <f t="shared" si="31"/>
        <v>3.6697247706421847E-2</v>
      </c>
    </row>
    <row r="2045" spans="1:8" ht="13.5" x14ac:dyDescent="0.25">
      <c r="A2045" s="1"/>
      <c r="B2045" s="3">
        <v>45275</v>
      </c>
      <c r="C2045" s="4">
        <v>1.18</v>
      </c>
      <c r="D2045" s="4">
        <v>1.18</v>
      </c>
      <c r="E2045" s="4">
        <v>214</v>
      </c>
      <c r="F2045" s="4">
        <v>1.17</v>
      </c>
      <c r="G2045" s="4">
        <v>250.38</v>
      </c>
      <c r="H2045" s="5">
        <f t="shared" si="31"/>
        <v>4.424778761061951E-2</v>
      </c>
    </row>
    <row r="2046" spans="1:8" ht="13.5" x14ac:dyDescent="0.25">
      <c r="A2046" s="1"/>
      <c r="B2046" s="3">
        <v>45278</v>
      </c>
      <c r="C2046" s="4">
        <v>1.23</v>
      </c>
      <c r="D2046" s="4">
        <v>1.23</v>
      </c>
      <c r="E2046" s="4">
        <v>19694</v>
      </c>
      <c r="F2046" s="4">
        <v>1.23</v>
      </c>
      <c r="G2046" s="4">
        <v>24223.62</v>
      </c>
      <c r="H2046" s="5">
        <f t="shared" si="31"/>
        <v>4.2372881355932243E-2</v>
      </c>
    </row>
    <row r="2047" spans="1:8" ht="13.5" x14ac:dyDescent="0.25">
      <c r="A2047" s="1"/>
      <c r="B2047" s="3">
        <v>45279</v>
      </c>
      <c r="C2047" s="4">
        <v>1.28</v>
      </c>
      <c r="D2047" s="4">
        <v>1.28</v>
      </c>
      <c r="E2047" s="4">
        <v>2890</v>
      </c>
      <c r="F2047" s="4">
        <v>1.26</v>
      </c>
      <c r="G2047" s="4">
        <v>3641.4</v>
      </c>
      <c r="H2047" s="5">
        <f t="shared" si="31"/>
        <v>4.0650406504065074E-2</v>
      </c>
    </row>
    <row r="2048" spans="1:8" ht="13.5" x14ac:dyDescent="0.25">
      <c r="A2048" s="1"/>
      <c r="B2048" s="3">
        <v>45280</v>
      </c>
      <c r="C2048" s="4">
        <v>1.33</v>
      </c>
      <c r="D2048" s="4">
        <v>1.33</v>
      </c>
      <c r="E2048" s="4">
        <v>0</v>
      </c>
      <c r="F2048" s="4">
        <v>0</v>
      </c>
      <c r="G2048" s="4">
        <v>0</v>
      </c>
      <c r="H2048" s="5">
        <f t="shared" si="31"/>
        <v>3.9062500000000035E-2</v>
      </c>
    </row>
    <row r="2049" spans="1:8" ht="13.5" x14ac:dyDescent="0.25">
      <c r="A2049" s="1"/>
      <c r="B2049" s="3">
        <v>45281</v>
      </c>
      <c r="C2049" s="4">
        <v>1.38</v>
      </c>
      <c r="D2049" s="4">
        <v>1.38</v>
      </c>
      <c r="E2049" s="4">
        <v>0</v>
      </c>
      <c r="F2049" s="4">
        <v>0</v>
      </c>
      <c r="G2049" s="4">
        <v>0</v>
      </c>
      <c r="H2049" s="5">
        <f t="shared" si="31"/>
        <v>3.7593984962405881E-2</v>
      </c>
    </row>
    <row r="2050" spans="1:8" ht="13.5" x14ac:dyDescent="0.25">
      <c r="A2050" s="1"/>
      <c r="B2050" s="3">
        <v>45282</v>
      </c>
      <c r="C2050" s="4">
        <v>1.44</v>
      </c>
      <c r="D2050" s="4">
        <v>1.44</v>
      </c>
      <c r="E2050" s="4">
        <v>4364</v>
      </c>
      <c r="F2050" s="4">
        <v>1.4259999999999999</v>
      </c>
      <c r="G2050" s="4">
        <v>6223.0640000000003</v>
      </c>
      <c r="H2050" s="5">
        <f t="shared" si="31"/>
        <v>4.3478260869565258E-2</v>
      </c>
    </row>
    <row r="2051" spans="1:8" ht="13.5" x14ac:dyDescent="0.25">
      <c r="A2051" s="1"/>
      <c r="B2051" s="3">
        <v>45285</v>
      </c>
      <c r="C2051" s="4">
        <v>1.43</v>
      </c>
      <c r="D2051" s="4">
        <v>1.43</v>
      </c>
      <c r="E2051" s="4">
        <v>6384</v>
      </c>
      <c r="F2051" s="4">
        <v>1.43</v>
      </c>
      <c r="G2051" s="4">
        <v>9129.1200000000008</v>
      </c>
      <c r="H2051" s="5">
        <f t="shared" si="31"/>
        <v>-6.944444444444451E-3</v>
      </c>
    </row>
    <row r="2052" spans="1:8" ht="13.5" x14ac:dyDescent="0.25">
      <c r="A2052" s="1"/>
      <c r="B2052" s="3">
        <v>45286</v>
      </c>
      <c r="C2052" s="4">
        <v>1.49</v>
      </c>
      <c r="D2052" s="4">
        <v>1.49</v>
      </c>
      <c r="E2052" s="4">
        <v>8104</v>
      </c>
      <c r="F2052" s="4">
        <v>1.49</v>
      </c>
      <c r="G2052" s="4">
        <v>12074.96</v>
      </c>
      <c r="H2052" s="5">
        <f t="shared" si="31"/>
        <v>4.1958041958041994E-2</v>
      </c>
    </row>
    <row r="2053" spans="1:8" ht="13.5" x14ac:dyDescent="0.25">
      <c r="A2053" s="1"/>
      <c r="B2053" s="3">
        <v>45287</v>
      </c>
      <c r="C2053" s="4">
        <v>1.55</v>
      </c>
      <c r="D2053" s="4">
        <v>1.55</v>
      </c>
      <c r="E2053" s="4">
        <v>1010</v>
      </c>
      <c r="F2053" s="4">
        <v>1.55</v>
      </c>
      <c r="G2053" s="4">
        <v>1565.5</v>
      </c>
      <c r="H2053" s="5">
        <f t="shared" si="31"/>
        <v>4.0268456375838965E-2</v>
      </c>
    </row>
    <row r="2054" spans="1:8" ht="13.5" x14ac:dyDescent="0.25">
      <c r="A2054" s="1"/>
      <c r="B2054" s="3">
        <v>45288</v>
      </c>
      <c r="C2054" s="4">
        <v>1.55</v>
      </c>
      <c r="D2054" s="4">
        <v>1.55</v>
      </c>
      <c r="E2054" s="4">
        <v>6626</v>
      </c>
      <c r="F2054" s="4">
        <v>1.55</v>
      </c>
      <c r="G2054" s="4">
        <v>10270.299999999999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1.59</v>
      </c>
      <c r="D2055" s="4">
        <v>1.59</v>
      </c>
      <c r="E2055" s="4">
        <v>360</v>
      </c>
      <c r="F2055" s="4">
        <v>1.59</v>
      </c>
      <c r="G2055" s="4">
        <v>572.4</v>
      </c>
      <c r="H2055" s="5">
        <f t="shared" ref="H2055:H2118" si="32">(D2055-D2054)/D2054</f>
        <v>2.5806451612903247E-2</v>
      </c>
    </row>
    <row r="2056" spans="1:8" ht="13.5" x14ac:dyDescent="0.25">
      <c r="A2056" s="1"/>
      <c r="B2056" s="3">
        <v>45293</v>
      </c>
      <c r="C2056" s="4">
        <v>1.59</v>
      </c>
      <c r="D2056" s="4">
        <v>1.59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1.52</v>
      </c>
      <c r="D2057" s="4">
        <v>1.52</v>
      </c>
      <c r="E2057" s="4">
        <v>0</v>
      </c>
      <c r="F2057" s="4">
        <v>0</v>
      </c>
      <c r="G2057" s="4">
        <v>0</v>
      </c>
      <c r="H2057" s="5">
        <f t="shared" si="32"/>
        <v>-4.4025157232704441E-2</v>
      </c>
    </row>
    <row r="2058" spans="1:8" ht="13.5" x14ac:dyDescent="0.25">
      <c r="A2058" s="1"/>
      <c r="B2058" s="3">
        <v>45295</v>
      </c>
      <c r="C2058" s="4">
        <v>1.55</v>
      </c>
      <c r="D2058" s="4">
        <v>1.55</v>
      </c>
      <c r="E2058" s="4">
        <v>1113</v>
      </c>
      <c r="F2058" s="4">
        <v>1.55</v>
      </c>
      <c r="G2058" s="4">
        <v>1725.15</v>
      </c>
      <c r="H2058" s="5">
        <f t="shared" si="32"/>
        <v>1.9736842105263174E-2</v>
      </c>
    </row>
    <row r="2059" spans="1:8" ht="13.5" x14ac:dyDescent="0.25">
      <c r="A2059" s="1"/>
      <c r="B2059" s="3">
        <v>45296</v>
      </c>
      <c r="C2059" s="4">
        <v>1.55</v>
      </c>
      <c r="D2059" s="4">
        <v>1.55</v>
      </c>
      <c r="E2059" s="4">
        <v>3150</v>
      </c>
      <c r="F2059" s="4">
        <v>1.55</v>
      </c>
      <c r="G2059" s="4">
        <v>4882.5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1.55</v>
      </c>
      <c r="D2060" s="4">
        <v>1.55</v>
      </c>
      <c r="E2060" s="4">
        <v>0</v>
      </c>
      <c r="F2060" s="4">
        <v>0</v>
      </c>
      <c r="G2060" s="4">
        <v>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1.55</v>
      </c>
      <c r="D2061" s="4">
        <v>1.55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1.55</v>
      </c>
      <c r="D2062" s="4">
        <v>1.55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1.5</v>
      </c>
      <c r="D2063" s="4">
        <v>1.5</v>
      </c>
      <c r="E2063" s="4">
        <v>144</v>
      </c>
      <c r="F2063" s="4">
        <v>1.5</v>
      </c>
      <c r="G2063" s="4">
        <v>216</v>
      </c>
      <c r="H2063" s="5">
        <f t="shared" si="32"/>
        <v>-3.2258064516129059E-2</v>
      </c>
    </row>
    <row r="2064" spans="1:8" ht="13.5" x14ac:dyDescent="0.25">
      <c r="A2064" s="1"/>
      <c r="B2064" s="3">
        <v>45303</v>
      </c>
      <c r="C2064" s="4">
        <v>1.5</v>
      </c>
      <c r="D2064" s="4">
        <v>1.5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1.5</v>
      </c>
      <c r="D2065" s="4">
        <v>1.5</v>
      </c>
      <c r="E2065" s="4">
        <v>500</v>
      </c>
      <c r="F2065" s="4">
        <v>1.5</v>
      </c>
      <c r="G2065" s="4">
        <v>750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1.5</v>
      </c>
      <c r="D2066" s="4">
        <v>1.5</v>
      </c>
      <c r="E2066" s="4">
        <v>0</v>
      </c>
      <c r="F2066" s="4">
        <v>0</v>
      </c>
      <c r="G2066" s="4">
        <v>0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1.45</v>
      </c>
      <c r="D2067" s="4">
        <v>1.45</v>
      </c>
      <c r="E2067" s="4">
        <v>200</v>
      </c>
      <c r="F2067" s="4">
        <v>1.45</v>
      </c>
      <c r="G2067" s="4">
        <v>290</v>
      </c>
      <c r="H2067" s="5">
        <f t="shared" si="32"/>
        <v>-3.3333333333333361E-2</v>
      </c>
    </row>
    <row r="2068" spans="1:8" ht="13.5" x14ac:dyDescent="0.25">
      <c r="A2068" s="1"/>
      <c r="B2068" s="3">
        <v>45309</v>
      </c>
      <c r="C2068" s="4">
        <v>1.51</v>
      </c>
      <c r="D2068" s="4">
        <v>1.51</v>
      </c>
      <c r="E2068" s="4">
        <v>1450</v>
      </c>
      <c r="F2068" s="4">
        <v>1.51</v>
      </c>
      <c r="G2068" s="4">
        <v>2189.5</v>
      </c>
      <c r="H2068" s="5">
        <f t="shared" si="32"/>
        <v>4.1379310344827627E-2</v>
      </c>
    </row>
    <row r="2069" spans="1:8" ht="13.5" x14ac:dyDescent="0.25">
      <c r="A2069" s="1"/>
      <c r="B2069" s="3">
        <v>45310</v>
      </c>
      <c r="C2069" s="4">
        <v>1.51</v>
      </c>
      <c r="D2069" s="4">
        <v>1.51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1.51</v>
      </c>
      <c r="D2070" s="4">
        <v>1.51</v>
      </c>
      <c r="E2070" s="4">
        <v>0</v>
      </c>
      <c r="F2070" s="4">
        <v>0</v>
      </c>
      <c r="G2070" s="4">
        <v>0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1.5</v>
      </c>
      <c r="D2071" s="4">
        <v>1.5</v>
      </c>
      <c r="E2071" s="4">
        <v>1000</v>
      </c>
      <c r="F2071" s="4">
        <v>1.5</v>
      </c>
      <c r="G2071" s="4">
        <v>1500</v>
      </c>
      <c r="H2071" s="5">
        <f t="shared" si="32"/>
        <v>-6.6225165562913968E-3</v>
      </c>
    </row>
    <row r="2072" spans="1:8" ht="13.5" x14ac:dyDescent="0.25">
      <c r="A2072" s="1"/>
      <c r="B2072" s="3">
        <v>45315</v>
      </c>
      <c r="C2072" s="4">
        <v>1.5</v>
      </c>
      <c r="D2072" s="4">
        <v>1.5</v>
      </c>
      <c r="E2072" s="4">
        <v>550</v>
      </c>
      <c r="F2072" s="4">
        <v>1.5</v>
      </c>
      <c r="G2072" s="4">
        <v>825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1.5</v>
      </c>
      <c r="D2073" s="4">
        <v>1.5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1.5</v>
      </c>
      <c r="D2074" s="4">
        <v>1.5</v>
      </c>
      <c r="E2074" s="4">
        <v>0</v>
      </c>
      <c r="F2074" s="4">
        <v>0</v>
      </c>
      <c r="G2074" s="4">
        <v>0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1.5</v>
      </c>
      <c r="D2075" s="4">
        <v>1.5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1.5</v>
      </c>
      <c r="D2076" s="4">
        <v>1.5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1.5</v>
      </c>
      <c r="D2077" s="4">
        <v>1.5</v>
      </c>
      <c r="E2077" s="4">
        <v>0</v>
      </c>
      <c r="F2077" s="4">
        <v>0</v>
      </c>
      <c r="G2077" s="4">
        <v>0</v>
      </c>
      <c r="H2077" s="5">
        <f t="shared" si="32"/>
        <v>0</v>
      </c>
    </row>
    <row r="2078" spans="1:8" ht="13.5" x14ac:dyDescent="0.25">
      <c r="A2078" s="1"/>
      <c r="B2078" s="3">
        <v>45323</v>
      </c>
      <c r="C2078" s="4">
        <v>1.5</v>
      </c>
      <c r="D2078" s="4">
        <v>1.5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1.5</v>
      </c>
      <c r="D2079" s="4">
        <v>1.5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1.5</v>
      </c>
      <c r="D2080" s="4">
        <v>1.5</v>
      </c>
      <c r="E2080" s="4">
        <v>0</v>
      </c>
      <c r="F2080" s="4">
        <v>0</v>
      </c>
      <c r="G2080" s="4">
        <v>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1.5</v>
      </c>
      <c r="D2081" s="4">
        <v>1.5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1.44</v>
      </c>
      <c r="D2082" s="4">
        <v>1.44</v>
      </c>
      <c r="E2082" s="4">
        <v>0</v>
      </c>
      <c r="F2082" s="4">
        <v>0</v>
      </c>
      <c r="G2082" s="4">
        <v>0</v>
      </c>
      <c r="H2082" s="5">
        <f t="shared" si="32"/>
        <v>-4.0000000000000036E-2</v>
      </c>
    </row>
    <row r="2083" spans="1:8" ht="13.5" x14ac:dyDescent="0.25">
      <c r="A2083" s="1"/>
      <c r="B2083" s="3">
        <v>45330</v>
      </c>
      <c r="C2083" s="4">
        <v>1.5</v>
      </c>
      <c r="D2083" s="4">
        <v>1.5</v>
      </c>
      <c r="E2083" s="4">
        <v>0</v>
      </c>
      <c r="F2083" s="4">
        <v>0</v>
      </c>
      <c r="G2083" s="4">
        <v>0</v>
      </c>
      <c r="H2083" s="5">
        <f t="shared" si="32"/>
        <v>4.1666666666666706E-2</v>
      </c>
    </row>
    <row r="2084" spans="1:8" ht="13.5" x14ac:dyDescent="0.25">
      <c r="A2084" s="1"/>
      <c r="B2084" s="3">
        <v>45331</v>
      </c>
      <c r="C2084" s="4">
        <v>1.5</v>
      </c>
      <c r="D2084" s="4">
        <v>1.5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1.51</v>
      </c>
      <c r="D2085" s="4">
        <v>1.51</v>
      </c>
      <c r="E2085" s="4">
        <v>1010</v>
      </c>
      <c r="F2085" s="4">
        <v>1.51</v>
      </c>
      <c r="G2085" s="4">
        <v>1525.1</v>
      </c>
      <c r="H2085" s="5">
        <f t="shared" si="32"/>
        <v>6.6666666666666723E-3</v>
      </c>
    </row>
    <row r="2086" spans="1:8" ht="13.5" x14ac:dyDescent="0.25">
      <c r="A2086" s="1"/>
      <c r="B2086" s="3">
        <v>45335</v>
      </c>
      <c r="C2086" s="4">
        <v>1.57</v>
      </c>
      <c r="D2086" s="4">
        <v>1.57</v>
      </c>
      <c r="E2086" s="4">
        <v>0</v>
      </c>
      <c r="F2086" s="4">
        <v>0</v>
      </c>
      <c r="G2086" s="4">
        <v>0</v>
      </c>
      <c r="H2086" s="5">
        <f t="shared" si="32"/>
        <v>3.9735099337748381E-2</v>
      </c>
    </row>
    <row r="2087" spans="1:8" ht="13.5" x14ac:dyDescent="0.25">
      <c r="A2087" s="1"/>
      <c r="B2087" s="3">
        <v>45336</v>
      </c>
      <c r="C2087" s="4">
        <v>1.5</v>
      </c>
      <c r="D2087" s="4">
        <v>1.5</v>
      </c>
      <c r="E2087" s="4">
        <v>1150</v>
      </c>
      <c r="F2087" s="4">
        <v>1.5</v>
      </c>
      <c r="G2087" s="4">
        <v>1725</v>
      </c>
      <c r="H2087" s="5">
        <f t="shared" si="32"/>
        <v>-4.4585987261146535E-2</v>
      </c>
    </row>
    <row r="2088" spans="1:8" ht="13.5" x14ac:dyDescent="0.25">
      <c r="A2088" s="1"/>
      <c r="B2088" s="3">
        <v>45337</v>
      </c>
      <c r="C2088" s="4">
        <v>1.5</v>
      </c>
      <c r="D2088" s="4">
        <v>1.5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1.5</v>
      </c>
      <c r="D2089" s="4">
        <v>1.5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1.5</v>
      </c>
      <c r="D2090" s="4">
        <v>1.5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1.5</v>
      </c>
      <c r="D2091" s="4">
        <v>1.5</v>
      </c>
      <c r="E2091" s="4">
        <v>280</v>
      </c>
      <c r="F2091" s="4">
        <v>1.5</v>
      </c>
      <c r="G2091" s="4">
        <v>420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1.5</v>
      </c>
      <c r="D2092" s="4">
        <v>1.5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1.44</v>
      </c>
      <c r="D2093" s="4">
        <v>1.44</v>
      </c>
      <c r="E2093" s="4">
        <v>0</v>
      </c>
      <c r="F2093" s="4">
        <v>0</v>
      </c>
      <c r="G2093" s="4">
        <v>0</v>
      </c>
      <c r="H2093" s="5">
        <f t="shared" si="32"/>
        <v>-4.0000000000000036E-2</v>
      </c>
    </row>
    <row r="2094" spans="1:8" ht="13.5" x14ac:dyDescent="0.25">
      <c r="A2094" s="1"/>
      <c r="B2094" s="3">
        <v>45345</v>
      </c>
      <c r="C2094" s="4">
        <v>1.38</v>
      </c>
      <c r="D2094" s="4">
        <v>1.38</v>
      </c>
      <c r="E2094" s="4">
        <v>0</v>
      </c>
      <c r="F2094" s="4">
        <v>0</v>
      </c>
      <c r="G2094" s="4">
        <v>0</v>
      </c>
      <c r="H2094" s="5">
        <f t="shared" si="32"/>
        <v>-4.1666666666666706E-2</v>
      </c>
    </row>
    <row r="2095" spans="1:8" ht="13.5" x14ac:dyDescent="0.25">
      <c r="A2095" s="1"/>
      <c r="B2095" s="3">
        <v>45348</v>
      </c>
      <c r="C2095" s="4">
        <v>1.38</v>
      </c>
      <c r="D2095" s="4">
        <v>1.38</v>
      </c>
      <c r="E2095" s="4">
        <v>0</v>
      </c>
      <c r="F2095" s="4">
        <v>0</v>
      </c>
      <c r="G2095" s="4">
        <v>0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1.44</v>
      </c>
      <c r="D2096" s="4">
        <v>1.44</v>
      </c>
      <c r="E2096" s="4">
        <v>2500</v>
      </c>
      <c r="F2096" s="4">
        <v>1.44</v>
      </c>
      <c r="G2096" s="4">
        <v>3600</v>
      </c>
      <c r="H2096" s="5">
        <f t="shared" si="32"/>
        <v>4.3478260869565258E-2</v>
      </c>
    </row>
    <row r="2097" spans="1:8" ht="13.5" x14ac:dyDescent="0.25">
      <c r="A2097" s="1"/>
      <c r="B2097" s="3">
        <v>45350</v>
      </c>
      <c r="C2097" s="4">
        <v>1.5</v>
      </c>
      <c r="D2097" s="4">
        <v>1.5</v>
      </c>
      <c r="E2097" s="4">
        <v>1</v>
      </c>
      <c r="F2097" s="4">
        <v>1.5</v>
      </c>
      <c r="G2097" s="4">
        <v>1.5</v>
      </c>
      <c r="H2097" s="5">
        <f t="shared" si="32"/>
        <v>4.1666666666666706E-2</v>
      </c>
    </row>
    <row r="2098" spans="1:8" ht="13.5" x14ac:dyDescent="0.25">
      <c r="A2098" s="1"/>
      <c r="B2098" s="3">
        <v>45351</v>
      </c>
      <c r="C2098" s="4">
        <v>1.44</v>
      </c>
      <c r="D2098" s="4">
        <v>1.44</v>
      </c>
      <c r="E2098" s="4">
        <v>0</v>
      </c>
      <c r="F2098" s="4">
        <v>0</v>
      </c>
      <c r="G2098" s="4">
        <v>0</v>
      </c>
      <c r="H2098" s="5">
        <f t="shared" si="32"/>
        <v>-4.0000000000000036E-2</v>
      </c>
    </row>
    <row r="2099" spans="1:8" ht="13.5" x14ac:dyDescent="0.25">
      <c r="A2099" s="1"/>
      <c r="B2099" s="3">
        <v>45352</v>
      </c>
      <c r="C2099" s="4">
        <v>1.5</v>
      </c>
      <c r="D2099" s="4">
        <v>1.5</v>
      </c>
      <c r="E2099" s="4">
        <v>100</v>
      </c>
      <c r="F2099" s="4">
        <v>1.5</v>
      </c>
      <c r="G2099" s="4">
        <v>150</v>
      </c>
      <c r="H2099" s="5">
        <f t="shared" si="32"/>
        <v>4.1666666666666706E-2</v>
      </c>
    </row>
    <row r="2100" spans="1:8" ht="13.5" x14ac:dyDescent="0.25">
      <c r="A2100" s="1"/>
      <c r="B2100" s="3">
        <v>45355</v>
      </c>
      <c r="C2100" s="4">
        <v>1.5</v>
      </c>
      <c r="D2100" s="4">
        <v>1.5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1.5</v>
      </c>
      <c r="D2101" s="4">
        <v>1.5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1.44</v>
      </c>
      <c r="D2102" s="4">
        <v>1.44</v>
      </c>
      <c r="E2102" s="4">
        <v>0</v>
      </c>
      <c r="F2102" s="4">
        <v>0</v>
      </c>
      <c r="G2102" s="4">
        <v>0</v>
      </c>
      <c r="H2102" s="5">
        <f t="shared" si="32"/>
        <v>-4.0000000000000036E-2</v>
      </c>
    </row>
    <row r="2103" spans="1:8" ht="13.5" x14ac:dyDescent="0.25">
      <c r="A2103" s="1"/>
      <c r="B2103" s="3">
        <v>45358</v>
      </c>
      <c r="C2103" s="4">
        <v>1.38</v>
      </c>
      <c r="D2103" s="4">
        <v>1.38</v>
      </c>
      <c r="E2103" s="4">
        <v>0</v>
      </c>
      <c r="F2103" s="4">
        <v>0</v>
      </c>
      <c r="G2103" s="4">
        <v>0</v>
      </c>
      <c r="H2103" s="5">
        <f t="shared" si="32"/>
        <v>-4.1666666666666706E-2</v>
      </c>
    </row>
    <row r="2104" spans="1:8" ht="13.5" x14ac:dyDescent="0.25">
      <c r="A2104" s="1"/>
      <c r="B2104" s="3">
        <v>45359</v>
      </c>
      <c r="C2104" s="4">
        <v>1.32</v>
      </c>
      <c r="D2104" s="4">
        <v>1.32</v>
      </c>
      <c r="E2104" s="4">
        <v>4470</v>
      </c>
      <c r="F2104" s="4">
        <v>1.32</v>
      </c>
      <c r="G2104" s="4">
        <v>5900.4</v>
      </c>
      <c r="H2104" s="5">
        <f t="shared" si="32"/>
        <v>-4.3478260869565098E-2</v>
      </c>
    </row>
    <row r="2105" spans="1:8" ht="13.5" x14ac:dyDescent="0.25">
      <c r="A2105" s="1"/>
      <c r="B2105" s="3">
        <v>45362</v>
      </c>
      <c r="C2105" s="4">
        <v>1.32</v>
      </c>
      <c r="D2105" s="4">
        <v>1.32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1.37</v>
      </c>
      <c r="D2106" s="4">
        <v>1.37</v>
      </c>
      <c r="E2106" s="4">
        <v>35</v>
      </c>
      <c r="F2106" s="4">
        <v>1.37</v>
      </c>
      <c r="G2106" s="4">
        <v>47.95</v>
      </c>
      <c r="H2106" s="5">
        <f t="shared" si="32"/>
        <v>3.7878787878787908E-2</v>
      </c>
    </row>
    <row r="2107" spans="1:8" ht="13.5" x14ac:dyDescent="0.25">
      <c r="A2107" s="1"/>
      <c r="B2107" s="3">
        <v>45364</v>
      </c>
      <c r="C2107" s="4">
        <v>1.43</v>
      </c>
      <c r="D2107" s="4">
        <v>1.43</v>
      </c>
      <c r="E2107" s="4">
        <v>0</v>
      </c>
      <c r="F2107" s="4">
        <v>0</v>
      </c>
      <c r="G2107" s="4">
        <v>0</v>
      </c>
      <c r="H2107" s="5">
        <f t="shared" si="32"/>
        <v>4.3795620437956075E-2</v>
      </c>
    </row>
    <row r="2108" spans="1:8" ht="13.5" x14ac:dyDescent="0.25">
      <c r="A2108" s="1"/>
      <c r="B2108" s="3">
        <v>45365</v>
      </c>
      <c r="C2108" s="4">
        <v>1.49</v>
      </c>
      <c r="D2108" s="4">
        <v>1.49</v>
      </c>
      <c r="E2108" s="4">
        <v>50</v>
      </c>
      <c r="F2108" s="4">
        <v>1.49</v>
      </c>
      <c r="G2108" s="4">
        <v>74.5</v>
      </c>
      <c r="H2108" s="5">
        <f t="shared" si="32"/>
        <v>4.1958041958041994E-2</v>
      </c>
    </row>
    <row r="2109" spans="1:8" ht="13.5" x14ac:dyDescent="0.25">
      <c r="A2109" s="1"/>
      <c r="B2109" s="3">
        <v>45366</v>
      </c>
      <c r="C2109" s="4">
        <v>1.49</v>
      </c>
      <c r="D2109" s="4">
        <v>1.49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1.49</v>
      </c>
      <c r="D2110" s="4">
        <v>1.49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1.49</v>
      </c>
      <c r="D2111" s="4">
        <v>1.49</v>
      </c>
      <c r="E2111" s="4">
        <v>1000</v>
      </c>
      <c r="F2111" s="4">
        <v>1.49</v>
      </c>
      <c r="G2111" s="4">
        <v>1490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1.49</v>
      </c>
      <c r="D2112" s="4">
        <v>1.49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1.49</v>
      </c>
      <c r="D2113" s="4">
        <v>1.49</v>
      </c>
      <c r="E2113" s="4">
        <v>2095</v>
      </c>
      <c r="F2113" s="4">
        <v>1.49</v>
      </c>
      <c r="G2113" s="4">
        <v>3121.55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1.43</v>
      </c>
      <c r="D2114" s="4">
        <v>1.43</v>
      </c>
      <c r="E2114" s="4">
        <v>0</v>
      </c>
      <c r="F2114" s="4">
        <v>0</v>
      </c>
      <c r="G2114" s="4">
        <v>0</v>
      </c>
      <c r="H2114" s="5">
        <f t="shared" si="32"/>
        <v>-4.0268456375838965E-2</v>
      </c>
    </row>
    <row r="2115" spans="1:8" ht="13.5" x14ac:dyDescent="0.25">
      <c r="A2115" s="1"/>
      <c r="B2115" s="3">
        <v>45377</v>
      </c>
      <c r="C2115" s="4">
        <v>1.37</v>
      </c>
      <c r="D2115" s="4">
        <v>1.37</v>
      </c>
      <c r="E2115" s="4">
        <v>5000</v>
      </c>
      <c r="F2115" s="4">
        <v>1.37</v>
      </c>
      <c r="G2115" s="4">
        <v>6850</v>
      </c>
      <c r="H2115" s="5">
        <f t="shared" si="32"/>
        <v>-4.1958041958041842E-2</v>
      </c>
    </row>
    <row r="2116" spans="1:8" ht="13.5" x14ac:dyDescent="0.25">
      <c r="A2116" s="1"/>
      <c r="B2116" s="3">
        <v>45378</v>
      </c>
      <c r="C2116" s="4">
        <v>1.37</v>
      </c>
      <c r="D2116" s="4">
        <v>1.37</v>
      </c>
      <c r="E2116" s="4">
        <v>3523</v>
      </c>
      <c r="F2116" s="4">
        <v>1.37</v>
      </c>
      <c r="G2116" s="4">
        <v>4826.51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1.31</v>
      </c>
      <c r="D2117" s="4">
        <v>1.31</v>
      </c>
      <c r="E2117" s="4">
        <v>0</v>
      </c>
      <c r="F2117" s="4">
        <v>0</v>
      </c>
      <c r="G2117" s="4">
        <v>0</v>
      </c>
      <c r="H2117" s="5">
        <f t="shared" si="32"/>
        <v>-4.3795620437956241E-2</v>
      </c>
    </row>
    <row r="2118" spans="1:8" ht="13.5" x14ac:dyDescent="0.25">
      <c r="A2118" s="1"/>
      <c r="B2118" s="3">
        <v>45380</v>
      </c>
      <c r="C2118" s="4">
        <v>1.35</v>
      </c>
      <c r="D2118" s="4">
        <v>1.35</v>
      </c>
      <c r="E2118" s="4">
        <v>3400</v>
      </c>
      <c r="F2118" s="4">
        <v>1.35</v>
      </c>
      <c r="G2118" s="4">
        <v>4590</v>
      </c>
      <c r="H2118" s="5">
        <f t="shared" si="32"/>
        <v>3.0534351145038195E-2</v>
      </c>
    </row>
    <row r="2119" spans="1:8" ht="13.5" x14ac:dyDescent="0.25">
      <c r="A2119" s="1"/>
      <c r="B2119" s="3">
        <v>45383</v>
      </c>
      <c r="C2119" s="4">
        <v>1.35</v>
      </c>
      <c r="D2119" s="4">
        <v>1.35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1.39</v>
      </c>
      <c r="D2120" s="4">
        <v>1.39</v>
      </c>
      <c r="E2120" s="4">
        <v>10</v>
      </c>
      <c r="F2120" s="4">
        <v>1.39</v>
      </c>
      <c r="G2120" s="4">
        <v>13.9</v>
      </c>
      <c r="H2120" s="5">
        <f t="shared" si="33"/>
        <v>2.9629629629629489E-2</v>
      </c>
    </row>
    <row r="2121" spans="1:8" ht="13.5" x14ac:dyDescent="0.25">
      <c r="A2121" s="1"/>
      <c r="B2121" s="3">
        <v>45385</v>
      </c>
      <c r="C2121" s="4">
        <v>1.39</v>
      </c>
      <c r="D2121" s="4">
        <v>1.39</v>
      </c>
      <c r="E2121" s="4">
        <v>1716</v>
      </c>
      <c r="F2121" s="4">
        <v>1.39</v>
      </c>
      <c r="G2121" s="4">
        <v>2385.2399999999998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1.39</v>
      </c>
      <c r="D2122" s="4">
        <v>1.39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1.39</v>
      </c>
      <c r="D2123" s="4">
        <v>1.39</v>
      </c>
      <c r="E2123" s="4">
        <v>0</v>
      </c>
      <c r="F2123" s="4">
        <v>0</v>
      </c>
      <c r="G2123" s="4">
        <v>0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1.39</v>
      </c>
      <c r="D2124" s="4">
        <v>1.39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1.39</v>
      </c>
      <c r="D2125" s="4">
        <v>1.39</v>
      </c>
      <c r="E2125" s="4">
        <v>0</v>
      </c>
      <c r="F2125" s="4">
        <v>0</v>
      </c>
      <c r="G2125" s="4">
        <v>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1.39</v>
      </c>
      <c r="D2126" s="4">
        <v>1.39</v>
      </c>
      <c r="E2126" s="4">
        <v>0</v>
      </c>
      <c r="F2126" s="4">
        <v>0</v>
      </c>
      <c r="G2126" s="4">
        <v>0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1.38</v>
      </c>
      <c r="D2127" s="4">
        <v>1.38</v>
      </c>
      <c r="E2127" s="4">
        <v>3555</v>
      </c>
      <c r="F2127" s="4">
        <v>1.38</v>
      </c>
      <c r="G2127" s="4">
        <v>4905.8999999999996</v>
      </c>
      <c r="H2127" s="5">
        <f t="shared" si="33"/>
        <v>-7.1942446043165541E-3</v>
      </c>
    </row>
    <row r="2128" spans="1:8" ht="13.5" x14ac:dyDescent="0.25">
      <c r="A2128" s="1"/>
      <c r="B2128" s="3">
        <v>45399</v>
      </c>
      <c r="C2128" s="4">
        <v>1.38</v>
      </c>
      <c r="D2128" s="4">
        <v>1.38</v>
      </c>
      <c r="E2128" s="4">
        <v>0</v>
      </c>
      <c r="F2128" s="4">
        <v>0</v>
      </c>
      <c r="G2128" s="4">
        <v>0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1.38</v>
      </c>
      <c r="D2129" s="4">
        <v>1.38</v>
      </c>
      <c r="E2129" s="4">
        <v>3306</v>
      </c>
      <c r="F2129" s="4">
        <v>1.38</v>
      </c>
      <c r="G2129" s="4">
        <v>4562.28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1.38</v>
      </c>
      <c r="D2130" s="4">
        <v>1.38</v>
      </c>
      <c r="E2130" s="4">
        <v>194</v>
      </c>
      <c r="F2130" s="4">
        <v>1.38</v>
      </c>
      <c r="G2130" s="4">
        <v>267.72000000000003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1.39</v>
      </c>
      <c r="D2131" s="4">
        <v>1.39</v>
      </c>
      <c r="E2131" s="4">
        <v>5800</v>
      </c>
      <c r="F2131" s="4">
        <v>1.39</v>
      </c>
      <c r="G2131" s="4">
        <v>8062</v>
      </c>
      <c r="H2131" s="5">
        <f t="shared" si="33"/>
        <v>7.2463768115942099E-3</v>
      </c>
    </row>
    <row r="2132" spans="1:8" ht="13.5" x14ac:dyDescent="0.25">
      <c r="A2132" s="1"/>
      <c r="B2132" s="3">
        <v>45405</v>
      </c>
      <c r="C2132" s="4">
        <v>1.42</v>
      </c>
      <c r="D2132" s="4">
        <v>1.42</v>
      </c>
      <c r="E2132" s="4">
        <v>2642</v>
      </c>
      <c r="F2132" s="4">
        <v>1.42</v>
      </c>
      <c r="G2132" s="4">
        <v>3751.64</v>
      </c>
      <c r="H2132" s="5">
        <f t="shared" si="33"/>
        <v>2.1582733812949662E-2</v>
      </c>
    </row>
    <row r="2133" spans="1:8" ht="13.5" x14ac:dyDescent="0.25">
      <c r="A2133" s="1"/>
      <c r="B2133" s="3">
        <v>45406</v>
      </c>
      <c r="C2133" s="4">
        <v>1.45</v>
      </c>
      <c r="D2133" s="4">
        <v>1.45</v>
      </c>
      <c r="E2133" s="4">
        <v>11392</v>
      </c>
      <c r="F2133" s="4">
        <v>1.45</v>
      </c>
      <c r="G2133" s="4">
        <v>16518.400000000001</v>
      </c>
      <c r="H2133" s="5">
        <f t="shared" si="33"/>
        <v>2.1126760563380302E-2</v>
      </c>
    </row>
    <row r="2134" spans="1:8" ht="13.5" x14ac:dyDescent="0.25">
      <c r="A2134" s="1"/>
      <c r="B2134" s="3">
        <v>45407</v>
      </c>
      <c r="C2134" s="4">
        <v>1.45</v>
      </c>
      <c r="D2134" s="4">
        <v>1.45</v>
      </c>
      <c r="E2134" s="4">
        <v>5653</v>
      </c>
      <c r="F2134" s="4">
        <v>1.45</v>
      </c>
      <c r="G2134" s="4">
        <v>8196.85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1.46</v>
      </c>
      <c r="D2135" s="4">
        <v>1.46</v>
      </c>
      <c r="E2135" s="4">
        <v>28602</v>
      </c>
      <c r="F2135" s="4">
        <v>1.46</v>
      </c>
      <c r="G2135" s="4">
        <v>41758.92</v>
      </c>
      <c r="H2135" s="5">
        <f t="shared" si="33"/>
        <v>6.896551724137937E-3</v>
      </c>
    </row>
    <row r="2136" spans="1:8" ht="13.5" x14ac:dyDescent="0.25">
      <c r="A2136" s="1"/>
      <c r="B2136" s="3">
        <v>45411</v>
      </c>
      <c r="C2136" s="4">
        <v>1.5</v>
      </c>
      <c r="D2136" s="4">
        <v>1.5</v>
      </c>
      <c r="E2136" s="4">
        <v>1676</v>
      </c>
      <c r="F2136" s="4">
        <v>1.5</v>
      </c>
      <c r="G2136" s="4">
        <v>2514</v>
      </c>
      <c r="H2136" s="5">
        <f t="shared" si="33"/>
        <v>2.7397260273972629E-2</v>
      </c>
    </row>
    <row r="2137" spans="1:8" ht="13.5" x14ac:dyDescent="0.25">
      <c r="A2137" s="1"/>
      <c r="B2137" s="3">
        <v>45412</v>
      </c>
      <c r="C2137" s="4">
        <v>1.56</v>
      </c>
      <c r="D2137" s="4">
        <v>1.56</v>
      </c>
      <c r="E2137" s="4">
        <v>5685</v>
      </c>
      <c r="F2137" s="4">
        <v>1.56</v>
      </c>
      <c r="G2137" s="4">
        <v>8868.6</v>
      </c>
      <c r="H2137" s="5">
        <f t="shared" si="33"/>
        <v>4.0000000000000036E-2</v>
      </c>
    </row>
    <row r="2138" spans="1:8" ht="13.5" x14ac:dyDescent="0.25">
      <c r="A2138" s="1"/>
      <c r="B2138" s="3">
        <v>45414</v>
      </c>
      <c r="C2138" s="4">
        <v>1.58</v>
      </c>
      <c r="D2138" s="4">
        <v>1.58</v>
      </c>
      <c r="E2138" s="4">
        <v>161</v>
      </c>
      <c r="F2138" s="4">
        <v>1.58</v>
      </c>
      <c r="G2138" s="4">
        <v>254.38</v>
      </c>
      <c r="H2138" s="5">
        <f t="shared" si="33"/>
        <v>1.2820512820512832E-2</v>
      </c>
    </row>
    <row r="2139" spans="1:8" ht="13.5" x14ac:dyDescent="0.25">
      <c r="A2139" s="1"/>
      <c r="B2139" s="3">
        <v>45415</v>
      </c>
      <c r="C2139" s="4">
        <v>1.65</v>
      </c>
      <c r="D2139" s="4">
        <v>1.65</v>
      </c>
      <c r="E2139" s="4">
        <v>0</v>
      </c>
      <c r="F2139" s="4">
        <v>0</v>
      </c>
      <c r="G2139" s="4">
        <v>0</v>
      </c>
      <c r="H2139" s="5">
        <f t="shared" si="33"/>
        <v>4.4303797468354326E-2</v>
      </c>
    </row>
    <row r="2140" spans="1:8" ht="13.5" x14ac:dyDescent="0.25">
      <c r="A2140" s="1"/>
      <c r="B2140" s="3">
        <v>45418</v>
      </c>
      <c r="C2140" s="4">
        <v>1.7</v>
      </c>
      <c r="D2140" s="4">
        <v>1.7</v>
      </c>
      <c r="E2140" s="4">
        <v>2262</v>
      </c>
      <c r="F2140" s="4">
        <v>1.7</v>
      </c>
      <c r="G2140" s="4">
        <v>3845.4</v>
      </c>
      <c r="H2140" s="5">
        <f t="shared" si="33"/>
        <v>3.0303030303030332E-2</v>
      </c>
    </row>
    <row r="2141" spans="1:8" ht="13.5" x14ac:dyDescent="0.25">
      <c r="A2141" s="1"/>
      <c r="B2141" s="3">
        <v>45419</v>
      </c>
      <c r="C2141" s="4">
        <v>1.74</v>
      </c>
      <c r="D2141" s="4">
        <v>1.74</v>
      </c>
      <c r="E2141" s="4">
        <v>11964</v>
      </c>
      <c r="F2141" s="4">
        <v>1.74</v>
      </c>
      <c r="G2141" s="4">
        <v>20817.36</v>
      </c>
      <c r="H2141" s="5">
        <f t="shared" si="33"/>
        <v>2.3529411764705903E-2</v>
      </c>
    </row>
    <row r="2142" spans="1:8" ht="13.5" x14ac:dyDescent="0.25">
      <c r="A2142" s="1"/>
      <c r="B2142" s="3">
        <v>45420</v>
      </c>
      <c r="C2142" s="4">
        <v>1.74</v>
      </c>
      <c r="D2142" s="4">
        <v>1.74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1.8</v>
      </c>
      <c r="D2143" s="4">
        <v>1.8</v>
      </c>
      <c r="E2143" s="4">
        <v>30626</v>
      </c>
      <c r="F2143" s="4">
        <v>1.8</v>
      </c>
      <c r="G2143" s="4">
        <v>55126.8</v>
      </c>
      <c r="H2143" s="5">
        <f t="shared" si="33"/>
        <v>3.4482758620689689E-2</v>
      </c>
    </row>
    <row r="2144" spans="1:8" ht="13.5" x14ac:dyDescent="0.25">
      <c r="A2144" s="1"/>
      <c r="B2144" s="3">
        <v>45422</v>
      </c>
      <c r="C2144" s="4">
        <v>1.88</v>
      </c>
      <c r="D2144" s="4">
        <v>1.88</v>
      </c>
      <c r="E2144" s="4">
        <v>4528</v>
      </c>
      <c r="F2144" s="4">
        <v>1.88</v>
      </c>
      <c r="G2144" s="4">
        <v>8512.64</v>
      </c>
      <c r="H2144" s="5">
        <f t="shared" si="33"/>
        <v>4.4444444444444363E-2</v>
      </c>
    </row>
    <row r="2145" spans="1:8" ht="13.5" x14ac:dyDescent="0.25">
      <c r="A2145" s="1"/>
      <c r="B2145" s="3">
        <v>45425</v>
      </c>
      <c r="C2145" s="4">
        <v>1.8</v>
      </c>
      <c r="D2145" s="4">
        <v>1.8</v>
      </c>
      <c r="E2145" s="4">
        <v>6000</v>
      </c>
      <c r="F2145" s="4">
        <v>1.8</v>
      </c>
      <c r="G2145" s="4">
        <v>10800</v>
      </c>
      <c r="H2145" s="5">
        <f t="shared" si="33"/>
        <v>-4.2553191489361625E-2</v>
      </c>
    </row>
    <row r="2146" spans="1:8" ht="13.5" x14ac:dyDescent="0.25">
      <c r="A2146" s="1"/>
      <c r="B2146" s="3">
        <v>45426</v>
      </c>
      <c r="C2146" s="4">
        <v>1.8</v>
      </c>
      <c r="D2146" s="4">
        <v>1.8</v>
      </c>
      <c r="E2146" s="4">
        <v>1093</v>
      </c>
      <c r="F2146" s="4">
        <v>1.8</v>
      </c>
      <c r="G2146" s="4">
        <v>1967.4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1.79</v>
      </c>
      <c r="D2147" s="4">
        <v>1.79</v>
      </c>
      <c r="E2147" s="4">
        <v>1706</v>
      </c>
      <c r="F2147" s="4">
        <v>1.79</v>
      </c>
      <c r="G2147" s="4">
        <v>3053.74</v>
      </c>
      <c r="H2147" s="5">
        <f t="shared" si="33"/>
        <v>-5.5555555555555601E-3</v>
      </c>
    </row>
    <row r="2148" spans="1:8" ht="13.5" x14ac:dyDescent="0.25">
      <c r="A2148" s="1"/>
      <c r="B2148" s="3">
        <v>45428</v>
      </c>
      <c r="C2148" s="4">
        <v>1.8</v>
      </c>
      <c r="D2148" s="4">
        <v>1.8</v>
      </c>
      <c r="E2148" s="4">
        <v>3226</v>
      </c>
      <c r="F2148" s="4">
        <v>1.8</v>
      </c>
      <c r="G2148" s="4">
        <v>5806.8</v>
      </c>
      <c r="H2148" s="5">
        <f t="shared" si="33"/>
        <v>5.5865921787709542E-3</v>
      </c>
    </row>
    <row r="2149" spans="1:8" ht="13.5" x14ac:dyDescent="0.25">
      <c r="A2149" s="1"/>
      <c r="B2149" s="3">
        <v>45429</v>
      </c>
      <c r="C2149" s="4">
        <v>1.88</v>
      </c>
      <c r="D2149" s="4">
        <v>1.88</v>
      </c>
      <c r="E2149" s="4">
        <v>1250</v>
      </c>
      <c r="F2149" s="4">
        <v>1.88</v>
      </c>
      <c r="G2149" s="4">
        <v>2350</v>
      </c>
      <c r="H2149" s="5">
        <f t="shared" si="33"/>
        <v>4.4444444444444363E-2</v>
      </c>
    </row>
    <row r="2150" spans="1:8" ht="13.5" x14ac:dyDescent="0.25">
      <c r="A2150" s="1"/>
      <c r="B2150" s="3">
        <v>45432</v>
      </c>
      <c r="C2150" s="4">
        <v>1.88</v>
      </c>
      <c r="D2150" s="4">
        <v>1.88</v>
      </c>
      <c r="E2150" s="4">
        <v>0</v>
      </c>
      <c r="F2150" s="4">
        <v>0</v>
      </c>
      <c r="G2150" s="4">
        <v>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1.88</v>
      </c>
      <c r="D2151" s="4">
        <v>1.88</v>
      </c>
      <c r="E2151" s="4">
        <v>1601</v>
      </c>
      <c r="F2151" s="4">
        <v>1.88</v>
      </c>
      <c r="G2151" s="4">
        <v>3009.88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1.9</v>
      </c>
      <c r="D2152" s="4">
        <v>1.9</v>
      </c>
      <c r="E2152" s="4">
        <v>111</v>
      </c>
      <c r="F2152" s="4">
        <v>1.9</v>
      </c>
      <c r="G2152" s="4">
        <v>210.9</v>
      </c>
      <c r="H2152" s="5">
        <f t="shared" si="33"/>
        <v>1.0638297872340436E-2</v>
      </c>
    </row>
    <row r="2153" spans="1:8" ht="13.5" x14ac:dyDescent="0.25">
      <c r="A2153" s="1"/>
      <c r="B2153" s="3">
        <v>45435</v>
      </c>
      <c r="C2153" s="4">
        <v>1.98</v>
      </c>
      <c r="D2153" s="4">
        <v>1.98</v>
      </c>
      <c r="E2153" s="4">
        <v>1</v>
      </c>
      <c r="F2153" s="4">
        <v>1.98</v>
      </c>
      <c r="G2153" s="4">
        <v>1.98</v>
      </c>
      <c r="H2153" s="5">
        <f t="shared" si="33"/>
        <v>4.2105263157894778E-2</v>
      </c>
    </row>
    <row r="2154" spans="1:8" ht="13.5" x14ac:dyDescent="0.25">
      <c r="A2154" s="1"/>
      <c r="B2154" s="3">
        <v>45436</v>
      </c>
      <c r="C2154" s="4">
        <v>2.06</v>
      </c>
      <c r="D2154" s="4">
        <v>2.06</v>
      </c>
      <c r="E2154" s="4">
        <v>1</v>
      </c>
      <c r="F2154" s="4">
        <v>2.06</v>
      </c>
      <c r="G2154" s="4">
        <v>2.06</v>
      </c>
      <c r="H2154" s="5">
        <f t="shared" si="33"/>
        <v>4.0404040404040442E-2</v>
      </c>
    </row>
    <row r="2155" spans="1:8" ht="13.5" x14ac:dyDescent="0.25">
      <c r="A2155" s="1"/>
      <c r="B2155" s="3">
        <v>45439</v>
      </c>
      <c r="C2155" s="4">
        <v>2.0699999999999998</v>
      </c>
      <c r="D2155" s="4">
        <v>2.0699999999999998</v>
      </c>
      <c r="E2155" s="4">
        <v>600</v>
      </c>
      <c r="F2155" s="4">
        <v>2.0699999999999998</v>
      </c>
      <c r="G2155" s="4">
        <v>1242</v>
      </c>
      <c r="H2155" s="5">
        <f t="shared" si="33"/>
        <v>4.8543689320387313E-3</v>
      </c>
    </row>
    <row r="2156" spans="1:8" ht="13.5" x14ac:dyDescent="0.25">
      <c r="A2156" s="1"/>
      <c r="B2156" s="3">
        <v>45440</v>
      </c>
      <c r="C2156" s="4">
        <v>2.16</v>
      </c>
      <c r="D2156" s="4">
        <v>2.16</v>
      </c>
      <c r="E2156" s="4">
        <v>38</v>
      </c>
      <c r="F2156" s="4">
        <v>2.16</v>
      </c>
      <c r="G2156" s="4">
        <v>82.08</v>
      </c>
      <c r="H2156" s="5">
        <f t="shared" si="33"/>
        <v>4.3478260869565369E-2</v>
      </c>
    </row>
    <row r="2157" spans="1:8" ht="13.5" x14ac:dyDescent="0.25">
      <c r="A2157" s="1"/>
      <c r="B2157" s="3">
        <v>45441</v>
      </c>
      <c r="C2157" s="4">
        <v>2.0699999999999998</v>
      </c>
      <c r="D2157" s="4">
        <v>2.0699999999999998</v>
      </c>
      <c r="E2157" s="4">
        <v>378</v>
      </c>
      <c r="F2157" s="4">
        <v>2.0699999999999998</v>
      </c>
      <c r="G2157" s="4">
        <v>782.46</v>
      </c>
      <c r="H2157" s="5">
        <f t="shared" si="33"/>
        <v>-4.1666666666666803E-2</v>
      </c>
    </row>
    <row r="2158" spans="1:8" ht="13.5" x14ac:dyDescent="0.25">
      <c r="A2158" s="1"/>
      <c r="B2158" s="3">
        <v>45442</v>
      </c>
      <c r="C2158" s="4">
        <v>2.0699999999999998</v>
      </c>
      <c r="D2158" s="4">
        <v>2.0699999999999998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2.0699999999999998</v>
      </c>
      <c r="D2159" s="4">
        <v>2.0699999999999998</v>
      </c>
      <c r="E2159" s="4">
        <v>1350</v>
      </c>
      <c r="F2159" s="4">
        <v>2.0699999999999998</v>
      </c>
      <c r="G2159" s="4">
        <v>2794.5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2.0499999999999998</v>
      </c>
      <c r="D2160" s="4">
        <v>2.0499999999999998</v>
      </c>
      <c r="E2160" s="4">
        <v>650</v>
      </c>
      <c r="F2160" s="4">
        <v>2.0499999999999998</v>
      </c>
      <c r="G2160" s="4">
        <v>1332.5</v>
      </c>
      <c r="H2160" s="5">
        <f t="shared" si="33"/>
        <v>-9.6618357487922805E-3</v>
      </c>
    </row>
    <row r="2161" spans="1:8" ht="13.5" x14ac:dyDescent="0.25">
      <c r="A2161" s="1"/>
      <c r="B2161" s="3">
        <v>45447</v>
      </c>
      <c r="C2161" s="4">
        <v>2.0499999999999998</v>
      </c>
      <c r="D2161" s="4">
        <v>2.0499999999999998</v>
      </c>
      <c r="E2161" s="4">
        <v>0</v>
      </c>
      <c r="F2161" s="4">
        <v>0</v>
      </c>
      <c r="G2161" s="4">
        <v>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2.0499999999999998</v>
      </c>
      <c r="D2162" s="4">
        <v>2.0499999999999998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2.0499999999999998</v>
      </c>
      <c r="D2163" s="4">
        <v>2.0499999999999998</v>
      </c>
      <c r="E2163" s="4">
        <v>2</v>
      </c>
      <c r="F2163" s="4">
        <v>2.0499999999999998</v>
      </c>
      <c r="G2163" s="4">
        <v>4.0999999999999996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1.98</v>
      </c>
      <c r="D2164" s="4">
        <v>1.98</v>
      </c>
      <c r="E2164" s="4">
        <v>300</v>
      </c>
      <c r="F2164" s="4">
        <v>1.98</v>
      </c>
      <c r="G2164" s="4">
        <v>594</v>
      </c>
      <c r="H2164" s="5">
        <f t="shared" si="33"/>
        <v>-3.414634146341456E-2</v>
      </c>
    </row>
    <row r="2165" spans="1:8" ht="13.5" x14ac:dyDescent="0.25">
      <c r="A2165" s="1"/>
      <c r="B2165" s="3">
        <v>45453</v>
      </c>
      <c r="C2165" s="4">
        <v>1.96</v>
      </c>
      <c r="D2165" s="4">
        <v>1.96</v>
      </c>
      <c r="E2165" s="4">
        <v>5358</v>
      </c>
      <c r="F2165" s="4">
        <v>1.96</v>
      </c>
      <c r="G2165" s="4">
        <v>10501.68</v>
      </c>
      <c r="H2165" s="5">
        <f t="shared" si="33"/>
        <v>-1.0101010101010111E-2</v>
      </c>
    </row>
    <row r="2166" spans="1:8" ht="13.5" x14ac:dyDescent="0.25">
      <c r="A2166" s="1"/>
      <c r="B2166" s="3">
        <v>45454</v>
      </c>
      <c r="C2166" s="4">
        <v>1.97</v>
      </c>
      <c r="D2166" s="4">
        <v>1.97</v>
      </c>
      <c r="E2166" s="4">
        <v>1</v>
      </c>
      <c r="F2166" s="4">
        <v>1.97</v>
      </c>
      <c r="G2166" s="4">
        <v>1.97</v>
      </c>
      <c r="H2166" s="5">
        <f t="shared" si="33"/>
        <v>5.1020408163265354E-3</v>
      </c>
    </row>
    <row r="2167" spans="1:8" ht="13.5" x14ac:dyDescent="0.25">
      <c r="A2167" s="1"/>
      <c r="B2167" s="3">
        <v>45455</v>
      </c>
      <c r="C2167" s="4">
        <v>1.97</v>
      </c>
      <c r="D2167" s="4">
        <v>1.97</v>
      </c>
      <c r="E2167" s="4">
        <v>0</v>
      </c>
      <c r="F2167" s="4">
        <v>0</v>
      </c>
      <c r="G2167" s="4">
        <v>0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1.89</v>
      </c>
      <c r="D2168" s="4">
        <v>1.89</v>
      </c>
      <c r="E2168" s="4">
        <v>99</v>
      </c>
      <c r="F2168" s="4">
        <v>1.89</v>
      </c>
      <c r="G2168" s="4">
        <v>187.11</v>
      </c>
      <c r="H2168" s="5">
        <f t="shared" si="33"/>
        <v>-4.0609137055837602E-2</v>
      </c>
    </row>
    <row r="2169" spans="1:8" ht="13.5" x14ac:dyDescent="0.25">
      <c r="A2169" s="1"/>
      <c r="B2169" s="3">
        <v>45457</v>
      </c>
      <c r="C2169" s="4">
        <v>1.89</v>
      </c>
      <c r="D2169" s="4">
        <v>1.89</v>
      </c>
      <c r="E2169" s="4">
        <v>2050</v>
      </c>
      <c r="F2169" s="4">
        <v>1.89</v>
      </c>
      <c r="G2169" s="4">
        <v>3874.5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1.81</v>
      </c>
      <c r="D2170" s="4">
        <v>1.81</v>
      </c>
      <c r="E2170" s="4">
        <v>6565</v>
      </c>
      <c r="F2170" s="4">
        <v>1.81</v>
      </c>
      <c r="G2170" s="4">
        <v>11882.65</v>
      </c>
      <c r="H2170" s="5">
        <f t="shared" si="33"/>
        <v>-4.2328042328042249E-2</v>
      </c>
    </row>
    <row r="2171" spans="1:8" ht="13.5" x14ac:dyDescent="0.25">
      <c r="A2171" s="1"/>
      <c r="B2171" s="3">
        <v>45462</v>
      </c>
      <c r="C2171" s="4">
        <v>1.81</v>
      </c>
      <c r="D2171" s="4">
        <v>1.81</v>
      </c>
      <c r="E2171" s="4">
        <v>0</v>
      </c>
      <c r="F2171" s="4">
        <v>0</v>
      </c>
      <c r="G2171" s="4">
        <v>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1.81</v>
      </c>
      <c r="D2172" s="4">
        <v>1.81</v>
      </c>
      <c r="E2172" s="4">
        <v>700</v>
      </c>
      <c r="F2172" s="4">
        <v>1.81</v>
      </c>
      <c r="G2172" s="4">
        <v>1267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1.81</v>
      </c>
      <c r="D2173" s="4">
        <v>1.81</v>
      </c>
      <c r="E2173" s="4">
        <v>440</v>
      </c>
      <c r="F2173" s="4">
        <v>1.81</v>
      </c>
      <c r="G2173" s="4">
        <v>796.4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1.81</v>
      </c>
      <c r="D2174" s="4">
        <v>1.81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1.8</v>
      </c>
      <c r="D2175" s="4">
        <v>1.8</v>
      </c>
      <c r="E2175" s="4">
        <v>2000</v>
      </c>
      <c r="F2175" s="4">
        <v>1.8</v>
      </c>
      <c r="G2175" s="4">
        <v>3600</v>
      </c>
      <c r="H2175" s="5">
        <f t="shared" si="33"/>
        <v>-5.5248618784530436E-3</v>
      </c>
    </row>
    <row r="2176" spans="1:8" ht="13.5" x14ac:dyDescent="0.25">
      <c r="A2176" s="1"/>
      <c r="B2176" s="3">
        <v>45469</v>
      </c>
      <c r="C2176" s="4">
        <v>1.8</v>
      </c>
      <c r="D2176" s="4">
        <v>1.8</v>
      </c>
      <c r="E2176" s="4">
        <v>5020</v>
      </c>
      <c r="F2176" s="4">
        <v>1.8</v>
      </c>
      <c r="G2176" s="4">
        <v>9036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1.81</v>
      </c>
      <c r="D2177" s="4">
        <v>1.81</v>
      </c>
      <c r="E2177" s="4">
        <v>1</v>
      </c>
      <c r="F2177" s="4">
        <v>1.81</v>
      </c>
      <c r="G2177" s="4">
        <v>1.81</v>
      </c>
      <c r="H2177" s="5">
        <f t="shared" si="33"/>
        <v>5.5555555555555601E-3</v>
      </c>
    </row>
    <row r="2178" spans="1:8" ht="13.5" x14ac:dyDescent="0.25">
      <c r="A2178" s="1"/>
      <c r="B2178" s="3">
        <v>45471</v>
      </c>
      <c r="C2178" s="4">
        <v>1.81</v>
      </c>
      <c r="D2178" s="4">
        <v>1.81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1.81</v>
      </c>
      <c r="D2179" s="4">
        <v>1.81</v>
      </c>
      <c r="E2179" s="4">
        <v>1500</v>
      </c>
      <c r="F2179" s="4">
        <v>1.81</v>
      </c>
      <c r="G2179" s="4">
        <v>2715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1.81</v>
      </c>
      <c r="D2180" s="4">
        <v>1.81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1.81</v>
      </c>
      <c r="D2181" s="4">
        <v>1.81</v>
      </c>
      <c r="E2181" s="4">
        <v>0</v>
      </c>
      <c r="F2181" s="4">
        <v>0</v>
      </c>
      <c r="G2181" s="4">
        <v>0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1.81</v>
      </c>
      <c r="D2182" s="4">
        <v>1.81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1.81</v>
      </c>
      <c r="D2183" s="4">
        <v>1.81</v>
      </c>
      <c r="E2183" s="4">
        <v>2010</v>
      </c>
      <c r="F2183" s="4">
        <v>1.81</v>
      </c>
      <c r="G2183" s="4">
        <v>3638.1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1.81</v>
      </c>
      <c r="D2184" s="4">
        <v>1.81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1.81</v>
      </c>
      <c r="D2185" s="4">
        <v>1.81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1.81</v>
      </c>
      <c r="D2186" s="4">
        <v>1.81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1.81</v>
      </c>
      <c r="D2187" s="4">
        <v>1.81</v>
      </c>
      <c r="E2187" s="4">
        <v>2792</v>
      </c>
      <c r="F2187" s="4">
        <v>1.81</v>
      </c>
      <c r="G2187" s="4">
        <v>5053.5200000000004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1.81</v>
      </c>
      <c r="D2188" s="4">
        <v>1.81</v>
      </c>
      <c r="E2188" s="4">
        <v>0</v>
      </c>
      <c r="F2188" s="4">
        <v>0</v>
      </c>
      <c r="G2188" s="4">
        <v>0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1.81</v>
      </c>
      <c r="D2189" s="4">
        <v>1.81</v>
      </c>
      <c r="E2189" s="4">
        <v>6771</v>
      </c>
      <c r="F2189" s="4">
        <v>1.81</v>
      </c>
      <c r="G2189" s="4">
        <v>12255.51</v>
      </c>
      <c r="H2189" s="5">
        <f t="shared" si="34"/>
        <v>0</v>
      </c>
    </row>
    <row r="2190" spans="1:8" ht="13.5" x14ac:dyDescent="0.25">
      <c r="A2190" s="1"/>
      <c r="B2190" s="3">
        <v>45489</v>
      </c>
      <c r="C2190" s="4">
        <v>1.81</v>
      </c>
      <c r="D2190" s="4">
        <v>1.81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1.81</v>
      </c>
      <c r="D2191" s="4">
        <v>1.81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1.81</v>
      </c>
      <c r="D2192" s="4">
        <v>1.81</v>
      </c>
      <c r="E2192" s="4">
        <v>6500</v>
      </c>
      <c r="F2192" s="4">
        <v>1.81</v>
      </c>
      <c r="G2192" s="4">
        <v>11765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1.81</v>
      </c>
      <c r="D2193" s="4">
        <v>1.81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1.8</v>
      </c>
      <c r="D2194" s="4">
        <v>1.8</v>
      </c>
      <c r="E2194" s="4">
        <v>660</v>
      </c>
      <c r="F2194" s="4">
        <v>1.8</v>
      </c>
      <c r="G2194" s="4">
        <v>1188</v>
      </c>
      <c r="H2194" s="5">
        <f t="shared" si="34"/>
        <v>-5.5248618784530436E-3</v>
      </c>
    </row>
    <row r="2195" spans="1:8" ht="13.5" x14ac:dyDescent="0.25">
      <c r="A2195" s="1"/>
      <c r="B2195" s="3">
        <v>45496</v>
      </c>
      <c r="C2195" s="4">
        <v>1.8</v>
      </c>
      <c r="D2195" s="4">
        <v>1.8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1.73</v>
      </c>
      <c r="D2196" s="4">
        <v>1.73</v>
      </c>
      <c r="E2196" s="4">
        <v>595</v>
      </c>
      <c r="F2196" s="4">
        <v>1.73</v>
      </c>
      <c r="G2196" s="4">
        <v>1029.3499999999999</v>
      </c>
      <c r="H2196" s="5">
        <f t="shared" si="34"/>
        <v>-3.8888888888888924E-2</v>
      </c>
    </row>
    <row r="2197" spans="1:8" ht="13.5" x14ac:dyDescent="0.25">
      <c r="A2197" s="1"/>
      <c r="B2197" s="3">
        <v>45499</v>
      </c>
      <c r="C2197" s="4">
        <v>1.8</v>
      </c>
      <c r="D2197" s="4">
        <v>1.8</v>
      </c>
      <c r="E2197" s="4">
        <v>5</v>
      </c>
      <c r="F2197" s="4">
        <v>1.8</v>
      </c>
      <c r="G2197" s="4">
        <v>9</v>
      </c>
      <c r="H2197" s="5">
        <f t="shared" si="34"/>
        <v>4.0462427745664775E-2</v>
      </c>
    </row>
    <row r="2198" spans="1:8" ht="13.5" x14ac:dyDescent="0.25">
      <c r="A2198" s="1"/>
      <c r="B2198" s="3">
        <v>45502</v>
      </c>
      <c r="C2198" s="4">
        <v>1.8</v>
      </c>
      <c r="D2198" s="4">
        <v>1.8</v>
      </c>
      <c r="E2198" s="4">
        <v>1750</v>
      </c>
      <c r="F2198" s="4">
        <v>1.8</v>
      </c>
      <c r="G2198" s="4">
        <v>3150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1.72</v>
      </c>
      <c r="D2199" s="4">
        <v>1.72</v>
      </c>
      <c r="E2199" s="4">
        <v>0</v>
      </c>
      <c r="F2199" s="4">
        <v>0</v>
      </c>
      <c r="G2199" s="4">
        <v>0</v>
      </c>
      <c r="H2199" s="5">
        <f t="shared" si="34"/>
        <v>-4.4444444444444481E-2</v>
      </c>
    </row>
    <row r="2200" spans="1:8" ht="13.5" x14ac:dyDescent="0.25">
      <c r="A2200" s="1"/>
      <c r="B2200" s="3">
        <v>45504</v>
      </c>
      <c r="C2200" s="4">
        <v>1.68</v>
      </c>
      <c r="D2200" s="4">
        <v>1.68</v>
      </c>
      <c r="E2200" s="4">
        <v>3600</v>
      </c>
      <c r="F2200" s="4">
        <v>1.68</v>
      </c>
      <c r="G2200" s="4">
        <v>6048</v>
      </c>
      <c r="H2200" s="5">
        <f t="shared" si="34"/>
        <v>-2.3255813953488393E-2</v>
      </c>
    </row>
    <row r="2201" spans="1:8" ht="13.5" x14ac:dyDescent="0.25">
      <c r="A2201" s="1"/>
      <c r="B2201" s="3">
        <v>45505</v>
      </c>
      <c r="C2201" s="4">
        <v>1.68</v>
      </c>
      <c r="D2201" s="4">
        <v>1.68</v>
      </c>
      <c r="E2201" s="4">
        <v>1560</v>
      </c>
      <c r="F2201" s="4">
        <v>1.68</v>
      </c>
      <c r="G2201" s="4">
        <v>2620.8000000000002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1.75</v>
      </c>
      <c r="D2202" s="4">
        <v>1.75</v>
      </c>
      <c r="E2202" s="4">
        <v>0</v>
      </c>
      <c r="F2202" s="4">
        <v>0</v>
      </c>
      <c r="G2202" s="4">
        <v>0</v>
      </c>
      <c r="H2202" s="5">
        <f t="shared" si="34"/>
        <v>4.1666666666666706E-2</v>
      </c>
    </row>
    <row r="2203" spans="1:8" ht="13.5" x14ac:dyDescent="0.25">
      <c r="A2203" s="1"/>
      <c r="B2203" s="3">
        <v>45509</v>
      </c>
      <c r="C2203" s="4">
        <v>1.75</v>
      </c>
      <c r="D2203" s="4">
        <v>1.75</v>
      </c>
      <c r="E2203" s="4">
        <v>0</v>
      </c>
      <c r="F2203" s="4">
        <v>0</v>
      </c>
      <c r="G2203" s="4">
        <v>0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1.75</v>
      </c>
      <c r="D2204" s="4">
        <v>1.75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1.75</v>
      </c>
      <c r="D2205" s="4">
        <v>1.75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1.81</v>
      </c>
      <c r="D2206" s="4">
        <v>1.81</v>
      </c>
      <c r="E2206" s="4">
        <v>100</v>
      </c>
      <c r="F2206" s="4">
        <v>1.81</v>
      </c>
      <c r="G2206" s="4">
        <v>181</v>
      </c>
      <c r="H2206" s="5">
        <f t="shared" si="34"/>
        <v>3.4285714285714315E-2</v>
      </c>
    </row>
    <row r="2207" spans="1:8" ht="13.5" x14ac:dyDescent="0.25">
      <c r="A2207" s="1"/>
      <c r="B2207" s="3">
        <v>45513</v>
      </c>
      <c r="C2207" s="4">
        <v>1.8</v>
      </c>
      <c r="D2207" s="4">
        <v>1.8</v>
      </c>
      <c r="E2207" s="4">
        <v>3275</v>
      </c>
      <c r="F2207" s="4">
        <v>1.8</v>
      </c>
      <c r="G2207" s="4">
        <v>5895</v>
      </c>
      <c r="H2207" s="5">
        <f t="shared" si="34"/>
        <v>-5.5248618784530436E-3</v>
      </c>
    </row>
    <row r="2208" spans="1:8" ht="13.5" x14ac:dyDescent="0.25">
      <c r="A2208" s="1"/>
      <c r="B2208" s="3">
        <v>45516</v>
      </c>
      <c r="C2208" s="4">
        <v>1.8</v>
      </c>
      <c r="D2208" s="4">
        <v>1.8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1.72</v>
      </c>
      <c r="D2209" s="4">
        <v>1.72</v>
      </c>
      <c r="E2209" s="4">
        <v>0</v>
      </c>
      <c r="F2209" s="4">
        <v>0</v>
      </c>
      <c r="G2209" s="4">
        <v>0</v>
      </c>
      <c r="H2209" s="5">
        <f t="shared" si="34"/>
        <v>-4.4444444444444481E-2</v>
      </c>
    </row>
    <row r="2210" spans="1:8" ht="13.5" x14ac:dyDescent="0.25">
      <c r="A2210" s="1"/>
      <c r="B2210" s="3">
        <v>45519</v>
      </c>
      <c r="C2210" s="4">
        <v>1.73</v>
      </c>
      <c r="D2210" s="4">
        <v>1.73</v>
      </c>
      <c r="E2210" s="4">
        <v>1075</v>
      </c>
      <c r="F2210" s="4">
        <v>1.73</v>
      </c>
      <c r="G2210" s="4">
        <v>1859.75</v>
      </c>
      <c r="H2210" s="5">
        <f t="shared" si="34"/>
        <v>5.8139534883720981E-3</v>
      </c>
    </row>
    <row r="2211" spans="1:8" ht="13.5" x14ac:dyDescent="0.25">
      <c r="A2211" s="1"/>
      <c r="B2211" s="3">
        <v>45520</v>
      </c>
      <c r="C2211" s="4">
        <v>1.76</v>
      </c>
      <c r="D2211" s="4">
        <v>1.76</v>
      </c>
      <c r="E2211" s="4">
        <v>610</v>
      </c>
      <c r="F2211" s="4">
        <v>1.76</v>
      </c>
      <c r="G2211" s="4">
        <v>1073.5999999999999</v>
      </c>
      <c r="H2211" s="5">
        <f t="shared" si="34"/>
        <v>1.7341040462427761E-2</v>
      </c>
    </row>
    <row r="2212" spans="1:8" ht="13.5" x14ac:dyDescent="0.25">
      <c r="A2212" s="1"/>
      <c r="B2212" s="3">
        <v>45523</v>
      </c>
      <c r="C2212" s="4">
        <v>1.81</v>
      </c>
      <c r="D2212" s="4">
        <v>1.81</v>
      </c>
      <c r="E2212" s="4">
        <v>1</v>
      </c>
      <c r="F2212" s="4">
        <v>1.81</v>
      </c>
      <c r="G2212" s="4">
        <v>1.81</v>
      </c>
      <c r="H2212" s="5">
        <f t="shared" si="34"/>
        <v>2.8409090909090936E-2</v>
      </c>
    </row>
    <row r="2213" spans="1:8" ht="13.5" x14ac:dyDescent="0.25">
      <c r="A2213" s="1"/>
      <c r="B2213" s="3">
        <v>45524</v>
      </c>
      <c r="C2213" s="4">
        <v>1.81</v>
      </c>
      <c r="D2213" s="4">
        <v>1.81</v>
      </c>
      <c r="E2213" s="4">
        <v>0</v>
      </c>
      <c r="F2213" s="4">
        <v>0</v>
      </c>
      <c r="G2213" s="4">
        <v>0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1.73</v>
      </c>
      <c r="D2214" s="4">
        <v>1.73</v>
      </c>
      <c r="E2214" s="4">
        <v>1760</v>
      </c>
      <c r="F2214" s="4">
        <v>1.73</v>
      </c>
      <c r="G2214" s="4">
        <v>3044.8</v>
      </c>
      <c r="H2214" s="5">
        <f t="shared" si="34"/>
        <v>-4.4198895027624349E-2</v>
      </c>
    </row>
    <row r="2215" spans="1:8" ht="13.5" x14ac:dyDescent="0.25">
      <c r="A2215" s="1"/>
      <c r="B2215" s="3">
        <v>45526</v>
      </c>
      <c r="C2215" s="4">
        <v>1.75</v>
      </c>
      <c r="D2215" s="4">
        <v>1.75</v>
      </c>
      <c r="E2215" s="4">
        <v>8614</v>
      </c>
      <c r="F2215" s="4">
        <v>1.75</v>
      </c>
      <c r="G2215" s="4">
        <v>15074.5</v>
      </c>
      <c r="H2215" s="5">
        <f t="shared" si="34"/>
        <v>1.1560693641618507E-2</v>
      </c>
    </row>
    <row r="2216" spans="1:8" ht="13.5" x14ac:dyDescent="0.25">
      <c r="A2216" s="1"/>
      <c r="B2216" s="3">
        <v>45527</v>
      </c>
      <c r="C2216" s="4">
        <v>1.78</v>
      </c>
      <c r="D2216" s="4">
        <v>1.78</v>
      </c>
      <c r="E2216" s="4">
        <v>1411</v>
      </c>
      <c r="F2216" s="4">
        <v>1.78</v>
      </c>
      <c r="G2216" s="4">
        <v>2511.58</v>
      </c>
      <c r="H2216" s="5">
        <f t="shared" si="34"/>
        <v>1.7142857142857158E-2</v>
      </c>
    </row>
    <row r="2217" spans="1:8" ht="13.5" x14ac:dyDescent="0.25">
      <c r="A2217" s="1"/>
      <c r="B2217" s="3">
        <v>45530</v>
      </c>
      <c r="C2217" s="4">
        <v>1.85</v>
      </c>
      <c r="D2217" s="4">
        <v>1.85</v>
      </c>
      <c r="E2217" s="4">
        <v>2510</v>
      </c>
      <c r="F2217" s="4">
        <v>1.85</v>
      </c>
      <c r="G2217" s="4">
        <v>4643.5</v>
      </c>
      <c r="H2217" s="5">
        <f t="shared" si="34"/>
        <v>3.9325842696629247E-2</v>
      </c>
    </row>
    <row r="2218" spans="1:8" ht="13.5" x14ac:dyDescent="0.25">
      <c r="A2218" s="1"/>
      <c r="B2218" s="3">
        <v>45531</v>
      </c>
      <c r="C2218" s="4">
        <v>1.85</v>
      </c>
      <c r="D2218" s="4">
        <v>1.85</v>
      </c>
      <c r="E2218" s="4">
        <v>750</v>
      </c>
      <c r="F2218" s="4">
        <v>1.85</v>
      </c>
      <c r="G2218" s="4">
        <v>1387.5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1.85</v>
      </c>
      <c r="D2219" s="4">
        <v>1.85</v>
      </c>
      <c r="E2219" s="4">
        <v>4248</v>
      </c>
      <c r="F2219" s="4">
        <v>1.85</v>
      </c>
      <c r="G2219" s="4">
        <v>7858.8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1.85</v>
      </c>
      <c r="D2220" s="4">
        <v>1.85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1.9</v>
      </c>
      <c r="D2221" s="4">
        <v>1.9</v>
      </c>
      <c r="E2221" s="4">
        <v>4110</v>
      </c>
      <c r="F2221" s="4">
        <v>1.9</v>
      </c>
      <c r="G2221" s="4">
        <v>7809</v>
      </c>
      <c r="H2221" s="5">
        <f t="shared" si="34"/>
        <v>2.7027027027026931E-2</v>
      </c>
    </row>
    <row r="2222" spans="1:8" ht="13.5" x14ac:dyDescent="0.25">
      <c r="A2222" s="1"/>
      <c r="B2222" s="3">
        <v>45537</v>
      </c>
      <c r="C2222" s="4">
        <v>1.94</v>
      </c>
      <c r="D2222" s="4">
        <v>1.94</v>
      </c>
      <c r="E2222" s="4">
        <v>6883</v>
      </c>
      <c r="F2222" s="4">
        <v>1.94</v>
      </c>
      <c r="G2222" s="4">
        <v>13353.02</v>
      </c>
      <c r="H2222" s="5">
        <f t="shared" si="34"/>
        <v>2.1052631578947389E-2</v>
      </c>
    </row>
    <row r="2223" spans="1:8" ht="13.5" x14ac:dyDescent="0.25">
      <c r="A2223" s="1"/>
      <c r="B2223" s="3">
        <v>45538</v>
      </c>
      <c r="C2223" s="4">
        <v>1.95</v>
      </c>
      <c r="D2223" s="4">
        <v>1.95</v>
      </c>
      <c r="E2223" s="4">
        <v>7230</v>
      </c>
      <c r="F2223" s="4">
        <v>1.95</v>
      </c>
      <c r="G2223" s="4">
        <v>14098.5</v>
      </c>
      <c r="H2223" s="5">
        <f t="shared" si="34"/>
        <v>5.1546391752577371E-3</v>
      </c>
    </row>
    <row r="2224" spans="1:8" ht="13.5" x14ac:dyDescent="0.25">
      <c r="A2224" s="1"/>
      <c r="B2224" s="3">
        <v>45539</v>
      </c>
      <c r="C2224" s="4">
        <v>2.0299999999999998</v>
      </c>
      <c r="D2224" s="4">
        <v>2.0299999999999998</v>
      </c>
      <c r="E2224" s="4">
        <v>0</v>
      </c>
      <c r="F2224" s="4">
        <v>0</v>
      </c>
      <c r="G2224" s="4">
        <v>0</v>
      </c>
      <c r="H2224" s="5">
        <f t="shared" si="34"/>
        <v>4.1025641025640949E-2</v>
      </c>
    </row>
    <row r="2225" spans="1:8" ht="13.5" x14ac:dyDescent="0.25">
      <c r="A2225" s="1"/>
      <c r="B2225" s="3">
        <v>45540</v>
      </c>
      <c r="C2225" s="4">
        <v>2.08</v>
      </c>
      <c r="D2225" s="4">
        <v>2.08</v>
      </c>
      <c r="E2225" s="4">
        <v>7333</v>
      </c>
      <c r="F2225" s="4">
        <v>2.08</v>
      </c>
      <c r="G2225" s="4">
        <v>15252.64</v>
      </c>
      <c r="H2225" s="5">
        <f t="shared" si="34"/>
        <v>2.4630541871921315E-2</v>
      </c>
    </row>
    <row r="2226" spans="1:8" ht="13.5" x14ac:dyDescent="0.25">
      <c r="A2226" s="1"/>
      <c r="B2226" s="3">
        <v>45541</v>
      </c>
      <c r="C2226" s="4">
        <v>2.16</v>
      </c>
      <c r="D2226" s="4">
        <v>2.16</v>
      </c>
      <c r="E2226" s="4">
        <v>3567</v>
      </c>
      <c r="F2226" s="4">
        <v>2.16</v>
      </c>
      <c r="G2226" s="4">
        <v>7704.72</v>
      </c>
      <c r="H2226" s="5">
        <f t="shared" si="34"/>
        <v>3.8461538461538491E-2</v>
      </c>
    </row>
    <row r="2227" spans="1:8" ht="13.5" x14ac:dyDescent="0.25">
      <c r="A2227" s="1"/>
      <c r="B2227" s="3">
        <v>45544</v>
      </c>
      <c r="C2227" s="4">
        <v>2.16</v>
      </c>
      <c r="D2227" s="4">
        <v>2.16</v>
      </c>
      <c r="E2227" s="4">
        <v>5100</v>
      </c>
      <c r="F2227" s="4">
        <v>2.16</v>
      </c>
      <c r="G2227" s="4">
        <v>11016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2.2200000000000002</v>
      </c>
      <c r="D2228" s="4">
        <v>2.2200000000000002</v>
      </c>
      <c r="E2228" s="4">
        <v>2194</v>
      </c>
      <c r="F2228" s="4">
        <v>2.2200000000000002</v>
      </c>
      <c r="G2228" s="4">
        <v>4870.68</v>
      </c>
      <c r="H2228" s="5">
        <f t="shared" si="34"/>
        <v>2.7777777777777801E-2</v>
      </c>
    </row>
    <row r="2229" spans="1:8" ht="13.5" x14ac:dyDescent="0.25">
      <c r="A2229" s="1"/>
      <c r="B2229" s="3">
        <v>45546</v>
      </c>
      <c r="C2229" s="4">
        <v>2.16</v>
      </c>
      <c r="D2229" s="4">
        <v>2.16</v>
      </c>
      <c r="E2229" s="4">
        <v>9693</v>
      </c>
      <c r="F2229" s="4">
        <v>2.16</v>
      </c>
      <c r="G2229" s="4">
        <v>20936.88</v>
      </c>
      <c r="H2229" s="5">
        <f t="shared" si="34"/>
        <v>-2.7027027027027049E-2</v>
      </c>
    </row>
    <row r="2230" spans="1:8" ht="13.5" x14ac:dyDescent="0.25">
      <c r="A2230" s="1"/>
      <c r="B2230" s="3">
        <v>45547</v>
      </c>
      <c r="C2230" s="4">
        <v>2.17</v>
      </c>
      <c r="D2230" s="4">
        <v>2.17</v>
      </c>
      <c r="E2230" s="4">
        <v>1000</v>
      </c>
      <c r="F2230" s="4">
        <v>2.17</v>
      </c>
      <c r="G2230" s="4">
        <v>2170</v>
      </c>
      <c r="H2230" s="5">
        <f t="shared" si="34"/>
        <v>4.6296296296295305E-3</v>
      </c>
    </row>
    <row r="2231" spans="1:8" ht="13.5" x14ac:dyDescent="0.25">
      <c r="A2231" s="1"/>
      <c r="B2231" s="3">
        <v>45548</v>
      </c>
      <c r="C2231" s="4">
        <v>2.2200000000000002</v>
      </c>
      <c r="D2231" s="4">
        <v>2.2200000000000002</v>
      </c>
      <c r="E2231" s="4">
        <v>3412</v>
      </c>
      <c r="F2231" s="4">
        <v>2.2200000000000002</v>
      </c>
      <c r="G2231" s="4">
        <v>7574.64</v>
      </c>
      <c r="H2231" s="5">
        <f t="shared" si="34"/>
        <v>2.3041474654378002E-2</v>
      </c>
    </row>
    <row r="2232" spans="1:8" ht="13.5" x14ac:dyDescent="0.25">
      <c r="A2232" s="1"/>
      <c r="B2232" s="3">
        <v>45551</v>
      </c>
      <c r="C2232" s="4">
        <v>2.25</v>
      </c>
      <c r="D2232" s="4">
        <v>2.25</v>
      </c>
      <c r="E2232" s="4">
        <v>1312</v>
      </c>
      <c r="F2232" s="4">
        <v>2.25</v>
      </c>
      <c r="G2232" s="4">
        <v>2952</v>
      </c>
      <c r="H2232" s="5">
        <f t="shared" si="34"/>
        <v>1.3513513513513424E-2</v>
      </c>
    </row>
    <row r="2233" spans="1:8" ht="13.5" x14ac:dyDescent="0.25">
      <c r="A2233" s="1"/>
      <c r="B2233" s="3">
        <v>45552</v>
      </c>
      <c r="C2233" s="4">
        <v>2.34</v>
      </c>
      <c r="D2233" s="4">
        <v>2.34</v>
      </c>
      <c r="E2233" s="4">
        <v>22540</v>
      </c>
      <c r="F2233" s="4">
        <v>2.34</v>
      </c>
      <c r="G2233" s="4">
        <v>52743.6</v>
      </c>
      <c r="H2233" s="5">
        <f t="shared" si="34"/>
        <v>3.9999999999999938E-2</v>
      </c>
    </row>
    <row r="2234" spans="1:8" ht="13.5" x14ac:dyDescent="0.25">
      <c r="A2234" s="1"/>
      <c r="B2234" s="3">
        <v>45553</v>
      </c>
      <c r="C2234" s="4">
        <v>2.4300000000000002</v>
      </c>
      <c r="D2234" s="4">
        <v>2.4300000000000002</v>
      </c>
      <c r="E2234" s="4">
        <v>3024</v>
      </c>
      <c r="F2234" s="4">
        <v>2.4300000000000002</v>
      </c>
      <c r="G2234" s="4">
        <v>7348.32</v>
      </c>
      <c r="H2234" s="5">
        <f t="shared" si="34"/>
        <v>3.8461538461538596E-2</v>
      </c>
    </row>
    <row r="2235" spans="1:8" ht="13.5" x14ac:dyDescent="0.25">
      <c r="A2235" s="1"/>
      <c r="B2235" s="3">
        <v>45554</v>
      </c>
      <c r="C2235" s="4">
        <v>2.33</v>
      </c>
      <c r="D2235" s="4">
        <v>2.33</v>
      </c>
      <c r="E2235" s="4">
        <v>3511</v>
      </c>
      <c r="F2235" s="4">
        <v>2.33</v>
      </c>
      <c r="G2235" s="4">
        <v>8180.63</v>
      </c>
      <c r="H2235" s="5">
        <f t="shared" si="34"/>
        <v>-4.1152263374485631E-2</v>
      </c>
    </row>
    <row r="2236" spans="1:8" ht="13.5" x14ac:dyDescent="0.25">
      <c r="A2236" s="1"/>
      <c r="B2236" s="3">
        <v>45555</v>
      </c>
      <c r="C2236" s="4">
        <v>2.36</v>
      </c>
      <c r="D2236" s="4">
        <v>2.36</v>
      </c>
      <c r="E2236" s="4">
        <v>1</v>
      </c>
      <c r="F2236" s="4">
        <v>2.36</v>
      </c>
      <c r="G2236" s="4">
        <v>2.36</v>
      </c>
      <c r="H2236" s="5">
        <f t="shared" si="34"/>
        <v>1.287553648068661E-2</v>
      </c>
    </row>
    <row r="2237" spans="1:8" ht="13.5" x14ac:dyDescent="0.25">
      <c r="A2237" s="1"/>
      <c r="B2237" s="3">
        <v>45558</v>
      </c>
      <c r="C2237" s="4">
        <v>2.39</v>
      </c>
      <c r="D2237" s="4">
        <v>2.39</v>
      </c>
      <c r="E2237" s="4">
        <v>250</v>
      </c>
      <c r="F2237" s="4">
        <v>2.39</v>
      </c>
      <c r="G2237" s="4">
        <v>597.5</v>
      </c>
      <c r="H2237" s="5">
        <f t="shared" si="34"/>
        <v>1.2711864406779768E-2</v>
      </c>
    </row>
    <row r="2238" spans="1:8" ht="13.5" x14ac:dyDescent="0.25">
      <c r="A2238" s="1"/>
      <c r="B2238" s="3">
        <v>45559</v>
      </c>
      <c r="C2238" s="4">
        <v>2.39</v>
      </c>
      <c r="D2238" s="4">
        <v>2.39</v>
      </c>
      <c r="E2238" s="4">
        <v>7362</v>
      </c>
      <c r="F2238" s="4">
        <v>2.39</v>
      </c>
      <c r="G2238" s="4">
        <v>17595.18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2.2999999999999998</v>
      </c>
      <c r="D2239" s="4">
        <v>2.2999999999999998</v>
      </c>
      <c r="E2239" s="4">
        <v>840</v>
      </c>
      <c r="F2239" s="4">
        <v>2.2999999999999998</v>
      </c>
      <c r="G2239" s="4">
        <v>1932</v>
      </c>
      <c r="H2239" s="5">
        <f t="shared" si="34"/>
        <v>-3.7656903765690503E-2</v>
      </c>
    </row>
    <row r="2240" spans="1:8" ht="13.5" x14ac:dyDescent="0.25">
      <c r="A2240" s="1"/>
      <c r="B2240" s="3">
        <v>45561</v>
      </c>
      <c r="C2240" s="4">
        <v>2.2999999999999998</v>
      </c>
      <c r="D2240" s="4">
        <v>2.2999999999999998</v>
      </c>
      <c r="E2240" s="4">
        <v>3387</v>
      </c>
      <c r="F2240" s="4">
        <v>2.2999999999999998</v>
      </c>
      <c r="G2240" s="4">
        <v>7790.1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2.2999999999999998</v>
      </c>
      <c r="D2241" s="4">
        <v>2.2999999999999998</v>
      </c>
      <c r="E2241" s="4">
        <v>150</v>
      </c>
      <c r="F2241" s="4">
        <v>2.2999999999999998</v>
      </c>
      <c r="G2241" s="4">
        <v>345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2.3199999999999998</v>
      </c>
      <c r="D2242" s="4">
        <v>2.3199999999999998</v>
      </c>
      <c r="E2242" s="4">
        <v>700</v>
      </c>
      <c r="F2242" s="4">
        <v>2.3199999999999998</v>
      </c>
      <c r="G2242" s="4">
        <v>1624</v>
      </c>
      <c r="H2242" s="5">
        <f t="shared" si="34"/>
        <v>8.6956521739130523E-3</v>
      </c>
    </row>
    <row r="2243" spans="1:8" ht="13.5" x14ac:dyDescent="0.25">
      <c r="A2243" s="1"/>
      <c r="B2243" s="3">
        <v>45566</v>
      </c>
      <c r="C2243" s="4">
        <v>2.34</v>
      </c>
      <c r="D2243" s="4">
        <v>2.34</v>
      </c>
      <c r="E2243" s="4">
        <v>21813</v>
      </c>
      <c r="F2243" s="4">
        <v>2.34</v>
      </c>
      <c r="G2243" s="4">
        <v>51042.42</v>
      </c>
      <c r="H2243" s="5">
        <f t="shared" si="34"/>
        <v>8.6206896551724223E-3</v>
      </c>
    </row>
    <row r="2244" spans="1:8" ht="13.5" x14ac:dyDescent="0.25">
      <c r="A2244" s="1"/>
      <c r="B2244" s="3">
        <v>45567</v>
      </c>
      <c r="C2244" s="4">
        <v>2.34</v>
      </c>
      <c r="D2244" s="4">
        <v>2.34</v>
      </c>
      <c r="E2244" s="4">
        <v>15013</v>
      </c>
      <c r="F2244" s="4">
        <v>2.34</v>
      </c>
      <c r="G2244" s="4">
        <v>35130.42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2.25</v>
      </c>
      <c r="D2245" s="4">
        <v>2.25</v>
      </c>
      <c r="E2245" s="4">
        <v>942</v>
      </c>
      <c r="F2245" s="4">
        <v>2.25</v>
      </c>
      <c r="G2245" s="4">
        <v>2119.5</v>
      </c>
      <c r="H2245" s="5">
        <f t="shared" si="34"/>
        <v>-3.8461538461538401E-2</v>
      </c>
    </row>
    <row r="2246" spans="1:8" ht="13.5" x14ac:dyDescent="0.25">
      <c r="A2246" s="1"/>
      <c r="B2246" s="3">
        <v>45569</v>
      </c>
      <c r="C2246" s="4">
        <v>2.35</v>
      </c>
      <c r="D2246" s="4">
        <v>2.35</v>
      </c>
      <c r="E2246" s="4">
        <v>836</v>
      </c>
      <c r="F2246" s="4">
        <v>2.35</v>
      </c>
      <c r="G2246" s="4">
        <v>1964.6</v>
      </c>
      <c r="H2246" s="5">
        <f t="shared" si="34"/>
        <v>4.4444444444444481E-2</v>
      </c>
    </row>
    <row r="2247" spans="1:8" ht="13.5" x14ac:dyDescent="0.25">
      <c r="A2247" s="1"/>
      <c r="B2247" s="3">
        <v>45572</v>
      </c>
      <c r="C2247" s="4">
        <v>2.2599999999999998</v>
      </c>
      <c r="D2247" s="4">
        <v>2.2599999999999998</v>
      </c>
      <c r="E2247" s="4">
        <v>7089</v>
      </c>
      <c r="F2247" s="4">
        <v>2.2599999999999998</v>
      </c>
      <c r="G2247" s="4">
        <v>16021.14</v>
      </c>
      <c r="H2247" s="5">
        <f t="shared" ref="H2247:H2310" si="35">(D2247-D2246)/D2246</f>
        <v>-3.8297872340425657E-2</v>
      </c>
    </row>
    <row r="2248" spans="1:8" ht="13.5" x14ac:dyDescent="0.25">
      <c r="A2248" s="1"/>
      <c r="B2248" s="3">
        <v>45573</v>
      </c>
      <c r="C2248" s="4">
        <v>2.25</v>
      </c>
      <c r="D2248" s="4">
        <v>2.25</v>
      </c>
      <c r="E2248" s="4">
        <v>2050</v>
      </c>
      <c r="F2248" s="4">
        <v>2.25</v>
      </c>
      <c r="G2248" s="4">
        <v>4612.5</v>
      </c>
      <c r="H2248" s="5">
        <f t="shared" si="35"/>
        <v>-4.4247787610618532E-3</v>
      </c>
    </row>
    <row r="2249" spans="1:8" ht="13.5" x14ac:dyDescent="0.25">
      <c r="A2249" s="1"/>
      <c r="B2249" s="3">
        <v>45574</v>
      </c>
      <c r="C2249" s="4">
        <v>2.15</v>
      </c>
      <c r="D2249" s="4">
        <v>2.15</v>
      </c>
      <c r="E2249" s="4">
        <v>300</v>
      </c>
      <c r="F2249" s="4">
        <v>2.15</v>
      </c>
      <c r="G2249" s="4">
        <v>645</v>
      </c>
      <c r="H2249" s="5">
        <f t="shared" si="35"/>
        <v>-4.4444444444444481E-2</v>
      </c>
    </row>
    <row r="2250" spans="1:8" ht="13.5" x14ac:dyDescent="0.25">
      <c r="A2250" s="1"/>
      <c r="B2250" s="3">
        <v>45575</v>
      </c>
      <c r="C2250" s="4">
        <v>2.16</v>
      </c>
      <c r="D2250" s="4">
        <v>2.16</v>
      </c>
      <c r="E2250" s="4">
        <v>1100</v>
      </c>
      <c r="F2250" s="4">
        <v>2.16</v>
      </c>
      <c r="G2250" s="4">
        <v>2376</v>
      </c>
      <c r="H2250" s="5">
        <f t="shared" si="35"/>
        <v>4.6511627906977819E-3</v>
      </c>
    </row>
    <row r="2251" spans="1:8" ht="13.5" x14ac:dyDescent="0.25">
      <c r="A2251" s="1"/>
      <c r="B2251" s="3">
        <v>45576</v>
      </c>
      <c r="C2251" s="4">
        <v>2.17</v>
      </c>
      <c r="D2251" s="4">
        <v>2.17</v>
      </c>
      <c r="E2251" s="4">
        <v>950</v>
      </c>
      <c r="F2251" s="4">
        <v>2.17</v>
      </c>
      <c r="G2251" s="4">
        <v>2061.5</v>
      </c>
      <c r="H2251" s="5">
        <f t="shared" si="35"/>
        <v>4.6296296296295305E-3</v>
      </c>
    </row>
    <row r="2252" spans="1:8" ht="13.5" x14ac:dyDescent="0.25">
      <c r="A2252" s="1"/>
      <c r="B2252" s="3">
        <v>45579</v>
      </c>
      <c r="C2252" s="4">
        <v>2.2599999999999998</v>
      </c>
      <c r="D2252" s="4">
        <v>2.2599999999999998</v>
      </c>
      <c r="E2252" s="4">
        <v>1010</v>
      </c>
      <c r="F2252" s="4">
        <v>2.2599999999999998</v>
      </c>
      <c r="G2252" s="4">
        <v>2282.6</v>
      </c>
      <c r="H2252" s="5">
        <f t="shared" si="35"/>
        <v>4.1474654377880123E-2</v>
      </c>
    </row>
    <row r="2253" spans="1:8" ht="13.5" x14ac:dyDescent="0.25">
      <c r="A2253" s="1"/>
      <c r="B2253" s="3">
        <v>45581</v>
      </c>
      <c r="C2253" s="4">
        <v>2.2599999999999998</v>
      </c>
      <c r="D2253" s="4">
        <v>2.2599999999999998</v>
      </c>
      <c r="E2253" s="4">
        <v>0</v>
      </c>
      <c r="F2253" s="4">
        <v>0</v>
      </c>
      <c r="G2253" s="4">
        <v>0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2.2599999999999998</v>
      </c>
      <c r="D2254" s="4">
        <v>2.2599999999999998</v>
      </c>
      <c r="E2254" s="4">
        <v>412</v>
      </c>
      <c r="F2254" s="4">
        <v>2.2599999999999998</v>
      </c>
      <c r="G2254" s="4">
        <v>931.12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2.16</v>
      </c>
      <c r="D2255" s="4">
        <v>2.16</v>
      </c>
      <c r="E2255" s="4">
        <v>3700</v>
      </c>
      <c r="F2255" s="4">
        <v>2.16</v>
      </c>
      <c r="G2255" s="4">
        <v>7992</v>
      </c>
      <c r="H2255" s="5">
        <f t="shared" si="35"/>
        <v>-4.4247787610619316E-2</v>
      </c>
    </row>
    <row r="2256" spans="1:8" ht="13.5" x14ac:dyDescent="0.25">
      <c r="A2256" s="1"/>
      <c r="B2256" s="3">
        <v>45586</v>
      </c>
      <c r="C2256" s="4">
        <v>2.2000000000000002</v>
      </c>
      <c r="D2256" s="4">
        <v>2.2000000000000002</v>
      </c>
      <c r="E2256" s="4">
        <v>2517</v>
      </c>
      <c r="F2256" s="4">
        <v>2.2000000000000002</v>
      </c>
      <c r="G2256" s="4">
        <v>5537.4</v>
      </c>
      <c r="H2256" s="5">
        <f t="shared" si="35"/>
        <v>1.8518518518518535E-2</v>
      </c>
    </row>
    <row r="2257" spans="1:8" ht="13.5" x14ac:dyDescent="0.25">
      <c r="A2257" s="1"/>
      <c r="B2257" s="3">
        <v>45587</v>
      </c>
      <c r="C2257" s="4">
        <v>2.2400000000000002</v>
      </c>
      <c r="D2257" s="4">
        <v>2.2400000000000002</v>
      </c>
      <c r="E2257" s="4">
        <v>2</v>
      </c>
      <c r="F2257" s="4">
        <v>2.2400000000000002</v>
      </c>
      <c r="G2257" s="4">
        <v>4.4800000000000004</v>
      </c>
      <c r="H2257" s="5">
        <f t="shared" si="35"/>
        <v>1.8181818181818195E-2</v>
      </c>
    </row>
    <row r="2258" spans="1:8" ht="13.5" x14ac:dyDescent="0.25">
      <c r="A2258" s="1"/>
      <c r="B2258" s="3">
        <v>45588</v>
      </c>
      <c r="C2258" s="4">
        <v>2.15</v>
      </c>
      <c r="D2258" s="4">
        <v>2.15</v>
      </c>
      <c r="E2258" s="4">
        <v>2900</v>
      </c>
      <c r="F2258" s="4">
        <v>2.15</v>
      </c>
      <c r="G2258" s="4">
        <v>6235</v>
      </c>
      <c r="H2258" s="5">
        <f t="shared" si="35"/>
        <v>-4.0178571428571556E-2</v>
      </c>
    </row>
    <row r="2259" spans="1:8" ht="13.5" x14ac:dyDescent="0.25">
      <c r="A2259" s="1"/>
      <c r="B2259" s="3">
        <v>45589</v>
      </c>
      <c r="C2259" s="4">
        <v>2.19</v>
      </c>
      <c r="D2259" s="4">
        <v>2.19</v>
      </c>
      <c r="E2259" s="4">
        <v>1050</v>
      </c>
      <c r="F2259" s="4">
        <v>2.19</v>
      </c>
      <c r="G2259" s="4">
        <v>2299.5</v>
      </c>
      <c r="H2259" s="5">
        <f t="shared" si="35"/>
        <v>1.8604651162790715E-2</v>
      </c>
    </row>
    <row r="2260" spans="1:8" ht="13.5" x14ac:dyDescent="0.25">
      <c r="A2260" s="1"/>
      <c r="B2260" s="3">
        <v>45590</v>
      </c>
      <c r="C2260" s="4">
        <v>2.19</v>
      </c>
      <c r="D2260" s="4">
        <v>2.19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2.19</v>
      </c>
      <c r="D2261" s="4">
        <v>2.19</v>
      </c>
      <c r="E2261" s="4">
        <v>0</v>
      </c>
      <c r="F2261" s="4">
        <v>0</v>
      </c>
      <c r="G2261" s="4">
        <v>0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2.2400000000000002</v>
      </c>
      <c r="D2262" s="4">
        <v>2.2400000000000002</v>
      </c>
      <c r="E2262" s="4">
        <v>1</v>
      </c>
      <c r="F2262" s="4">
        <v>2.2400000000000002</v>
      </c>
      <c r="G2262" s="4">
        <v>2.2400000000000002</v>
      </c>
      <c r="H2262" s="5">
        <f t="shared" si="35"/>
        <v>2.2831050228310626E-2</v>
      </c>
    </row>
    <row r="2263" spans="1:8" ht="13.5" x14ac:dyDescent="0.25">
      <c r="A2263" s="1"/>
      <c r="B2263" s="3">
        <v>45595</v>
      </c>
      <c r="C2263" s="4">
        <v>2.14</v>
      </c>
      <c r="D2263" s="4">
        <v>2.14</v>
      </c>
      <c r="E2263" s="4">
        <v>0</v>
      </c>
      <c r="F2263" s="4">
        <v>0</v>
      </c>
      <c r="G2263" s="4">
        <v>0</v>
      </c>
      <c r="H2263" s="5">
        <f t="shared" si="35"/>
        <v>-4.4642857142857179E-2</v>
      </c>
    </row>
    <row r="2264" spans="1:8" ht="13.5" x14ac:dyDescent="0.25">
      <c r="A2264" s="1"/>
      <c r="B2264" s="3">
        <v>45596</v>
      </c>
      <c r="C2264" s="4">
        <v>2.09</v>
      </c>
      <c r="D2264" s="4">
        <v>2.09</v>
      </c>
      <c r="E2264" s="4">
        <v>5519</v>
      </c>
      <c r="F2264" s="4">
        <v>2.09</v>
      </c>
      <c r="G2264" s="4">
        <v>11534.71</v>
      </c>
      <c r="H2264" s="5">
        <f t="shared" si="35"/>
        <v>-2.3364485981308535E-2</v>
      </c>
    </row>
    <row r="2265" spans="1:8" ht="13.5" x14ac:dyDescent="0.25">
      <c r="A2265" s="1"/>
      <c r="B2265" s="3">
        <v>45597</v>
      </c>
      <c r="C2265" s="4">
        <v>2.09</v>
      </c>
      <c r="D2265" s="4">
        <v>2.09</v>
      </c>
      <c r="E2265" s="4">
        <v>1409</v>
      </c>
      <c r="F2265" s="4">
        <v>2.09</v>
      </c>
      <c r="G2265" s="4">
        <v>2944.81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2.1</v>
      </c>
      <c r="D2266" s="4">
        <v>2.1</v>
      </c>
      <c r="E2266" s="4">
        <v>10126</v>
      </c>
      <c r="F2266" s="4">
        <v>2.1</v>
      </c>
      <c r="G2266" s="4">
        <v>21264.6</v>
      </c>
      <c r="H2266" s="5">
        <f t="shared" si="35"/>
        <v>4.7846889952154218E-3</v>
      </c>
    </row>
    <row r="2267" spans="1:8" ht="13.5" x14ac:dyDescent="0.25">
      <c r="A2267" s="1"/>
      <c r="B2267" s="3">
        <v>45601</v>
      </c>
      <c r="C2267" s="4">
        <v>2.1</v>
      </c>
      <c r="D2267" s="4">
        <v>2.1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2.0499999999999998</v>
      </c>
      <c r="D2268" s="4">
        <v>2.0499999999999998</v>
      </c>
      <c r="E2268" s="4">
        <v>12755</v>
      </c>
      <c r="F2268" s="4">
        <v>2.0499999999999998</v>
      </c>
      <c r="G2268" s="4">
        <v>26147.75</v>
      </c>
      <c r="H2268" s="5">
        <f t="shared" si="35"/>
        <v>-2.3809523809523937E-2</v>
      </c>
    </row>
    <row r="2269" spans="1:8" ht="13.5" x14ac:dyDescent="0.25">
      <c r="A2269" s="1"/>
      <c r="B2269" s="3">
        <v>45603</v>
      </c>
      <c r="C2269" s="4">
        <v>2.0099999999999998</v>
      </c>
      <c r="D2269" s="4">
        <v>2.0099999999999998</v>
      </c>
      <c r="E2269" s="4">
        <v>7600</v>
      </c>
      <c r="F2269" s="4">
        <v>2.0099999999999998</v>
      </c>
      <c r="G2269" s="4">
        <v>15276</v>
      </c>
      <c r="H2269" s="5">
        <f t="shared" si="35"/>
        <v>-1.9512195121951237E-2</v>
      </c>
    </row>
    <row r="2270" spans="1:8" ht="13.5" x14ac:dyDescent="0.25">
      <c r="A2270" s="1"/>
      <c r="B2270" s="3">
        <v>45604</v>
      </c>
      <c r="C2270" s="4">
        <v>2.02</v>
      </c>
      <c r="D2270" s="4">
        <v>2.02</v>
      </c>
      <c r="E2270" s="4">
        <v>27650</v>
      </c>
      <c r="F2270" s="4">
        <v>2.02</v>
      </c>
      <c r="G2270" s="4">
        <v>55853</v>
      </c>
      <c r="H2270" s="5">
        <f t="shared" si="35"/>
        <v>4.975124378109568E-3</v>
      </c>
    </row>
    <row r="2271" spans="1:8" ht="13.5" x14ac:dyDescent="0.25">
      <c r="A2271" s="1"/>
      <c r="B2271" s="3">
        <v>45607</v>
      </c>
      <c r="C2271" s="4">
        <v>2.0299999999999998</v>
      </c>
      <c r="D2271" s="4">
        <v>2.0299999999999998</v>
      </c>
      <c r="E2271" s="4">
        <v>450</v>
      </c>
      <c r="F2271" s="4">
        <v>2.0299999999999998</v>
      </c>
      <c r="G2271" s="4">
        <v>913.5</v>
      </c>
      <c r="H2271" s="5">
        <f t="shared" si="35"/>
        <v>4.9504950495048447E-3</v>
      </c>
    </row>
    <row r="2272" spans="1:8" ht="13.5" x14ac:dyDescent="0.25">
      <c r="A2272" s="1"/>
      <c r="B2272" s="3">
        <v>45608</v>
      </c>
      <c r="C2272" s="4">
        <v>2.0499999999999998</v>
      </c>
      <c r="D2272" s="4">
        <v>2.0499999999999998</v>
      </c>
      <c r="E2272" s="4">
        <v>64919</v>
      </c>
      <c r="F2272" s="4">
        <v>2.0499999999999998</v>
      </c>
      <c r="G2272" s="4">
        <v>133083.95000000001</v>
      </c>
      <c r="H2272" s="5">
        <f t="shared" si="35"/>
        <v>9.8522167487684834E-3</v>
      </c>
    </row>
    <row r="2273" spans="1:8" ht="13.5" x14ac:dyDescent="0.25">
      <c r="A2273" s="1"/>
      <c r="B2273" s="3">
        <v>45609</v>
      </c>
      <c r="C2273" s="4">
        <v>2.14</v>
      </c>
      <c r="D2273" s="4">
        <v>2.14</v>
      </c>
      <c r="E2273" s="4">
        <v>0</v>
      </c>
      <c r="F2273" s="4">
        <v>0</v>
      </c>
      <c r="G2273" s="4">
        <v>0</v>
      </c>
      <c r="H2273" s="5">
        <f t="shared" si="35"/>
        <v>4.3902439024390394E-2</v>
      </c>
    </row>
    <row r="2274" spans="1:8" ht="13.5" x14ac:dyDescent="0.25">
      <c r="A2274" s="1"/>
      <c r="B2274" s="3">
        <v>45610</v>
      </c>
      <c r="C2274" s="4">
        <v>2.14</v>
      </c>
      <c r="D2274" s="4">
        <v>2.14</v>
      </c>
      <c r="E2274" s="4">
        <v>41251</v>
      </c>
      <c r="F2274" s="4">
        <v>2.14</v>
      </c>
      <c r="G2274" s="4">
        <v>88277.14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2.16</v>
      </c>
      <c r="D2275" s="4">
        <v>2.16</v>
      </c>
      <c r="E2275" s="4">
        <v>25209</v>
      </c>
      <c r="F2275" s="4">
        <v>2.16</v>
      </c>
      <c r="G2275" s="4">
        <v>54451.44</v>
      </c>
      <c r="H2275" s="5">
        <f t="shared" si="35"/>
        <v>9.3457943925233725E-3</v>
      </c>
    </row>
    <row r="2276" spans="1:8" ht="13.5" x14ac:dyDescent="0.25">
      <c r="A2276" s="1"/>
      <c r="B2276" s="3">
        <v>45614</v>
      </c>
      <c r="C2276" s="4">
        <v>2.2000000000000002</v>
      </c>
      <c r="D2276" s="4">
        <v>2.2000000000000002</v>
      </c>
      <c r="E2276" s="4">
        <v>69061</v>
      </c>
      <c r="F2276" s="4">
        <v>2.2000000000000002</v>
      </c>
      <c r="G2276" s="4">
        <v>151934.20000000001</v>
      </c>
      <c r="H2276" s="5">
        <f t="shared" si="35"/>
        <v>1.8518518518518535E-2</v>
      </c>
    </row>
    <row r="2277" spans="1:8" ht="13.5" x14ac:dyDescent="0.25">
      <c r="A2277" s="1"/>
      <c r="B2277" s="3">
        <v>45615</v>
      </c>
      <c r="C2277" s="4">
        <v>2.2799999999999998</v>
      </c>
      <c r="D2277" s="4">
        <v>2.2799999999999998</v>
      </c>
      <c r="E2277" s="4">
        <v>65320</v>
      </c>
      <c r="F2277" s="4">
        <v>2.2799999999999998</v>
      </c>
      <c r="G2277" s="4">
        <v>148929.60000000001</v>
      </c>
      <c r="H2277" s="5">
        <f t="shared" si="35"/>
        <v>3.6363636363636188E-2</v>
      </c>
    </row>
    <row r="2278" spans="1:8" ht="13.5" x14ac:dyDescent="0.25">
      <c r="A2278" s="1"/>
      <c r="B2278" s="3">
        <v>45616</v>
      </c>
      <c r="C2278" s="4">
        <v>2.35</v>
      </c>
      <c r="D2278" s="4">
        <v>2.35</v>
      </c>
      <c r="E2278" s="4">
        <v>38775</v>
      </c>
      <c r="F2278" s="4">
        <v>2.35</v>
      </c>
      <c r="G2278" s="4">
        <v>91121.25</v>
      </c>
      <c r="H2278" s="5">
        <f t="shared" si="35"/>
        <v>3.0701754385965039E-2</v>
      </c>
    </row>
    <row r="2279" spans="1:8" ht="13.5" x14ac:dyDescent="0.25">
      <c r="A2279" s="1"/>
      <c r="B2279" s="3">
        <v>45617</v>
      </c>
      <c r="C2279" s="4">
        <v>2.4</v>
      </c>
      <c r="D2279" s="4">
        <v>2.4</v>
      </c>
      <c r="E2279" s="4">
        <v>20039</v>
      </c>
      <c r="F2279" s="4">
        <v>2.4</v>
      </c>
      <c r="G2279" s="4">
        <v>48093.599999999999</v>
      </c>
      <c r="H2279" s="5">
        <f t="shared" si="35"/>
        <v>2.1276595744680774E-2</v>
      </c>
    </row>
    <row r="2280" spans="1:8" ht="13.5" x14ac:dyDescent="0.25">
      <c r="A2280" s="1"/>
      <c r="B2280" s="3">
        <v>45618</v>
      </c>
      <c r="C2280" s="4">
        <v>2.48</v>
      </c>
      <c r="D2280" s="4">
        <v>2.48</v>
      </c>
      <c r="E2280" s="4">
        <v>1025</v>
      </c>
      <c r="F2280" s="4">
        <v>2.48</v>
      </c>
      <c r="G2280" s="4">
        <v>2542</v>
      </c>
      <c r="H2280" s="5">
        <f t="shared" si="35"/>
        <v>3.3333333333333368E-2</v>
      </c>
    </row>
    <row r="2281" spans="1:8" ht="13.5" x14ac:dyDescent="0.25">
      <c r="A2281" s="1"/>
      <c r="B2281" s="3">
        <v>45621</v>
      </c>
      <c r="C2281" s="4">
        <v>2.4300000000000002</v>
      </c>
      <c r="D2281" s="4">
        <v>2.4300000000000002</v>
      </c>
      <c r="E2281" s="4">
        <v>3308</v>
      </c>
      <c r="F2281" s="4">
        <v>2.4300000000000002</v>
      </c>
      <c r="G2281" s="4">
        <v>8038.44</v>
      </c>
      <c r="H2281" s="5">
        <f t="shared" si="35"/>
        <v>-2.0161290322580575E-2</v>
      </c>
    </row>
    <row r="2282" spans="1:8" ht="13.5" x14ac:dyDescent="0.25">
      <c r="A2282" s="1"/>
      <c r="B2282" s="3">
        <v>45622</v>
      </c>
      <c r="C2282" s="4">
        <v>2.33</v>
      </c>
      <c r="D2282" s="4">
        <v>2.33</v>
      </c>
      <c r="E2282" s="4">
        <v>0</v>
      </c>
      <c r="F2282" s="4">
        <v>0</v>
      </c>
      <c r="G2282" s="4">
        <v>0</v>
      </c>
      <c r="H2282" s="5">
        <f t="shared" si="35"/>
        <v>-4.1152263374485631E-2</v>
      </c>
    </row>
    <row r="2283" spans="1:8" ht="13.5" x14ac:dyDescent="0.25">
      <c r="A2283" s="1"/>
      <c r="B2283" s="3">
        <v>45623</v>
      </c>
      <c r="C2283" s="4">
        <v>2.23</v>
      </c>
      <c r="D2283" s="4">
        <v>2.23</v>
      </c>
      <c r="E2283" s="4">
        <v>17210</v>
      </c>
      <c r="F2283" s="4">
        <v>2.23</v>
      </c>
      <c r="G2283" s="4">
        <v>38378.300000000003</v>
      </c>
      <c r="H2283" s="5">
        <f t="shared" si="35"/>
        <v>-4.2918454935622352E-2</v>
      </c>
    </row>
    <row r="2284" spans="1:8" ht="13.5" x14ac:dyDescent="0.25">
      <c r="A2284" s="1"/>
      <c r="B2284" s="3">
        <v>45624</v>
      </c>
      <c r="C2284" s="4">
        <v>2.2000000000000002</v>
      </c>
      <c r="D2284" s="4">
        <v>2.2000000000000002</v>
      </c>
      <c r="E2284" s="4">
        <v>13562</v>
      </c>
      <c r="F2284" s="4">
        <v>2.2000000000000002</v>
      </c>
      <c r="G2284" s="4">
        <v>29836.400000000001</v>
      </c>
      <c r="H2284" s="5">
        <f t="shared" si="35"/>
        <v>-1.345291479820619E-2</v>
      </c>
    </row>
    <row r="2285" spans="1:8" ht="13.5" x14ac:dyDescent="0.25">
      <c r="A2285" s="1"/>
      <c r="B2285" s="3">
        <v>45625</v>
      </c>
      <c r="C2285" s="4">
        <v>2.29</v>
      </c>
      <c r="D2285" s="4">
        <v>2.29</v>
      </c>
      <c r="E2285" s="4">
        <v>25661</v>
      </c>
      <c r="F2285" s="4">
        <v>2.29</v>
      </c>
      <c r="G2285" s="4">
        <v>58763.69</v>
      </c>
      <c r="H2285" s="5">
        <f t="shared" si="35"/>
        <v>4.0909090909090839E-2</v>
      </c>
    </row>
    <row r="2286" spans="1:8" ht="13.5" x14ac:dyDescent="0.25">
      <c r="A2286" s="1"/>
      <c r="B2286" s="3">
        <v>45628</v>
      </c>
      <c r="C2286" s="4">
        <v>2.35</v>
      </c>
      <c r="D2286" s="4">
        <v>2.35</v>
      </c>
      <c r="E2286" s="4">
        <v>450</v>
      </c>
      <c r="F2286" s="4">
        <v>2.35</v>
      </c>
      <c r="G2286" s="4">
        <v>1057.5</v>
      </c>
      <c r="H2286" s="5">
        <f t="shared" si="35"/>
        <v>2.6200873362445438E-2</v>
      </c>
    </row>
    <row r="2287" spans="1:8" ht="13.5" x14ac:dyDescent="0.25">
      <c r="A2287" s="1"/>
      <c r="B2287" s="3">
        <v>45629</v>
      </c>
      <c r="C2287" s="4">
        <v>2.2999999999999998</v>
      </c>
      <c r="D2287" s="4">
        <v>2.2999999999999998</v>
      </c>
      <c r="E2287" s="4">
        <v>2146</v>
      </c>
      <c r="F2287" s="4">
        <v>2.2999999999999998</v>
      </c>
      <c r="G2287" s="4">
        <v>4935.8</v>
      </c>
      <c r="H2287" s="5">
        <f t="shared" si="35"/>
        <v>-2.1276595744680965E-2</v>
      </c>
    </row>
    <row r="2288" spans="1:8" ht="13.5" x14ac:dyDescent="0.25">
      <c r="A2288" s="1"/>
      <c r="B2288" s="3">
        <v>45630</v>
      </c>
      <c r="C2288" s="4">
        <v>2.2999999999999998</v>
      </c>
      <c r="D2288" s="4">
        <v>2.2999999999999998</v>
      </c>
      <c r="E2288" s="4">
        <v>3161</v>
      </c>
      <c r="F2288" s="4">
        <v>2.2999999999999998</v>
      </c>
      <c r="G2288" s="4">
        <v>7270.3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2.2999999999999998</v>
      </c>
      <c r="D2289" s="4">
        <v>2.2999999999999998</v>
      </c>
      <c r="E2289" s="4">
        <v>5710</v>
      </c>
      <c r="F2289" s="4">
        <v>2.2999999999999998</v>
      </c>
      <c r="G2289" s="4">
        <v>13133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2.2999999999999998</v>
      </c>
      <c r="D2290" s="4">
        <v>2.2999999999999998</v>
      </c>
      <c r="E2290" s="4">
        <v>7356</v>
      </c>
      <c r="F2290" s="4">
        <v>2.2999999999999998</v>
      </c>
      <c r="G2290" s="4">
        <v>16918.8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2.2999999999999998</v>
      </c>
      <c r="D2291" s="4">
        <v>2.2999999999999998</v>
      </c>
      <c r="E2291" s="4">
        <v>3765</v>
      </c>
      <c r="F2291" s="4">
        <v>2.2999999999999998</v>
      </c>
      <c r="G2291" s="4">
        <v>8659.5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2.31</v>
      </c>
      <c r="D2292" s="4">
        <v>2.31</v>
      </c>
      <c r="E2292" s="4">
        <v>2864</v>
      </c>
      <c r="F2292" s="4">
        <v>2.31</v>
      </c>
      <c r="G2292" s="4">
        <v>6615.84</v>
      </c>
      <c r="H2292" s="5">
        <f t="shared" si="35"/>
        <v>4.3478260869566224E-3</v>
      </c>
    </row>
    <row r="2293" spans="1:8" ht="13.5" x14ac:dyDescent="0.25">
      <c r="A2293" s="1"/>
      <c r="B2293" s="3">
        <v>45637</v>
      </c>
      <c r="C2293" s="4">
        <v>2.35</v>
      </c>
      <c r="D2293" s="4">
        <v>2.35</v>
      </c>
      <c r="E2293" s="4">
        <v>6340</v>
      </c>
      <c r="F2293" s="4">
        <v>2.35</v>
      </c>
      <c r="G2293" s="4">
        <v>14899</v>
      </c>
      <c r="H2293" s="5">
        <f t="shared" si="35"/>
        <v>1.731601731601733E-2</v>
      </c>
    </row>
    <row r="2294" spans="1:8" ht="13.5" x14ac:dyDescent="0.25">
      <c r="A2294" s="1"/>
      <c r="B2294" s="3">
        <v>45638</v>
      </c>
      <c r="C2294" s="4">
        <v>2.35</v>
      </c>
      <c r="D2294" s="4">
        <v>2.35</v>
      </c>
      <c r="E2294" s="4">
        <v>3240</v>
      </c>
      <c r="F2294" s="4">
        <v>2.35</v>
      </c>
      <c r="G2294" s="4">
        <v>7614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2.29</v>
      </c>
      <c r="D2295" s="4">
        <v>2.29</v>
      </c>
      <c r="E2295" s="4">
        <v>28339</v>
      </c>
      <c r="F2295" s="4">
        <v>2.29</v>
      </c>
      <c r="G2295" s="4">
        <v>64896.31</v>
      </c>
      <c r="H2295" s="5">
        <f t="shared" si="35"/>
        <v>-2.5531914893617044E-2</v>
      </c>
    </row>
    <row r="2296" spans="1:8" ht="13.5" x14ac:dyDescent="0.25">
      <c r="A2296" s="1"/>
      <c r="B2296" s="3">
        <v>45642</v>
      </c>
      <c r="C2296" s="4">
        <v>2.35</v>
      </c>
      <c r="D2296" s="4">
        <v>2.35</v>
      </c>
      <c r="E2296" s="4">
        <v>3840</v>
      </c>
      <c r="F2296" s="4">
        <v>2.35</v>
      </c>
      <c r="G2296" s="4">
        <v>9024</v>
      </c>
      <c r="H2296" s="5">
        <f t="shared" si="35"/>
        <v>2.6200873362445438E-2</v>
      </c>
    </row>
    <row r="2297" spans="1:8" ht="13.5" x14ac:dyDescent="0.25">
      <c r="A2297" s="1"/>
      <c r="B2297" s="3">
        <v>45644</v>
      </c>
      <c r="C2297" s="4">
        <v>2.29</v>
      </c>
      <c r="D2297" s="4">
        <v>2.29</v>
      </c>
      <c r="E2297" s="4">
        <v>1700</v>
      </c>
      <c r="F2297" s="4">
        <v>2.29</v>
      </c>
      <c r="G2297" s="4">
        <v>3893</v>
      </c>
      <c r="H2297" s="5">
        <f t="shared" si="35"/>
        <v>-2.5531914893617044E-2</v>
      </c>
    </row>
    <row r="2298" spans="1:8" ht="13.5" x14ac:dyDescent="0.25">
      <c r="A2298" s="1"/>
      <c r="B2298" s="3">
        <v>45645</v>
      </c>
      <c r="C2298" s="4">
        <v>2.29</v>
      </c>
      <c r="D2298" s="4">
        <v>2.29</v>
      </c>
      <c r="E2298" s="4">
        <v>984</v>
      </c>
      <c r="F2298" s="4">
        <v>2.29</v>
      </c>
      <c r="G2298" s="4">
        <v>2253.36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2.2999999999999998</v>
      </c>
      <c r="D2299" s="4">
        <v>2.2999999999999998</v>
      </c>
      <c r="E2299" s="4">
        <v>1425</v>
      </c>
      <c r="F2299" s="4">
        <v>2.2999999999999998</v>
      </c>
      <c r="G2299" s="4">
        <v>3277.5</v>
      </c>
      <c r="H2299" s="5">
        <f t="shared" si="35"/>
        <v>4.3668122270741428E-3</v>
      </c>
    </row>
    <row r="2300" spans="1:8" ht="13.5" x14ac:dyDescent="0.25">
      <c r="A2300" s="1"/>
      <c r="B2300" s="3">
        <v>45649</v>
      </c>
      <c r="C2300" s="4">
        <v>2.2999999999999998</v>
      </c>
      <c r="D2300" s="4">
        <v>2.2999999999999998</v>
      </c>
      <c r="E2300" s="4">
        <v>1327</v>
      </c>
      <c r="F2300" s="4">
        <v>2.2999999999999998</v>
      </c>
      <c r="G2300" s="4">
        <v>3052.1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2.34</v>
      </c>
      <c r="D2301" s="4">
        <v>2.34</v>
      </c>
      <c r="E2301" s="4">
        <v>45</v>
      </c>
      <c r="F2301" s="4">
        <v>2.34</v>
      </c>
      <c r="G2301" s="4">
        <v>105.3</v>
      </c>
      <c r="H2301" s="5">
        <f t="shared" si="35"/>
        <v>1.7391304347826105E-2</v>
      </c>
    </row>
    <row r="2302" spans="1:8" ht="13.5" x14ac:dyDescent="0.25">
      <c r="A2302" s="1"/>
      <c r="B2302" s="3">
        <v>45651</v>
      </c>
      <c r="C2302" s="4">
        <v>2.34</v>
      </c>
      <c r="D2302" s="4">
        <v>2.34</v>
      </c>
      <c r="E2302" s="4">
        <v>5445</v>
      </c>
      <c r="F2302" s="4">
        <v>2.34</v>
      </c>
      <c r="G2302" s="4">
        <v>12741.3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2.38</v>
      </c>
      <c r="D2303" s="4">
        <v>2.38</v>
      </c>
      <c r="E2303" s="4">
        <v>2700</v>
      </c>
      <c r="F2303" s="4">
        <v>2.38</v>
      </c>
      <c r="G2303" s="4">
        <v>6426</v>
      </c>
      <c r="H2303" s="5">
        <f t="shared" si="35"/>
        <v>1.709401709401711E-2</v>
      </c>
    </row>
    <row r="2304" spans="1:8" ht="13.5" x14ac:dyDescent="0.25">
      <c r="A2304" s="1"/>
      <c r="B2304" s="3">
        <v>45653</v>
      </c>
      <c r="C2304" s="4">
        <v>2.38</v>
      </c>
      <c r="D2304" s="4">
        <v>2.38</v>
      </c>
      <c r="E2304" s="4">
        <v>5880</v>
      </c>
      <c r="F2304" s="4">
        <v>2.38</v>
      </c>
      <c r="G2304" s="4">
        <v>13994.4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2.35</v>
      </c>
      <c r="D2305" s="4">
        <v>2.35</v>
      </c>
      <c r="E2305" s="4">
        <v>474</v>
      </c>
      <c r="F2305" s="4">
        <v>2.35</v>
      </c>
      <c r="G2305" s="4">
        <v>1113.9000000000001</v>
      </c>
      <c r="H2305" s="5">
        <f t="shared" si="35"/>
        <v>-1.2605042016806641E-2</v>
      </c>
    </row>
    <row r="2306" spans="1:8" ht="13.5" x14ac:dyDescent="0.25">
      <c r="A2306" s="1"/>
      <c r="B2306" s="3">
        <v>45657</v>
      </c>
      <c r="C2306" s="4">
        <v>2.34</v>
      </c>
      <c r="D2306" s="4">
        <v>2.34</v>
      </c>
      <c r="E2306" s="4">
        <v>1100</v>
      </c>
      <c r="F2306" s="4">
        <v>2.34</v>
      </c>
      <c r="G2306" s="4">
        <v>2574</v>
      </c>
      <c r="H2306" s="5">
        <f t="shared" si="35"/>
        <v>-4.2553191489362683E-3</v>
      </c>
    </row>
    <row r="2307" spans="1:8" ht="13.5" x14ac:dyDescent="0.25">
      <c r="A2307" s="1"/>
      <c r="B2307" s="3">
        <v>45659</v>
      </c>
      <c r="C2307" s="4">
        <v>2.42</v>
      </c>
      <c r="D2307" s="4">
        <v>2.42</v>
      </c>
      <c r="E2307" s="4">
        <v>270</v>
      </c>
      <c r="F2307" s="4">
        <v>2.42</v>
      </c>
      <c r="G2307" s="4">
        <v>653.4</v>
      </c>
      <c r="H2307" s="5">
        <f t="shared" si="35"/>
        <v>3.4188034188034219E-2</v>
      </c>
    </row>
    <row r="2308" spans="1:8" ht="13.5" x14ac:dyDescent="0.25">
      <c r="A2308" s="1"/>
      <c r="B2308" s="3">
        <v>45660</v>
      </c>
      <c r="C2308" s="4">
        <v>2.42</v>
      </c>
      <c r="D2308" s="4">
        <v>2.42</v>
      </c>
      <c r="E2308" s="4">
        <v>6751</v>
      </c>
      <c r="F2308" s="4">
        <v>2.42</v>
      </c>
      <c r="G2308" s="4">
        <v>16337.42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2.52</v>
      </c>
      <c r="D2309" s="4">
        <v>2.52</v>
      </c>
      <c r="E2309" s="4">
        <v>2622</v>
      </c>
      <c r="F2309" s="4">
        <v>2.456</v>
      </c>
      <c r="G2309" s="4">
        <v>6439.6319999999996</v>
      </c>
      <c r="H2309" s="5">
        <f t="shared" si="35"/>
        <v>4.1322314049586813E-2</v>
      </c>
    </row>
    <row r="2310" spans="1:8" ht="13.5" x14ac:dyDescent="0.25">
      <c r="A2310" s="1"/>
      <c r="B2310" s="3">
        <v>45664</v>
      </c>
      <c r="C2310" s="4">
        <v>2.4900000000000002</v>
      </c>
      <c r="D2310" s="4">
        <v>2.4900000000000002</v>
      </c>
      <c r="E2310" s="4">
        <v>9954</v>
      </c>
      <c r="F2310" s="4">
        <v>2.4940000000000002</v>
      </c>
      <c r="G2310" s="4">
        <v>24825.276000000002</v>
      </c>
      <c r="H2310" s="5">
        <f t="shared" si="35"/>
        <v>-1.1904761904761828E-2</v>
      </c>
    </row>
    <row r="2311" spans="1:8" ht="13.5" x14ac:dyDescent="0.25">
      <c r="A2311" s="1"/>
      <c r="B2311" s="3">
        <v>45665</v>
      </c>
      <c r="C2311" s="4">
        <v>2.52</v>
      </c>
      <c r="D2311" s="4">
        <v>2.52</v>
      </c>
      <c r="E2311" s="4">
        <v>4404</v>
      </c>
      <c r="F2311" s="4">
        <v>2.52</v>
      </c>
      <c r="G2311" s="4">
        <v>11098.08</v>
      </c>
      <c r="H2311" s="5">
        <f t="shared" ref="H2311:H2374" si="36">(D2311-D2310)/D2310</f>
        <v>1.2048192771084258E-2</v>
      </c>
    </row>
    <row r="2312" spans="1:8" ht="13.5" x14ac:dyDescent="0.25">
      <c r="A2312" s="1"/>
      <c r="B2312" s="3">
        <v>45666</v>
      </c>
      <c r="C2312" s="4">
        <v>2.5</v>
      </c>
      <c r="D2312" s="4">
        <v>2.5</v>
      </c>
      <c r="E2312" s="4">
        <v>2193</v>
      </c>
      <c r="F2312" s="4">
        <v>2.5</v>
      </c>
      <c r="G2312" s="4">
        <v>5482.5</v>
      </c>
      <c r="H2312" s="5">
        <f t="shared" si="36"/>
        <v>-7.936507936507943E-3</v>
      </c>
    </row>
    <row r="2313" spans="1:8" ht="13.5" x14ac:dyDescent="0.25">
      <c r="A2313" s="1"/>
      <c r="B2313" s="3">
        <v>45667</v>
      </c>
      <c r="C2313" s="4">
        <v>2.52</v>
      </c>
      <c r="D2313" s="4">
        <v>2.52</v>
      </c>
      <c r="E2313" s="4">
        <v>4866</v>
      </c>
      <c r="F2313" s="4">
        <v>2.52</v>
      </c>
      <c r="G2313" s="4">
        <v>12262.32</v>
      </c>
      <c r="H2313" s="5">
        <f t="shared" si="36"/>
        <v>8.0000000000000071E-3</v>
      </c>
    </row>
    <row r="2314" spans="1:8" ht="13.5" x14ac:dyDescent="0.25">
      <c r="A2314" s="1"/>
      <c r="B2314" s="3">
        <v>45670</v>
      </c>
      <c r="C2314" s="4">
        <v>2.59</v>
      </c>
      <c r="D2314" s="4">
        <v>2.59</v>
      </c>
      <c r="E2314" s="4">
        <v>1349</v>
      </c>
      <c r="F2314" s="4">
        <v>2.532</v>
      </c>
      <c r="G2314" s="4">
        <v>3415.6680000000001</v>
      </c>
      <c r="H2314" s="5">
        <f t="shared" si="36"/>
        <v>2.7777777777777714E-2</v>
      </c>
    </row>
    <row r="2315" spans="1:8" ht="13.5" x14ac:dyDescent="0.25">
      <c r="A2315" s="1"/>
      <c r="B2315" s="3">
        <v>45671</v>
      </c>
      <c r="C2315" s="4">
        <v>2.5</v>
      </c>
      <c r="D2315" s="4">
        <v>2.5</v>
      </c>
      <c r="E2315" s="4">
        <v>9375</v>
      </c>
      <c r="F2315" s="4">
        <v>2.5</v>
      </c>
      <c r="G2315" s="4">
        <v>23437.5</v>
      </c>
      <c r="H2315" s="5">
        <f t="shared" si="36"/>
        <v>-3.4749034749034693E-2</v>
      </c>
    </row>
    <row r="2316" spans="1:8" ht="13.5" x14ac:dyDescent="0.25">
      <c r="A2316" s="1"/>
      <c r="B2316" s="3">
        <v>45672</v>
      </c>
      <c r="C2316" s="4">
        <v>2.5499999999999998</v>
      </c>
      <c r="D2316" s="4">
        <v>2.5499999999999998</v>
      </c>
      <c r="E2316" s="4">
        <v>3391</v>
      </c>
      <c r="F2316" s="4">
        <v>2.5499999999999998</v>
      </c>
      <c r="G2316" s="4">
        <v>8647.0499999999993</v>
      </c>
      <c r="H2316" s="5">
        <f t="shared" si="36"/>
        <v>1.9999999999999928E-2</v>
      </c>
    </row>
    <row r="2317" spans="1:8" ht="13.5" x14ac:dyDescent="0.25">
      <c r="A2317" s="1"/>
      <c r="B2317" s="3">
        <v>45673</v>
      </c>
      <c r="C2317" s="4">
        <v>2.5</v>
      </c>
      <c r="D2317" s="4">
        <v>2.5</v>
      </c>
      <c r="E2317" s="4">
        <v>760</v>
      </c>
      <c r="F2317" s="4">
        <v>2.484</v>
      </c>
      <c r="G2317" s="4">
        <v>1887.84</v>
      </c>
      <c r="H2317" s="5">
        <f t="shared" si="36"/>
        <v>-1.9607843137254832E-2</v>
      </c>
    </row>
    <row r="2318" spans="1:8" ht="13.5" x14ac:dyDescent="0.25">
      <c r="A2318" s="1"/>
      <c r="B2318" s="3">
        <v>45674</v>
      </c>
      <c r="C2318" s="4">
        <v>2.4900000000000002</v>
      </c>
      <c r="D2318" s="4">
        <v>2.4900000000000002</v>
      </c>
      <c r="E2318" s="4">
        <v>2221</v>
      </c>
      <c r="F2318" s="4">
        <v>2.4990000000000001</v>
      </c>
      <c r="G2318" s="4">
        <v>5550.2790000000005</v>
      </c>
      <c r="H2318" s="5">
        <f t="shared" si="36"/>
        <v>-3.9999999999999151E-3</v>
      </c>
    </row>
    <row r="2319" spans="1:8" ht="13.5" x14ac:dyDescent="0.25">
      <c r="A2319" s="1"/>
      <c r="B2319" s="3">
        <v>45677</v>
      </c>
      <c r="C2319" s="4">
        <v>2.4300000000000002</v>
      </c>
      <c r="D2319" s="4">
        <v>2.4300000000000002</v>
      </c>
      <c r="E2319" s="4">
        <v>3035</v>
      </c>
      <c r="F2319" s="4">
        <v>2.4300000000000002</v>
      </c>
      <c r="G2319" s="4">
        <v>7375.05</v>
      </c>
      <c r="H2319" s="5">
        <f t="shared" si="36"/>
        <v>-2.4096385542168693E-2</v>
      </c>
    </row>
    <row r="2320" spans="1:8" ht="13.5" x14ac:dyDescent="0.25">
      <c r="A2320" s="1"/>
      <c r="B2320" s="3">
        <v>45678</v>
      </c>
      <c r="C2320" s="4">
        <v>2.36</v>
      </c>
      <c r="D2320" s="4">
        <v>2.36</v>
      </c>
      <c r="E2320" s="4">
        <v>4714</v>
      </c>
      <c r="F2320" s="4">
        <v>2.36</v>
      </c>
      <c r="G2320" s="4">
        <v>11125.04</v>
      </c>
      <c r="H2320" s="5">
        <f t="shared" si="36"/>
        <v>-2.8806584362140033E-2</v>
      </c>
    </row>
    <row r="2321" spans="1:8" ht="13.5" x14ac:dyDescent="0.25">
      <c r="A2321" s="1"/>
      <c r="B2321" s="3">
        <v>45679</v>
      </c>
      <c r="C2321" s="4">
        <v>2.35</v>
      </c>
      <c r="D2321" s="4">
        <v>2.35</v>
      </c>
      <c r="E2321" s="4">
        <v>945</v>
      </c>
      <c r="F2321" s="4">
        <v>2.35</v>
      </c>
      <c r="G2321" s="4">
        <v>2220.75</v>
      </c>
      <c r="H2321" s="5">
        <f t="shared" si="36"/>
        <v>-4.2372881355931301E-3</v>
      </c>
    </row>
    <row r="2322" spans="1:8" ht="13.5" x14ac:dyDescent="0.25">
      <c r="A2322" s="1"/>
      <c r="B2322" s="3">
        <v>45680</v>
      </c>
      <c r="C2322" s="4">
        <v>2.25</v>
      </c>
      <c r="D2322" s="4">
        <v>2.25</v>
      </c>
      <c r="E2322" s="4">
        <v>4715</v>
      </c>
      <c r="F2322" s="4">
        <v>2.25</v>
      </c>
      <c r="G2322" s="4">
        <v>10608.75</v>
      </c>
      <c r="H2322" s="5">
        <f t="shared" si="36"/>
        <v>-4.2553191489361736E-2</v>
      </c>
    </row>
    <row r="2323" spans="1:8" ht="13.5" x14ac:dyDescent="0.25">
      <c r="A2323" s="1"/>
      <c r="B2323" s="3">
        <v>45681</v>
      </c>
      <c r="C2323" s="4">
        <v>2.15</v>
      </c>
      <c r="D2323" s="4">
        <v>2.15</v>
      </c>
      <c r="E2323" s="4">
        <v>4056</v>
      </c>
      <c r="F2323" s="4">
        <v>2.1869999999999998</v>
      </c>
      <c r="G2323" s="4">
        <v>8870.4719999999998</v>
      </c>
      <c r="H2323" s="5">
        <f t="shared" si="36"/>
        <v>-4.4444444444444481E-2</v>
      </c>
    </row>
    <row r="2324" spans="1:8" ht="13.5" x14ac:dyDescent="0.25">
      <c r="A2324" s="1"/>
      <c r="B2324" s="3">
        <v>45684</v>
      </c>
      <c r="C2324" s="4">
        <v>2.2400000000000002</v>
      </c>
      <c r="D2324" s="4">
        <v>2.2400000000000002</v>
      </c>
      <c r="E2324" s="4">
        <v>0</v>
      </c>
      <c r="F2324" s="4">
        <v>0</v>
      </c>
      <c r="G2324" s="4">
        <v>0</v>
      </c>
      <c r="H2324" s="5">
        <f t="shared" si="36"/>
        <v>4.1860465116279215E-2</v>
      </c>
    </row>
    <row r="2325" spans="1:8" ht="13.5" x14ac:dyDescent="0.25">
      <c r="A2325" s="1"/>
      <c r="B2325" s="3">
        <v>45685</v>
      </c>
      <c r="C2325" s="4">
        <v>2.15</v>
      </c>
      <c r="D2325" s="4">
        <v>2.15</v>
      </c>
      <c r="E2325" s="4">
        <v>23623</v>
      </c>
      <c r="F2325" s="4">
        <v>2.15</v>
      </c>
      <c r="G2325" s="4">
        <v>50789.45</v>
      </c>
      <c r="H2325" s="5">
        <f t="shared" si="36"/>
        <v>-4.0178571428571556E-2</v>
      </c>
    </row>
    <row r="2326" spans="1:8" ht="13.5" x14ac:dyDescent="0.25">
      <c r="A2326" s="1"/>
      <c r="B2326" s="3">
        <v>45686</v>
      </c>
      <c r="C2326" s="4">
        <v>2.15</v>
      </c>
      <c r="D2326" s="4">
        <v>2.15</v>
      </c>
      <c r="E2326" s="4">
        <v>17268</v>
      </c>
      <c r="F2326" s="4">
        <v>2.153</v>
      </c>
      <c r="G2326" s="4">
        <v>37178.004000000001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2.2400000000000002</v>
      </c>
      <c r="D2327" s="4">
        <v>2.2400000000000002</v>
      </c>
      <c r="E2327" s="4">
        <v>100</v>
      </c>
      <c r="F2327" s="4">
        <v>2.2400000000000002</v>
      </c>
      <c r="G2327" s="4">
        <v>224</v>
      </c>
      <c r="H2327" s="5">
        <f t="shared" si="36"/>
        <v>4.1860465116279215E-2</v>
      </c>
    </row>
    <row r="2328" spans="1:8" ht="13.5" x14ac:dyDescent="0.25">
      <c r="A2328" s="1"/>
      <c r="B2328" s="3">
        <v>45688</v>
      </c>
      <c r="C2328" s="4">
        <v>2.2400000000000002</v>
      </c>
      <c r="D2328" s="4">
        <v>2.2400000000000002</v>
      </c>
      <c r="E2328" s="4">
        <v>1393</v>
      </c>
      <c r="F2328" s="4">
        <v>2.2400000000000002</v>
      </c>
      <c r="G2328" s="4">
        <v>3120.32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2.2400000000000002</v>
      </c>
      <c r="D2329" s="4">
        <v>2.2400000000000002</v>
      </c>
      <c r="E2329" s="4">
        <v>2194</v>
      </c>
      <c r="F2329" s="4">
        <v>2.2400000000000002</v>
      </c>
      <c r="G2329" s="4">
        <v>4914.5600000000004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2.14</v>
      </c>
      <c r="D2330" s="4">
        <v>2.14</v>
      </c>
      <c r="E2330" s="4">
        <v>1952</v>
      </c>
      <c r="F2330" s="4">
        <v>2.173</v>
      </c>
      <c r="G2330" s="4">
        <v>4241.6959999999999</v>
      </c>
      <c r="H2330" s="5">
        <f t="shared" si="36"/>
        <v>-4.4642857142857179E-2</v>
      </c>
    </row>
    <row r="2331" spans="1:8" ht="13.5" x14ac:dyDescent="0.25">
      <c r="A2331" s="1"/>
      <c r="B2331" s="3">
        <v>45693</v>
      </c>
      <c r="C2331" s="4">
        <v>2.0499999999999998</v>
      </c>
      <c r="D2331" s="4">
        <v>2.0499999999999998</v>
      </c>
      <c r="E2331" s="4">
        <v>12909</v>
      </c>
      <c r="F2331" s="4">
        <v>2.0499999999999998</v>
      </c>
      <c r="G2331" s="4">
        <v>26463.45</v>
      </c>
      <c r="H2331" s="5">
        <f t="shared" si="36"/>
        <v>-4.2056074766355277E-2</v>
      </c>
    </row>
    <row r="2332" spans="1:8" ht="13.5" x14ac:dyDescent="0.25">
      <c r="A2332" s="1"/>
      <c r="B2332" s="3">
        <v>45694</v>
      </c>
      <c r="C2332" s="4">
        <v>2.06</v>
      </c>
      <c r="D2332" s="4">
        <v>2.06</v>
      </c>
      <c r="E2332" s="4">
        <v>1591</v>
      </c>
      <c r="F2332" s="4">
        <v>2.06</v>
      </c>
      <c r="G2332" s="4">
        <v>3277.46</v>
      </c>
      <c r="H2332" s="5">
        <f t="shared" si="36"/>
        <v>4.8780487804879176E-3</v>
      </c>
    </row>
    <row r="2333" spans="1:8" ht="13.5" x14ac:dyDescent="0.25">
      <c r="A2333" s="1"/>
      <c r="B2333" s="3">
        <v>45695</v>
      </c>
      <c r="C2333" s="4">
        <v>2.08</v>
      </c>
      <c r="D2333" s="4">
        <v>2.08</v>
      </c>
      <c r="E2333" s="4">
        <v>12579</v>
      </c>
      <c r="F2333" s="4">
        <v>2.08</v>
      </c>
      <c r="G2333" s="4">
        <v>26164.32</v>
      </c>
      <c r="H2333" s="5">
        <f t="shared" si="36"/>
        <v>9.7087378640776777E-3</v>
      </c>
    </row>
    <row r="2334" spans="1:8" ht="13.5" x14ac:dyDescent="0.25">
      <c r="A2334" s="1"/>
      <c r="B2334" s="3">
        <v>45698</v>
      </c>
      <c r="C2334" s="4">
        <v>2.1</v>
      </c>
      <c r="D2334" s="4">
        <v>2.1</v>
      </c>
      <c r="E2334" s="4">
        <v>2199</v>
      </c>
      <c r="F2334" s="4">
        <v>2.1</v>
      </c>
      <c r="G2334" s="4">
        <v>4617.8999999999996</v>
      </c>
      <c r="H2334" s="5">
        <f t="shared" si="36"/>
        <v>9.6153846153846229E-3</v>
      </c>
    </row>
    <row r="2335" spans="1:8" ht="13.5" x14ac:dyDescent="0.25">
      <c r="A2335" s="1"/>
      <c r="B2335" s="3">
        <v>45699</v>
      </c>
      <c r="C2335" s="4">
        <v>2.0099999999999998</v>
      </c>
      <c r="D2335" s="4">
        <v>2.0099999999999998</v>
      </c>
      <c r="E2335" s="4">
        <v>400</v>
      </c>
      <c r="F2335" s="4">
        <v>2.0099999999999998</v>
      </c>
      <c r="G2335" s="4">
        <v>804</v>
      </c>
      <c r="H2335" s="5">
        <f t="shared" si="36"/>
        <v>-4.2857142857142996E-2</v>
      </c>
    </row>
    <row r="2336" spans="1:8" ht="13.5" x14ac:dyDescent="0.25">
      <c r="A2336" s="1"/>
      <c r="B2336" s="3">
        <v>45700</v>
      </c>
      <c r="C2336" s="4">
        <v>2.0299999999999998</v>
      </c>
      <c r="D2336" s="4">
        <v>2.0299999999999998</v>
      </c>
      <c r="E2336" s="4">
        <v>10175</v>
      </c>
      <c r="F2336" s="4">
        <v>2.028</v>
      </c>
      <c r="G2336" s="4">
        <v>20634.900000000001</v>
      </c>
      <c r="H2336" s="5">
        <f t="shared" si="36"/>
        <v>9.9502487562189157E-3</v>
      </c>
    </row>
    <row r="2337" spans="1:8" ht="13.5" x14ac:dyDescent="0.25">
      <c r="A2337" s="1"/>
      <c r="B2337" s="3">
        <v>45701</v>
      </c>
      <c r="C2337" s="4">
        <v>2.0699999999999998</v>
      </c>
      <c r="D2337" s="4">
        <v>2.0699999999999998</v>
      </c>
      <c r="E2337" s="4">
        <v>3431</v>
      </c>
      <c r="F2337" s="4">
        <v>2.056</v>
      </c>
      <c r="G2337" s="4">
        <v>7054.1360000000004</v>
      </c>
      <c r="H2337" s="5">
        <f t="shared" si="36"/>
        <v>1.9704433497536967E-2</v>
      </c>
    </row>
    <row r="2338" spans="1:8" ht="13.5" x14ac:dyDescent="0.25">
      <c r="A2338" s="1"/>
      <c r="B2338" s="3">
        <v>45702</v>
      </c>
      <c r="C2338" s="4">
        <v>2.0699999999999998</v>
      </c>
      <c r="D2338" s="4">
        <v>2.0699999999999998</v>
      </c>
      <c r="E2338" s="4">
        <v>11523</v>
      </c>
      <c r="F2338" s="4">
        <v>2.0750000000000002</v>
      </c>
      <c r="G2338" s="4">
        <v>23910.224999999999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2.02</v>
      </c>
      <c r="D2339" s="4">
        <v>2.02</v>
      </c>
      <c r="E2339" s="4">
        <v>16174</v>
      </c>
      <c r="F2339" s="4">
        <v>2.0369999999999999</v>
      </c>
      <c r="G2339" s="4">
        <v>32946.438000000002</v>
      </c>
      <c r="H2339" s="5">
        <f t="shared" si="36"/>
        <v>-2.4154589371980593E-2</v>
      </c>
    </row>
    <row r="2340" spans="1:8" ht="13.5" x14ac:dyDescent="0.25">
      <c r="A2340" s="1"/>
      <c r="B2340" s="3">
        <v>45706</v>
      </c>
      <c r="C2340" s="4">
        <v>2.0299999999999998</v>
      </c>
      <c r="D2340" s="4">
        <v>2.0299999999999998</v>
      </c>
      <c r="E2340" s="4">
        <v>15629</v>
      </c>
      <c r="F2340" s="4">
        <v>2.0299999999999998</v>
      </c>
      <c r="G2340" s="4">
        <v>31726.87</v>
      </c>
      <c r="H2340" s="5">
        <f t="shared" si="36"/>
        <v>4.9504950495048447E-3</v>
      </c>
    </row>
    <row r="2341" spans="1:8" ht="13.5" x14ac:dyDescent="0.25">
      <c r="A2341" s="1"/>
      <c r="B2341" s="3">
        <v>45707</v>
      </c>
      <c r="C2341" s="4">
        <v>2.12</v>
      </c>
      <c r="D2341" s="4">
        <v>2.12</v>
      </c>
      <c r="E2341" s="4">
        <v>10306</v>
      </c>
      <c r="F2341" s="4">
        <v>2.12</v>
      </c>
      <c r="G2341" s="4">
        <v>21848.720000000001</v>
      </c>
      <c r="H2341" s="5">
        <f t="shared" si="36"/>
        <v>4.4334975369458282E-2</v>
      </c>
    </row>
    <row r="2342" spans="1:8" ht="13.5" x14ac:dyDescent="0.25">
      <c r="A2342" s="1"/>
      <c r="B2342" s="3">
        <v>45708</v>
      </c>
      <c r="C2342" s="4">
        <v>2.11</v>
      </c>
      <c r="D2342" s="4">
        <v>2.11</v>
      </c>
      <c r="E2342" s="4">
        <v>408</v>
      </c>
      <c r="F2342" s="4">
        <v>2.1150000000000002</v>
      </c>
      <c r="G2342" s="4">
        <v>862.92</v>
      </c>
      <c r="H2342" s="5">
        <f t="shared" si="36"/>
        <v>-4.7169811320755808E-3</v>
      </c>
    </row>
    <row r="2343" spans="1:8" ht="13.5" x14ac:dyDescent="0.25">
      <c r="A2343" s="1"/>
      <c r="B2343" s="3">
        <v>45709</v>
      </c>
      <c r="C2343" s="4">
        <v>2.2000000000000002</v>
      </c>
      <c r="D2343" s="4">
        <v>2.2000000000000002</v>
      </c>
      <c r="E2343" s="4">
        <v>200</v>
      </c>
      <c r="F2343" s="4">
        <v>2.1</v>
      </c>
      <c r="G2343" s="4">
        <v>420</v>
      </c>
      <c r="H2343" s="5">
        <f t="shared" si="36"/>
        <v>4.2654028436019106E-2</v>
      </c>
    </row>
    <row r="2344" spans="1:8" ht="13.5" x14ac:dyDescent="0.25">
      <c r="A2344" s="1"/>
      <c r="B2344" s="3">
        <v>45712</v>
      </c>
      <c r="C2344" s="4">
        <v>2.11</v>
      </c>
      <c r="D2344" s="4">
        <v>2.11</v>
      </c>
      <c r="E2344" s="4">
        <v>4046</v>
      </c>
      <c r="F2344" s="4">
        <v>2.11</v>
      </c>
      <c r="G2344" s="4">
        <v>8537.06</v>
      </c>
      <c r="H2344" s="5">
        <f t="shared" si="36"/>
        <v>-4.0909090909091041E-2</v>
      </c>
    </row>
    <row r="2345" spans="1:8" ht="13.5" x14ac:dyDescent="0.25">
      <c r="A2345" s="1"/>
      <c r="B2345" s="3">
        <v>45713</v>
      </c>
      <c r="C2345" s="4">
        <v>2.2000000000000002</v>
      </c>
      <c r="D2345" s="4">
        <v>2.2000000000000002</v>
      </c>
      <c r="E2345" s="4">
        <v>8000</v>
      </c>
      <c r="F2345" s="4">
        <v>2.2000000000000002</v>
      </c>
      <c r="G2345" s="4">
        <v>17600</v>
      </c>
      <c r="H2345" s="5">
        <f t="shared" si="36"/>
        <v>4.2654028436019106E-2</v>
      </c>
    </row>
    <row r="2346" spans="1:8" ht="13.5" x14ac:dyDescent="0.25">
      <c r="A2346" s="1"/>
      <c r="B2346" s="3">
        <v>45714</v>
      </c>
      <c r="C2346" s="4">
        <v>2.11</v>
      </c>
      <c r="D2346" s="4">
        <v>2.11</v>
      </c>
      <c r="E2346" s="4">
        <v>2134</v>
      </c>
      <c r="F2346" s="4">
        <v>2.169</v>
      </c>
      <c r="G2346" s="4">
        <v>4628.6459999999997</v>
      </c>
      <c r="H2346" s="5">
        <f t="shared" si="36"/>
        <v>-4.0909090909091041E-2</v>
      </c>
    </row>
    <row r="2347" spans="1:8" ht="13.5" x14ac:dyDescent="0.25">
      <c r="A2347" s="1"/>
      <c r="B2347" s="3">
        <v>45715</v>
      </c>
      <c r="C2347" s="4">
        <v>2.04</v>
      </c>
      <c r="D2347" s="4">
        <v>2.04</v>
      </c>
      <c r="E2347" s="4">
        <v>800</v>
      </c>
      <c r="F2347" s="4">
        <v>2.04</v>
      </c>
      <c r="G2347" s="4">
        <v>1632</v>
      </c>
      <c r="H2347" s="5">
        <f t="shared" si="36"/>
        <v>-3.3175355450236893E-2</v>
      </c>
    </row>
    <row r="2348" spans="1:8" ht="13.5" x14ac:dyDescent="0.25">
      <c r="A2348" s="1"/>
      <c r="B2348" s="3">
        <v>45716</v>
      </c>
      <c r="C2348" s="4">
        <v>2.13</v>
      </c>
      <c r="D2348" s="4">
        <v>2.13</v>
      </c>
      <c r="E2348" s="4">
        <v>0</v>
      </c>
      <c r="F2348" s="4">
        <v>0</v>
      </c>
      <c r="G2348" s="4">
        <v>0</v>
      </c>
      <c r="H2348" s="5">
        <f t="shared" si="36"/>
        <v>4.4117647058823456E-2</v>
      </c>
    </row>
    <row r="2349" spans="1:8" ht="13.5" x14ac:dyDescent="0.25">
      <c r="A2349" s="1"/>
      <c r="B2349" s="3">
        <v>45719</v>
      </c>
      <c r="C2349" s="4">
        <v>2.12</v>
      </c>
      <c r="D2349" s="4">
        <v>2.12</v>
      </c>
      <c r="E2349" s="4">
        <v>275</v>
      </c>
      <c r="F2349" s="4">
        <v>2.12</v>
      </c>
      <c r="G2349" s="4">
        <v>583</v>
      </c>
      <c r="H2349" s="5">
        <f t="shared" si="36"/>
        <v>-4.6948356807510741E-3</v>
      </c>
    </row>
    <row r="2350" spans="1:8" ht="13.5" x14ac:dyDescent="0.25">
      <c r="A2350" s="1"/>
      <c r="B2350" s="3">
        <v>45720</v>
      </c>
      <c r="C2350" s="4">
        <v>2.19</v>
      </c>
      <c r="D2350" s="4">
        <v>2.19</v>
      </c>
      <c r="E2350" s="4">
        <v>7050</v>
      </c>
      <c r="F2350" s="4">
        <v>2.177</v>
      </c>
      <c r="G2350" s="4">
        <v>15347.85</v>
      </c>
      <c r="H2350" s="5">
        <f t="shared" si="36"/>
        <v>3.3018867924528225E-2</v>
      </c>
    </row>
    <row r="2351" spans="1:8" ht="13.5" x14ac:dyDescent="0.25">
      <c r="A2351" s="1"/>
      <c r="B2351" s="3">
        <v>45721</v>
      </c>
      <c r="C2351" s="4">
        <v>2.1</v>
      </c>
      <c r="D2351" s="4">
        <v>2.1</v>
      </c>
      <c r="E2351" s="4">
        <v>1510</v>
      </c>
      <c r="F2351" s="4">
        <v>2.1800000000000002</v>
      </c>
      <c r="G2351" s="4">
        <v>3291.8</v>
      </c>
      <c r="H2351" s="5">
        <f t="shared" si="36"/>
        <v>-4.1095890410958839E-2</v>
      </c>
    </row>
    <row r="2352" spans="1:8" ht="13.5" x14ac:dyDescent="0.25">
      <c r="A2352" s="1"/>
      <c r="B2352" s="3">
        <v>45722</v>
      </c>
      <c r="C2352" s="4">
        <v>2.09</v>
      </c>
      <c r="D2352" s="4">
        <v>2.09</v>
      </c>
      <c r="E2352" s="4">
        <v>4354</v>
      </c>
      <c r="F2352" s="4">
        <v>2.0659999999999998</v>
      </c>
      <c r="G2352" s="4">
        <v>8995.3639999999996</v>
      </c>
      <c r="H2352" s="5">
        <f t="shared" si="36"/>
        <v>-4.7619047619048716E-3</v>
      </c>
    </row>
    <row r="2353" spans="1:8" ht="13.5" x14ac:dyDescent="0.25">
      <c r="A2353" s="1"/>
      <c r="B2353" s="3">
        <v>45723</v>
      </c>
      <c r="C2353" s="4">
        <v>2.17</v>
      </c>
      <c r="D2353" s="4">
        <v>2.17</v>
      </c>
      <c r="E2353" s="4">
        <v>3147</v>
      </c>
      <c r="F2353" s="4">
        <v>2.0409999999999999</v>
      </c>
      <c r="G2353" s="4">
        <v>6423.027</v>
      </c>
      <c r="H2353" s="5">
        <f t="shared" si="36"/>
        <v>3.8277511961722521E-2</v>
      </c>
    </row>
    <row r="2354" spans="1:8" ht="13.5" x14ac:dyDescent="0.25">
      <c r="A2354" s="1"/>
      <c r="B2354" s="3">
        <v>45726</v>
      </c>
      <c r="C2354" s="4">
        <v>2.14</v>
      </c>
      <c r="D2354" s="4">
        <v>2.14</v>
      </c>
      <c r="E2354" s="4">
        <v>22</v>
      </c>
      <c r="F2354" s="4">
        <v>2.14</v>
      </c>
      <c r="G2354" s="4">
        <v>47.08</v>
      </c>
      <c r="H2354" s="5">
        <f t="shared" si="36"/>
        <v>-1.3824884792626639E-2</v>
      </c>
    </row>
    <row r="2355" spans="1:8" ht="13.5" x14ac:dyDescent="0.25">
      <c r="A2355" s="1"/>
      <c r="B2355" s="3">
        <v>45727</v>
      </c>
      <c r="C2355" s="4">
        <v>2.23</v>
      </c>
      <c r="D2355" s="4">
        <v>2.23</v>
      </c>
      <c r="E2355" s="4">
        <v>0</v>
      </c>
      <c r="F2355" s="4">
        <v>0</v>
      </c>
      <c r="G2355" s="4">
        <v>0</v>
      </c>
      <c r="H2355" s="5">
        <f t="shared" si="36"/>
        <v>4.2056074766355069E-2</v>
      </c>
    </row>
    <row r="2356" spans="1:8" ht="13.5" x14ac:dyDescent="0.25">
      <c r="A2356" s="1"/>
      <c r="B2356" s="3">
        <v>45728</v>
      </c>
      <c r="C2356" s="4">
        <v>2.13</v>
      </c>
      <c r="D2356" s="4">
        <v>2.13</v>
      </c>
      <c r="E2356" s="4">
        <v>0</v>
      </c>
      <c r="F2356" s="4">
        <v>0</v>
      </c>
      <c r="G2356" s="4">
        <v>0</v>
      </c>
      <c r="H2356" s="5">
        <f t="shared" si="36"/>
        <v>-4.4843049327354299E-2</v>
      </c>
    </row>
    <row r="2357" spans="1:8" ht="13.5" x14ac:dyDescent="0.25">
      <c r="A2357" s="1"/>
      <c r="B2357" s="3">
        <v>45729</v>
      </c>
      <c r="C2357" s="4">
        <v>2.0499999999999998</v>
      </c>
      <c r="D2357" s="4">
        <v>2.0499999999999998</v>
      </c>
      <c r="E2357" s="4">
        <v>1980</v>
      </c>
      <c r="F2357" s="4">
        <v>2.0449999999999999</v>
      </c>
      <c r="G2357" s="4">
        <v>4049.1</v>
      </c>
      <c r="H2357" s="5">
        <f t="shared" si="36"/>
        <v>-3.7558685446009425E-2</v>
      </c>
    </row>
    <row r="2358" spans="1:8" ht="13.5" x14ac:dyDescent="0.25">
      <c r="A2358" s="1"/>
      <c r="B2358" s="3">
        <v>45730</v>
      </c>
      <c r="C2358" s="4">
        <v>2.0499999999999998</v>
      </c>
      <c r="D2358" s="4">
        <v>2.0499999999999998</v>
      </c>
      <c r="E2358" s="4">
        <v>859</v>
      </c>
      <c r="F2358" s="4">
        <v>2.0939999999999999</v>
      </c>
      <c r="G2358" s="4">
        <v>1798.7460000000001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2</v>
      </c>
      <c r="D2359" s="4">
        <v>2</v>
      </c>
      <c r="E2359" s="4">
        <v>18844</v>
      </c>
      <c r="F2359" s="4">
        <v>2</v>
      </c>
      <c r="G2359" s="4">
        <v>37688</v>
      </c>
      <c r="H2359" s="5">
        <f t="shared" si="36"/>
        <v>-2.4390243902438939E-2</v>
      </c>
    </row>
    <row r="2360" spans="1:8" ht="13.5" x14ac:dyDescent="0.25">
      <c r="A2360" s="1"/>
      <c r="B2360" s="3">
        <v>45734</v>
      </c>
      <c r="C2360" s="4">
        <v>1.92</v>
      </c>
      <c r="D2360" s="4">
        <v>1.92</v>
      </c>
      <c r="E2360" s="4">
        <v>11915</v>
      </c>
      <c r="F2360" s="4">
        <v>1.92</v>
      </c>
      <c r="G2360" s="4">
        <v>22876.799999999999</v>
      </c>
      <c r="H2360" s="5">
        <f t="shared" si="36"/>
        <v>-4.0000000000000036E-2</v>
      </c>
    </row>
    <row r="2361" spans="1:8" ht="13.5" x14ac:dyDescent="0.25">
      <c r="A2361" s="1"/>
      <c r="B2361" s="3">
        <v>45735</v>
      </c>
      <c r="C2361" s="4">
        <v>2</v>
      </c>
      <c r="D2361" s="4">
        <v>2</v>
      </c>
      <c r="E2361" s="4">
        <v>0</v>
      </c>
      <c r="F2361" s="4">
        <v>0</v>
      </c>
      <c r="G2361" s="4">
        <v>0</v>
      </c>
      <c r="H2361" s="5">
        <f t="shared" si="36"/>
        <v>4.1666666666666706E-2</v>
      </c>
    </row>
    <row r="2362" spans="1:8" ht="13.5" x14ac:dyDescent="0.25">
      <c r="A2362" s="1"/>
      <c r="B2362" s="3">
        <v>45737</v>
      </c>
      <c r="C2362" s="4">
        <v>1.95</v>
      </c>
      <c r="D2362" s="4">
        <v>1.95</v>
      </c>
      <c r="E2362" s="4">
        <v>7991</v>
      </c>
      <c r="F2362" s="4">
        <v>1.944</v>
      </c>
      <c r="G2362" s="4">
        <v>15534.504000000001</v>
      </c>
      <c r="H2362" s="5">
        <f t="shared" si="36"/>
        <v>-2.5000000000000022E-2</v>
      </c>
    </row>
    <row r="2363" spans="1:8" ht="13.5" x14ac:dyDescent="0.25">
      <c r="A2363" s="1"/>
      <c r="B2363" s="3">
        <v>45740</v>
      </c>
      <c r="C2363" s="4">
        <v>1.95</v>
      </c>
      <c r="D2363" s="4">
        <v>1.95</v>
      </c>
      <c r="E2363" s="4">
        <v>11000</v>
      </c>
      <c r="F2363" s="4">
        <v>1.95</v>
      </c>
      <c r="G2363" s="4">
        <v>21450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2.0299999999999998</v>
      </c>
      <c r="D2364" s="4">
        <v>2.0299999999999998</v>
      </c>
      <c r="E2364" s="4">
        <v>1080</v>
      </c>
      <c r="F2364" s="4">
        <v>1.95</v>
      </c>
      <c r="G2364" s="4">
        <v>2106</v>
      </c>
      <c r="H2364" s="5">
        <f t="shared" si="36"/>
        <v>4.1025641025640949E-2</v>
      </c>
    </row>
    <row r="2365" spans="1:8" ht="13.5" x14ac:dyDescent="0.25">
      <c r="A2365" s="1"/>
      <c r="B2365" s="3">
        <v>45742</v>
      </c>
      <c r="C2365" s="4">
        <v>2.12</v>
      </c>
      <c r="D2365" s="4">
        <v>2.12</v>
      </c>
      <c r="E2365" s="4">
        <v>9500</v>
      </c>
      <c r="F2365" s="4">
        <v>2.12</v>
      </c>
      <c r="G2365" s="4">
        <v>20140</v>
      </c>
      <c r="H2365" s="5">
        <f t="shared" si="36"/>
        <v>4.4334975369458282E-2</v>
      </c>
    </row>
    <row r="2366" spans="1:8" ht="13.5" x14ac:dyDescent="0.25">
      <c r="A2366" s="1"/>
      <c r="B2366" s="3">
        <v>45743</v>
      </c>
      <c r="C2366" s="4">
        <v>2.0499999999999998</v>
      </c>
      <c r="D2366" s="4">
        <v>2.0499999999999998</v>
      </c>
      <c r="E2366" s="4">
        <v>8090</v>
      </c>
      <c r="F2366" s="4">
        <v>2.0310000000000001</v>
      </c>
      <c r="G2366" s="4">
        <v>16430.79</v>
      </c>
      <c r="H2366" s="5">
        <f t="shared" si="36"/>
        <v>-3.3018867924528433E-2</v>
      </c>
    </row>
    <row r="2367" spans="1:8" ht="13.5" x14ac:dyDescent="0.25">
      <c r="A2367" s="1"/>
      <c r="B2367" s="3">
        <v>45744</v>
      </c>
      <c r="C2367" s="4">
        <v>2.09</v>
      </c>
      <c r="D2367" s="4">
        <v>2.09</v>
      </c>
      <c r="E2367" s="4">
        <v>5776</v>
      </c>
      <c r="F2367" s="4">
        <v>2.0339999999999998</v>
      </c>
      <c r="G2367" s="4">
        <v>11748.384</v>
      </c>
      <c r="H2367" s="5">
        <f t="shared" si="36"/>
        <v>1.9512195121951237E-2</v>
      </c>
    </row>
    <row r="2368" spans="1:8" ht="13.5" x14ac:dyDescent="0.25">
      <c r="A2368" s="1"/>
      <c r="B2368" s="3">
        <v>45749</v>
      </c>
      <c r="C2368" s="4">
        <v>2.1</v>
      </c>
      <c r="D2368" s="4">
        <v>2.1</v>
      </c>
      <c r="E2368" s="4">
        <v>10364</v>
      </c>
      <c r="F2368" s="4">
        <v>2.0939999999999999</v>
      </c>
      <c r="G2368" s="4">
        <v>21702.216</v>
      </c>
      <c r="H2368" s="5">
        <f t="shared" si="36"/>
        <v>4.7846889952154218E-3</v>
      </c>
    </row>
    <row r="2369" spans="1:8" ht="13.5" x14ac:dyDescent="0.25">
      <c r="A2369" s="1"/>
      <c r="B2369" s="3">
        <v>45750</v>
      </c>
      <c r="C2369" s="4">
        <v>2.12</v>
      </c>
      <c r="D2369" s="4">
        <v>2.12</v>
      </c>
      <c r="E2369" s="4">
        <v>2510</v>
      </c>
      <c r="F2369" s="4">
        <v>2.12</v>
      </c>
      <c r="G2369" s="4">
        <v>5321.2</v>
      </c>
      <c r="H2369" s="5">
        <f t="shared" si="36"/>
        <v>9.5238095238095316E-3</v>
      </c>
    </row>
    <row r="2370" spans="1:8" ht="13.5" x14ac:dyDescent="0.25">
      <c r="A2370" s="1"/>
      <c r="B2370" s="3">
        <v>45751</v>
      </c>
      <c r="C2370" s="4">
        <v>2.1</v>
      </c>
      <c r="D2370" s="4">
        <v>2.1</v>
      </c>
      <c r="E2370" s="4">
        <v>590</v>
      </c>
      <c r="F2370" s="4">
        <v>2.1</v>
      </c>
      <c r="G2370" s="4">
        <v>1239</v>
      </c>
      <c r="H2370" s="5">
        <f t="shared" si="36"/>
        <v>-9.4339622641509517E-3</v>
      </c>
    </row>
    <row r="2371" spans="1:8" ht="13.5" x14ac:dyDescent="0.25">
      <c r="A2371" s="1"/>
      <c r="B2371" s="3">
        <v>45754</v>
      </c>
      <c r="C2371" s="4">
        <v>2.1</v>
      </c>
      <c r="D2371" s="4">
        <v>2.1</v>
      </c>
      <c r="E2371" s="4">
        <v>1500</v>
      </c>
      <c r="F2371" s="4">
        <v>2.1</v>
      </c>
      <c r="G2371" s="4">
        <v>3150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2.1</v>
      </c>
      <c r="D2372" s="4">
        <v>2.1</v>
      </c>
      <c r="E2372" s="4">
        <v>0</v>
      </c>
      <c r="F2372" s="4">
        <v>0</v>
      </c>
      <c r="G2372" s="4">
        <v>0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2.09</v>
      </c>
      <c r="D2373" s="4">
        <v>2.09</v>
      </c>
      <c r="E2373" s="4">
        <v>5606</v>
      </c>
      <c r="F2373" s="4">
        <v>2.09</v>
      </c>
      <c r="G2373" s="4">
        <v>11716.54</v>
      </c>
      <c r="H2373" s="5">
        <f t="shared" si="36"/>
        <v>-4.7619047619048716E-3</v>
      </c>
    </row>
    <row r="2374" spans="1:8" ht="13.5" x14ac:dyDescent="0.25">
      <c r="A2374" s="1"/>
      <c r="B2374" s="3">
        <v>45758</v>
      </c>
      <c r="C2374" s="4">
        <v>2.04</v>
      </c>
      <c r="D2374" s="4">
        <v>2.04</v>
      </c>
      <c r="E2374" s="4">
        <v>3250</v>
      </c>
      <c r="F2374" s="4">
        <v>2.089</v>
      </c>
      <c r="G2374" s="4">
        <v>6789.25</v>
      </c>
      <c r="H2374" s="5">
        <f t="shared" si="36"/>
        <v>-2.3923444976076472E-2</v>
      </c>
    </row>
    <row r="2375" spans="1:8" ht="13.5" x14ac:dyDescent="0.25">
      <c r="A2375" s="1"/>
      <c r="B2375" s="3">
        <v>45761</v>
      </c>
      <c r="C2375" s="4">
        <v>2.0099999999999998</v>
      </c>
      <c r="D2375" s="4">
        <v>2.0099999999999998</v>
      </c>
      <c r="E2375" s="4">
        <v>12181</v>
      </c>
      <c r="F2375" s="4">
        <v>2.0099999999999998</v>
      </c>
      <c r="G2375" s="4">
        <v>24483.81</v>
      </c>
      <c r="H2375" s="5">
        <f t="shared" ref="H2375:H2438" si="37">(D2375-D2374)/D2374</f>
        <v>-1.4705882352941298E-2</v>
      </c>
    </row>
    <row r="2376" spans="1:8" ht="13.5" x14ac:dyDescent="0.25">
      <c r="A2376" s="1"/>
      <c r="B2376" s="3">
        <v>45762</v>
      </c>
      <c r="C2376" s="4">
        <v>1.92</v>
      </c>
      <c r="D2376" s="4">
        <v>1.92</v>
      </c>
      <c r="E2376" s="4">
        <v>0</v>
      </c>
      <c r="F2376" s="4">
        <v>0</v>
      </c>
      <c r="G2376" s="4">
        <v>0</v>
      </c>
      <c r="H2376" s="5">
        <f t="shared" si="37"/>
        <v>-4.477611940298501E-2</v>
      </c>
    </row>
    <row r="2377" spans="1:8" ht="13.5" x14ac:dyDescent="0.25">
      <c r="A2377" s="1"/>
      <c r="B2377" s="3">
        <v>45763</v>
      </c>
      <c r="C2377" s="4">
        <v>1.84</v>
      </c>
      <c r="D2377" s="4">
        <v>1.84</v>
      </c>
      <c r="E2377" s="4">
        <v>250</v>
      </c>
      <c r="F2377" s="4">
        <v>1.84</v>
      </c>
      <c r="G2377" s="4">
        <v>460</v>
      </c>
      <c r="H2377" s="5">
        <f t="shared" si="37"/>
        <v>-4.1666666666666588E-2</v>
      </c>
    </row>
    <row r="2378" spans="1:8" ht="13.5" x14ac:dyDescent="0.25">
      <c r="A2378" s="1"/>
      <c r="B2378" s="3">
        <v>45764</v>
      </c>
      <c r="C2378" s="4">
        <v>1.76</v>
      </c>
      <c r="D2378" s="4">
        <v>1.76</v>
      </c>
      <c r="E2378" s="4">
        <v>9937</v>
      </c>
      <c r="F2378" s="4">
        <v>1.8640000000000001</v>
      </c>
      <c r="G2378" s="4">
        <v>18522.567999999999</v>
      </c>
      <c r="H2378" s="5">
        <f t="shared" si="37"/>
        <v>-4.3478260869565251E-2</v>
      </c>
    </row>
    <row r="2379" spans="1:8" ht="13.5" x14ac:dyDescent="0.25">
      <c r="A2379" s="1"/>
      <c r="B2379" s="3">
        <v>45765</v>
      </c>
      <c r="C2379" s="4">
        <v>1.73</v>
      </c>
      <c r="D2379" s="4">
        <v>1.73</v>
      </c>
      <c r="E2379" s="4">
        <v>1718</v>
      </c>
      <c r="F2379" s="4">
        <v>1.728</v>
      </c>
      <c r="G2379" s="4">
        <v>2968.7040000000002</v>
      </c>
      <c r="H2379" s="5">
        <f t="shared" si="37"/>
        <v>-1.7045454545454562E-2</v>
      </c>
    </row>
    <row r="2380" spans="1:8" ht="13.5" x14ac:dyDescent="0.25">
      <c r="A2380" s="1"/>
      <c r="B2380" s="3">
        <v>45768</v>
      </c>
      <c r="C2380" s="4">
        <v>1.73</v>
      </c>
      <c r="D2380" s="4">
        <v>1.73</v>
      </c>
      <c r="E2380" s="4">
        <v>140</v>
      </c>
      <c r="F2380" s="4">
        <v>1.73</v>
      </c>
      <c r="G2380" s="4">
        <v>242.2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1.75</v>
      </c>
      <c r="D2381" s="4">
        <v>1.75</v>
      </c>
      <c r="E2381" s="4">
        <v>15921</v>
      </c>
      <c r="F2381" s="4">
        <v>1.75</v>
      </c>
      <c r="G2381" s="4">
        <v>27861.75</v>
      </c>
      <c r="H2381" s="5">
        <f t="shared" si="37"/>
        <v>1.1560693641618507E-2</v>
      </c>
    </row>
    <row r="2382" spans="1:8" ht="13.5" x14ac:dyDescent="0.25">
      <c r="A2382" s="1"/>
      <c r="B2382" s="3">
        <v>45770</v>
      </c>
      <c r="C2382" s="4">
        <v>1.78</v>
      </c>
      <c r="D2382" s="4">
        <v>1.78</v>
      </c>
      <c r="E2382" s="4">
        <v>1305</v>
      </c>
      <c r="F2382" s="4">
        <v>1.78</v>
      </c>
      <c r="G2382" s="4">
        <v>2322.9</v>
      </c>
      <c r="H2382" s="5">
        <f t="shared" si="37"/>
        <v>1.7142857142857158E-2</v>
      </c>
    </row>
    <row r="2383" spans="1:8" ht="13.5" x14ac:dyDescent="0.25">
      <c r="A2383" s="1"/>
      <c r="B2383" s="3">
        <v>45771</v>
      </c>
      <c r="C2383" s="4">
        <v>1.82</v>
      </c>
      <c r="D2383" s="4">
        <v>1.82</v>
      </c>
      <c r="E2383" s="4">
        <v>4443</v>
      </c>
      <c r="F2383" s="4">
        <v>1.806</v>
      </c>
      <c r="G2383" s="4">
        <v>8024.058</v>
      </c>
      <c r="H2383" s="5">
        <f t="shared" si="37"/>
        <v>2.2471910112359571E-2</v>
      </c>
    </row>
    <row r="2384" spans="1:8" ht="13.5" x14ac:dyDescent="0.25">
      <c r="A2384" s="1"/>
      <c r="B2384" s="3">
        <v>45772</v>
      </c>
      <c r="C2384" s="4">
        <v>1.84</v>
      </c>
      <c r="D2384" s="4">
        <v>1.84</v>
      </c>
      <c r="E2384" s="4">
        <v>620</v>
      </c>
      <c r="F2384" s="4">
        <v>1.84</v>
      </c>
      <c r="G2384" s="4">
        <v>1140.8</v>
      </c>
      <c r="H2384" s="5">
        <f t="shared" si="37"/>
        <v>1.0989010989010999E-2</v>
      </c>
    </row>
    <row r="2385" spans="1:8" ht="13.5" x14ac:dyDescent="0.25">
      <c r="A2385" s="1"/>
      <c r="B2385" s="3">
        <v>45775</v>
      </c>
      <c r="C2385" s="4">
        <v>1.92</v>
      </c>
      <c r="D2385" s="4">
        <v>1.92</v>
      </c>
      <c r="E2385" s="4">
        <v>2295</v>
      </c>
      <c r="F2385" s="4">
        <v>1.92</v>
      </c>
      <c r="G2385" s="4">
        <v>4406.3999999999996</v>
      </c>
      <c r="H2385" s="5">
        <f t="shared" si="37"/>
        <v>4.3478260869565133E-2</v>
      </c>
    </row>
    <row r="2386" spans="1:8" ht="13.5" x14ac:dyDescent="0.25">
      <c r="A2386" s="1"/>
      <c r="B2386" s="3">
        <v>45776</v>
      </c>
      <c r="C2386" s="4">
        <v>1.95</v>
      </c>
      <c r="D2386" s="4">
        <v>1.95</v>
      </c>
      <c r="E2386" s="4">
        <v>8851</v>
      </c>
      <c r="F2386" s="4">
        <v>1.9510000000000001</v>
      </c>
      <c r="G2386" s="4">
        <v>17268.300999999999</v>
      </c>
      <c r="H2386" s="5">
        <f t="shared" si="37"/>
        <v>1.5625000000000014E-2</v>
      </c>
    </row>
    <row r="2387" spans="1:8" ht="13.5" x14ac:dyDescent="0.25">
      <c r="A2387" s="1"/>
      <c r="B2387" s="3">
        <v>45777</v>
      </c>
      <c r="C2387" s="4">
        <v>1.88</v>
      </c>
      <c r="D2387" s="4">
        <v>1.88</v>
      </c>
      <c r="E2387" s="4">
        <v>2110</v>
      </c>
      <c r="F2387" s="4">
        <v>1.881</v>
      </c>
      <c r="G2387" s="4">
        <v>3968.91</v>
      </c>
      <c r="H2387" s="5">
        <f t="shared" si="37"/>
        <v>-3.5897435897435929E-2</v>
      </c>
    </row>
    <row r="2388" spans="1:8" ht="13.5" x14ac:dyDescent="0.25">
      <c r="A2388" s="1"/>
      <c r="B2388" s="3">
        <v>45779</v>
      </c>
      <c r="C2388" s="4">
        <v>1.89</v>
      </c>
      <c r="D2388" s="4">
        <v>1.89</v>
      </c>
      <c r="E2388" s="4">
        <v>11117</v>
      </c>
      <c r="F2388" s="4">
        <v>1.89</v>
      </c>
      <c r="G2388" s="4">
        <v>21011.13</v>
      </c>
      <c r="H2388" s="5">
        <f t="shared" si="37"/>
        <v>5.3191489361702178E-3</v>
      </c>
    </row>
    <row r="2389" spans="1:8" ht="13.5" x14ac:dyDescent="0.25">
      <c r="A2389" s="1"/>
      <c r="B2389" s="3">
        <v>45782</v>
      </c>
      <c r="C2389" s="4">
        <v>1.86</v>
      </c>
      <c r="D2389" s="4">
        <v>1.86</v>
      </c>
      <c r="E2389" s="4">
        <v>7000</v>
      </c>
      <c r="F2389" s="4">
        <v>1.86</v>
      </c>
      <c r="G2389" s="4">
        <v>13020</v>
      </c>
      <c r="H2389" s="5">
        <f t="shared" si="37"/>
        <v>-1.5873015873015772E-2</v>
      </c>
    </row>
    <row r="2390" spans="1:8" ht="13.5" x14ac:dyDescent="0.25">
      <c r="A2390" s="1"/>
      <c r="B2390" s="3">
        <v>45783</v>
      </c>
      <c r="C2390" s="4">
        <v>1.79</v>
      </c>
      <c r="D2390" s="4">
        <v>1.79</v>
      </c>
      <c r="E2390" s="4">
        <v>41501</v>
      </c>
      <c r="F2390" s="4">
        <v>1.792</v>
      </c>
      <c r="G2390" s="4">
        <v>74369.792000000001</v>
      </c>
      <c r="H2390" s="5">
        <f t="shared" si="37"/>
        <v>-3.7634408602150567E-2</v>
      </c>
    </row>
    <row r="2391" spans="1:8" ht="13.5" x14ac:dyDescent="0.25">
      <c r="A2391" s="1"/>
      <c r="B2391" s="3">
        <v>45784</v>
      </c>
      <c r="C2391" s="4">
        <v>1.81</v>
      </c>
      <c r="D2391" s="4">
        <v>1.81</v>
      </c>
      <c r="E2391" s="4">
        <v>7545</v>
      </c>
      <c r="F2391" s="4">
        <v>1.81</v>
      </c>
      <c r="G2391" s="4">
        <v>13656.45</v>
      </c>
      <c r="H2391" s="5">
        <f t="shared" si="37"/>
        <v>1.1173184357541908E-2</v>
      </c>
    </row>
    <row r="2392" spans="1:8" ht="13.5" x14ac:dyDescent="0.25">
      <c r="A2392" s="1"/>
      <c r="B2392" s="3">
        <v>45785</v>
      </c>
      <c r="C2392" s="4">
        <v>1.83</v>
      </c>
      <c r="D2392" s="4">
        <v>1.83</v>
      </c>
      <c r="E2392" s="4">
        <v>1000</v>
      </c>
      <c r="F2392" s="4">
        <v>1.83</v>
      </c>
      <c r="G2392" s="4">
        <v>1830</v>
      </c>
      <c r="H2392" s="5">
        <f t="shared" si="37"/>
        <v>1.1049723756906087E-2</v>
      </c>
    </row>
    <row r="2393" spans="1:8" ht="13.5" x14ac:dyDescent="0.25">
      <c r="A2393" s="1"/>
      <c r="B2393" s="3">
        <v>45786</v>
      </c>
      <c r="C2393" s="4">
        <v>1.91</v>
      </c>
      <c r="D2393" s="4">
        <v>1.91</v>
      </c>
      <c r="E2393" s="4">
        <v>2</v>
      </c>
      <c r="F2393" s="4">
        <v>1.91</v>
      </c>
      <c r="G2393" s="4">
        <v>3.82</v>
      </c>
      <c r="H2393" s="5">
        <f t="shared" si="37"/>
        <v>4.3715846994535436E-2</v>
      </c>
    </row>
    <row r="2394" spans="1:8" ht="13.5" x14ac:dyDescent="0.25">
      <c r="A2394" s="1"/>
      <c r="B2394" s="3">
        <v>45789</v>
      </c>
      <c r="C2394" s="4">
        <v>1.85</v>
      </c>
      <c r="D2394" s="4">
        <v>1.85</v>
      </c>
      <c r="E2394" s="4">
        <v>18863</v>
      </c>
      <c r="F2394" s="4">
        <v>1.85</v>
      </c>
      <c r="G2394" s="4">
        <v>34896.550000000003</v>
      </c>
      <c r="H2394" s="5">
        <f t="shared" si="37"/>
        <v>-3.1413612565444941E-2</v>
      </c>
    </row>
    <row r="2395" spans="1:8" ht="13.5" x14ac:dyDescent="0.25">
      <c r="A2395" s="1"/>
      <c r="B2395" s="3">
        <v>45790</v>
      </c>
      <c r="C2395" s="4">
        <v>1.85</v>
      </c>
      <c r="D2395" s="4">
        <v>1.85</v>
      </c>
      <c r="E2395" s="4">
        <v>100</v>
      </c>
      <c r="F2395" s="4">
        <v>1.85</v>
      </c>
      <c r="G2395" s="4">
        <v>185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1.85</v>
      </c>
      <c r="D2396" s="4">
        <v>1.85</v>
      </c>
      <c r="E2396" s="4">
        <v>2000</v>
      </c>
      <c r="F2396" s="4">
        <v>1.85</v>
      </c>
      <c r="G2396" s="4">
        <v>3700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1.93</v>
      </c>
      <c r="D2397" s="4">
        <v>1.93</v>
      </c>
      <c r="E2397" s="4">
        <v>0</v>
      </c>
      <c r="F2397" s="4">
        <v>0</v>
      </c>
      <c r="G2397" s="4">
        <v>0</v>
      </c>
      <c r="H2397" s="5">
        <f t="shared" si="37"/>
        <v>4.3243243243243162E-2</v>
      </c>
    </row>
    <row r="2398" spans="1:8" ht="13.5" x14ac:dyDescent="0.25">
      <c r="A2398" s="1"/>
      <c r="B2398" s="3">
        <v>45793</v>
      </c>
      <c r="C2398" s="4">
        <v>1.93</v>
      </c>
      <c r="D2398" s="4">
        <v>1.93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1.95</v>
      </c>
      <c r="D2399" s="4">
        <v>1.95</v>
      </c>
      <c r="E2399" s="4">
        <v>1</v>
      </c>
      <c r="F2399" s="4">
        <v>1.95</v>
      </c>
      <c r="G2399" s="4">
        <v>1.95</v>
      </c>
      <c r="H2399" s="5">
        <f t="shared" si="37"/>
        <v>1.0362694300518144E-2</v>
      </c>
    </row>
    <row r="2400" spans="1:8" ht="13.5" x14ac:dyDescent="0.25">
      <c r="A2400" s="1"/>
      <c r="B2400" s="3">
        <v>45797</v>
      </c>
      <c r="C2400" s="4">
        <v>1.95</v>
      </c>
      <c r="D2400" s="4">
        <v>1.95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1.98</v>
      </c>
      <c r="D2401" s="4">
        <v>1.98</v>
      </c>
      <c r="E2401" s="4">
        <v>1</v>
      </c>
      <c r="F2401" s="4">
        <v>1.98</v>
      </c>
      <c r="G2401" s="4">
        <v>1.98</v>
      </c>
      <c r="H2401" s="5">
        <f t="shared" si="37"/>
        <v>1.5384615384615399E-2</v>
      </c>
    </row>
    <row r="2402" spans="1:8" ht="13.5" x14ac:dyDescent="0.25">
      <c r="A2402" s="1"/>
      <c r="B2402" s="3">
        <v>45799</v>
      </c>
      <c r="C2402" s="4">
        <v>1.98</v>
      </c>
      <c r="D2402" s="4">
        <v>1.98</v>
      </c>
      <c r="E2402" s="4">
        <v>0</v>
      </c>
      <c r="F2402" s="4">
        <v>0</v>
      </c>
      <c r="G2402" s="4">
        <v>0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1.98</v>
      </c>
      <c r="D2403" s="4">
        <v>1.98</v>
      </c>
      <c r="E2403" s="4">
        <v>1518</v>
      </c>
      <c r="F2403" s="4">
        <v>1.98</v>
      </c>
      <c r="G2403" s="4">
        <v>3005.64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1.91</v>
      </c>
      <c r="D2404" s="4">
        <v>1.91</v>
      </c>
      <c r="E2404" s="4">
        <v>1233</v>
      </c>
      <c r="F2404" s="4">
        <v>1.91</v>
      </c>
      <c r="G2404" s="4">
        <v>2355.0300000000002</v>
      </c>
      <c r="H2404" s="5">
        <f t="shared" si="37"/>
        <v>-3.5353535353535387E-2</v>
      </c>
    </row>
    <row r="2405" spans="1:8" ht="13.5" x14ac:dyDescent="0.25">
      <c r="A2405" s="1"/>
      <c r="B2405" s="3">
        <v>45804</v>
      </c>
      <c r="C2405" s="4">
        <v>1.92</v>
      </c>
      <c r="D2405" s="4">
        <v>1.92</v>
      </c>
      <c r="E2405" s="4">
        <v>1875</v>
      </c>
      <c r="F2405" s="4">
        <v>1.92</v>
      </c>
      <c r="G2405" s="4">
        <v>3600</v>
      </c>
      <c r="H2405" s="5">
        <f t="shared" si="37"/>
        <v>5.2356020942408424E-3</v>
      </c>
    </row>
    <row r="2406" spans="1:8" ht="13.5" x14ac:dyDescent="0.25">
      <c r="A2406" s="1"/>
      <c r="B2406" s="3">
        <v>45805</v>
      </c>
      <c r="C2406" s="4">
        <v>1.92</v>
      </c>
      <c r="D2406" s="4">
        <v>1.92</v>
      </c>
      <c r="E2406" s="4">
        <v>191</v>
      </c>
      <c r="F2406" s="4">
        <v>1.92</v>
      </c>
      <c r="G2406" s="4">
        <v>366.72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1.9</v>
      </c>
      <c r="D2407" s="4">
        <v>1.9</v>
      </c>
      <c r="E2407" s="4">
        <v>110</v>
      </c>
      <c r="F2407" s="4">
        <v>1.9</v>
      </c>
      <c r="G2407" s="4">
        <v>209</v>
      </c>
      <c r="H2407" s="5">
        <f t="shared" si="37"/>
        <v>-1.0416666666666676E-2</v>
      </c>
    </row>
    <row r="2408" spans="1:8" ht="13.5" x14ac:dyDescent="0.25">
      <c r="A2408" s="1"/>
      <c r="B2408" s="3">
        <v>45807</v>
      </c>
      <c r="C2408" s="4">
        <v>1.95</v>
      </c>
      <c r="D2408" s="4">
        <v>1.95</v>
      </c>
      <c r="E2408" s="4">
        <v>331</v>
      </c>
      <c r="F2408" s="4">
        <v>1.956</v>
      </c>
      <c r="G2408" s="4">
        <v>647.43600000000004</v>
      </c>
      <c r="H2408" s="5">
        <f t="shared" si="37"/>
        <v>2.6315789473684237E-2</v>
      </c>
    </row>
    <row r="2409" spans="1:8" ht="13.5" x14ac:dyDescent="0.25">
      <c r="A2409" s="1"/>
      <c r="B2409" s="3">
        <v>45810</v>
      </c>
      <c r="C2409" s="4">
        <v>1.97</v>
      </c>
      <c r="D2409" s="4">
        <v>1.97</v>
      </c>
      <c r="E2409" s="4">
        <v>1</v>
      </c>
      <c r="F2409" s="4">
        <v>1.97</v>
      </c>
      <c r="G2409" s="4">
        <v>1.97</v>
      </c>
      <c r="H2409" s="5">
        <f t="shared" si="37"/>
        <v>1.0256410256410265E-2</v>
      </c>
    </row>
    <row r="2410" spans="1:8" ht="13.5" x14ac:dyDescent="0.25">
      <c r="A2410" s="1"/>
      <c r="B2410" s="3">
        <v>45811</v>
      </c>
      <c r="C2410" s="4">
        <v>1.97</v>
      </c>
      <c r="D2410" s="4">
        <v>1.97</v>
      </c>
      <c r="E2410" s="4">
        <v>70</v>
      </c>
      <c r="F2410" s="4">
        <v>1.95</v>
      </c>
      <c r="G2410" s="4">
        <v>136.5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1.92</v>
      </c>
      <c r="D2411" s="4">
        <v>1.92</v>
      </c>
      <c r="E2411" s="4">
        <v>300</v>
      </c>
      <c r="F2411" s="4">
        <v>1.92</v>
      </c>
      <c r="G2411" s="4">
        <v>576</v>
      </c>
      <c r="H2411" s="5">
        <f t="shared" si="37"/>
        <v>-2.5380710659898501E-2</v>
      </c>
    </row>
    <row r="2412" spans="1:8" ht="13.5" x14ac:dyDescent="0.25">
      <c r="A2412" s="1"/>
      <c r="B2412" s="3">
        <v>45813</v>
      </c>
      <c r="C2412" s="4">
        <v>1.95</v>
      </c>
      <c r="D2412" s="4">
        <v>1.95</v>
      </c>
      <c r="E2412" s="4">
        <v>1</v>
      </c>
      <c r="F2412" s="4">
        <v>1.95</v>
      </c>
      <c r="G2412" s="4">
        <v>1.95</v>
      </c>
      <c r="H2412" s="5">
        <f t="shared" si="37"/>
        <v>1.5625000000000014E-2</v>
      </c>
    </row>
    <row r="2413" spans="1:8" ht="13.5" x14ac:dyDescent="0.25">
      <c r="A2413" s="1"/>
      <c r="B2413" s="3">
        <v>45817</v>
      </c>
      <c r="C2413" s="4">
        <v>1.96</v>
      </c>
      <c r="D2413" s="4">
        <v>1.96</v>
      </c>
      <c r="E2413" s="4">
        <v>1</v>
      </c>
      <c r="F2413" s="4">
        <v>1.96</v>
      </c>
      <c r="G2413" s="4">
        <v>1.96</v>
      </c>
      <c r="H2413" s="5">
        <f t="shared" si="37"/>
        <v>5.1282051282051325E-3</v>
      </c>
    </row>
    <row r="2414" spans="1:8" ht="13.5" x14ac:dyDescent="0.25">
      <c r="A2414" s="1"/>
      <c r="B2414" s="3">
        <v>45818</v>
      </c>
      <c r="C2414" s="4">
        <v>1.95</v>
      </c>
      <c r="D2414" s="4">
        <v>1.95</v>
      </c>
      <c r="E2414" s="4">
        <v>300</v>
      </c>
      <c r="F2414" s="4">
        <v>1.95</v>
      </c>
      <c r="G2414" s="4">
        <v>585</v>
      </c>
      <c r="H2414" s="5">
        <f t="shared" si="37"/>
        <v>-5.1020408163265354E-3</v>
      </c>
    </row>
    <row r="2415" spans="1:8" ht="13.5" x14ac:dyDescent="0.25">
      <c r="A2415" s="1"/>
      <c r="B2415" s="3">
        <v>45819</v>
      </c>
      <c r="C2415" s="4">
        <v>1.95</v>
      </c>
      <c r="D2415" s="4">
        <v>1.95</v>
      </c>
      <c r="E2415" s="4">
        <v>100</v>
      </c>
      <c r="F2415" s="4">
        <v>1.95</v>
      </c>
      <c r="G2415" s="4">
        <v>195</v>
      </c>
      <c r="H2415" s="5">
        <f t="shared" si="37"/>
        <v>0</v>
      </c>
    </row>
    <row r="2416" spans="1:8" ht="13.5" x14ac:dyDescent="0.25">
      <c r="A2416" s="1"/>
      <c r="B2416" s="3">
        <v>45820</v>
      </c>
      <c r="C2416" s="4">
        <v>1.9</v>
      </c>
      <c r="D2416" s="4">
        <v>1.9</v>
      </c>
      <c r="E2416" s="4">
        <v>3754</v>
      </c>
      <c r="F2416" s="4">
        <v>1.9</v>
      </c>
      <c r="G2416" s="4">
        <v>7132.6</v>
      </c>
      <c r="H2416" s="5">
        <f t="shared" si="37"/>
        <v>-2.5641025641025664E-2</v>
      </c>
    </row>
    <row r="2417" spans="1:8" ht="13.5" x14ac:dyDescent="0.25">
      <c r="A2417" s="1"/>
      <c r="B2417" s="3">
        <v>45821</v>
      </c>
      <c r="C2417" s="4">
        <v>1.89</v>
      </c>
      <c r="D2417" s="4">
        <v>1.89</v>
      </c>
      <c r="E2417" s="4">
        <v>1397</v>
      </c>
      <c r="F2417" s="4">
        <v>1.89</v>
      </c>
      <c r="G2417" s="4">
        <v>2640.33</v>
      </c>
      <c r="H2417" s="5">
        <f t="shared" si="37"/>
        <v>-5.2631578947368472E-3</v>
      </c>
    </row>
    <row r="2418" spans="1:8" ht="13.5" x14ac:dyDescent="0.25">
      <c r="A2418" s="1"/>
      <c r="B2418" s="3">
        <v>45824</v>
      </c>
      <c r="C2418" s="4">
        <v>1.89</v>
      </c>
      <c r="D2418" s="4">
        <v>1.89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1.89</v>
      </c>
      <c r="D2419" s="4">
        <v>1.89</v>
      </c>
      <c r="E2419" s="4">
        <v>1501</v>
      </c>
      <c r="F2419" s="4">
        <v>1.89</v>
      </c>
      <c r="G2419" s="4">
        <v>2836.89</v>
      </c>
      <c r="H2419" s="5">
        <f t="shared" si="37"/>
        <v>0</v>
      </c>
    </row>
    <row r="2420" spans="1:8" ht="13.5" x14ac:dyDescent="0.25">
      <c r="A2420" s="1"/>
      <c r="B2420" s="3">
        <v>45826</v>
      </c>
      <c r="C2420" s="4">
        <v>1.85</v>
      </c>
      <c r="D2420" s="4">
        <v>1.85</v>
      </c>
      <c r="E2420" s="4">
        <v>449</v>
      </c>
      <c r="F2420" s="4">
        <v>1.861</v>
      </c>
      <c r="G2420" s="4">
        <v>835.58900000000006</v>
      </c>
      <c r="H2420" s="5">
        <f t="shared" si="37"/>
        <v>-2.1164021164021066E-2</v>
      </c>
    </row>
    <row r="2421" spans="1:8" ht="13.5" x14ac:dyDescent="0.25">
      <c r="A2421" s="1"/>
      <c r="B2421" s="3">
        <v>45827</v>
      </c>
      <c r="C2421" s="4">
        <v>1.93</v>
      </c>
      <c r="D2421" s="4">
        <v>1.93</v>
      </c>
      <c r="E2421" s="4">
        <v>4048</v>
      </c>
      <c r="F2421" s="4">
        <v>1.93</v>
      </c>
      <c r="G2421" s="4">
        <v>7812.64</v>
      </c>
      <c r="H2421" s="5">
        <f t="shared" si="37"/>
        <v>4.3243243243243162E-2</v>
      </c>
    </row>
    <row r="2422" spans="1:8" ht="13.5" x14ac:dyDescent="0.25">
      <c r="A2422" s="1"/>
      <c r="B2422" s="3">
        <v>45828</v>
      </c>
      <c r="C2422" s="4">
        <v>1.9</v>
      </c>
      <c r="D2422" s="4">
        <v>1.9</v>
      </c>
      <c r="E2422" s="4">
        <v>2301</v>
      </c>
      <c r="F2422" s="4">
        <v>1.9</v>
      </c>
      <c r="G2422" s="4">
        <v>4371.8999999999996</v>
      </c>
      <c r="H2422" s="5">
        <f t="shared" si="37"/>
        <v>-1.5544041450777216E-2</v>
      </c>
    </row>
    <row r="2423" spans="1:8" ht="13.5" x14ac:dyDescent="0.25">
      <c r="A2423" s="1"/>
      <c r="B2423" s="3">
        <v>45831</v>
      </c>
      <c r="C2423" s="4">
        <v>1.97</v>
      </c>
      <c r="D2423" s="4">
        <v>1.97</v>
      </c>
      <c r="E2423" s="4">
        <v>4750</v>
      </c>
      <c r="F2423" s="4">
        <v>1.97</v>
      </c>
      <c r="G2423" s="4">
        <v>9357.5</v>
      </c>
      <c r="H2423" s="5">
        <f t="shared" si="37"/>
        <v>3.6842105263157926E-2</v>
      </c>
    </row>
    <row r="2424" spans="1:8" ht="13.5" x14ac:dyDescent="0.25">
      <c r="A2424" s="1"/>
      <c r="B2424" s="3">
        <v>45832</v>
      </c>
      <c r="C2424" s="4">
        <v>1.96</v>
      </c>
      <c r="D2424" s="4">
        <v>1.96</v>
      </c>
      <c r="E2424" s="4">
        <v>1050</v>
      </c>
      <c r="F2424" s="4">
        <v>1.96</v>
      </c>
      <c r="G2424" s="4">
        <v>2058</v>
      </c>
      <c r="H2424" s="5">
        <f t="shared" si="37"/>
        <v>-5.0761421319797002E-3</v>
      </c>
    </row>
    <row r="2425" spans="1:8" ht="13.5" x14ac:dyDescent="0.25">
      <c r="A2425" s="1"/>
      <c r="B2425" s="3">
        <v>45833</v>
      </c>
      <c r="C2425" s="4">
        <v>1.93</v>
      </c>
      <c r="D2425" s="4">
        <v>1.93</v>
      </c>
      <c r="E2425" s="4">
        <v>6347</v>
      </c>
      <c r="F2425" s="4">
        <v>1.93</v>
      </c>
      <c r="G2425" s="4">
        <v>12249.71</v>
      </c>
      <c r="H2425" s="5">
        <f t="shared" si="37"/>
        <v>-1.5306122448979605E-2</v>
      </c>
    </row>
    <row r="2426" spans="1:8" ht="13.5" x14ac:dyDescent="0.25">
      <c r="A2426" s="1"/>
      <c r="B2426" s="3">
        <v>45835</v>
      </c>
      <c r="C2426" s="4">
        <v>1.93</v>
      </c>
      <c r="D2426" s="4">
        <v>1.93</v>
      </c>
      <c r="E2426" s="4">
        <v>2001</v>
      </c>
      <c r="F2426" s="4">
        <v>1.93</v>
      </c>
      <c r="G2426" s="4">
        <v>3861.93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1.95</v>
      </c>
      <c r="D2427" s="4">
        <v>1.95</v>
      </c>
      <c r="E2427" s="4">
        <v>500</v>
      </c>
      <c r="F2427" s="4">
        <v>1.9379999999999999</v>
      </c>
      <c r="G2427" s="4">
        <v>969</v>
      </c>
      <c r="H2427" s="5">
        <f t="shared" si="37"/>
        <v>1.0362694300518144E-2</v>
      </c>
    </row>
    <row r="2428" spans="1:8" ht="13.5" x14ac:dyDescent="0.25">
      <c r="A2428" s="1"/>
      <c r="B2428" s="3">
        <v>45839</v>
      </c>
      <c r="C2428" s="4">
        <v>1.88</v>
      </c>
      <c r="D2428" s="4">
        <v>1.88</v>
      </c>
      <c r="E2428" s="4">
        <v>500</v>
      </c>
      <c r="F2428" s="4">
        <v>1.88</v>
      </c>
      <c r="G2428" s="4">
        <v>940</v>
      </c>
      <c r="H2428" s="5">
        <f t="shared" si="37"/>
        <v>-3.5897435897435929E-2</v>
      </c>
    </row>
    <row r="2429" spans="1:8" ht="13.5" x14ac:dyDescent="0.25">
      <c r="A2429" s="1"/>
      <c r="B2429" s="3">
        <v>45840</v>
      </c>
      <c r="C2429" s="4">
        <v>1.96</v>
      </c>
      <c r="D2429" s="4">
        <v>1.96</v>
      </c>
      <c r="E2429" s="4">
        <v>1</v>
      </c>
      <c r="F2429" s="4">
        <v>1.96</v>
      </c>
      <c r="G2429" s="4">
        <v>1.96</v>
      </c>
      <c r="H2429" s="5">
        <f t="shared" si="37"/>
        <v>4.2553191489361743E-2</v>
      </c>
    </row>
    <row r="2430" spans="1:8" ht="13.5" x14ac:dyDescent="0.25">
      <c r="A2430" s="1"/>
      <c r="B2430" s="3">
        <v>45841</v>
      </c>
      <c r="C2430" s="4">
        <v>1.96</v>
      </c>
      <c r="D2430" s="4">
        <v>1.96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1.92</v>
      </c>
      <c r="D2431" s="4">
        <v>1.92</v>
      </c>
      <c r="E2431" s="4">
        <v>6250</v>
      </c>
      <c r="F2431" s="4">
        <v>1.92</v>
      </c>
      <c r="G2431" s="4">
        <v>12000</v>
      </c>
      <c r="H2431" s="5">
        <f t="shared" si="37"/>
        <v>-2.0408163265306142E-2</v>
      </c>
    </row>
    <row r="2432" spans="1:8" ht="13.5" x14ac:dyDescent="0.25">
      <c r="A2432" s="1"/>
      <c r="B2432" s="3">
        <v>45845</v>
      </c>
      <c r="C2432" s="4">
        <v>1.92</v>
      </c>
      <c r="D2432" s="4">
        <v>1.92</v>
      </c>
      <c r="E2432" s="4">
        <v>0</v>
      </c>
      <c r="F2432" s="4">
        <v>0</v>
      </c>
      <c r="G2432" s="4">
        <v>0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1.9</v>
      </c>
      <c r="D2433" s="4">
        <v>1.9</v>
      </c>
      <c r="E2433" s="4">
        <v>16001</v>
      </c>
      <c r="F2433" s="4">
        <v>1.9</v>
      </c>
      <c r="G2433" s="4">
        <v>30401.9</v>
      </c>
      <c r="H2433" s="5">
        <f t="shared" si="37"/>
        <v>-1.0416666666666676E-2</v>
      </c>
    </row>
    <row r="2434" spans="1:8" ht="13.5" x14ac:dyDescent="0.25">
      <c r="A2434" s="1"/>
      <c r="B2434" s="3">
        <v>45847</v>
      </c>
      <c r="C2434" s="4">
        <v>1.95</v>
      </c>
      <c r="D2434" s="4">
        <v>1.95</v>
      </c>
      <c r="E2434" s="4">
        <v>17709</v>
      </c>
      <c r="F2434" s="4">
        <v>1.9379999999999999</v>
      </c>
      <c r="G2434" s="4">
        <v>34320.042000000001</v>
      </c>
      <c r="H2434" s="5">
        <f t="shared" si="37"/>
        <v>2.6315789473684237E-2</v>
      </c>
    </row>
    <row r="2435" spans="1:8" ht="13.5" x14ac:dyDescent="0.25">
      <c r="A2435" s="1"/>
      <c r="B2435" s="3">
        <v>45848</v>
      </c>
      <c r="C2435" s="4">
        <v>1.99</v>
      </c>
      <c r="D2435" s="4">
        <v>1.99</v>
      </c>
      <c r="E2435" s="4">
        <v>501</v>
      </c>
      <c r="F2435" s="4">
        <v>1.96</v>
      </c>
      <c r="G2435" s="4">
        <v>981.96</v>
      </c>
      <c r="H2435" s="5">
        <f t="shared" si="37"/>
        <v>2.051282051282053E-2</v>
      </c>
    </row>
    <row r="2436" spans="1:8" ht="13.5" x14ac:dyDescent="0.25">
      <c r="A2436" s="1"/>
      <c r="B2436" s="3">
        <v>45849</v>
      </c>
      <c r="C2436" s="4">
        <v>1.99</v>
      </c>
      <c r="D2436" s="4">
        <v>1.99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1.99</v>
      </c>
      <c r="D2437" s="4">
        <v>1.99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1.99</v>
      </c>
      <c r="D2438" s="4">
        <v>1.99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1.91</v>
      </c>
      <c r="D2439" s="4">
        <v>1.91</v>
      </c>
      <c r="E2439" s="4">
        <v>1</v>
      </c>
      <c r="F2439" s="4">
        <v>1.91</v>
      </c>
      <c r="G2439" s="4">
        <v>1.91</v>
      </c>
      <c r="H2439" s="5">
        <f t="shared" ref="H2439:H2502" si="38">(D2439-D2438)/D2438</f>
        <v>-4.0201005025125663E-2</v>
      </c>
    </row>
    <row r="2440" spans="1:8" ht="13.5" x14ac:dyDescent="0.25">
      <c r="A2440" s="1"/>
      <c r="B2440" s="3">
        <v>45855</v>
      </c>
      <c r="C2440" s="4">
        <v>1.97</v>
      </c>
      <c r="D2440" s="4">
        <v>1.97</v>
      </c>
      <c r="E2440" s="4">
        <v>1</v>
      </c>
      <c r="F2440" s="4">
        <v>1.97</v>
      </c>
      <c r="G2440" s="4">
        <v>1.97</v>
      </c>
      <c r="H2440" s="5">
        <f t="shared" si="38"/>
        <v>3.1413612565445052E-2</v>
      </c>
    </row>
    <row r="2441" spans="1:8" ht="13.5" x14ac:dyDescent="0.25">
      <c r="A2441" s="1"/>
      <c r="B2441" s="3">
        <v>45856</v>
      </c>
      <c r="C2441" s="4">
        <v>1.97</v>
      </c>
      <c r="D2441" s="4">
        <v>1.97</v>
      </c>
      <c r="E2441" s="4">
        <v>0</v>
      </c>
      <c r="F2441" s="4">
        <v>0</v>
      </c>
      <c r="G2441" s="4">
        <v>0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1.92</v>
      </c>
      <c r="D2442" s="4">
        <v>1.92</v>
      </c>
      <c r="E2442" s="4">
        <v>14624</v>
      </c>
      <c r="F2442" s="4">
        <v>1.92</v>
      </c>
      <c r="G2442" s="4">
        <v>28078.080000000002</v>
      </c>
      <c r="H2442" s="5">
        <f t="shared" si="38"/>
        <v>-2.5380710659898501E-2</v>
      </c>
    </row>
    <row r="2443" spans="1:8" ht="13.5" x14ac:dyDescent="0.25">
      <c r="A2443" s="1"/>
      <c r="B2443" s="3">
        <v>45860</v>
      </c>
      <c r="C2443" s="4">
        <v>1.9</v>
      </c>
      <c r="D2443" s="4">
        <v>1.9</v>
      </c>
      <c r="E2443" s="4">
        <v>2000</v>
      </c>
      <c r="F2443" s="4">
        <v>1.9</v>
      </c>
      <c r="G2443" s="4">
        <v>3800</v>
      </c>
      <c r="H2443" s="5">
        <f t="shared" si="38"/>
        <v>-1.0416666666666676E-2</v>
      </c>
    </row>
    <row r="2444" spans="1:8" ht="13.5" x14ac:dyDescent="0.25">
      <c r="A2444" s="1"/>
      <c r="B2444" s="3">
        <v>45861</v>
      </c>
      <c r="C2444" s="4">
        <v>1.9</v>
      </c>
      <c r="D2444" s="4">
        <v>1.9</v>
      </c>
      <c r="E2444" s="4">
        <v>4030</v>
      </c>
      <c r="F2444" s="4">
        <v>1.9</v>
      </c>
      <c r="G2444" s="4">
        <v>7657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1.95</v>
      </c>
      <c r="D2445" s="4">
        <v>1.95</v>
      </c>
      <c r="E2445" s="4">
        <v>1001</v>
      </c>
      <c r="F2445" s="4">
        <v>1.95</v>
      </c>
      <c r="G2445" s="4">
        <v>1951.95</v>
      </c>
      <c r="H2445" s="5">
        <f t="shared" si="38"/>
        <v>2.6315789473684237E-2</v>
      </c>
    </row>
    <row r="2446" spans="1:8" ht="13.5" x14ac:dyDescent="0.25">
      <c r="A2446" s="1"/>
      <c r="B2446" s="3">
        <v>45866</v>
      </c>
      <c r="C2446" s="4">
        <v>1.97</v>
      </c>
      <c r="D2446" s="4">
        <v>1.97</v>
      </c>
      <c r="E2446" s="4">
        <v>1</v>
      </c>
      <c r="F2446" s="4">
        <v>1.97</v>
      </c>
      <c r="G2446" s="4">
        <v>1.97</v>
      </c>
      <c r="H2446" s="5">
        <f t="shared" si="38"/>
        <v>1.0256410256410265E-2</v>
      </c>
    </row>
    <row r="2447" spans="1:8" ht="13.5" x14ac:dyDescent="0.25">
      <c r="A2447" s="1"/>
      <c r="B2447" s="3">
        <v>45867</v>
      </c>
      <c r="C2447" s="4">
        <v>1.91</v>
      </c>
      <c r="D2447" s="4">
        <v>1.91</v>
      </c>
      <c r="E2447" s="4">
        <v>25509</v>
      </c>
      <c r="F2447" s="4">
        <v>1.91</v>
      </c>
      <c r="G2447" s="4">
        <v>48722.19</v>
      </c>
      <c r="H2447" s="5">
        <f t="shared" si="38"/>
        <v>-3.0456852791878201E-2</v>
      </c>
    </row>
    <row r="2448" spans="1:8" ht="13.5" x14ac:dyDescent="0.25">
      <c r="A2448" s="1"/>
      <c r="B2448" s="3">
        <v>45868</v>
      </c>
      <c r="C2448" s="4">
        <v>1.88</v>
      </c>
      <c r="D2448" s="4">
        <v>1.88</v>
      </c>
      <c r="E2448" s="4">
        <v>1900</v>
      </c>
      <c r="F2448" s="4">
        <v>1.88</v>
      </c>
      <c r="G2448" s="4">
        <v>3572</v>
      </c>
      <c r="H2448" s="5">
        <f t="shared" si="38"/>
        <v>-1.5706806282722526E-2</v>
      </c>
    </row>
    <row r="2449" spans="1:8" ht="13.5" x14ac:dyDescent="0.25">
      <c r="A2449" s="1"/>
      <c r="B2449" s="3">
        <v>45869</v>
      </c>
      <c r="C2449" s="4">
        <v>1.88</v>
      </c>
      <c r="D2449" s="4">
        <v>1.88</v>
      </c>
      <c r="E2449" s="4">
        <v>1600</v>
      </c>
      <c r="F2449" s="4">
        <v>1.88</v>
      </c>
      <c r="G2449" s="4">
        <v>3008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1.95</v>
      </c>
      <c r="D2450" s="4">
        <v>1.95</v>
      </c>
      <c r="E2450" s="4">
        <v>1879</v>
      </c>
      <c r="F2450" s="4">
        <v>1.903</v>
      </c>
      <c r="G2450" s="4">
        <v>3575.7370000000001</v>
      </c>
      <c r="H2450" s="5">
        <f t="shared" si="38"/>
        <v>3.7234042553191522E-2</v>
      </c>
    </row>
    <row r="2451" spans="1:8" ht="13.5" x14ac:dyDescent="0.25">
      <c r="A2451" s="1"/>
      <c r="B2451" s="3">
        <v>45873</v>
      </c>
      <c r="C2451" s="4">
        <v>1.97</v>
      </c>
      <c r="D2451" s="4">
        <v>1.97</v>
      </c>
      <c r="E2451" s="4">
        <v>100</v>
      </c>
      <c r="F2451" s="4">
        <v>1.97</v>
      </c>
      <c r="G2451" s="4">
        <v>197</v>
      </c>
      <c r="H2451" s="5">
        <f t="shared" si="38"/>
        <v>1.0256410256410265E-2</v>
      </c>
    </row>
    <row r="2452" spans="1:8" ht="13.5" x14ac:dyDescent="0.25">
      <c r="A2452" s="1"/>
      <c r="B2452" s="3">
        <v>45874</v>
      </c>
      <c r="C2452" s="4">
        <v>1.97</v>
      </c>
      <c r="D2452" s="4">
        <v>1.97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1.9</v>
      </c>
      <c r="D2453" s="4">
        <v>1.9</v>
      </c>
      <c r="E2453" s="4">
        <v>22442</v>
      </c>
      <c r="F2453" s="4">
        <v>1.9</v>
      </c>
      <c r="G2453" s="4">
        <v>42639.8</v>
      </c>
      <c r="H2453" s="5">
        <f t="shared" si="38"/>
        <v>-3.5532994923857898E-2</v>
      </c>
    </row>
    <row r="2454" spans="1:8" ht="13.5" x14ac:dyDescent="0.25">
      <c r="A2454" s="1"/>
      <c r="B2454" s="3">
        <v>45876</v>
      </c>
      <c r="C2454" s="4">
        <v>1.9</v>
      </c>
      <c r="D2454" s="4">
        <v>1.9</v>
      </c>
      <c r="E2454" s="4">
        <v>6811</v>
      </c>
      <c r="F2454" s="4">
        <v>1.9</v>
      </c>
      <c r="G2454" s="4">
        <v>12940.9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1.91</v>
      </c>
      <c r="D2455" s="4">
        <v>1.91</v>
      </c>
      <c r="E2455" s="4">
        <v>6851</v>
      </c>
      <c r="F2455" s="4">
        <v>1.91</v>
      </c>
      <c r="G2455" s="4">
        <v>13085.41</v>
      </c>
      <c r="H2455" s="5">
        <f t="shared" si="38"/>
        <v>5.2631578947368472E-3</v>
      </c>
    </row>
    <row r="2456" spans="1:8" ht="13.5" x14ac:dyDescent="0.25">
      <c r="A2456" s="1"/>
      <c r="B2456" s="3">
        <v>45880</v>
      </c>
      <c r="C2456" s="4">
        <v>1.91</v>
      </c>
      <c r="D2456" s="4">
        <v>1.91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1.94</v>
      </c>
      <c r="D2457" s="4">
        <v>1.94</v>
      </c>
      <c r="E2457" s="4">
        <v>9277</v>
      </c>
      <c r="F2457" s="4">
        <v>1.94</v>
      </c>
      <c r="G2457" s="4">
        <v>17997.38</v>
      </c>
      <c r="H2457" s="5">
        <f t="shared" si="38"/>
        <v>1.5706806282722526E-2</v>
      </c>
    </row>
    <row r="2458" spans="1:8" ht="13.5" x14ac:dyDescent="0.25">
      <c r="A2458" s="1"/>
      <c r="B2458" s="3">
        <v>45883</v>
      </c>
      <c r="C2458" s="4">
        <v>1.92</v>
      </c>
      <c r="D2458" s="4">
        <v>1.92</v>
      </c>
      <c r="E2458" s="4">
        <v>10508</v>
      </c>
      <c r="F2458" s="4">
        <v>1.92</v>
      </c>
      <c r="G2458" s="4">
        <v>20175.36</v>
      </c>
      <c r="H2458" s="5">
        <f t="shared" si="38"/>
        <v>-1.0309278350515474E-2</v>
      </c>
    </row>
    <row r="2459" spans="1:8" ht="13.5" x14ac:dyDescent="0.25">
      <c r="A2459" s="1"/>
      <c r="B2459" s="3">
        <v>45884</v>
      </c>
      <c r="C2459" s="4">
        <v>1.94</v>
      </c>
      <c r="D2459" s="4">
        <v>1.94</v>
      </c>
      <c r="E2459" s="4">
        <v>10</v>
      </c>
      <c r="F2459" s="4">
        <v>1.94</v>
      </c>
      <c r="G2459" s="4">
        <v>19.399999999999999</v>
      </c>
      <c r="H2459" s="5">
        <f t="shared" si="38"/>
        <v>1.0416666666666676E-2</v>
      </c>
    </row>
    <row r="2460" spans="1:8" ht="13.5" x14ac:dyDescent="0.25">
      <c r="A2460" s="1"/>
      <c r="B2460" s="3">
        <v>45887</v>
      </c>
      <c r="C2460" s="4">
        <v>1.93</v>
      </c>
      <c r="D2460" s="4">
        <v>1.93</v>
      </c>
      <c r="E2460" s="4">
        <v>98</v>
      </c>
      <c r="F2460" s="4">
        <v>1.93</v>
      </c>
      <c r="G2460" s="4">
        <v>189.14</v>
      </c>
      <c r="H2460" s="5">
        <f t="shared" si="38"/>
        <v>-5.1546391752577371E-3</v>
      </c>
    </row>
    <row r="2461" spans="1:8" ht="13.5" x14ac:dyDescent="0.25">
      <c r="A2461" s="1"/>
      <c r="B2461" s="3">
        <v>45888</v>
      </c>
      <c r="C2461" s="4">
        <v>1.9</v>
      </c>
      <c r="D2461" s="4">
        <v>1.9</v>
      </c>
      <c r="E2461" s="4">
        <v>201</v>
      </c>
      <c r="F2461" s="4">
        <v>1.9</v>
      </c>
      <c r="G2461" s="4">
        <v>381.9</v>
      </c>
      <c r="H2461" s="5">
        <f t="shared" si="38"/>
        <v>-1.5544041450777216E-2</v>
      </c>
    </row>
    <row r="2462" spans="1:8" ht="13.5" x14ac:dyDescent="0.25">
      <c r="A2462" s="1"/>
      <c r="B2462" s="3">
        <v>45889</v>
      </c>
      <c r="C2462" s="4">
        <v>1.88</v>
      </c>
      <c r="D2462" s="4">
        <v>1.88</v>
      </c>
      <c r="E2462" s="4">
        <v>211</v>
      </c>
      <c r="F2462" s="4">
        <v>1.883</v>
      </c>
      <c r="G2462" s="4">
        <v>397.31299999999999</v>
      </c>
      <c r="H2462" s="5">
        <f t="shared" si="38"/>
        <v>-1.0526315789473694E-2</v>
      </c>
    </row>
    <row r="2463" spans="1:8" ht="13.5" x14ac:dyDescent="0.25">
      <c r="A2463" s="1"/>
      <c r="B2463" s="3">
        <v>45890</v>
      </c>
      <c r="C2463" s="4">
        <v>1.88</v>
      </c>
      <c r="D2463" s="4">
        <v>1.88</v>
      </c>
      <c r="E2463" s="4">
        <v>201</v>
      </c>
      <c r="F2463" s="4">
        <v>1.88</v>
      </c>
      <c r="G2463" s="4">
        <v>377.88</v>
      </c>
      <c r="H2463" s="5">
        <f t="shared" si="38"/>
        <v>0</v>
      </c>
    </row>
    <row r="2464" spans="1:8" ht="13.5" x14ac:dyDescent="0.25">
      <c r="A2464" s="1"/>
      <c r="B2464" s="3">
        <v>45891</v>
      </c>
      <c r="C2464" s="4">
        <v>1.92</v>
      </c>
      <c r="D2464" s="4">
        <v>1.92</v>
      </c>
      <c r="E2464" s="4">
        <v>170</v>
      </c>
      <c r="F2464" s="4">
        <v>1.92</v>
      </c>
      <c r="G2464" s="4">
        <v>326.39999999999998</v>
      </c>
      <c r="H2464" s="5">
        <f t="shared" si="38"/>
        <v>2.1276595744680871E-2</v>
      </c>
    </row>
    <row r="2465" spans="1:8" ht="13.5" x14ac:dyDescent="0.25">
      <c r="A2465" s="1"/>
      <c r="B2465" s="3">
        <v>45894</v>
      </c>
      <c r="C2465" s="4">
        <v>1.96</v>
      </c>
      <c r="D2465" s="4">
        <v>1.96</v>
      </c>
      <c r="E2465" s="4">
        <v>20</v>
      </c>
      <c r="F2465" s="4">
        <v>1.96</v>
      </c>
      <c r="G2465" s="4">
        <v>39.200000000000003</v>
      </c>
      <c r="H2465" s="5">
        <f t="shared" si="38"/>
        <v>2.0833333333333353E-2</v>
      </c>
    </row>
    <row r="2466" spans="1:8" ht="13.5" x14ac:dyDescent="0.25">
      <c r="A2466" s="1"/>
      <c r="B2466" s="3">
        <v>45895</v>
      </c>
      <c r="C2466" s="4">
        <v>1.92</v>
      </c>
      <c r="D2466" s="4">
        <v>1.92</v>
      </c>
      <c r="E2466" s="4">
        <v>300</v>
      </c>
      <c r="F2466" s="4">
        <v>1.92</v>
      </c>
      <c r="G2466" s="4">
        <v>576</v>
      </c>
      <c r="H2466" s="5">
        <f t="shared" si="38"/>
        <v>-2.0408163265306142E-2</v>
      </c>
    </row>
    <row r="2467" spans="1:8" ht="13.5" x14ac:dyDescent="0.25">
      <c r="A2467" s="1"/>
      <c r="B2467" s="3">
        <v>45896</v>
      </c>
      <c r="C2467" s="4">
        <v>1.93</v>
      </c>
      <c r="D2467" s="4">
        <v>1.93</v>
      </c>
      <c r="E2467" s="4">
        <v>3444</v>
      </c>
      <c r="F2467" s="4">
        <v>1.93</v>
      </c>
      <c r="G2467" s="4">
        <v>6646.92</v>
      </c>
      <c r="H2467" s="5">
        <f t="shared" si="38"/>
        <v>5.2083333333333382E-3</v>
      </c>
    </row>
    <row r="2468" spans="1:8" ht="13.5" x14ac:dyDescent="0.25">
      <c r="A2468" s="1"/>
      <c r="B2468" s="3">
        <v>45897</v>
      </c>
      <c r="C2468" s="4">
        <v>1.97</v>
      </c>
      <c r="D2468" s="4">
        <v>1.97</v>
      </c>
      <c r="E2468" s="4">
        <v>121</v>
      </c>
      <c r="F2468" s="4">
        <v>1.97</v>
      </c>
      <c r="G2468" s="4">
        <v>238.37</v>
      </c>
      <c r="H2468" s="5">
        <f t="shared" si="38"/>
        <v>2.0725388601036288E-2</v>
      </c>
    </row>
    <row r="2469" spans="1:8" ht="13.5" x14ac:dyDescent="0.25">
      <c r="A2469" s="1"/>
      <c r="B2469" s="3">
        <v>45898</v>
      </c>
      <c r="C2469" s="4">
        <v>1.94</v>
      </c>
      <c r="D2469" s="4">
        <v>1.94</v>
      </c>
      <c r="E2469" s="4">
        <v>1100</v>
      </c>
      <c r="F2469" s="4">
        <v>1.94</v>
      </c>
      <c r="G2469" s="4">
        <v>2134</v>
      </c>
      <c r="H2469" s="5">
        <f t="shared" si="38"/>
        <v>-1.5228426395939101E-2</v>
      </c>
    </row>
    <row r="2470" spans="1:8" ht="13.5" x14ac:dyDescent="0.25">
      <c r="A2470" s="1"/>
      <c r="B2470" s="3">
        <v>45901</v>
      </c>
      <c r="C2470" s="4">
        <v>1.96</v>
      </c>
      <c r="D2470" s="4">
        <v>1.96</v>
      </c>
      <c r="E2470" s="4">
        <v>1</v>
      </c>
      <c r="F2470" s="4">
        <v>1.96</v>
      </c>
      <c r="G2470" s="4">
        <v>1.96</v>
      </c>
      <c r="H2470" s="5">
        <f t="shared" si="38"/>
        <v>1.0309278350515474E-2</v>
      </c>
    </row>
    <row r="2471" spans="1:8" ht="13.5" x14ac:dyDescent="0.25">
      <c r="A2471" s="1"/>
      <c r="B2471" s="3">
        <v>45902</v>
      </c>
      <c r="C2471" s="4">
        <v>1.96</v>
      </c>
      <c r="D2471" s="4">
        <v>1.96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1.96</v>
      </c>
      <c r="D2472" s="4">
        <v>1.96</v>
      </c>
      <c r="E2472" s="4">
        <v>0</v>
      </c>
      <c r="F2472" s="4">
        <v>0</v>
      </c>
      <c r="G2472" s="4">
        <v>0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1.95</v>
      </c>
      <c r="D2473" s="4">
        <v>1.95</v>
      </c>
      <c r="E2473" s="4">
        <v>477</v>
      </c>
      <c r="F2473" s="4">
        <v>1.95</v>
      </c>
      <c r="G2473" s="4">
        <v>930.15</v>
      </c>
      <c r="H2473" s="5">
        <f t="shared" si="38"/>
        <v>-5.1020408163265354E-3</v>
      </c>
    </row>
    <row r="2474" spans="1:8" ht="13.5" x14ac:dyDescent="0.25">
      <c r="A2474" s="1"/>
      <c r="B2474" s="3">
        <v>45908</v>
      </c>
      <c r="C2474" s="4">
        <v>1.95</v>
      </c>
      <c r="D2474" s="4">
        <v>1.95</v>
      </c>
      <c r="E2474" s="4">
        <v>0</v>
      </c>
      <c r="F2474" s="4">
        <v>0</v>
      </c>
      <c r="G2474" s="4">
        <v>0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1.95</v>
      </c>
      <c r="D2475" s="4">
        <v>1.95</v>
      </c>
      <c r="E2475" s="4">
        <v>3714</v>
      </c>
      <c r="F2475" s="4">
        <v>1.95</v>
      </c>
      <c r="G2475" s="4">
        <v>7242.3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1.96</v>
      </c>
      <c r="D2476" s="4">
        <v>1.96</v>
      </c>
      <c r="E2476" s="4">
        <v>298</v>
      </c>
      <c r="F2476" s="4">
        <v>1.96</v>
      </c>
      <c r="G2476" s="4">
        <v>584.08000000000004</v>
      </c>
      <c r="H2476" s="5">
        <f t="shared" si="38"/>
        <v>5.1282051282051325E-3</v>
      </c>
    </row>
    <row r="2477" spans="1:8" ht="13.5" x14ac:dyDescent="0.25">
      <c r="A2477" s="1"/>
      <c r="B2477" s="3">
        <v>45911</v>
      </c>
      <c r="C2477" s="4">
        <v>1.99</v>
      </c>
      <c r="D2477" s="4">
        <v>1.99</v>
      </c>
      <c r="E2477" s="4">
        <v>3643</v>
      </c>
      <c r="F2477" s="4">
        <v>1.982</v>
      </c>
      <c r="G2477" s="4">
        <v>7220.4260000000004</v>
      </c>
      <c r="H2477" s="5">
        <f t="shared" si="38"/>
        <v>1.5306122448979605E-2</v>
      </c>
    </row>
    <row r="2478" spans="1:8" ht="13.5" x14ac:dyDescent="0.25">
      <c r="A2478" s="1"/>
      <c r="B2478" s="3">
        <v>45912</v>
      </c>
      <c r="C2478" s="4">
        <v>1.99</v>
      </c>
      <c r="D2478" s="4">
        <v>1.99</v>
      </c>
      <c r="E2478" s="4">
        <v>714</v>
      </c>
      <c r="F2478" s="4">
        <v>1.99</v>
      </c>
      <c r="G2478" s="4">
        <v>1420.86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2.0699999999999998</v>
      </c>
      <c r="D2479" s="4">
        <v>2.0699999999999998</v>
      </c>
      <c r="E2479" s="4">
        <v>2219</v>
      </c>
      <c r="F2479" s="4">
        <v>2.06</v>
      </c>
      <c r="G2479" s="4">
        <v>4571.1400000000003</v>
      </c>
      <c r="H2479" s="5">
        <f t="shared" si="38"/>
        <v>4.0201005025125552E-2</v>
      </c>
    </row>
    <row r="2480" spans="1:8" ht="13.5" x14ac:dyDescent="0.25">
      <c r="A2480" s="1"/>
      <c r="B2480" s="3">
        <v>45916</v>
      </c>
      <c r="C2480" s="4">
        <v>2.16</v>
      </c>
      <c r="D2480" s="4">
        <v>2.16</v>
      </c>
      <c r="E2480" s="4">
        <v>1343</v>
      </c>
      <c r="F2480" s="4">
        <v>2.1269999999999998</v>
      </c>
      <c r="G2480" s="4">
        <v>2856.5610000000001</v>
      </c>
      <c r="H2480" s="5">
        <f t="shared" si="38"/>
        <v>4.3478260869565369E-2</v>
      </c>
    </row>
    <row r="2481" spans="1:8" ht="13.5" x14ac:dyDescent="0.25">
      <c r="A2481" s="1"/>
      <c r="B2481" s="3">
        <v>45917</v>
      </c>
      <c r="C2481" s="4">
        <v>2.25</v>
      </c>
      <c r="D2481" s="4">
        <v>2.25</v>
      </c>
      <c r="E2481" s="4">
        <v>3144</v>
      </c>
      <c r="F2481" s="4">
        <v>2.214</v>
      </c>
      <c r="G2481" s="4">
        <v>6960.8159999999998</v>
      </c>
      <c r="H2481" s="5">
        <f t="shared" si="38"/>
        <v>4.1666666666666595E-2</v>
      </c>
    </row>
    <row r="2482" spans="1:8" ht="13.5" x14ac:dyDescent="0.25">
      <c r="A2482" s="1"/>
      <c r="B2482" s="3">
        <v>45918</v>
      </c>
      <c r="C2482" s="4">
        <v>2.2999999999999998</v>
      </c>
      <c r="D2482" s="4">
        <v>2.2999999999999998</v>
      </c>
      <c r="E2482" s="4">
        <v>5091</v>
      </c>
      <c r="F2482" s="4">
        <v>2.298</v>
      </c>
      <c r="G2482" s="4">
        <v>11699.118</v>
      </c>
      <c r="H2482" s="5">
        <f t="shared" si="38"/>
        <v>2.2222222222222143E-2</v>
      </c>
    </row>
    <row r="2483" spans="1:8" ht="13.5" x14ac:dyDescent="0.25">
      <c r="A2483" s="1"/>
      <c r="B2483" s="3">
        <v>45919</v>
      </c>
      <c r="C2483" s="4">
        <v>2.35</v>
      </c>
      <c r="D2483" s="4">
        <v>2.35</v>
      </c>
      <c r="E2483" s="4">
        <v>7834</v>
      </c>
      <c r="F2483" s="4">
        <v>2.35</v>
      </c>
      <c r="G2483" s="4">
        <v>18409.900000000001</v>
      </c>
      <c r="H2483" s="5">
        <f t="shared" si="38"/>
        <v>2.1739130434782726E-2</v>
      </c>
    </row>
    <row r="2484" spans="1:8" ht="13.5" x14ac:dyDescent="0.25">
      <c r="A2484" s="1"/>
      <c r="B2484" s="3">
        <v>45922</v>
      </c>
      <c r="C2484" s="4">
        <v>2.2999999999999998</v>
      </c>
      <c r="D2484" s="4">
        <v>2.2999999999999998</v>
      </c>
      <c r="E2484" s="4">
        <v>336</v>
      </c>
      <c r="F2484" s="4">
        <v>2.2999999999999998</v>
      </c>
      <c r="G2484" s="4">
        <v>772.8</v>
      </c>
      <c r="H2484" s="5">
        <f t="shared" si="38"/>
        <v>-2.1276595744680965E-2</v>
      </c>
    </row>
    <row r="2485" spans="1:8" ht="13.5" x14ac:dyDescent="0.25">
      <c r="A2485" s="1"/>
      <c r="B2485" s="3">
        <v>45923</v>
      </c>
      <c r="C2485" s="4">
        <v>2.27</v>
      </c>
      <c r="D2485" s="4">
        <v>2.27</v>
      </c>
      <c r="E2485" s="4">
        <v>317</v>
      </c>
      <c r="F2485" s="4">
        <v>2.274</v>
      </c>
      <c r="G2485" s="4">
        <v>720.85799999999995</v>
      </c>
      <c r="H2485" s="5">
        <f t="shared" si="38"/>
        <v>-1.3043478260869481E-2</v>
      </c>
    </row>
    <row r="2486" spans="1:8" ht="13.5" x14ac:dyDescent="0.25">
      <c r="A2486" s="1"/>
      <c r="B2486" s="3">
        <v>45924</v>
      </c>
      <c r="C2486" s="4">
        <v>2.2000000000000002</v>
      </c>
      <c r="D2486" s="4">
        <v>2.2000000000000002</v>
      </c>
      <c r="E2486" s="4">
        <v>3000</v>
      </c>
      <c r="F2486" s="4">
        <v>2.2000000000000002</v>
      </c>
      <c r="G2486" s="4">
        <v>6600</v>
      </c>
      <c r="H2486" s="5">
        <f t="shared" si="38"/>
        <v>-3.0837004405286274E-2</v>
      </c>
    </row>
    <row r="2487" spans="1:8" ht="13.5" x14ac:dyDescent="0.25">
      <c r="A2487" s="1"/>
      <c r="B2487" s="3">
        <v>45925</v>
      </c>
      <c r="C2487" s="4">
        <v>2.11</v>
      </c>
      <c r="D2487" s="4">
        <v>2.11</v>
      </c>
      <c r="E2487" s="4">
        <v>1174</v>
      </c>
      <c r="F2487" s="4">
        <v>2.11</v>
      </c>
      <c r="G2487" s="4">
        <v>2477.14</v>
      </c>
      <c r="H2487" s="5">
        <f t="shared" si="38"/>
        <v>-4.0909090909091041E-2</v>
      </c>
    </row>
    <row r="2488" spans="1:8" ht="13.5" x14ac:dyDescent="0.25">
      <c r="A2488" s="1"/>
      <c r="B2488" s="3">
        <v>45926</v>
      </c>
      <c r="C2488" s="4">
        <v>2.12</v>
      </c>
      <c r="D2488" s="4">
        <v>2.12</v>
      </c>
      <c r="E2488" s="4">
        <v>703</v>
      </c>
      <c r="F2488" s="4">
        <v>2.12</v>
      </c>
      <c r="G2488" s="4">
        <v>1490.36</v>
      </c>
      <c r="H2488" s="5">
        <f t="shared" si="38"/>
        <v>4.7393364928911049E-3</v>
      </c>
    </row>
    <row r="2489" spans="1:8" ht="13.5" x14ac:dyDescent="0.25">
      <c r="A2489" s="1"/>
      <c r="B2489" s="3">
        <v>45929</v>
      </c>
      <c r="C2489" s="4">
        <v>2.21</v>
      </c>
      <c r="D2489" s="4">
        <v>2.21</v>
      </c>
      <c r="E2489" s="4">
        <v>0</v>
      </c>
      <c r="F2489" s="4">
        <v>0</v>
      </c>
      <c r="G2489" s="4">
        <v>0</v>
      </c>
      <c r="H2489" s="5">
        <f t="shared" si="38"/>
        <v>4.2452830188679173E-2</v>
      </c>
    </row>
    <row r="2490" spans="1:8" ht="13.5" x14ac:dyDescent="0.25">
      <c r="A2490" s="1"/>
      <c r="B2490" s="3">
        <v>45930</v>
      </c>
      <c r="C2490" s="4">
        <v>2.12</v>
      </c>
      <c r="D2490" s="4">
        <v>2.12</v>
      </c>
      <c r="E2490" s="4">
        <v>0</v>
      </c>
      <c r="F2490" s="4">
        <v>0</v>
      </c>
      <c r="G2490" s="4">
        <v>0</v>
      </c>
      <c r="H2490" s="5">
        <f t="shared" si="38"/>
        <v>-4.0723981900452427E-2</v>
      </c>
    </row>
    <row r="2491" spans="1:8" ht="13.5" x14ac:dyDescent="0.25">
      <c r="A2491" s="1"/>
      <c r="B2491" s="3">
        <v>45931</v>
      </c>
      <c r="C2491" s="4">
        <v>2.08</v>
      </c>
      <c r="D2491" s="4">
        <v>2.08</v>
      </c>
      <c r="E2491" s="4">
        <v>1661</v>
      </c>
      <c r="F2491" s="4">
        <v>2.08</v>
      </c>
      <c r="G2491" s="4">
        <v>3454.88</v>
      </c>
      <c r="H2491" s="5">
        <f t="shared" si="38"/>
        <v>-1.8867924528301903E-2</v>
      </c>
    </row>
    <row r="2492" spans="1:8" ht="13.5" x14ac:dyDescent="0.25">
      <c r="A2492" s="1"/>
      <c r="B2492" s="3">
        <v>45932</v>
      </c>
      <c r="C2492" s="4">
        <v>2.12</v>
      </c>
      <c r="D2492" s="4">
        <v>2.12</v>
      </c>
      <c r="E2492" s="4">
        <v>5</v>
      </c>
      <c r="F2492" s="4">
        <v>2.12</v>
      </c>
      <c r="G2492" s="4">
        <v>10.6</v>
      </c>
      <c r="H2492" s="5">
        <f t="shared" si="38"/>
        <v>1.9230769230769246E-2</v>
      </c>
    </row>
    <row r="2493" spans="1:8" ht="13.5" x14ac:dyDescent="0.25">
      <c r="A2493" s="1"/>
      <c r="B2493" s="3">
        <v>45933</v>
      </c>
      <c r="C2493" s="4">
        <v>2.12</v>
      </c>
      <c r="D2493" s="4">
        <v>2.12</v>
      </c>
      <c r="E2493" s="4">
        <v>0</v>
      </c>
      <c r="F2493" s="4">
        <v>0</v>
      </c>
      <c r="G2493" s="4">
        <v>0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2.11</v>
      </c>
      <c r="D2494" s="4">
        <v>2.11</v>
      </c>
      <c r="E2494" s="4">
        <v>1207</v>
      </c>
      <c r="F2494" s="4">
        <v>2.1110000000000002</v>
      </c>
      <c r="G2494" s="4">
        <v>2547.9769999999999</v>
      </c>
      <c r="H2494" s="5">
        <f t="shared" si="38"/>
        <v>-4.7169811320755808E-3</v>
      </c>
    </row>
    <row r="2495" spans="1:8" ht="13.5" x14ac:dyDescent="0.25">
      <c r="A2495" s="1"/>
      <c r="B2495" s="3">
        <v>45937</v>
      </c>
      <c r="C2495" s="4">
        <v>2.1</v>
      </c>
      <c r="D2495" s="4">
        <v>2.1</v>
      </c>
      <c r="E2495" s="4">
        <v>200</v>
      </c>
      <c r="F2495" s="4">
        <v>2.1</v>
      </c>
      <c r="G2495" s="4">
        <v>420</v>
      </c>
      <c r="H2495" s="5">
        <f t="shared" si="38"/>
        <v>-4.7393364928908941E-3</v>
      </c>
    </row>
    <row r="2496" spans="1:8" ht="13.5" x14ac:dyDescent="0.25">
      <c r="A2496" s="1"/>
      <c r="B2496" s="3">
        <v>45938</v>
      </c>
      <c r="C2496" s="4">
        <v>2.08</v>
      </c>
      <c r="D2496" s="4">
        <v>2.08</v>
      </c>
      <c r="E2496" s="4">
        <v>2500</v>
      </c>
      <c r="F2496" s="4">
        <v>2.08</v>
      </c>
      <c r="G2496" s="4">
        <v>5200</v>
      </c>
      <c r="H2496" s="5">
        <f t="shared" si="38"/>
        <v>-9.5238095238095316E-3</v>
      </c>
    </row>
    <row r="2497" spans="1:11" ht="13.5" x14ac:dyDescent="0.25">
      <c r="A2497" s="1"/>
      <c r="B2497" s="3">
        <v>45939</v>
      </c>
      <c r="C2497" s="4">
        <v>2.08</v>
      </c>
      <c r="D2497" s="4">
        <v>2.08</v>
      </c>
      <c r="E2497" s="4">
        <v>495</v>
      </c>
      <c r="F2497" s="4">
        <v>2.08</v>
      </c>
      <c r="G2497" s="4">
        <v>1029.5999999999999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2.0499999999999998</v>
      </c>
      <c r="D2498" s="4">
        <v>2.0499999999999998</v>
      </c>
      <c r="E2498" s="4">
        <v>5</v>
      </c>
      <c r="F2498" s="4">
        <v>2.0499999999999998</v>
      </c>
      <c r="G2498" s="4">
        <v>10.25</v>
      </c>
      <c r="H2498" s="5">
        <f t="shared" si="38"/>
        <v>-1.4423076923077042E-2</v>
      </c>
    </row>
    <row r="2499" spans="1:11" ht="13.5" x14ac:dyDescent="0.25">
      <c r="A2499" s="1"/>
      <c r="B2499" s="3">
        <v>45943</v>
      </c>
      <c r="C2499" s="4">
        <v>2.02</v>
      </c>
      <c r="D2499" s="4">
        <v>2.02</v>
      </c>
      <c r="E2499" s="4">
        <v>3580</v>
      </c>
      <c r="F2499" s="4">
        <v>2.02</v>
      </c>
      <c r="G2499" s="4">
        <v>7231.6</v>
      </c>
      <c r="H2499" s="5">
        <f t="shared" si="38"/>
        <v>-1.463414634146332E-2</v>
      </c>
    </row>
    <row r="2500" spans="1:11" ht="13.5" x14ac:dyDescent="0.25">
      <c r="A2500" s="1"/>
      <c r="B2500" s="3">
        <v>45944</v>
      </c>
      <c r="C2500" s="4">
        <v>1.93</v>
      </c>
      <c r="D2500" s="4">
        <v>1.93</v>
      </c>
      <c r="E2500" s="4">
        <v>0</v>
      </c>
      <c r="F2500" s="4">
        <v>0</v>
      </c>
      <c r="G2500" s="4">
        <v>0</v>
      </c>
      <c r="H2500" s="5">
        <f t="shared" si="38"/>
        <v>-4.4554455445544594E-2</v>
      </c>
    </row>
    <row r="2501" spans="1:11" ht="13.5" x14ac:dyDescent="0.25">
      <c r="A2501" s="1"/>
      <c r="B2501" s="3">
        <v>45946</v>
      </c>
      <c r="C2501" s="4">
        <v>1.88</v>
      </c>
      <c r="D2501" s="4">
        <v>1.88</v>
      </c>
      <c r="E2501" s="4">
        <v>450</v>
      </c>
      <c r="F2501" s="4">
        <v>1.88</v>
      </c>
      <c r="G2501" s="4">
        <v>846</v>
      </c>
      <c r="H2501" s="5">
        <f t="shared" si="38"/>
        <v>-2.5906735751295359E-2</v>
      </c>
    </row>
    <row r="2502" spans="1:11" ht="13.5" x14ac:dyDescent="0.25">
      <c r="A2502" s="1"/>
      <c r="B2502" s="3">
        <v>45947</v>
      </c>
      <c r="C2502" s="4">
        <v>1.96</v>
      </c>
      <c r="D2502" s="4">
        <v>1.96</v>
      </c>
      <c r="E2502" s="4">
        <v>250</v>
      </c>
      <c r="F2502" s="4">
        <v>1.96</v>
      </c>
      <c r="G2502" s="4">
        <v>490</v>
      </c>
      <c r="H2502" s="5">
        <f t="shared" si="38"/>
        <v>4.2553191489361743E-2</v>
      </c>
    </row>
    <row r="2503" spans="1:11" ht="13.5" x14ac:dyDescent="0.25">
      <c r="A2503" s="1"/>
      <c r="B2503" s="3">
        <v>45950</v>
      </c>
      <c r="C2503" s="4">
        <v>2</v>
      </c>
      <c r="D2503" s="4">
        <v>2</v>
      </c>
      <c r="E2503" s="4">
        <v>1190</v>
      </c>
      <c r="F2503" s="4">
        <v>2</v>
      </c>
      <c r="G2503" s="4">
        <v>2380</v>
      </c>
      <c r="H2503" s="5">
        <f t="shared" ref="H2503:H2511" si="39">(D2503-D2502)/D2502</f>
        <v>2.0408163265306142E-2</v>
      </c>
    </row>
    <row r="2504" spans="1:11" ht="13.5" x14ac:dyDescent="0.25">
      <c r="A2504" s="1"/>
      <c r="B2504" s="3">
        <v>45951</v>
      </c>
      <c r="C2504" s="4">
        <v>2.09</v>
      </c>
      <c r="D2504" s="4">
        <v>2.09</v>
      </c>
      <c r="E2504" s="4">
        <v>0</v>
      </c>
      <c r="F2504" s="4">
        <v>0</v>
      </c>
      <c r="G2504" s="4">
        <v>0</v>
      </c>
      <c r="H2504" s="5">
        <f t="shared" si="39"/>
        <v>4.4999999999999929E-2</v>
      </c>
    </row>
    <row r="2505" spans="1:11" ht="13.5" x14ac:dyDescent="0.25">
      <c r="A2505" s="1"/>
      <c r="B2505" s="3">
        <v>45952</v>
      </c>
      <c r="C2505" s="4">
        <v>2.17</v>
      </c>
      <c r="D2505" s="4">
        <v>2.17</v>
      </c>
      <c r="E2505" s="4">
        <v>901</v>
      </c>
      <c r="F2505" s="4">
        <v>2.17</v>
      </c>
      <c r="G2505" s="4">
        <v>1955.17</v>
      </c>
      <c r="H2505" s="5">
        <f t="shared" si="39"/>
        <v>3.8277511961722521E-2</v>
      </c>
    </row>
    <row r="2506" spans="1:11" ht="13.5" x14ac:dyDescent="0.25">
      <c r="A2506" s="1"/>
      <c r="B2506" s="3">
        <v>45953</v>
      </c>
      <c r="C2506" s="4">
        <v>2.17</v>
      </c>
      <c r="D2506" s="4">
        <v>2.17</v>
      </c>
      <c r="E2506" s="4">
        <v>0</v>
      </c>
      <c r="F2506" s="4">
        <v>0</v>
      </c>
      <c r="G2506" s="4">
        <v>0</v>
      </c>
      <c r="H2506" s="5">
        <f t="shared" si="39"/>
        <v>0</v>
      </c>
    </row>
    <row r="2507" spans="1:11" ht="13.5" x14ac:dyDescent="0.25">
      <c r="A2507" s="1"/>
      <c r="B2507" s="3">
        <v>45954</v>
      </c>
      <c r="C2507" s="4">
        <v>2.08</v>
      </c>
      <c r="D2507" s="4">
        <v>2.08</v>
      </c>
      <c r="E2507" s="4">
        <v>101</v>
      </c>
      <c r="F2507" s="4">
        <v>2.08</v>
      </c>
      <c r="G2507" s="4">
        <v>210.08</v>
      </c>
      <c r="H2507" s="5">
        <f t="shared" si="39"/>
        <v>-4.1474654377880123E-2</v>
      </c>
    </row>
    <row r="2508" spans="1:11" ht="13.5" x14ac:dyDescent="0.25">
      <c r="A2508" s="1"/>
      <c r="B2508" s="3">
        <v>45957</v>
      </c>
      <c r="C2508" s="4">
        <v>2</v>
      </c>
      <c r="D2508" s="4">
        <v>2</v>
      </c>
      <c r="E2508" s="4">
        <v>83</v>
      </c>
      <c r="F2508" s="4">
        <v>2</v>
      </c>
      <c r="G2508" s="4">
        <v>166</v>
      </c>
      <c r="H2508" s="5">
        <f t="shared" si="39"/>
        <v>-3.8461538461538491E-2</v>
      </c>
    </row>
    <row r="2509" spans="1:11" ht="13.5" x14ac:dyDescent="0.25">
      <c r="A2509" s="1"/>
      <c r="B2509" s="3">
        <v>45958</v>
      </c>
      <c r="C2509" s="4">
        <v>1.91</v>
      </c>
      <c r="D2509" s="4">
        <v>1.91</v>
      </c>
      <c r="E2509" s="4">
        <v>0</v>
      </c>
      <c r="F2509" s="4">
        <v>0</v>
      </c>
      <c r="G2509" s="4">
        <v>0</v>
      </c>
      <c r="H2509" s="5">
        <f t="shared" si="39"/>
        <v>-4.500000000000004E-2</v>
      </c>
    </row>
    <row r="2510" spans="1:11" ht="13.5" x14ac:dyDescent="0.25">
      <c r="A2510" s="1"/>
      <c r="B2510" s="3">
        <v>45959</v>
      </c>
      <c r="C2510" s="4">
        <v>1.94</v>
      </c>
      <c r="D2510" s="4">
        <v>1.94</v>
      </c>
      <c r="E2510" s="4">
        <v>280</v>
      </c>
      <c r="F2510" s="4">
        <v>1.9850000000000001</v>
      </c>
      <c r="G2510" s="4">
        <v>555.79999999999995</v>
      </c>
      <c r="H2510" s="5">
        <f t="shared" si="39"/>
        <v>1.5706806282722526E-2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1.9</v>
      </c>
      <c r="D2511" s="4">
        <v>1.9</v>
      </c>
      <c r="E2511" s="4">
        <v>4766</v>
      </c>
      <c r="F2511" s="4">
        <v>1.9</v>
      </c>
      <c r="G2511" s="4">
        <v>9055.4</v>
      </c>
      <c r="H2511" s="5">
        <f t="shared" si="39"/>
        <v>-2.0618556701030948E-2</v>
      </c>
      <c r="I2511" s="12">
        <v>4461532</v>
      </c>
      <c r="J2511" s="8">
        <f>I2511*D2511</f>
        <v>8476910.7999999989</v>
      </c>
      <c r="K2511" s="9">
        <f>SUM(E2307:E2511)/205</f>
        <v>3570.5024390243902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E62A0B-179A-4085-81B8-384952FA8C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37D45D-E41F-4EEC-860B-0D813DD0829A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825c0b43-6af9-4148-8ec1-c95941059438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2BCA782-1A6C-4F32-91C8-8603EAD9EB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2025-11-04T19:41:42Z</dcterms:created>
  <dcterms:modified xsi:type="dcterms:W3CDTF">2025-11-05T05:36:14Z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